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hareholders 2026\02 Shareholders\"/>
    </mc:Choice>
  </mc:AlternateContent>
  <xr:revisionPtr revIDLastSave="0" documentId="13_ncr:1_{E422946E-6C89-4422-9E2E-5AE6FF62E06D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MMERY" sheetId="6" r:id="rId1"/>
    <sheet name="Breakdown of Income" sheetId="7" r:id="rId2"/>
    <sheet name="INCOME VS EXPENSES" sheetId="9" r:id="rId3"/>
    <sheet name=" Expenses " sheetId="11" r:id="rId4"/>
    <sheet name="Sheet1" sheetId="8" r:id="rId5"/>
  </sheets>
  <externalReferences>
    <externalReference r:id="rId6"/>
    <externalReference r:id="rId7"/>
    <externalReference r:id="rId8"/>
  </externalReferences>
  <definedNames>
    <definedName name="_xlnm._FilterDatabase" localSheetId="3" hidden="1">' Expenses '!$B$6:$D$24</definedName>
    <definedName name="_xlnm.Print_Area" localSheetId="2">'INCOME VS EXPENSES'!$C$2:$D$22</definedName>
    <definedName name="_xlnm.Print_Area" localSheetId="0">SUMMERY!$A$1:$E$22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5" i="6"/>
  <c r="D28" i="11"/>
  <c r="D27" i="11"/>
  <c r="D26" i="11"/>
  <c r="D25" i="11"/>
  <c r="D3" i="7"/>
  <c r="C5" i="7"/>
  <c r="B5" i="6"/>
  <c r="B4" i="6" l="1"/>
  <c r="C4" i="7"/>
  <c r="C16" i="7" s="1"/>
  <c r="D7" i="9" s="1"/>
  <c r="D6" i="9"/>
  <c r="D4" i="7" l="1"/>
  <c r="D16" i="7" s="1"/>
  <c r="E15" i="6"/>
  <c r="E14" i="6" l="1"/>
  <c r="E13" i="6" l="1"/>
  <c r="E11" i="6"/>
  <c r="E12" i="6"/>
  <c r="D24" i="11" l="1"/>
  <c r="B10" i="9" s="1"/>
  <c r="E10" i="6"/>
  <c r="D2" i="11" l="1"/>
  <c r="E8" i="6"/>
  <c r="E9" i="6" l="1"/>
  <c r="C3" i="7" l="1"/>
  <c r="E6" i="6" l="1"/>
  <c r="B5" i="9" l="1"/>
  <c r="E7" i="6" l="1"/>
  <c r="D21" i="9" l="1"/>
  <c r="B6" i="9"/>
  <c r="D24" i="9"/>
  <c r="B7" i="9" l="1"/>
  <c r="D30" i="11" l="1"/>
  <c r="D3" i="11" l="1"/>
  <c r="D4" i="11" s="1"/>
  <c r="B11" i="9"/>
  <c r="B12" i="9" s="1"/>
  <c r="E16" i="6" l="1"/>
  <c r="B3" i="6" l="1"/>
  <c r="B16" i="6" s="1"/>
  <c r="B17" i="6" l="1"/>
  <c r="E19" i="6"/>
  <c r="E20" i="6" l="1"/>
</calcChain>
</file>

<file path=xl/sharedStrings.xml><?xml version="1.0" encoding="utf-8"?>
<sst xmlns="http://schemas.openxmlformats.org/spreadsheetml/2006/main" count="128" uniqueCount="92">
  <si>
    <t>DESCRIPTION</t>
  </si>
  <si>
    <t>USD</t>
  </si>
  <si>
    <t>CASUAL WORKERS AND FOOD ALLOWANCE</t>
  </si>
  <si>
    <t>GAS AND ELECTRISITY</t>
  </si>
  <si>
    <t>MAINTENANCE GARDEN &amp; POOL</t>
  </si>
  <si>
    <t>DIESEL AND PETROL</t>
  </si>
  <si>
    <t>HOUSE KEEPING</t>
  </si>
  <si>
    <t>SALARIES &amp; WAGES</t>
  </si>
  <si>
    <t>OFFICE AND BANK CHARGES</t>
  </si>
  <si>
    <t>INSURANCE &amp; LICENSE</t>
  </si>
  <si>
    <t>TOTAL EXPENCES</t>
  </si>
  <si>
    <t>PERSONAL EXPENCES</t>
  </si>
  <si>
    <t>SHARED EXPENCES</t>
  </si>
  <si>
    <t>MAINTENANCE GENERAL</t>
  </si>
  <si>
    <t>PERSONAL AND SHARED EXPENSES</t>
  </si>
  <si>
    <t>SHARED</t>
  </si>
  <si>
    <t>PERSONAL</t>
  </si>
  <si>
    <t>RATE</t>
  </si>
  <si>
    <t>Income</t>
  </si>
  <si>
    <t>Expenses</t>
  </si>
  <si>
    <t>Opening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</si>
  <si>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</si>
  <si>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</si>
  <si>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</si>
  <si>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</si>
  <si>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</si>
  <si>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</si>
  <si>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</si>
  <si>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</si>
  <si>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</si>
  <si>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</si>
  <si>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</si>
  <si>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</si>
  <si>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</si>
  <si>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BALANCE AVAILIBLE</t>
  </si>
  <si>
    <t>JANUARY</t>
  </si>
  <si>
    <t xml:space="preserve">OPENING BALANCE JAN </t>
  </si>
  <si>
    <t>MTS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</si>
  <si>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</si>
  <si>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</si>
  <si>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</si>
  <si>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</si>
  <si>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</si>
  <si>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</si>
  <si>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</si>
  <si>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</si>
  <si>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</si>
  <si>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</si>
  <si>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</si>
  <si>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 VS EXPENSES</t>
  </si>
  <si>
    <t>TOTAL OF ALL INCOME - ALL EXPENSES</t>
  </si>
  <si>
    <t>MZN</t>
  </si>
  <si>
    <t>PERSONAL INCOME BALANCE</t>
  </si>
  <si>
    <t xml:space="preserve">TOTAL EXPENSES </t>
  </si>
  <si>
    <t>BALANCE</t>
  </si>
  <si>
    <t>PERSONAL LANDCO INCOME DRAWN FROM 01 JAN 2025</t>
  </si>
  <si>
    <t xml:space="preserve">EXPENSES JANUARY </t>
  </si>
  <si>
    <t>EXPENSES FEBUARY</t>
  </si>
  <si>
    <t>EXPENSES MARCH</t>
  </si>
  <si>
    <t>EXPENSES APRIL</t>
  </si>
  <si>
    <t>EXPENSES MAY</t>
  </si>
  <si>
    <t>EXPENSES JUNE</t>
  </si>
  <si>
    <t>EXPENSES JULY</t>
  </si>
  <si>
    <t>EXPENSES AUGUST</t>
  </si>
  <si>
    <t>EXPENSES SEPTEMBER</t>
  </si>
  <si>
    <t>EXPENSES OCTOBER</t>
  </si>
  <si>
    <t>EXPENSES NOVEMBER</t>
  </si>
  <si>
    <t>EXPENSES DECEMBER</t>
  </si>
  <si>
    <t>TOTAL I/E LEFTOVER</t>
  </si>
  <si>
    <t>SMALL TOOLS</t>
  </si>
  <si>
    <t>MARINTINE &amp; MUNICIPAL TAXES IPRA &amp;TAE</t>
  </si>
  <si>
    <t>Mets</t>
  </si>
  <si>
    <t>ADMIN CHARGES (BDO &amp; ANDRISA ENS )</t>
  </si>
  <si>
    <t>LUZ STAFF SALARIES</t>
  </si>
  <si>
    <t>RATE 63,25</t>
  </si>
  <si>
    <t>MAINTENANCE VEHICLES</t>
  </si>
  <si>
    <t>DEACRIPTION</t>
  </si>
  <si>
    <t>PLEASE TOP UP WITH $10000</t>
  </si>
  <si>
    <t>Taffy Casa Luz</t>
  </si>
  <si>
    <t>BREAKDOWN OF INCOME 2026</t>
  </si>
  <si>
    <t>TOTAL INCOME FOR 2026</t>
  </si>
  <si>
    <t>PERSONAL BALANCE CARRIED FORWARD DEC 2025</t>
  </si>
  <si>
    <t xml:space="preserve">SHARED EXPENSES </t>
  </si>
  <si>
    <t xml:space="preserve">PERSONAL EXPENSES </t>
  </si>
  <si>
    <t>TOTAL EXPENSES JAN</t>
  </si>
  <si>
    <t xml:space="preserve">EQUIPMENT PRESSURE PUMP X 2 </t>
  </si>
  <si>
    <t>COMMUNITY DONATION</t>
  </si>
  <si>
    <t>CASH FROM TAFY</t>
  </si>
  <si>
    <t>PAID $1375 TOWARDS BURGLARY</t>
  </si>
  <si>
    <t>SKIPPERS BOAT CLEANING</t>
  </si>
  <si>
    <t>BOAT CLEANING MATERIAL</t>
  </si>
  <si>
    <t>HOUSE KEEPING CLEANING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</si>
</sst>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  <numFmt numFmtId="166" formatCode="[$$-409]#,##0.00"/>
    <numFmt numFmtId="167" formatCode="&quot;$&quot;#,##0.00"/>
    <numFmt numFmtId="168" formatCode="[$-409]mmmm\-yy;@"/>
    <numFmt numFmtId="169" formatCode="_(&quot;US$&quot;* #,##0.00_);_(&quot;US$&quot;* \(#,##0.00\);_(&quot;US$&quot;* &quot;-&quot;??_);_(@_)"/>
    <numFmt numFmtId="170" formatCode="[$MZM]\ #,##0.00_);[Red]\([$MZM]\ #,##0.00\)"/>
    <numFmt numFmtId="171" formatCode="_-* #,##0.00_-;\-* #,##0.00_-;_-* \-??_-;_-@_-"/>
    <numFmt numFmtId="172" formatCode="#,##0.00_ ;\-#,##0.00\ "/>
    <numFmt numFmtId="173" formatCode="_-\R* #,##0.00_-;&quot;-R&quot;* #,##0.00_-;_-\R* \-??_-;_-@_-"/>
    <numFmt numFmtId="174" formatCode="_-* #,##0.00_-;\-* #,##0.00_-;_-* &quot;-&quot;??_-;_-@"/>
    <numFmt numFmtId="175" formatCode="#,##0.00;[Red]#,##0.00"/>
  </numFmts>
  <fonts count="34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6"/>
      <color theme="0"/>
      <name val="Aptos Narrow"/>
      <family val="2"/>
    </font>
    <font>
      <sz val="12"/>
      <name val="Aptos Narrow"/>
      <family val="2"/>
    </font>
    <font>
      <sz val="10"/>
      <color theme="1"/>
      <name val="Aptos Narrow"/>
      <family val="2"/>
    </font>
    <font>
      <sz val="8"/>
      <name val="Calibri"/>
      <family val="2"/>
      <charset val="1"/>
    </font>
    <font>
      <sz val="16"/>
      <color theme="1"/>
      <name val="Aptos Narrow"/>
      <family val="2"/>
      <scheme val="minor"/>
    </font>
    <font>
      <sz val="16"/>
      <color rgb="FF000000"/>
      <name val="Calibri"/>
      <family val="2"/>
      <charset val="1"/>
    </font>
    <font>
      <b/>
      <u/>
      <sz val="16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b/>
      <sz val="10"/>
      <color theme="1"/>
      <name val="Aptos Narrow"/>
      <family val="2"/>
    </font>
    <font>
      <b/>
      <sz val="11"/>
      <color rgb="FF000000"/>
      <name val="Calibri"/>
      <family val="2"/>
    </font>
    <font>
      <sz val="9"/>
      <color theme="1"/>
      <name val="Aptos Narrow"/>
      <family val="2"/>
    </font>
    <font>
      <b/>
      <sz val="10"/>
      <color theme="1"/>
      <name val="Aptos Narrow"/>
      <family val="2"/>
      <scheme val="minor"/>
    </font>
    <font>
      <sz val="10"/>
      <color theme="1"/>
      <name val="Gill Sans MT"/>
      <family val="2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  <font>
      <b/>
      <u/>
      <sz val="14"/>
      <name val="Calibri"/>
      <family val="2"/>
      <charset val="1"/>
    </font>
    <font>
      <b/>
      <u/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84E291"/>
        <bgColor rgb="FF84E291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33CCC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auto="1"/>
      </bottom>
      <diagonal/>
    </border>
  </borders>
  <cellStyleXfs count="16">
    <xf numFmtId="0" fontId="0" fillId="0" borderId="0"/>
    <xf numFmtId="165" fontId="7" fillId="0" borderId="0" applyBorder="0" applyProtection="0"/>
    <xf numFmtId="165" fontId="7" fillId="0" borderId="0" applyBorder="0" applyProtection="0"/>
    <xf numFmtId="0" fontId="5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7" fillId="0" borderId="0"/>
    <xf numFmtId="0" fontId="9" fillId="0" borderId="0"/>
    <xf numFmtId="0" fontId="3" fillId="0" borderId="0"/>
    <xf numFmtId="171" fontId="7" fillId="0" borderId="0" applyBorder="0" applyProtection="0"/>
    <xf numFmtId="173" fontId="7" fillId="0" borderId="0" applyBorder="0" applyProtection="0"/>
    <xf numFmtId="0" fontId="2" fillId="0" borderId="0"/>
    <xf numFmtId="0" fontId="2" fillId="0" borderId="0"/>
    <xf numFmtId="0" fontId="1" fillId="0" borderId="0"/>
    <xf numFmtId="0" fontId="1" fillId="0" borderId="0"/>
  </cellStyleXfs>
  <cellXfs count="124">
    <xf numFmtId="0" fontId="0" fillId="0" borderId="0" xfId="0"/>
    <xf numFmtId="4" fontId="0" fillId="0" borderId="0" xfId="0" applyNumberFormat="1"/>
    <xf numFmtId="17" fontId="0" fillId="0" borderId="0" xfId="0" applyNumberFormat="1"/>
    <xf numFmtId="0" fontId="3" fillId="0" borderId="0" xfId="9"/>
    <xf numFmtId="0" fontId="12" fillId="3" borderId="0" xfId="8" applyFont="1" applyFill="1"/>
    <xf numFmtId="0" fontId="9" fillId="0" borderId="0" xfId="8"/>
    <xf numFmtId="167" fontId="12" fillId="3" borderId="0" xfId="8" applyNumberFormat="1" applyFont="1" applyFill="1"/>
    <xf numFmtId="0" fontId="11" fillId="3" borderId="0" xfId="8" applyFont="1" applyFill="1" applyAlignment="1">
      <alignment horizontal="center"/>
    </xf>
    <xf numFmtId="164" fontId="12" fillId="3" borderId="0" xfId="8" applyNumberFormat="1" applyFont="1" applyFill="1"/>
    <xf numFmtId="0" fontId="11" fillId="4" borderId="0" xfId="8" applyFont="1" applyFill="1"/>
    <xf numFmtId="0" fontId="11" fillId="5" borderId="0" xfId="8" applyFont="1" applyFill="1"/>
    <xf numFmtId="0" fontId="11" fillId="3" borderId="0" xfId="8" applyFont="1" applyFill="1"/>
    <xf numFmtId="167" fontId="9" fillId="0" borderId="0" xfId="8" applyNumberFormat="1"/>
    <xf numFmtId="169" fontId="11" fillId="3" borderId="0" xfId="8" applyNumberFormat="1" applyFont="1" applyFill="1"/>
    <xf numFmtId="167" fontId="11" fillId="3" borderId="0" xfId="8" applyNumberFormat="1" applyFont="1" applyFill="1"/>
    <xf numFmtId="0" fontId="11" fillId="3" borderId="0" xfId="8" applyFont="1" applyFill="1" applyAlignment="1">
      <alignment horizontal="left"/>
    </xf>
    <xf numFmtId="170" fontId="11" fillId="3" borderId="0" xfId="8" applyNumberFormat="1" applyFont="1" applyFill="1" applyAlignment="1">
      <alignment horizontal="right"/>
    </xf>
    <xf numFmtId="167" fontId="11" fillId="3" borderId="0" xfId="8" applyNumberFormat="1" applyFont="1" applyFill="1" applyAlignment="1">
      <alignment horizontal="right"/>
    </xf>
    <xf numFmtId="0" fontId="12" fillId="3" borderId="0" xfId="8" applyFont="1" applyFill="1" applyAlignment="1">
      <alignment horizontal="left"/>
    </xf>
    <xf numFmtId="170" fontId="12" fillId="3" borderId="0" xfId="8" applyNumberFormat="1" applyFont="1" applyFill="1" applyAlignment="1">
      <alignment horizontal="right"/>
    </xf>
    <xf numFmtId="167" fontId="12" fillId="3" borderId="0" xfId="8" applyNumberFormat="1" applyFont="1" applyFill="1" applyAlignment="1">
      <alignment horizontal="right"/>
    </xf>
    <xf numFmtId="170" fontId="9" fillId="0" borderId="0" xfId="8" applyNumberFormat="1" applyAlignment="1">
      <alignment horizontal="right"/>
    </xf>
    <xf numFmtId="167" fontId="9" fillId="0" borderId="0" xfId="8" applyNumberFormat="1" applyAlignment="1">
      <alignment horizontal="right"/>
    </xf>
    <xf numFmtId="0" fontId="15" fillId="3" borderId="0" xfId="8" applyFont="1" applyFill="1"/>
    <xf numFmtId="2" fontId="11" fillId="3" borderId="0" xfId="8" applyNumberFormat="1" applyFont="1" applyFill="1" applyAlignment="1">
      <alignment horizontal="right"/>
    </xf>
    <xf numFmtId="2" fontId="12" fillId="3" borderId="0" xfId="8" applyNumberFormat="1" applyFont="1" applyFill="1" applyAlignment="1">
      <alignment horizontal="right"/>
    </xf>
    <xf numFmtId="2" fontId="9" fillId="0" borderId="0" xfId="8" applyNumberFormat="1" applyAlignment="1">
      <alignment horizontal="right"/>
    </xf>
    <xf numFmtId="0" fontId="19" fillId="0" borderId="0" xfId="0" applyFont="1"/>
    <xf numFmtId="17" fontId="6" fillId="0" borderId="1" xfId="0" applyNumberFormat="1" applyFont="1" applyBorder="1"/>
    <xf numFmtId="0" fontId="0" fillId="0" borderId="1" xfId="0" applyBorder="1"/>
    <xf numFmtId="4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wrapText="1"/>
    </xf>
    <xf numFmtId="172" fontId="6" fillId="0" borderId="1" xfId="10" applyNumberFormat="1" applyFont="1" applyBorder="1" applyAlignment="1" applyProtection="1">
      <alignment horizontal="right"/>
    </xf>
    <xf numFmtId="4" fontId="20" fillId="0" borderId="9" xfId="0" applyNumberFormat="1" applyFont="1" applyBorder="1"/>
    <xf numFmtId="0" fontId="6" fillId="0" borderId="1" xfId="0" applyFont="1" applyBorder="1"/>
    <xf numFmtId="172" fontId="0" fillId="0" borderId="1" xfId="10" applyNumberFormat="1" applyFont="1" applyBorder="1" applyAlignment="1" applyProtection="1">
      <alignment horizontal="right"/>
    </xf>
    <xf numFmtId="4" fontId="6" fillId="0" borderId="0" xfId="0" applyNumberFormat="1" applyFont="1"/>
    <xf numFmtId="4" fontId="0" fillId="0" borderId="1" xfId="0" applyNumberFormat="1" applyBorder="1" applyAlignment="1">
      <alignment horizontal="right"/>
    </xf>
    <xf numFmtId="171" fontId="0" fillId="0" borderId="0" xfId="0" applyNumberFormat="1"/>
    <xf numFmtId="172" fontId="0" fillId="0" borderId="0" xfId="0" applyNumberFormat="1"/>
    <xf numFmtId="4" fontId="15" fillId="3" borderId="0" xfId="8" applyNumberFormat="1" applyFont="1" applyFill="1"/>
    <xf numFmtId="4" fontId="21" fillId="0" borderId="0" xfId="8" applyNumberFormat="1" applyFont="1"/>
    <xf numFmtId="167" fontId="15" fillId="3" borderId="0" xfId="8" applyNumberFormat="1" applyFont="1" applyFill="1"/>
    <xf numFmtId="0" fontId="15" fillId="3" borderId="4" xfId="8" applyFont="1" applyFill="1" applyBorder="1" applyAlignment="1">
      <alignment vertical="center"/>
    </xf>
    <xf numFmtId="0" fontId="15" fillId="3" borderId="5" xfId="8" applyFont="1" applyFill="1" applyBorder="1" applyAlignment="1">
      <alignment horizontal="left"/>
    </xf>
    <xf numFmtId="4" fontId="22" fillId="0" borderId="5" xfId="0" applyNumberFormat="1" applyFont="1" applyBorder="1"/>
    <xf numFmtId="166" fontId="22" fillId="0" borderId="5" xfId="0" applyNumberFormat="1" applyFont="1" applyBorder="1" applyAlignment="1">
      <alignment horizontal="right"/>
    </xf>
    <xf numFmtId="2" fontId="15" fillId="3" borderId="8" xfId="8" applyNumberFormat="1" applyFont="1" applyFill="1" applyBorder="1" applyAlignment="1">
      <alignment horizontal="right"/>
    </xf>
    <xf numFmtId="0" fontId="15" fillId="3" borderId="3" xfId="8" applyFont="1" applyFill="1" applyBorder="1" applyAlignment="1">
      <alignment horizontal="left"/>
    </xf>
    <xf numFmtId="167" fontId="15" fillId="3" borderId="3" xfId="8" applyNumberFormat="1" applyFont="1" applyFill="1" applyBorder="1" applyAlignment="1">
      <alignment horizontal="right"/>
    </xf>
    <xf numFmtId="0" fontId="15" fillId="3" borderId="6" xfId="8" applyFont="1" applyFill="1" applyBorder="1" applyAlignment="1">
      <alignment horizontal="left"/>
    </xf>
    <xf numFmtId="170" fontId="15" fillId="3" borderId="6" xfId="8" applyNumberFormat="1" applyFont="1" applyFill="1" applyBorder="1" applyAlignment="1">
      <alignment horizontal="right"/>
    </xf>
    <xf numFmtId="167" fontId="15" fillId="3" borderId="6" xfId="8" applyNumberFormat="1" applyFont="1" applyFill="1" applyBorder="1" applyAlignment="1">
      <alignment horizontal="right"/>
    </xf>
    <xf numFmtId="40" fontId="15" fillId="3" borderId="6" xfId="8" applyNumberFormat="1" applyFont="1" applyFill="1" applyBorder="1" applyAlignment="1">
      <alignment horizontal="right"/>
    </xf>
    <xf numFmtId="0" fontId="15" fillId="3" borderId="2" xfId="8" applyFont="1" applyFill="1" applyBorder="1" applyAlignment="1">
      <alignment horizontal="right"/>
    </xf>
    <xf numFmtId="17" fontId="23" fillId="3" borderId="6" xfId="8" applyNumberFormat="1" applyFont="1" applyFill="1" applyBorder="1" applyAlignment="1">
      <alignment horizontal="left"/>
    </xf>
    <xf numFmtId="4" fontId="23" fillId="3" borderId="6" xfId="8" applyNumberFormat="1" applyFont="1" applyFill="1" applyBorder="1" applyAlignment="1">
      <alignment horizontal="right"/>
    </xf>
    <xf numFmtId="167" fontId="23" fillId="3" borderId="6" xfId="8" applyNumberFormat="1" applyFont="1" applyFill="1" applyBorder="1" applyAlignment="1">
      <alignment horizontal="right"/>
    </xf>
    <xf numFmtId="2" fontId="15" fillId="3" borderId="7" xfId="8" applyNumberFormat="1" applyFont="1" applyFill="1" applyBorder="1" applyAlignment="1">
      <alignment horizontal="right"/>
    </xf>
    <xf numFmtId="0" fontId="15" fillId="3" borderId="0" xfId="8" applyFont="1" applyFill="1" applyAlignment="1">
      <alignment horizontal="left"/>
    </xf>
    <xf numFmtId="170" fontId="15" fillId="3" borderId="0" xfId="8" applyNumberFormat="1" applyFont="1" applyFill="1" applyAlignment="1">
      <alignment horizontal="right"/>
    </xf>
    <xf numFmtId="167" fontId="15" fillId="3" borderId="0" xfId="8" applyNumberFormat="1" applyFont="1" applyFill="1" applyAlignment="1">
      <alignment horizontal="right"/>
    </xf>
    <xf numFmtId="2" fontId="15" fillId="3" borderId="0" xfId="8" applyNumberFormat="1" applyFont="1" applyFill="1" applyAlignment="1">
      <alignment horizontal="right"/>
    </xf>
    <xf numFmtId="4" fontId="15" fillId="3" borderId="6" xfId="8" applyNumberFormat="1" applyFont="1" applyFill="1" applyBorder="1" applyAlignment="1">
      <alignment horizontal="right"/>
    </xf>
    <xf numFmtId="4" fontId="24" fillId="0" borderId="10" xfId="0" applyNumberFormat="1" applyFont="1" applyBorder="1"/>
    <xf numFmtId="0" fontId="10" fillId="3" borderId="0" xfId="8" applyFont="1" applyFill="1" applyAlignment="1">
      <alignment horizontal="left"/>
    </xf>
    <xf numFmtId="0" fontId="25" fillId="3" borderId="0" xfId="8" applyFont="1" applyFill="1" applyAlignment="1">
      <alignment horizontal="left"/>
    </xf>
    <xf numFmtId="4" fontId="25" fillId="3" borderId="0" xfId="8" applyNumberFormat="1" applyFont="1" applyFill="1" applyAlignment="1">
      <alignment horizontal="right"/>
    </xf>
    <xf numFmtId="4" fontId="12" fillId="3" borderId="0" xfId="8" applyNumberFormat="1" applyFont="1" applyFill="1" applyAlignment="1">
      <alignment horizontal="right"/>
    </xf>
    <xf numFmtId="4" fontId="9" fillId="0" borderId="0" xfId="8" applyNumberFormat="1" applyAlignment="1">
      <alignment horizontal="right"/>
    </xf>
    <xf numFmtId="0" fontId="1" fillId="0" borderId="0" xfId="14"/>
    <xf numFmtId="0" fontId="21" fillId="3" borderId="0" xfId="8" applyFont="1" applyFill="1" applyAlignment="1">
      <alignment horizontal="left"/>
    </xf>
    <xf numFmtId="0" fontId="27" fillId="0" borderId="0" xfId="0" applyFont="1" applyAlignment="1">
      <alignment vertical="center"/>
    </xf>
    <xf numFmtId="4" fontId="27" fillId="3" borderId="6" xfId="8" applyNumberFormat="1" applyFont="1" applyFill="1" applyBorder="1" applyAlignment="1">
      <alignment horizontal="right"/>
    </xf>
    <xf numFmtId="167" fontId="27" fillId="3" borderId="6" xfId="8" applyNumberFormat="1" applyFont="1" applyFill="1" applyBorder="1" applyAlignment="1">
      <alignment horizontal="right"/>
    </xf>
    <xf numFmtId="0" fontId="27" fillId="3" borderId="4" xfId="8" applyFont="1" applyFill="1" applyBorder="1" applyAlignment="1">
      <alignment horizontal="right"/>
    </xf>
    <xf numFmtId="0" fontId="21" fillId="0" borderId="0" xfId="14" applyFont="1"/>
    <xf numFmtId="4" fontId="21" fillId="0" borderId="0" xfId="14" applyNumberFormat="1" applyFont="1"/>
    <xf numFmtId="0" fontId="21" fillId="0" borderId="0" xfId="8" applyFont="1"/>
    <xf numFmtId="0" fontId="26" fillId="3" borderId="0" xfId="8" applyFont="1" applyFill="1" applyAlignment="1">
      <alignment horizontal="left"/>
    </xf>
    <xf numFmtId="4" fontId="21" fillId="3" borderId="0" xfId="8" applyNumberFormat="1" applyFont="1" applyFill="1" applyAlignment="1">
      <alignment horizontal="left"/>
    </xf>
    <xf numFmtId="0" fontId="28" fillId="3" borderId="0" xfId="8" applyFont="1" applyFill="1" applyAlignment="1">
      <alignment horizontal="left"/>
    </xf>
    <xf numFmtId="4" fontId="28" fillId="3" borderId="0" xfId="8" applyNumberFormat="1" applyFont="1" applyFill="1" applyAlignment="1">
      <alignment horizontal="right"/>
    </xf>
    <xf numFmtId="0" fontId="28" fillId="0" borderId="0" xfId="14" applyFont="1"/>
    <xf numFmtId="166" fontId="28" fillId="0" borderId="0" xfId="14" applyNumberFormat="1" applyFont="1" applyAlignment="1">
      <alignment horizontal="right"/>
    </xf>
    <xf numFmtId="166" fontId="28" fillId="0" borderId="0" xfId="14" applyNumberFormat="1" applyFont="1"/>
    <xf numFmtId="4" fontId="28" fillId="0" borderId="0" xfId="14" applyNumberFormat="1" applyFont="1"/>
    <xf numFmtId="4" fontId="29" fillId="0" borderId="9" xfId="14" applyNumberFormat="1" applyFont="1" applyBorder="1"/>
    <xf numFmtId="0" fontId="28" fillId="0" borderId="0" xfId="8" applyFont="1"/>
    <xf numFmtId="0" fontId="29" fillId="0" borderId="0" xfId="8" applyFont="1"/>
    <xf numFmtId="168" fontId="29" fillId="0" borderId="0" xfId="8" applyNumberFormat="1" applyFont="1" applyAlignment="1">
      <alignment horizontal="right"/>
    </xf>
    <xf numFmtId="0" fontId="29" fillId="3" borderId="1" xfId="8" applyFont="1" applyFill="1" applyBorder="1" applyAlignment="1">
      <alignment horizontal="left"/>
    </xf>
    <xf numFmtId="4" fontId="29" fillId="3" borderId="1" xfId="8" applyNumberFormat="1" applyFont="1" applyFill="1" applyBorder="1" applyAlignment="1">
      <alignment horizontal="right"/>
    </xf>
    <xf numFmtId="0" fontId="28" fillId="3" borderId="1" xfId="8" applyFont="1" applyFill="1" applyBorder="1" applyAlignment="1">
      <alignment horizontal="left"/>
    </xf>
    <xf numFmtId="0" fontId="28" fillId="2" borderId="1" xfId="14" applyFont="1" applyFill="1" applyBorder="1"/>
    <xf numFmtId="4" fontId="28" fillId="0" borderId="1" xfId="14" applyNumberFormat="1" applyFont="1" applyBorder="1"/>
    <xf numFmtId="4" fontId="29" fillId="0" borderId="1" xfId="14" applyNumberFormat="1" applyFont="1" applyBorder="1"/>
    <xf numFmtId="0" fontId="28" fillId="3" borderId="1" xfId="8" applyFont="1" applyFill="1" applyBorder="1"/>
    <xf numFmtId="4" fontId="28" fillId="3" borderId="1" xfId="8" applyNumberFormat="1" applyFont="1" applyFill="1" applyBorder="1" applyAlignment="1">
      <alignment horizontal="right"/>
    </xf>
    <xf numFmtId="4" fontId="29" fillId="3" borderId="9" xfId="8" applyNumberFormat="1" applyFont="1" applyFill="1" applyBorder="1" applyAlignment="1">
      <alignment horizontal="right"/>
    </xf>
    <xf numFmtId="0" fontId="27" fillId="0" borderId="11" xfId="0" applyFont="1" applyBorder="1" applyAlignment="1">
      <alignment vertical="center"/>
    </xf>
    <xf numFmtId="0" fontId="21" fillId="0" borderId="1" xfId="0" applyFont="1" applyBorder="1" applyAlignment="1">
      <alignment horizontal="left" wrapText="1"/>
    </xf>
    <xf numFmtId="174" fontId="21" fillId="0" borderId="12" xfId="0" applyNumberFormat="1" applyFont="1" applyBorder="1" applyAlignment="1">
      <alignment horizontal="center"/>
    </xf>
    <xf numFmtId="174" fontId="21" fillId="0" borderId="13" xfId="0" applyNumberFormat="1" applyFont="1" applyBorder="1" applyAlignment="1">
      <alignment horizontal="center"/>
    </xf>
    <xf numFmtId="174" fontId="21" fillId="0" borderId="14" xfId="0" applyNumberFormat="1" applyFont="1" applyBorder="1" applyAlignment="1">
      <alignment horizontal="center"/>
    </xf>
    <xf numFmtId="4" fontId="22" fillId="0" borderId="3" xfId="0" applyNumberFormat="1" applyFont="1" applyBorder="1"/>
    <xf numFmtId="166" fontId="22" fillId="0" borderId="3" xfId="0" applyNumberFormat="1" applyFont="1" applyBorder="1" applyAlignment="1">
      <alignment horizontal="right"/>
    </xf>
    <xf numFmtId="0" fontId="30" fillId="2" borderId="1" xfId="0" applyFont="1" applyFill="1" applyBorder="1"/>
    <xf numFmtId="4" fontId="31" fillId="0" borderId="1" xfId="0" applyNumberFormat="1" applyFont="1" applyBorder="1"/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wrapText="1"/>
    </xf>
    <xf numFmtId="175" fontId="15" fillId="3" borderId="3" xfId="8" applyNumberFormat="1" applyFont="1" applyFill="1" applyBorder="1" applyAlignment="1">
      <alignment horizontal="right"/>
    </xf>
    <xf numFmtId="0" fontId="32" fillId="7" borderId="1" xfId="0" applyFont="1" applyFill="1" applyBorder="1"/>
    <xf numFmtId="172" fontId="33" fillId="7" borderId="1" xfId="10" applyNumberFormat="1" applyFont="1" applyFill="1" applyBorder="1" applyAlignment="1" applyProtection="1">
      <alignment horizontal="right"/>
    </xf>
    <xf numFmtId="0" fontId="8" fillId="0" borderId="0" xfId="8" applyFont="1" applyAlignment="1">
      <alignment horizontal="center"/>
    </xf>
    <xf numFmtId="0" fontId="6" fillId="0" borderId="0" xfId="0" applyFont="1" applyAlignment="1">
      <alignment horizontal="center"/>
    </xf>
    <xf numFmtId="0" fontId="11" fillId="4" borderId="0" xfId="8" applyFont="1" applyFill="1" applyAlignment="1">
      <alignment horizontal="center"/>
    </xf>
    <xf numFmtId="0" fontId="3" fillId="0" borderId="0" xfId="9"/>
    <xf numFmtId="0" fontId="11" fillId="5" borderId="0" xfId="8" applyFont="1" applyFill="1" applyAlignment="1">
      <alignment horizontal="center"/>
    </xf>
    <xf numFmtId="169" fontId="13" fillId="6" borderId="0" xfId="0" applyNumberFormat="1" applyFont="1" applyFill="1" applyAlignment="1">
      <alignment horizontal="center"/>
    </xf>
    <xf numFmtId="0" fontId="14" fillId="0" borderId="0" xfId="0" applyFont="1"/>
    <xf numFmtId="0" fontId="0" fillId="0" borderId="0" xfId="0"/>
    <xf numFmtId="0" fontId="17" fillId="0" borderId="0" xfId="8" applyFont="1" applyAlignment="1">
      <alignment horizontal="center"/>
    </xf>
    <xf numFmtId="0" fontId="18" fillId="0" borderId="0" xfId="0" applyFont="1" applyAlignment="1">
      <alignment horizontal="center"/>
    </xf>
  </cellXfs>
  <cellStyles count="16">
    <cellStyle name="Comma 2" xfId="1" xr:uid="{00000000-0005-0000-0000-000006000000}"/>
    <cellStyle name="Comma 2 5" xfId="2" xr:uid="{00000000-0005-0000-0000-000007000000}"/>
    <cellStyle name="Comma 3" xfId="6" xr:uid="{06442BC4-3C57-4582-812D-FDEE3815A22B}"/>
    <cellStyle name="Comma 4" xfId="10" xr:uid="{227E21DE-BE15-4E1C-905D-CFD55AEB3A37}"/>
    <cellStyle name="Currency 2" xfId="11" xr:uid="{249C0FB8-FEF4-43D1-8309-9342E0C03FEF}"/>
    <cellStyle name="Normal" xfId="0" builtinId="0"/>
    <cellStyle name="Normal 11" xfId="3" xr:uid="{00000000-0005-0000-0000-000008000000}"/>
    <cellStyle name="Normal 2" xfId="4" xr:uid="{00000000-0005-0000-0000-000009000000}"/>
    <cellStyle name="Normal 2 3" xfId="13" xr:uid="{EC712215-8569-4A29-BC23-77BD72017B04}"/>
    <cellStyle name="Normal 2 3 2" xfId="9" xr:uid="{F5763A43-7EF9-43CE-8391-E78BD7E64FF8}"/>
    <cellStyle name="Normal 2 3 3" xfId="15" xr:uid="{1B29A1A8-EFBC-41DE-8088-37C3D14CBE67}"/>
    <cellStyle name="Normal 3" xfId="5" xr:uid="{EB46E096-7BEB-4B6D-844D-72EE37DDC1C5}"/>
    <cellStyle name="Normal 4" xfId="8" xr:uid="{DF0F099D-E99E-4FB5-8F76-5FE7575437CF}"/>
    <cellStyle name="Normal 5" xfId="7" xr:uid="{9640482D-1E1A-40E0-B80E-66F34409F77E}"/>
    <cellStyle name="Normal 6" xfId="12" xr:uid="{8E336304-5EE4-41CB-83E6-3D81E9BD92D3}"/>
    <cellStyle name="Normal 7" xfId="14" xr:uid="{81657AB1-73E0-437B-A121-3FAF13D9FDC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andco%20Accounts%202026/01%20JAN%20ACCOUNTS/01%20JAN%20MONTH%20END%202026.xlsx" TargetMode="External"/><Relationship Id="rId2" Type="http://schemas.openxmlformats.org/officeDocument/2006/relationships/externalLinkPath" Target="file:///C:\Users\Andrisa\Dropbox\Andrisa\Landco\Accounts%202026\Landco%20Accounts%202026\01%20JAN%20ACCOUNTS\01%20JAN%20MONTH%20END%202026.xlsx" TargetMode="External"/><Relationship Id="rId1" Type="http://schemas.openxmlformats.org/officeDocument/2006/relationships/externalLinkPath" Target="/Users/Andrisa/Dropbox/Andrisa/Landco/Accounts%202026/Landco%20Accounts%202026/01%20JAN%20ACCOUNTS/01%20JAN%20MONTH%20END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Shareholders%202025/12%20Dec%20Shareholders%202025/12%20LUZ%20TAFY.xlsx" TargetMode="External"/><Relationship Id="rId2" Type="http://schemas.openxmlformats.org/officeDocument/2006/relationships/externalLinkPath" Target="file:///C:\Users\Andrisa\Dropbox\Andrisa\Landco\Accounts%202025\Shareholders%202025\12%20Dec%20Shareholders%202025\12%20LUZ%20TAFY.xlsx" TargetMode="External"/><Relationship Id="rId1" Type="http://schemas.openxmlformats.org/officeDocument/2006/relationships/externalLinkPath" Target="/Users/Andrisa/Dropbox/Andrisa/Landco/Accounts%202025/Shareholders%202025/12%20Dec%20Shareholders%202025/12%20LUZ%20TAFY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andco%20Accounts%202026/02%20FEB%20ACCOUNTS/02%20FEB%20MONTH%20END%202026.xlsx" TargetMode="External"/><Relationship Id="rId2" Type="http://schemas.openxmlformats.org/officeDocument/2006/relationships/externalLinkPath" Target="file:///C:\Users\Andrisa\Dropbox\Andrisa\Landco\Accounts%202026\Landco%20Accounts%202026\02%20FEB%20ACCOUNTS\02%20FEB%20MONTH%20END%202026.xlsx" TargetMode="External"/><Relationship Id="rId1" Type="http://schemas.openxmlformats.org/officeDocument/2006/relationships/externalLinkPath" Target="/Users/Andrisa/Dropbox/Andrisa/Landco/Accounts%202026/Landco%20Accounts%202026/02%20FEB%20ACCOUNTS/02%20FEB%20MONTH%20END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>
        <row r="50">
          <cell r="D50">
            <v>948750</v>
          </cell>
        </row>
        <row r="51">
          <cell r="D51">
            <v>812375</v>
          </cell>
        </row>
      </sheetData>
      <sheetData sheetId="1">
        <row r="4">
          <cell r="C4">
            <v>-456526.24419999961</v>
          </cell>
        </row>
      </sheetData>
      <sheetData sheetId="2"/>
      <sheetData sheetId="3">
        <row r="4">
          <cell r="D4">
            <v>34786.959999999999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-456526.23919999972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/>
      <sheetData sheetId="2"/>
      <sheetData sheetId="3">
        <row r="4">
          <cell r="D4">
            <v>36513.706666666672</v>
          </cell>
          <cell r="H4">
            <v>1030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803A-EDC5-4FC0-9FA9-31E8A6EC4C6F}">
  <dimension ref="A1:N1001"/>
  <sheetViews>
    <sheetView topLeftCell="A2" workbookViewId="0">
      <selection activeCell="D27" sqref="D27"/>
    </sheetView>
  </sheetViews>
  <sheetFormatPr defaultColWidth="12.42578125" defaultRowHeight="15" customHeight="1" x14ac:dyDescent="0.25"/>
  <cols>
    <col min="1" max="1" width="16.42578125" style="5" customWidth="1"/>
    <col min="2" max="2" width="16.5703125" style="12" customWidth="1"/>
    <col min="3" max="3" width="5.140625" style="12" customWidth="1"/>
    <col min="4" max="4" width="17.7109375" style="5" customWidth="1"/>
    <col min="5" max="5" width="12" style="12" customWidth="1"/>
    <col min="6" max="6" width="11.7109375" style="5" customWidth="1"/>
    <col min="7" max="7" width="34.85546875" style="5" customWidth="1"/>
    <col min="8" max="14" width="11.7109375" style="5" customWidth="1"/>
    <col min="15" max="16384" width="12.42578125" style="5"/>
  </cols>
  <sheetData>
    <row r="1" spans="1:14" ht="33" customHeight="1" x14ac:dyDescent="0.35">
      <c r="A1" s="122" t="s">
        <v>78</v>
      </c>
      <c r="B1" s="123"/>
      <c r="C1" s="123"/>
      <c r="D1" s="123"/>
      <c r="E1" s="123"/>
    </row>
    <row r="2" spans="1:14" ht="15.75" customHeight="1" x14ac:dyDescent="0.25">
      <c r="A2" s="116" t="s">
        <v>18</v>
      </c>
      <c r="B2" s="117"/>
      <c r="C2" s="3"/>
      <c r="D2" s="118" t="s">
        <v>19</v>
      </c>
      <c r="E2" s="117"/>
      <c r="F2" s="4"/>
      <c r="G2" s="4"/>
      <c r="H2" s="4"/>
      <c r="I2" s="4"/>
      <c r="J2" s="4"/>
      <c r="K2" s="4"/>
      <c r="L2" s="4"/>
      <c r="M2" s="4"/>
      <c r="N2" s="4"/>
    </row>
    <row r="3" spans="1:14" ht="15.75" customHeight="1" x14ac:dyDescent="0.25">
      <c r="A3" s="4" t="s">
        <v>20</v>
      </c>
      <c r="B3" s="40">
        <f>+[1]RECON!$C$4</f>
        <v>-456526.24419999961</v>
      </c>
      <c r="C3" s="6"/>
      <c r="D3" s="7"/>
      <c r="E3" s="42"/>
      <c r="F3" s="4"/>
      <c r="G3" s="4"/>
      <c r="H3" s="4"/>
      <c r="I3" s="4"/>
      <c r="J3" s="4"/>
      <c r="K3" s="4"/>
      <c r="L3" s="4"/>
      <c r="M3" s="4"/>
      <c r="N3" s="4"/>
    </row>
    <row r="4" spans="1:14" ht="15.75" customHeight="1" x14ac:dyDescent="0.25">
      <c r="A4" s="4" t="s">
        <v>21</v>
      </c>
      <c r="B4" s="40">
        <f>+[1]INCOME!$D$51</f>
        <v>812375</v>
      </c>
      <c r="C4" s="6"/>
      <c r="D4" s="4" t="s">
        <v>21</v>
      </c>
      <c r="E4" s="40">
        <f>+'INCOME VS EXPENSES'!D8</f>
        <v>183410.17</v>
      </c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 x14ac:dyDescent="0.25">
      <c r="A5" s="4" t="s">
        <v>22</v>
      </c>
      <c r="B5" s="40">
        <f>5000*67</f>
        <v>335000</v>
      </c>
      <c r="C5" s="6"/>
      <c r="D5" s="4" t="s">
        <v>22</v>
      </c>
      <c r="E5" s="40">
        <f>+'INCOME VS EXPENSES'!D9</f>
        <v>200316.44</v>
      </c>
      <c r="F5" s="4"/>
      <c r="G5" s="4"/>
      <c r="H5" s="4"/>
      <c r="I5" s="4"/>
      <c r="J5" s="4"/>
      <c r="K5" s="4"/>
      <c r="L5" s="4"/>
      <c r="M5" s="4"/>
      <c r="N5" s="4"/>
    </row>
    <row r="6" spans="1:14" ht="15.75" customHeight="1" x14ac:dyDescent="0.25">
      <c r="A6" s="4" t="s">
        <v>23</v>
      </c>
      <c r="B6" s="40"/>
      <c r="C6" s="6"/>
      <c r="D6" s="4" t="s">
        <v>23</v>
      </c>
      <c r="E6" s="40">
        <f>+'INCOME VS EXPENSES'!D10</f>
        <v>0</v>
      </c>
      <c r="F6" s="4"/>
      <c r="G6" s="4"/>
      <c r="H6" s="4"/>
      <c r="I6" s="4"/>
      <c r="J6" s="4"/>
      <c r="K6" s="4"/>
      <c r="L6" s="4"/>
      <c r="M6" s="4"/>
      <c r="N6" s="4"/>
    </row>
    <row r="7" spans="1:14" ht="15.75" customHeight="1" x14ac:dyDescent="0.25">
      <c r="A7" s="4" t="s">
        <v>24</v>
      </c>
      <c r="B7" s="40"/>
      <c r="C7" s="6"/>
      <c r="D7" s="4" t="s">
        <v>24</v>
      </c>
      <c r="E7" s="40">
        <f>+'INCOME VS EXPENSES'!D11</f>
        <v>0</v>
      </c>
      <c r="F7" s="4"/>
      <c r="G7" s="4"/>
      <c r="H7" s="4"/>
      <c r="I7" s="4"/>
      <c r="J7" s="4"/>
      <c r="K7" s="4"/>
      <c r="L7" s="4"/>
      <c r="M7" s="4"/>
      <c r="N7" s="4"/>
    </row>
    <row r="8" spans="1:14" ht="15.75" customHeight="1" x14ac:dyDescent="0.25">
      <c r="A8" s="4" t="s">
        <v>25</v>
      </c>
      <c r="B8" s="40"/>
      <c r="C8" s="6"/>
      <c r="D8" s="4" t="s">
        <v>25</v>
      </c>
      <c r="E8" s="40">
        <f>+'INCOME VS EXPENSES'!D12</f>
        <v>0</v>
      </c>
      <c r="F8" s="4"/>
      <c r="G8" s="4"/>
      <c r="H8" s="4"/>
      <c r="I8" s="4"/>
      <c r="J8" s="4"/>
      <c r="K8" s="4"/>
      <c r="L8" s="4"/>
      <c r="M8" s="4"/>
      <c r="N8" s="4"/>
    </row>
    <row r="9" spans="1:14" ht="15.75" customHeight="1" x14ac:dyDescent="0.25">
      <c r="A9" s="4" t="s">
        <v>26</v>
      </c>
      <c r="B9" s="40"/>
      <c r="C9" s="6"/>
      <c r="D9" s="4" t="s">
        <v>26</v>
      </c>
      <c r="E9" s="40">
        <f>+'INCOME VS EXPENSES'!D13</f>
        <v>0</v>
      </c>
      <c r="F9" s="4"/>
      <c r="G9" s="4"/>
      <c r="H9" s="4"/>
      <c r="I9" s="4"/>
      <c r="J9" s="4"/>
      <c r="K9" s="4"/>
      <c r="L9" s="4"/>
      <c r="M9" s="4"/>
      <c r="N9" s="4"/>
    </row>
    <row r="10" spans="1:14" ht="15.75" customHeight="1" x14ac:dyDescent="0.25">
      <c r="A10" s="4" t="s">
        <v>27</v>
      </c>
      <c r="B10" s="40"/>
      <c r="C10" s="6"/>
      <c r="D10" s="4" t="s">
        <v>27</v>
      </c>
      <c r="E10" s="40">
        <f>+'INCOME VS EXPENSES'!D14</f>
        <v>0</v>
      </c>
      <c r="F10" s="4"/>
      <c r="G10" s="4"/>
      <c r="H10" s="4"/>
      <c r="I10" s="4"/>
      <c r="J10" s="4"/>
      <c r="K10" s="4"/>
      <c r="L10" s="4"/>
      <c r="M10" s="4"/>
      <c r="N10" s="4"/>
    </row>
    <row r="11" spans="1:14" ht="15.75" customHeight="1" x14ac:dyDescent="0.25">
      <c r="A11" s="4" t="s">
        <v>28</v>
      </c>
      <c r="B11" s="40"/>
      <c r="C11" s="6"/>
      <c r="D11" s="4" t="s">
        <v>28</v>
      </c>
      <c r="E11" s="40">
        <f>+'INCOME VS EXPENSES'!D15</f>
        <v>0</v>
      </c>
      <c r="F11" s="4"/>
      <c r="G11" s="4"/>
      <c r="H11" s="4"/>
      <c r="I11" s="4"/>
      <c r="J11" s="4"/>
      <c r="K11" s="4"/>
      <c r="L11" s="4"/>
      <c r="M11" s="4"/>
      <c r="N11" s="4"/>
    </row>
    <row r="12" spans="1:14" ht="15.75" customHeight="1" x14ac:dyDescent="0.25">
      <c r="A12" s="4" t="s">
        <v>29</v>
      </c>
      <c r="B12" s="40"/>
      <c r="C12" s="6"/>
      <c r="D12" s="4" t="s">
        <v>29</v>
      </c>
      <c r="E12" s="40">
        <f>+'INCOME VS EXPENSES'!D16</f>
        <v>0</v>
      </c>
      <c r="F12" s="4"/>
      <c r="G12" s="4"/>
      <c r="H12" s="4"/>
      <c r="I12" s="4"/>
      <c r="J12" s="4"/>
      <c r="K12" s="4"/>
      <c r="L12" s="4"/>
      <c r="M12" s="4"/>
      <c r="N12" s="4"/>
    </row>
    <row r="13" spans="1:14" ht="15.75" customHeight="1" x14ac:dyDescent="0.25">
      <c r="A13" s="4" t="s">
        <v>30</v>
      </c>
      <c r="B13" s="40"/>
      <c r="C13" s="6"/>
      <c r="D13" s="4" t="s">
        <v>30</v>
      </c>
      <c r="E13" s="40">
        <f>+'INCOME VS EXPENSES'!D17</f>
        <v>0</v>
      </c>
      <c r="F13" s="4"/>
      <c r="G13" s="4"/>
      <c r="H13" s="4"/>
      <c r="I13" s="4"/>
      <c r="J13" s="4"/>
      <c r="K13" s="4"/>
      <c r="L13" s="4"/>
      <c r="M13" s="4"/>
      <c r="N13" s="4"/>
    </row>
    <row r="14" spans="1:14" ht="15.75" customHeight="1" x14ac:dyDescent="0.25">
      <c r="A14" s="4" t="s">
        <v>31</v>
      </c>
      <c r="B14" s="40"/>
      <c r="C14" s="6"/>
      <c r="D14" s="4" t="s">
        <v>31</v>
      </c>
      <c r="E14" s="40">
        <f>+'INCOME VS EXPENSES'!D18</f>
        <v>0</v>
      </c>
      <c r="F14" s="4"/>
      <c r="G14" s="4"/>
      <c r="H14" s="4"/>
      <c r="I14" s="4"/>
      <c r="J14" s="4"/>
      <c r="L14" s="4"/>
      <c r="M14" s="4"/>
      <c r="N14" s="4"/>
    </row>
    <row r="15" spans="1:14" ht="15.75" customHeight="1" x14ac:dyDescent="0.25">
      <c r="A15" s="4" t="s">
        <v>32</v>
      </c>
      <c r="B15" s="40"/>
      <c r="C15" s="6"/>
      <c r="D15" s="4" t="s">
        <v>32</v>
      </c>
      <c r="E15" s="40">
        <f>+'INCOME VS EXPENSES'!D19</f>
        <v>0</v>
      </c>
      <c r="F15" s="4"/>
      <c r="G15" s="4"/>
      <c r="H15" s="8"/>
      <c r="I15" s="4"/>
      <c r="J15" s="4"/>
      <c r="K15" s="4"/>
      <c r="L15" s="4"/>
      <c r="M15" s="4"/>
      <c r="N15" s="4"/>
    </row>
    <row r="16" spans="1:14" ht="15.75" customHeight="1" x14ac:dyDescent="0.25">
      <c r="A16" s="9" t="s">
        <v>33</v>
      </c>
      <c r="B16" s="40">
        <f>SUM(B3:B15)</f>
        <v>690848.75580000039</v>
      </c>
      <c r="C16" s="6"/>
      <c r="D16" s="10" t="s">
        <v>33</v>
      </c>
      <c r="E16" s="40">
        <f>SUM(E4:E15)</f>
        <v>383726.61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 ht="15.75" customHeight="1" x14ac:dyDescent="0.25">
      <c r="A17" s="11"/>
      <c r="B17" s="40">
        <f>+B16/67</f>
        <v>10311.175459701499</v>
      </c>
      <c r="C17" s="6"/>
      <c r="D17" s="11"/>
      <c r="E17" s="40"/>
      <c r="F17" s="4"/>
      <c r="G17" s="4"/>
      <c r="H17" s="4"/>
      <c r="I17" s="4"/>
      <c r="J17" s="4"/>
      <c r="K17" s="4"/>
      <c r="L17" s="4"/>
      <c r="M17" s="4"/>
      <c r="N17" s="4"/>
    </row>
    <row r="18" spans="1:14" ht="15.75" customHeight="1" x14ac:dyDescent="0.25">
      <c r="B18" s="41"/>
      <c r="E18" s="40"/>
      <c r="F18" s="4"/>
      <c r="G18" s="4"/>
      <c r="H18" s="4"/>
      <c r="I18" s="4"/>
      <c r="J18" s="4"/>
      <c r="K18" s="4"/>
      <c r="L18" s="4"/>
      <c r="M18" s="4"/>
      <c r="N18" s="4"/>
    </row>
    <row r="19" spans="1:14" ht="15.75" customHeight="1" x14ac:dyDescent="0.25">
      <c r="A19" s="4" t="s">
        <v>34</v>
      </c>
      <c r="B19" s="42"/>
      <c r="C19" s="6"/>
      <c r="D19" s="4"/>
      <c r="E19" s="40">
        <f>+B16-E16</f>
        <v>307122.14580000041</v>
      </c>
      <c r="F19" s="4"/>
      <c r="G19" s="4"/>
      <c r="H19" s="4"/>
      <c r="I19" s="4"/>
      <c r="J19" s="4"/>
      <c r="K19" s="4"/>
      <c r="L19" s="4"/>
      <c r="M19" s="4"/>
      <c r="N19" s="4"/>
    </row>
    <row r="20" spans="1:14" ht="15.75" customHeight="1" x14ac:dyDescent="0.25">
      <c r="A20" s="23" t="s">
        <v>74</v>
      </c>
      <c r="B20" s="42"/>
      <c r="C20" s="6"/>
      <c r="D20" s="4"/>
      <c r="E20" s="42">
        <f>+E19/63.25</f>
        <v>4855.6860996047499</v>
      </c>
      <c r="F20" s="4"/>
      <c r="G20" s="4"/>
      <c r="H20" s="4"/>
      <c r="I20" s="4"/>
      <c r="J20" s="4"/>
      <c r="K20" s="4"/>
      <c r="L20" s="4"/>
      <c r="M20" s="4"/>
      <c r="N20" s="4"/>
    </row>
    <row r="21" spans="1:14" ht="24.6" customHeight="1" x14ac:dyDescent="0.35">
      <c r="A21" s="119" t="s">
        <v>77</v>
      </c>
      <c r="B21" s="120"/>
      <c r="C21" s="121"/>
      <c r="D21" s="121"/>
      <c r="E21" s="121"/>
      <c r="F21" s="4"/>
      <c r="G21" s="4"/>
      <c r="H21" s="4"/>
      <c r="I21" s="4"/>
      <c r="J21" s="4"/>
      <c r="K21" s="4"/>
      <c r="L21" s="4"/>
      <c r="M21" s="4"/>
      <c r="N21" s="4"/>
    </row>
    <row r="22" spans="1:14" ht="15.75" customHeight="1" x14ac:dyDescent="0.25">
      <c r="A22" s="13"/>
      <c r="B22" s="14"/>
      <c r="C22" s="14"/>
      <c r="D22" s="13"/>
      <c r="E22" s="6"/>
      <c r="F22" s="4"/>
      <c r="G22" s="4"/>
      <c r="H22" s="4"/>
      <c r="I22" s="4"/>
      <c r="J22" s="4"/>
      <c r="K22" s="4"/>
      <c r="L22" s="4"/>
      <c r="M22" s="4"/>
      <c r="N22" s="4"/>
    </row>
    <row r="23" spans="1:14" ht="15.75" customHeight="1" x14ac:dyDescent="0.25">
      <c r="A23" s="4"/>
      <c r="B23" s="6"/>
      <c r="C23" s="6"/>
      <c r="D23" s="4"/>
      <c r="E23" s="6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customHeight="1" x14ac:dyDescent="0.25">
      <c r="A24" s="4"/>
      <c r="B24" s="6"/>
      <c r="C24" s="6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customHeight="1" x14ac:dyDescent="0.25">
      <c r="A25" s="4"/>
      <c r="B25" s="6"/>
      <c r="C25" s="6"/>
      <c r="D25" s="4"/>
      <c r="E25" s="6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customHeight="1" x14ac:dyDescent="0.25">
      <c r="A26" s="4"/>
      <c r="B26" s="6"/>
      <c r="C26" s="6"/>
      <c r="D26" s="4"/>
      <c r="E26" s="6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customHeight="1" x14ac:dyDescent="0.25">
      <c r="A27" s="4"/>
      <c r="B27" s="6"/>
      <c r="C27" s="6"/>
      <c r="D27" s="4"/>
      <c r="E27" s="6"/>
      <c r="F27" s="4"/>
      <c r="G27" s="4"/>
      <c r="H27" s="4"/>
      <c r="I27" s="4"/>
      <c r="J27" s="4"/>
      <c r="K27" s="4"/>
      <c r="L27" s="4"/>
      <c r="M27" s="4"/>
      <c r="N27" s="4"/>
    </row>
    <row r="28" spans="1:14" ht="15.75" customHeight="1" x14ac:dyDescent="0.25">
      <c r="A28" s="4"/>
      <c r="B28" s="6"/>
      <c r="C28" s="6"/>
      <c r="D28" s="4"/>
      <c r="E28" s="6"/>
      <c r="F28" s="4"/>
      <c r="G28" s="4"/>
      <c r="H28" s="4"/>
      <c r="I28" s="4"/>
      <c r="J28" s="4"/>
      <c r="K28" s="4"/>
      <c r="L28" s="4"/>
      <c r="M28" s="4"/>
      <c r="N28" s="4"/>
    </row>
    <row r="29" spans="1:14" ht="15.75" customHeight="1" x14ac:dyDescent="0.25">
      <c r="A29" s="4"/>
      <c r="B29" s="6"/>
      <c r="C29" s="6"/>
      <c r="D29" s="4"/>
      <c r="E29" s="6"/>
      <c r="F29" s="4"/>
      <c r="G29" s="4"/>
      <c r="H29" s="4"/>
      <c r="I29" s="4"/>
      <c r="J29" s="4"/>
      <c r="K29" s="4"/>
      <c r="L29" s="4"/>
      <c r="M29" s="4"/>
      <c r="N29" s="4"/>
    </row>
    <row r="30" spans="1:14" ht="15.75" customHeight="1" x14ac:dyDescent="0.25">
      <c r="A30" s="4"/>
      <c r="B30" s="6"/>
      <c r="C30" s="6"/>
      <c r="D30" s="4"/>
      <c r="E30" s="6"/>
      <c r="F30" s="4"/>
      <c r="G30" s="4"/>
      <c r="H30" s="4"/>
      <c r="I30" s="4"/>
      <c r="J30" s="4"/>
      <c r="K30" s="4"/>
      <c r="L30" s="4"/>
      <c r="M30" s="4"/>
      <c r="N30" s="4"/>
    </row>
    <row r="31" spans="1:14" ht="15.75" customHeight="1" x14ac:dyDescent="0.25">
      <c r="A31" s="4"/>
      <c r="B31" s="6"/>
      <c r="C31" s="6"/>
      <c r="D31" s="4"/>
      <c r="E31" s="6"/>
      <c r="F31" s="4"/>
      <c r="G31" s="4"/>
      <c r="H31" s="4"/>
      <c r="I31" s="4"/>
      <c r="J31" s="4"/>
      <c r="K31" s="4"/>
      <c r="L31" s="4"/>
      <c r="M31" s="4"/>
      <c r="N31" s="4"/>
    </row>
    <row r="32" spans="1:14" ht="15.75" customHeight="1" x14ac:dyDescent="0.25">
      <c r="A32" s="4"/>
      <c r="B32" s="6"/>
      <c r="C32" s="6"/>
      <c r="D32" s="4"/>
      <c r="E32" s="6"/>
      <c r="F32" s="4"/>
      <c r="G32" s="4"/>
      <c r="H32" s="4"/>
      <c r="I32" s="4"/>
      <c r="J32" s="4"/>
      <c r="K32" s="4"/>
      <c r="L32" s="4"/>
      <c r="M32" s="4"/>
      <c r="N32" s="4"/>
    </row>
    <row r="33" spans="1:14" ht="15.75" customHeight="1" x14ac:dyDescent="0.25">
      <c r="A33" s="4"/>
      <c r="B33" s="6"/>
      <c r="C33" s="6"/>
      <c r="D33" s="4"/>
      <c r="E33" s="6"/>
      <c r="F33" s="4"/>
      <c r="G33" s="4"/>
      <c r="H33" s="4"/>
      <c r="I33" s="4"/>
      <c r="J33" s="4"/>
      <c r="K33" s="4"/>
      <c r="L33" s="4"/>
      <c r="M33" s="4"/>
      <c r="N33" s="4"/>
    </row>
    <row r="34" spans="1:14" ht="15.75" customHeight="1" x14ac:dyDescent="0.25">
      <c r="A34" s="4"/>
      <c r="B34" s="6"/>
      <c r="C34" s="6"/>
      <c r="D34" s="4"/>
      <c r="E34" s="6"/>
      <c r="F34" s="4"/>
      <c r="G34" s="4"/>
      <c r="H34" s="4"/>
      <c r="I34" s="4"/>
      <c r="J34" s="4"/>
      <c r="K34" s="4"/>
      <c r="L34" s="4"/>
      <c r="M34" s="4"/>
      <c r="N34" s="4"/>
    </row>
    <row r="35" spans="1:14" ht="15.75" customHeight="1" x14ac:dyDescent="0.25">
      <c r="A35" s="4"/>
      <c r="B35" s="6"/>
      <c r="C35" s="6"/>
      <c r="D35" s="4"/>
      <c r="E35" s="6"/>
      <c r="F35" s="4"/>
      <c r="G35" s="4"/>
      <c r="H35" s="4"/>
      <c r="I35" s="4"/>
      <c r="J35" s="4"/>
      <c r="K35" s="4"/>
      <c r="L35" s="4"/>
      <c r="M35" s="4"/>
      <c r="N35" s="4"/>
    </row>
    <row r="36" spans="1:14" ht="15.75" customHeight="1" x14ac:dyDescent="0.25">
      <c r="A36" s="4"/>
      <c r="B36" s="6"/>
      <c r="C36" s="6"/>
      <c r="D36" s="4"/>
      <c r="E36" s="6"/>
      <c r="F36" s="4"/>
      <c r="G36" s="4"/>
      <c r="H36" s="4"/>
      <c r="I36" s="4"/>
      <c r="J36" s="4"/>
      <c r="K36" s="4"/>
      <c r="L36" s="4"/>
      <c r="M36" s="4"/>
      <c r="N36" s="4"/>
    </row>
    <row r="37" spans="1:14" ht="15.75" customHeight="1" x14ac:dyDescent="0.25">
      <c r="A37" s="4"/>
      <c r="B37" s="6"/>
      <c r="C37" s="6"/>
      <c r="D37" s="4"/>
      <c r="E37" s="6"/>
      <c r="F37" s="4"/>
      <c r="G37" s="4"/>
      <c r="H37" s="4"/>
      <c r="I37" s="4"/>
      <c r="J37" s="4"/>
      <c r="K37" s="4"/>
      <c r="L37" s="4"/>
      <c r="M37" s="4"/>
      <c r="N37" s="4"/>
    </row>
    <row r="38" spans="1:14" ht="15.75" customHeight="1" x14ac:dyDescent="0.25">
      <c r="A38" s="4"/>
      <c r="B38" s="6"/>
      <c r="C38" s="6"/>
      <c r="D38" s="4"/>
      <c r="E38" s="6"/>
      <c r="F38" s="4"/>
      <c r="G38" s="4"/>
      <c r="H38" s="4"/>
      <c r="I38" s="4"/>
      <c r="J38" s="4"/>
      <c r="K38" s="4"/>
      <c r="L38" s="4"/>
      <c r="M38" s="4"/>
      <c r="N38" s="4"/>
    </row>
    <row r="39" spans="1:14" ht="15.75" customHeight="1" x14ac:dyDescent="0.25">
      <c r="A39" s="4"/>
      <c r="B39" s="6"/>
      <c r="C39" s="6"/>
      <c r="D39" s="4"/>
      <c r="E39" s="6"/>
      <c r="F39" s="4"/>
      <c r="G39" s="4"/>
      <c r="H39" s="4"/>
      <c r="I39" s="4"/>
      <c r="J39" s="4"/>
      <c r="K39" s="4"/>
      <c r="L39" s="4"/>
      <c r="M39" s="4"/>
      <c r="N39" s="4"/>
    </row>
    <row r="40" spans="1:14" ht="15.75" customHeight="1" x14ac:dyDescent="0.25">
      <c r="A40" s="4"/>
      <c r="B40" s="6"/>
      <c r="C40" s="6"/>
      <c r="D40" s="4"/>
      <c r="E40" s="6"/>
      <c r="F40" s="4"/>
      <c r="G40" s="4"/>
      <c r="H40" s="4"/>
      <c r="I40" s="4"/>
      <c r="J40" s="4"/>
      <c r="K40" s="4"/>
      <c r="L40" s="4"/>
      <c r="M40" s="4"/>
      <c r="N40" s="4"/>
    </row>
    <row r="41" spans="1:14" ht="15.75" customHeight="1" x14ac:dyDescent="0.25">
      <c r="A41" s="4"/>
      <c r="B41" s="6"/>
      <c r="C41" s="6"/>
      <c r="D41" s="4"/>
      <c r="E41" s="6"/>
      <c r="F41" s="4"/>
      <c r="G41" s="4"/>
      <c r="H41" s="4"/>
      <c r="I41" s="4"/>
      <c r="J41" s="4"/>
      <c r="K41" s="4"/>
      <c r="L41" s="4"/>
      <c r="M41" s="4"/>
      <c r="N41" s="4"/>
    </row>
    <row r="42" spans="1:14" ht="15.75" customHeight="1" x14ac:dyDescent="0.25">
      <c r="A42" s="4"/>
      <c r="B42" s="6"/>
      <c r="C42" s="6"/>
      <c r="D42" s="4"/>
      <c r="E42" s="6"/>
      <c r="F42" s="4"/>
      <c r="G42" s="4"/>
      <c r="H42" s="4"/>
      <c r="I42" s="4"/>
      <c r="J42" s="4"/>
      <c r="K42" s="4"/>
      <c r="L42" s="4"/>
      <c r="M42" s="4"/>
      <c r="N42" s="4"/>
    </row>
    <row r="43" spans="1:14" ht="15.75" customHeight="1" x14ac:dyDescent="0.25">
      <c r="A43" s="4"/>
      <c r="B43" s="6"/>
      <c r="C43" s="6"/>
      <c r="D43" s="4"/>
      <c r="E43" s="6"/>
      <c r="F43" s="4"/>
      <c r="G43" s="4"/>
      <c r="H43" s="4"/>
      <c r="I43" s="4"/>
      <c r="J43" s="4"/>
      <c r="K43" s="4"/>
      <c r="L43" s="4"/>
      <c r="M43" s="4"/>
      <c r="N43" s="4"/>
    </row>
    <row r="44" spans="1:14" ht="15.75" customHeight="1" x14ac:dyDescent="0.25">
      <c r="A44" s="4"/>
      <c r="B44" s="6"/>
      <c r="C44" s="6"/>
      <c r="D44" s="4"/>
      <c r="E44" s="6"/>
      <c r="F44" s="4"/>
      <c r="G44" s="4"/>
      <c r="H44" s="4"/>
      <c r="I44" s="4"/>
      <c r="J44" s="4"/>
      <c r="K44" s="4"/>
      <c r="L44" s="4"/>
      <c r="M44" s="4"/>
      <c r="N44" s="4"/>
    </row>
    <row r="45" spans="1:14" ht="15.75" customHeight="1" x14ac:dyDescent="0.25">
      <c r="A45" s="4"/>
      <c r="B45" s="6"/>
      <c r="C45" s="6"/>
      <c r="D45" s="4"/>
      <c r="E45" s="6"/>
      <c r="F45" s="4"/>
      <c r="G45" s="4"/>
      <c r="H45" s="4"/>
      <c r="I45" s="4"/>
      <c r="J45" s="4"/>
      <c r="K45" s="4"/>
      <c r="L45" s="4"/>
      <c r="M45" s="4"/>
      <c r="N45" s="4"/>
    </row>
    <row r="46" spans="1:14" ht="15.75" customHeight="1" x14ac:dyDescent="0.25">
      <c r="A46" s="4"/>
      <c r="B46" s="6"/>
      <c r="C46" s="6"/>
      <c r="D46" s="4"/>
      <c r="E46" s="6"/>
      <c r="F46" s="4"/>
      <c r="G46" s="4"/>
      <c r="H46" s="4"/>
      <c r="I46" s="4"/>
      <c r="J46" s="4"/>
      <c r="K46" s="4"/>
      <c r="L46" s="4"/>
      <c r="M46" s="4"/>
      <c r="N46" s="4"/>
    </row>
    <row r="47" spans="1:14" ht="15.75" customHeight="1" x14ac:dyDescent="0.25">
      <c r="A47" s="4"/>
      <c r="B47" s="6"/>
      <c r="C47" s="6"/>
      <c r="D47" s="4"/>
      <c r="E47" s="6"/>
      <c r="F47" s="4"/>
      <c r="G47" s="4"/>
      <c r="H47" s="4"/>
      <c r="I47" s="4"/>
      <c r="J47" s="4"/>
      <c r="K47" s="4"/>
      <c r="L47" s="4"/>
      <c r="M47" s="4"/>
      <c r="N47" s="4"/>
    </row>
    <row r="48" spans="1:14" ht="15.75" customHeight="1" x14ac:dyDescent="0.25">
      <c r="A48" s="4"/>
      <c r="B48" s="6"/>
      <c r="C48" s="6"/>
      <c r="D48" s="4"/>
      <c r="E48" s="6"/>
      <c r="F48" s="4"/>
      <c r="G48" s="4"/>
      <c r="H48" s="4"/>
      <c r="I48" s="4"/>
      <c r="J48" s="4"/>
      <c r="K48" s="4"/>
      <c r="L48" s="4"/>
      <c r="M48" s="4"/>
      <c r="N48" s="4"/>
    </row>
    <row r="49" spans="1:14" ht="15.75" customHeight="1" x14ac:dyDescent="0.25">
      <c r="A49" s="4"/>
      <c r="B49" s="6"/>
      <c r="C49" s="6"/>
      <c r="D49" s="4"/>
      <c r="E49" s="6"/>
      <c r="F49" s="4"/>
      <c r="G49" s="4"/>
      <c r="H49" s="4"/>
      <c r="I49" s="4"/>
      <c r="J49" s="4"/>
      <c r="K49" s="4"/>
      <c r="L49" s="4"/>
      <c r="M49" s="4"/>
      <c r="N49" s="4"/>
    </row>
    <row r="50" spans="1:14" ht="15.75" customHeight="1" x14ac:dyDescent="0.25">
      <c r="A50" s="4"/>
      <c r="B50" s="6"/>
      <c r="C50" s="6"/>
      <c r="D50" s="4"/>
      <c r="E50" s="6"/>
      <c r="F50" s="4"/>
      <c r="G50" s="4"/>
      <c r="H50" s="4"/>
      <c r="I50" s="4"/>
      <c r="J50" s="4"/>
      <c r="K50" s="4"/>
      <c r="L50" s="4"/>
      <c r="M50" s="4"/>
      <c r="N50" s="4"/>
    </row>
    <row r="51" spans="1:14" ht="15.75" customHeight="1" x14ac:dyDescent="0.25">
      <c r="A51" s="4"/>
      <c r="B51" s="6"/>
      <c r="C51" s="6"/>
      <c r="D51" s="4"/>
      <c r="E51" s="6"/>
      <c r="F51" s="4"/>
      <c r="G51" s="4"/>
      <c r="H51" s="4"/>
      <c r="I51" s="4"/>
      <c r="J51" s="4"/>
      <c r="K51" s="4"/>
      <c r="L51" s="4"/>
      <c r="M51" s="4"/>
      <c r="N51" s="4"/>
    </row>
    <row r="52" spans="1:14" ht="15.75" customHeight="1" x14ac:dyDescent="0.25">
      <c r="A52" s="4"/>
      <c r="B52" s="6"/>
      <c r="C52" s="6"/>
      <c r="D52" s="4"/>
      <c r="E52" s="6"/>
      <c r="F52" s="4"/>
      <c r="G52" s="4"/>
      <c r="H52" s="4"/>
      <c r="I52" s="4"/>
      <c r="J52" s="4"/>
      <c r="K52" s="4"/>
      <c r="L52" s="4"/>
      <c r="M52" s="4"/>
      <c r="N52" s="4"/>
    </row>
    <row r="53" spans="1:14" ht="15.75" customHeight="1" x14ac:dyDescent="0.25">
      <c r="A53" s="4"/>
      <c r="B53" s="6"/>
      <c r="C53" s="6"/>
      <c r="D53" s="4"/>
      <c r="E53" s="6"/>
      <c r="F53" s="4"/>
      <c r="G53" s="4"/>
      <c r="H53" s="4"/>
      <c r="I53" s="4"/>
      <c r="J53" s="4"/>
      <c r="K53" s="4"/>
      <c r="L53" s="4"/>
      <c r="M53" s="4"/>
      <c r="N53" s="4"/>
    </row>
    <row r="54" spans="1:14" ht="15.75" customHeight="1" x14ac:dyDescent="0.25">
      <c r="A54" s="4"/>
      <c r="B54" s="6"/>
      <c r="C54" s="6"/>
      <c r="D54" s="4"/>
      <c r="E54" s="6"/>
      <c r="F54" s="4"/>
      <c r="G54" s="4"/>
      <c r="H54" s="4"/>
      <c r="I54" s="4"/>
      <c r="J54" s="4"/>
      <c r="K54" s="4"/>
      <c r="L54" s="4"/>
      <c r="M54" s="4"/>
      <c r="N54" s="4"/>
    </row>
    <row r="55" spans="1:14" ht="15.75" customHeight="1" x14ac:dyDescent="0.25">
      <c r="A55" s="4"/>
      <c r="B55" s="6"/>
      <c r="C55" s="6"/>
      <c r="D55" s="4"/>
      <c r="E55" s="6"/>
      <c r="F55" s="4"/>
      <c r="G55" s="4"/>
      <c r="H55" s="4"/>
      <c r="I55" s="4"/>
      <c r="J55" s="4"/>
      <c r="K55" s="4"/>
      <c r="L55" s="4"/>
      <c r="M55" s="4"/>
      <c r="N55" s="4"/>
    </row>
    <row r="56" spans="1:14" ht="15.75" customHeight="1" x14ac:dyDescent="0.25">
      <c r="A56" s="4"/>
      <c r="B56" s="6"/>
      <c r="C56" s="6"/>
      <c r="D56" s="4"/>
      <c r="E56" s="6"/>
      <c r="F56" s="4"/>
      <c r="G56" s="4"/>
      <c r="H56" s="4"/>
      <c r="I56" s="4"/>
      <c r="J56" s="4"/>
      <c r="K56" s="4"/>
      <c r="L56" s="4"/>
      <c r="M56" s="4"/>
      <c r="N56" s="4"/>
    </row>
    <row r="57" spans="1:14" ht="15.75" customHeight="1" x14ac:dyDescent="0.25">
      <c r="A57" s="4"/>
      <c r="B57" s="6"/>
      <c r="C57" s="6"/>
      <c r="D57" s="4"/>
      <c r="E57" s="6"/>
      <c r="F57" s="4"/>
      <c r="G57" s="4"/>
      <c r="H57" s="4"/>
      <c r="I57" s="4"/>
      <c r="J57" s="4"/>
      <c r="K57" s="4"/>
      <c r="L57" s="4"/>
      <c r="M57" s="4"/>
      <c r="N57" s="4"/>
    </row>
    <row r="58" spans="1:14" ht="15.75" customHeight="1" x14ac:dyDescent="0.25">
      <c r="A58" s="4"/>
      <c r="B58" s="6"/>
      <c r="C58" s="6"/>
      <c r="D58" s="4"/>
      <c r="E58" s="6"/>
      <c r="F58" s="4"/>
      <c r="G58" s="4"/>
      <c r="H58" s="4"/>
      <c r="I58" s="4"/>
      <c r="J58" s="4"/>
      <c r="K58" s="4"/>
      <c r="L58" s="4"/>
      <c r="M58" s="4"/>
      <c r="N58" s="4"/>
    </row>
    <row r="59" spans="1:14" ht="15.75" customHeight="1" x14ac:dyDescent="0.25">
      <c r="A59" s="4"/>
      <c r="B59" s="6"/>
      <c r="C59" s="6"/>
      <c r="D59" s="4"/>
      <c r="E59" s="6"/>
      <c r="F59" s="4"/>
      <c r="G59" s="4"/>
      <c r="H59" s="4"/>
      <c r="I59" s="4"/>
      <c r="J59" s="4"/>
      <c r="K59" s="4"/>
      <c r="L59" s="4"/>
      <c r="M59" s="4"/>
      <c r="N59" s="4"/>
    </row>
    <row r="60" spans="1:14" ht="15.75" customHeight="1" x14ac:dyDescent="0.25">
      <c r="A60" s="4"/>
      <c r="B60" s="6"/>
      <c r="C60" s="6"/>
      <c r="D60" s="4"/>
      <c r="E60" s="6"/>
      <c r="F60" s="4"/>
      <c r="G60" s="4"/>
      <c r="H60" s="4"/>
      <c r="I60" s="4"/>
      <c r="J60" s="4"/>
      <c r="K60" s="4"/>
      <c r="L60" s="4"/>
      <c r="M60" s="4"/>
      <c r="N60" s="4"/>
    </row>
    <row r="61" spans="1:14" ht="15.75" customHeight="1" x14ac:dyDescent="0.25">
      <c r="A61" s="4"/>
      <c r="B61" s="6"/>
      <c r="C61" s="6"/>
      <c r="D61" s="4"/>
      <c r="E61" s="6"/>
      <c r="F61" s="4"/>
      <c r="G61" s="4"/>
      <c r="H61" s="4"/>
      <c r="I61" s="4"/>
      <c r="J61" s="4"/>
      <c r="K61" s="4"/>
      <c r="L61" s="4"/>
      <c r="M61" s="4"/>
      <c r="N61" s="4"/>
    </row>
    <row r="62" spans="1:14" ht="15.75" customHeight="1" x14ac:dyDescent="0.25">
      <c r="A62" s="4"/>
      <c r="B62" s="6"/>
      <c r="C62" s="6"/>
      <c r="D62" s="4"/>
      <c r="E62" s="6"/>
      <c r="F62" s="4"/>
      <c r="G62" s="4"/>
      <c r="H62" s="4"/>
      <c r="I62" s="4"/>
      <c r="J62" s="4"/>
      <c r="K62" s="4"/>
      <c r="L62" s="4"/>
      <c r="M62" s="4"/>
      <c r="N62" s="4"/>
    </row>
    <row r="63" spans="1:14" ht="15.75" customHeight="1" x14ac:dyDescent="0.25">
      <c r="A63" s="4"/>
      <c r="B63" s="6"/>
      <c r="C63" s="6"/>
      <c r="D63" s="4"/>
      <c r="E63" s="6"/>
      <c r="F63" s="4"/>
      <c r="G63" s="4"/>
      <c r="H63" s="4"/>
      <c r="I63" s="4"/>
      <c r="J63" s="4"/>
      <c r="K63" s="4"/>
      <c r="L63" s="4"/>
      <c r="M63" s="4"/>
      <c r="N63" s="4"/>
    </row>
    <row r="64" spans="1:14" ht="15.75" customHeight="1" x14ac:dyDescent="0.25">
      <c r="A64" s="4"/>
      <c r="B64" s="6"/>
      <c r="C64" s="6"/>
      <c r="D64" s="4"/>
      <c r="E64" s="6"/>
      <c r="F64" s="4"/>
      <c r="G64" s="4"/>
      <c r="H64" s="4"/>
      <c r="I64" s="4"/>
      <c r="J64" s="4"/>
      <c r="K64" s="4"/>
      <c r="L64" s="4"/>
      <c r="M64" s="4"/>
      <c r="N64" s="4"/>
    </row>
    <row r="65" spans="1:14" ht="15.75" customHeight="1" x14ac:dyDescent="0.25">
      <c r="A65" s="4"/>
      <c r="B65" s="6"/>
      <c r="C65" s="6"/>
      <c r="D65" s="4"/>
      <c r="E65" s="6"/>
      <c r="F65" s="4"/>
      <c r="G65" s="4"/>
      <c r="H65" s="4"/>
      <c r="I65" s="4"/>
      <c r="J65" s="4"/>
      <c r="K65" s="4"/>
      <c r="L65" s="4"/>
      <c r="M65" s="4"/>
      <c r="N65" s="4"/>
    </row>
    <row r="66" spans="1:14" ht="15.75" customHeight="1" x14ac:dyDescent="0.25">
      <c r="A66" s="4"/>
      <c r="B66" s="6"/>
      <c r="C66" s="6"/>
      <c r="D66" s="4"/>
      <c r="E66" s="6"/>
      <c r="F66" s="4"/>
      <c r="G66" s="4"/>
      <c r="H66" s="4"/>
      <c r="I66" s="4"/>
      <c r="J66" s="4"/>
      <c r="K66" s="4"/>
      <c r="L66" s="4"/>
      <c r="M66" s="4"/>
      <c r="N66" s="4"/>
    </row>
    <row r="67" spans="1:14" ht="15.75" customHeight="1" x14ac:dyDescent="0.25">
      <c r="A67" s="4"/>
      <c r="B67" s="6"/>
      <c r="C67" s="6"/>
      <c r="D67" s="4"/>
      <c r="E67" s="6"/>
      <c r="F67" s="4"/>
      <c r="G67" s="4"/>
      <c r="H67" s="4"/>
      <c r="I67" s="4"/>
      <c r="J67" s="4"/>
      <c r="K67" s="4"/>
      <c r="L67" s="4"/>
      <c r="M67" s="4"/>
      <c r="N67" s="4"/>
    </row>
    <row r="68" spans="1:14" ht="15.75" customHeight="1" x14ac:dyDescent="0.25">
      <c r="A68" s="4"/>
      <c r="B68" s="6"/>
      <c r="C68" s="6"/>
      <c r="D68" s="4"/>
      <c r="E68" s="6"/>
      <c r="F68" s="4"/>
      <c r="G68" s="4"/>
      <c r="H68" s="4"/>
      <c r="I68" s="4"/>
      <c r="J68" s="4"/>
      <c r="K68" s="4"/>
      <c r="L68" s="4"/>
      <c r="M68" s="4"/>
      <c r="N68" s="4"/>
    </row>
    <row r="69" spans="1:14" ht="15.75" customHeight="1" x14ac:dyDescent="0.25">
      <c r="A69" s="4"/>
      <c r="B69" s="6"/>
      <c r="C69" s="6"/>
      <c r="D69" s="4"/>
      <c r="E69" s="6"/>
      <c r="F69" s="4"/>
      <c r="G69" s="4"/>
      <c r="H69" s="4"/>
      <c r="I69" s="4"/>
      <c r="J69" s="4"/>
      <c r="K69" s="4"/>
      <c r="L69" s="4"/>
      <c r="M69" s="4"/>
      <c r="N69" s="4"/>
    </row>
    <row r="70" spans="1:14" ht="15.75" customHeight="1" x14ac:dyDescent="0.25">
      <c r="A70" s="4"/>
      <c r="B70" s="6"/>
      <c r="C70" s="6"/>
      <c r="D70" s="4"/>
      <c r="E70" s="6"/>
      <c r="F70" s="4"/>
      <c r="G70" s="4"/>
      <c r="H70" s="4"/>
      <c r="I70" s="4"/>
      <c r="J70" s="4"/>
      <c r="K70" s="4"/>
      <c r="L70" s="4"/>
      <c r="M70" s="4"/>
      <c r="N70" s="4"/>
    </row>
    <row r="71" spans="1:14" ht="15.75" customHeight="1" x14ac:dyDescent="0.25">
      <c r="A71" s="4"/>
      <c r="B71" s="6"/>
      <c r="C71" s="6"/>
      <c r="D71" s="4"/>
      <c r="E71" s="6"/>
      <c r="F71" s="4"/>
      <c r="G71" s="4"/>
      <c r="H71" s="4"/>
      <c r="I71" s="4"/>
      <c r="J71" s="4"/>
      <c r="K71" s="4"/>
      <c r="L71" s="4"/>
      <c r="M71" s="4"/>
      <c r="N71" s="4"/>
    </row>
    <row r="72" spans="1:14" ht="15.75" customHeight="1" x14ac:dyDescent="0.25">
      <c r="A72" s="4"/>
      <c r="B72" s="6"/>
      <c r="C72" s="6"/>
      <c r="D72" s="4"/>
      <c r="E72" s="6"/>
      <c r="F72" s="4"/>
      <c r="G72" s="4"/>
      <c r="H72" s="4"/>
      <c r="I72" s="4"/>
      <c r="J72" s="4"/>
      <c r="K72" s="4"/>
      <c r="L72" s="4"/>
      <c r="M72" s="4"/>
      <c r="N72" s="4"/>
    </row>
    <row r="73" spans="1:14" ht="15.75" customHeight="1" x14ac:dyDescent="0.25">
      <c r="A73" s="4"/>
      <c r="B73" s="6"/>
      <c r="C73" s="6"/>
      <c r="D73" s="4"/>
      <c r="E73" s="6"/>
      <c r="F73" s="4"/>
      <c r="G73" s="4"/>
      <c r="H73" s="4"/>
      <c r="I73" s="4"/>
      <c r="J73" s="4"/>
      <c r="K73" s="4"/>
      <c r="L73" s="4"/>
      <c r="M73" s="4"/>
      <c r="N73" s="4"/>
    </row>
    <row r="74" spans="1:14" ht="15.75" customHeight="1" x14ac:dyDescent="0.25">
      <c r="A74" s="4"/>
      <c r="B74" s="6"/>
      <c r="C74" s="6"/>
      <c r="D74" s="4"/>
      <c r="E74" s="6"/>
      <c r="F74" s="4"/>
      <c r="G74" s="4"/>
      <c r="H74" s="4"/>
      <c r="I74" s="4"/>
      <c r="J74" s="4"/>
      <c r="K74" s="4"/>
      <c r="L74" s="4"/>
      <c r="M74" s="4"/>
      <c r="N74" s="4"/>
    </row>
    <row r="75" spans="1:14" ht="15.75" customHeight="1" x14ac:dyDescent="0.25">
      <c r="A75" s="4"/>
      <c r="B75" s="6"/>
      <c r="C75" s="6"/>
      <c r="D75" s="4"/>
      <c r="E75" s="6"/>
      <c r="F75" s="4"/>
      <c r="G75" s="4"/>
      <c r="H75" s="4"/>
      <c r="I75" s="4"/>
      <c r="J75" s="4"/>
      <c r="K75" s="4"/>
      <c r="L75" s="4"/>
      <c r="M75" s="4"/>
      <c r="N75" s="4"/>
    </row>
    <row r="76" spans="1:14" ht="15.75" customHeight="1" x14ac:dyDescent="0.25">
      <c r="A76" s="4"/>
      <c r="B76" s="6"/>
      <c r="C76" s="6"/>
      <c r="D76" s="4"/>
      <c r="E76" s="6"/>
      <c r="F76" s="4"/>
      <c r="G76" s="4"/>
      <c r="H76" s="4"/>
      <c r="I76" s="4"/>
      <c r="J76" s="4"/>
      <c r="K76" s="4"/>
      <c r="L76" s="4"/>
      <c r="M76" s="4"/>
      <c r="N76" s="4"/>
    </row>
    <row r="77" spans="1:14" ht="15.75" customHeight="1" x14ac:dyDescent="0.25">
      <c r="A77" s="4"/>
      <c r="B77" s="6"/>
      <c r="C77" s="6"/>
      <c r="D77" s="4"/>
      <c r="E77" s="6"/>
      <c r="F77" s="4"/>
      <c r="G77" s="4"/>
      <c r="H77" s="4"/>
      <c r="I77" s="4"/>
      <c r="J77" s="4"/>
      <c r="K77" s="4"/>
      <c r="L77" s="4"/>
      <c r="M77" s="4"/>
      <c r="N77" s="4"/>
    </row>
    <row r="78" spans="1:14" ht="15.75" customHeight="1" x14ac:dyDescent="0.25">
      <c r="A78" s="4"/>
      <c r="B78" s="6"/>
      <c r="C78" s="6"/>
      <c r="D78" s="4"/>
      <c r="E78" s="6"/>
      <c r="F78" s="4"/>
      <c r="G78" s="4"/>
      <c r="H78" s="4"/>
      <c r="I78" s="4"/>
      <c r="J78" s="4"/>
      <c r="K78" s="4"/>
      <c r="L78" s="4"/>
      <c r="M78" s="4"/>
      <c r="N78" s="4"/>
    </row>
    <row r="79" spans="1:14" ht="15.75" customHeight="1" x14ac:dyDescent="0.25">
      <c r="A79" s="4"/>
      <c r="B79" s="6"/>
      <c r="C79" s="6"/>
      <c r="D79" s="4"/>
      <c r="E79" s="6"/>
      <c r="F79" s="4"/>
      <c r="G79" s="4"/>
      <c r="H79" s="4"/>
      <c r="I79" s="4"/>
      <c r="J79" s="4"/>
      <c r="K79" s="4"/>
      <c r="L79" s="4"/>
      <c r="M79" s="4"/>
      <c r="N79" s="4"/>
    </row>
    <row r="80" spans="1:14" ht="15.75" customHeight="1" x14ac:dyDescent="0.25">
      <c r="A80" s="4"/>
      <c r="B80" s="6"/>
      <c r="C80" s="6"/>
      <c r="D80" s="4"/>
      <c r="E80" s="6"/>
      <c r="F80" s="4"/>
      <c r="G80" s="4"/>
      <c r="H80" s="4"/>
      <c r="I80" s="4"/>
      <c r="J80" s="4"/>
      <c r="K80" s="4"/>
      <c r="L80" s="4"/>
      <c r="M80" s="4"/>
      <c r="N80" s="4"/>
    </row>
    <row r="81" spans="1:14" ht="15.75" customHeight="1" x14ac:dyDescent="0.25">
      <c r="A81" s="4"/>
      <c r="B81" s="6"/>
      <c r="C81" s="6"/>
      <c r="D81" s="4"/>
      <c r="E81" s="6"/>
      <c r="F81" s="4"/>
      <c r="G81" s="4"/>
      <c r="H81" s="4"/>
      <c r="I81" s="4"/>
      <c r="J81" s="4"/>
      <c r="K81" s="4"/>
      <c r="L81" s="4"/>
      <c r="M81" s="4"/>
      <c r="N81" s="4"/>
    </row>
    <row r="82" spans="1:14" ht="15.75" customHeight="1" x14ac:dyDescent="0.25">
      <c r="A82" s="4"/>
      <c r="B82" s="6"/>
      <c r="C82" s="6"/>
      <c r="D82" s="4"/>
      <c r="E82" s="6"/>
      <c r="F82" s="4"/>
      <c r="G82" s="4"/>
      <c r="H82" s="4"/>
      <c r="I82" s="4"/>
      <c r="J82" s="4"/>
      <c r="K82" s="4"/>
      <c r="L82" s="4"/>
      <c r="M82" s="4"/>
      <c r="N82" s="4"/>
    </row>
    <row r="83" spans="1:14" ht="15.75" customHeight="1" x14ac:dyDescent="0.25">
      <c r="A83" s="4"/>
      <c r="B83" s="6"/>
      <c r="C83" s="6"/>
      <c r="D83" s="4"/>
      <c r="E83" s="6"/>
      <c r="F83" s="4"/>
      <c r="G83" s="4"/>
      <c r="H83" s="4"/>
      <c r="I83" s="4"/>
      <c r="J83" s="4"/>
      <c r="K83" s="4"/>
      <c r="L83" s="4"/>
      <c r="M83" s="4"/>
      <c r="N83" s="4"/>
    </row>
    <row r="84" spans="1:14" ht="15.75" customHeight="1" x14ac:dyDescent="0.25">
      <c r="A84" s="4"/>
      <c r="B84" s="6"/>
      <c r="C84" s="6"/>
      <c r="D84" s="4"/>
      <c r="E84" s="6"/>
      <c r="F84" s="4"/>
      <c r="G84" s="4"/>
      <c r="H84" s="4"/>
      <c r="I84" s="4"/>
      <c r="J84" s="4"/>
      <c r="K84" s="4"/>
      <c r="L84" s="4"/>
      <c r="M84" s="4"/>
      <c r="N84" s="4"/>
    </row>
    <row r="85" spans="1:14" ht="15.75" customHeight="1" x14ac:dyDescent="0.25">
      <c r="A85" s="4"/>
      <c r="B85" s="6"/>
      <c r="C85" s="6"/>
      <c r="D85" s="4"/>
      <c r="E85" s="6"/>
      <c r="F85" s="4"/>
      <c r="G85" s="4"/>
      <c r="H85" s="4"/>
      <c r="I85" s="4"/>
      <c r="J85" s="4"/>
      <c r="K85" s="4"/>
      <c r="L85" s="4"/>
      <c r="M85" s="4"/>
      <c r="N85" s="4"/>
    </row>
    <row r="86" spans="1:14" ht="15.75" customHeight="1" x14ac:dyDescent="0.25">
      <c r="A86" s="4"/>
      <c r="B86" s="6"/>
      <c r="C86" s="6"/>
      <c r="D86" s="4"/>
      <c r="E86" s="6"/>
      <c r="F86" s="4"/>
      <c r="G86" s="4"/>
      <c r="H86" s="4"/>
      <c r="I86" s="4"/>
      <c r="J86" s="4"/>
      <c r="K86" s="4"/>
      <c r="L86" s="4"/>
      <c r="M86" s="4"/>
      <c r="N86" s="4"/>
    </row>
    <row r="87" spans="1:14" ht="15.75" customHeight="1" x14ac:dyDescent="0.25">
      <c r="A87" s="4"/>
      <c r="B87" s="6"/>
      <c r="C87" s="6"/>
      <c r="D87" s="4"/>
      <c r="E87" s="6"/>
      <c r="F87" s="4"/>
      <c r="G87" s="4"/>
      <c r="H87" s="4"/>
      <c r="I87" s="4"/>
      <c r="J87" s="4"/>
      <c r="K87" s="4"/>
      <c r="L87" s="4"/>
      <c r="M87" s="4"/>
      <c r="N87" s="4"/>
    </row>
    <row r="88" spans="1:14" ht="15.75" customHeight="1" x14ac:dyDescent="0.25">
      <c r="A88" s="4"/>
      <c r="B88" s="6"/>
      <c r="C88" s="6"/>
      <c r="D88" s="4"/>
      <c r="E88" s="6"/>
      <c r="F88" s="4"/>
      <c r="G88" s="4"/>
      <c r="H88" s="4"/>
      <c r="I88" s="4"/>
      <c r="J88" s="4"/>
      <c r="K88" s="4"/>
      <c r="L88" s="4"/>
      <c r="M88" s="4"/>
      <c r="N88" s="4"/>
    </row>
    <row r="89" spans="1:14" ht="15.75" customHeight="1" x14ac:dyDescent="0.25">
      <c r="A89" s="4"/>
      <c r="B89" s="6"/>
      <c r="C89" s="6"/>
      <c r="D89" s="4"/>
      <c r="E89" s="6"/>
      <c r="F89" s="4"/>
      <c r="G89" s="4"/>
      <c r="H89" s="4"/>
      <c r="I89" s="4"/>
      <c r="J89" s="4"/>
      <c r="K89" s="4"/>
      <c r="L89" s="4"/>
      <c r="M89" s="4"/>
      <c r="N89" s="4"/>
    </row>
    <row r="90" spans="1:14" ht="15.75" customHeight="1" x14ac:dyDescent="0.25">
      <c r="A90" s="4"/>
      <c r="B90" s="6"/>
      <c r="C90" s="6"/>
      <c r="D90" s="4"/>
      <c r="E90" s="6"/>
      <c r="F90" s="4"/>
      <c r="G90" s="4"/>
      <c r="H90" s="4"/>
      <c r="I90" s="4"/>
      <c r="J90" s="4"/>
      <c r="K90" s="4"/>
      <c r="L90" s="4"/>
      <c r="M90" s="4"/>
      <c r="N90" s="4"/>
    </row>
    <row r="91" spans="1:14" ht="15.75" customHeight="1" x14ac:dyDescent="0.25">
      <c r="A91" s="4"/>
      <c r="B91" s="6"/>
      <c r="C91" s="6"/>
      <c r="D91" s="4"/>
      <c r="E91" s="6"/>
      <c r="F91" s="4"/>
      <c r="G91" s="4"/>
      <c r="H91" s="4"/>
      <c r="I91" s="4"/>
      <c r="J91" s="4"/>
      <c r="K91" s="4"/>
      <c r="L91" s="4"/>
      <c r="M91" s="4"/>
      <c r="N91" s="4"/>
    </row>
    <row r="92" spans="1:14" ht="15.75" customHeight="1" x14ac:dyDescent="0.25">
      <c r="A92" s="4"/>
      <c r="B92" s="6"/>
      <c r="C92" s="6"/>
      <c r="D92" s="4"/>
      <c r="E92" s="6"/>
      <c r="F92" s="4"/>
      <c r="G92" s="4"/>
      <c r="H92" s="4"/>
      <c r="I92" s="4"/>
      <c r="J92" s="4"/>
      <c r="K92" s="4"/>
      <c r="L92" s="4"/>
      <c r="M92" s="4"/>
      <c r="N92" s="4"/>
    </row>
    <row r="93" spans="1:14" ht="15.75" customHeight="1" x14ac:dyDescent="0.25">
      <c r="A93" s="4"/>
      <c r="B93" s="6"/>
      <c r="C93" s="6"/>
      <c r="D93" s="4"/>
      <c r="E93" s="6"/>
      <c r="F93" s="4"/>
      <c r="G93" s="4"/>
      <c r="H93" s="4"/>
      <c r="I93" s="4"/>
      <c r="J93" s="4"/>
      <c r="K93" s="4"/>
      <c r="L93" s="4"/>
      <c r="M93" s="4"/>
      <c r="N93" s="4"/>
    </row>
    <row r="94" spans="1:14" ht="15.75" customHeight="1" x14ac:dyDescent="0.25">
      <c r="A94" s="4"/>
      <c r="B94" s="6"/>
      <c r="C94" s="6"/>
      <c r="D94" s="4"/>
      <c r="E94" s="6"/>
      <c r="F94" s="4"/>
      <c r="G94" s="4"/>
      <c r="H94" s="4"/>
      <c r="I94" s="4"/>
      <c r="J94" s="4"/>
      <c r="K94" s="4"/>
      <c r="L94" s="4"/>
      <c r="M94" s="4"/>
      <c r="N94" s="4"/>
    </row>
    <row r="95" spans="1:14" ht="15.75" customHeight="1" x14ac:dyDescent="0.25">
      <c r="A95" s="4"/>
      <c r="B95" s="6"/>
      <c r="C95" s="6"/>
      <c r="D95" s="4"/>
      <c r="E95" s="6"/>
      <c r="F95" s="4"/>
      <c r="G95" s="4"/>
      <c r="H95" s="4"/>
      <c r="I95" s="4"/>
      <c r="J95" s="4"/>
      <c r="K95" s="4"/>
      <c r="L95" s="4"/>
      <c r="M95" s="4"/>
      <c r="N95" s="4"/>
    </row>
    <row r="96" spans="1:14" ht="15.75" customHeight="1" x14ac:dyDescent="0.25">
      <c r="A96" s="4"/>
      <c r="B96" s="6"/>
      <c r="C96" s="6"/>
      <c r="D96" s="4"/>
      <c r="E96" s="6"/>
      <c r="F96" s="4"/>
      <c r="G96" s="4"/>
      <c r="H96" s="4"/>
      <c r="I96" s="4"/>
      <c r="J96" s="4"/>
      <c r="K96" s="4"/>
      <c r="L96" s="4"/>
      <c r="M96" s="4"/>
      <c r="N96" s="4"/>
    </row>
    <row r="97" spans="1:14" ht="15.75" customHeight="1" x14ac:dyDescent="0.25">
      <c r="A97" s="4"/>
      <c r="B97" s="6"/>
      <c r="C97" s="6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</row>
    <row r="98" spans="1:14" ht="15.75" customHeight="1" x14ac:dyDescent="0.25">
      <c r="A98" s="4"/>
      <c r="B98" s="6"/>
      <c r="C98" s="6"/>
      <c r="D98" s="4"/>
      <c r="E98" s="6"/>
      <c r="F98" s="4"/>
      <c r="G98" s="4"/>
      <c r="H98" s="4"/>
      <c r="I98" s="4"/>
      <c r="J98" s="4"/>
      <c r="K98" s="4"/>
      <c r="L98" s="4"/>
      <c r="M98" s="4"/>
      <c r="N98" s="4"/>
    </row>
    <row r="99" spans="1:14" ht="15.75" customHeight="1" x14ac:dyDescent="0.25">
      <c r="A99" s="4"/>
      <c r="B99" s="6"/>
      <c r="C99" s="6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</row>
    <row r="100" spans="1:14" ht="15.75" customHeight="1" x14ac:dyDescent="0.25">
      <c r="A100" s="4"/>
      <c r="B100" s="6"/>
      <c r="C100" s="6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5.75" customHeight="1" x14ac:dyDescent="0.25">
      <c r="A101" s="4"/>
      <c r="B101" s="6"/>
      <c r="C101" s="6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5.75" customHeight="1" x14ac:dyDescent="0.25">
      <c r="A102" s="4"/>
      <c r="B102" s="6"/>
      <c r="C102" s="6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5.75" customHeight="1" x14ac:dyDescent="0.25">
      <c r="A103" s="4"/>
      <c r="B103" s="6"/>
      <c r="C103" s="6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5.75" customHeight="1" x14ac:dyDescent="0.25">
      <c r="A104" s="4"/>
      <c r="B104" s="6"/>
      <c r="C104" s="6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5.75" customHeight="1" x14ac:dyDescent="0.25">
      <c r="A105" s="4"/>
      <c r="B105" s="6"/>
      <c r="C105" s="6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5.75" customHeight="1" x14ac:dyDescent="0.25">
      <c r="A106" s="4"/>
      <c r="B106" s="6"/>
      <c r="C106" s="6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5.75" customHeight="1" x14ac:dyDescent="0.25">
      <c r="A107" s="4"/>
      <c r="B107" s="6"/>
      <c r="C107" s="6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5.75" customHeight="1" x14ac:dyDescent="0.25">
      <c r="A108" s="4"/>
      <c r="B108" s="6"/>
      <c r="C108" s="6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5.75" customHeight="1" x14ac:dyDescent="0.25">
      <c r="A109" s="4"/>
      <c r="B109" s="6"/>
      <c r="C109" s="6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5.75" customHeight="1" x14ac:dyDescent="0.25">
      <c r="A110" s="4"/>
      <c r="B110" s="6"/>
      <c r="C110" s="6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5.75" customHeight="1" x14ac:dyDescent="0.25">
      <c r="A111" s="4"/>
      <c r="B111" s="6"/>
      <c r="C111" s="6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5.75" customHeight="1" x14ac:dyDescent="0.25">
      <c r="A112" s="4"/>
      <c r="B112" s="6"/>
      <c r="C112" s="6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5.75" customHeight="1" x14ac:dyDescent="0.25">
      <c r="A113" s="4"/>
      <c r="B113" s="6"/>
      <c r="C113" s="6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5.75" customHeight="1" x14ac:dyDescent="0.25">
      <c r="A114" s="4"/>
      <c r="B114" s="6"/>
      <c r="C114" s="6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5.75" customHeight="1" x14ac:dyDescent="0.25">
      <c r="A115" s="4"/>
      <c r="B115" s="6"/>
      <c r="C115" s="6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5.75" customHeight="1" x14ac:dyDescent="0.25">
      <c r="A116" s="4"/>
      <c r="B116" s="6"/>
      <c r="C116" s="6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</row>
    <row r="117" spans="1:14" ht="15.75" customHeight="1" x14ac:dyDescent="0.25">
      <c r="A117" s="4"/>
      <c r="B117" s="6"/>
      <c r="C117" s="6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5.75" customHeight="1" x14ac:dyDescent="0.25">
      <c r="A118" s="4"/>
      <c r="B118" s="6"/>
      <c r="C118" s="6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5.75" customHeight="1" x14ac:dyDescent="0.25">
      <c r="A119" s="4"/>
      <c r="B119" s="6"/>
      <c r="C119" s="6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5.75" customHeight="1" x14ac:dyDescent="0.25">
      <c r="A120" s="4"/>
      <c r="B120" s="6"/>
      <c r="C120" s="6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</row>
    <row r="121" spans="1:14" ht="15.75" customHeight="1" x14ac:dyDescent="0.25">
      <c r="A121" s="4"/>
      <c r="B121" s="6"/>
      <c r="C121" s="6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5.75" customHeight="1" x14ac:dyDescent="0.25">
      <c r="A122" s="4"/>
      <c r="B122" s="6"/>
      <c r="C122" s="6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</row>
    <row r="123" spans="1:14" ht="15.75" customHeight="1" x14ac:dyDescent="0.25">
      <c r="A123" s="4"/>
      <c r="B123" s="6"/>
      <c r="C123" s="6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5.75" customHeight="1" x14ac:dyDescent="0.25">
      <c r="A124" s="4"/>
      <c r="B124" s="6"/>
      <c r="C124" s="6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5.75" customHeight="1" x14ac:dyDescent="0.25">
      <c r="A125" s="4"/>
      <c r="B125" s="6"/>
      <c r="C125" s="6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5.75" customHeight="1" x14ac:dyDescent="0.25">
      <c r="A126" s="4"/>
      <c r="B126" s="6"/>
      <c r="C126" s="6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</row>
    <row r="127" spans="1:14" ht="15.75" customHeight="1" x14ac:dyDescent="0.25">
      <c r="A127" s="4"/>
      <c r="B127" s="6"/>
      <c r="C127" s="6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15.75" customHeight="1" x14ac:dyDescent="0.25">
      <c r="A128" s="4"/>
      <c r="B128" s="6"/>
      <c r="C128" s="6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5.75" customHeight="1" x14ac:dyDescent="0.25">
      <c r="A129" s="4"/>
      <c r="B129" s="6"/>
      <c r="C129" s="6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5.75" customHeight="1" x14ac:dyDescent="0.25">
      <c r="A130" s="4"/>
      <c r="B130" s="6"/>
      <c r="C130" s="6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5.75" customHeight="1" x14ac:dyDescent="0.25">
      <c r="A131" s="4"/>
      <c r="B131" s="6"/>
      <c r="C131" s="6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5.75" customHeight="1" x14ac:dyDescent="0.25">
      <c r="A132" s="4"/>
      <c r="B132" s="6"/>
      <c r="C132" s="6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5.75" customHeight="1" x14ac:dyDescent="0.25">
      <c r="A133" s="4"/>
      <c r="B133" s="6"/>
      <c r="C133" s="6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5.75" customHeight="1" x14ac:dyDescent="0.25">
      <c r="A134" s="4"/>
      <c r="B134" s="6"/>
      <c r="C134" s="6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5.75" customHeight="1" x14ac:dyDescent="0.25">
      <c r="A135" s="4"/>
      <c r="B135" s="6"/>
      <c r="C135" s="6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5.75" customHeight="1" x14ac:dyDescent="0.25">
      <c r="A136" s="4"/>
      <c r="B136" s="6"/>
      <c r="C136" s="6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5.75" customHeight="1" x14ac:dyDescent="0.25">
      <c r="A137" s="4"/>
      <c r="B137" s="6"/>
      <c r="C137" s="6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5.75" customHeight="1" x14ac:dyDescent="0.25">
      <c r="A138" s="4"/>
      <c r="B138" s="6"/>
      <c r="C138" s="6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5.75" customHeight="1" x14ac:dyDescent="0.25">
      <c r="A139" s="4"/>
      <c r="B139" s="6"/>
      <c r="C139" s="6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5.75" customHeight="1" x14ac:dyDescent="0.25">
      <c r="A140" s="4"/>
      <c r="B140" s="6"/>
      <c r="C140" s="6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5.75" customHeight="1" x14ac:dyDescent="0.25">
      <c r="A141" s="4"/>
      <c r="B141" s="6"/>
      <c r="C141" s="6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5.75" customHeight="1" x14ac:dyDescent="0.25">
      <c r="A142" s="4"/>
      <c r="B142" s="6"/>
      <c r="C142" s="6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5.75" customHeight="1" x14ac:dyDescent="0.25">
      <c r="A143" s="4"/>
      <c r="B143" s="6"/>
      <c r="C143" s="6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5.75" customHeight="1" x14ac:dyDescent="0.25">
      <c r="A144" s="4"/>
      <c r="B144" s="6"/>
      <c r="C144" s="6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5.75" customHeight="1" x14ac:dyDescent="0.25">
      <c r="A145" s="4"/>
      <c r="B145" s="6"/>
      <c r="C145" s="6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5.75" customHeight="1" x14ac:dyDescent="0.25">
      <c r="A146" s="4"/>
      <c r="B146" s="6"/>
      <c r="C146" s="6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5.75" customHeight="1" x14ac:dyDescent="0.25">
      <c r="A147" s="4"/>
      <c r="B147" s="6"/>
      <c r="C147" s="6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5.75" customHeight="1" x14ac:dyDescent="0.25">
      <c r="A148" s="4"/>
      <c r="B148" s="6"/>
      <c r="C148" s="6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5.75" customHeight="1" x14ac:dyDescent="0.25">
      <c r="A149" s="4"/>
      <c r="B149" s="6"/>
      <c r="C149" s="6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5.75" customHeight="1" x14ac:dyDescent="0.25">
      <c r="A150" s="4"/>
      <c r="B150" s="6"/>
      <c r="C150" s="6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5.75" customHeight="1" x14ac:dyDescent="0.25">
      <c r="A151" s="4"/>
      <c r="B151" s="6"/>
      <c r="C151" s="6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5.75" customHeight="1" x14ac:dyDescent="0.25">
      <c r="A152" s="4"/>
      <c r="B152" s="6"/>
      <c r="C152" s="6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5.75" customHeight="1" x14ac:dyDescent="0.25">
      <c r="A153" s="4"/>
      <c r="B153" s="6"/>
      <c r="C153" s="6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</row>
    <row r="154" spans="1:14" ht="15.75" customHeight="1" x14ac:dyDescent="0.25">
      <c r="A154" s="4"/>
      <c r="B154" s="6"/>
      <c r="C154" s="6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5.75" customHeight="1" x14ac:dyDescent="0.25">
      <c r="A155" s="4"/>
      <c r="B155" s="6"/>
      <c r="C155" s="6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5.75" customHeight="1" x14ac:dyDescent="0.25">
      <c r="A156" s="4"/>
      <c r="B156" s="6"/>
      <c r="C156" s="6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5.75" customHeight="1" x14ac:dyDescent="0.25">
      <c r="A157" s="4"/>
      <c r="B157" s="6"/>
      <c r="C157" s="6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5.75" customHeight="1" x14ac:dyDescent="0.25">
      <c r="A158" s="4"/>
      <c r="B158" s="6"/>
      <c r="C158" s="6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5.75" customHeight="1" x14ac:dyDescent="0.25">
      <c r="A159" s="4"/>
      <c r="B159" s="6"/>
      <c r="C159" s="6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5.75" customHeight="1" x14ac:dyDescent="0.25">
      <c r="A160" s="4"/>
      <c r="B160" s="6"/>
      <c r="C160" s="6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5.75" customHeight="1" x14ac:dyDescent="0.25">
      <c r="A161" s="4"/>
      <c r="B161" s="6"/>
      <c r="C161" s="6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5.75" customHeight="1" x14ac:dyDescent="0.25">
      <c r="A162" s="4"/>
      <c r="B162" s="6"/>
      <c r="C162" s="6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</row>
    <row r="163" spans="1:14" ht="15.75" customHeight="1" x14ac:dyDescent="0.25">
      <c r="A163" s="4"/>
      <c r="B163" s="6"/>
      <c r="C163" s="6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5.75" customHeight="1" x14ac:dyDescent="0.25">
      <c r="A164" s="4"/>
      <c r="B164" s="6"/>
      <c r="C164" s="6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5.75" customHeight="1" x14ac:dyDescent="0.25">
      <c r="A165" s="4"/>
      <c r="B165" s="6"/>
      <c r="C165" s="6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5.75" customHeight="1" x14ac:dyDescent="0.25">
      <c r="A166" s="4"/>
      <c r="B166" s="6"/>
      <c r="C166" s="6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5.75" customHeight="1" x14ac:dyDescent="0.25">
      <c r="A167" s="4"/>
      <c r="B167" s="6"/>
      <c r="C167" s="6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5.75" customHeight="1" x14ac:dyDescent="0.25">
      <c r="A168" s="4"/>
      <c r="B168" s="6"/>
      <c r="C168" s="6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5.75" customHeight="1" x14ac:dyDescent="0.25">
      <c r="A169" s="4"/>
      <c r="B169" s="6"/>
      <c r="C169" s="6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5.75" customHeight="1" x14ac:dyDescent="0.25">
      <c r="A170" s="4"/>
      <c r="B170" s="6"/>
      <c r="C170" s="6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5.75" customHeight="1" x14ac:dyDescent="0.25">
      <c r="A171" s="4"/>
      <c r="B171" s="6"/>
      <c r="C171" s="6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5.75" customHeight="1" x14ac:dyDescent="0.25">
      <c r="A172" s="4"/>
      <c r="B172" s="6"/>
      <c r="C172" s="6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5.75" customHeight="1" x14ac:dyDescent="0.25">
      <c r="A173" s="4"/>
      <c r="B173" s="6"/>
      <c r="C173" s="6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5.75" customHeight="1" x14ac:dyDescent="0.25">
      <c r="A174" s="4"/>
      <c r="B174" s="6"/>
      <c r="C174" s="6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5.75" customHeight="1" x14ac:dyDescent="0.25">
      <c r="A175" s="4"/>
      <c r="B175" s="6"/>
      <c r="C175" s="6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5.75" customHeight="1" x14ac:dyDescent="0.25">
      <c r="A176" s="4"/>
      <c r="B176" s="6"/>
      <c r="C176" s="6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</row>
    <row r="177" spans="1:14" ht="15.75" customHeight="1" x14ac:dyDescent="0.25">
      <c r="A177" s="4"/>
      <c r="B177" s="6"/>
      <c r="C177" s="6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15.75" customHeight="1" x14ac:dyDescent="0.25">
      <c r="A178" s="4"/>
      <c r="B178" s="6"/>
      <c r="C178" s="6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5.75" customHeight="1" x14ac:dyDescent="0.25">
      <c r="A179" s="4"/>
      <c r="B179" s="6"/>
      <c r="C179" s="6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5.75" customHeight="1" x14ac:dyDescent="0.25">
      <c r="A180" s="4"/>
      <c r="B180" s="6"/>
      <c r="C180" s="6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5.75" customHeight="1" x14ac:dyDescent="0.25">
      <c r="A181" s="4"/>
      <c r="B181" s="6"/>
      <c r="C181" s="6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</row>
    <row r="182" spans="1:14" ht="15.75" customHeight="1" x14ac:dyDescent="0.25">
      <c r="A182" s="4"/>
      <c r="B182" s="6"/>
      <c r="C182" s="6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5.75" customHeight="1" x14ac:dyDescent="0.25">
      <c r="A183" s="4"/>
      <c r="B183" s="6"/>
      <c r="C183" s="6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5.75" customHeight="1" x14ac:dyDescent="0.25">
      <c r="A184" s="4"/>
      <c r="B184" s="6"/>
      <c r="C184" s="6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5.75" customHeight="1" x14ac:dyDescent="0.25">
      <c r="A185" s="4"/>
      <c r="B185" s="6"/>
      <c r="C185" s="6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5.75" customHeight="1" x14ac:dyDescent="0.25">
      <c r="A186" s="4"/>
      <c r="B186" s="6"/>
      <c r="C186" s="6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5.75" customHeight="1" x14ac:dyDescent="0.25">
      <c r="A187" s="4"/>
      <c r="B187" s="6"/>
      <c r="C187" s="6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5.75" customHeight="1" x14ac:dyDescent="0.25">
      <c r="A188" s="4"/>
      <c r="B188" s="6"/>
      <c r="C188" s="6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5.75" customHeight="1" x14ac:dyDescent="0.25">
      <c r="A189" s="4"/>
      <c r="B189" s="6"/>
      <c r="C189" s="6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5.75" customHeight="1" x14ac:dyDescent="0.25">
      <c r="A190" s="4"/>
      <c r="B190" s="6"/>
      <c r="C190" s="6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5.75" customHeight="1" x14ac:dyDescent="0.25">
      <c r="A191" s="4"/>
      <c r="B191" s="6"/>
      <c r="C191" s="6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5.75" customHeight="1" x14ac:dyDescent="0.25">
      <c r="A192" s="4"/>
      <c r="B192" s="6"/>
      <c r="C192" s="6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5.75" customHeight="1" x14ac:dyDescent="0.25">
      <c r="A193" s="4"/>
      <c r="B193" s="6"/>
      <c r="C193" s="6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5.75" customHeight="1" x14ac:dyDescent="0.25">
      <c r="A194" s="4"/>
      <c r="B194" s="6"/>
      <c r="C194" s="6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5.75" customHeight="1" x14ac:dyDescent="0.25">
      <c r="A195" s="4"/>
      <c r="B195" s="6"/>
      <c r="C195" s="6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5.75" customHeight="1" x14ac:dyDescent="0.25">
      <c r="A196" s="4"/>
      <c r="B196" s="6"/>
      <c r="C196" s="6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5.75" customHeight="1" x14ac:dyDescent="0.25">
      <c r="A197" s="4"/>
      <c r="B197" s="6"/>
      <c r="C197" s="6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</row>
    <row r="198" spans="1:14" ht="15.75" customHeight="1" x14ac:dyDescent="0.25">
      <c r="A198" s="4"/>
      <c r="B198" s="6"/>
      <c r="C198" s="6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5.75" customHeight="1" x14ac:dyDescent="0.25">
      <c r="A199" s="4"/>
      <c r="B199" s="6"/>
      <c r="C199" s="6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5.75" customHeight="1" x14ac:dyDescent="0.25">
      <c r="A200" s="4"/>
      <c r="B200" s="6"/>
      <c r="C200" s="6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5.75" customHeight="1" x14ac:dyDescent="0.25">
      <c r="A201" s="4"/>
      <c r="B201" s="6"/>
      <c r="C201" s="6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5.75" customHeight="1" x14ac:dyDescent="0.25">
      <c r="A202" s="4"/>
      <c r="B202" s="6"/>
      <c r="C202" s="6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5.75" customHeight="1" x14ac:dyDescent="0.25">
      <c r="A203" s="4"/>
      <c r="B203" s="6"/>
      <c r="C203" s="6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</row>
    <row r="204" spans="1:14" ht="15.75" customHeight="1" x14ac:dyDescent="0.25">
      <c r="A204" s="4"/>
      <c r="B204" s="6"/>
      <c r="C204" s="6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</row>
    <row r="205" spans="1:14" ht="15.75" customHeight="1" x14ac:dyDescent="0.25">
      <c r="A205" s="4"/>
      <c r="B205" s="6"/>
      <c r="C205" s="6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5.75" customHeight="1" x14ac:dyDescent="0.25">
      <c r="A206" s="4"/>
      <c r="B206" s="6"/>
      <c r="C206" s="6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5.75" customHeight="1" x14ac:dyDescent="0.25">
      <c r="A207" s="4"/>
      <c r="B207" s="6"/>
      <c r="C207" s="6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5.75" customHeight="1" x14ac:dyDescent="0.25">
      <c r="A208" s="4"/>
      <c r="B208" s="6"/>
      <c r="C208" s="6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5.75" customHeight="1" x14ac:dyDescent="0.25">
      <c r="A209" s="4"/>
      <c r="B209" s="6"/>
      <c r="C209" s="6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5.75" customHeight="1" x14ac:dyDescent="0.25">
      <c r="A210" s="4"/>
      <c r="B210" s="6"/>
      <c r="C210" s="6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</row>
    <row r="211" spans="1:14" ht="15.75" customHeight="1" x14ac:dyDescent="0.25">
      <c r="A211" s="4"/>
      <c r="B211" s="6"/>
      <c r="C211" s="6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5.75" customHeight="1" x14ac:dyDescent="0.25">
      <c r="A212" s="4"/>
      <c r="B212" s="6"/>
      <c r="C212" s="6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5.75" customHeight="1" x14ac:dyDescent="0.25">
      <c r="A213" s="4"/>
      <c r="B213" s="6"/>
      <c r="C213" s="6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5.75" customHeight="1" x14ac:dyDescent="0.25">
      <c r="A214" s="4"/>
      <c r="B214" s="6"/>
      <c r="C214" s="6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5.75" customHeight="1" x14ac:dyDescent="0.25">
      <c r="A215" s="4"/>
      <c r="B215" s="6"/>
      <c r="C215" s="6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5.75" customHeight="1" x14ac:dyDescent="0.25">
      <c r="A216" s="4"/>
      <c r="B216" s="6"/>
      <c r="C216" s="6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5.75" customHeight="1" x14ac:dyDescent="0.25">
      <c r="A217" s="4"/>
      <c r="B217" s="6"/>
      <c r="C217" s="6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5.75" customHeight="1" x14ac:dyDescent="0.25">
      <c r="A218" s="4"/>
      <c r="B218" s="6"/>
      <c r="C218" s="6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5.75" customHeight="1" x14ac:dyDescent="0.25">
      <c r="A219" s="4"/>
      <c r="B219" s="6"/>
      <c r="C219" s="6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5.75" customHeight="1" x14ac:dyDescent="0.25">
      <c r="A220" s="4"/>
      <c r="B220" s="6"/>
      <c r="C220" s="6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5.75" customHeight="1" x14ac:dyDescent="0.25">
      <c r="A221" s="4"/>
      <c r="B221" s="6"/>
      <c r="C221" s="6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5.75" customHeight="1" x14ac:dyDescent="0.25">
      <c r="A222" s="4"/>
      <c r="B222" s="6"/>
      <c r="C222" s="6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5.75" customHeight="1" x14ac:dyDescent="0.25">
      <c r="A223" s="4"/>
      <c r="B223" s="6"/>
      <c r="C223" s="6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5.75" customHeight="1" x14ac:dyDescent="0.25">
      <c r="A224" s="4"/>
      <c r="B224" s="6"/>
      <c r="C224" s="6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5.75" customHeight="1" x14ac:dyDescent="0.25">
      <c r="A225" s="4"/>
      <c r="B225" s="6"/>
      <c r="C225" s="6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5.75" customHeight="1" x14ac:dyDescent="0.25">
      <c r="A226" s="4"/>
      <c r="B226" s="6"/>
      <c r="C226" s="6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5.75" customHeight="1" x14ac:dyDescent="0.25">
      <c r="A227" s="4"/>
      <c r="B227" s="6"/>
      <c r="C227" s="6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5.75" customHeight="1" x14ac:dyDescent="0.25">
      <c r="A228" s="4"/>
      <c r="B228" s="6"/>
      <c r="C228" s="6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5.75" customHeight="1" x14ac:dyDescent="0.25">
      <c r="A229" s="4"/>
      <c r="B229" s="6"/>
      <c r="C229" s="6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5.75" customHeight="1" x14ac:dyDescent="0.25">
      <c r="A230" s="4"/>
      <c r="B230" s="6"/>
      <c r="C230" s="6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5.75" customHeight="1" x14ac:dyDescent="0.25">
      <c r="A231" s="4"/>
      <c r="B231" s="6"/>
      <c r="C231" s="6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5.75" customHeight="1" x14ac:dyDescent="0.25">
      <c r="A232" s="4"/>
      <c r="B232" s="6"/>
      <c r="C232" s="6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5.75" customHeight="1" x14ac:dyDescent="0.25">
      <c r="A233" s="4"/>
      <c r="B233" s="6"/>
      <c r="C233" s="6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5.75" customHeight="1" x14ac:dyDescent="0.25">
      <c r="A234" s="4"/>
      <c r="B234" s="6"/>
      <c r="C234" s="6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5.75" customHeight="1" x14ac:dyDescent="0.25">
      <c r="A235" s="4"/>
      <c r="B235" s="6"/>
      <c r="C235" s="6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5.75" customHeight="1" x14ac:dyDescent="0.25">
      <c r="A236" s="4"/>
      <c r="B236" s="6"/>
      <c r="C236" s="6"/>
      <c r="D236" s="4"/>
      <c r="E236" s="6"/>
      <c r="F236" s="4"/>
      <c r="G236" s="4"/>
      <c r="H236" s="4"/>
      <c r="I236" s="4"/>
      <c r="J236" s="4"/>
      <c r="K236" s="4"/>
      <c r="L236" s="4"/>
      <c r="M236" s="4"/>
      <c r="N236" s="4"/>
    </row>
    <row r="237" spans="1:14" ht="15.75" customHeight="1" x14ac:dyDescent="0.25">
      <c r="A237" s="4"/>
      <c r="B237" s="6"/>
      <c r="C237" s="6"/>
      <c r="D237" s="4"/>
      <c r="E237" s="6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5.75" customHeight="1" x14ac:dyDescent="0.25">
      <c r="A238" s="4"/>
      <c r="B238" s="6"/>
      <c r="C238" s="6"/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5.75" customHeight="1" x14ac:dyDescent="0.25">
      <c r="A239" s="4"/>
      <c r="B239" s="6"/>
      <c r="C239" s="6"/>
      <c r="D239" s="4"/>
      <c r="E239" s="6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5.75" customHeight="1" x14ac:dyDescent="0.25">
      <c r="A240" s="4"/>
      <c r="B240" s="6"/>
      <c r="C240" s="6"/>
      <c r="D240" s="4"/>
      <c r="E240" s="6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5.75" customHeight="1" x14ac:dyDescent="0.25">
      <c r="A241" s="4"/>
      <c r="B241" s="6"/>
      <c r="C241" s="6"/>
      <c r="D241" s="4"/>
      <c r="E241" s="6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5.75" customHeight="1" x14ac:dyDescent="0.25">
      <c r="A242" s="4"/>
      <c r="B242" s="6"/>
      <c r="C242" s="6"/>
      <c r="D242" s="4"/>
      <c r="E242" s="6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5.75" customHeight="1" x14ac:dyDescent="0.25">
      <c r="A243" s="4"/>
      <c r="B243" s="6"/>
      <c r="C243" s="6"/>
      <c r="D243" s="4"/>
      <c r="E243" s="6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5.75" customHeight="1" x14ac:dyDescent="0.25">
      <c r="A244" s="4"/>
      <c r="B244" s="6"/>
      <c r="C244" s="6"/>
      <c r="D244" s="4"/>
      <c r="E244" s="6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5.75" customHeight="1" x14ac:dyDescent="0.25">
      <c r="A245" s="4"/>
      <c r="B245" s="6"/>
      <c r="C245" s="6"/>
      <c r="D245" s="4"/>
      <c r="E245" s="6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5.75" customHeight="1" x14ac:dyDescent="0.25">
      <c r="A246" s="4"/>
      <c r="B246" s="6"/>
      <c r="C246" s="6"/>
      <c r="D246" s="4"/>
      <c r="E246" s="6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5.75" customHeight="1" x14ac:dyDescent="0.25">
      <c r="A247" s="4"/>
      <c r="B247" s="6"/>
      <c r="C247" s="6"/>
      <c r="D247" s="4"/>
      <c r="E247" s="6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5.75" customHeight="1" x14ac:dyDescent="0.25">
      <c r="A248" s="4"/>
      <c r="B248" s="6"/>
      <c r="C248" s="6"/>
      <c r="D248" s="4"/>
      <c r="E248" s="6"/>
      <c r="F248" s="4"/>
      <c r="G248" s="4"/>
      <c r="H248" s="4"/>
      <c r="I248" s="4"/>
      <c r="J248" s="4"/>
      <c r="K248" s="4"/>
      <c r="L248" s="4"/>
      <c r="M248" s="4"/>
      <c r="N248" s="4"/>
    </row>
    <row r="249" spans="1:14" ht="15.75" customHeight="1" x14ac:dyDescent="0.25">
      <c r="A249" s="4"/>
      <c r="B249" s="6"/>
      <c r="C249" s="6"/>
      <c r="D249" s="4"/>
      <c r="E249" s="6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5.75" customHeight="1" x14ac:dyDescent="0.25">
      <c r="A250" s="4"/>
      <c r="B250" s="6"/>
      <c r="C250" s="6"/>
      <c r="D250" s="4"/>
      <c r="E250" s="6"/>
      <c r="F250" s="4"/>
      <c r="G250" s="4"/>
      <c r="H250" s="4"/>
      <c r="I250" s="4"/>
      <c r="J250" s="4"/>
      <c r="K250" s="4"/>
      <c r="L250" s="4"/>
      <c r="M250" s="4"/>
      <c r="N250" s="4"/>
    </row>
    <row r="251" spans="1:14" ht="15.75" customHeight="1" x14ac:dyDescent="0.25">
      <c r="A251" s="4"/>
      <c r="B251" s="6"/>
      <c r="C251" s="6"/>
      <c r="D251" s="4"/>
      <c r="E251" s="6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15.75" customHeight="1" x14ac:dyDescent="0.25">
      <c r="A252" s="4"/>
      <c r="B252" s="6"/>
      <c r="C252" s="6"/>
      <c r="D252" s="4"/>
      <c r="E252" s="6"/>
      <c r="F252" s="4"/>
      <c r="G252" s="4"/>
      <c r="H252" s="4"/>
      <c r="I252" s="4"/>
      <c r="J252" s="4"/>
      <c r="K252" s="4"/>
      <c r="L252" s="4"/>
      <c r="M252" s="4"/>
      <c r="N252" s="4"/>
    </row>
    <row r="253" spans="1:14" ht="15.75" customHeight="1" x14ac:dyDescent="0.25">
      <c r="A253" s="4"/>
      <c r="B253" s="6"/>
      <c r="C253" s="6"/>
      <c r="D253" s="4"/>
      <c r="E253" s="6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5.75" customHeight="1" x14ac:dyDescent="0.25">
      <c r="A254" s="4"/>
      <c r="B254" s="6"/>
      <c r="C254" s="6"/>
      <c r="D254" s="4"/>
      <c r="E254" s="6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15.75" customHeight="1" x14ac:dyDescent="0.25">
      <c r="A255" s="4"/>
      <c r="B255" s="6"/>
      <c r="C255" s="6"/>
      <c r="D255" s="4"/>
      <c r="E255" s="6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5.75" customHeight="1" x14ac:dyDescent="0.25">
      <c r="A256" s="4"/>
      <c r="B256" s="6"/>
      <c r="C256" s="6"/>
      <c r="D256" s="4"/>
      <c r="E256" s="6"/>
      <c r="F256" s="4"/>
      <c r="G256" s="4"/>
      <c r="H256" s="4"/>
      <c r="I256" s="4"/>
      <c r="J256" s="4"/>
      <c r="K256" s="4"/>
      <c r="L256" s="4"/>
      <c r="M256" s="4"/>
      <c r="N256" s="4"/>
    </row>
    <row r="257" spans="1:14" ht="15.75" customHeight="1" x14ac:dyDescent="0.25">
      <c r="A257" s="4"/>
      <c r="B257" s="6"/>
      <c r="C257" s="6"/>
      <c r="D257" s="4"/>
      <c r="E257" s="6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5.75" customHeight="1" x14ac:dyDescent="0.25">
      <c r="A258" s="4"/>
      <c r="B258" s="6"/>
      <c r="C258" s="6"/>
      <c r="D258" s="4"/>
      <c r="E258" s="6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15.75" customHeight="1" x14ac:dyDescent="0.25">
      <c r="A259" s="4"/>
      <c r="B259" s="6"/>
      <c r="C259" s="6"/>
      <c r="D259" s="4"/>
      <c r="E259" s="6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5.75" customHeight="1" x14ac:dyDescent="0.25">
      <c r="A260" s="4"/>
      <c r="B260" s="6"/>
      <c r="C260" s="6"/>
      <c r="D260" s="4"/>
      <c r="E260" s="6"/>
      <c r="F260" s="4"/>
      <c r="G260" s="4"/>
      <c r="H260" s="4"/>
      <c r="I260" s="4"/>
      <c r="J260" s="4"/>
      <c r="K260" s="4"/>
      <c r="L260" s="4"/>
      <c r="M260" s="4"/>
      <c r="N260" s="4"/>
    </row>
    <row r="261" spans="1:14" ht="15.75" customHeight="1" x14ac:dyDescent="0.25">
      <c r="A261" s="4"/>
      <c r="B261" s="6"/>
      <c r="C261" s="6"/>
      <c r="D261" s="4"/>
      <c r="E261" s="6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5.75" customHeight="1" x14ac:dyDescent="0.25">
      <c r="A262" s="4"/>
      <c r="B262" s="6"/>
      <c r="C262" s="6"/>
      <c r="D262" s="4"/>
      <c r="E262" s="6"/>
      <c r="F262" s="4"/>
      <c r="G262" s="4"/>
      <c r="H262" s="4"/>
      <c r="I262" s="4"/>
      <c r="J262" s="4"/>
      <c r="K262" s="4"/>
      <c r="L262" s="4"/>
      <c r="M262" s="4"/>
      <c r="N262" s="4"/>
    </row>
    <row r="263" spans="1:14" ht="15.75" customHeight="1" x14ac:dyDescent="0.25">
      <c r="A263" s="4"/>
      <c r="B263" s="6"/>
      <c r="C263" s="6"/>
      <c r="D263" s="4"/>
      <c r="E263" s="6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5.75" customHeight="1" x14ac:dyDescent="0.25">
      <c r="A264" s="4"/>
      <c r="B264" s="6"/>
      <c r="C264" s="6"/>
      <c r="D264" s="4"/>
      <c r="E264" s="6"/>
      <c r="F264" s="4"/>
      <c r="G264" s="4"/>
      <c r="H264" s="4"/>
      <c r="I264" s="4"/>
      <c r="J264" s="4"/>
      <c r="K264" s="4"/>
      <c r="L264" s="4"/>
      <c r="M264" s="4"/>
      <c r="N264" s="4"/>
    </row>
    <row r="265" spans="1:14" ht="15.75" customHeight="1" x14ac:dyDescent="0.25">
      <c r="A265" s="4"/>
      <c r="B265" s="6"/>
      <c r="C265" s="6"/>
      <c r="D265" s="4"/>
      <c r="E265" s="6"/>
      <c r="F265" s="4"/>
      <c r="G265" s="4"/>
      <c r="H265" s="4"/>
      <c r="I265" s="4"/>
      <c r="J265" s="4"/>
      <c r="K265" s="4"/>
      <c r="L265" s="4"/>
      <c r="M265" s="4"/>
      <c r="N265" s="4"/>
    </row>
    <row r="266" spans="1:14" ht="15.75" customHeight="1" x14ac:dyDescent="0.25">
      <c r="A266" s="4"/>
      <c r="B266" s="6"/>
      <c r="C266" s="6"/>
      <c r="D266" s="4"/>
      <c r="E266" s="6"/>
      <c r="F266" s="4"/>
      <c r="G266" s="4"/>
      <c r="H266" s="4"/>
      <c r="I266" s="4"/>
      <c r="J266" s="4"/>
      <c r="K266" s="4"/>
      <c r="L266" s="4"/>
      <c r="M266" s="4"/>
      <c r="N266" s="4"/>
    </row>
    <row r="267" spans="1:14" ht="15.75" customHeight="1" x14ac:dyDescent="0.25">
      <c r="A267" s="4"/>
      <c r="B267" s="6"/>
      <c r="C267" s="6"/>
      <c r="D267" s="4"/>
      <c r="E267" s="6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5.75" customHeight="1" x14ac:dyDescent="0.25">
      <c r="A268" s="4"/>
      <c r="B268" s="6"/>
      <c r="C268" s="6"/>
      <c r="D268" s="4"/>
      <c r="E268" s="6"/>
      <c r="F268" s="4"/>
      <c r="G268" s="4"/>
      <c r="H268" s="4"/>
      <c r="I268" s="4"/>
      <c r="J268" s="4"/>
      <c r="K268" s="4"/>
      <c r="L268" s="4"/>
      <c r="M268" s="4"/>
      <c r="N268" s="4"/>
    </row>
    <row r="269" spans="1:14" ht="15.75" customHeight="1" x14ac:dyDescent="0.25">
      <c r="A269" s="4"/>
      <c r="B269" s="6"/>
      <c r="C269" s="6"/>
      <c r="D269" s="4"/>
      <c r="E269" s="6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5.75" customHeight="1" x14ac:dyDescent="0.25">
      <c r="A270" s="4"/>
      <c r="B270" s="6"/>
      <c r="C270" s="6"/>
      <c r="D270" s="4"/>
      <c r="E270" s="6"/>
      <c r="F270" s="4"/>
      <c r="G270" s="4"/>
      <c r="H270" s="4"/>
      <c r="I270" s="4"/>
      <c r="J270" s="4"/>
      <c r="K270" s="4"/>
      <c r="L270" s="4"/>
      <c r="M270" s="4"/>
      <c r="N270" s="4"/>
    </row>
    <row r="271" spans="1:14" ht="15.75" customHeight="1" x14ac:dyDescent="0.25">
      <c r="A271" s="4"/>
      <c r="B271" s="6"/>
      <c r="C271" s="6"/>
      <c r="D271" s="4"/>
      <c r="E271" s="6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5.75" customHeight="1" x14ac:dyDescent="0.25">
      <c r="A272" s="4"/>
      <c r="B272" s="6"/>
      <c r="C272" s="6"/>
      <c r="D272" s="4"/>
      <c r="E272" s="6"/>
      <c r="F272" s="4"/>
      <c r="G272" s="4"/>
      <c r="H272" s="4"/>
      <c r="I272" s="4"/>
      <c r="J272" s="4"/>
      <c r="K272" s="4"/>
      <c r="L272" s="4"/>
      <c r="M272" s="4"/>
      <c r="N272" s="4"/>
    </row>
    <row r="273" spans="1:14" ht="15.75" customHeight="1" x14ac:dyDescent="0.25">
      <c r="A273" s="4"/>
      <c r="B273" s="6"/>
      <c r="C273" s="6"/>
      <c r="D273" s="4"/>
      <c r="E273" s="6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5.75" customHeight="1" x14ac:dyDescent="0.25">
      <c r="A274" s="4"/>
      <c r="B274" s="6"/>
      <c r="C274" s="6"/>
      <c r="D274" s="4"/>
      <c r="E274" s="6"/>
      <c r="F274" s="4"/>
      <c r="G274" s="4"/>
      <c r="H274" s="4"/>
      <c r="I274" s="4"/>
      <c r="J274" s="4"/>
      <c r="K274" s="4"/>
      <c r="L274" s="4"/>
      <c r="M274" s="4"/>
      <c r="N274" s="4"/>
    </row>
    <row r="275" spans="1:14" ht="15.75" customHeight="1" x14ac:dyDescent="0.25">
      <c r="A275" s="4"/>
      <c r="B275" s="6"/>
      <c r="C275" s="6"/>
      <c r="D275" s="4"/>
      <c r="E275" s="6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5.75" customHeight="1" x14ac:dyDescent="0.25">
      <c r="A276" s="4"/>
      <c r="B276" s="6"/>
      <c r="C276" s="6"/>
      <c r="D276" s="4"/>
      <c r="E276" s="6"/>
      <c r="F276" s="4"/>
      <c r="G276" s="4"/>
      <c r="H276" s="4"/>
      <c r="I276" s="4"/>
      <c r="J276" s="4"/>
      <c r="K276" s="4"/>
      <c r="L276" s="4"/>
      <c r="M276" s="4"/>
      <c r="N276" s="4"/>
    </row>
    <row r="277" spans="1:14" ht="15.75" customHeight="1" x14ac:dyDescent="0.25">
      <c r="A277" s="4"/>
      <c r="B277" s="6"/>
      <c r="C277" s="6"/>
      <c r="D277" s="4"/>
      <c r="E277" s="6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5.75" customHeight="1" x14ac:dyDescent="0.25">
      <c r="A278" s="4"/>
      <c r="B278" s="6"/>
      <c r="C278" s="6"/>
      <c r="D278" s="4"/>
      <c r="E278" s="6"/>
      <c r="F278" s="4"/>
      <c r="G278" s="4"/>
      <c r="H278" s="4"/>
      <c r="I278" s="4"/>
      <c r="J278" s="4"/>
      <c r="K278" s="4"/>
      <c r="L278" s="4"/>
      <c r="M278" s="4"/>
      <c r="N278" s="4"/>
    </row>
    <row r="279" spans="1:14" ht="15.75" customHeight="1" x14ac:dyDescent="0.25">
      <c r="A279" s="4"/>
      <c r="B279" s="6"/>
      <c r="C279" s="6"/>
      <c r="D279" s="4"/>
      <c r="E279" s="6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5.75" customHeight="1" x14ac:dyDescent="0.25">
      <c r="A280" s="4"/>
      <c r="B280" s="6"/>
      <c r="C280" s="6"/>
      <c r="D280" s="4"/>
      <c r="E280" s="6"/>
      <c r="F280" s="4"/>
      <c r="G280" s="4"/>
      <c r="H280" s="4"/>
      <c r="I280" s="4"/>
      <c r="J280" s="4"/>
      <c r="K280" s="4"/>
      <c r="L280" s="4"/>
      <c r="M280" s="4"/>
      <c r="N280" s="4"/>
    </row>
    <row r="281" spans="1:14" ht="15.75" customHeight="1" x14ac:dyDescent="0.25">
      <c r="A281" s="4"/>
      <c r="B281" s="6"/>
      <c r="C281" s="6"/>
      <c r="D281" s="4"/>
      <c r="E281" s="6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5.75" customHeight="1" x14ac:dyDescent="0.25">
      <c r="A282" s="4"/>
      <c r="B282" s="6"/>
      <c r="C282" s="6"/>
      <c r="D282" s="4"/>
      <c r="E282" s="6"/>
      <c r="F282" s="4"/>
      <c r="G282" s="4"/>
      <c r="H282" s="4"/>
      <c r="I282" s="4"/>
      <c r="J282" s="4"/>
      <c r="K282" s="4"/>
      <c r="L282" s="4"/>
      <c r="M282" s="4"/>
      <c r="N282" s="4"/>
    </row>
    <row r="283" spans="1:14" ht="15.75" customHeight="1" x14ac:dyDescent="0.25">
      <c r="A283" s="4"/>
      <c r="B283" s="6"/>
      <c r="C283" s="6"/>
      <c r="D283" s="4"/>
      <c r="E283" s="6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5.75" customHeight="1" x14ac:dyDescent="0.25">
      <c r="A284" s="4"/>
      <c r="B284" s="6"/>
      <c r="C284" s="6"/>
      <c r="D284" s="4"/>
      <c r="E284" s="6"/>
      <c r="F284" s="4"/>
      <c r="G284" s="4"/>
      <c r="H284" s="4"/>
      <c r="I284" s="4"/>
      <c r="J284" s="4"/>
      <c r="K284" s="4"/>
      <c r="L284" s="4"/>
      <c r="M284" s="4"/>
      <c r="N284" s="4"/>
    </row>
    <row r="285" spans="1:14" ht="15.75" customHeight="1" x14ac:dyDescent="0.25">
      <c r="A285" s="4"/>
      <c r="B285" s="6"/>
      <c r="C285" s="6"/>
      <c r="D285" s="4"/>
      <c r="E285" s="6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5.75" customHeight="1" x14ac:dyDescent="0.25">
      <c r="A286" s="4"/>
      <c r="B286" s="6"/>
      <c r="C286" s="6"/>
      <c r="D286" s="4"/>
      <c r="E286" s="6"/>
      <c r="F286" s="4"/>
      <c r="G286" s="4"/>
      <c r="H286" s="4"/>
      <c r="I286" s="4"/>
      <c r="J286" s="4"/>
      <c r="K286" s="4"/>
      <c r="L286" s="4"/>
      <c r="M286" s="4"/>
      <c r="N286" s="4"/>
    </row>
    <row r="287" spans="1:14" ht="15.75" customHeight="1" x14ac:dyDescent="0.25">
      <c r="A287" s="4"/>
      <c r="B287" s="6"/>
      <c r="C287" s="6"/>
      <c r="D287" s="4"/>
      <c r="E287" s="6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5.75" customHeight="1" x14ac:dyDescent="0.25">
      <c r="A288" s="4"/>
      <c r="B288" s="6"/>
      <c r="C288" s="6"/>
      <c r="D288" s="4"/>
      <c r="E288" s="6"/>
      <c r="F288" s="4"/>
      <c r="G288" s="4"/>
      <c r="H288" s="4"/>
      <c r="I288" s="4"/>
      <c r="J288" s="4"/>
      <c r="K288" s="4"/>
      <c r="L288" s="4"/>
      <c r="M288" s="4"/>
      <c r="N288" s="4"/>
    </row>
    <row r="289" spans="1:14" ht="15.75" customHeight="1" x14ac:dyDescent="0.25">
      <c r="A289" s="4"/>
      <c r="B289" s="6"/>
      <c r="C289" s="6"/>
      <c r="D289" s="4"/>
      <c r="E289" s="6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5.75" customHeight="1" x14ac:dyDescent="0.25">
      <c r="A290" s="4"/>
      <c r="B290" s="6"/>
      <c r="C290" s="6"/>
      <c r="D290" s="4"/>
      <c r="E290" s="6"/>
      <c r="F290" s="4"/>
      <c r="G290" s="4"/>
      <c r="H290" s="4"/>
      <c r="I290" s="4"/>
      <c r="J290" s="4"/>
      <c r="K290" s="4"/>
      <c r="L290" s="4"/>
      <c r="M290" s="4"/>
      <c r="N290" s="4"/>
    </row>
    <row r="291" spans="1:14" ht="15.75" customHeight="1" x14ac:dyDescent="0.25">
      <c r="A291" s="4"/>
      <c r="B291" s="6"/>
      <c r="C291" s="6"/>
      <c r="D291" s="4"/>
      <c r="E291" s="6"/>
      <c r="F291" s="4"/>
      <c r="G291" s="4"/>
      <c r="H291" s="4"/>
      <c r="I291" s="4"/>
      <c r="J291" s="4"/>
      <c r="K291" s="4"/>
      <c r="L291" s="4"/>
      <c r="M291" s="4"/>
      <c r="N291" s="4"/>
    </row>
    <row r="292" spans="1:14" ht="15.75" customHeight="1" x14ac:dyDescent="0.25">
      <c r="A292" s="4"/>
      <c r="B292" s="6"/>
      <c r="C292" s="6"/>
      <c r="D292" s="4"/>
      <c r="E292" s="6"/>
      <c r="F292" s="4"/>
      <c r="G292" s="4"/>
      <c r="H292" s="4"/>
      <c r="I292" s="4"/>
      <c r="J292" s="4"/>
      <c r="K292" s="4"/>
      <c r="L292" s="4"/>
      <c r="M292" s="4"/>
      <c r="N292" s="4"/>
    </row>
    <row r="293" spans="1:14" ht="15.75" customHeight="1" x14ac:dyDescent="0.25">
      <c r="A293" s="4"/>
      <c r="B293" s="6"/>
      <c r="C293" s="6"/>
      <c r="D293" s="4"/>
      <c r="E293" s="6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5.75" customHeight="1" x14ac:dyDescent="0.25">
      <c r="A294" s="4"/>
      <c r="B294" s="6"/>
      <c r="C294" s="6"/>
      <c r="D294" s="4"/>
      <c r="E294" s="6"/>
      <c r="F294" s="4"/>
      <c r="G294" s="4"/>
      <c r="H294" s="4"/>
      <c r="I294" s="4"/>
      <c r="J294" s="4"/>
      <c r="K294" s="4"/>
      <c r="L294" s="4"/>
      <c r="M294" s="4"/>
      <c r="N294" s="4"/>
    </row>
    <row r="295" spans="1:14" ht="15.75" customHeight="1" x14ac:dyDescent="0.25">
      <c r="A295" s="4"/>
      <c r="B295" s="6"/>
      <c r="C295" s="6"/>
      <c r="D295" s="4"/>
      <c r="E295" s="6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5.75" customHeight="1" x14ac:dyDescent="0.25">
      <c r="A296" s="4"/>
      <c r="B296" s="6"/>
      <c r="C296" s="6"/>
      <c r="D296" s="4"/>
      <c r="E296" s="6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5.75" customHeight="1" x14ac:dyDescent="0.25">
      <c r="A297" s="4"/>
      <c r="B297" s="6"/>
      <c r="C297" s="6"/>
      <c r="D297" s="4"/>
      <c r="E297" s="6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5.75" customHeight="1" x14ac:dyDescent="0.25">
      <c r="A298" s="4"/>
      <c r="B298" s="6"/>
      <c r="C298" s="6"/>
      <c r="D298" s="4"/>
      <c r="E298" s="6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15.75" customHeight="1" x14ac:dyDescent="0.25">
      <c r="A299" s="4"/>
      <c r="B299" s="6"/>
      <c r="C299" s="6"/>
      <c r="D299" s="4"/>
      <c r="E299" s="6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5.75" customHeight="1" x14ac:dyDescent="0.25">
      <c r="A300" s="4"/>
      <c r="B300" s="6"/>
      <c r="C300" s="6"/>
      <c r="D300" s="4"/>
      <c r="E300" s="6"/>
      <c r="F300" s="4"/>
      <c r="G300" s="4"/>
      <c r="H300" s="4"/>
      <c r="I300" s="4"/>
      <c r="J300" s="4"/>
      <c r="K300" s="4"/>
      <c r="L300" s="4"/>
      <c r="M300" s="4"/>
      <c r="N300" s="4"/>
    </row>
    <row r="301" spans="1:14" ht="15.75" customHeight="1" x14ac:dyDescent="0.25">
      <c r="A301" s="4"/>
      <c r="B301" s="6"/>
      <c r="C301" s="6"/>
      <c r="D301" s="4"/>
      <c r="E301" s="6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5.75" customHeight="1" x14ac:dyDescent="0.25">
      <c r="A302" s="4"/>
      <c r="B302" s="6"/>
      <c r="C302" s="6"/>
      <c r="D302" s="4"/>
      <c r="E302" s="6"/>
      <c r="F302" s="4"/>
      <c r="G302" s="4"/>
      <c r="H302" s="4"/>
      <c r="I302" s="4"/>
      <c r="J302" s="4"/>
      <c r="K302" s="4"/>
      <c r="L302" s="4"/>
      <c r="M302" s="4"/>
      <c r="N302" s="4"/>
    </row>
    <row r="303" spans="1:14" ht="15.75" customHeight="1" x14ac:dyDescent="0.25">
      <c r="A303" s="4"/>
      <c r="B303" s="6"/>
      <c r="C303" s="6"/>
      <c r="D303" s="4"/>
      <c r="E303" s="6"/>
      <c r="F303" s="4"/>
      <c r="G303" s="4"/>
      <c r="H303" s="4"/>
      <c r="I303" s="4"/>
      <c r="J303" s="4"/>
      <c r="K303" s="4"/>
      <c r="L303" s="4"/>
      <c r="M303" s="4"/>
      <c r="N303" s="4"/>
    </row>
    <row r="304" spans="1:14" ht="15.75" customHeight="1" x14ac:dyDescent="0.25">
      <c r="A304" s="4"/>
      <c r="B304" s="6"/>
      <c r="C304" s="6"/>
      <c r="D304" s="4"/>
      <c r="E304" s="6"/>
      <c r="F304" s="4"/>
      <c r="G304" s="4"/>
      <c r="H304" s="4"/>
      <c r="I304" s="4"/>
      <c r="J304" s="4"/>
      <c r="K304" s="4"/>
      <c r="L304" s="4"/>
      <c r="M304" s="4"/>
      <c r="N304" s="4"/>
    </row>
    <row r="305" spans="1:14" ht="15.75" customHeight="1" x14ac:dyDescent="0.25">
      <c r="A305" s="4"/>
      <c r="B305" s="6"/>
      <c r="C305" s="6"/>
      <c r="D305" s="4"/>
      <c r="E305" s="6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5.75" customHeight="1" x14ac:dyDescent="0.25">
      <c r="A306" s="4"/>
      <c r="B306" s="6"/>
      <c r="C306" s="6"/>
      <c r="D306" s="4"/>
      <c r="E306" s="6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5.75" customHeight="1" x14ac:dyDescent="0.25">
      <c r="A307" s="4"/>
      <c r="B307" s="6"/>
      <c r="C307" s="6"/>
      <c r="D307" s="4"/>
      <c r="E307" s="6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5.75" customHeight="1" x14ac:dyDescent="0.25">
      <c r="A308" s="4"/>
      <c r="B308" s="6"/>
      <c r="C308" s="6"/>
      <c r="D308" s="4"/>
      <c r="E308" s="6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5.75" customHeight="1" x14ac:dyDescent="0.25">
      <c r="A309" s="4"/>
      <c r="B309" s="6"/>
      <c r="C309" s="6"/>
      <c r="D309" s="4"/>
      <c r="E309" s="6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5.75" customHeight="1" x14ac:dyDescent="0.25">
      <c r="A310" s="4"/>
      <c r="B310" s="6"/>
      <c r="C310" s="6"/>
      <c r="D310" s="4"/>
      <c r="E310" s="6"/>
      <c r="F310" s="4"/>
      <c r="G310" s="4"/>
      <c r="H310" s="4"/>
      <c r="I310" s="4"/>
      <c r="J310" s="4"/>
      <c r="K310" s="4"/>
      <c r="L310" s="4"/>
      <c r="M310" s="4"/>
      <c r="N310" s="4"/>
    </row>
    <row r="311" spans="1:14" ht="15.75" customHeight="1" x14ac:dyDescent="0.25">
      <c r="A311" s="4"/>
      <c r="B311" s="6"/>
      <c r="C311" s="6"/>
      <c r="D311" s="4"/>
      <c r="E311" s="6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5.75" customHeight="1" x14ac:dyDescent="0.25">
      <c r="A312" s="4"/>
      <c r="B312" s="6"/>
      <c r="C312" s="6"/>
      <c r="D312" s="4"/>
      <c r="E312" s="6"/>
      <c r="F312" s="4"/>
      <c r="G312" s="4"/>
      <c r="H312" s="4"/>
      <c r="I312" s="4"/>
      <c r="J312" s="4"/>
      <c r="K312" s="4"/>
      <c r="L312" s="4"/>
      <c r="M312" s="4"/>
      <c r="N312" s="4"/>
    </row>
    <row r="313" spans="1:14" ht="15.75" customHeight="1" x14ac:dyDescent="0.25">
      <c r="A313" s="4"/>
      <c r="B313" s="6"/>
      <c r="C313" s="6"/>
      <c r="D313" s="4"/>
      <c r="E313" s="6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5.75" customHeight="1" x14ac:dyDescent="0.25">
      <c r="A314" s="4"/>
      <c r="B314" s="6"/>
      <c r="C314" s="6"/>
      <c r="D314" s="4"/>
      <c r="E314" s="6"/>
      <c r="F314" s="4"/>
      <c r="G314" s="4"/>
      <c r="H314" s="4"/>
      <c r="I314" s="4"/>
      <c r="J314" s="4"/>
      <c r="K314" s="4"/>
      <c r="L314" s="4"/>
      <c r="M314" s="4"/>
      <c r="N314" s="4"/>
    </row>
    <row r="315" spans="1:14" ht="15.75" customHeight="1" x14ac:dyDescent="0.25">
      <c r="A315" s="4"/>
      <c r="B315" s="6"/>
      <c r="C315" s="6"/>
      <c r="D315" s="4"/>
      <c r="E315" s="6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5.75" customHeight="1" x14ac:dyDescent="0.25">
      <c r="A316" s="4"/>
      <c r="B316" s="6"/>
      <c r="C316" s="6"/>
      <c r="D316" s="4"/>
      <c r="E316" s="6"/>
      <c r="F316" s="4"/>
      <c r="G316" s="4"/>
      <c r="H316" s="4"/>
      <c r="I316" s="4"/>
      <c r="J316" s="4"/>
      <c r="K316" s="4"/>
      <c r="L316" s="4"/>
      <c r="M316" s="4"/>
      <c r="N316" s="4"/>
    </row>
    <row r="317" spans="1:14" ht="15.75" customHeight="1" x14ac:dyDescent="0.25">
      <c r="A317" s="4"/>
      <c r="B317" s="6"/>
      <c r="C317" s="6"/>
      <c r="D317" s="4"/>
      <c r="E317" s="6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5.75" customHeight="1" x14ac:dyDescent="0.25">
      <c r="A318" s="4"/>
      <c r="B318" s="6"/>
      <c r="C318" s="6"/>
      <c r="D318" s="4"/>
      <c r="E318" s="6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5.75" customHeight="1" x14ac:dyDescent="0.25">
      <c r="A319" s="4"/>
      <c r="B319" s="6"/>
      <c r="C319" s="6"/>
      <c r="D319" s="4"/>
      <c r="E319" s="6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5.75" customHeight="1" x14ac:dyDescent="0.25">
      <c r="A320" s="4"/>
      <c r="B320" s="6"/>
      <c r="C320" s="6"/>
      <c r="D320" s="4"/>
      <c r="E320" s="6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5.75" customHeight="1" x14ac:dyDescent="0.25">
      <c r="A321" s="4"/>
      <c r="B321" s="6"/>
      <c r="C321" s="6"/>
      <c r="D321" s="4"/>
      <c r="E321" s="6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5.75" customHeight="1" x14ac:dyDescent="0.25">
      <c r="A322" s="4"/>
      <c r="B322" s="6"/>
      <c r="C322" s="6"/>
      <c r="D322" s="4"/>
      <c r="E322" s="6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5.75" customHeight="1" x14ac:dyDescent="0.25">
      <c r="A323" s="4"/>
      <c r="B323" s="6"/>
      <c r="C323" s="6"/>
      <c r="D323" s="4"/>
      <c r="E323" s="6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5.75" customHeight="1" x14ac:dyDescent="0.25">
      <c r="A324" s="4"/>
      <c r="B324" s="6"/>
      <c r="C324" s="6"/>
      <c r="D324" s="4"/>
      <c r="E324" s="6"/>
      <c r="F324" s="4"/>
      <c r="G324" s="4"/>
      <c r="H324" s="4"/>
      <c r="I324" s="4"/>
      <c r="J324" s="4"/>
      <c r="K324" s="4"/>
      <c r="L324" s="4"/>
      <c r="M324" s="4"/>
      <c r="N324" s="4"/>
    </row>
    <row r="325" spans="1:14" ht="15.75" customHeight="1" x14ac:dyDescent="0.25">
      <c r="A325" s="4"/>
      <c r="B325" s="6"/>
      <c r="C325" s="6"/>
      <c r="D325" s="4"/>
      <c r="E325" s="6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5.75" customHeight="1" x14ac:dyDescent="0.25">
      <c r="A326" s="4"/>
      <c r="B326" s="6"/>
      <c r="C326" s="6"/>
      <c r="D326" s="4"/>
      <c r="E326" s="6"/>
      <c r="F326" s="4"/>
      <c r="G326" s="4"/>
      <c r="H326" s="4"/>
      <c r="I326" s="4"/>
      <c r="J326" s="4"/>
      <c r="K326" s="4"/>
      <c r="L326" s="4"/>
      <c r="M326" s="4"/>
      <c r="N326" s="4"/>
    </row>
    <row r="327" spans="1:14" ht="15.75" customHeight="1" x14ac:dyDescent="0.25">
      <c r="A327" s="4"/>
      <c r="B327" s="6"/>
      <c r="C327" s="6"/>
      <c r="D327" s="4"/>
      <c r="E327" s="6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5.75" customHeight="1" x14ac:dyDescent="0.25">
      <c r="A328" s="4"/>
      <c r="B328" s="6"/>
      <c r="C328" s="6"/>
      <c r="D328" s="4"/>
      <c r="E328" s="6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5.75" customHeight="1" x14ac:dyDescent="0.25">
      <c r="A329" s="4"/>
      <c r="B329" s="6"/>
      <c r="C329" s="6"/>
      <c r="D329" s="4"/>
      <c r="E329" s="6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5.75" customHeight="1" x14ac:dyDescent="0.25">
      <c r="A330" s="4"/>
      <c r="B330" s="6"/>
      <c r="C330" s="6"/>
      <c r="D330" s="4"/>
      <c r="E330" s="6"/>
      <c r="F330" s="4"/>
      <c r="G330" s="4"/>
      <c r="H330" s="4"/>
      <c r="I330" s="4"/>
      <c r="J330" s="4"/>
      <c r="K330" s="4"/>
      <c r="L330" s="4"/>
      <c r="M330" s="4"/>
      <c r="N330" s="4"/>
    </row>
    <row r="331" spans="1:14" ht="15.75" customHeight="1" x14ac:dyDescent="0.25">
      <c r="A331" s="4"/>
      <c r="B331" s="6"/>
      <c r="C331" s="6"/>
      <c r="D331" s="4"/>
      <c r="E331" s="6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5.75" customHeight="1" x14ac:dyDescent="0.25">
      <c r="A332" s="4"/>
      <c r="B332" s="6"/>
      <c r="C332" s="6"/>
      <c r="D332" s="4"/>
      <c r="E332" s="6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5.75" customHeight="1" x14ac:dyDescent="0.25">
      <c r="A333" s="4"/>
      <c r="B333" s="6"/>
      <c r="C333" s="6"/>
      <c r="D333" s="4"/>
      <c r="E333" s="6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5.75" customHeight="1" x14ac:dyDescent="0.25">
      <c r="A334" s="4"/>
      <c r="B334" s="6"/>
      <c r="C334" s="6"/>
      <c r="D334" s="4"/>
      <c r="E334" s="6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5.75" customHeight="1" x14ac:dyDescent="0.25">
      <c r="A335" s="4"/>
      <c r="B335" s="6"/>
      <c r="C335" s="6"/>
      <c r="D335" s="4"/>
      <c r="E335" s="6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5.75" customHeight="1" x14ac:dyDescent="0.25">
      <c r="A336" s="4"/>
      <c r="B336" s="6"/>
      <c r="C336" s="6"/>
      <c r="D336" s="4"/>
      <c r="E336" s="6"/>
      <c r="F336" s="4"/>
      <c r="G336" s="4"/>
      <c r="H336" s="4"/>
      <c r="I336" s="4"/>
      <c r="J336" s="4"/>
      <c r="K336" s="4"/>
      <c r="L336" s="4"/>
      <c r="M336" s="4"/>
      <c r="N336" s="4"/>
    </row>
    <row r="337" spans="1:14" ht="15.75" customHeight="1" x14ac:dyDescent="0.25">
      <c r="A337" s="4"/>
      <c r="B337" s="6"/>
      <c r="C337" s="6"/>
      <c r="D337" s="4"/>
      <c r="E337" s="6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5.75" customHeight="1" x14ac:dyDescent="0.25">
      <c r="A338" s="4"/>
      <c r="B338" s="6"/>
      <c r="C338" s="6"/>
      <c r="D338" s="4"/>
      <c r="E338" s="6"/>
      <c r="F338" s="4"/>
      <c r="G338" s="4"/>
      <c r="H338" s="4"/>
      <c r="I338" s="4"/>
      <c r="J338" s="4"/>
      <c r="K338" s="4"/>
      <c r="L338" s="4"/>
      <c r="M338" s="4"/>
      <c r="N338" s="4"/>
    </row>
    <row r="339" spans="1:14" ht="15.75" customHeight="1" x14ac:dyDescent="0.25">
      <c r="A339" s="4"/>
      <c r="B339" s="6"/>
      <c r="C339" s="6"/>
      <c r="D339" s="4"/>
      <c r="E339" s="6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5.75" customHeight="1" x14ac:dyDescent="0.25">
      <c r="A340" s="4"/>
      <c r="B340" s="6"/>
      <c r="C340" s="6"/>
      <c r="D340" s="4"/>
      <c r="E340" s="6"/>
      <c r="F340" s="4"/>
      <c r="G340" s="4"/>
      <c r="H340" s="4"/>
      <c r="I340" s="4"/>
      <c r="J340" s="4"/>
      <c r="K340" s="4"/>
      <c r="L340" s="4"/>
      <c r="M340" s="4"/>
      <c r="N340" s="4"/>
    </row>
    <row r="341" spans="1:14" ht="15.75" customHeight="1" x14ac:dyDescent="0.25">
      <c r="A341" s="4"/>
      <c r="B341" s="6"/>
      <c r="C341" s="6"/>
      <c r="D341" s="4"/>
      <c r="E341" s="6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5.75" customHeight="1" x14ac:dyDescent="0.25">
      <c r="A342" s="4"/>
      <c r="B342" s="6"/>
      <c r="C342" s="6"/>
      <c r="D342" s="4"/>
      <c r="E342" s="6"/>
      <c r="F342" s="4"/>
      <c r="G342" s="4"/>
      <c r="H342" s="4"/>
      <c r="I342" s="4"/>
      <c r="J342" s="4"/>
      <c r="K342" s="4"/>
      <c r="L342" s="4"/>
      <c r="M342" s="4"/>
      <c r="N342" s="4"/>
    </row>
    <row r="343" spans="1:14" ht="15.75" customHeight="1" x14ac:dyDescent="0.25">
      <c r="A343" s="4"/>
      <c r="B343" s="6"/>
      <c r="C343" s="6"/>
      <c r="D343" s="4"/>
      <c r="E343" s="6"/>
      <c r="F343" s="4"/>
      <c r="G343" s="4"/>
      <c r="H343" s="4"/>
      <c r="I343" s="4"/>
      <c r="J343" s="4"/>
      <c r="K343" s="4"/>
      <c r="L343" s="4"/>
      <c r="M343" s="4"/>
      <c r="N343" s="4"/>
    </row>
    <row r="344" spans="1:14" ht="15.75" customHeight="1" x14ac:dyDescent="0.25">
      <c r="A344" s="4"/>
      <c r="B344" s="6"/>
      <c r="C344" s="6"/>
      <c r="D344" s="4"/>
      <c r="E344" s="6"/>
      <c r="F344" s="4"/>
      <c r="G344" s="4"/>
      <c r="H344" s="4"/>
      <c r="I344" s="4"/>
      <c r="J344" s="4"/>
      <c r="K344" s="4"/>
      <c r="L344" s="4"/>
      <c r="M344" s="4"/>
      <c r="N344" s="4"/>
    </row>
    <row r="345" spans="1:14" ht="15.75" customHeight="1" x14ac:dyDescent="0.25">
      <c r="A345" s="4"/>
      <c r="B345" s="6"/>
      <c r="C345" s="6"/>
      <c r="D345" s="4"/>
      <c r="E345" s="6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5.75" customHeight="1" x14ac:dyDescent="0.25">
      <c r="A346" s="4"/>
      <c r="B346" s="6"/>
      <c r="C346" s="6"/>
      <c r="D346" s="4"/>
      <c r="E346" s="6"/>
      <c r="F346" s="4"/>
      <c r="G346" s="4"/>
      <c r="H346" s="4"/>
      <c r="I346" s="4"/>
      <c r="J346" s="4"/>
      <c r="K346" s="4"/>
      <c r="L346" s="4"/>
      <c r="M346" s="4"/>
      <c r="N346" s="4"/>
    </row>
    <row r="347" spans="1:14" ht="15.75" customHeight="1" x14ac:dyDescent="0.25">
      <c r="A347" s="4"/>
      <c r="B347" s="6"/>
      <c r="C347" s="6"/>
      <c r="D347" s="4"/>
      <c r="E347" s="6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5.75" customHeight="1" x14ac:dyDescent="0.25">
      <c r="A348" s="4"/>
      <c r="B348" s="6"/>
      <c r="C348" s="6"/>
      <c r="D348" s="4"/>
      <c r="E348" s="6"/>
      <c r="F348" s="4"/>
      <c r="G348" s="4"/>
      <c r="H348" s="4"/>
      <c r="I348" s="4"/>
      <c r="J348" s="4"/>
      <c r="K348" s="4"/>
      <c r="L348" s="4"/>
      <c r="M348" s="4"/>
      <c r="N348" s="4"/>
    </row>
    <row r="349" spans="1:14" ht="15.75" customHeight="1" x14ac:dyDescent="0.25">
      <c r="A349" s="4"/>
      <c r="B349" s="6"/>
      <c r="C349" s="6"/>
      <c r="D349" s="4"/>
      <c r="E349" s="6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5.75" customHeight="1" x14ac:dyDescent="0.25">
      <c r="A350" s="4"/>
      <c r="B350" s="6"/>
      <c r="C350" s="6"/>
      <c r="D350" s="4"/>
      <c r="E350" s="6"/>
      <c r="F350" s="4"/>
      <c r="G350" s="4"/>
      <c r="H350" s="4"/>
      <c r="I350" s="4"/>
      <c r="J350" s="4"/>
      <c r="K350" s="4"/>
      <c r="L350" s="4"/>
      <c r="M350" s="4"/>
      <c r="N350" s="4"/>
    </row>
    <row r="351" spans="1:14" ht="15.75" customHeight="1" x14ac:dyDescent="0.25">
      <c r="A351" s="4"/>
      <c r="B351" s="6"/>
      <c r="C351" s="6"/>
      <c r="D351" s="4"/>
      <c r="E351" s="6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5.75" customHeight="1" x14ac:dyDescent="0.25">
      <c r="A352" s="4"/>
      <c r="B352" s="6"/>
      <c r="C352" s="6"/>
      <c r="D352" s="4"/>
      <c r="E352" s="6"/>
      <c r="F352" s="4"/>
      <c r="G352" s="4"/>
      <c r="H352" s="4"/>
      <c r="I352" s="4"/>
      <c r="J352" s="4"/>
      <c r="K352" s="4"/>
      <c r="L352" s="4"/>
      <c r="M352" s="4"/>
      <c r="N352" s="4"/>
    </row>
    <row r="353" spans="1:14" ht="15.75" customHeight="1" x14ac:dyDescent="0.25">
      <c r="A353" s="4"/>
      <c r="B353" s="6"/>
      <c r="C353" s="6"/>
      <c r="D353" s="4"/>
      <c r="E353" s="6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5.75" customHeight="1" x14ac:dyDescent="0.25">
      <c r="A354" s="4"/>
      <c r="B354" s="6"/>
      <c r="C354" s="6"/>
      <c r="D354" s="4"/>
      <c r="E354" s="6"/>
      <c r="F354" s="4"/>
      <c r="G354" s="4"/>
      <c r="H354" s="4"/>
      <c r="I354" s="4"/>
      <c r="J354" s="4"/>
      <c r="K354" s="4"/>
      <c r="L354" s="4"/>
      <c r="M354" s="4"/>
      <c r="N354" s="4"/>
    </row>
    <row r="355" spans="1:14" ht="15.75" customHeight="1" x14ac:dyDescent="0.25">
      <c r="A355" s="4"/>
      <c r="B355" s="6"/>
      <c r="C355" s="6"/>
      <c r="D355" s="4"/>
      <c r="E355" s="6"/>
      <c r="F355" s="4"/>
      <c r="G355" s="4"/>
      <c r="H355" s="4"/>
      <c r="I355" s="4"/>
      <c r="J355" s="4"/>
      <c r="K355" s="4"/>
      <c r="L355" s="4"/>
      <c r="M355" s="4"/>
      <c r="N355" s="4"/>
    </row>
    <row r="356" spans="1:14" ht="15.75" customHeight="1" x14ac:dyDescent="0.25">
      <c r="A356" s="4"/>
      <c r="B356" s="6"/>
      <c r="C356" s="6"/>
      <c r="D356" s="4"/>
      <c r="E356" s="6"/>
      <c r="F356" s="4"/>
      <c r="G356" s="4"/>
      <c r="H356" s="4"/>
      <c r="I356" s="4"/>
      <c r="J356" s="4"/>
      <c r="K356" s="4"/>
      <c r="L356" s="4"/>
      <c r="M356" s="4"/>
      <c r="N356" s="4"/>
    </row>
    <row r="357" spans="1:14" ht="15.75" customHeight="1" x14ac:dyDescent="0.25">
      <c r="A357" s="4"/>
      <c r="B357" s="6"/>
      <c r="C357" s="6"/>
      <c r="D357" s="4"/>
      <c r="E357" s="6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5.75" customHeight="1" x14ac:dyDescent="0.25">
      <c r="A358" s="4"/>
      <c r="B358" s="6"/>
      <c r="C358" s="6"/>
      <c r="D358" s="4"/>
      <c r="E358" s="6"/>
      <c r="F358" s="4"/>
      <c r="G358" s="4"/>
      <c r="H358" s="4"/>
      <c r="I358" s="4"/>
      <c r="J358" s="4"/>
      <c r="K358" s="4"/>
      <c r="L358" s="4"/>
      <c r="M358" s="4"/>
      <c r="N358" s="4"/>
    </row>
    <row r="359" spans="1:14" ht="15.75" customHeight="1" x14ac:dyDescent="0.25">
      <c r="A359" s="4"/>
      <c r="B359" s="6"/>
      <c r="C359" s="6"/>
      <c r="D359" s="4"/>
      <c r="E359" s="6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5.75" customHeight="1" x14ac:dyDescent="0.25">
      <c r="A360" s="4"/>
      <c r="B360" s="6"/>
      <c r="C360" s="6"/>
      <c r="D360" s="4"/>
      <c r="E360" s="6"/>
      <c r="F360" s="4"/>
      <c r="G360" s="4"/>
      <c r="H360" s="4"/>
      <c r="I360" s="4"/>
      <c r="J360" s="4"/>
      <c r="K360" s="4"/>
      <c r="L360" s="4"/>
      <c r="M360" s="4"/>
      <c r="N360" s="4"/>
    </row>
    <row r="361" spans="1:14" ht="15.75" customHeight="1" x14ac:dyDescent="0.25">
      <c r="A361" s="4"/>
      <c r="B361" s="6"/>
      <c r="C361" s="6"/>
      <c r="D361" s="4"/>
      <c r="E361" s="6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5.75" customHeight="1" x14ac:dyDescent="0.25">
      <c r="A362" s="4"/>
      <c r="B362" s="6"/>
      <c r="C362" s="6"/>
      <c r="D362" s="4"/>
      <c r="E362" s="6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5.75" customHeight="1" x14ac:dyDescent="0.25">
      <c r="A363" s="4"/>
      <c r="B363" s="6"/>
      <c r="C363" s="6"/>
      <c r="D363" s="4"/>
      <c r="E363" s="6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5.75" customHeight="1" x14ac:dyDescent="0.25">
      <c r="A364" s="4"/>
      <c r="B364" s="6"/>
      <c r="C364" s="6"/>
      <c r="D364" s="4"/>
      <c r="E364" s="6"/>
      <c r="F364" s="4"/>
      <c r="G364" s="4"/>
      <c r="H364" s="4"/>
      <c r="I364" s="4"/>
      <c r="J364" s="4"/>
      <c r="K364" s="4"/>
      <c r="L364" s="4"/>
      <c r="M364" s="4"/>
      <c r="N364" s="4"/>
    </row>
    <row r="365" spans="1:14" ht="15.75" customHeight="1" x14ac:dyDescent="0.25">
      <c r="A365" s="4"/>
      <c r="B365" s="6"/>
      <c r="C365" s="6"/>
      <c r="D365" s="4"/>
      <c r="E365" s="6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5.75" customHeight="1" x14ac:dyDescent="0.25">
      <c r="A366" s="4"/>
      <c r="B366" s="6"/>
      <c r="C366" s="6"/>
      <c r="D366" s="4"/>
      <c r="E366" s="6"/>
      <c r="F366" s="4"/>
      <c r="G366" s="4"/>
      <c r="H366" s="4"/>
      <c r="I366" s="4"/>
      <c r="J366" s="4"/>
      <c r="K366" s="4"/>
      <c r="L366" s="4"/>
      <c r="M366" s="4"/>
      <c r="N366" s="4"/>
    </row>
    <row r="367" spans="1:14" ht="15.75" customHeight="1" x14ac:dyDescent="0.25">
      <c r="A367" s="4"/>
      <c r="B367" s="6"/>
      <c r="C367" s="6"/>
      <c r="D367" s="4"/>
      <c r="E367" s="6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5.75" customHeight="1" x14ac:dyDescent="0.25">
      <c r="A368" s="4"/>
      <c r="B368" s="6"/>
      <c r="C368" s="6"/>
      <c r="D368" s="4"/>
      <c r="E368" s="6"/>
      <c r="F368" s="4"/>
      <c r="G368" s="4"/>
      <c r="H368" s="4"/>
      <c r="I368" s="4"/>
      <c r="J368" s="4"/>
      <c r="K368" s="4"/>
      <c r="L368" s="4"/>
      <c r="M368" s="4"/>
      <c r="N368" s="4"/>
    </row>
    <row r="369" spans="1:14" ht="15.75" customHeight="1" x14ac:dyDescent="0.25">
      <c r="A369" s="4"/>
      <c r="B369" s="6"/>
      <c r="C369" s="6"/>
      <c r="D369" s="4"/>
      <c r="E369" s="6"/>
      <c r="F369" s="4"/>
      <c r="G369" s="4"/>
      <c r="H369" s="4"/>
      <c r="I369" s="4"/>
      <c r="J369" s="4"/>
      <c r="K369" s="4"/>
      <c r="L369" s="4"/>
      <c r="M369" s="4"/>
      <c r="N369" s="4"/>
    </row>
    <row r="370" spans="1:14" ht="15.75" customHeight="1" x14ac:dyDescent="0.25">
      <c r="A370" s="4"/>
      <c r="B370" s="6"/>
      <c r="C370" s="6"/>
      <c r="D370" s="4"/>
      <c r="E370" s="6"/>
      <c r="F370" s="4"/>
      <c r="G370" s="4"/>
      <c r="H370" s="4"/>
      <c r="I370" s="4"/>
      <c r="J370" s="4"/>
      <c r="K370" s="4"/>
      <c r="L370" s="4"/>
      <c r="M370" s="4"/>
      <c r="N370" s="4"/>
    </row>
    <row r="371" spans="1:14" ht="15.75" customHeight="1" x14ac:dyDescent="0.25">
      <c r="A371" s="4"/>
      <c r="B371" s="6"/>
      <c r="C371" s="6"/>
      <c r="D371" s="4"/>
      <c r="E371" s="6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5.75" customHeight="1" x14ac:dyDescent="0.25">
      <c r="A372" s="4"/>
      <c r="B372" s="6"/>
      <c r="C372" s="6"/>
      <c r="D372" s="4"/>
      <c r="E372" s="6"/>
      <c r="F372" s="4"/>
      <c r="G372" s="4"/>
      <c r="H372" s="4"/>
      <c r="I372" s="4"/>
      <c r="J372" s="4"/>
      <c r="K372" s="4"/>
      <c r="L372" s="4"/>
      <c r="M372" s="4"/>
      <c r="N372" s="4"/>
    </row>
    <row r="373" spans="1:14" ht="15.75" customHeight="1" x14ac:dyDescent="0.25">
      <c r="A373" s="4"/>
      <c r="B373" s="6"/>
      <c r="C373" s="6"/>
      <c r="D373" s="4"/>
      <c r="E373" s="6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5.75" customHeight="1" x14ac:dyDescent="0.25">
      <c r="A374" s="4"/>
      <c r="B374" s="6"/>
      <c r="C374" s="6"/>
      <c r="D374" s="4"/>
      <c r="E374" s="6"/>
      <c r="F374" s="4"/>
      <c r="G374" s="4"/>
      <c r="H374" s="4"/>
      <c r="I374" s="4"/>
      <c r="J374" s="4"/>
      <c r="K374" s="4"/>
      <c r="L374" s="4"/>
      <c r="M374" s="4"/>
      <c r="N374" s="4"/>
    </row>
    <row r="375" spans="1:14" ht="15.75" customHeight="1" x14ac:dyDescent="0.25">
      <c r="A375" s="4"/>
      <c r="B375" s="6"/>
      <c r="C375" s="6"/>
      <c r="D375" s="4"/>
      <c r="E375" s="6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5.75" customHeight="1" x14ac:dyDescent="0.25">
      <c r="A376" s="4"/>
      <c r="B376" s="6"/>
      <c r="C376" s="6"/>
      <c r="D376" s="4"/>
      <c r="E376" s="6"/>
      <c r="F376" s="4"/>
      <c r="G376" s="4"/>
      <c r="H376" s="4"/>
      <c r="I376" s="4"/>
      <c r="J376" s="4"/>
      <c r="K376" s="4"/>
      <c r="L376" s="4"/>
      <c r="M376" s="4"/>
      <c r="N376" s="4"/>
    </row>
    <row r="377" spans="1:14" ht="15.75" customHeight="1" x14ac:dyDescent="0.25">
      <c r="A377" s="4"/>
      <c r="B377" s="6"/>
      <c r="C377" s="6"/>
      <c r="D377" s="4"/>
      <c r="E377" s="6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5.75" customHeight="1" x14ac:dyDescent="0.25">
      <c r="A378" s="4"/>
      <c r="B378" s="6"/>
      <c r="C378" s="6"/>
      <c r="D378" s="4"/>
      <c r="E378" s="6"/>
      <c r="F378" s="4"/>
      <c r="G378" s="4"/>
      <c r="H378" s="4"/>
      <c r="I378" s="4"/>
      <c r="J378" s="4"/>
      <c r="K378" s="4"/>
      <c r="L378" s="4"/>
      <c r="M378" s="4"/>
      <c r="N378" s="4"/>
    </row>
    <row r="379" spans="1:14" ht="15.75" customHeight="1" x14ac:dyDescent="0.25">
      <c r="A379" s="4"/>
      <c r="B379" s="6"/>
      <c r="C379" s="6"/>
      <c r="D379" s="4"/>
      <c r="E379" s="6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5.75" customHeight="1" x14ac:dyDescent="0.25">
      <c r="A380" s="4"/>
      <c r="B380" s="6"/>
      <c r="C380" s="6"/>
      <c r="D380" s="4"/>
      <c r="E380" s="6"/>
      <c r="F380" s="4"/>
      <c r="G380" s="4"/>
      <c r="H380" s="4"/>
      <c r="I380" s="4"/>
      <c r="J380" s="4"/>
      <c r="K380" s="4"/>
      <c r="L380" s="4"/>
      <c r="M380" s="4"/>
      <c r="N380" s="4"/>
    </row>
    <row r="381" spans="1:14" ht="15.75" customHeight="1" x14ac:dyDescent="0.25">
      <c r="A381" s="4"/>
      <c r="B381" s="6"/>
      <c r="C381" s="6"/>
      <c r="D381" s="4"/>
      <c r="E381" s="6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5.75" customHeight="1" x14ac:dyDescent="0.25">
      <c r="A382" s="4"/>
      <c r="B382" s="6"/>
      <c r="C382" s="6"/>
      <c r="D382" s="4"/>
      <c r="E382" s="6"/>
      <c r="F382" s="4"/>
      <c r="G382" s="4"/>
      <c r="H382" s="4"/>
      <c r="I382" s="4"/>
      <c r="J382" s="4"/>
      <c r="K382" s="4"/>
      <c r="L382" s="4"/>
      <c r="M382" s="4"/>
      <c r="N382" s="4"/>
    </row>
    <row r="383" spans="1:14" ht="15.75" customHeight="1" x14ac:dyDescent="0.25">
      <c r="A383" s="4"/>
      <c r="B383" s="6"/>
      <c r="C383" s="6"/>
      <c r="D383" s="4"/>
      <c r="E383" s="6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5.75" customHeight="1" x14ac:dyDescent="0.25">
      <c r="A384" s="4"/>
      <c r="B384" s="6"/>
      <c r="C384" s="6"/>
      <c r="D384" s="4"/>
      <c r="E384" s="6"/>
      <c r="F384" s="4"/>
      <c r="G384" s="4"/>
      <c r="H384" s="4"/>
      <c r="I384" s="4"/>
      <c r="J384" s="4"/>
      <c r="K384" s="4"/>
      <c r="L384" s="4"/>
      <c r="M384" s="4"/>
      <c r="N384" s="4"/>
    </row>
    <row r="385" spans="1:14" ht="15.75" customHeight="1" x14ac:dyDescent="0.25">
      <c r="A385" s="4"/>
      <c r="B385" s="6"/>
      <c r="C385" s="6"/>
      <c r="D385" s="4"/>
      <c r="E385" s="6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5.75" customHeight="1" x14ac:dyDescent="0.25">
      <c r="A386" s="4"/>
      <c r="B386" s="6"/>
      <c r="C386" s="6"/>
      <c r="D386" s="4"/>
      <c r="E386" s="6"/>
      <c r="F386" s="4"/>
      <c r="G386" s="4"/>
      <c r="H386" s="4"/>
      <c r="I386" s="4"/>
      <c r="J386" s="4"/>
      <c r="K386" s="4"/>
      <c r="L386" s="4"/>
      <c r="M386" s="4"/>
      <c r="N386" s="4"/>
    </row>
    <row r="387" spans="1:14" ht="15.75" customHeight="1" x14ac:dyDescent="0.25">
      <c r="A387" s="4"/>
      <c r="B387" s="6"/>
      <c r="C387" s="6"/>
      <c r="D387" s="4"/>
      <c r="E387" s="6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5.75" customHeight="1" x14ac:dyDescent="0.25">
      <c r="A388" s="4"/>
      <c r="B388" s="6"/>
      <c r="C388" s="6"/>
      <c r="D388" s="4"/>
      <c r="E388" s="6"/>
      <c r="F388" s="4"/>
      <c r="G388" s="4"/>
      <c r="H388" s="4"/>
      <c r="I388" s="4"/>
      <c r="J388" s="4"/>
      <c r="K388" s="4"/>
      <c r="L388" s="4"/>
      <c r="M388" s="4"/>
      <c r="N388" s="4"/>
    </row>
    <row r="389" spans="1:14" ht="15.75" customHeight="1" x14ac:dyDescent="0.25">
      <c r="A389" s="4"/>
      <c r="B389" s="6"/>
      <c r="C389" s="6"/>
      <c r="D389" s="4"/>
      <c r="E389" s="6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5.75" customHeight="1" x14ac:dyDescent="0.25">
      <c r="A390" s="4"/>
      <c r="B390" s="6"/>
      <c r="C390" s="6"/>
      <c r="D390" s="4"/>
      <c r="E390" s="6"/>
      <c r="F390" s="4"/>
      <c r="G390" s="4"/>
      <c r="H390" s="4"/>
      <c r="I390" s="4"/>
      <c r="J390" s="4"/>
      <c r="K390" s="4"/>
      <c r="L390" s="4"/>
      <c r="M390" s="4"/>
      <c r="N390" s="4"/>
    </row>
    <row r="391" spans="1:14" ht="15.75" customHeight="1" x14ac:dyDescent="0.25">
      <c r="A391" s="4"/>
      <c r="B391" s="6"/>
      <c r="C391" s="6"/>
      <c r="D391" s="4"/>
      <c r="E391" s="6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5.75" customHeight="1" x14ac:dyDescent="0.25">
      <c r="A392" s="4"/>
      <c r="B392" s="6"/>
      <c r="C392" s="6"/>
      <c r="D392" s="4"/>
      <c r="E392" s="6"/>
      <c r="F392" s="4"/>
      <c r="G392" s="4"/>
      <c r="H392" s="4"/>
      <c r="I392" s="4"/>
      <c r="J392" s="4"/>
      <c r="K392" s="4"/>
      <c r="L392" s="4"/>
      <c r="M392" s="4"/>
      <c r="N392" s="4"/>
    </row>
    <row r="393" spans="1:14" ht="15.75" customHeight="1" x14ac:dyDescent="0.25">
      <c r="A393" s="4"/>
      <c r="B393" s="6"/>
      <c r="C393" s="6"/>
      <c r="D393" s="4"/>
      <c r="E393" s="6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5.75" customHeight="1" x14ac:dyDescent="0.25">
      <c r="A394" s="4"/>
      <c r="B394" s="6"/>
      <c r="C394" s="6"/>
      <c r="D394" s="4"/>
      <c r="E394" s="6"/>
      <c r="F394" s="4"/>
      <c r="G394" s="4"/>
      <c r="H394" s="4"/>
      <c r="I394" s="4"/>
      <c r="J394" s="4"/>
      <c r="K394" s="4"/>
      <c r="L394" s="4"/>
      <c r="M394" s="4"/>
      <c r="N394" s="4"/>
    </row>
    <row r="395" spans="1:14" ht="15.75" customHeight="1" x14ac:dyDescent="0.25">
      <c r="A395" s="4"/>
      <c r="B395" s="6"/>
      <c r="C395" s="6"/>
      <c r="D395" s="4"/>
      <c r="E395" s="6"/>
      <c r="F395" s="4"/>
      <c r="G395" s="4"/>
      <c r="H395" s="4"/>
      <c r="I395" s="4"/>
      <c r="J395" s="4"/>
      <c r="K395" s="4"/>
      <c r="L395" s="4"/>
      <c r="M395" s="4"/>
      <c r="N395" s="4"/>
    </row>
    <row r="396" spans="1:14" ht="15.75" customHeight="1" x14ac:dyDescent="0.25">
      <c r="A396" s="4"/>
      <c r="B396" s="6"/>
      <c r="C396" s="6"/>
      <c r="D396" s="4"/>
      <c r="E396" s="6"/>
      <c r="F396" s="4"/>
      <c r="G396" s="4"/>
      <c r="H396" s="4"/>
      <c r="I396" s="4"/>
      <c r="J396" s="4"/>
      <c r="K396" s="4"/>
      <c r="L396" s="4"/>
      <c r="M396" s="4"/>
      <c r="N396" s="4"/>
    </row>
    <row r="397" spans="1:14" ht="15.75" customHeight="1" x14ac:dyDescent="0.25">
      <c r="A397" s="4"/>
      <c r="B397" s="6"/>
      <c r="C397" s="6"/>
      <c r="D397" s="4"/>
      <c r="E397" s="6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5.75" customHeight="1" x14ac:dyDescent="0.25">
      <c r="A398" s="4"/>
      <c r="B398" s="6"/>
      <c r="C398" s="6"/>
      <c r="D398" s="4"/>
      <c r="E398" s="6"/>
      <c r="F398" s="4"/>
      <c r="G398" s="4"/>
      <c r="H398" s="4"/>
      <c r="I398" s="4"/>
      <c r="J398" s="4"/>
      <c r="K398" s="4"/>
      <c r="L398" s="4"/>
      <c r="M398" s="4"/>
      <c r="N398" s="4"/>
    </row>
    <row r="399" spans="1:14" ht="15.75" customHeight="1" x14ac:dyDescent="0.25">
      <c r="A399" s="4"/>
      <c r="B399" s="6"/>
      <c r="C399" s="6"/>
      <c r="D399" s="4"/>
      <c r="E399" s="6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5.75" customHeight="1" x14ac:dyDescent="0.25">
      <c r="A400" s="4"/>
      <c r="B400" s="6"/>
      <c r="C400" s="6"/>
      <c r="D400" s="4"/>
      <c r="E400" s="6"/>
      <c r="F400" s="4"/>
      <c r="G400" s="4"/>
      <c r="H400" s="4"/>
      <c r="I400" s="4"/>
      <c r="J400" s="4"/>
      <c r="K400" s="4"/>
      <c r="L400" s="4"/>
      <c r="M400" s="4"/>
      <c r="N400" s="4"/>
    </row>
    <row r="401" spans="1:14" ht="15.75" customHeight="1" x14ac:dyDescent="0.25">
      <c r="A401" s="4"/>
      <c r="B401" s="6"/>
      <c r="C401" s="6"/>
      <c r="D401" s="4"/>
      <c r="E401" s="6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5.75" customHeight="1" x14ac:dyDescent="0.25">
      <c r="A402" s="4"/>
      <c r="B402" s="6"/>
      <c r="C402" s="6"/>
      <c r="D402" s="4"/>
      <c r="E402" s="6"/>
      <c r="F402" s="4"/>
      <c r="G402" s="4"/>
      <c r="H402" s="4"/>
      <c r="I402" s="4"/>
      <c r="J402" s="4"/>
      <c r="K402" s="4"/>
      <c r="L402" s="4"/>
      <c r="M402" s="4"/>
      <c r="N402" s="4"/>
    </row>
    <row r="403" spans="1:14" ht="15.75" customHeight="1" x14ac:dyDescent="0.25">
      <c r="A403" s="4"/>
      <c r="B403" s="6"/>
      <c r="C403" s="6"/>
      <c r="D403" s="4"/>
      <c r="E403" s="6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5.75" customHeight="1" x14ac:dyDescent="0.25">
      <c r="A404" s="4"/>
      <c r="B404" s="6"/>
      <c r="C404" s="6"/>
      <c r="D404" s="4"/>
      <c r="E404" s="6"/>
      <c r="F404" s="4"/>
      <c r="G404" s="4"/>
      <c r="H404" s="4"/>
      <c r="I404" s="4"/>
      <c r="J404" s="4"/>
      <c r="K404" s="4"/>
      <c r="L404" s="4"/>
      <c r="M404" s="4"/>
      <c r="N404" s="4"/>
    </row>
    <row r="405" spans="1:14" ht="15.75" customHeight="1" x14ac:dyDescent="0.25">
      <c r="A405" s="4"/>
      <c r="B405" s="6"/>
      <c r="C405" s="6"/>
      <c r="D405" s="4"/>
      <c r="E405" s="6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5.75" customHeight="1" x14ac:dyDescent="0.25">
      <c r="A406" s="4"/>
      <c r="B406" s="6"/>
      <c r="C406" s="6"/>
      <c r="D406" s="4"/>
      <c r="E406" s="6"/>
      <c r="F406" s="4"/>
      <c r="G406" s="4"/>
      <c r="H406" s="4"/>
      <c r="I406" s="4"/>
      <c r="J406" s="4"/>
      <c r="K406" s="4"/>
      <c r="L406" s="4"/>
      <c r="M406" s="4"/>
      <c r="N406" s="4"/>
    </row>
    <row r="407" spans="1:14" ht="15.75" customHeight="1" x14ac:dyDescent="0.25">
      <c r="A407" s="4"/>
      <c r="B407" s="6"/>
      <c r="C407" s="6"/>
      <c r="D407" s="4"/>
      <c r="E407" s="6"/>
      <c r="F407" s="4"/>
      <c r="G407" s="4"/>
      <c r="H407" s="4"/>
      <c r="I407" s="4"/>
      <c r="J407" s="4"/>
      <c r="K407" s="4"/>
      <c r="L407" s="4"/>
      <c r="M407" s="4"/>
      <c r="N407" s="4"/>
    </row>
    <row r="408" spans="1:14" ht="15.75" customHeight="1" x14ac:dyDescent="0.25">
      <c r="A408" s="4"/>
      <c r="B408" s="6"/>
      <c r="C408" s="6"/>
      <c r="D408" s="4"/>
      <c r="E408" s="6"/>
      <c r="F408" s="4"/>
      <c r="G408" s="4"/>
      <c r="H408" s="4"/>
      <c r="I408" s="4"/>
      <c r="J408" s="4"/>
      <c r="K408" s="4"/>
      <c r="L408" s="4"/>
      <c r="M408" s="4"/>
      <c r="N408" s="4"/>
    </row>
    <row r="409" spans="1:14" ht="15.75" customHeight="1" x14ac:dyDescent="0.25">
      <c r="A409" s="4"/>
      <c r="B409" s="6"/>
      <c r="C409" s="6"/>
      <c r="D409" s="4"/>
      <c r="E409" s="6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5.75" customHeight="1" x14ac:dyDescent="0.25">
      <c r="A410" s="4"/>
      <c r="B410" s="6"/>
      <c r="C410" s="6"/>
      <c r="D410" s="4"/>
      <c r="E410" s="6"/>
      <c r="F410" s="4"/>
      <c r="G410" s="4"/>
      <c r="H410" s="4"/>
      <c r="I410" s="4"/>
      <c r="J410" s="4"/>
      <c r="K410" s="4"/>
      <c r="L410" s="4"/>
      <c r="M410" s="4"/>
      <c r="N410" s="4"/>
    </row>
    <row r="411" spans="1:14" ht="15.75" customHeight="1" x14ac:dyDescent="0.25">
      <c r="A411" s="4"/>
      <c r="B411" s="6"/>
      <c r="C411" s="6"/>
      <c r="D411" s="4"/>
      <c r="E411" s="6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5.75" customHeight="1" x14ac:dyDescent="0.25">
      <c r="A412" s="4"/>
      <c r="B412" s="6"/>
      <c r="C412" s="6"/>
      <c r="D412" s="4"/>
      <c r="E412" s="6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5.75" customHeight="1" x14ac:dyDescent="0.25">
      <c r="A413" s="4"/>
      <c r="B413" s="6"/>
      <c r="C413" s="6"/>
      <c r="D413" s="4"/>
      <c r="E413" s="6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5.75" customHeight="1" x14ac:dyDescent="0.25">
      <c r="A414" s="4"/>
      <c r="B414" s="6"/>
      <c r="C414" s="6"/>
      <c r="D414" s="4"/>
      <c r="E414" s="6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5.75" customHeight="1" x14ac:dyDescent="0.25">
      <c r="A415" s="4"/>
      <c r="B415" s="6"/>
      <c r="C415" s="6"/>
      <c r="D415" s="4"/>
      <c r="E415" s="6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5.75" customHeight="1" x14ac:dyDescent="0.25">
      <c r="A416" s="4"/>
      <c r="B416" s="6"/>
      <c r="C416" s="6"/>
      <c r="D416" s="4"/>
      <c r="E416" s="6"/>
      <c r="F416" s="4"/>
      <c r="G416" s="4"/>
      <c r="H416" s="4"/>
      <c r="I416" s="4"/>
      <c r="J416" s="4"/>
      <c r="K416" s="4"/>
      <c r="L416" s="4"/>
      <c r="M416" s="4"/>
      <c r="N416" s="4"/>
    </row>
    <row r="417" spans="1:14" ht="15.75" customHeight="1" x14ac:dyDescent="0.25">
      <c r="A417" s="4"/>
      <c r="B417" s="6"/>
      <c r="C417" s="6"/>
      <c r="D417" s="4"/>
      <c r="E417" s="6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5.75" customHeight="1" x14ac:dyDescent="0.25">
      <c r="A418" s="4"/>
      <c r="B418" s="6"/>
      <c r="C418" s="6"/>
      <c r="D418" s="4"/>
      <c r="E418" s="6"/>
      <c r="F418" s="4"/>
      <c r="G418" s="4"/>
      <c r="H418" s="4"/>
      <c r="I418" s="4"/>
      <c r="J418" s="4"/>
      <c r="K418" s="4"/>
      <c r="L418" s="4"/>
      <c r="M418" s="4"/>
      <c r="N418" s="4"/>
    </row>
    <row r="419" spans="1:14" ht="15.75" customHeight="1" x14ac:dyDescent="0.25">
      <c r="A419" s="4"/>
      <c r="B419" s="6"/>
      <c r="C419" s="6"/>
      <c r="D419" s="4"/>
      <c r="E419" s="6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5.75" customHeight="1" x14ac:dyDescent="0.25">
      <c r="A420" s="4"/>
      <c r="B420" s="6"/>
      <c r="C420" s="6"/>
      <c r="D420" s="4"/>
      <c r="E420" s="6"/>
      <c r="F420" s="4"/>
      <c r="G420" s="4"/>
      <c r="H420" s="4"/>
      <c r="I420" s="4"/>
      <c r="J420" s="4"/>
      <c r="K420" s="4"/>
      <c r="L420" s="4"/>
      <c r="M420" s="4"/>
      <c r="N420" s="4"/>
    </row>
    <row r="421" spans="1:14" ht="15.75" customHeight="1" x14ac:dyDescent="0.25">
      <c r="A421" s="4"/>
      <c r="B421" s="6"/>
      <c r="C421" s="6"/>
      <c r="D421" s="4"/>
      <c r="E421" s="6"/>
      <c r="F421" s="4"/>
      <c r="G421" s="4"/>
      <c r="H421" s="4"/>
      <c r="I421" s="4"/>
      <c r="J421" s="4"/>
      <c r="K421" s="4"/>
      <c r="L421" s="4"/>
      <c r="M421" s="4"/>
      <c r="N421" s="4"/>
    </row>
    <row r="422" spans="1:14" ht="15.75" customHeight="1" x14ac:dyDescent="0.25">
      <c r="A422" s="4"/>
      <c r="B422" s="6"/>
      <c r="C422" s="6"/>
      <c r="D422" s="4"/>
      <c r="E422" s="6"/>
      <c r="F422" s="4"/>
      <c r="G422" s="4"/>
      <c r="H422" s="4"/>
      <c r="I422" s="4"/>
      <c r="J422" s="4"/>
      <c r="K422" s="4"/>
      <c r="L422" s="4"/>
      <c r="M422" s="4"/>
      <c r="N422" s="4"/>
    </row>
    <row r="423" spans="1:14" ht="15.75" customHeight="1" x14ac:dyDescent="0.25">
      <c r="A423" s="4"/>
      <c r="B423" s="6"/>
      <c r="C423" s="6"/>
      <c r="D423" s="4"/>
      <c r="E423" s="6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5.75" customHeight="1" x14ac:dyDescent="0.25">
      <c r="A424" s="4"/>
      <c r="B424" s="6"/>
      <c r="C424" s="6"/>
      <c r="D424" s="4"/>
      <c r="E424" s="6"/>
      <c r="F424" s="4"/>
      <c r="G424" s="4"/>
      <c r="H424" s="4"/>
      <c r="I424" s="4"/>
      <c r="J424" s="4"/>
      <c r="K424" s="4"/>
      <c r="L424" s="4"/>
      <c r="M424" s="4"/>
      <c r="N424" s="4"/>
    </row>
    <row r="425" spans="1:14" ht="15.75" customHeight="1" x14ac:dyDescent="0.25">
      <c r="A425" s="4"/>
      <c r="B425" s="6"/>
      <c r="C425" s="6"/>
      <c r="D425" s="4"/>
      <c r="E425" s="6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5.75" customHeight="1" x14ac:dyDescent="0.25">
      <c r="A426" s="4"/>
      <c r="B426" s="6"/>
      <c r="C426" s="6"/>
      <c r="D426" s="4"/>
      <c r="E426" s="6"/>
      <c r="F426" s="4"/>
      <c r="G426" s="4"/>
      <c r="H426" s="4"/>
      <c r="I426" s="4"/>
      <c r="J426" s="4"/>
      <c r="K426" s="4"/>
      <c r="L426" s="4"/>
      <c r="M426" s="4"/>
      <c r="N426" s="4"/>
    </row>
    <row r="427" spans="1:14" ht="15.75" customHeight="1" x14ac:dyDescent="0.25">
      <c r="A427" s="4"/>
      <c r="B427" s="6"/>
      <c r="C427" s="6"/>
      <c r="D427" s="4"/>
      <c r="E427" s="6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5.75" customHeight="1" x14ac:dyDescent="0.25">
      <c r="A428" s="4"/>
      <c r="B428" s="6"/>
      <c r="C428" s="6"/>
      <c r="D428" s="4"/>
      <c r="E428" s="6"/>
      <c r="F428" s="4"/>
      <c r="G428" s="4"/>
      <c r="H428" s="4"/>
      <c r="I428" s="4"/>
      <c r="J428" s="4"/>
      <c r="K428" s="4"/>
      <c r="L428" s="4"/>
      <c r="M428" s="4"/>
      <c r="N428" s="4"/>
    </row>
    <row r="429" spans="1:14" ht="15.75" customHeight="1" x14ac:dyDescent="0.25">
      <c r="A429" s="4"/>
      <c r="B429" s="6"/>
      <c r="C429" s="6"/>
      <c r="D429" s="4"/>
      <c r="E429" s="6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5.75" customHeight="1" x14ac:dyDescent="0.25">
      <c r="A430" s="4"/>
      <c r="B430" s="6"/>
      <c r="C430" s="6"/>
      <c r="D430" s="4"/>
      <c r="E430" s="6"/>
      <c r="F430" s="4"/>
      <c r="G430" s="4"/>
      <c r="H430" s="4"/>
      <c r="I430" s="4"/>
      <c r="J430" s="4"/>
      <c r="K430" s="4"/>
      <c r="L430" s="4"/>
      <c r="M430" s="4"/>
      <c r="N430" s="4"/>
    </row>
    <row r="431" spans="1:14" ht="15.75" customHeight="1" x14ac:dyDescent="0.25">
      <c r="A431" s="4"/>
      <c r="B431" s="6"/>
      <c r="C431" s="6"/>
      <c r="D431" s="4"/>
      <c r="E431" s="6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5.75" customHeight="1" x14ac:dyDescent="0.25">
      <c r="A432" s="4"/>
      <c r="B432" s="6"/>
      <c r="C432" s="6"/>
      <c r="D432" s="4"/>
      <c r="E432" s="6"/>
      <c r="F432" s="4"/>
      <c r="G432" s="4"/>
      <c r="H432" s="4"/>
      <c r="I432" s="4"/>
      <c r="J432" s="4"/>
      <c r="K432" s="4"/>
      <c r="L432" s="4"/>
      <c r="M432" s="4"/>
      <c r="N432" s="4"/>
    </row>
    <row r="433" spans="1:14" ht="15.75" customHeight="1" x14ac:dyDescent="0.25">
      <c r="A433" s="4"/>
      <c r="B433" s="6"/>
      <c r="C433" s="6"/>
      <c r="D433" s="4"/>
      <c r="E433" s="6"/>
      <c r="F433" s="4"/>
      <c r="G433" s="4"/>
      <c r="H433" s="4"/>
      <c r="I433" s="4"/>
      <c r="J433" s="4"/>
      <c r="K433" s="4"/>
      <c r="L433" s="4"/>
      <c r="M433" s="4"/>
      <c r="N433" s="4"/>
    </row>
    <row r="434" spans="1:14" ht="15.75" customHeight="1" x14ac:dyDescent="0.25">
      <c r="A434" s="4"/>
      <c r="B434" s="6"/>
      <c r="C434" s="6"/>
      <c r="D434" s="4"/>
      <c r="E434" s="6"/>
      <c r="F434" s="4"/>
      <c r="G434" s="4"/>
      <c r="H434" s="4"/>
      <c r="I434" s="4"/>
      <c r="J434" s="4"/>
      <c r="K434" s="4"/>
      <c r="L434" s="4"/>
      <c r="M434" s="4"/>
      <c r="N434" s="4"/>
    </row>
    <row r="435" spans="1:14" ht="15.75" customHeight="1" x14ac:dyDescent="0.25">
      <c r="A435" s="4"/>
      <c r="B435" s="6"/>
      <c r="C435" s="6"/>
      <c r="D435" s="4"/>
      <c r="E435" s="6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5.75" customHeight="1" x14ac:dyDescent="0.25">
      <c r="A436" s="4"/>
      <c r="B436" s="6"/>
      <c r="C436" s="6"/>
      <c r="D436" s="4"/>
      <c r="E436" s="6"/>
      <c r="F436" s="4"/>
      <c r="G436" s="4"/>
      <c r="H436" s="4"/>
      <c r="I436" s="4"/>
      <c r="J436" s="4"/>
      <c r="K436" s="4"/>
      <c r="L436" s="4"/>
      <c r="M436" s="4"/>
      <c r="N436" s="4"/>
    </row>
    <row r="437" spans="1:14" ht="15.75" customHeight="1" x14ac:dyDescent="0.25">
      <c r="A437" s="4"/>
      <c r="B437" s="6"/>
      <c r="C437" s="6"/>
      <c r="D437" s="4"/>
      <c r="E437" s="6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5.75" customHeight="1" x14ac:dyDescent="0.25">
      <c r="A438" s="4"/>
      <c r="B438" s="6"/>
      <c r="C438" s="6"/>
      <c r="D438" s="4"/>
      <c r="E438" s="6"/>
      <c r="F438" s="4"/>
      <c r="G438" s="4"/>
      <c r="H438" s="4"/>
      <c r="I438" s="4"/>
      <c r="J438" s="4"/>
      <c r="K438" s="4"/>
      <c r="L438" s="4"/>
      <c r="M438" s="4"/>
      <c r="N438" s="4"/>
    </row>
    <row r="439" spans="1:14" ht="15.75" customHeight="1" x14ac:dyDescent="0.25">
      <c r="A439" s="4"/>
      <c r="B439" s="6"/>
      <c r="C439" s="6"/>
      <c r="D439" s="4"/>
      <c r="E439" s="6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5.75" customHeight="1" x14ac:dyDescent="0.25">
      <c r="A440" s="4"/>
      <c r="B440" s="6"/>
      <c r="C440" s="6"/>
      <c r="D440" s="4"/>
      <c r="E440" s="6"/>
      <c r="F440" s="4"/>
      <c r="G440" s="4"/>
      <c r="H440" s="4"/>
      <c r="I440" s="4"/>
      <c r="J440" s="4"/>
      <c r="K440" s="4"/>
      <c r="L440" s="4"/>
      <c r="M440" s="4"/>
      <c r="N440" s="4"/>
    </row>
    <row r="441" spans="1:14" ht="15.75" customHeight="1" x14ac:dyDescent="0.25">
      <c r="A441" s="4"/>
      <c r="B441" s="6"/>
      <c r="C441" s="6"/>
      <c r="D441" s="4"/>
      <c r="E441" s="6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5.75" customHeight="1" x14ac:dyDescent="0.25">
      <c r="A442" s="4"/>
      <c r="B442" s="6"/>
      <c r="C442" s="6"/>
      <c r="D442" s="4"/>
      <c r="E442" s="6"/>
      <c r="F442" s="4"/>
      <c r="G442" s="4"/>
      <c r="H442" s="4"/>
      <c r="I442" s="4"/>
      <c r="J442" s="4"/>
      <c r="K442" s="4"/>
      <c r="L442" s="4"/>
      <c r="M442" s="4"/>
      <c r="N442" s="4"/>
    </row>
    <row r="443" spans="1:14" ht="15.75" customHeight="1" x14ac:dyDescent="0.25">
      <c r="A443" s="4"/>
      <c r="B443" s="6"/>
      <c r="C443" s="6"/>
      <c r="D443" s="4"/>
      <c r="E443" s="6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5.75" customHeight="1" x14ac:dyDescent="0.25">
      <c r="A444" s="4"/>
      <c r="B444" s="6"/>
      <c r="C444" s="6"/>
      <c r="D444" s="4"/>
      <c r="E444" s="6"/>
      <c r="F444" s="4"/>
      <c r="G444" s="4"/>
      <c r="H444" s="4"/>
      <c r="I444" s="4"/>
      <c r="J444" s="4"/>
      <c r="K444" s="4"/>
      <c r="L444" s="4"/>
      <c r="M444" s="4"/>
      <c r="N444" s="4"/>
    </row>
    <row r="445" spans="1:14" ht="15.75" customHeight="1" x14ac:dyDescent="0.25">
      <c r="A445" s="4"/>
      <c r="B445" s="6"/>
      <c r="C445" s="6"/>
      <c r="D445" s="4"/>
      <c r="E445" s="6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5.75" customHeight="1" x14ac:dyDescent="0.25">
      <c r="A446" s="4"/>
      <c r="B446" s="6"/>
      <c r="C446" s="6"/>
      <c r="D446" s="4"/>
      <c r="E446" s="6"/>
      <c r="F446" s="4"/>
      <c r="G446" s="4"/>
      <c r="H446" s="4"/>
      <c r="I446" s="4"/>
      <c r="J446" s="4"/>
      <c r="K446" s="4"/>
      <c r="L446" s="4"/>
      <c r="M446" s="4"/>
      <c r="N446" s="4"/>
    </row>
    <row r="447" spans="1:14" ht="15.75" customHeight="1" x14ac:dyDescent="0.25">
      <c r="A447" s="4"/>
      <c r="B447" s="6"/>
      <c r="C447" s="6"/>
      <c r="D447" s="4"/>
      <c r="E447" s="6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5.75" customHeight="1" x14ac:dyDescent="0.25">
      <c r="A448" s="4"/>
      <c r="B448" s="6"/>
      <c r="C448" s="6"/>
      <c r="D448" s="4"/>
      <c r="E448" s="6"/>
      <c r="F448" s="4"/>
      <c r="G448" s="4"/>
      <c r="H448" s="4"/>
      <c r="I448" s="4"/>
      <c r="J448" s="4"/>
      <c r="K448" s="4"/>
      <c r="L448" s="4"/>
      <c r="M448" s="4"/>
      <c r="N448" s="4"/>
    </row>
    <row r="449" spans="1:14" ht="15.75" customHeight="1" x14ac:dyDescent="0.25">
      <c r="A449" s="4"/>
      <c r="B449" s="6"/>
      <c r="C449" s="6"/>
      <c r="D449" s="4"/>
      <c r="E449" s="6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5.75" customHeight="1" x14ac:dyDescent="0.25">
      <c r="A450" s="4"/>
      <c r="B450" s="6"/>
      <c r="C450" s="6"/>
      <c r="D450" s="4"/>
      <c r="E450" s="6"/>
      <c r="F450" s="4"/>
      <c r="G450" s="4"/>
      <c r="H450" s="4"/>
      <c r="I450" s="4"/>
      <c r="J450" s="4"/>
      <c r="K450" s="4"/>
      <c r="L450" s="4"/>
      <c r="M450" s="4"/>
      <c r="N450" s="4"/>
    </row>
    <row r="451" spans="1:14" ht="15.75" customHeight="1" x14ac:dyDescent="0.25">
      <c r="A451" s="4"/>
      <c r="B451" s="6"/>
      <c r="C451" s="6"/>
      <c r="D451" s="4"/>
      <c r="E451" s="6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5.75" customHeight="1" x14ac:dyDescent="0.25">
      <c r="A452" s="4"/>
      <c r="B452" s="6"/>
      <c r="C452" s="6"/>
      <c r="D452" s="4"/>
      <c r="E452" s="6"/>
      <c r="F452" s="4"/>
      <c r="G452" s="4"/>
      <c r="H452" s="4"/>
      <c r="I452" s="4"/>
      <c r="J452" s="4"/>
      <c r="K452" s="4"/>
      <c r="L452" s="4"/>
      <c r="M452" s="4"/>
      <c r="N452" s="4"/>
    </row>
    <row r="453" spans="1:14" ht="15.75" customHeight="1" x14ac:dyDescent="0.25">
      <c r="A453" s="4"/>
      <c r="B453" s="6"/>
      <c r="C453" s="6"/>
      <c r="D453" s="4"/>
      <c r="E453" s="6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5.75" customHeight="1" x14ac:dyDescent="0.25">
      <c r="A454" s="4"/>
      <c r="B454" s="6"/>
      <c r="C454" s="6"/>
      <c r="D454" s="4"/>
      <c r="E454" s="6"/>
      <c r="F454" s="4"/>
      <c r="G454" s="4"/>
      <c r="H454" s="4"/>
      <c r="I454" s="4"/>
      <c r="J454" s="4"/>
      <c r="K454" s="4"/>
      <c r="L454" s="4"/>
      <c r="M454" s="4"/>
      <c r="N454" s="4"/>
    </row>
    <row r="455" spans="1:14" ht="15.75" customHeight="1" x14ac:dyDescent="0.25">
      <c r="A455" s="4"/>
      <c r="B455" s="6"/>
      <c r="C455" s="6"/>
      <c r="D455" s="4"/>
      <c r="E455" s="6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5.75" customHeight="1" x14ac:dyDescent="0.25">
      <c r="A456" s="4"/>
      <c r="B456" s="6"/>
      <c r="C456" s="6"/>
      <c r="D456" s="4"/>
      <c r="E456" s="6"/>
      <c r="F456" s="4"/>
      <c r="G456" s="4"/>
      <c r="H456" s="4"/>
      <c r="I456" s="4"/>
      <c r="J456" s="4"/>
      <c r="K456" s="4"/>
      <c r="L456" s="4"/>
      <c r="M456" s="4"/>
      <c r="N456" s="4"/>
    </row>
    <row r="457" spans="1:14" ht="15.75" customHeight="1" x14ac:dyDescent="0.25">
      <c r="A457" s="4"/>
      <c r="B457" s="6"/>
      <c r="C457" s="6"/>
      <c r="D457" s="4"/>
      <c r="E457" s="6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5.75" customHeight="1" x14ac:dyDescent="0.25">
      <c r="A458" s="4"/>
      <c r="B458" s="6"/>
      <c r="C458" s="6"/>
      <c r="D458" s="4"/>
      <c r="E458" s="6"/>
      <c r="F458" s="4"/>
      <c r="G458" s="4"/>
      <c r="H458" s="4"/>
      <c r="I458" s="4"/>
      <c r="J458" s="4"/>
      <c r="K458" s="4"/>
      <c r="L458" s="4"/>
      <c r="M458" s="4"/>
      <c r="N458" s="4"/>
    </row>
    <row r="459" spans="1:14" ht="15.75" customHeight="1" x14ac:dyDescent="0.25">
      <c r="A459" s="4"/>
      <c r="B459" s="6"/>
      <c r="C459" s="6"/>
      <c r="D459" s="4"/>
      <c r="E459" s="6"/>
      <c r="F459" s="4"/>
      <c r="G459" s="4"/>
      <c r="H459" s="4"/>
      <c r="I459" s="4"/>
      <c r="J459" s="4"/>
      <c r="K459" s="4"/>
      <c r="L459" s="4"/>
      <c r="M459" s="4"/>
      <c r="N459" s="4"/>
    </row>
    <row r="460" spans="1:14" ht="15.75" customHeight="1" x14ac:dyDescent="0.25">
      <c r="A460" s="4"/>
      <c r="B460" s="6"/>
      <c r="C460" s="6"/>
      <c r="D460" s="4"/>
      <c r="E460" s="6"/>
      <c r="F460" s="4"/>
      <c r="G460" s="4"/>
      <c r="H460" s="4"/>
      <c r="I460" s="4"/>
      <c r="J460" s="4"/>
      <c r="K460" s="4"/>
      <c r="L460" s="4"/>
      <c r="M460" s="4"/>
      <c r="N460" s="4"/>
    </row>
    <row r="461" spans="1:14" ht="15.75" customHeight="1" x14ac:dyDescent="0.25">
      <c r="A461" s="4"/>
      <c r="B461" s="6"/>
      <c r="C461" s="6"/>
      <c r="D461" s="4"/>
      <c r="E461" s="6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5.75" customHeight="1" x14ac:dyDescent="0.25">
      <c r="A462" s="4"/>
      <c r="B462" s="6"/>
      <c r="C462" s="6"/>
      <c r="D462" s="4"/>
      <c r="E462" s="6"/>
      <c r="F462" s="4"/>
      <c r="G462" s="4"/>
      <c r="H462" s="4"/>
      <c r="I462" s="4"/>
      <c r="J462" s="4"/>
      <c r="K462" s="4"/>
      <c r="L462" s="4"/>
      <c r="M462" s="4"/>
      <c r="N462" s="4"/>
    </row>
    <row r="463" spans="1:14" ht="15.75" customHeight="1" x14ac:dyDescent="0.25">
      <c r="A463" s="4"/>
      <c r="B463" s="6"/>
      <c r="C463" s="6"/>
      <c r="D463" s="4"/>
      <c r="E463" s="6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5.75" customHeight="1" x14ac:dyDescent="0.25">
      <c r="A464" s="4"/>
      <c r="B464" s="6"/>
      <c r="C464" s="6"/>
      <c r="D464" s="4"/>
      <c r="E464" s="6"/>
      <c r="F464" s="4"/>
      <c r="G464" s="4"/>
      <c r="H464" s="4"/>
      <c r="I464" s="4"/>
      <c r="J464" s="4"/>
      <c r="K464" s="4"/>
      <c r="L464" s="4"/>
      <c r="M464" s="4"/>
      <c r="N464" s="4"/>
    </row>
    <row r="465" spans="1:14" ht="15.75" customHeight="1" x14ac:dyDescent="0.25">
      <c r="A465" s="4"/>
      <c r="B465" s="6"/>
      <c r="C465" s="6"/>
      <c r="D465" s="4"/>
      <c r="E465" s="6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5.75" customHeight="1" x14ac:dyDescent="0.25">
      <c r="A466" s="4"/>
      <c r="B466" s="6"/>
      <c r="C466" s="6"/>
      <c r="D466" s="4"/>
      <c r="E466" s="6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5.75" customHeight="1" x14ac:dyDescent="0.25">
      <c r="A467" s="4"/>
      <c r="B467" s="6"/>
      <c r="C467" s="6"/>
      <c r="D467" s="4"/>
      <c r="E467" s="6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5.75" customHeight="1" x14ac:dyDescent="0.25">
      <c r="A468" s="4"/>
      <c r="B468" s="6"/>
      <c r="C468" s="6"/>
      <c r="D468" s="4"/>
      <c r="E468" s="6"/>
      <c r="F468" s="4"/>
      <c r="G468" s="4"/>
      <c r="H468" s="4"/>
      <c r="I468" s="4"/>
      <c r="J468" s="4"/>
      <c r="K468" s="4"/>
      <c r="L468" s="4"/>
      <c r="M468" s="4"/>
      <c r="N468" s="4"/>
    </row>
    <row r="469" spans="1:14" ht="15.75" customHeight="1" x14ac:dyDescent="0.25">
      <c r="A469" s="4"/>
      <c r="B469" s="6"/>
      <c r="C469" s="6"/>
      <c r="D469" s="4"/>
      <c r="E469" s="6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5.75" customHeight="1" x14ac:dyDescent="0.25">
      <c r="A470" s="4"/>
      <c r="B470" s="6"/>
      <c r="C470" s="6"/>
      <c r="D470" s="4"/>
      <c r="E470" s="6"/>
      <c r="F470" s="4"/>
      <c r="G470" s="4"/>
      <c r="H470" s="4"/>
      <c r="I470" s="4"/>
      <c r="J470" s="4"/>
      <c r="K470" s="4"/>
      <c r="L470" s="4"/>
      <c r="M470" s="4"/>
      <c r="N470" s="4"/>
    </row>
    <row r="471" spans="1:14" ht="15.75" customHeight="1" x14ac:dyDescent="0.25">
      <c r="A471" s="4"/>
      <c r="B471" s="6"/>
      <c r="C471" s="6"/>
      <c r="D471" s="4"/>
      <c r="E471" s="6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5.75" customHeight="1" x14ac:dyDescent="0.25">
      <c r="A472" s="4"/>
      <c r="B472" s="6"/>
      <c r="C472" s="6"/>
      <c r="D472" s="4"/>
      <c r="E472" s="6"/>
      <c r="F472" s="4"/>
      <c r="G472" s="4"/>
      <c r="H472" s="4"/>
      <c r="I472" s="4"/>
      <c r="J472" s="4"/>
      <c r="K472" s="4"/>
      <c r="L472" s="4"/>
      <c r="M472" s="4"/>
      <c r="N472" s="4"/>
    </row>
    <row r="473" spans="1:14" ht="15.75" customHeight="1" x14ac:dyDescent="0.25">
      <c r="A473" s="4"/>
      <c r="B473" s="6"/>
      <c r="C473" s="6"/>
      <c r="D473" s="4"/>
      <c r="E473" s="6"/>
      <c r="F473" s="4"/>
      <c r="G473" s="4"/>
      <c r="H473" s="4"/>
      <c r="I473" s="4"/>
      <c r="J473" s="4"/>
      <c r="K473" s="4"/>
      <c r="L473" s="4"/>
      <c r="M473" s="4"/>
      <c r="N473" s="4"/>
    </row>
    <row r="474" spans="1:14" ht="15.75" customHeight="1" x14ac:dyDescent="0.25">
      <c r="A474" s="4"/>
      <c r="B474" s="6"/>
      <c r="C474" s="6"/>
      <c r="D474" s="4"/>
      <c r="E474" s="6"/>
      <c r="F474" s="4"/>
      <c r="G474" s="4"/>
      <c r="H474" s="4"/>
      <c r="I474" s="4"/>
      <c r="J474" s="4"/>
      <c r="K474" s="4"/>
      <c r="L474" s="4"/>
      <c r="M474" s="4"/>
      <c r="N474" s="4"/>
    </row>
    <row r="475" spans="1:14" ht="15.75" customHeight="1" x14ac:dyDescent="0.25">
      <c r="A475" s="4"/>
      <c r="B475" s="6"/>
      <c r="C475" s="6"/>
      <c r="D475" s="4"/>
      <c r="E475" s="6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5.75" customHeight="1" x14ac:dyDescent="0.25">
      <c r="A476" s="4"/>
      <c r="B476" s="6"/>
      <c r="C476" s="6"/>
      <c r="D476" s="4"/>
      <c r="E476" s="6"/>
      <c r="F476" s="4"/>
      <c r="G476" s="4"/>
      <c r="H476" s="4"/>
      <c r="I476" s="4"/>
      <c r="J476" s="4"/>
      <c r="K476" s="4"/>
      <c r="L476" s="4"/>
      <c r="M476" s="4"/>
      <c r="N476" s="4"/>
    </row>
    <row r="477" spans="1:14" ht="15.75" customHeight="1" x14ac:dyDescent="0.25">
      <c r="A477" s="4"/>
      <c r="B477" s="6"/>
      <c r="C477" s="6"/>
      <c r="D477" s="4"/>
      <c r="E477" s="6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5.75" customHeight="1" x14ac:dyDescent="0.25">
      <c r="A478" s="4"/>
      <c r="B478" s="6"/>
      <c r="C478" s="6"/>
      <c r="D478" s="4"/>
      <c r="E478" s="6"/>
      <c r="F478" s="4"/>
      <c r="G478" s="4"/>
      <c r="H478" s="4"/>
      <c r="I478" s="4"/>
      <c r="J478" s="4"/>
      <c r="K478" s="4"/>
      <c r="L478" s="4"/>
      <c r="M478" s="4"/>
      <c r="N478" s="4"/>
    </row>
    <row r="479" spans="1:14" ht="15.75" customHeight="1" x14ac:dyDescent="0.25">
      <c r="A479" s="4"/>
      <c r="B479" s="6"/>
      <c r="C479" s="6"/>
      <c r="D479" s="4"/>
      <c r="E479" s="6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5.75" customHeight="1" x14ac:dyDescent="0.25">
      <c r="A480" s="4"/>
      <c r="B480" s="6"/>
      <c r="C480" s="6"/>
      <c r="D480" s="4"/>
      <c r="E480" s="6"/>
      <c r="F480" s="4"/>
      <c r="G480" s="4"/>
      <c r="H480" s="4"/>
      <c r="I480" s="4"/>
      <c r="J480" s="4"/>
      <c r="K480" s="4"/>
      <c r="L480" s="4"/>
      <c r="M480" s="4"/>
      <c r="N480" s="4"/>
    </row>
    <row r="481" spans="1:14" ht="15.75" customHeight="1" x14ac:dyDescent="0.25">
      <c r="A481" s="4"/>
      <c r="B481" s="6"/>
      <c r="C481" s="6"/>
      <c r="D481" s="4"/>
      <c r="E481" s="6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5.75" customHeight="1" x14ac:dyDescent="0.25">
      <c r="A482" s="4"/>
      <c r="B482" s="6"/>
      <c r="C482" s="6"/>
      <c r="D482" s="4"/>
      <c r="E482" s="6"/>
      <c r="F482" s="4"/>
      <c r="G482" s="4"/>
      <c r="H482" s="4"/>
      <c r="I482" s="4"/>
      <c r="J482" s="4"/>
      <c r="K482" s="4"/>
      <c r="L482" s="4"/>
      <c r="M482" s="4"/>
      <c r="N482" s="4"/>
    </row>
    <row r="483" spans="1:14" ht="15.75" customHeight="1" x14ac:dyDescent="0.25">
      <c r="A483" s="4"/>
      <c r="B483" s="6"/>
      <c r="C483" s="6"/>
      <c r="D483" s="4"/>
      <c r="E483" s="6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5.75" customHeight="1" x14ac:dyDescent="0.25">
      <c r="A484" s="4"/>
      <c r="B484" s="6"/>
      <c r="C484" s="6"/>
      <c r="D484" s="4"/>
      <c r="E484" s="6"/>
      <c r="F484" s="4"/>
      <c r="G484" s="4"/>
      <c r="H484" s="4"/>
      <c r="I484" s="4"/>
      <c r="J484" s="4"/>
      <c r="K484" s="4"/>
      <c r="L484" s="4"/>
      <c r="M484" s="4"/>
      <c r="N484" s="4"/>
    </row>
    <row r="485" spans="1:14" ht="15.75" customHeight="1" x14ac:dyDescent="0.25">
      <c r="A485" s="4"/>
      <c r="B485" s="6"/>
      <c r="C485" s="6"/>
      <c r="D485" s="4"/>
      <c r="E485" s="6"/>
      <c r="F485" s="4"/>
      <c r="G485" s="4"/>
      <c r="H485" s="4"/>
      <c r="I485" s="4"/>
      <c r="J485" s="4"/>
      <c r="K485" s="4"/>
      <c r="L485" s="4"/>
      <c r="M485" s="4"/>
      <c r="N485" s="4"/>
    </row>
    <row r="486" spans="1:14" ht="15.75" customHeight="1" x14ac:dyDescent="0.25">
      <c r="A486" s="4"/>
      <c r="B486" s="6"/>
      <c r="C486" s="6"/>
      <c r="D486" s="4"/>
      <c r="E486" s="6"/>
      <c r="F486" s="4"/>
      <c r="G486" s="4"/>
      <c r="H486" s="4"/>
      <c r="I486" s="4"/>
      <c r="J486" s="4"/>
      <c r="K486" s="4"/>
      <c r="L486" s="4"/>
      <c r="M486" s="4"/>
      <c r="N486" s="4"/>
    </row>
    <row r="487" spans="1:14" ht="15.75" customHeight="1" x14ac:dyDescent="0.25">
      <c r="A487" s="4"/>
      <c r="B487" s="6"/>
      <c r="C487" s="6"/>
      <c r="D487" s="4"/>
      <c r="E487" s="6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5.75" customHeight="1" x14ac:dyDescent="0.25">
      <c r="A488" s="4"/>
      <c r="B488" s="6"/>
      <c r="C488" s="6"/>
      <c r="D488" s="4"/>
      <c r="E488" s="6"/>
      <c r="F488" s="4"/>
      <c r="G488" s="4"/>
      <c r="H488" s="4"/>
      <c r="I488" s="4"/>
      <c r="J488" s="4"/>
      <c r="K488" s="4"/>
      <c r="L488" s="4"/>
      <c r="M488" s="4"/>
      <c r="N488" s="4"/>
    </row>
    <row r="489" spans="1:14" ht="15.75" customHeight="1" x14ac:dyDescent="0.25">
      <c r="A489" s="4"/>
      <c r="B489" s="6"/>
      <c r="C489" s="6"/>
      <c r="D489" s="4"/>
      <c r="E489" s="6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5.75" customHeight="1" x14ac:dyDescent="0.25">
      <c r="A490" s="4"/>
      <c r="B490" s="6"/>
      <c r="C490" s="6"/>
      <c r="D490" s="4"/>
      <c r="E490" s="6"/>
      <c r="F490" s="4"/>
      <c r="G490" s="4"/>
      <c r="H490" s="4"/>
      <c r="I490" s="4"/>
      <c r="J490" s="4"/>
      <c r="K490" s="4"/>
      <c r="L490" s="4"/>
      <c r="M490" s="4"/>
      <c r="N490" s="4"/>
    </row>
    <row r="491" spans="1:14" ht="15.75" customHeight="1" x14ac:dyDescent="0.25">
      <c r="A491" s="4"/>
      <c r="B491" s="6"/>
      <c r="C491" s="6"/>
      <c r="D491" s="4"/>
      <c r="E491" s="6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5.75" customHeight="1" x14ac:dyDescent="0.25">
      <c r="A492" s="4"/>
      <c r="B492" s="6"/>
      <c r="C492" s="6"/>
      <c r="D492" s="4"/>
      <c r="E492" s="6"/>
      <c r="F492" s="4"/>
      <c r="G492" s="4"/>
      <c r="H492" s="4"/>
      <c r="I492" s="4"/>
      <c r="J492" s="4"/>
      <c r="K492" s="4"/>
      <c r="L492" s="4"/>
      <c r="M492" s="4"/>
      <c r="N492" s="4"/>
    </row>
    <row r="493" spans="1:14" ht="15.75" customHeight="1" x14ac:dyDescent="0.25">
      <c r="A493" s="4"/>
      <c r="B493" s="6"/>
      <c r="C493" s="6"/>
      <c r="D493" s="4"/>
      <c r="E493" s="6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5.75" customHeight="1" x14ac:dyDescent="0.25">
      <c r="A494" s="4"/>
      <c r="B494" s="6"/>
      <c r="C494" s="6"/>
      <c r="D494" s="4"/>
      <c r="E494" s="6"/>
      <c r="F494" s="4"/>
      <c r="G494" s="4"/>
      <c r="H494" s="4"/>
      <c r="I494" s="4"/>
      <c r="J494" s="4"/>
      <c r="K494" s="4"/>
      <c r="L494" s="4"/>
      <c r="M494" s="4"/>
      <c r="N494" s="4"/>
    </row>
    <row r="495" spans="1:14" ht="15.75" customHeight="1" x14ac:dyDescent="0.25">
      <c r="A495" s="4"/>
      <c r="B495" s="6"/>
      <c r="C495" s="6"/>
      <c r="D495" s="4"/>
      <c r="E495" s="6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5.75" customHeight="1" x14ac:dyDescent="0.25">
      <c r="A496" s="4"/>
      <c r="B496" s="6"/>
      <c r="C496" s="6"/>
      <c r="D496" s="4"/>
      <c r="E496" s="6"/>
      <c r="F496" s="4"/>
      <c r="G496" s="4"/>
      <c r="H496" s="4"/>
      <c r="I496" s="4"/>
      <c r="J496" s="4"/>
      <c r="K496" s="4"/>
      <c r="L496" s="4"/>
      <c r="M496" s="4"/>
      <c r="N496" s="4"/>
    </row>
    <row r="497" spans="1:14" ht="15.75" customHeight="1" x14ac:dyDescent="0.25">
      <c r="A497" s="4"/>
      <c r="B497" s="6"/>
      <c r="C497" s="6"/>
      <c r="D497" s="4"/>
      <c r="E497" s="6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5.75" customHeight="1" x14ac:dyDescent="0.25">
      <c r="A498" s="4"/>
      <c r="B498" s="6"/>
      <c r="C498" s="6"/>
      <c r="D498" s="4"/>
      <c r="E498" s="6"/>
      <c r="F498" s="4"/>
      <c r="G498" s="4"/>
      <c r="H498" s="4"/>
      <c r="I498" s="4"/>
      <c r="J498" s="4"/>
      <c r="K498" s="4"/>
      <c r="L498" s="4"/>
      <c r="M498" s="4"/>
      <c r="N498" s="4"/>
    </row>
    <row r="499" spans="1:14" ht="15.75" customHeight="1" x14ac:dyDescent="0.25">
      <c r="A499" s="4"/>
      <c r="B499" s="6"/>
      <c r="C499" s="6"/>
      <c r="D499" s="4"/>
      <c r="E499" s="6"/>
      <c r="F499" s="4"/>
      <c r="G499" s="4"/>
      <c r="H499" s="4"/>
      <c r="I499" s="4"/>
      <c r="J499" s="4"/>
      <c r="K499" s="4"/>
      <c r="L499" s="4"/>
      <c r="M499" s="4"/>
      <c r="N499" s="4"/>
    </row>
    <row r="500" spans="1:14" ht="15.75" customHeight="1" x14ac:dyDescent="0.25">
      <c r="A500" s="4"/>
      <c r="B500" s="6"/>
      <c r="C500" s="6"/>
      <c r="D500" s="4"/>
      <c r="E500" s="6"/>
      <c r="F500" s="4"/>
      <c r="G500" s="4"/>
      <c r="H500" s="4"/>
      <c r="I500" s="4"/>
      <c r="J500" s="4"/>
      <c r="K500" s="4"/>
      <c r="L500" s="4"/>
      <c r="M500" s="4"/>
      <c r="N500" s="4"/>
    </row>
    <row r="501" spans="1:14" ht="15.75" customHeight="1" x14ac:dyDescent="0.25">
      <c r="A501" s="4"/>
      <c r="B501" s="6"/>
      <c r="C501" s="6"/>
      <c r="D501" s="4"/>
      <c r="E501" s="6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5.75" customHeight="1" x14ac:dyDescent="0.25">
      <c r="A502" s="4"/>
      <c r="B502" s="6"/>
      <c r="C502" s="6"/>
      <c r="D502" s="4"/>
      <c r="E502" s="6"/>
      <c r="F502" s="4"/>
      <c r="G502" s="4"/>
      <c r="H502" s="4"/>
      <c r="I502" s="4"/>
      <c r="J502" s="4"/>
      <c r="K502" s="4"/>
      <c r="L502" s="4"/>
      <c r="M502" s="4"/>
      <c r="N502" s="4"/>
    </row>
    <row r="503" spans="1:14" ht="15.75" customHeight="1" x14ac:dyDescent="0.25">
      <c r="A503" s="4"/>
      <c r="B503" s="6"/>
      <c r="C503" s="6"/>
      <c r="D503" s="4"/>
      <c r="E503" s="6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5.75" customHeight="1" x14ac:dyDescent="0.25">
      <c r="A504" s="4"/>
      <c r="B504" s="6"/>
      <c r="C504" s="6"/>
      <c r="D504" s="4"/>
      <c r="E504" s="6"/>
      <c r="F504" s="4"/>
      <c r="G504" s="4"/>
      <c r="H504" s="4"/>
      <c r="I504" s="4"/>
      <c r="J504" s="4"/>
      <c r="K504" s="4"/>
      <c r="L504" s="4"/>
      <c r="M504" s="4"/>
      <c r="N504" s="4"/>
    </row>
    <row r="505" spans="1:14" ht="15.75" customHeight="1" x14ac:dyDescent="0.25">
      <c r="A505" s="4"/>
      <c r="B505" s="6"/>
      <c r="C505" s="6"/>
      <c r="D505" s="4"/>
      <c r="E505" s="6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5.75" customHeight="1" x14ac:dyDescent="0.25">
      <c r="A506" s="4"/>
      <c r="B506" s="6"/>
      <c r="C506" s="6"/>
      <c r="D506" s="4"/>
      <c r="E506" s="6"/>
      <c r="F506" s="4"/>
      <c r="G506" s="4"/>
      <c r="H506" s="4"/>
      <c r="I506" s="4"/>
      <c r="J506" s="4"/>
      <c r="K506" s="4"/>
      <c r="L506" s="4"/>
      <c r="M506" s="4"/>
      <c r="N506" s="4"/>
    </row>
    <row r="507" spans="1:14" ht="15.75" customHeight="1" x14ac:dyDescent="0.25">
      <c r="A507" s="4"/>
      <c r="B507" s="6"/>
      <c r="C507" s="6"/>
      <c r="D507" s="4"/>
      <c r="E507" s="6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5.75" customHeight="1" x14ac:dyDescent="0.25">
      <c r="A508" s="4"/>
      <c r="B508" s="6"/>
      <c r="C508" s="6"/>
      <c r="D508" s="4"/>
      <c r="E508" s="6"/>
      <c r="F508" s="4"/>
      <c r="G508" s="4"/>
      <c r="H508" s="4"/>
      <c r="I508" s="4"/>
      <c r="J508" s="4"/>
      <c r="K508" s="4"/>
      <c r="L508" s="4"/>
      <c r="M508" s="4"/>
      <c r="N508" s="4"/>
    </row>
    <row r="509" spans="1:14" ht="15.75" customHeight="1" x14ac:dyDescent="0.25">
      <c r="A509" s="4"/>
      <c r="B509" s="6"/>
      <c r="C509" s="6"/>
      <c r="D509" s="4"/>
      <c r="E509" s="6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5.75" customHeight="1" x14ac:dyDescent="0.25">
      <c r="A510" s="4"/>
      <c r="B510" s="6"/>
      <c r="C510" s="6"/>
      <c r="D510" s="4"/>
      <c r="E510" s="6"/>
      <c r="F510" s="4"/>
      <c r="G510" s="4"/>
      <c r="H510" s="4"/>
      <c r="I510" s="4"/>
      <c r="J510" s="4"/>
      <c r="K510" s="4"/>
      <c r="L510" s="4"/>
      <c r="M510" s="4"/>
      <c r="N510" s="4"/>
    </row>
    <row r="511" spans="1:14" ht="15.75" customHeight="1" x14ac:dyDescent="0.25">
      <c r="A511" s="4"/>
      <c r="B511" s="6"/>
      <c r="C511" s="6"/>
      <c r="D511" s="4"/>
      <c r="E511" s="6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5.75" customHeight="1" x14ac:dyDescent="0.25">
      <c r="A512" s="4"/>
      <c r="B512" s="6"/>
      <c r="C512" s="6"/>
      <c r="D512" s="4"/>
      <c r="E512" s="6"/>
      <c r="F512" s="4"/>
      <c r="G512" s="4"/>
      <c r="H512" s="4"/>
      <c r="I512" s="4"/>
      <c r="J512" s="4"/>
      <c r="K512" s="4"/>
      <c r="L512" s="4"/>
      <c r="M512" s="4"/>
      <c r="N512" s="4"/>
    </row>
    <row r="513" spans="1:14" ht="15.75" customHeight="1" x14ac:dyDescent="0.25">
      <c r="A513" s="4"/>
      <c r="B513" s="6"/>
      <c r="C513" s="6"/>
      <c r="D513" s="4"/>
      <c r="E513" s="6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5.75" customHeight="1" x14ac:dyDescent="0.25">
      <c r="A514" s="4"/>
      <c r="B514" s="6"/>
      <c r="C514" s="6"/>
      <c r="D514" s="4"/>
      <c r="E514" s="6"/>
      <c r="F514" s="4"/>
      <c r="G514" s="4"/>
      <c r="H514" s="4"/>
      <c r="I514" s="4"/>
      <c r="J514" s="4"/>
      <c r="K514" s="4"/>
      <c r="L514" s="4"/>
      <c r="M514" s="4"/>
      <c r="N514" s="4"/>
    </row>
    <row r="515" spans="1:14" ht="15.75" customHeight="1" x14ac:dyDescent="0.25">
      <c r="A515" s="4"/>
      <c r="B515" s="6"/>
      <c r="C515" s="6"/>
      <c r="D515" s="4"/>
      <c r="E515" s="6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5.75" customHeight="1" x14ac:dyDescent="0.25">
      <c r="A516" s="4"/>
      <c r="B516" s="6"/>
      <c r="C516" s="6"/>
      <c r="D516" s="4"/>
      <c r="E516" s="6"/>
      <c r="F516" s="4"/>
      <c r="G516" s="4"/>
      <c r="H516" s="4"/>
      <c r="I516" s="4"/>
      <c r="J516" s="4"/>
      <c r="K516" s="4"/>
      <c r="L516" s="4"/>
      <c r="M516" s="4"/>
      <c r="N516" s="4"/>
    </row>
    <row r="517" spans="1:14" ht="15.75" customHeight="1" x14ac:dyDescent="0.25">
      <c r="A517" s="4"/>
      <c r="B517" s="6"/>
      <c r="C517" s="6"/>
      <c r="D517" s="4"/>
      <c r="E517" s="6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5.75" customHeight="1" x14ac:dyDescent="0.25">
      <c r="A518" s="4"/>
      <c r="B518" s="6"/>
      <c r="C518" s="6"/>
      <c r="D518" s="4"/>
      <c r="E518" s="6"/>
      <c r="F518" s="4"/>
      <c r="G518" s="4"/>
      <c r="H518" s="4"/>
      <c r="I518" s="4"/>
      <c r="J518" s="4"/>
      <c r="K518" s="4"/>
      <c r="L518" s="4"/>
      <c r="M518" s="4"/>
      <c r="N518" s="4"/>
    </row>
    <row r="519" spans="1:14" ht="15.75" customHeight="1" x14ac:dyDescent="0.25">
      <c r="A519" s="4"/>
      <c r="B519" s="6"/>
      <c r="C519" s="6"/>
      <c r="D519" s="4"/>
      <c r="E519" s="6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5.75" customHeight="1" x14ac:dyDescent="0.25">
      <c r="A520" s="4"/>
      <c r="B520" s="6"/>
      <c r="C520" s="6"/>
      <c r="D520" s="4"/>
      <c r="E520" s="6"/>
      <c r="F520" s="4"/>
      <c r="G520" s="4"/>
      <c r="H520" s="4"/>
      <c r="I520" s="4"/>
      <c r="J520" s="4"/>
      <c r="K520" s="4"/>
      <c r="L520" s="4"/>
      <c r="M520" s="4"/>
      <c r="N520" s="4"/>
    </row>
    <row r="521" spans="1:14" ht="15.75" customHeight="1" x14ac:dyDescent="0.25">
      <c r="A521" s="4"/>
      <c r="B521" s="6"/>
      <c r="C521" s="6"/>
      <c r="D521" s="4"/>
      <c r="E521" s="6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5.75" customHeight="1" x14ac:dyDescent="0.25">
      <c r="A522" s="4"/>
      <c r="B522" s="6"/>
      <c r="C522" s="6"/>
      <c r="D522" s="4"/>
      <c r="E522" s="6"/>
      <c r="F522" s="4"/>
      <c r="G522" s="4"/>
      <c r="H522" s="4"/>
      <c r="I522" s="4"/>
      <c r="J522" s="4"/>
      <c r="K522" s="4"/>
      <c r="L522" s="4"/>
      <c r="M522" s="4"/>
      <c r="N522" s="4"/>
    </row>
    <row r="523" spans="1:14" ht="15.75" customHeight="1" x14ac:dyDescent="0.25">
      <c r="A523" s="4"/>
      <c r="B523" s="6"/>
      <c r="C523" s="6"/>
      <c r="D523" s="4"/>
      <c r="E523" s="6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5.75" customHeight="1" x14ac:dyDescent="0.25">
      <c r="A524" s="4"/>
      <c r="B524" s="6"/>
      <c r="C524" s="6"/>
      <c r="D524" s="4"/>
      <c r="E524" s="6"/>
      <c r="F524" s="4"/>
      <c r="G524" s="4"/>
      <c r="H524" s="4"/>
      <c r="I524" s="4"/>
      <c r="J524" s="4"/>
      <c r="K524" s="4"/>
      <c r="L524" s="4"/>
      <c r="M524" s="4"/>
      <c r="N524" s="4"/>
    </row>
    <row r="525" spans="1:14" ht="15.75" customHeight="1" x14ac:dyDescent="0.25">
      <c r="A525" s="4"/>
      <c r="B525" s="6"/>
      <c r="C525" s="6"/>
      <c r="D525" s="4"/>
      <c r="E525" s="6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5.75" customHeight="1" x14ac:dyDescent="0.25">
      <c r="A526" s="4"/>
      <c r="B526" s="6"/>
      <c r="C526" s="6"/>
      <c r="D526" s="4"/>
      <c r="E526" s="6"/>
      <c r="F526" s="4"/>
      <c r="G526" s="4"/>
      <c r="H526" s="4"/>
      <c r="I526" s="4"/>
      <c r="J526" s="4"/>
      <c r="K526" s="4"/>
      <c r="L526" s="4"/>
      <c r="M526" s="4"/>
      <c r="N526" s="4"/>
    </row>
    <row r="527" spans="1:14" ht="15.75" customHeight="1" x14ac:dyDescent="0.25">
      <c r="A527" s="4"/>
      <c r="B527" s="6"/>
      <c r="C527" s="6"/>
      <c r="D527" s="4"/>
      <c r="E527" s="6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5.75" customHeight="1" x14ac:dyDescent="0.25">
      <c r="A528" s="4"/>
      <c r="B528" s="6"/>
      <c r="C528" s="6"/>
      <c r="D528" s="4"/>
      <c r="E528" s="6"/>
      <c r="F528" s="4"/>
      <c r="G528" s="4"/>
      <c r="H528" s="4"/>
      <c r="I528" s="4"/>
      <c r="J528" s="4"/>
      <c r="K528" s="4"/>
      <c r="L528" s="4"/>
      <c r="M528" s="4"/>
      <c r="N528" s="4"/>
    </row>
    <row r="529" spans="1:14" ht="15.75" customHeight="1" x14ac:dyDescent="0.25">
      <c r="A529" s="4"/>
      <c r="B529" s="6"/>
      <c r="C529" s="6"/>
      <c r="D529" s="4"/>
      <c r="E529" s="6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5.75" customHeight="1" x14ac:dyDescent="0.25">
      <c r="A530" s="4"/>
      <c r="B530" s="6"/>
      <c r="C530" s="6"/>
      <c r="D530" s="4"/>
      <c r="E530" s="6"/>
      <c r="F530" s="4"/>
      <c r="G530" s="4"/>
      <c r="H530" s="4"/>
      <c r="I530" s="4"/>
      <c r="J530" s="4"/>
      <c r="K530" s="4"/>
      <c r="L530" s="4"/>
      <c r="M530" s="4"/>
      <c r="N530" s="4"/>
    </row>
    <row r="531" spans="1:14" ht="15.75" customHeight="1" x14ac:dyDescent="0.25">
      <c r="A531" s="4"/>
      <c r="B531" s="6"/>
      <c r="C531" s="6"/>
      <c r="D531" s="4"/>
      <c r="E531" s="6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5.75" customHeight="1" x14ac:dyDescent="0.25">
      <c r="A532" s="4"/>
      <c r="B532" s="6"/>
      <c r="C532" s="6"/>
      <c r="D532" s="4"/>
      <c r="E532" s="6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5.75" customHeight="1" x14ac:dyDescent="0.25">
      <c r="A533" s="4"/>
      <c r="B533" s="6"/>
      <c r="C533" s="6"/>
      <c r="D533" s="4"/>
      <c r="E533" s="6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5.75" customHeight="1" x14ac:dyDescent="0.25">
      <c r="A534" s="4"/>
      <c r="B534" s="6"/>
      <c r="C534" s="6"/>
      <c r="D534" s="4"/>
      <c r="E534" s="6"/>
      <c r="F534" s="4"/>
      <c r="G534" s="4"/>
      <c r="H534" s="4"/>
      <c r="I534" s="4"/>
      <c r="J534" s="4"/>
      <c r="K534" s="4"/>
      <c r="L534" s="4"/>
      <c r="M534" s="4"/>
      <c r="N534" s="4"/>
    </row>
    <row r="535" spans="1:14" ht="15.75" customHeight="1" x14ac:dyDescent="0.25">
      <c r="A535" s="4"/>
      <c r="B535" s="6"/>
      <c r="C535" s="6"/>
      <c r="D535" s="4"/>
      <c r="E535" s="6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5.75" customHeight="1" x14ac:dyDescent="0.25">
      <c r="A536" s="4"/>
      <c r="B536" s="6"/>
      <c r="C536" s="6"/>
      <c r="D536" s="4"/>
      <c r="E536" s="6"/>
      <c r="F536" s="4"/>
      <c r="G536" s="4"/>
      <c r="H536" s="4"/>
      <c r="I536" s="4"/>
      <c r="J536" s="4"/>
      <c r="K536" s="4"/>
      <c r="L536" s="4"/>
      <c r="M536" s="4"/>
      <c r="N536" s="4"/>
    </row>
    <row r="537" spans="1:14" ht="15.75" customHeight="1" x14ac:dyDescent="0.25">
      <c r="A537" s="4"/>
      <c r="B537" s="6"/>
      <c r="C537" s="6"/>
      <c r="D537" s="4"/>
      <c r="E537" s="6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5.75" customHeight="1" x14ac:dyDescent="0.25">
      <c r="A538" s="4"/>
      <c r="B538" s="6"/>
      <c r="C538" s="6"/>
      <c r="D538" s="4"/>
      <c r="E538" s="6"/>
      <c r="F538" s="4"/>
      <c r="G538" s="4"/>
      <c r="H538" s="4"/>
      <c r="I538" s="4"/>
      <c r="J538" s="4"/>
      <c r="K538" s="4"/>
      <c r="L538" s="4"/>
      <c r="M538" s="4"/>
      <c r="N538" s="4"/>
    </row>
    <row r="539" spans="1:14" ht="15.75" customHeight="1" x14ac:dyDescent="0.25">
      <c r="A539" s="4"/>
      <c r="B539" s="6"/>
      <c r="C539" s="6"/>
      <c r="D539" s="4"/>
      <c r="E539" s="6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5.75" customHeight="1" x14ac:dyDescent="0.25">
      <c r="A540" s="4"/>
      <c r="B540" s="6"/>
      <c r="C540" s="6"/>
      <c r="D540" s="4"/>
      <c r="E540" s="6"/>
      <c r="F540" s="4"/>
      <c r="G540" s="4"/>
      <c r="H540" s="4"/>
      <c r="I540" s="4"/>
      <c r="J540" s="4"/>
      <c r="K540" s="4"/>
      <c r="L540" s="4"/>
      <c r="M540" s="4"/>
      <c r="N540" s="4"/>
    </row>
    <row r="541" spans="1:14" ht="15.75" customHeight="1" x14ac:dyDescent="0.25">
      <c r="A541" s="4"/>
      <c r="B541" s="6"/>
      <c r="C541" s="6"/>
      <c r="D541" s="4"/>
      <c r="E541" s="6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5.75" customHeight="1" x14ac:dyDescent="0.25">
      <c r="A542" s="4"/>
      <c r="B542" s="6"/>
      <c r="C542" s="6"/>
      <c r="D542" s="4"/>
      <c r="E542" s="6"/>
      <c r="F542" s="4"/>
      <c r="G542" s="4"/>
      <c r="H542" s="4"/>
      <c r="I542" s="4"/>
      <c r="J542" s="4"/>
      <c r="K542" s="4"/>
      <c r="L542" s="4"/>
      <c r="M542" s="4"/>
      <c r="N542" s="4"/>
    </row>
    <row r="543" spans="1:14" ht="15.75" customHeight="1" x14ac:dyDescent="0.25">
      <c r="A543" s="4"/>
      <c r="B543" s="6"/>
      <c r="C543" s="6"/>
      <c r="D543" s="4"/>
      <c r="E543" s="6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5.75" customHeight="1" x14ac:dyDescent="0.25">
      <c r="A544" s="4"/>
      <c r="B544" s="6"/>
      <c r="C544" s="6"/>
      <c r="D544" s="4"/>
      <c r="E544" s="6"/>
      <c r="F544" s="4"/>
      <c r="G544" s="4"/>
      <c r="H544" s="4"/>
      <c r="I544" s="4"/>
      <c r="J544" s="4"/>
      <c r="K544" s="4"/>
      <c r="L544" s="4"/>
      <c r="M544" s="4"/>
      <c r="N544" s="4"/>
    </row>
    <row r="545" spans="1:14" ht="15.75" customHeight="1" x14ac:dyDescent="0.25">
      <c r="A545" s="4"/>
      <c r="B545" s="6"/>
      <c r="C545" s="6"/>
      <c r="D545" s="4"/>
      <c r="E545" s="6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5.75" customHeight="1" x14ac:dyDescent="0.25">
      <c r="A546" s="4"/>
      <c r="B546" s="6"/>
      <c r="C546" s="6"/>
      <c r="D546" s="4"/>
      <c r="E546" s="6"/>
      <c r="F546" s="4"/>
      <c r="G546" s="4"/>
      <c r="H546" s="4"/>
      <c r="I546" s="4"/>
      <c r="J546" s="4"/>
      <c r="K546" s="4"/>
      <c r="L546" s="4"/>
      <c r="M546" s="4"/>
      <c r="N546" s="4"/>
    </row>
    <row r="547" spans="1:14" ht="15.75" customHeight="1" x14ac:dyDescent="0.25">
      <c r="A547" s="4"/>
      <c r="B547" s="6"/>
      <c r="C547" s="6"/>
      <c r="D547" s="4"/>
      <c r="E547" s="6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5.75" customHeight="1" x14ac:dyDescent="0.25">
      <c r="A548" s="4"/>
      <c r="B548" s="6"/>
      <c r="C548" s="6"/>
      <c r="D548" s="4"/>
      <c r="E548" s="6"/>
      <c r="F548" s="4"/>
      <c r="G548" s="4"/>
      <c r="H548" s="4"/>
      <c r="I548" s="4"/>
      <c r="J548" s="4"/>
      <c r="K548" s="4"/>
      <c r="L548" s="4"/>
      <c r="M548" s="4"/>
      <c r="N548" s="4"/>
    </row>
    <row r="549" spans="1:14" ht="15.75" customHeight="1" x14ac:dyDescent="0.25">
      <c r="A549" s="4"/>
      <c r="B549" s="6"/>
      <c r="C549" s="6"/>
      <c r="D549" s="4"/>
      <c r="E549" s="6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5.75" customHeight="1" x14ac:dyDescent="0.25">
      <c r="A550" s="4"/>
      <c r="B550" s="6"/>
      <c r="C550" s="6"/>
      <c r="D550" s="4"/>
      <c r="E550" s="6"/>
      <c r="F550" s="4"/>
      <c r="G550" s="4"/>
      <c r="H550" s="4"/>
      <c r="I550" s="4"/>
      <c r="J550" s="4"/>
      <c r="K550" s="4"/>
      <c r="L550" s="4"/>
      <c r="M550" s="4"/>
      <c r="N550" s="4"/>
    </row>
    <row r="551" spans="1:14" ht="15.75" customHeight="1" x14ac:dyDescent="0.25">
      <c r="A551" s="4"/>
      <c r="B551" s="6"/>
      <c r="C551" s="6"/>
      <c r="D551" s="4"/>
      <c r="E551" s="6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5.75" customHeight="1" x14ac:dyDescent="0.25">
      <c r="A552" s="4"/>
      <c r="B552" s="6"/>
      <c r="C552" s="6"/>
      <c r="D552" s="4"/>
      <c r="E552" s="6"/>
      <c r="F552" s="4"/>
      <c r="G552" s="4"/>
      <c r="H552" s="4"/>
      <c r="I552" s="4"/>
      <c r="J552" s="4"/>
      <c r="K552" s="4"/>
      <c r="L552" s="4"/>
      <c r="M552" s="4"/>
      <c r="N552" s="4"/>
    </row>
    <row r="553" spans="1:14" ht="15.75" customHeight="1" x14ac:dyDescent="0.25">
      <c r="A553" s="4"/>
      <c r="B553" s="6"/>
      <c r="C553" s="6"/>
      <c r="D553" s="4"/>
      <c r="E553" s="6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5.75" customHeight="1" x14ac:dyDescent="0.25">
      <c r="A554" s="4"/>
      <c r="B554" s="6"/>
      <c r="C554" s="6"/>
      <c r="D554" s="4"/>
      <c r="E554" s="6"/>
      <c r="F554" s="4"/>
      <c r="G554" s="4"/>
      <c r="H554" s="4"/>
      <c r="I554" s="4"/>
      <c r="J554" s="4"/>
      <c r="K554" s="4"/>
      <c r="L554" s="4"/>
      <c r="M554" s="4"/>
      <c r="N554" s="4"/>
    </row>
    <row r="555" spans="1:14" ht="15.75" customHeight="1" x14ac:dyDescent="0.25">
      <c r="A555" s="4"/>
      <c r="B555" s="6"/>
      <c r="C555" s="6"/>
      <c r="D555" s="4"/>
      <c r="E555" s="6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5.75" customHeight="1" x14ac:dyDescent="0.25">
      <c r="A556" s="4"/>
      <c r="B556" s="6"/>
      <c r="C556" s="6"/>
      <c r="D556" s="4"/>
      <c r="E556" s="6"/>
      <c r="F556" s="4"/>
      <c r="G556" s="4"/>
      <c r="H556" s="4"/>
      <c r="I556" s="4"/>
      <c r="J556" s="4"/>
      <c r="K556" s="4"/>
      <c r="L556" s="4"/>
      <c r="M556" s="4"/>
      <c r="N556" s="4"/>
    </row>
    <row r="557" spans="1:14" ht="15.75" customHeight="1" x14ac:dyDescent="0.25">
      <c r="A557" s="4"/>
      <c r="B557" s="6"/>
      <c r="C557" s="6"/>
      <c r="D557" s="4"/>
      <c r="E557" s="6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5.75" customHeight="1" x14ac:dyDescent="0.25">
      <c r="A558" s="4"/>
      <c r="B558" s="6"/>
      <c r="C558" s="6"/>
      <c r="D558" s="4"/>
      <c r="E558" s="6"/>
      <c r="F558" s="4"/>
      <c r="G558" s="4"/>
      <c r="H558" s="4"/>
      <c r="I558" s="4"/>
      <c r="J558" s="4"/>
      <c r="K558" s="4"/>
      <c r="L558" s="4"/>
      <c r="M558" s="4"/>
      <c r="N558" s="4"/>
    </row>
    <row r="559" spans="1:14" ht="15.75" customHeight="1" x14ac:dyDescent="0.25">
      <c r="A559" s="4"/>
      <c r="B559" s="6"/>
      <c r="C559" s="6"/>
      <c r="D559" s="4"/>
      <c r="E559" s="6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5.75" customHeight="1" x14ac:dyDescent="0.25">
      <c r="A560" s="4"/>
      <c r="B560" s="6"/>
      <c r="C560" s="6"/>
      <c r="D560" s="4"/>
      <c r="E560" s="6"/>
      <c r="F560" s="4"/>
      <c r="G560" s="4"/>
      <c r="H560" s="4"/>
      <c r="I560" s="4"/>
      <c r="J560" s="4"/>
      <c r="K560" s="4"/>
      <c r="L560" s="4"/>
      <c r="M560" s="4"/>
      <c r="N560" s="4"/>
    </row>
    <row r="561" spans="1:14" ht="15.75" customHeight="1" x14ac:dyDescent="0.25">
      <c r="A561" s="4"/>
      <c r="B561" s="6"/>
      <c r="C561" s="6"/>
      <c r="D561" s="4"/>
      <c r="E561" s="6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5.75" customHeight="1" x14ac:dyDescent="0.25">
      <c r="A562" s="4"/>
      <c r="B562" s="6"/>
      <c r="C562" s="6"/>
      <c r="D562" s="4"/>
      <c r="E562" s="6"/>
      <c r="F562" s="4"/>
      <c r="G562" s="4"/>
      <c r="H562" s="4"/>
      <c r="I562" s="4"/>
      <c r="J562" s="4"/>
      <c r="K562" s="4"/>
      <c r="L562" s="4"/>
      <c r="M562" s="4"/>
      <c r="N562" s="4"/>
    </row>
    <row r="563" spans="1:14" ht="15.75" customHeight="1" x14ac:dyDescent="0.25">
      <c r="A563" s="4"/>
      <c r="B563" s="6"/>
      <c r="C563" s="6"/>
      <c r="D563" s="4"/>
      <c r="E563" s="6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5.75" customHeight="1" x14ac:dyDescent="0.25">
      <c r="A564" s="4"/>
      <c r="B564" s="6"/>
      <c r="C564" s="6"/>
      <c r="D564" s="4"/>
      <c r="E564" s="6"/>
      <c r="F564" s="4"/>
      <c r="G564" s="4"/>
      <c r="H564" s="4"/>
      <c r="I564" s="4"/>
      <c r="J564" s="4"/>
      <c r="K564" s="4"/>
      <c r="L564" s="4"/>
      <c r="M564" s="4"/>
      <c r="N564" s="4"/>
    </row>
    <row r="565" spans="1:14" ht="15.75" customHeight="1" x14ac:dyDescent="0.25">
      <c r="A565" s="4"/>
      <c r="B565" s="6"/>
      <c r="C565" s="6"/>
      <c r="D565" s="4"/>
      <c r="E565" s="6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5.75" customHeight="1" x14ac:dyDescent="0.25">
      <c r="A566" s="4"/>
      <c r="B566" s="6"/>
      <c r="C566" s="6"/>
      <c r="D566" s="4"/>
      <c r="E566" s="6"/>
      <c r="F566" s="4"/>
      <c r="G566" s="4"/>
      <c r="H566" s="4"/>
      <c r="I566" s="4"/>
      <c r="J566" s="4"/>
      <c r="K566" s="4"/>
      <c r="L566" s="4"/>
      <c r="M566" s="4"/>
      <c r="N566" s="4"/>
    </row>
    <row r="567" spans="1:14" ht="15.75" customHeight="1" x14ac:dyDescent="0.25">
      <c r="A567" s="4"/>
      <c r="B567" s="6"/>
      <c r="C567" s="6"/>
      <c r="D567" s="4"/>
      <c r="E567" s="6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5.75" customHeight="1" x14ac:dyDescent="0.25">
      <c r="A568" s="4"/>
      <c r="B568" s="6"/>
      <c r="C568" s="6"/>
      <c r="D568" s="4"/>
      <c r="E568" s="6"/>
      <c r="F568" s="4"/>
      <c r="G568" s="4"/>
      <c r="H568" s="4"/>
      <c r="I568" s="4"/>
      <c r="J568" s="4"/>
      <c r="K568" s="4"/>
      <c r="L568" s="4"/>
      <c r="M568" s="4"/>
      <c r="N568" s="4"/>
    </row>
    <row r="569" spans="1:14" ht="15.75" customHeight="1" x14ac:dyDescent="0.25">
      <c r="A569" s="4"/>
      <c r="B569" s="6"/>
      <c r="C569" s="6"/>
      <c r="D569" s="4"/>
      <c r="E569" s="6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5.75" customHeight="1" x14ac:dyDescent="0.25">
      <c r="A570" s="4"/>
      <c r="B570" s="6"/>
      <c r="C570" s="6"/>
      <c r="D570" s="4"/>
      <c r="E570" s="6"/>
      <c r="F570" s="4"/>
      <c r="G570" s="4"/>
      <c r="H570" s="4"/>
      <c r="I570" s="4"/>
      <c r="J570" s="4"/>
      <c r="K570" s="4"/>
      <c r="L570" s="4"/>
      <c r="M570" s="4"/>
      <c r="N570" s="4"/>
    </row>
    <row r="571" spans="1:14" ht="15.75" customHeight="1" x14ac:dyDescent="0.25">
      <c r="A571" s="4"/>
      <c r="B571" s="6"/>
      <c r="C571" s="6"/>
      <c r="D571" s="4"/>
      <c r="E571" s="6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5.75" customHeight="1" x14ac:dyDescent="0.25">
      <c r="A572" s="4"/>
      <c r="B572" s="6"/>
      <c r="C572" s="6"/>
      <c r="D572" s="4"/>
      <c r="E572" s="6"/>
      <c r="F572" s="4"/>
      <c r="G572" s="4"/>
      <c r="H572" s="4"/>
      <c r="I572" s="4"/>
      <c r="J572" s="4"/>
      <c r="K572" s="4"/>
      <c r="L572" s="4"/>
      <c r="M572" s="4"/>
      <c r="N572" s="4"/>
    </row>
    <row r="573" spans="1:14" ht="15.75" customHeight="1" x14ac:dyDescent="0.25">
      <c r="A573" s="4"/>
      <c r="B573" s="6"/>
      <c r="C573" s="6"/>
      <c r="D573" s="4"/>
      <c r="E573" s="6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5.75" customHeight="1" x14ac:dyDescent="0.25">
      <c r="A574" s="4"/>
      <c r="B574" s="6"/>
      <c r="C574" s="6"/>
      <c r="D574" s="4"/>
      <c r="E574" s="6"/>
      <c r="F574" s="4"/>
      <c r="G574" s="4"/>
      <c r="H574" s="4"/>
      <c r="I574" s="4"/>
      <c r="J574" s="4"/>
      <c r="K574" s="4"/>
      <c r="L574" s="4"/>
      <c r="M574" s="4"/>
      <c r="N574" s="4"/>
    </row>
    <row r="575" spans="1:14" ht="15.75" customHeight="1" x14ac:dyDescent="0.25">
      <c r="A575" s="4"/>
      <c r="B575" s="6"/>
      <c r="C575" s="6"/>
      <c r="D575" s="4"/>
      <c r="E575" s="6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5.75" customHeight="1" x14ac:dyDescent="0.25">
      <c r="A576" s="4"/>
      <c r="B576" s="6"/>
      <c r="C576" s="6"/>
      <c r="D576" s="4"/>
      <c r="E576" s="6"/>
      <c r="F576" s="4"/>
      <c r="G576" s="4"/>
      <c r="H576" s="4"/>
      <c r="I576" s="4"/>
      <c r="J576" s="4"/>
      <c r="K576" s="4"/>
      <c r="L576" s="4"/>
      <c r="M576" s="4"/>
      <c r="N576" s="4"/>
    </row>
    <row r="577" spans="1:14" ht="15.75" customHeight="1" x14ac:dyDescent="0.25">
      <c r="A577" s="4"/>
      <c r="B577" s="6"/>
      <c r="C577" s="6"/>
      <c r="D577" s="4"/>
      <c r="E577" s="6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5.75" customHeight="1" x14ac:dyDescent="0.25">
      <c r="A578" s="4"/>
      <c r="B578" s="6"/>
      <c r="C578" s="6"/>
      <c r="D578" s="4"/>
      <c r="E578" s="6"/>
      <c r="F578" s="4"/>
      <c r="G578" s="4"/>
      <c r="H578" s="4"/>
      <c r="I578" s="4"/>
      <c r="J578" s="4"/>
      <c r="K578" s="4"/>
      <c r="L578" s="4"/>
      <c r="M578" s="4"/>
      <c r="N578" s="4"/>
    </row>
    <row r="579" spans="1:14" ht="15.75" customHeight="1" x14ac:dyDescent="0.25">
      <c r="A579" s="4"/>
      <c r="B579" s="6"/>
      <c r="C579" s="6"/>
      <c r="D579" s="4"/>
      <c r="E579" s="6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5.75" customHeight="1" x14ac:dyDescent="0.25">
      <c r="A580" s="4"/>
      <c r="B580" s="6"/>
      <c r="C580" s="6"/>
      <c r="D580" s="4"/>
      <c r="E580" s="6"/>
      <c r="F580" s="4"/>
      <c r="G580" s="4"/>
      <c r="H580" s="4"/>
      <c r="I580" s="4"/>
      <c r="J580" s="4"/>
      <c r="K580" s="4"/>
      <c r="L580" s="4"/>
      <c r="M580" s="4"/>
      <c r="N580" s="4"/>
    </row>
    <row r="581" spans="1:14" ht="15.75" customHeight="1" x14ac:dyDescent="0.25">
      <c r="A581" s="4"/>
      <c r="B581" s="6"/>
      <c r="C581" s="6"/>
      <c r="D581" s="4"/>
      <c r="E581" s="6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5.75" customHeight="1" x14ac:dyDescent="0.25">
      <c r="A582" s="4"/>
      <c r="B582" s="6"/>
      <c r="C582" s="6"/>
      <c r="D582" s="4"/>
      <c r="E582" s="6"/>
      <c r="F582" s="4"/>
      <c r="G582" s="4"/>
      <c r="H582" s="4"/>
      <c r="I582" s="4"/>
      <c r="J582" s="4"/>
      <c r="K582" s="4"/>
      <c r="L582" s="4"/>
      <c r="M582" s="4"/>
      <c r="N582" s="4"/>
    </row>
    <row r="583" spans="1:14" ht="15.75" customHeight="1" x14ac:dyDescent="0.25">
      <c r="A583" s="4"/>
      <c r="B583" s="6"/>
      <c r="C583" s="6"/>
      <c r="D583" s="4"/>
      <c r="E583" s="6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5.75" customHeight="1" x14ac:dyDescent="0.25">
      <c r="A584" s="4"/>
      <c r="B584" s="6"/>
      <c r="C584" s="6"/>
      <c r="D584" s="4"/>
      <c r="E584" s="6"/>
      <c r="F584" s="4"/>
      <c r="G584" s="4"/>
      <c r="H584" s="4"/>
      <c r="I584" s="4"/>
      <c r="J584" s="4"/>
      <c r="K584" s="4"/>
      <c r="L584" s="4"/>
      <c r="M584" s="4"/>
      <c r="N584" s="4"/>
    </row>
    <row r="585" spans="1:14" ht="15.75" customHeight="1" x14ac:dyDescent="0.25">
      <c r="A585" s="4"/>
      <c r="B585" s="6"/>
      <c r="C585" s="6"/>
      <c r="D585" s="4"/>
      <c r="E585" s="6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5.75" customHeight="1" x14ac:dyDescent="0.25">
      <c r="A586" s="4"/>
      <c r="B586" s="6"/>
      <c r="C586" s="6"/>
      <c r="D586" s="4"/>
      <c r="E586" s="6"/>
      <c r="F586" s="4"/>
      <c r="G586" s="4"/>
      <c r="H586" s="4"/>
      <c r="I586" s="4"/>
      <c r="J586" s="4"/>
      <c r="K586" s="4"/>
      <c r="L586" s="4"/>
      <c r="M586" s="4"/>
      <c r="N586" s="4"/>
    </row>
    <row r="587" spans="1:14" ht="15.75" customHeight="1" x14ac:dyDescent="0.25">
      <c r="A587" s="4"/>
      <c r="B587" s="6"/>
      <c r="C587" s="6"/>
      <c r="D587" s="4"/>
      <c r="E587" s="6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5.75" customHeight="1" x14ac:dyDescent="0.25">
      <c r="A588" s="4"/>
      <c r="B588" s="6"/>
      <c r="C588" s="6"/>
      <c r="D588" s="4"/>
      <c r="E588" s="6"/>
      <c r="F588" s="4"/>
      <c r="G588" s="4"/>
      <c r="H588" s="4"/>
      <c r="I588" s="4"/>
      <c r="J588" s="4"/>
      <c r="K588" s="4"/>
      <c r="L588" s="4"/>
      <c r="M588" s="4"/>
      <c r="N588" s="4"/>
    </row>
    <row r="589" spans="1:14" ht="15.75" customHeight="1" x14ac:dyDescent="0.25">
      <c r="A589" s="4"/>
      <c r="B589" s="6"/>
      <c r="C589" s="6"/>
      <c r="D589" s="4"/>
      <c r="E589" s="6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5.75" customHeight="1" x14ac:dyDescent="0.25">
      <c r="A590" s="4"/>
      <c r="B590" s="6"/>
      <c r="C590" s="6"/>
      <c r="D590" s="4"/>
      <c r="E590" s="6"/>
      <c r="F590" s="4"/>
      <c r="G590" s="4"/>
      <c r="H590" s="4"/>
      <c r="I590" s="4"/>
      <c r="J590" s="4"/>
      <c r="K590" s="4"/>
      <c r="L590" s="4"/>
      <c r="M590" s="4"/>
      <c r="N590" s="4"/>
    </row>
    <row r="591" spans="1:14" ht="15.75" customHeight="1" x14ac:dyDescent="0.25">
      <c r="A591" s="4"/>
      <c r="B591" s="6"/>
      <c r="C591" s="6"/>
      <c r="D591" s="4"/>
      <c r="E591" s="6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5.75" customHeight="1" x14ac:dyDescent="0.25">
      <c r="A592" s="4"/>
      <c r="B592" s="6"/>
      <c r="C592" s="6"/>
      <c r="D592" s="4"/>
      <c r="E592" s="6"/>
      <c r="F592" s="4"/>
      <c r="G592" s="4"/>
      <c r="H592" s="4"/>
      <c r="I592" s="4"/>
      <c r="J592" s="4"/>
      <c r="K592" s="4"/>
      <c r="L592" s="4"/>
      <c r="M592" s="4"/>
      <c r="N592" s="4"/>
    </row>
    <row r="593" spans="1:14" ht="15.75" customHeight="1" x14ac:dyDescent="0.25">
      <c r="A593" s="4"/>
      <c r="B593" s="6"/>
      <c r="C593" s="6"/>
      <c r="D593" s="4"/>
      <c r="E593" s="6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5.75" customHeight="1" x14ac:dyDescent="0.25">
      <c r="A594" s="4"/>
      <c r="B594" s="6"/>
      <c r="C594" s="6"/>
      <c r="D594" s="4"/>
      <c r="E594" s="6"/>
      <c r="F594" s="4"/>
      <c r="G594" s="4"/>
      <c r="H594" s="4"/>
      <c r="I594" s="4"/>
      <c r="J594" s="4"/>
      <c r="K594" s="4"/>
      <c r="L594" s="4"/>
      <c r="M594" s="4"/>
      <c r="N594" s="4"/>
    </row>
    <row r="595" spans="1:14" ht="15.75" customHeight="1" x14ac:dyDescent="0.25">
      <c r="A595" s="4"/>
      <c r="B595" s="6"/>
      <c r="C595" s="6"/>
      <c r="D595" s="4"/>
      <c r="E595" s="6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5.75" customHeight="1" x14ac:dyDescent="0.25">
      <c r="A596" s="4"/>
      <c r="B596" s="6"/>
      <c r="C596" s="6"/>
      <c r="D596" s="4"/>
      <c r="E596" s="6"/>
      <c r="F596" s="4"/>
      <c r="G596" s="4"/>
      <c r="H596" s="4"/>
      <c r="I596" s="4"/>
      <c r="J596" s="4"/>
      <c r="K596" s="4"/>
      <c r="L596" s="4"/>
      <c r="M596" s="4"/>
      <c r="N596" s="4"/>
    </row>
    <row r="597" spans="1:14" ht="15.75" customHeight="1" x14ac:dyDescent="0.25">
      <c r="A597" s="4"/>
      <c r="B597" s="6"/>
      <c r="C597" s="6"/>
      <c r="D597" s="4"/>
      <c r="E597" s="6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5.75" customHeight="1" x14ac:dyDescent="0.25">
      <c r="A598" s="4"/>
      <c r="B598" s="6"/>
      <c r="C598" s="6"/>
      <c r="D598" s="4"/>
      <c r="E598" s="6"/>
      <c r="F598" s="4"/>
      <c r="G598" s="4"/>
      <c r="H598" s="4"/>
      <c r="I598" s="4"/>
      <c r="J598" s="4"/>
      <c r="K598" s="4"/>
      <c r="L598" s="4"/>
      <c r="M598" s="4"/>
      <c r="N598" s="4"/>
    </row>
    <row r="599" spans="1:14" ht="15.75" customHeight="1" x14ac:dyDescent="0.25">
      <c r="A599" s="4"/>
      <c r="B599" s="6"/>
      <c r="C599" s="6"/>
      <c r="D599" s="4"/>
      <c r="E599" s="6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5.75" customHeight="1" x14ac:dyDescent="0.25">
      <c r="A600" s="4"/>
      <c r="B600" s="6"/>
      <c r="C600" s="6"/>
      <c r="D600" s="4"/>
      <c r="E600" s="6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5.75" customHeight="1" x14ac:dyDescent="0.25">
      <c r="A601" s="4"/>
      <c r="B601" s="6"/>
      <c r="C601" s="6"/>
      <c r="D601" s="4"/>
      <c r="E601" s="6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5.75" customHeight="1" x14ac:dyDescent="0.25">
      <c r="A602" s="4"/>
      <c r="B602" s="6"/>
      <c r="C602" s="6"/>
      <c r="D602" s="4"/>
      <c r="E602" s="6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5.75" customHeight="1" x14ac:dyDescent="0.25">
      <c r="A603" s="4"/>
      <c r="B603" s="6"/>
      <c r="C603" s="6"/>
      <c r="D603" s="4"/>
      <c r="E603" s="6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5.75" customHeight="1" x14ac:dyDescent="0.25">
      <c r="A604" s="4"/>
      <c r="B604" s="6"/>
      <c r="C604" s="6"/>
      <c r="D604" s="4"/>
      <c r="E604" s="6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5.75" customHeight="1" x14ac:dyDescent="0.25">
      <c r="A605" s="4"/>
      <c r="B605" s="6"/>
      <c r="C605" s="6"/>
      <c r="D605" s="4"/>
      <c r="E605" s="6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5.75" customHeight="1" x14ac:dyDescent="0.25">
      <c r="A606" s="4"/>
      <c r="B606" s="6"/>
      <c r="C606" s="6"/>
      <c r="D606" s="4"/>
      <c r="E606" s="6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5.75" customHeight="1" x14ac:dyDescent="0.25">
      <c r="A607" s="4"/>
      <c r="B607" s="6"/>
      <c r="C607" s="6"/>
      <c r="D607" s="4"/>
      <c r="E607" s="6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5.75" customHeight="1" x14ac:dyDescent="0.25">
      <c r="A608" s="4"/>
      <c r="B608" s="6"/>
      <c r="C608" s="6"/>
      <c r="D608" s="4"/>
      <c r="E608" s="6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5.75" customHeight="1" x14ac:dyDescent="0.25">
      <c r="A609" s="4"/>
      <c r="B609" s="6"/>
      <c r="C609" s="6"/>
      <c r="D609" s="4"/>
      <c r="E609" s="6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5.75" customHeight="1" x14ac:dyDescent="0.25">
      <c r="A610" s="4"/>
      <c r="B610" s="6"/>
      <c r="C610" s="6"/>
      <c r="D610" s="4"/>
      <c r="E610" s="6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5.75" customHeight="1" x14ac:dyDescent="0.25">
      <c r="A611" s="4"/>
      <c r="B611" s="6"/>
      <c r="C611" s="6"/>
      <c r="D611" s="4"/>
      <c r="E611" s="6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5.75" customHeight="1" x14ac:dyDescent="0.25">
      <c r="A612" s="4"/>
      <c r="B612" s="6"/>
      <c r="C612" s="6"/>
      <c r="D612" s="4"/>
      <c r="E612" s="6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5.75" customHeight="1" x14ac:dyDescent="0.25">
      <c r="A613" s="4"/>
      <c r="B613" s="6"/>
      <c r="C613" s="6"/>
      <c r="D613" s="4"/>
      <c r="E613" s="6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5.75" customHeight="1" x14ac:dyDescent="0.25">
      <c r="A614" s="4"/>
      <c r="B614" s="6"/>
      <c r="C614" s="6"/>
      <c r="D614" s="4"/>
      <c r="E614" s="6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5.75" customHeight="1" x14ac:dyDescent="0.25">
      <c r="A615" s="4"/>
      <c r="B615" s="6"/>
      <c r="C615" s="6"/>
      <c r="D615" s="4"/>
      <c r="E615" s="6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5.75" customHeight="1" x14ac:dyDescent="0.25">
      <c r="A616" s="4"/>
      <c r="B616" s="6"/>
      <c r="C616" s="6"/>
      <c r="D616" s="4"/>
      <c r="E616" s="6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5.75" customHeight="1" x14ac:dyDescent="0.25">
      <c r="A617" s="4"/>
      <c r="B617" s="6"/>
      <c r="C617" s="6"/>
      <c r="D617" s="4"/>
      <c r="E617" s="6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5.75" customHeight="1" x14ac:dyDescent="0.25">
      <c r="A618" s="4"/>
      <c r="B618" s="6"/>
      <c r="C618" s="6"/>
      <c r="D618" s="4"/>
      <c r="E618" s="6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5.75" customHeight="1" x14ac:dyDescent="0.25">
      <c r="A619" s="4"/>
      <c r="B619" s="6"/>
      <c r="C619" s="6"/>
      <c r="D619" s="4"/>
      <c r="E619" s="6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5.75" customHeight="1" x14ac:dyDescent="0.25">
      <c r="A620" s="4"/>
      <c r="B620" s="6"/>
      <c r="C620" s="6"/>
      <c r="D620" s="4"/>
      <c r="E620" s="6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5.75" customHeight="1" x14ac:dyDescent="0.25">
      <c r="A621" s="4"/>
      <c r="B621" s="6"/>
      <c r="C621" s="6"/>
      <c r="D621" s="4"/>
      <c r="E621" s="6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5.75" customHeight="1" x14ac:dyDescent="0.25">
      <c r="A622" s="4"/>
      <c r="B622" s="6"/>
      <c r="C622" s="6"/>
      <c r="D622" s="4"/>
      <c r="E622" s="6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5.75" customHeight="1" x14ac:dyDescent="0.25">
      <c r="A623" s="4"/>
      <c r="B623" s="6"/>
      <c r="C623" s="6"/>
      <c r="D623" s="4"/>
      <c r="E623" s="6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5.75" customHeight="1" x14ac:dyDescent="0.25">
      <c r="A624" s="4"/>
      <c r="B624" s="6"/>
      <c r="C624" s="6"/>
      <c r="D624" s="4"/>
      <c r="E624" s="6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5.75" customHeight="1" x14ac:dyDescent="0.25">
      <c r="A625" s="4"/>
      <c r="B625" s="6"/>
      <c r="C625" s="6"/>
      <c r="D625" s="4"/>
      <c r="E625" s="6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5.75" customHeight="1" x14ac:dyDescent="0.25">
      <c r="A626" s="4"/>
      <c r="B626" s="6"/>
      <c r="C626" s="6"/>
      <c r="D626" s="4"/>
      <c r="E626" s="6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5.75" customHeight="1" x14ac:dyDescent="0.25">
      <c r="A627" s="4"/>
      <c r="B627" s="6"/>
      <c r="C627" s="6"/>
      <c r="D627" s="4"/>
      <c r="E627" s="6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5.75" customHeight="1" x14ac:dyDescent="0.25">
      <c r="A628" s="4"/>
      <c r="B628" s="6"/>
      <c r="C628" s="6"/>
      <c r="D628" s="4"/>
      <c r="E628" s="6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5.75" customHeight="1" x14ac:dyDescent="0.25">
      <c r="A629" s="4"/>
      <c r="B629" s="6"/>
      <c r="C629" s="6"/>
      <c r="D629" s="4"/>
      <c r="E629" s="6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5.75" customHeight="1" x14ac:dyDescent="0.25">
      <c r="A630" s="4"/>
      <c r="B630" s="6"/>
      <c r="C630" s="6"/>
      <c r="D630" s="4"/>
      <c r="E630" s="6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5.75" customHeight="1" x14ac:dyDescent="0.25">
      <c r="A631" s="4"/>
      <c r="B631" s="6"/>
      <c r="C631" s="6"/>
      <c r="D631" s="4"/>
      <c r="E631" s="6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5.75" customHeight="1" x14ac:dyDescent="0.25">
      <c r="A632" s="4"/>
      <c r="B632" s="6"/>
      <c r="C632" s="6"/>
      <c r="D632" s="4"/>
      <c r="E632" s="6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5.75" customHeight="1" x14ac:dyDescent="0.25">
      <c r="A633" s="4"/>
      <c r="B633" s="6"/>
      <c r="C633" s="6"/>
      <c r="D633" s="4"/>
      <c r="E633" s="6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5.75" customHeight="1" x14ac:dyDescent="0.25">
      <c r="A634" s="4"/>
      <c r="B634" s="6"/>
      <c r="C634" s="6"/>
      <c r="D634" s="4"/>
      <c r="E634" s="6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5.75" customHeight="1" x14ac:dyDescent="0.25">
      <c r="A635" s="4"/>
      <c r="B635" s="6"/>
      <c r="C635" s="6"/>
      <c r="D635" s="4"/>
      <c r="E635" s="6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5.75" customHeight="1" x14ac:dyDescent="0.25">
      <c r="A636" s="4"/>
      <c r="B636" s="6"/>
      <c r="C636" s="6"/>
      <c r="D636" s="4"/>
      <c r="E636" s="6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5.75" customHeight="1" x14ac:dyDescent="0.25">
      <c r="A637" s="4"/>
      <c r="B637" s="6"/>
      <c r="C637" s="6"/>
      <c r="D637" s="4"/>
      <c r="E637" s="6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5.75" customHeight="1" x14ac:dyDescent="0.25">
      <c r="A638" s="4"/>
      <c r="B638" s="6"/>
      <c r="C638" s="6"/>
      <c r="D638" s="4"/>
      <c r="E638" s="6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5.75" customHeight="1" x14ac:dyDescent="0.25">
      <c r="A639" s="4"/>
      <c r="B639" s="6"/>
      <c r="C639" s="6"/>
      <c r="D639" s="4"/>
      <c r="E639" s="6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5.75" customHeight="1" x14ac:dyDescent="0.25">
      <c r="A640" s="4"/>
      <c r="B640" s="6"/>
      <c r="C640" s="6"/>
      <c r="D640" s="4"/>
      <c r="E640" s="6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5.75" customHeight="1" x14ac:dyDescent="0.25">
      <c r="A641" s="4"/>
      <c r="B641" s="6"/>
      <c r="C641" s="6"/>
      <c r="D641" s="4"/>
      <c r="E641" s="6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5.75" customHeight="1" x14ac:dyDescent="0.25">
      <c r="A642" s="4"/>
      <c r="B642" s="6"/>
      <c r="C642" s="6"/>
      <c r="D642" s="4"/>
      <c r="E642" s="6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5.75" customHeight="1" x14ac:dyDescent="0.25">
      <c r="A643" s="4"/>
      <c r="B643" s="6"/>
      <c r="C643" s="6"/>
      <c r="D643" s="4"/>
      <c r="E643" s="6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5.75" customHeight="1" x14ac:dyDescent="0.25">
      <c r="A644" s="4"/>
      <c r="B644" s="6"/>
      <c r="C644" s="6"/>
      <c r="D644" s="4"/>
      <c r="E644" s="6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5.75" customHeight="1" x14ac:dyDescent="0.25">
      <c r="A645" s="4"/>
      <c r="B645" s="6"/>
      <c r="C645" s="6"/>
      <c r="D645" s="4"/>
      <c r="E645" s="6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5.75" customHeight="1" x14ac:dyDescent="0.25">
      <c r="A646" s="4"/>
      <c r="B646" s="6"/>
      <c r="C646" s="6"/>
      <c r="D646" s="4"/>
      <c r="E646" s="6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5.75" customHeight="1" x14ac:dyDescent="0.25">
      <c r="A647" s="4"/>
      <c r="B647" s="6"/>
      <c r="C647" s="6"/>
      <c r="D647" s="4"/>
      <c r="E647" s="6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5.75" customHeight="1" x14ac:dyDescent="0.25">
      <c r="A648" s="4"/>
      <c r="B648" s="6"/>
      <c r="C648" s="6"/>
      <c r="D648" s="4"/>
      <c r="E648" s="6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5.75" customHeight="1" x14ac:dyDescent="0.25">
      <c r="A649" s="4"/>
      <c r="B649" s="6"/>
      <c r="C649" s="6"/>
      <c r="D649" s="4"/>
      <c r="E649" s="6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5.75" customHeight="1" x14ac:dyDescent="0.25">
      <c r="A650" s="4"/>
      <c r="B650" s="6"/>
      <c r="C650" s="6"/>
      <c r="D650" s="4"/>
      <c r="E650" s="6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5.75" customHeight="1" x14ac:dyDescent="0.25">
      <c r="A651" s="4"/>
      <c r="B651" s="6"/>
      <c r="C651" s="6"/>
      <c r="D651" s="4"/>
      <c r="E651" s="6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5.75" customHeight="1" x14ac:dyDescent="0.25">
      <c r="A652" s="4"/>
      <c r="B652" s="6"/>
      <c r="C652" s="6"/>
      <c r="D652" s="4"/>
      <c r="E652" s="6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5.75" customHeight="1" x14ac:dyDescent="0.25">
      <c r="A653" s="4"/>
      <c r="B653" s="6"/>
      <c r="C653" s="6"/>
      <c r="D653" s="4"/>
      <c r="E653" s="6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5.75" customHeight="1" x14ac:dyDescent="0.25">
      <c r="A654" s="4"/>
      <c r="B654" s="6"/>
      <c r="C654" s="6"/>
      <c r="D654" s="4"/>
      <c r="E654" s="6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5.75" customHeight="1" x14ac:dyDescent="0.25">
      <c r="A655" s="4"/>
      <c r="B655" s="6"/>
      <c r="C655" s="6"/>
      <c r="D655" s="4"/>
      <c r="E655" s="6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5.75" customHeight="1" x14ac:dyDescent="0.25">
      <c r="A656" s="4"/>
      <c r="B656" s="6"/>
      <c r="C656" s="6"/>
      <c r="D656" s="4"/>
      <c r="E656" s="6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5.75" customHeight="1" x14ac:dyDescent="0.25">
      <c r="A657" s="4"/>
      <c r="B657" s="6"/>
      <c r="C657" s="6"/>
      <c r="D657" s="4"/>
      <c r="E657" s="6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5.75" customHeight="1" x14ac:dyDescent="0.25">
      <c r="A658" s="4"/>
      <c r="B658" s="6"/>
      <c r="C658" s="6"/>
      <c r="D658" s="4"/>
      <c r="E658" s="6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5.75" customHeight="1" x14ac:dyDescent="0.25">
      <c r="A659" s="4"/>
      <c r="B659" s="6"/>
      <c r="C659" s="6"/>
      <c r="D659" s="4"/>
      <c r="E659" s="6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5.75" customHeight="1" x14ac:dyDescent="0.25">
      <c r="A660" s="4"/>
      <c r="B660" s="6"/>
      <c r="C660" s="6"/>
      <c r="D660" s="4"/>
      <c r="E660" s="6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5.75" customHeight="1" x14ac:dyDescent="0.25">
      <c r="A661" s="4"/>
      <c r="B661" s="6"/>
      <c r="C661" s="6"/>
      <c r="D661" s="4"/>
      <c r="E661" s="6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5.75" customHeight="1" x14ac:dyDescent="0.25">
      <c r="A662" s="4"/>
      <c r="B662" s="6"/>
      <c r="C662" s="6"/>
      <c r="D662" s="4"/>
      <c r="E662" s="6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5.75" customHeight="1" x14ac:dyDescent="0.25">
      <c r="A663" s="4"/>
      <c r="B663" s="6"/>
      <c r="C663" s="6"/>
      <c r="D663" s="4"/>
      <c r="E663" s="6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5.75" customHeight="1" x14ac:dyDescent="0.25">
      <c r="A664" s="4"/>
      <c r="B664" s="6"/>
      <c r="C664" s="6"/>
      <c r="D664" s="4"/>
      <c r="E664" s="6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5.75" customHeight="1" x14ac:dyDescent="0.25">
      <c r="A665" s="4"/>
      <c r="B665" s="6"/>
      <c r="C665" s="6"/>
      <c r="D665" s="4"/>
      <c r="E665" s="6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5.75" customHeight="1" x14ac:dyDescent="0.25">
      <c r="A666" s="4"/>
      <c r="B666" s="6"/>
      <c r="C666" s="6"/>
      <c r="D666" s="4"/>
      <c r="E666" s="6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5.75" customHeight="1" x14ac:dyDescent="0.25">
      <c r="A667" s="4"/>
      <c r="B667" s="6"/>
      <c r="C667" s="6"/>
      <c r="D667" s="4"/>
      <c r="E667" s="6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5.75" customHeight="1" x14ac:dyDescent="0.25">
      <c r="A668" s="4"/>
      <c r="B668" s="6"/>
      <c r="C668" s="6"/>
      <c r="D668" s="4"/>
      <c r="E668" s="6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5.75" customHeight="1" x14ac:dyDescent="0.25">
      <c r="A669" s="4"/>
      <c r="B669" s="6"/>
      <c r="C669" s="6"/>
      <c r="D669" s="4"/>
      <c r="E669" s="6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5.75" customHeight="1" x14ac:dyDescent="0.25">
      <c r="A670" s="4"/>
      <c r="B670" s="6"/>
      <c r="C670" s="6"/>
      <c r="D670" s="4"/>
      <c r="E670" s="6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5.75" customHeight="1" x14ac:dyDescent="0.25">
      <c r="A671" s="4"/>
      <c r="B671" s="6"/>
      <c r="C671" s="6"/>
      <c r="D671" s="4"/>
      <c r="E671" s="6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5.75" customHeight="1" x14ac:dyDescent="0.25">
      <c r="A672" s="4"/>
      <c r="B672" s="6"/>
      <c r="C672" s="6"/>
      <c r="D672" s="4"/>
      <c r="E672" s="6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5.75" customHeight="1" x14ac:dyDescent="0.25">
      <c r="A673" s="4"/>
      <c r="B673" s="6"/>
      <c r="C673" s="6"/>
      <c r="D673" s="4"/>
      <c r="E673" s="6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5.75" customHeight="1" x14ac:dyDescent="0.25">
      <c r="A674" s="4"/>
      <c r="B674" s="6"/>
      <c r="C674" s="6"/>
      <c r="D674" s="4"/>
      <c r="E674" s="6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5.75" customHeight="1" x14ac:dyDescent="0.25">
      <c r="A675" s="4"/>
      <c r="B675" s="6"/>
      <c r="C675" s="6"/>
      <c r="D675" s="4"/>
      <c r="E675" s="6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5.75" customHeight="1" x14ac:dyDescent="0.25">
      <c r="A676" s="4"/>
      <c r="B676" s="6"/>
      <c r="C676" s="6"/>
      <c r="D676" s="4"/>
      <c r="E676" s="6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5.75" customHeight="1" x14ac:dyDescent="0.25">
      <c r="A677" s="4"/>
      <c r="B677" s="6"/>
      <c r="C677" s="6"/>
      <c r="D677" s="4"/>
      <c r="E677" s="6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5.75" customHeight="1" x14ac:dyDescent="0.25">
      <c r="A678" s="4"/>
      <c r="B678" s="6"/>
      <c r="C678" s="6"/>
      <c r="D678" s="4"/>
      <c r="E678" s="6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5.75" customHeight="1" x14ac:dyDescent="0.25">
      <c r="A679" s="4"/>
      <c r="B679" s="6"/>
      <c r="C679" s="6"/>
      <c r="D679" s="4"/>
      <c r="E679" s="6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5.75" customHeight="1" x14ac:dyDescent="0.25">
      <c r="A680" s="4"/>
      <c r="B680" s="6"/>
      <c r="C680" s="6"/>
      <c r="D680" s="4"/>
      <c r="E680" s="6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5.75" customHeight="1" x14ac:dyDescent="0.25">
      <c r="A681" s="4"/>
      <c r="B681" s="6"/>
      <c r="C681" s="6"/>
      <c r="D681" s="4"/>
      <c r="E681" s="6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5.75" customHeight="1" x14ac:dyDescent="0.25">
      <c r="A682" s="4"/>
      <c r="B682" s="6"/>
      <c r="C682" s="6"/>
      <c r="D682" s="4"/>
      <c r="E682" s="6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5.75" customHeight="1" x14ac:dyDescent="0.25">
      <c r="A683" s="4"/>
      <c r="B683" s="6"/>
      <c r="C683" s="6"/>
      <c r="D683" s="4"/>
      <c r="E683" s="6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5.75" customHeight="1" x14ac:dyDescent="0.25">
      <c r="A684" s="4"/>
      <c r="B684" s="6"/>
      <c r="C684" s="6"/>
      <c r="D684" s="4"/>
      <c r="E684" s="6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5.75" customHeight="1" x14ac:dyDescent="0.25">
      <c r="A685" s="4"/>
      <c r="B685" s="6"/>
      <c r="C685" s="6"/>
      <c r="D685" s="4"/>
      <c r="E685" s="6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5.75" customHeight="1" x14ac:dyDescent="0.25">
      <c r="A686" s="4"/>
      <c r="B686" s="6"/>
      <c r="C686" s="6"/>
      <c r="D686" s="4"/>
      <c r="E686" s="6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5.75" customHeight="1" x14ac:dyDescent="0.25">
      <c r="A687" s="4"/>
      <c r="B687" s="6"/>
      <c r="C687" s="6"/>
      <c r="D687" s="4"/>
      <c r="E687" s="6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5.75" customHeight="1" x14ac:dyDescent="0.25">
      <c r="A688" s="4"/>
      <c r="B688" s="6"/>
      <c r="C688" s="6"/>
      <c r="D688" s="4"/>
      <c r="E688" s="6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5.75" customHeight="1" x14ac:dyDescent="0.25">
      <c r="A689" s="4"/>
      <c r="B689" s="6"/>
      <c r="C689" s="6"/>
      <c r="D689" s="4"/>
      <c r="E689" s="6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5.75" customHeight="1" x14ac:dyDescent="0.25">
      <c r="A690" s="4"/>
      <c r="B690" s="6"/>
      <c r="C690" s="6"/>
      <c r="D690" s="4"/>
      <c r="E690" s="6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5.75" customHeight="1" x14ac:dyDescent="0.25">
      <c r="A691" s="4"/>
      <c r="B691" s="6"/>
      <c r="C691" s="6"/>
      <c r="D691" s="4"/>
      <c r="E691" s="6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5.75" customHeight="1" x14ac:dyDescent="0.25">
      <c r="A692" s="4"/>
      <c r="B692" s="6"/>
      <c r="C692" s="6"/>
      <c r="D692" s="4"/>
      <c r="E692" s="6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5.75" customHeight="1" x14ac:dyDescent="0.25">
      <c r="A693" s="4"/>
      <c r="B693" s="6"/>
      <c r="C693" s="6"/>
      <c r="D693" s="4"/>
      <c r="E693" s="6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5.75" customHeight="1" x14ac:dyDescent="0.25">
      <c r="A694" s="4"/>
      <c r="B694" s="6"/>
      <c r="C694" s="6"/>
      <c r="D694" s="4"/>
      <c r="E694" s="6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5.75" customHeight="1" x14ac:dyDescent="0.25">
      <c r="A695" s="4"/>
      <c r="B695" s="6"/>
      <c r="C695" s="6"/>
      <c r="D695" s="4"/>
      <c r="E695" s="6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5.75" customHeight="1" x14ac:dyDescent="0.25">
      <c r="A696" s="4"/>
      <c r="B696" s="6"/>
      <c r="C696" s="6"/>
      <c r="D696" s="4"/>
      <c r="E696" s="6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5.75" customHeight="1" x14ac:dyDescent="0.25">
      <c r="A697" s="4"/>
      <c r="B697" s="6"/>
      <c r="C697" s="6"/>
      <c r="D697" s="4"/>
      <c r="E697" s="6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5.75" customHeight="1" x14ac:dyDescent="0.25">
      <c r="A698" s="4"/>
      <c r="B698" s="6"/>
      <c r="C698" s="6"/>
      <c r="D698" s="4"/>
      <c r="E698" s="6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5.75" customHeight="1" x14ac:dyDescent="0.25">
      <c r="A699" s="4"/>
      <c r="B699" s="6"/>
      <c r="C699" s="6"/>
      <c r="D699" s="4"/>
      <c r="E699" s="6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5.75" customHeight="1" x14ac:dyDescent="0.25">
      <c r="A700" s="4"/>
      <c r="B700" s="6"/>
      <c r="C700" s="6"/>
      <c r="D700" s="4"/>
      <c r="E700" s="6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5.75" customHeight="1" x14ac:dyDescent="0.25">
      <c r="A701" s="4"/>
      <c r="B701" s="6"/>
      <c r="C701" s="6"/>
      <c r="D701" s="4"/>
      <c r="E701" s="6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5.75" customHeight="1" x14ac:dyDescent="0.25">
      <c r="A702" s="4"/>
      <c r="B702" s="6"/>
      <c r="C702" s="6"/>
      <c r="D702" s="4"/>
      <c r="E702" s="6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5.75" customHeight="1" x14ac:dyDescent="0.25">
      <c r="A703" s="4"/>
      <c r="B703" s="6"/>
      <c r="C703" s="6"/>
      <c r="D703" s="4"/>
      <c r="E703" s="6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5.75" customHeight="1" x14ac:dyDescent="0.25">
      <c r="A704" s="4"/>
      <c r="B704" s="6"/>
      <c r="C704" s="6"/>
      <c r="D704" s="4"/>
      <c r="E704" s="6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5.75" customHeight="1" x14ac:dyDescent="0.25">
      <c r="A705" s="4"/>
      <c r="B705" s="6"/>
      <c r="C705" s="6"/>
      <c r="D705" s="4"/>
      <c r="E705" s="6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5.75" customHeight="1" x14ac:dyDescent="0.25">
      <c r="A706" s="4"/>
      <c r="B706" s="6"/>
      <c r="C706" s="6"/>
      <c r="D706" s="4"/>
      <c r="E706" s="6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5.75" customHeight="1" x14ac:dyDescent="0.25">
      <c r="A707" s="4"/>
      <c r="B707" s="6"/>
      <c r="C707" s="6"/>
      <c r="D707" s="4"/>
      <c r="E707" s="6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5.75" customHeight="1" x14ac:dyDescent="0.25">
      <c r="A708" s="4"/>
      <c r="B708" s="6"/>
      <c r="C708" s="6"/>
      <c r="D708" s="4"/>
      <c r="E708" s="6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5.75" customHeight="1" x14ac:dyDescent="0.25">
      <c r="A709" s="4"/>
      <c r="B709" s="6"/>
      <c r="C709" s="6"/>
      <c r="D709" s="4"/>
      <c r="E709" s="6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5.75" customHeight="1" x14ac:dyDescent="0.25">
      <c r="A710" s="4"/>
      <c r="B710" s="6"/>
      <c r="C710" s="6"/>
      <c r="D710" s="4"/>
      <c r="E710" s="6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5.75" customHeight="1" x14ac:dyDescent="0.25">
      <c r="A711" s="4"/>
      <c r="B711" s="6"/>
      <c r="C711" s="6"/>
      <c r="D711" s="4"/>
      <c r="E711" s="6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5.75" customHeight="1" x14ac:dyDescent="0.25">
      <c r="A712" s="4"/>
      <c r="B712" s="6"/>
      <c r="C712" s="6"/>
      <c r="D712" s="4"/>
      <c r="E712" s="6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5.75" customHeight="1" x14ac:dyDescent="0.25">
      <c r="A713" s="4"/>
      <c r="B713" s="6"/>
      <c r="C713" s="6"/>
      <c r="D713" s="4"/>
      <c r="E713" s="6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5.75" customHeight="1" x14ac:dyDescent="0.25">
      <c r="A714" s="4"/>
      <c r="B714" s="6"/>
      <c r="C714" s="6"/>
      <c r="D714" s="4"/>
      <c r="E714" s="6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5.75" customHeight="1" x14ac:dyDescent="0.25">
      <c r="A715" s="4"/>
      <c r="B715" s="6"/>
      <c r="C715" s="6"/>
      <c r="D715" s="4"/>
      <c r="E715" s="6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5.75" customHeight="1" x14ac:dyDescent="0.25">
      <c r="A716" s="4"/>
      <c r="B716" s="6"/>
      <c r="C716" s="6"/>
      <c r="D716" s="4"/>
      <c r="E716" s="6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5.75" customHeight="1" x14ac:dyDescent="0.25">
      <c r="A717" s="4"/>
      <c r="B717" s="6"/>
      <c r="C717" s="6"/>
      <c r="D717" s="4"/>
      <c r="E717" s="6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5.75" customHeight="1" x14ac:dyDescent="0.25">
      <c r="A718" s="4"/>
      <c r="B718" s="6"/>
      <c r="C718" s="6"/>
      <c r="D718" s="4"/>
      <c r="E718" s="6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5.75" customHeight="1" x14ac:dyDescent="0.25">
      <c r="A719" s="4"/>
      <c r="B719" s="6"/>
      <c r="C719" s="6"/>
      <c r="D719" s="4"/>
      <c r="E719" s="6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5.75" customHeight="1" x14ac:dyDescent="0.25">
      <c r="A720" s="4"/>
      <c r="B720" s="6"/>
      <c r="C720" s="6"/>
      <c r="D720" s="4"/>
      <c r="E720" s="6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5.75" customHeight="1" x14ac:dyDescent="0.25">
      <c r="A721" s="4"/>
      <c r="B721" s="6"/>
      <c r="C721" s="6"/>
      <c r="D721" s="4"/>
      <c r="E721" s="6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5.75" customHeight="1" x14ac:dyDescent="0.25">
      <c r="A722" s="4"/>
      <c r="B722" s="6"/>
      <c r="C722" s="6"/>
      <c r="D722" s="4"/>
      <c r="E722" s="6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5.75" customHeight="1" x14ac:dyDescent="0.25">
      <c r="A723" s="4"/>
      <c r="B723" s="6"/>
      <c r="C723" s="6"/>
      <c r="D723" s="4"/>
      <c r="E723" s="6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5.75" customHeight="1" x14ac:dyDescent="0.25">
      <c r="A724" s="4"/>
      <c r="B724" s="6"/>
      <c r="C724" s="6"/>
      <c r="D724" s="4"/>
      <c r="E724" s="6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5.75" customHeight="1" x14ac:dyDescent="0.25">
      <c r="A725" s="4"/>
      <c r="B725" s="6"/>
      <c r="C725" s="6"/>
      <c r="D725" s="4"/>
      <c r="E725" s="6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5.75" customHeight="1" x14ac:dyDescent="0.25">
      <c r="A726" s="4"/>
      <c r="B726" s="6"/>
      <c r="C726" s="6"/>
      <c r="D726" s="4"/>
      <c r="E726" s="6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5.75" customHeight="1" x14ac:dyDescent="0.25">
      <c r="A727" s="4"/>
      <c r="B727" s="6"/>
      <c r="C727" s="6"/>
      <c r="D727" s="4"/>
      <c r="E727" s="6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5.75" customHeight="1" x14ac:dyDescent="0.25">
      <c r="A728" s="4"/>
      <c r="B728" s="6"/>
      <c r="C728" s="6"/>
      <c r="D728" s="4"/>
      <c r="E728" s="6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5.75" customHeight="1" x14ac:dyDescent="0.25">
      <c r="A729" s="4"/>
      <c r="B729" s="6"/>
      <c r="C729" s="6"/>
      <c r="D729" s="4"/>
      <c r="E729" s="6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5.75" customHeight="1" x14ac:dyDescent="0.25">
      <c r="A730" s="4"/>
      <c r="B730" s="6"/>
      <c r="C730" s="6"/>
      <c r="D730" s="4"/>
      <c r="E730" s="6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5.75" customHeight="1" x14ac:dyDescent="0.25">
      <c r="A731" s="4"/>
      <c r="B731" s="6"/>
      <c r="C731" s="6"/>
      <c r="D731" s="4"/>
      <c r="E731" s="6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5.75" customHeight="1" x14ac:dyDescent="0.25">
      <c r="A732" s="4"/>
      <c r="B732" s="6"/>
      <c r="C732" s="6"/>
      <c r="D732" s="4"/>
      <c r="E732" s="6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5.75" customHeight="1" x14ac:dyDescent="0.25">
      <c r="A733" s="4"/>
      <c r="B733" s="6"/>
      <c r="C733" s="6"/>
      <c r="D733" s="4"/>
      <c r="E733" s="6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5.75" customHeight="1" x14ac:dyDescent="0.25">
      <c r="A734" s="4"/>
      <c r="B734" s="6"/>
      <c r="C734" s="6"/>
      <c r="D734" s="4"/>
      <c r="E734" s="6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5.75" customHeight="1" x14ac:dyDescent="0.25">
      <c r="A735" s="4"/>
      <c r="B735" s="6"/>
      <c r="C735" s="6"/>
      <c r="D735" s="4"/>
      <c r="E735" s="6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5.75" customHeight="1" x14ac:dyDescent="0.25">
      <c r="A736" s="4"/>
      <c r="B736" s="6"/>
      <c r="C736" s="6"/>
      <c r="D736" s="4"/>
      <c r="E736" s="6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5.75" customHeight="1" x14ac:dyDescent="0.25">
      <c r="A737" s="4"/>
      <c r="B737" s="6"/>
      <c r="C737" s="6"/>
      <c r="D737" s="4"/>
      <c r="E737" s="6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5.75" customHeight="1" x14ac:dyDescent="0.25">
      <c r="A738" s="4"/>
      <c r="B738" s="6"/>
      <c r="C738" s="6"/>
      <c r="D738" s="4"/>
      <c r="E738" s="6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5.75" customHeight="1" x14ac:dyDescent="0.25">
      <c r="A739" s="4"/>
      <c r="B739" s="6"/>
      <c r="C739" s="6"/>
      <c r="D739" s="4"/>
      <c r="E739" s="6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5.75" customHeight="1" x14ac:dyDescent="0.25">
      <c r="A740" s="4"/>
      <c r="B740" s="6"/>
      <c r="C740" s="6"/>
      <c r="D740" s="4"/>
      <c r="E740" s="6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5.75" customHeight="1" x14ac:dyDescent="0.25">
      <c r="A741" s="4"/>
      <c r="B741" s="6"/>
      <c r="C741" s="6"/>
      <c r="D741" s="4"/>
      <c r="E741" s="6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5.75" customHeight="1" x14ac:dyDescent="0.25">
      <c r="A742" s="4"/>
      <c r="B742" s="6"/>
      <c r="C742" s="6"/>
      <c r="D742" s="4"/>
      <c r="E742" s="6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5.75" customHeight="1" x14ac:dyDescent="0.25">
      <c r="A743" s="4"/>
      <c r="B743" s="6"/>
      <c r="C743" s="6"/>
      <c r="D743" s="4"/>
      <c r="E743" s="6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5.75" customHeight="1" x14ac:dyDescent="0.25">
      <c r="A744" s="4"/>
      <c r="B744" s="6"/>
      <c r="C744" s="6"/>
      <c r="D744" s="4"/>
      <c r="E744" s="6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5.75" customHeight="1" x14ac:dyDescent="0.25">
      <c r="A745" s="4"/>
      <c r="B745" s="6"/>
      <c r="C745" s="6"/>
      <c r="D745" s="4"/>
      <c r="E745" s="6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5.75" customHeight="1" x14ac:dyDescent="0.25">
      <c r="A746" s="4"/>
      <c r="B746" s="6"/>
      <c r="C746" s="6"/>
      <c r="D746" s="4"/>
      <c r="E746" s="6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5.75" customHeight="1" x14ac:dyDescent="0.25">
      <c r="A747" s="4"/>
      <c r="B747" s="6"/>
      <c r="C747" s="6"/>
      <c r="D747" s="4"/>
      <c r="E747" s="6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5.75" customHeight="1" x14ac:dyDescent="0.25">
      <c r="A748" s="4"/>
      <c r="B748" s="6"/>
      <c r="C748" s="6"/>
      <c r="D748" s="4"/>
      <c r="E748" s="6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5.75" customHeight="1" x14ac:dyDescent="0.25">
      <c r="A749" s="4"/>
      <c r="B749" s="6"/>
      <c r="C749" s="6"/>
      <c r="D749" s="4"/>
      <c r="E749" s="6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5.75" customHeight="1" x14ac:dyDescent="0.25">
      <c r="A750" s="4"/>
      <c r="B750" s="6"/>
      <c r="C750" s="6"/>
      <c r="D750" s="4"/>
      <c r="E750" s="6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5.75" customHeight="1" x14ac:dyDescent="0.25">
      <c r="A751" s="4"/>
      <c r="B751" s="6"/>
      <c r="C751" s="6"/>
      <c r="D751" s="4"/>
      <c r="E751" s="6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5.75" customHeight="1" x14ac:dyDescent="0.25">
      <c r="A752" s="4"/>
      <c r="B752" s="6"/>
      <c r="C752" s="6"/>
      <c r="D752" s="4"/>
      <c r="E752" s="6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5.75" customHeight="1" x14ac:dyDescent="0.25">
      <c r="A753" s="4"/>
      <c r="B753" s="6"/>
      <c r="C753" s="6"/>
      <c r="D753" s="4"/>
      <c r="E753" s="6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5.75" customHeight="1" x14ac:dyDescent="0.25">
      <c r="A754" s="4"/>
      <c r="B754" s="6"/>
      <c r="C754" s="6"/>
      <c r="D754" s="4"/>
      <c r="E754" s="6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5.75" customHeight="1" x14ac:dyDescent="0.25">
      <c r="A755" s="4"/>
      <c r="B755" s="6"/>
      <c r="C755" s="6"/>
      <c r="D755" s="4"/>
      <c r="E755" s="6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5.75" customHeight="1" x14ac:dyDescent="0.25">
      <c r="A756" s="4"/>
      <c r="B756" s="6"/>
      <c r="C756" s="6"/>
      <c r="D756" s="4"/>
      <c r="E756" s="6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5.75" customHeight="1" x14ac:dyDescent="0.25">
      <c r="A757" s="4"/>
      <c r="B757" s="6"/>
      <c r="C757" s="6"/>
      <c r="D757" s="4"/>
      <c r="E757" s="6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5.75" customHeight="1" x14ac:dyDescent="0.25">
      <c r="A758" s="4"/>
      <c r="B758" s="6"/>
      <c r="C758" s="6"/>
      <c r="D758" s="4"/>
      <c r="E758" s="6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5.75" customHeight="1" x14ac:dyDescent="0.25">
      <c r="A759" s="4"/>
      <c r="B759" s="6"/>
      <c r="C759" s="6"/>
      <c r="D759" s="4"/>
      <c r="E759" s="6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5.75" customHeight="1" x14ac:dyDescent="0.25">
      <c r="A760" s="4"/>
      <c r="B760" s="6"/>
      <c r="C760" s="6"/>
      <c r="D760" s="4"/>
      <c r="E760" s="6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5.75" customHeight="1" x14ac:dyDescent="0.25">
      <c r="A761" s="4"/>
      <c r="B761" s="6"/>
      <c r="C761" s="6"/>
      <c r="D761" s="4"/>
      <c r="E761" s="6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5.75" customHeight="1" x14ac:dyDescent="0.25">
      <c r="A762" s="4"/>
      <c r="B762" s="6"/>
      <c r="C762" s="6"/>
      <c r="D762" s="4"/>
      <c r="E762" s="6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5.75" customHeight="1" x14ac:dyDescent="0.25">
      <c r="A763" s="4"/>
      <c r="B763" s="6"/>
      <c r="C763" s="6"/>
      <c r="D763" s="4"/>
      <c r="E763" s="6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5.75" customHeight="1" x14ac:dyDescent="0.25">
      <c r="A764" s="4"/>
      <c r="B764" s="6"/>
      <c r="C764" s="6"/>
      <c r="D764" s="4"/>
      <c r="E764" s="6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5.75" customHeight="1" x14ac:dyDescent="0.25">
      <c r="A765" s="4"/>
      <c r="B765" s="6"/>
      <c r="C765" s="6"/>
      <c r="D765" s="4"/>
      <c r="E765" s="6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5.75" customHeight="1" x14ac:dyDescent="0.25">
      <c r="A766" s="4"/>
      <c r="B766" s="6"/>
      <c r="C766" s="6"/>
      <c r="D766" s="4"/>
      <c r="E766" s="6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5.75" customHeight="1" x14ac:dyDescent="0.25">
      <c r="A767" s="4"/>
      <c r="B767" s="6"/>
      <c r="C767" s="6"/>
      <c r="D767" s="4"/>
      <c r="E767" s="6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5.75" customHeight="1" x14ac:dyDescent="0.25">
      <c r="A768" s="4"/>
      <c r="B768" s="6"/>
      <c r="C768" s="6"/>
      <c r="D768" s="4"/>
      <c r="E768" s="6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5.75" customHeight="1" x14ac:dyDescent="0.25">
      <c r="A769" s="4"/>
      <c r="B769" s="6"/>
      <c r="C769" s="6"/>
      <c r="D769" s="4"/>
      <c r="E769" s="6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5.75" customHeight="1" x14ac:dyDescent="0.25">
      <c r="A770" s="4"/>
      <c r="B770" s="6"/>
      <c r="C770" s="6"/>
      <c r="D770" s="4"/>
      <c r="E770" s="6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5.75" customHeight="1" x14ac:dyDescent="0.25">
      <c r="A771" s="4"/>
      <c r="B771" s="6"/>
      <c r="C771" s="6"/>
      <c r="D771" s="4"/>
      <c r="E771" s="6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5.75" customHeight="1" x14ac:dyDescent="0.25">
      <c r="A772" s="4"/>
      <c r="B772" s="6"/>
      <c r="C772" s="6"/>
      <c r="D772" s="4"/>
      <c r="E772" s="6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5.75" customHeight="1" x14ac:dyDescent="0.25">
      <c r="A773" s="4"/>
      <c r="B773" s="6"/>
      <c r="C773" s="6"/>
      <c r="D773" s="4"/>
      <c r="E773" s="6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5.75" customHeight="1" x14ac:dyDescent="0.25">
      <c r="A774" s="4"/>
      <c r="B774" s="6"/>
      <c r="C774" s="6"/>
      <c r="D774" s="4"/>
      <c r="E774" s="6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5.75" customHeight="1" x14ac:dyDescent="0.25">
      <c r="A775" s="4"/>
      <c r="B775" s="6"/>
      <c r="C775" s="6"/>
      <c r="D775" s="4"/>
      <c r="E775" s="6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5.75" customHeight="1" x14ac:dyDescent="0.25">
      <c r="A776" s="4"/>
      <c r="B776" s="6"/>
      <c r="C776" s="6"/>
      <c r="D776" s="4"/>
      <c r="E776" s="6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5.75" customHeight="1" x14ac:dyDescent="0.25">
      <c r="A777" s="4"/>
      <c r="B777" s="6"/>
      <c r="C777" s="6"/>
      <c r="D777" s="4"/>
      <c r="E777" s="6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5.75" customHeight="1" x14ac:dyDescent="0.25">
      <c r="A778" s="4"/>
      <c r="B778" s="6"/>
      <c r="C778" s="6"/>
      <c r="D778" s="4"/>
      <c r="E778" s="6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5.75" customHeight="1" x14ac:dyDescent="0.25">
      <c r="A779" s="4"/>
      <c r="B779" s="6"/>
      <c r="C779" s="6"/>
      <c r="D779" s="4"/>
      <c r="E779" s="6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5.75" customHeight="1" x14ac:dyDescent="0.25">
      <c r="A780" s="4"/>
      <c r="B780" s="6"/>
      <c r="C780" s="6"/>
      <c r="D780" s="4"/>
      <c r="E780" s="6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5.75" customHeight="1" x14ac:dyDescent="0.25">
      <c r="A781" s="4"/>
      <c r="B781" s="6"/>
      <c r="C781" s="6"/>
      <c r="D781" s="4"/>
      <c r="E781" s="6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5.75" customHeight="1" x14ac:dyDescent="0.25">
      <c r="A782" s="4"/>
      <c r="B782" s="6"/>
      <c r="C782" s="6"/>
      <c r="D782" s="4"/>
      <c r="E782" s="6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5.75" customHeight="1" x14ac:dyDescent="0.25">
      <c r="A783" s="4"/>
      <c r="B783" s="6"/>
      <c r="C783" s="6"/>
      <c r="D783" s="4"/>
      <c r="E783" s="6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5.75" customHeight="1" x14ac:dyDescent="0.25">
      <c r="A784" s="4"/>
      <c r="B784" s="6"/>
      <c r="C784" s="6"/>
      <c r="D784" s="4"/>
      <c r="E784" s="6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5.75" customHeight="1" x14ac:dyDescent="0.25">
      <c r="A785" s="4"/>
      <c r="B785" s="6"/>
      <c r="C785" s="6"/>
      <c r="D785" s="4"/>
      <c r="E785" s="6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5.75" customHeight="1" x14ac:dyDescent="0.25">
      <c r="A786" s="4"/>
      <c r="B786" s="6"/>
      <c r="C786" s="6"/>
      <c r="D786" s="4"/>
      <c r="E786" s="6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5.75" customHeight="1" x14ac:dyDescent="0.25">
      <c r="A787" s="4"/>
      <c r="B787" s="6"/>
      <c r="C787" s="6"/>
      <c r="D787" s="4"/>
      <c r="E787" s="6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5.75" customHeight="1" x14ac:dyDescent="0.25">
      <c r="A788" s="4"/>
      <c r="B788" s="6"/>
      <c r="C788" s="6"/>
      <c r="D788" s="4"/>
      <c r="E788" s="6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5.75" customHeight="1" x14ac:dyDescent="0.25">
      <c r="A789" s="4"/>
      <c r="B789" s="6"/>
      <c r="C789" s="6"/>
      <c r="D789" s="4"/>
      <c r="E789" s="6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5.75" customHeight="1" x14ac:dyDescent="0.25">
      <c r="A790" s="4"/>
      <c r="B790" s="6"/>
      <c r="C790" s="6"/>
      <c r="D790" s="4"/>
      <c r="E790" s="6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5.75" customHeight="1" x14ac:dyDescent="0.25">
      <c r="A791" s="4"/>
      <c r="B791" s="6"/>
      <c r="C791" s="6"/>
      <c r="D791" s="4"/>
      <c r="E791" s="6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5.75" customHeight="1" x14ac:dyDescent="0.25">
      <c r="A792" s="4"/>
      <c r="B792" s="6"/>
      <c r="C792" s="6"/>
      <c r="D792" s="4"/>
      <c r="E792" s="6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5.75" customHeight="1" x14ac:dyDescent="0.25">
      <c r="A793" s="4"/>
      <c r="B793" s="6"/>
      <c r="C793" s="6"/>
      <c r="D793" s="4"/>
      <c r="E793" s="6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5.75" customHeight="1" x14ac:dyDescent="0.25">
      <c r="A794" s="4"/>
      <c r="B794" s="6"/>
      <c r="C794" s="6"/>
      <c r="D794" s="4"/>
      <c r="E794" s="6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5.75" customHeight="1" x14ac:dyDescent="0.25">
      <c r="A795" s="4"/>
      <c r="B795" s="6"/>
      <c r="C795" s="6"/>
      <c r="D795" s="4"/>
      <c r="E795" s="6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5.75" customHeight="1" x14ac:dyDescent="0.25">
      <c r="A796" s="4"/>
      <c r="B796" s="6"/>
      <c r="C796" s="6"/>
      <c r="D796" s="4"/>
      <c r="E796" s="6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5.75" customHeight="1" x14ac:dyDescent="0.25">
      <c r="A797" s="4"/>
      <c r="B797" s="6"/>
      <c r="C797" s="6"/>
      <c r="D797" s="4"/>
      <c r="E797" s="6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5.75" customHeight="1" x14ac:dyDescent="0.25">
      <c r="A798" s="4"/>
      <c r="B798" s="6"/>
      <c r="C798" s="6"/>
      <c r="D798" s="4"/>
      <c r="E798" s="6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5.75" customHeight="1" x14ac:dyDescent="0.25">
      <c r="A799" s="4"/>
      <c r="B799" s="6"/>
      <c r="C799" s="6"/>
      <c r="D799" s="4"/>
      <c r="E799" s="6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5.75" customHeight="1" x14ac:dyDescent="0.25">
      <c r="A800" s="4"/>
      <c r="B800" s="6"/>
      <c r="C800" s="6"/>
      <c r="D800" s="4"/>
      <c r="E800" s="6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5.75" customHeight="1" x14ac:dyDescent="0.25">
      <c r="A801" s="4"/>
      <c r="B801" s="6"/>
      <c r="C801" s="6"/>
      <c r="D801" s="4"/>
      <c r="E801" s="6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5.75" customHeight="1" x14ac:dyDescent="0.25">
      <c r="A802" s="4"/>
      <c r="B802" s="6"/>
      <c r="C802" s="6"/>
      <c r="D802" s="4"/>
      <c r="E802" s="6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5.75" customHeight="1" x14ac:dyDescent="0.25">
      <c r="A803" s="4"/>
      <c r="B803" s="6"/>
      <c r="C803" s="6"/>
      <c r="D803" s="4"/>
      <c r="E803" s="6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5.75" customHeight="1" x14ac:dyDescent="0.25">
      <c r="A804" s="4"/>
      <c r="B804" s="6"/>
      <c r="C804" s="6"/>
      <c r="D804" s="4"/>
      <c r="E804" s="6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5.75" customHeight="1" x14ac:dyDescent="0.25">
      <c r="A805" s="4"/>
      <c r="B805" s="6"/>
      <c r="C805" s="6"/>
      <c r="D805" s="4"/>
      <c r="E805" s="6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5.75" customHeight="1" x14ac:dyDescent="0.25">
      <c r="A806" s="4"/>
      <c r="B806" s="6"/>
      <c r="C806" s="6"/>
      <c r="D806" s="4"/>
      <c r="E806" s="6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5.75" customHeight="1" x14ac:dyDescent="0.25">
      <c r="A807" s="4"/>
      <c r="B807" s="6"/>
      <c r="C807" s="6"/>
      <c r="D807" s="4"/>
      <c r="E807" s="6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5.75" customHeight="1" x14ac:dyDescent="0.25">
      <c r="A808" s="4"/>
      <c r="B808" s="6"/>
      <c r="C808" s="6"/>
      <c r="D808" s="4"/>
      <c r="E808" s="6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5.75" customHeight="1" x14ac:dyDescent="0.25">
      <c r="A809" s="4"/>
      <c r="B809" s="6"/>
      <c r="C809" s="6"/>
      <c r="D809" s="4"/>
      <c r="E809" s="6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5.75" customHeight="1" x14ac:dyDescent="0.25">
      <c r="A810" s="4"/>
      <c r="B810" s="6"/>
      <c r="C810" s="6"/>
      <c r="D810" s="4"/>
      <c r="E810" s="6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5.75" customHeight="1" x14ac:dyDescent="0.25">
      <c r="A811" s="4"/>
      <c r="B811" s="6"/>
      <c r="C811" s="6"/>
      <c r="D811" s="4"/>
      <c r="E811" s="6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5.75" customHeight="1" x14ac:dyDescent="0.25">
      <c r="A812" s="4"/>
      <c r="B812" s="6"/>
      <c r="C812" s="6"/>
      <c r="D812" s="4"/>
      <c r="E812" s="6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5.75" customHeight="1" x14ac:dyDescent="0.25">
      <c r="A813" s="4"/>
      <c r="B813" s="6"/>
      <c r="C813" s="6"/>
      <c r="D813" s="4"/>
      <c r="E813" s="6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5.75" customHeight="1" x14ac:dyDescent="0.25">
      <c r="A814" s="4"/>
      <c r="B814" s="6"/>
      <c r="C814" s="6"/>
      <c r="D814" s="4"/>
      <c r="E814" s="6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5.75" customHeight="1" x14ac:dyDescent="0.25">
      <c r="A815" s="4"/>
      <c r="B815" s="6"/>
      <c r="C815" s="6"/>
      <c r="D815" s="4"/>
      <c r="E815" s="6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5.75" customHeight="1" x14ac:dyDescent="0.25">
      <c r="A816" s="4"/>
      <c r="B816" s="6"/>
      <c r="C816" s="6"/>
      <c r="D816" s="4"/>
      <c r="E816" s="6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5.75" customHeight="1" x14ac:dyDescent="0.25">
      <c r="A817" s="4"/>
      <c r="B817" s="6"/>
      <c r="C817" s="6"/>
      <c r="D817" s="4"/>
      <c r="E817" s="6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5.75" customHeight="1" x14ac:dyDescent="0.25">
      <c r="A818" s="4"/>
      <c r="B818" s="6"/>
      <c r="C818" s="6"/>
      <c r="D818" s="4"/>
      <c r="E818" s="6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5.75" customHeight="1" x14ac:dyDescent="0.25">
      <c r="A819" s="4"/>
      <c r="B819" s="6"/>
      <c r="C819" s="6"/>
      <c r="D819" s="4"/>
      <c r="E819" s="6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5.75" customHeight="1" x14ac:dyDescent="0.25">
      <c r="A820" s="4"/>
      <c r="B820" s="6"/>
      <c r="C820" s="6"/>
      <c r="D820" s="4"/>
      <c r="E820" s="6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5.75" customHeight="1" x14ac:dyDescent="0.25">
      <c r="A821" s="4"/>
      <c r="B821" s="6"/>
      <c r="C821" s="6"/>
      <c r="D821" s="4"/>
      <c r="E821" s="6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5.75" customHeight="1" x14ac:dyDescent="0.25">
      <c r="A822" s="4"/>
      <c r="B822" s="6"/>
      <c r="C822" s="6"/>
      <c r="D822" s="4"/>
      <c r="E822" s="6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5.75" customHeight="1" x14ac:dyDescent="0.25">
      <c r="A823" s="4"/>
      <c r="B823" s="6"/>
      <c r="C823" s="6"/>
      <c r="D823" s="4"/>
      <c r="E823" s="6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5.75" customHeight="1" x14ac:dyDescent="0.25">
      <c r="A824" s="4"/>
      <c r="B824" s="6"/>
      <c r="C824" s="6"/>
      <c r="D824" s="4"/>
      <c r="E824" s="6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5.75" customHeight="1" x14ac:dyDescent="0.25">
      <c r="A825" s="4"/>
      <c r="B825" s="6"/>
      <c r="C825" s="6"/>
      <c r="D825" s="4"/>
      <c r="E825" s="6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5.75" customHeight="1" x14ac:dyDescent="0.25">
      <c r="A826" s="4"/>
      <c r="B826" s="6"/>
      <c r="C826" s="6"/>
      <c r="D826" s="4"/>
      <c r="E826" s="6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5.75" customHeight="1" x14ac:dyDescent="0.25">
      <c r="A827" s="4"/>
      <c r="B827" s="6"/>
      <c r="C827" s="6"/>
      <c r="D827" s="4"/>
      <c r="E827" s="6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5.75" customHeight="1" x14ac:dyDescent="0.25">
      <c r="A828" s="4"/>
      <c r="B828" s="6"/>
      <c r="C828" s="6"/>
      <c r="D828" s="4"/>
      <c r="E828" s="6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5.75" customHeight="1" x14ac:dyDescent="0.25">
      <c r="A829" s="4"/>
      <c r="B829" s="6"/>
      <c r="C829" s="6"/>
      <c r="D829" s="4"/>
      <c r="E829" s="6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5.75" customHeight="1" x14ac:dyDescent="0.25">
      <c r="A830" s="4"/>
      <c r="B830" s="6"/>
      <c r="C830" s="6"/>
      <c r="D830" s="4"/>
      <c r="E830" s="6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5.75" customHeight="1" x14ac:dyDescent="0.25">
      <c r="A831" s="4"/>
      <c r="B831" s="6"/>
      <c r="C831" s="6"/>
      <c r="D831" s="4"/>
      <c r="E831" s="6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5.75" customHeight="1" x14ac:dyDescent="0.25">
      <c r="A832" s="4"/>
      <c r="B832" s="6"/>
      <c r="C832" s="6"/>
      <c r="D832" s="4"/>
      <c r="E832" s="6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5.75" customHeight="1" x14ac:dyDescent="0.25">
      <c r="A833" s="4"/>
      <c r="B833" s="6"/>
      <c r="C833" s="6"/>
      <c r="D833" s="4"/>
      <c r="E833" s="6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5.75" customHeight="1" x14ac:dyDescent="0.25">
      <c r="A834" s="4"/>
      <c r="B834" s="6"/>
      <c r="C834" s="6"/>
      <c r="D834" s="4"/>
      <c r="E834" s="6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5.75" customHeight="1" x14ac:dyDescent="0.25">
      <c r="A835" s="4"/>
      <c r="B835" s="6"/>
      <c r="C835" s="6"/>
      <c r="D835" s="4"/>
      <c r="E835" s="6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5.75" customHeight="1" x14ac:dyDescent="0.25">
      <c r="A836" s="4"/>
      <c r="B836" s="6"/>
      <c r="C836" s="6"/>
      <c r="D836" s="4"/>
      <c r="E836" s="6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5.75" customHeight="1" x14ac:dyDescent="0.25">
      <c r="A837" s="4"/>
      <c r="B837" s="6"/>
      <c r="C837" s="6"/>
      <c r="D837" s="4"/>
      <c r="E837" s="6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5.75" customHeight="1" x14ac:dyDescent="0.25">
      <c r="A838" s="4"/>
      <c r="B838" s="6"/>
      <c r="C838" s="6"/>
      <c r="D838" s="4"/>
      <c r="E838" s="6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5.75" customHeight="1" x14ac:dyDescent="0.25">
      <c r="A839" s="4"/>
      <c r="B839" s="6"/>
      <c r="C839" s="6"/>
      <c r="D839" s="4"/>
      <c r="E839" s="6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5.75" customHeight="1" x14ac:dyDescent="0.25">
      <c r="A840" s="4"/>
      <c r="B840" s="6"/>
      <c r="C840" s="6"/>
      <c r="D840" s="4"/>
      <c r="E840" s="6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5.75" customHeight="1" x14ac:dyDescent="0.25">
      <c r="A841" s="4"/>
      <c r="B841" s="6"/>
      <c r="C841" s="6"/>
      <c r="D841" s="4"/>
      <c r="E841" s="6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5.75" customHeight="1" x14ac:dyDescent="0.25">
      <c r="A842" s="4"/>
      <c r="B842" s="6"/>
      <c r="C842" s="6"/>
      <c r="D842" s="4"/>
      <c r="E842" s="6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5.75" customHeight="1" x14ac:dyDescent="0.25">
      <c r="A843" s="4"/>
      <c r="B843" s="6"/>
      <c r="C843" s="6"/>
      <c r="D843" s="4"/>
      <c r="E843" s="6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5.75" customHeight="1" x14ac:dyDescent="0.25">
      <c r="A844" s="4"/>
      <c r="B844" s="6"/>
      <c r="C844" s="6"/>
      <c r="D844" s="4"/>
      <c r="E844" s="6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5.75" customHeight="1" x14ac:dyDescent="0.25">
      <c r="A845" s="4"/>
      <c r="B845" s="6"/>
      <c r="C845" s="6"/>
      <c r="D845" s="4"/>
      <c r="E845" s="6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5.75" customHeight="1" x14ac:dyDescent="0.25">
      <c r="A846" s="4"/>
      <c r="B846" s="6"/>
      <c r="C846" s="6"/>
      <c r="D846" s="4"/>
      <c r="E846" s="6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5.75" customHeight="1" x14ac:dyDescent="0.25">
      <c r="A847" s="4"/>
      <c r="B847" s="6"/>
      <c r="C847" s="6"/>
      <c r="D847" s="4"/>
      <c r="E847" s="6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5.75" customHeight="1" x14ac:dyDescent="0.25">
      <c r="A848" s="4"/>
      <c r="B848" s="6"/>
      <c r="C848" s="6"/>
      <c r="D848" s="4"/>
      <c r="E848" s="6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5.75" customHeight="1" x14ac:dyDescent="0.25">
      <c r="A849" s="4"/>
      <c r="B849" s="6"/>
      <c r="C849" s="6"/>
      <c r="D849" s="4"/>
      <c r="E849" s="6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5.75" customHeight="1" x14ac:dyDescent="0.25">
      <c r="A850" s="4"/>
      <c r="B850" s="6"/>
      <c r="C850" s="6"/>
      <c r="D850" s="4"/>
      <c r="E850" s="6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5.75" customHeight="1" x14ac:dyDescent="0.25">
      <c r="A851" s="4"/>
      <c r="B851" s="6"/>
      <c r="C851" s="6"/>
      <c r="D851" s="4"/>
      <c r="E851" s="6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5.75" customHeight="1" x14ac:dyDescent="0.25">
      <c r="A852" s="4"/>
      <c r="B852" s="6"/>
      <c r="C852" s="6"/>
      <c r="D852" s="4"/>
      <c r="E852" s="6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5.75" customHeight="1" x14ac:dyDescent="0.25">
      <c r="A853" s="4"/>
      <c r="B853" s="6"/>
      <c r="C853" s="6"/>
      <c r="D853" s="4"/>
      <c r="E853" s="6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5.75" customHeight="1" x14ac:dyDescent="0.25">
      <c r="A854" s="4"/>
      <c r="B854" s="6"/>
      <c r="C854" s="6"/>
      <c r="D854" s="4"/>
      <c r="E854" s="6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5.75" customHeight="1" x14ac:dyDescent="0.25">
      <c r="A855" s="4"/>
      <c r="B855" s="6"/>
      <c r="C855" s="6"/>
      <c r="D855" s="4"/>
      <c r="E855" s="6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5.75" customHeight="1" x14ac:dyDescent="0.25">
      <c r="A856" s="4"/>
      <c r="B856" s="6"/>
      <c r="C856" s="6"/>
      <c r="D856" s="4"/>
      <c r="E856" s="6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5.75" customHeight="1" x14ac:dyDescent="0.25">
      <c r="A857" s="4"/>
      <c r="B857" s="6"/>
      <c r="C857" s="6"/>
      <c r="D857" s="4"/>
      <c r="E857" s="6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5.75" customHeight="1" x14ac:dyDescent="0.25">
      <c r="A858" s="4"/>
      <c r="B858" s="6"/>
      <c r="C858" s="6"/>
      <c r="D858" s="4"/>
      <c r="E858" s="6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5.75" customHeight="1" x14ac:dyDescent="0.25">
      <c r="A859" s="4"/>
      <c r="B859" s="6"/>
      <c r="C859" s="6"/>
      <c r="D859" s="4"/>
      <c r="E859" s="6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5.75" customHeight="1" x14ac:dyDescent="0.25">
      <c r="A860" s="4"/>
      <c r="B860" s="6"/>
      <c r="C860" s="6"/>
      <c r="D860" s="4"/>
      <c r="E860" s="6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5.75" customHeight="1" x14ac:dyDescent="0.25">
      <c r="A861" s="4"/>
      <c r="B861" s="6"/>
      <c r="C861" s="6"/>
      <c r="D861" s="4"/>
      <c r="E861" s="6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5.75" customHeight="1" x14ac:dyDescent="0.25">
      <c r="A862" s="4"/>
      <c r="B862" s="6"/>
      <c r="C862" s="6"/>
      <c r="D862" s="4"/>
      <c r="E862" s="6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5.75" customHeight="1" x14ac:dyDescent="0.25">
      <c r="A863" s="4"/>
      <c r="B863" s="6"/>
      <c r="C863" s="6"/>
      <c r="D863" s="4"/>
      <c r="E863" s="6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5.75" customHeight="1" x14ac:dyDescent="0.25">
      <c r="A864" s="4"/>
      <c r="B864" s="6"/>
      <c r="C864" s="6"/>
      <c r="D864" s="4"/>
      <c r="E864" s="6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5.75" customHeight="1" x14ac:dyDescent="0.25">
      <c r="A865" s="4"/>
      <c r="B865" s="6"/>
      <c r="C865" s="6"/>
      <c r="D865" s="4"/>
      <c r="E865" s="6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5.75" customHeight="1" x14ac:dyDescent="0.25">
      <c r="A866" s="4"/>
      <c r="B866" s="6"/>
      <c r="C866" s="6"/>
      <c r="D866" s="4"/>
      <c r="E866" s="6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5.75" customHeight="1" x14ac:dyDescent="0.25">
      <c r="A867" s="4"/>
      <c r="B867" s="6"/>
      <c r="C867" s="6"/>
      <c r="D867" s="4"/>
      <c r="E867" s="6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5.75" customHeight="1" x14ac:dyDescent="0.25">
      <c r="A868" s="4"/>
      <c r="B868" s="6"/>
      <c r="C868" s="6"/>
      <c r="D868" s="4"/>
      <c r="E868" s="6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5.75" customHeight="1" x14ac:dyDescent="0.25">
      <c r="A869" s="4"/>
      <c r="B869" s="6"/>
      <c r="C869" s="6"/>
      <c r="D869" s="4"/>
      <c r="E869" s="6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5.75" customHeight="1" x14ac:dyDescent="0.25">
      <c r="A870" s="4"/>
      <c r="B870" s="6"/>
      <c r="C870" s="6"/>
      <c r="D870" s="4"/>
      <c r="E870" s="6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5.75" customHeight="1" x14ac:dyDescent="0.25">
      <c r="A871" s="4"/>
      <c r="B871" s="6"/>
      <c r="C871" s="6"/>
      <c r="D871" s="4"/>
      <c r="E871" s="6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5.75" customHeight="1" x14ac:dyDescent="0.25">
      <c r="A872" s="4"/>
      <c r="B872" s="6"/>
      <c r="C872" s="6"/>
      <c r="D872" s="4"/>
      <c r="E872" s="6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5.75" customHeight="1" x14ac:dyDescent="0.25">
      <c r="A873" s="4"/>
      <c r="B873" s="6"/>
      <c r="C873" s="6"/>
      <c r="D873" s="4"/>
      <c r="E873" s="6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5.75" customHeight="1" x14ac:dyDescent="0.25">
      <c r="A874" s="4"/>
      <c r="B874" s="6"/>
      <c r="C874" s="6"/>
      <c r="D874" s="4"/>
      <c r="E874" s="6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5.75" customHeight="1" x14ac:dyDescent="0.25">
      <c r="A875" s="4"/>
      <c r="B875" s="6"/>
      <c r="C875" s="6"/>
      <c r="D875" s="4"/>
      <c r="E875" s="6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5.75" customHeight="1" x14ac:dyDescent="0.25">
      <c r="A876" s="4"/>
      <c r="B876" s="6"/>
      <c r="C876" s="6"/>
      <c r="D876" s="4"/>
      <c r="E876" s="6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5.75" customHeight="1" x14ac:dyDescent="0.25">
      <c r="A877" s="4"/>
      <c r="B877" s="6"/>
      <c r="C877" s="6"/>
      <c r="D877" s="4"/>
      <c r="E877" s="6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5.75" customHeight="1" x14ac:dyDescent="0.25">
      <c r="A878" s="4"/>
      <c r="B878" s="6"/>
      <c r="C878" s="6"/>
      <c r="D878" s="4"/>
      <c r="E878" s="6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5.75" customHeight="1" x14ac:dyDescent="0.25">
      <c r="A879" s="4"/>
      <c r="B879" s="6"/>
      <c r="C879" s="6"/>
      <c r="D879" s="4"/>
      <c r="E879" s="6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5.75" customHeight="1" x14ac:dyDescent="0.25">
      <c r="A880" s="4"/>
      <c r="B880" s="6"/>
      <c r="C880" s="6"/>
      <c r="D880" s="4"/>
      <c r="E880" s="6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5.75" customHeight="1" x14ac:dyDescent="0.25">
      <c r="A881" s="4"/>
      <c r="B881" s="6"/>
      <c r="C881" s="6"/>
      <c r="D881" s="4"/>
      <c r="E881" s="6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5.75" customHeight="1" x14ac:dyDescent="0.25">
      <c r="A882" s="4"/>
      <c r="B882" s="6"/>
      <c r="C882" s="6"/>
      <c r="D882" s="4"/>
      <c r="E882" s="6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5.75" customHeight="1" x14ac:dyDescent="0.25">
      <c r="A883" s="4"/>
      <c r="B883" s="6"/>
      <c r="C883" s="6"/>
      <c r="D883" s="4"/>
      <c r="E883" s="6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5.75" customHeight="1" x14ac:dyDescent="0.25">
      <c r="A884" s="4"/>
      <c r="B884" s="6"/>
      <c r="C884" s="6"/>
      <c r="D884" s="4"/>
      <c r="E884" s="6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5.75" customHeight="1" x14ac:dyDescent="0.25">
      <c r="A885" s="4"/>
      <c r="B885" s="6"/>
      <c r="C885" s="6"/>
      <c r="D885" s="4"/>
      <c r="E885" s="6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5.75" customHeight="1" x14ac:dyDescent="0.25">
      <c r="A886" s="4"/>
      <c r="B886" s="6"/>
      <c r="C886" s="6"/>
      <c r="D886" s="4"/>
      <c r="E886" s="6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5.75" customHeight="1" x14ac:dyDescent="0.25">
      <c r="A887" s="4"/>
      <c r="B887" s="6"/>
      <c r="C887" s="6"/>
      <c r="D887" s="4"/>
      <c r="E887" s="6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5.75" customHeight="1" x14ac:dyDescent="0.25">
      <c r="A888" s="4"/>
      <c r="B888" s="6"/>
      <c r="C888" s="6"/>
      <c r="D888" s="4"/>
      <c r="E888" s="6"/>
      <c r="F888" s="4"/>
      <c r="G888" s="4"/>
      <c r="H888" s="4"/>
      <c r="I888" s="4"/>
      <c r="J888" s="4"/>
      <c r="K888" s="4"/>
      <c r="L888" s="4"/>
      <c r="M888" s="4"/>
      <c r="N888" s="4"/>
    </row>
    <row r="889" spans="1:14" ht="15.75" customHeight="1" x14ac:dyDescent="0.25">
      <c r="A889" s="4"/>
      <c r="B889" s="6"/>
      <c r="C889" s="6"/>
      <c r="D889" s="4"/>
      <c r="E889" s="6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5.75" customHeight="1" x14ac:dyDescent="0.25">
      <c r="A890" s="4"/>
      <c r="B890" s="6"/>
      <c r="C890" s="6"/>
      <c r="D890" s="4"/>
      <c r="E890" s="6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5.75" customHeight="1" x14ac:dyDescent="0.25">
      <c r="A891" s="4"/>
      <c r="B891" s="6"/>
      <c r="C891" s="6"/>
      <c r="D891" s="4"/>
      <c r="E891" s="6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5.75" customHeight="1" x14ac:dyDescent="0.25">
      <c r="A892" s="4"/>
      <c r="B892" s="6"/>
      <c r="C892" s="6"/>
      <c r="D892" s="4"/>
      <c r="E892" s="6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5.75" customHeight="1" x14ac:dyDescent="0.25">
      <c r="A893" s="4"/>
      <c r="B893" s="6"/>
      <c r="C893" s="6"/>
      <c r="D893" s="4"/>
      <c r="E893" s="6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5.75" customHeight="1" x14ac:dyDescent="0.25">
      <c r="A894" s="4"/>
      <c r="B894" s="6"/>
      <c r="C894" s="6"/>
      <c r="D894" s="4"/>
      <c r="E894" s="6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5.75" customHeight="1" x14ac:dyDescent="0.25">
      <c r="A895" s="4"/>
      <c r="B895" s="6"/>
      <c r="C895" s="6"/>
      <c r="D895" s="4"/>
      <c r="E895" s="6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5.75" customHeight="1" x14ac:dyDescent="0.25">
      <c r="A896" s="4"/>
      <c r="B896" s="6"/>
      <c r="C896" s="6"/>
      <c r="D896" s="4"/>
      <c r="E896" s="6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5.75" customHeight="1" x14ac:dyDescent="0.25">
      <c r="A897" s="4"/>
      <c r="B897" s="6"/>
      <c r="C897" s="6"/>
      <c r="D897" s="4"/>
      <c r="E897" s="6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5.75" customHeight="1" x14ac:dyDescent="0.25">
      <c r="A898" s="4"/>
      <c r="B898" s="6"/>
      <c r="C898" s="6"/>
      <c r="D898" s="4"/>
      <c r="E898" s="6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5.75" customHeight="1" x14ac:dyDescent="0.25">
      <c r="A899" s="4"/>
      <c r="B899" s="6"/>
      <c r="C899" s="6"/>
      <c r="D899" s="4"/>
      <c r="E899" s="6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5.75" customHeight="1" x14ac:dyDescent="0.25">
      <c r="A900" s="4"/>
      <c r="B900" s="6"/>
      <c r="C900" s="6"/>
      <c r="D900" s="4"/>
      <c r="E900" s="6"/>
      <c r="F900" s="4"/>
      <c r="G900" s="4"/>
      <c r="H900" s="4"/>
      <c r="I900" s="4"/>
      <c r="J900" s="4"/>
      <c r="K900" s="4"/>
      <c r="L900" s="4"/>
      <c r="M900" s="4"/>
      <c r="N900" s="4"/>
    </row>
    <row r="901" spans="1:14" ht="15.75" customHeight="1" x14ac:dyDescent="0.25">
      <c r="A901" s="4"/>
      <c r="B901" s="6"/>
      <c r="C901" s="6"/>
      <c r="D901" s="4"/>
      <c r="E901" s="6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5.75" customHeight="1" x14ac:dyDescent="0.25">
      <c r="A902" s="4"/>
      <c r="B902" s="6"/>
      <c r="C902" s="6"/>
      <c r="D902" s="4"/>
      <c r="E902" s="6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5.75" customHeight="1" x14ac:dyDescent="0.25">
      <c r="A903" s="4"/>
      <c r="B903" s="6"/>
      <c r="C903" s="6"/>
      <c r="D903" s="4"/>
      <c r="E903" s="6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5.75" customHeight="1" x14ac:dyDescent="0.25">
      <c r="A904" s="4"/>
      <c r="B904" s="6"/>
      <c r="C904" s="6"/>
      <c r="D904" s="4"/>
      <c r="E904" s="6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5.75" customHeight="1" x14ac:dyDescent="0.25">
      <c r="A905" s="4"/>
      <c r="B905" s="6"/>
      <c r="C905" s="6"/>
      <c r="D905" s="4"/>
      <c r="E905" s="6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5.75" customHeight="1" x14ac:dyDescent="0.25">
      <c r="A906" s="4"/>
      <c r="B906" s="6"/>
      <c r="C906" s="6"/>
      <c r="D906" s="4"/>
      <c r="E906" s="6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5.75" customHeight="1" x14ac:dyDescent="0.25">
      <c r="A907" s="4"/>
      <c r="B907" s="6"/>
      <c r="C907" s="6"/>
      <c r="D907" s="4"/>
      <c r="E907" s="6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5.75" customHeight="1" x14ac:dyDescent="0.25">
      <c r="A908" s="4"/>
      <c r="B908" s="6"/>
      <c r="C908" s="6"/>
      <c r="D908" s="4"/>
      <c r="E908" s="6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5.75" customHeight="1" x14ac:dyDescent="0.25">
      <c r="A909" s="4"/>
      <c r="B909" s="6"/>
      <c r="C909" s="6"/>
      <c r="D909" s="4"/>
      <c r="E909" s="6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5.75" customHeight="1" x14ac:dyDescent="0.25">
      <c r="A910" s="4"/>
      <c r="B910" s="6"/>
      <c r="C910" s="6"/>
      <c r="D910" s="4"/>
      <c r="E910" s="6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5.75" customHeight="1" x14ac:dyDescent="0.25">
      <c r="A911" s="4"/>
      <c r="B911" s="6"/>
      <c r="C911" s="6"/>
      <c r="D911" s="4"/>
      <c r="E911" s="6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5.75" customHeight="1" x14ac:dyDescent="0.25">
      <c r="A912" s="4"/>
      <c r="B912" s="6"/>
      <c r="C912" s="6"/>
      <c r="D912" s="4"/>
      <c r="E912" s="6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5.75" customHeight="1" x14ac:dyDescent="0.25">
      <c r="A913" s="4"/>
      <c r="B913" s="6"/>
      <c r="C913" s="6"/>
      <c r="D913" s="4"/>
      <c r="E913" s="6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5.75" customHeight="1" x14ac:dyDescent="0.25">
      <c r="A914" s="4"/>
      <c r="B914" s="6"/>
      <c r="C914" s="6"/>
      <c r="D914" s="4"/>
      <c r="E914" s="6"/>
      <c r="F914" s="4"/>
      <c r="G914" s="4"/>
      <c r="H914" s="4"/>
      <c r="I914" s="4"/>
      <c r="J914" s="4"/>
      <c r="K914" s="4"/>
      <c r="L914" s="4"/>
      <c r="M914" s="4"/>
      <c r="N914" s="4"/>
    </row>
    <row r="915" spans="1:14" ht="15.75" customHeight="1" x14ac:dyDescent="0.25">
      <c r="A915" s="4"/>
      <c r="B915" s="6"/>
      <c r="C915" s="6"/>
      <c r="D915" s="4"/>
      <c r="E915" s="6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5.75" customHeight="1" x14ac:dyDescent="0.25">
      <c r="A916" s="4"/>
      <c r="B916" s="6"/>
      <c r="C916" s="6"/>
      <c r="D916" s="4"/>
      <c r="E916" s="6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5.75" customHeight="1" x14ac:dyDescent="0.25">
      <c r="A917" s="4"/>
      <c r="B917" s="6"/>
      <c r="C917" s="6"/>
      <c r="D917" s="4"/>
      <c r="E917" s="6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5.75" customHeight="1" x14ac:dyDescent="0.25">
      <c r="A918" s="4"/>
      <c r="B918" s="6"/>
      <c r="C918" s="6"/>
      <c r="D918" s="4"/>
      <c r="E918" s="6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5.75" customHeight="1" x14ac:dyDescent="0.25">
      <c r="A919" s="4"/>
      <c r="B919" s="6"/>
      <c r="C919" s="6"/>
      <c r="D919" s="4"/>
      <c r="E919" s="6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5.75" customHeight="1" x14ac:dyDescent="0.25">
      <c r="A920" s="4"/>
      <c r="B920" s="6"/>
      <c r="C920" s="6"/>
      <c r="D920" s="4"/>
      <c r="E920" s="6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5.75" customHeight="1" x14ac:dyDescent="0.25">
      <c r="A921" s="4"/>
      <c r="B921" s="6"/>
      <c r="C921" s="6"/>
      <c r="D921" s="4"/>
      <c r="E921" s="6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5.75" customHeight="1" x14ac:dyDescent="0.25">
      <c r="A922" s="4"/>
      <c r="B922" s="6"/>
      <c r="C922" s="6"/>
      <c r="D922" s="4"/>
      <c r="E922" s="6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5.75" customHeight="1" x14ac:dyDescent="0.25">
      <c r="A923" s="4"/>
      <c r="B923" s="6"/>
      <c r="C923" s="6"/>
      <c r="D923" s="4"/>
      <c r="E923" s="6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5.75" customHeight="1" x14ac:dyDescent="0.25">
      <c r="A924" s="4"/>
      <c r="B924" s="6"/>
      <c r="C924" s="6"/>
      <c r="D924" s="4"/>
      <c r="E924" s="6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5.75" customHeight="1" x14ac:dyDescent="0.25">
      <c r="A925" s="4"/>
      <c r="B925" s="6"/>
      <c r="C925" s="6"/>
      <c r="D925" s="4"/>
      <c r="E925" s="6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5.75" customHeight="1" x14ac:dyDescent="0.25">
      <c r="A926" s="4"/>
      <c r="B926" s="6"/>
      <c r="C926" s="6"/>
      <c r="D926" s="4"/>
      <c r="E926" s="6"/>
      <c r="F926" s="4"/>
      <c r="G926" s="4"/>
      <c r="H926" s="4"/>
      <c r="I926" s="4"/>
      <c r="J926" s="4"/>
      <c r="K926" s="4"/>
      <c r="L926" s="4"/>
      <c r="M926" s="4"/>
      <c r="N926" s="4"/>
    </row>
    <row r="927" spans="1:14" ht="15.75" customHeight="1" x14ac:dyDescent="0.25">
      <c r="A927" s="4"/>
      <c r="B927" s="6"/>
      <c r="C927" s="6"/>
      <c r="D927" s="4"/>
      <c r="E927" s="6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5.75" customHeight="1" x14ac:dyDescent="0.25">
      <c r="A928" s="4"/>
      <c r="B928" s="6"/>
      <c r="C928" s="6"/>
      <c r="D928" s="4"/>
      <c r="E928" s="6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5.75" customHeight="1" x14ac:dyDescent="0.25">
      <c r="A929" s="4"/>
      <c r="B929" s="6"/>
      <c r="C929" s="6"/>
      <c r="D929" s="4"/>
      <c r="E929" s="6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5.75" customHeight="1" x14ac:dyDescent="0.25">
      <c r="A930" s="4"/>
      <c r="B930" s="6"/>
      <c r="C930" s="6"/>
      <c r="D930" s="4"/>
      <c r="E930" s="6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5.75" customHeight="1" x14ac:dyDescent="0.25">
      <c r="A931" s="4"/>
      <c r="B931" s="6"/>
      <c r="C931" s="6"/>
      <c r="D931" s="4"/>
      <c r="E931" s="6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5.75" customHeight="1" x14ac:dyDescent="0.25">
      <c r="A932" s="4"/>
      <c r="B932" s="6"/>
      <c r="C932" s="6"/>
      <c r="D932" s="4"/>
      <c r="E932" s="6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5.75" customHeight="1" x14ac:dyDescent="0.25">
      <c r="A933" s="4"/>
      <c r="B933" s="6"/>
      <c r="C933" s="6"/>
      <c r="D933" s="4"/>
      <c r="E933" s="6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5.75" customHeight="1" x14ac:dyDescent="0.25">
      <c r="A934" s="4"/>
      <c r="B934" s="6"/>
      <c r="C934" s="6"/>
      <c r="D934" s="4"/>
      <c r="E934" s="6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5.75" customHeight="1" x14ac:dyDescent="0.25">
      <c r="A935" s="4"/>
      <c r="B935" s="6"/>
      <c r="C935" s="6"/>
      <c r="D935" s="4"/>
      <c r="E935" s="6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5.75" customHeight="1" x14ac:dyDescent="0.25">
      <c r="A936" s="4"/>
      <c r="B936" s="6"/>
      <c r="C936" s="6"/>
      <c r="D936" s="4"/>
      <c r="E936" s="6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5.75" customHeight="1" x14ac:dyDescent="0.25">
      <c r="A937" s="4"/>
      <c r="B937" s="6"/>
      <c r="C937" s="6"/>
      <c r="D937" s="4"/>
      <c r="E937" s="6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5.75" customHeight="1" x14ac:dyDescent="0.25">
      <c r="A938" s="4"/>
      <c r="B938" s="6"/>
      <c r="C938" s="6"/>
      <c r="D938" s="4"/>
      <c r="E938" s="6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5.75" customHeight="1" x14ac:dyDescent="0.25">
      <c r="A939" s="4"/>
      <c r="B939" s="6"/>
      <c r="C939" s="6"/>
      <c r="D939" s="4"/>
      <c r="E939" s="6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5.75" customHeight="1" x14ac:dyDescent="0.25">
      <c r="A940" s="4"/>
      <c r="B940" s="6"/>
      <c r="C940" s="6"/>
      <c r="D940" s="4"/>
      <c r="E940" s="6"/>
      <c r="F940" s="4"/>
      <c r="G940" s="4"/>
      <c r="H940" s="4"/>
      <c r="I940" s="4"/>
      <c r="J940" s="4"/>
      <c r="K940" s="4"/>
      <c r="L940" s="4"/>
      <c r="M940" s="4"/>
      <c r="N940" s="4"/>
    </row>
    <row r="941" spans="1:14" ht="15.75" customHeight="1" x14ac:dyDescent="0.25">
      <c r="A941" s="4"/>
      <c r="B941" s="6"/>
      <c r="C941" s="6"/>
      <c r="D941" s="4"/>
      <c r="E941" s="6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5.75" customHeight="1" x14ac:dyDescent="0.25">
      <c r="A942" s="4"/>
      <c r="B942" s="6"/>
      <c r="C942" s="6"/>
      <c r="D942" s="4"/>
      <c r="E942" s="6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5.75" customHeight="1" x14ac:dyDescent="0.25">
      <c r="A943" s="4"/>
      <c r="B943" s="6"/>
      <c r="C943" s="6"/>
      <c r="D943" s="4"/>
      <c r="E943" s="6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5.75" customHeight="1" x14ac:dyDescent="0.25">
      <c r="A944" s="4"/>
      <c r="B944" s="6"/>
      <c r="C944" s="6"/>
      <c r="D944" s="4"/>
      <c r="E944" s="6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5.75" customHeight="1" x14ac:dyDescent="0.25">
      <c r="A945" s="4"/>
      <c r="B945" s="6"/>
      <c r="C945" s="6"/>
      <c r="D945" s="4"/>
      <c r="E945" s="6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5.75" customHeight="1" x14ac:dyDescent="0.25">
      <c r="A946" s="4"/>
      <c r="B946" s="6"/>
      <c r="C946" s="6"/>
      <c r="D946" s="4"/>
      <c r="E946" s="6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5.75" customHeight="1" x14ac:dyDescent="0.25">
      <c r="A947" s="4"/>
      <c r="B947" s="6"/>
      <c r="C947" s="6"/>
      <c r="D947" s="4"/>
      <c r="E947" s="6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5.75" customHeight="1" x14ac:dyDescent="0.25">
      <c r="A948" s="4"/>
      <c r="B948" s="6"/>
      <c r="C948" s="6"/>
      <c r="D948" s="4"/>
      <c r="E948" s="6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5.75" customHeight="1" x14ac:dyDescent="0.25">
      <c r="A949" s="4"/>
      <c r="B949" s="6"/>
      <c r="C949" s="6"/>
      <c r="D949" s="4"/>
      <c r="E949" s="6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5.75" customHeight="1" x14ac:dyDescent="0.25">
      <c r="A950" s="4"/>
      <c r="B950" s="6"/>
      <c r="C950" s="6"/>
      <c r="D950" s="4"/>
      <c r="E950" s="6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5.75" customHeight="1" x14ac:dyDescent="0.25">
      <c r="A951" s="4"/>
      <c r="B951" s="6"/>
      <c r="C951" s="6"/>
      <c r="D951" s="4"/>
      <c r="E951" s="6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5.75" customHeight="1" x14ac:dyDescent="0.25">
      <c r="A952" s="4"/>
      <c r="B952" s="6"/>
      <c r="C952" s="6"/>
      <c r="D952" s="4"/>
      <c r="E952" s="6"/>
      <c r="F952" s="4"/>
      <c r="G952" s="4"/>
      <c r="H952" s="4"/>
      <c r="I952" s="4"/>
      <c r="J952" s="4"/>
      <c r="K952" s="4"/>
      <c r="L952" s="4"/>
      <c r="M952" s="4"/>
      <c r="N952" s="4"/>
    </row>
    <row r="953" spans="1:14" ht="15.75" customHeight="1" x14ac:dyDescent="0.25">
      <c r="A953" s="4"/>
      <c r="B953" s="6"/>
      <c r="C953" s="6"/>
      <c r="D953" s="4"/>
      <c r="E953" s="6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5.75" customHeight="1" x14ac:dyDescent="0.25">
      <c r="A954" s="4"/>
      <c r="B954" s="6"/>
      <c r="C954" s="6"/>
      <c r="D954" s="4"/>
      <c r="E954" s="6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5.75" customHeight="1" x14ac:dyDescent="0.25">
      <c r="A955" s="4"/>
      <c r="B955" s="6"/>
      <c r="C955" s="6"/>
      <c r="D955" s="4"/>
      <c r="E955" s="6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5.75" customHeight="1" x14ac:dyDescent="0.25">
      <c r="A956" s="4"/>
      <c r="B956" s="6"/>
      <c r="C956" s="6"/>
      <c r="D956" s="4"/>
      <c r="E956" s="6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5.75" customHeight="1" x14ac:dyDescent="0.25">
      <c r="A957" s="4"/>
      <c r="B957" s="6"/>
      <c r="C957" s="6"/>
      <c r="D957" s="4"/>
      <c r="E957" s="6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5.75" customHeight="1" x14ac:dyDescent="0.25">
      <c r="A958" s="4"/>
      <c r="B958" s="6"/>
      <c r="C958" s="6"/>
      <c r="D958" s="4"/>
      <c r="E958" s="6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5.75" customHeight="1" x14ac:dyDescent="0.25">
      <c r="A959" s="4"/>
      <c r="B959" s="6"/>
      <c r="C959" s="6"/>
      <c r="D959" s="4"/>
      <c r="E959" s="6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5.75" customHeight="1" x14ac:dyDescent="0.25">
      <c r="A960" s="4"/>
      <c r="B960" s="6"/>
      <c r="C960" s="6"/>
      <c r="D960" s="4"/>
      <c r="E960" s="6"/>
      <c r="F960" s="4"/>
      <c r="G960" s="4"/>
      <c r="H960" s="4"/>
      <c r="I960" s="4"/>
      <c r="J960" s="4"/>
      <c r="K960" s="4"/>
      <c r="L960" s="4"/>
      <c r="M960" s="4"/>
      <c r="N960" s="4"/>
    </row>
    <row r="961" spans="1:14" ht="15.75" customHeight="1" x14ac:dyDescent="0.25">
      <c r="A961" s="4"/>
      <c r="B961" s="6"/>
      <c r="C961" s="6"/>
      <c r="D961" s="4"/>
      <c r="E961" s="6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5.75" customHeight="1" x14ac:dyDescent="0.25">
      <c r="A962" s="4"/>
      <c r="B962" s="6"/>
      <c r="C962" s="6"/>
      <c r="D962" s="4"/>
      <c r="E962" s="6"/>
      <c r="F962" s="4"/>
      <c r="G962" s="4"/>
      <c r="H962" s="4"/>
      <c r="I962" s="4"/>
      <c r="J962" s="4"/>
      <c r="K962" s="4"/>
      <c r="L962" s="4"/>
      <c r="M962" s="4"/>
      <c r="N962" s="4"/>
    </row>
    <row r="963" spans="1:14" ht="15.75" customHeight="1" x14ac:dyDescent="0.25">
      <c r="A963" s="4"/>
      <c r="B963" s="6"/>
      <c r="C963" s="6"/>
      <c r="D963" s="4"/>
      <c r="E963" s="6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5.75" customHeight="1" x14ac:dyDescent="0.25">
      <c r="A964" s="4"/>
      <c r="B964" s="6"/>
      <c r="C964" s="6"/>
      <c r="D964" s="4"/>
      <c r="E964" s="6"/>
      <c r="F964" s="4"/>
      <c r="G964" s="4"/>
      <c r="H964" s="4"/>
      <c r="I964" s="4"/>
      <c r="J964" s="4"/>
      <c r="K964" s="4"/>
      <c r="L964" s="4"/>
      <c r="M964" s="4"/>
      <c r="N964" s="4"/>
    </row>
    <row r="965" spans="1:14" ht="15.75" customHeight="1" x14ac:dyDescent="0.25">
      <c r="A965" s="4"/>
      <c r="B965" s="6"/>
      <c r="C965" s="6"/>
      <c r="D965" s="4"/>
      <c r="E965" s="6"/>
      <c r="F965" s="4"/>
      <c r="G965" s="4"/>
      <c r="H965" s="4"/>
      <c r="I965" s="4"/>
      <c r="J965" s="4"/>
      <c r="K965" s="4"/>
      <c r="L965" s="4"/>
      <c r="M965" s="4"/>
      <c r="N965" s="4"/>
    </row>
    <row r="966" spans="1:14" ht="15.75" customHeight="1" x14ac:dyDescent="0.25">
      <c r="A966" s="4"/>
      <c r="B966" s="6"/>
      <c r="C966" s="6"/>
      <c r="D966" s="4"/>
      <c r="E966" s="6"/>
      <c r="F966" s="4"/>
      <c r="G966" s="4"/>
      <c r="H966" s="4"/>
      <c r="I966" s="4"/>
      <c r="J966" s="4"/>
      <c r="K966" s="4"/>
      <c r="L966" s="4"/>
      <c r="M966" s="4"/>
      <c r="N966" s="4"/>
    </row>
    <row r="967" spans="1:14" ht="15.75" customHeight="1" x14ac:dyDescent="0.25">
      <c r="A967" s="4"/>
      <c r="B967" s="6"/>
      <c r="C967" s="6"/>
      <c r="D967" s="4"/>
      <c r="E967" s="6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5.75" customHeight="1" x14ac:dyDescent="0.25">
      <c r="A968" s="4"/>
      <c r="B968" s="6"/>
      <c r="C968" s="6"/>
      <c r="D968" s="4"/>
      <c r="E968" s="6"/>
      <c r="F968" s="4"/>
      <c r="G968" s="4"/>
      <c r="H968" s="4"/>
      <c r="I968" s="4"/>
      <c r="J968" s="4"/>
      <c r="K968" s="4"/>
      <c r="L968" s="4"/>
      <c r="M968" s="4"/>
      <c r="N968" s="4"/>
    </row>
    <row r="969" spans="1:14" ht="15.75" customHeight="1" x14ac:dyDescent="0.25">
      <c r="A969" s="4"/>
      <c r="B969" s="6"/>
      <c r="C969" s="6"/>
      <c r="D969" s="4"/>
      <c r="E969" s="6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5.75" customHeight="1" x14ac:dyDescent="0.25">
      <c r="A970" s="4"/>
      <c r="B970" s="6"/>
      <c r="C970" s="6"/>
      <c r="D970" s="4"/>
      <c r="E970" s="6"/>
      <c r="F970" s="4"/>
      <c r="G970" s="4"/>
      <c r="H970" s="4"/>
      <c r="I970" s="4"/>
      <c r="J970" s="4"/>
      <c r="K970" s="4"/>
      <c r="L970" s="4"/>
      <c r="M970" s="4"/>
      <c r="N970" s="4"/>
    </row>
    <row r="971" spans="1:14" ht="15.75" customHeight="1" x14ac:dyDescent="0.25">
      <c r="A971" s="4"/>
      <c r="B971" s="6"/>
      <c r="C971" s="6"/>
      <c r="D971" s="4"/>
      <c r="E971" s="6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5.75" customHeight="1" x14ac:dyDescent="0.25">
      <c r="A972" s="4"/>
      <c r="B972" s="6"/>
      <c r="C972" s="6"/>
      <c r="D972" s="4"/>
      <c r="E972" s="6"/>
      <c r="F972" s="4"/>
      <c r="G972" s="4"/>
      <c r="H972" s="4"/>
      <c r="I972" s="4"/>
      <c r="J972" s="4"/>
      <c r="K972" s="4"/>
      <c r="L972" s="4"/>
      <c r="M972" s="4"/>
      <c r="N972" s="4"/>
    </row>
    <row r="973" spans="1:14" ht="15.75" customHeight="1" x14ac:dyDescent="0.25">
      <c r="A973" s="4"/>
      <c r="B973" s="6"/>
      <c r="C973" s="6"/>
      <c r="D973" s="4"/>
      <c r="E973" s="6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5.75" customHeight="1" x14ac:dyDescent="0.25">
      <c r="A974" s="4"/>
      <c r="B974" s="6"/>
      <c r="C974" s="6"/>
      <c r="D974" s="4"/>
      <c r="E974" s="6"/>
      <c r="F974" s="4"/>
      <c r="G974" s="4"/>
      <c r="H974" s="4"/>
      <c r="I974" s="4"/>
      <c r="J974" s="4"/>
      <c r="K974" s="4"/>
      <c r="L974" s="4"/>
      <c r="M974" s="4"/>
      <c r="N974" s="4"/>
    </row>
    <row r="975" spans="1:14" ht="15.75" customHeight="1" x14ac:dyDescent="0.25">
      <c r="A975" s="4"/>
      <c r="B975" s="6"/>
      <c r="C975" s="6"/>
      <c r="D975" s="4"/>
      <c r="E975" s="6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5.75" customHeight="1" x14ac:dyDescent="0.25">
      <c r="A976" s="4"/>
      <c r="B976" s="6"/>
      <c r="C976" s="6"/>
      <c r="D976" s="4"/>
      <c r="E976" s="6"/>
      <c r="F976" s="4"/>
      <c r="G976" s="4"/>
      <c r="H976" s="4"/>
      <c r="I976" s="4"/>
      <c r="J976" s="4"/>
      <c r="K976" s="4"/>
      <c r="L976" s="4"/>
      <c r="M976" s="4"/>
      <c r="N976" s="4"/>
    </row>
    <row r="977" spans="1:14" ht="15.75" customHeight="1" x14ac:dyDescent="0.25">
      <c r="A977" s="4"/>
      <c r="B977" s="6"/>
      <c r="C977" s="6"/>
      <c r="D977" s="4"/>
      <c r="E977" s="6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5.75" customHeight="1" x14ac:dyDescent="0.25">
      <c r="A978" s="4"/>
      <c r="B978" s="6"/>
      <c r="C978" s="6"/>
      <c r="D978" s="4"/>
      <c r="E978" s="6"/>
      <c r="F978" s="4"/>
      <c r="G978" s="4"/>
      <c r="H978" s="4"/>
      <c r="I978" s="4"/>
      <c r="J978" s="4"/>
      <c r="K978" s="4"/>
      <c r="L978" s="4"/>
      <c r="M978" s="4"/>
      <c r="N978" s="4"/>
    </row>
    <row r="979" spans="1:14" ht="15.75" customHeight="1" x14ac:dyDescent="0.25">
      <c r="A979" s="4"/>
      <c r="B979" s="6"/>
      <c r="C979" s="6"/>
      <c r="D979" s="4"/>
      <c r="E979" s="6"/>
      <c r="F979" s="4"/>
      <c r="G979" s="4"/>
      <c r="H979" s="4"/>
      <c r="I979" s="4"/>
      <c r="J979" s="4"/>
      <c r="K979" s="4"/>
      <c r="L979" s="4"/>
      <c r="M979" s="4"/>
      <c r="N979" s="4"/>
    </row>
    <row r="980" spans="1:14" ht="15.75" customHeight="1" x14ac:dyDescent="0.25">
      <c r="A980" s="4"/>
      <c r="B980" s="6"/>
      <c r="C980" s="6"/>
      <c r="D980" s="4"/>
      <c r="E980" s="6"/>
      <c r="F980" s="4"/>
      <c r="G980" s="4"/>
      <c r="H980" s="4"/>
      <c r="I980" s="4"/>
      <c r="J980" s="4"/>
      <c r="K980" s="4"/>
      <c r="L980" s="4"/>
      <c r="M980" s="4"/>
      <c r="N980" s="4"/>
    </row>
    <row r="981" spans="1:14" ht="15.75" customHeight="1" x14ac:dyDescent="0.25">
      <c r="A981" s="4"/>
      <c r="B981" s="6"/>
      <c r="C981" s="6"/>
      <c r="D981" s="4"/>
      <c r="E981" s="6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5.75" customHeight="1" x14ac:dyDescent="0.25">
      <c r="A982" s="4"/>
      <c r="B982" s="6"/>
      <c r="C982" s="6"/>
      <c r="D982" s="4"/>
      <c r="E982" s="6"/>
      <c r="F982" s="4"/>
      <c r="G982" s="4"/>
      <c r="H982" s="4"/>
      <c r="I982" s="4"/>
      <c r="J982" s="4"/>
      <c r="K982" s="4"/>
      <c r="L982" s="4"/>
      <c r="M982" s="4"/>
      <c r="N982" s="4"/>
    </row>
    <row r="983" spans="1:14" ht="15.75" customHeight="1" x14ac:dyDescent="0.25">
      <c r="A983" s="4"/>
      <c r="B983" s="6"/>
      <c r="C983" s="6"/>
      <c r="D983" s="4"/>
      <c r="E983" s="6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5.75" customHeight="1" x14ac:dyDescent="0.25">
      <c r="A984" s="4"/>
      <c r="B984" s="6"/>
      <c r="C984" s="6"/>
      <c r="D984" s="4"/>
      <c r="E984" s="6"/>
      <c r="F984" s="4"/>
      <c r="G984" s="4"/>
      <c r="H984" s="4"/>
      <c r="I984" s="4"/>
      <c r="J984" s="4"/>
      <c r="K984" s="4"/>
      <c r="L984" s="4"/>
      <c r="M984" s="4"/>
      <c r="N984" s="4"/>
    </row>
    <row r="985" spans="1:14" ht="15.75" customHeight="1" x14ac:dyDescent="0.25">
      <c r="A985" s="4"/>
      <c r="B985" s="6"/>
      <c r="C985" s="6"/>
      <c r="D985" s="4"/>
      <c r="E985" s="6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5.75" customHeight="1" x14ac:dyDescent="0.25">
      <c r="A986" s="4"/>
      <c r="B986" s="6"/>
      <c r="C986" s="6"/>
      <c r="D986" s="4"/>
      <c r="E986" s="6"/>
      <c r="F986" s="4"/>
      <c r="G986" s="4"/>
      <c r="H986" s="4"/>
      <c r="I986" s="4"/>
      <c r="J986" s="4"/>
      <c r="K986" s="4"/>
      <c r="L986" s="4"/>
      <c r="M986" s="4"/>
      <c r="N986" s="4"/>
    </row>
    <row r="987" spans="1:14" ht="15.75" customHeight="1" x14ac:dyDescent="0.25">
      <c r="A987" s="4"/>
      <c r="B987" s="6"/>
      <c r="C987" s="6"/>
      <c r="D987" s="4"/>
      <c r="E987" s="6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5.75" customHeight="1" x14ac:dyDescent="0.25">
      <c r="A988" s="4"/>
      <c r="B988" s="6"/>
      <c r="C988" s="6"/>
      <c r="D988" s="4"/>
      <c r="E988" s="6"/>
      <c r="F988" s="4"/>
      <c r="G988" s="4"/>
      <c r="H988" s="4"/>
      <c r="I988" s="4"/>
      <c r="J988" s="4"/>
      <c r="K988" s="4"/>
      <c r="L988" s="4"/>
      <c r="M988" s="4"/>
      <c r="N988" s="4"/>
    </row>
    <row r="989" spans="1:14" ht="15.75" customHeight="1" x14ac:dyDescent="0.25">
      <c r="A989" s="4"/>
      <c r="B989" s="6"/>
      <c r="C989" s="6"/>
      <c r="D989" s="4"/>
      <c r="E989" s="6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5.75" customHeight="1" x14ac:dyDescent="0.25">
      <c r="A990" s="4"/>
      <c r="B990" s="6"/>
      <c r="C990" s="6"/>
      <c r="D990" s="4"/>
      <c r="E990" s="6"/>
      <c r="F990" s="4"/>
      <c r="G990" s="4"/>
      <c r="H990" s="4"/>
      <c r="I990" s="4"/>
      <c r="J990" s="4"/>
      <c r="K990" s="4"/>
      <c r="L990" s="4"/>
      <c r="M990" s="4"/>
      <c r="N990" s="4"/>
    </row>
    <row r="991" spans="1:14" ht="15.75" customHeight="1" x14ac:dyDescent="0.25">
      <c r="A991" s="4"/>
      <c r="B991" s="6"/>
      <c r="C991" s="6"/>
      <c r="D991" s="4"/>
      <c r="E991" s="6"/>
      <c r="F991" s="4"/>
      <c r="G991" s="4"/>
      <c r="H991" s="4"/>
      <c r="I991" s="4"/>
      <c r="J991" s="4"/>
      <c r="K991" s="4"/>
      <c r="L991" s="4"/>
      <c r="M991" s="4"/>
      <c r="N991" s="4"/>
    </row>
    <row r="992" spans="1:14" ht="15.75" customHeight="1" x14ac:dyDescent="0.25">
      <c r="A992" s="4"/>
      <c r="B992" s="6"/>
      <c r="C992" s="6"/>
      <c r="D992" s="4"/>
      <c r="E992" s="6"/>
      <c r="F992" s="4"/>
      <c r="G992" s="4"/>
      <c r="H992" s="4"/>
      <c r="I992" s="4"/>
      <c r="J992" s="4"/>
      <c r="K992" s="4"/>
      <c r="L992" s="4"/>
      <c r="M992" s="4"/>
      <c r="N992" s="4"/>
    </row>
    <row r="993" spans="1:14" ht="15.75" customHeight="1" x14ac:dyDescent="0.25">
      <c r="A993" s="4"/>
      <c r="B993" s="6"/>
      <c r="C993" s="6"/>
      <c r="D993" s="4"/>
      <c r="E993" s="6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5.75" customHeight="1" x14ac:dyDescent="0.25">
      <c r="A994" s="4"/>
      <c r="B994" s="6"/>
      <c r="C994" s="6"/>
      <c r="D994" s="4"/>
      <c r="E994" s="6"/>
      <c r="F994" s="4"/>
      <c r="G994" s="4"/>
      <c r="H994" s="4"/>
      <c r="I994" s="4"/>
      <c r="J994" s="4"/>
      <c r="K994" s="4"/>
      <c r="L994" s="4"/>
      <c r="M994" s="4"/>
      <c r="N994" s="4"/>
    </row>
    <row r="995" spans="1:14" ht="15.75" customHeight="1" x14ac:dyDescent="0.25">
      <c r="A995" s="4"/>
      <c r="B995" s="6"/>
      <c r="C995" s="6"/>
      <c r="D995" s="4"/>
      <c r="E995" s="6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5.75" customHeight="1" x14ac:dyDescent="0.25">
      <c r="A996" s="4"/>
      <c r="B996" s="6"/>
      <c r="C996" s="6"/>
      <c r="D996" s="4"/>
      <c r="E996" s="6"/>
      <c r="F996" s="4"/>
      <c r="G996" s="4"/>
      <c r="H996" s="4"/>
      <c r="I996" s="4"/>
      <c r="J996" s="4"/>
      <c r="K996" s="4"/>
      <c r="L996" s="4"/>
      <c r="M996" s="4"/>
      <c r="N996" s="4"/>
    </row>
    <row r="997" spans="1:14" ht="15.75" customHeight="1" x14ac:dyDescent="0.25">
      <c r="A997" s="4"/>
      <c r="B997" s="6"/>
      <c r="C997" s="6"/>
      <c r="D997" s="4"/>
      <c r="E997" s="6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5.75" customHeight="1" x14ac:dyDescent="0.25">
      <c r="A998" s="4"/>
      <c r="B998" s="6"/>
      <c r="C998" s="6"/>
      <c r="D998" s="4"/>
      <c r="E998" s="6"/>
      <c r="F998" s="4"/>
      <c r="G998" s="4"/>
      <c r="H998" s="4"/>
      <c r="I998" s="4"/>
      <c r="J998" s="4"/>
      <c r="K998" s="4"/>
      <c r="L998" s="4"/>
      <c r="M998" s="4"/>
      <c r="N998" s="4"/>
    </row>
    <row r="999" spans="1:14" ht="15.75" customHeight="1" x14ac:dyDescent="0.25">
      <c r="A999" s="4"/>
      <c r="B999" s="6"/>
      <c r="C999" s="6"/>
      <c r="D999" s="4"/>
      <c r="E999" s="6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5.75" customHeight="1" x14ac:dyDescent="0.25">
      <c r="A1000" s="4"/>
      <c r="B1000" s="6"/>
      <c r="C1000" s="6"/>
      <c r="D1000" s="4"/>
      <c r="E1000" s="6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ht="15.75" customHeight="1" x14ac:dyDescent="0.25">
      <c r="A1001" s="4"/>
      <c r="B1001" s="6"/>
      <c r="C1001" s="6"/>
      <c r="D1001" s="4"/>
      <c r="E1001" s="6"/>
      <c r="F1001" s="4"/>
      <c r="G1001" s="4"/>
      <c r="H1001" s="4"/>
      <c r="I1001" s="4"/>
      <c r="J1001" s="4"/>
      <c r="K1001" s="4"/>
      <c r="L1001" s="4"/>
      <c r="M1001" s="4"/>
      <c r="N1001" s="4"/>
    </row>
  </sheetData>
  <mergeCells count="4">
    <mergeCell ref="A2:B2"/>
    <mergeCell ref="D2:E2"/>
    <mergeCell ref="A21:E21"/>
    <mergeCell ref="A1:E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50DC-22A8-434E-B33D-F3AF1E0EA058}">
  <dimension ref="A1:Z1009"/>
  <sheetViews>
    <sheetView workbookViewId="0">
      <selection activeCell="G19" sqref="G19"/>
    </sheetView>
  </sheetViews>
  <sheetFormatPr defaultColWidth="12.42578125" defaultRowHeight="15" customHeight="1" x14ac:dyDescent="0.25"/>
  <cols>
    <col min="1" max="1" width="15.7109375" style="5" customWidth="1"/>
    <col min="2" max="2" width="37.28515625" style="5" customWidth="1"/>
    <col min="3" max="3" width="18.28515625" style="21" customWidth="1"/>
    <col min="4" max="4" width="14.140625" style="22" customWidth="1"/>
    <col min="5" max="5" width="13.42578125" style="26" customWidth="1"/>
    <col min="6" max="6" width="25.5703125" customWidth="1"/>
    <col min="7" max="26" width="11.7109375" style="5" customWidth="1"/>
    <col min="27" max="16384" width="12.42578125" style="5"/>
  </cols>
  <sheetData>
    <row r="1" spans="1:26" ht="31.9" customHeight="1" x14ac:dyDescent="0.25">
      <c r="B1" s="114" t="s">
        <v>79</v>
      </c>
      <c r="C1" s="115"/>
      <c r="D1" s="115"/>
      <c r="E1" s="115"/>
    </row>
    <row r="2" spans="1:26" ht="15.75" customHeight="1" x14ac:dyDescent="0.25">
      <c r="A2" s="15"/>
      <c r="B2" s="7" t="s">
        <v>0</v>
      </c>
      <c r="C2" s="16" t="s">
        <v>37</v>
      </c>
      <c r="D2" s="17" t="s">
        <v>1</v>
      </c>
      <c r="E2" s="24" t="s">
        <v>17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899999999999999" customHeight="1" x14ac:dyDescent="0.25">
      <c r="A3" s="43" t="s">
        <v>35</v>
      </c>
      <c r="B3" s="44" t="s">
        <v>36</v>
      </c>
      <c r="C3" s="45">
        <f>+'INCOME VS EXPENSES'!D6</f>
        <v>-456526.23919999972</v>
      </c>
      <c r="D3" s="46">
        <f>+C3/E3</f>
        <v>-7217.8061533596792</v>
      </c>
      <c r="E3" s="47">
        <v>63.25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899999999999999" customHeight="1" x14ac:dyDescent="0.25">
      <c r="A4" s="43" t="s">
        <v>35</v>
      </c>
      <c r="B4" s="48" t="s">
        <v>87</v>
      </c>
      <c r="C4" s="105">
        <f>+[1]INCOME!$D$51</f>
        <v>812375</v>
      </c>
      <c r="D4" s="106">
        <f>+C4/E4</f>
        <v>12125</v>
      </c>
      <c r="E4" s="47">
        <v>67</v>
      </c>
      <c r="F4" t="s">
        <v>88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899999999999999" customHeight="1" x14ac:dyDescent="0.25">
      <c r="A5" s="43" t="s">
        <v>38</v>
      </c>
      <c r="B5" s="48" t="s">
        <v>87</v>
      </c>
      <c r="C5" s="111">
        <f>+D5*E5</f>
        <v>335000</v>
      </c>
      <c r="D5" s="49">
        <v>5000</v>
      </c>
      <c r="E5" s="47">
        <v>67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899999999999999" customHeight="1" x14ac:dyDescent="0.25">
      <c r="A6" s="43" t="s">
        <v>39</v>
      </c>
      <c r="B6" s="50"/>
      <c r="C6" s="51"/>
      <c r="D6" s="52"/>
      <c r="E6" s="4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899999999999999" customHeight="1" x14ac:dyDescent="0.25">
      <c r="A7" s="43" t="s">
        <v>40</v>
      </c>
      <c r="B7" s="50"/>
      <c r="C7" s="53"/>
      <c r="D7" s="52"/>
      <c r="E7" s="47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.899999999999999" customHeight="1" x14ac:dyDescent="0.25">
      <c r="A8" s="43" t="s">
        <v>41</v>
      </c>
      <c r="B8" s="50"/>
      <c r="C8" s="63"/>
      <c r="D8" s="52"/>
      <c r="E8" s="47"/>
      <c r="F8" s="5"/>
      <c r="G8" s="2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.899999999999999" customHeight="1" x14ac:dyDescent="0.25">
      <c r="A9" s="43" t="s">
        <v>42</v>
      </c>
      <c r="B9" s="50"/>
      <c r="C9" s="63"/>
      <c r="D9" s="52"/>
      <c r="E9" s="47"/>
      <c r="F9" s="5"/>
      <c r="G9" s="2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899999999999999" customHeight="1" x14ac:dyDescent="0.25">
      <c r="A10" s="43" t="s">
        <v>43</v>
      </c>
      <c r="B10" s="50"/>
      <c r="C10" s="63"/>
      <c r="D10" s="52"/>
      <c r="E10" s="47"/>
      <c r="F10" s="5"/>
      <c r="G10" s="2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9.899999999999999" customHeight="1" x14ac:dyDescent="0.25">
      <c r="A11" s="43" t="s">
        <v>44</v>
      </c>
      <c r="B11" s="50"/>
      <c r="C11" s="63"/>
      <c r="D11" s="52"/>
      <c r="E11" s="47"/>
      <c r="F11" s="5"/>
      <c r="G11" s="2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899999999999999" customHeight="1" x14ac:dyDescent="0.25">
      <c r="A12" s="43" t="s">
        <v>45</v>
      </c>
      <c r="B12" s="100"/>
      <c r="C12" s="63"/>
      <c r="D12" s="52"/>
      <c r="E12" s="47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899999999999999" customHeight="1" x14ac:dyDescent="0.3">
      <c r="A13" s="43" t="s">
        <v>46</v>
      </c>
      <c r="B13" s="72"/>
      <c r="C13" s="73"/>
      <c r="D13" s="74"/>
      <c r="E13" s="75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9.899999999999999" customHeight="1" x14ac:dyDescent="0.3">
      <c r="A14" s="43" t="s">
        <v>47</v>
      </c>
      <c r="B14" s="50"/>
      <c r="C14" s="63"/>
      <c r="D14" s="74"/>
      <c r="E14" s="75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899999999999999" customHeight="1" x14ac:dyDescent="0.25">
      <c r="A15" s="43" t="s">
        <v>48</v>
      </c>
      <c r="B15" s="50"/>
      <c r="C15" s="63"/>
      <c r="D15" s="52"/>
      <c r="E15" s="47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9.45" customHeight="1" x14ac:dyDescent="0.25">
      <c r="A16" s="54"/>
      <c r="B16" s="55" t="s">
        <v>80</v>
      </c>
      <c r="C16" s="56">
        <f>SUM(C4:C15)</f>
        <v>1147375</v>
      </c>
      <c r="D16" s="57">
        <f>SUM(D4:D15)</f>
        <v>17125</v>
      </c>
      <c r="E16" s="58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9.899999999999999" customHeight="1" x14ac:dyDescent="0.25">
      <c r="A17" s="59"/>
      <c r="B17" s="59"/>
      <c r="C17" s="60"/>
      <c r="D17" s="61"/>
      <c r="E17" s="62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9.899999999999999" customHeight="1" x14ac:dyDescent="0.25">
      <c r="A18" s="18"/>
      <c r="B18" s="18"/>
      <c r="C18" s="19"/>
      <c r="D18" s="20"/>
      <c r="E18" s="25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9.899999999999999" customHeight="1" x14ac:dyDescent="0.25">
      <c r="A19" s="18"/>
      <c r="B19" s="18"/>
      <c r="C19" s="19"/>
      <c r="D19" s="20"/>
      <c r="E19" s="25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9.899999999999999" customHeight="1" x14ac:dyDescent="0.25">
      <c r="A20" s="18"/>
      <c r="B20" s="18"/>
      <c r="C20" s="19"/>
      <c r="D20" s="20"/>
      <c r="E20" s="25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899999999999999" customHeight="1" x14ac:dyDescent="0.25">
      <c r="A21" s="18"/>
      <c r="B21" s="18"/>
      <c r="C21" s="19"/>
      <c r="D21" s="20"/>
      <c r="E21" s="25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9.899999999999999" customHeight="1" x14ac:dyDescent="0.25">
      <c r="A22" s="18"/>
      <c r="B22" s="18"/>
      <c r="C22" s="19"/>
      <c r="D22" s="20"/>
      <c r="E22" s="25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9.899999999999999" customHeight="1" x14ac:dyDescent="0.25">
      <c r="A23" s="18"/>
      <c r="B23" s="18"/>
      <c r="C23" s="19"/>
      <c r="D23" s="20"/>
      <c r="E23" s="25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9.899999999999999" customHeight="1" x14ac:dyDescent="0.25">
      <c r="A24" s="18"/>
      <c r="B24" s="18"/>
      <c r="C24" s="19"/>
      <c r="D24" s="20"/>
      <c r="E24" s="25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9.899999999999999" customHeight="1" x14ac:dyDescent="0.25">
      <c r="A25" s="18"/>
      <c r="B25" s="18"/>
      <c r="C25" s="19"/>
      <c r="D25" s="20"/>
      <c r="E25" s="25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9.899999999999999" customHeight="1" x14ac:dyDescent="0.25">
      <c r="A26" s="18"/>
      <c r="B26" s="18"/>
      <c r="C26" s="19"/>
      <c r="D26" s="20"/>
      <c r="E26" s="25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8"/>
      <c r="B27" s="18"/>
      <c r="C27" s="19"/>
      <c r="D27" s="20"/>
      <c r="E27" s="25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8"/>
      <c r="B28" s="18"/>
      <c r="C28" s="19"/>
      <c r="D28" s="20"/>
      <c r="E28" s="25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8"/>
      <c r="B29" s="18"/>
      <c r="C29" s="19"/>
      <c r="D29" s="20"/>
      <c r="E29" s="25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8"/>
      <c r="B30" s="18"/>
      <c r="C30" s="19"/>
      <c r="D30" s="20"/>
      <c r="E30" s="25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8"/>
      <c r="B31" s="18"/>
      <c r="C31" s="19"/>
      <c r="D31" s="20"/>
      <c r="E31" s="25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8"/>
      <c r="B32" s="18"/>
      <c r="C32" s="19"/>
      <c r="D32" s="20"/>
      <c r="E32" s="25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8"/>
      <c r="B33" s="18"/>
      <c r="C33" s="19"/>
      <c r="D33" s="20"/>
      <c r="E33" s="25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8"/>
      <c r="B34" s="18"/>
      <c r="C34" s="19"/>
      <c r="D34" s="20"/>
      <c r="E34" s="25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8"/>
      <c r="B35" s="18"/>
      <c r="C35" s="19"/>
      <c r="D35" s="20"/>
      <c r="E35" s="25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8"/>
      <c r="B36" s="18"/>
      <c r="C36" s="19"/>
      <c r="D36" s="20"/>
      <c r="E36" s="25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8"/>
      <c r="B37" s="18"/>
      <c r="C37" s="19"/>
      <c r="D37" s="20"/>
      <c r="E37" s="25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8"/>
      <c r="B38" s="18"/>
      <c r="C38" s="19"/>
      <c r="D38" s="20"/>
      <c r="E38" s="25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8"/>
      <c r="B39" s="18"/>
      <c r="C39" s="19"/>
      <c r="D39" s="20"/>
      <c r="E39" s="2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8"/>
      <c r="B40" s="18"/>
      <c r="C40" s="19"/>
      <c r="D40" s="20"/>
      <c r="E40" s="25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8"/>
      <c r="B41" s="18"/>
      <c r="C41" s="19"/>
      <c r="D41" s="20"/>
      <c r="E41" s="25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8"/>
      <c r="B42" s="18"/>
      <c r="C42" s="19"/>
      <c r="D42" s="20"/>
      <c r="E42" s="25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8"/>
      <c r="B43" s="18"/>
      <c r="C43" s="19"/>
      <c r="D43" s="20"/>
      <c r="E43" s="25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8"/>
      <c r="B44" s="18"/>
      <c r="C44" s="19"/>
      <c r="D44" s="20"/>
      <c r="E44" s="25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8"/>
      <c r="B45" s="18"/>
      <c r="C45" s="19"/>
      <c r="D45" s="20"/>
      <c r="E45" s="2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8"/>
      <c r="B46" s="18"/>
      <c r="C46" s="19"/>
      <c r="D46" s="20"/>
      <c r="E46" s="25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8"/>
      <c r="B47" s="18"/>
      <c r="C47" s="19"/>
      <c r="D47" s="20"/>
      <c r="E47" s="25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8"/>
      <c r="B48" s="18"/>
      <c r="C48" s="19"/>
      <c r="D48" s="20"/>
      <c r="E48" s="25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8"/>
      <c r="B49" s="18"/>
      <c r="C49" s="19"/>
      <c r="D49" s="20"/>
      <c r="E49" s="25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8"/>
      <c r="B50" s="18"/>
      <c r="C50" s="19"/>
      <c r="D50" s="20"/>
      <c r="E50" s="25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8"/>
      <c r="B51" s="18"/>
      <c r="C51" s="19"/>
      <c r="D51" s="20"/>
      <c r="E51" s="25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8"/>
      <c r="B52" s="18"/>
      <c r="C52" s="19"/>
      <c r="D52" s="20"/>
      <c r="E52" s="25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8"/>
      <c r="B53" s="18"/>
      <c r="C53" s="19"/>
      <c r="D53" s="20"/>
      <c r="E53" s="25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8"/>
      <c r="B54" s="18"/>
      <c r="C54" s="19"/>
      <c r="D54" s="20"/>
      <c r="E54" s="25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8"/>
      <c r="B55" s="18"/>
      <c r="C55" s="19"/>
      <c r="D55" s="20"/>
      <c r="E55" s="25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8"/>
      <c r="B56" s="18"/>
      <c r="C56" s="19"/>
      <c r="D56" s="20"/>
      <c r="E56" s="25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8"/>
      <c r="B57" s="18"/>
      <c r="C57" s="19"/>
      <c r="D57" s="20"/>
      <c r="E57" s="25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8"/>
      <c r="B58" s="18"/>
      <c r="C58" s="19"/>
      <c r="D58" s="20"/>
      <c r="E58" s="25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8"/>
      <c r="B59" s="18"/>
      <c r="C59" s="19"/>
      <c r="D59" s="20"/>
      <c r="E59" s="25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8"/>
      <c r="B60" s="18"/>
      <c r="C60" s="19"/>
      <c r="D60" s="20"/>
      <c r="E60" s="25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18"/>
      <c r="B61" s="18"/>
      <c r="C61" s="19"/>
      <c r="D61" s="20"/>
      <c r="E61" s="25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18"/>
      <c r="B62" s="18"/>
      <c r="C62" s="19"/>
      <c r="D62" s="20"/>
      <c r="E62" s="25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18"/>
      <c r="B63" s="18"/>
      <c r="C63" s="19"/>
      <c r="D63" s="20"/>
      <c r="E63" s="25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18"/>
      <c r="B64" s="18"/>
      <c r="C64" s="19"/>
      <c r="D64" s="20"/>
      <c r="E64" s="25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18"/>
      <c r="B65" s="18"/>
      <c r="C65" s="19"/>
      <c r="D65" s="20"/>
      <c r="E65" s="25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18"/>
      <c r="B66" s="18"/>
      <c r="C66" s="19"/>
      <c r="D66" s="20"/>
      <c r="E66" s="25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18"/>
      <c r="B67" s="18"/>
      <c r="C67" s="19"/>
      <c r="D67" s="20"/>
      <c r="E67" s="25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18"/>
      <c r="B68" s="18"/>
      <c r="C68" s="19"/>
      <c r="D68" s="20"/>
      <c r="E68" s="25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18"/>
      <c r="B69" s="18"/>
      <c r="C69" s="19"/>
      <c r="D69" s="20"/>
      <c r="E69" s="25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18"/>
      <c r="B70" s="18"/>
      <c r="C70" s="19"/>
      <c r="D70" s="20"/>
      <c r="E70" s="25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18"/>
      <c r="B71" s="18"/>
      <c r="C71" s="19"/>
      <c r="D71" s="20"/>
      <c r="E71" s="25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18"/>
      <c r="B72" s="18"/>
      <c r="C72" s="19"/>
      <c r="D72" s="20"/>
      <c r="E72" s="25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18"/>
      <c r="B73" s="18"/>
      <c r="C73" s="19"/>
      <c r="D73" s="20"/>
      <c r="E73" s="25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18"/>
      <c r="B74" s="18"/>
      <c r="C74" s="19"/>
      <c r="D74" s="20"/>
      <c r="E74" s="25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18"/>
      <c r="B75" s="18"/>
      <c r="C75" s="19"/>
      <c r="D75" s="20"/>
      <c r="E75" s="25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18"/>
      <c r="B76" s="18"/>
      <c r="C76" s="19"/>
      <c r="D76" s="20"/>
      <c r="E76" s="25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18"/>
      <c r="B77" s="18"/>
      <c r="C77" s="19"/>
      <c r="D77" s="20"/>
      <c r="E77" s="25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18"/>
      <c r="B78" s="18"/>
      <c r="C78" s="19"/>
      <c r="D78" s="20"/>
      <c r="E78" s="25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18"/>
      <c r="B79" s="18"/>
      <c r="C79" s="19"/>
      <c r="D79" s="20"/>
      <c r="E79" s="25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18"/>
      <c r="B80" s="18"/>
      <c r="C80" s="19"/>
      <c r="D80" s="20"/>
      <c r="E80" s="25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18"/>
      <c r="B81" s="18"/>
      <c r="C81" s="19"/>
      <c r="D81" s="20"/>
      <c r="E81" s="25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18"/>
      <c r="B82" s="18"/>
      <c r="C82" s="19"/>
      <c r="D82" s="20"/>
      <c r="E82" s="25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18"/>
      <c r="B83" s="18"/>
      <c r="C83" s="19"/>
      <c r="D83" s="20"/>
      <c r="E83" s="25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18"/>
      <c r="B84" s="18"/>
      <c r="C84" s="19"/>
      <c r="D84" s="20"/>
      <c r="E84" s="25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18"/>
      <c r="B85" s="18"/>
      <c r="C85" s="19"/>
      <c r="D85" s="20"/>
      <c r="E85" s="25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18"/>
      <c r="B86" s="18"/>
      <c r="C86" s="19"/>
      <c r="D86" s="20"/>
      <c r="E86" s="25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18"/>
      <c r="B87" s="18"/>
      <c r="C87" s="19"/>
      <c r="D87" s="20"/>
      <c r="E87" s="25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18"/>
      <c r="B88" s="18"/>
      <c r="C88" s="19"/>
      <c r="D88" s="20"/>
      <c r="E88" s="25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18"/>
      <c r="B89" s="18"/>
      <c r="C89" s="19"/>
      <c r="D89" s="20"/>
      <c r="E89" s="25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18"/>
      <c r="B90" s="18"/>
      <c r="C90" s="19"/>
      <c r="D90" s="20"/>
      <c r="E90" s="25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18"/>
      <c r="B91" s="18"/>
      <c r="C91" s="19"/>
      <c r="D91" s="20"/>
      <c r="E91" s="25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18"/>
      <c r="B92" s="18"/>
      <c r="C92" s="19"/>
      <c r="D92" s="20"/>
      <c r="E92" s="25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18"/>
      <c r="B93" s="18"/>
      <c r="C93" s="19"/>
      <c r="D93" s="20"/>
      <c r="E93" s="25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18"/>
      <c r="B94" s="18"/>
      <c r="C94" s="19"/>
      <c r="D94" s="20"/>
      <c r="E94" s="25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18"/>
      <c r="B95" s="18"/>
      <c r="C95" s="19"/>
      <c r="D95" s="20"/>
      <c r="E95" s="25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18"/>
      <c r="B96" s="18"/>
      <c r="C96" s="19"/>
      <c r="D96" s="20"/>
      <c r="E96" s="25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18"/>
      <c r="B97" s="18"/>
      <c r="C97" s="19"/>
      <c r="D97" s="20"/>
      <c r="E97" s="25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18"/>
      <c r="B98" s="18"/>
      <c r="C98" s="19"/>
      <c r="D98" s="20"/>
      <c r="E98" s="25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18"/>
      <c r="B99" s="18"/>
      <c r="C99" s="19"/>
      <c r="D99" s="20"/>
      <c r="E99" s="25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18"/>
      <c r="B100" s="18"/>
      <c r="C100" s="19"/>
      <c r="D100" s="20"/>
      <c r="E100" s="2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18"/>
      <c r="B101" s="18"/>
      <c r="C101" s="19"/>
      <c r="D101" s="20"/>
      <c r="E101" s="2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18"/>
      <c r="B102" s="18"/>
      <c r="C102" s="19"/>
      <c r="D102" s="20"/>
      <c r="E102" s="2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18"/>
      <c r="B103" s="18"/>
      <c r="C103" s="19"/>
      <c r="D103" s="20"/>
      <c r="E103" s="2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18"/>
      <c r="B104" s="18"/>
      <c r="C104" s="19"/>
      <c r="D104" s="20"/>
      <c r="E104" s="2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18"/>
      <c r="B105" s="18"/>
      <c r="C105" s="19"/>
      <c r="D105" s="20"/>
      <c r="E105" s="2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18"/>
      <c r="B106" s="18"/>
      <c r="C106" s="19"/>
      <c r="D106" s="20"/>
      <c r="E106" s="2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18"/>
      <c r="B107" s="18"/>
      <c r="C107" s="19"/>
      <c r="D107" s="20"/>
      <c r="E107" s="2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18"/>
      <c r="B108" s="18"/>
      <c r="C108" s="19"/>
      <c r="D108" s="20"/>
      <c r="E108" s="2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18"/>
      <c r="B109" s="18"/>
      <c r="C109" s="19"/>
      <c r="D109" s="20"/>
      <c r="E109" s="2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18"/>
      <c r="B110" s="18"/>
      <c r="C110" s="19"/>
      <c r="D110" s="20"/>
      <c r="E110" s="2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18"/>
      <c r="B111" s="18"/>
      <c r="C111" s="19"/>
      <c r="D111" s="20"/>
      <c r="E111" s="2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18"/>
      <c r="B112" s="18"/>
      <c r="C112" s="19"/>
      <c r="D112" s="20"/>
      <c r="E112" s="2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18"/>
      <c r="B113" s="18"/>
      <c r="C113" s="19"/>
      <c r="D113" s="20"/>
      <c r="E113" s="2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18"/>
      <c r="B114" s="18"/>
      <c r="C114" s="19"/>
      <c r="D114" s="20"/>
      <c r="E114" s="2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18"/>
      <c r="B115" s="18"/>
      <c r="C115" s="19"/>
      <c r="D115" s="20"/>
      <c r="E115" s="2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18"/>
      <c r="B116" s="18"/>
      <c r="C116" s="19"/>
      <c r="D116" s="20"/>
      <c r="E116" s="2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18"/>
      <c r="B117" s="18"/>
      <c r="C117" s="19"/>
      <c r="D117" s="20"/>
      <c r="E117" s="2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18"/>
      <c r="B118" s="18"/>
      <c r="C118" s="19"/>
      <c r="D118" s="20"/>
      <c r="E118" s="2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18"/>
      <c r="B119" s="18"/>
      <c r="C119" s="19"/>
      <c r="D119" s="20"/>
      <c r="E119" s="2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18"/>
      <c r="B120" s="18"/>
      <c r="C120" s="19"/>
      <c r="D120" s="20"/>
      <c r="E120" s="2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18"/>
      <c r="B121" s="18"/>
      <c r="C121" s="19"/>
      <c r="D121" s="20"/>
      <c r="E121" s="2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18"/>
      <c r="B122" s="18"/>
      <c r="C122" s="19"/>
      <c r="D122" s="20"/>
      <c r="E122" s="2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18"/>
      <c r="B123" s="18"/>
      <c r="C123" s="19"/>
      <c r="D123" s="20"/>
      <c r="E123" s="2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18"/>
      <c r="B124" s="18"/>
      <c r="C124" s="19"/>
      <c r="D124" s="20"/>
      <c r="E124" s="2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18"/>
      <c r="B125" s="18"/>
      <c r="C125" s="19"/>
      <c r="D125" s="20"/>
      <c r="E125" s="2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18"/>
      <c r="B126" s="18"/>
      <c r="C126" s="19"/>
      <c r="D126" s="20"/>
      <c r="E126" s="2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18"/>
      <c r="B127" s="18"/>
      <c r="C127" s="19"/>
      <c r="D127" s="20"/>
      <c r="E127" s="2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18"/>
      <c r="B128" s="18"/>
      <c r="C128" s="19"/>
      <c r="D128" s="20"/>
      <c r="E128" s="2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18"/>
      <c r="B129" s="18"/>
      <c r="C129" s="19"/>
      <c r="D129" s="20"/>
      <c r="E129" s="2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18"/>
      <c r="B130" s="18"/>
      <c r="C130" s="19"/>
      <c r="D130" s="20"/>
      <c r="E130" s="2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18"/>
      <c r="B131" s="18"/>
      <c r="C131" s="19"/>
      <c r="D131" s="20"/>
      <c r="E131" s="2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18"/>
      <c r="B132" s="18"/>
      <c r="C132" s="19"/>
      <c r="D132" s="20"/>
      <c r="E132" s="2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18"/>
      <c r="B133" s="18"/>
      <c r="C133" s="19"/>
      <c r="D133" s="20"/>
      <c r="E133" s="2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18"/>
      <c r="B134" s="18"/>
      <c r="C134" s="19"/>
      <c r="D134" s="20"/>
      <c r="E134" s="2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18"/>
      <c r="B135" s="18"/>
      <c r="C135" s="19"/>
      <c r="D135" s="20"/>
      <c r="E135" s="2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18"/>
      <c r="B136" s="18"/>
      <c r="C136" s="19"/>
      <c r="D136" s="20"/>
      <c r="E136" s="2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18"/>
      <c r="B137" s="18"/>
      <c r="C137" s="19"/>
      <c r="D137" s="20"/>
      <c r="E137" s="2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18"/>
      <c r="B138" s="18"/>
      <c r="C138" s="19"/>
      <c r="D138" s="20"/>
      <c r="E138" s="2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18"/>
      <c r="B139" s="18"/>
      <c r="C139" s="19"/>
      <c r="D139" s="20"/>
      <c r="E139" s="2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18"/>
      <c r="B140" s="18"/>
      <c r="C140" s="19"/>
      <c r="D140" s="20"/>
      <c r="E140" s="2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18"/>
      <c r="B141" s="18"/>
      <c r="C141" s="19"/>
      <c r="D141" s="20"/>
      <c r="E141" s="2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18"/>
      <c r="B142" s="18"/>
      <c r="C142" s="19"/>
      <c r="D142" s="20"/>
      <c r="E142" s="2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18"/>
      <c r="B143" s="18"/>
      <c r="C143" s="19"/>
      <c r="D143" s="20"/>
      <c r="E143" s="2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18"/>
      <c r="B144" s="18"/>
      <c r="C144" s="19"/>
      <c r="D144" s="20"/>
      <c r="E144" s="2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18"/>
      <c r="B145" s="18"/>
      <c r="C145" s="19"/>
      <c r="D145" s="20"/>
      <c r="E145" s="2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18"/>
      <c r="B146" s="18"/>
      <c r="C146" s="19"/>
      <c r="D146" s="20"/>
      <c r="E146" s="2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18"/>
      <c r="B147" s="18"/>
      <c r="C147" s="19"/>
      <c r="D147" s="20"/>
      <c r="E147" s="2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18"/>
      <c r="B148" s="18"/>
      <c r="C148" s="19"/>
      <c r="D148" s="20"/>
      <c r="E148" s="2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18"/>
      <c r="B149" s="18"/>
      <c r="C149" s="19"/>
      <c r="D149" s="20"/>
      <c r="E149" s="2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18"/>
      <c r="B150" s="18"/>
      <c r="C150" s="19"/>
      <c r="D150" s="20"/>
      <c r="E150" s="2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18"/>
      <c r="B151" s="18"/>
      <c r="C151" s="19"/>
      <c r="D151" s="20"/>
      <c r="E151" s="2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18"/>
      <c r="B152" s="18"/>
      <c r="C152" s="19"/>
      <c r="D152" s="20"/>
      <c r="E152" s="2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18"/>
      <c r="B153" s="18"/>
      <c r="C153" s="19"/>
      <c r="D153" s="20"/>
      <c r="E153" s="2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18"/>
      <c r="B154" s="18"/>
      <c r="C154" s="19"/>
      <c r="D154" s="20"/>
      <c r="E154" s="2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18"/>
      <c r="B155" s="18"/>
      <c r="C155" s="19"/>
      <c r="D155" s="20"/>
      <c r="E155" s="2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18"/>
      <c r="B156" s="18"/>
      <c r="C156" s="19"/>
      <c r="D156" s="20"/>
      <c r="E156" s="2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18"/>
      <c r="B157" s="18"/>
      <c r="C157" s="19"/>
      <c r="D157" s="20"/>
      <c r="E157" s="2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18"/>
      <c r="B158" s="18"/>
      <c r="C158" s="19"/>
      <c r="D158" s="20"/>
      <c r="E158" s="2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18"/>
      <c r="B159" s="18"/>
      <c r="C159" s="19"/>
      <c r="D159" s="20"/>
      <c r="E159" s="2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18"/>
      <c r="B160" s="18"/>
      <c r="C160" s="19"/>
      <c r="D160" s="20"/>
      <c r="E160" s="2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18"/>
      <c r="B161" s="18"/>
      <c r="C161" s="19"/>
      <c r="D161" s="20"/>
      <c r="E161" s="2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18"/>
      <c r="B162" s="18"/>
      <c r="C162" s="19"/>
      <c r="D162" s="20"/>
      <c r="E162" s="2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18"/>
      <c r="B163" s="18"/>
      <c r="C163" s="19"/>
      <c r="D163" s="20"/>
      <c r="E163" s="2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18"/>
      <c r="B164" s="18"/>
      <c r="C164" s="19"/>
      <c r="D164" s="20"/>
      <c r="E164" s="2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18"/>
      <c r="B165" s="18"/>
      <c r="C165" s="19"/>
      <c r="D165" s="20"/>
      <c r="E165" s="2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18"/>
      <c r="B166" s="18"/>
      <c r="C166" s="19"/>
      <c r="D166" s="20"/>
      <c r="E166" s="2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18"/>
      <c r="B167" s="18"/>
      <c r="C167" s="19"/>
      <c r="D167" s="20"/>
      <c r="E167" s="2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18"/>
      <c r="B168" s="18"/>
      <c r="C168" s="19"/>
      <c r="D168" s="20"/>
      <c r="E168" s="2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18"/>
      <c r="B169" s="18"/>
      <c r="C169" s="19"/>
      <c r="D169" s="20"/>
      <c r="E169" s="2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18"/>
      <c r="B170" s="18"/>
      <c r="C170" s="19"/>
      <c r="D170" s="20"/>
      <c r="E170" s="2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18"/>
      <c r="B171" s="18"/>
      <c r="C171" s="19"/>
      <c r="D171" s="20"/>
      <c r="E171" s="2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18"/>
      <c r="B172" s="18"/>
      <c r="C172" s="19"/>
      <c r="D172" s="20"/>
      <c r="E172" s="2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18"/>
      <c r="B173" s="18"/>
      <c r="C173" s="19"/>
      <c r="D173" s="20"/>
      <c r="E173" s="2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18"/>
      <c r="B174" s="18"/>
      <c r="C174" s="19"/>
      <c r="D174" s="20"/>
      <c r="E174" s="2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18"/>
      <c r="B175" s="18"/>
      <c r="C175" s="19"/>
      <c r="D175" s="20"/>
      <c r="E175" s="2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18"/>
      <c r="B176" s="18"/>
      <c r="C176" s="19"/>
      <c r="D176" s="20"/>
      <c r="E176" s="2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18"/>
      <c r="B177" s="18"/>
      <c r="C177" s="19"/>
      <c r="D177" s="20"/>
      <c r="E177" s="2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18"/>
      <c r="B178" s="18"/>
      <c r="C178" s="19"/>
      <c r="D178" s="20"/>
      <c r="E178" s="2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18"/>
      <c r="B179" s="18"/>
      <c r="C179" s="19"/>
      <c r="D179" s="20"/>
      <c r="E179" s="2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18"/>
      <c r="B180" s="18"/>
      <c r="C180" s="19"/>
      <c r="D180" s="20"/>
      <c r="E180" s="2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18"/>
      <c r="B181" s="18"/>
      <c r="C181" s="19"/>
      <c r="D181" s="20"/>
      <c r="E181" s="2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18"/>
      <c r="B182" s="18"/>
      <c r="C182" s="19"/>
      <c r="D182" s="20"/>
      <c r="E182" s="2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18"/>
      <c r="B183" s="18"/>
      <c r="C183" s="19"/>
      <c r="D183" s="20"/>
      <c r="E183" s="2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18"/>
      <c r="B184" s="18"/>
      <c r="C184" s="19"/>
      <c r="D184" s="20"/>
      <c r="E184" s="2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18"/>
      <c r="B185" s="18"/>
      <c r="C185" s="19"/>
      <c r="D185" s="20"/>
      <c r="E185" s="2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18"/>
      <c r="B186" s="18"/>
      <c r="C186" s="19"/>
      <c r="D186" s="20"/>
      <c r="E186" s="2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18"/>
      <c r="B187" s="18"/>
      <c r="C187" s="19"/>
      <c r="D187" s="20"/>
      <c r="E187" s="2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18"/>
      <c r="B188" s="18"/>
      <c r="C188" s="19"/>
      <c r="D188" s="20"/>
      <c r="E188" s="2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18"/>
      <c r="B189" s="18"/>
      <c r="C189" s="19"/>
      <c r="D189" s="20"/>
      <c r="E189" s="2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18"/>
      <c r="B190" s="18"/>
      <c r="C190" s="19"/>
      <c r="D190" s="20"/>
      <c r="E190" s="2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18"/>
      <c r="B191" s="18"/>
      <c r="C191" s="19"/>
      <c r="D191" s="20"/>
      <c r="E191" s="2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18"/>
      <c r="B192" s="18"/>
      <c r="C192" s="19"/>
      <c r="D192" s="20"/>
      <c r="E192" s="2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18"/>
      <c r="B193" s="18"/>
      <c r="C193" s="19"/>
      <c r="D193" s="20"/>
      <c r="E193" s="2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18"/>
      <c r="B194" s="18"/>
      <c r="C194" s="19"/>
      <c r="D194" s="20"/>
      <c r="E194" s="2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18"/>
      <c r="B195" s="18"/>
      <c r="C195" s="19"/>
      <c r="D195" s="20"/>
      <c r="E195" s="2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18"/>
      <c r="B196" s="18"/>
      <c r="C196" s="19"/>
      <c r="D196" s="20"/>
      <c r="E196" s="2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18"/>
      <c r="B197" s="18"/>
      <c r="C197" s="19"/>
      <c r="D197" s="20"/>
      <c r="E197" s="2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18"/>
      <c r="B198" s="18"/>
      <c r="C198" s="19"/>
      <c r="D198" s="20"/>
      <c r="E198" s="2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18"/>
      <c r="B199" s="18"/>
      <c r="C199" s="19"/>
      <c r="D199" s="20"/>
      <c r="E199" s="2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18"/>
      <c r="B200" s="18"/>
      <c r="C200" s="19"/>
      <c r="D200" s="20"/>
      <c r="E200" s="2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18"/>
      <c r="B201" s="18"/>
      <c r="C201" s="19"/>
      <c r="D201" s="20"/>
      <c r="E201" s="2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18"/>
      <c r="B202" s="18"/>
      <c r="C202" s="19"/>
      <c r="D202" s="20"/>
      <c r="E202" s="2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18"/>
      <c r="B203" s="18"/>
      <c r="C203" s="19"/>
      <c r="D203" s="20"/>
      <c r="E203" s="2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18"/>
      <c r="B204" s="18"/>
      <c r="C204" s="19"/>
      <c r="D204" s="20"/>
      <c r="E204" s="2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18"/>
      <c r="B205" s="18"/>
      <c r="C205" s="19"/>
      <c r="D205" s="20"/>
      <c r="E205" s="2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18"/>
      <c r="B206" s="18"/>
      <c r="C206" s="19"/>
      <c r="D206" s="20"/>
      <c r="E206" s="2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18"/>
      <c r="B207" s="18"/>
      <c r="C207" s="19"/>
      <c r="D207" s="20"/>
      <c r="E207" s="2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18"/>
      <c r="B208" s="18"/>
      <c r="C208" s="19"/>
      <c r="D208" s="20"/>
      <c r="E208" s="2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18"/>
      <c r="B209" s="18"/>
      <c r="C209" s="19"/>
      <c r="D209" s="20"/>
      <c r="E209" s="2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18"/>
      <c r="B210" s="18"/>
      <c r="C210" s="19"/>
      <c r="D210" s="20"/>
      <c r="E210" s="2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18"/>
      <c r="B211" s="18"/>
      <c r="C211" s="19"/>
      <c r="D211" s="20"/>
      <c r="E211" s="2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18"/>
      <c r="B212" s="18"/>
      <c r="C212" s="19"/>
      <c r="D212" s="20"/>
      <c r="E212" s="2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18"/>
      <c r="B213" s="18"/>
      <c r="C213" s="19"/>
      <c r="D213" s="20"/>
      <c r="E213" s="2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18"/>
      <c r="B214" s="18"/>
      <c r="C214" s="19"/>
      <c r="D214" s="20"/>
      <c r="E214" s="2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18"/>
      <c r="B215" s="18"/>
      <c r="C215" s="19"/>
      <c r="D215" s="20"/>
      <c r="E215" s="2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18"/>
      <c r="B216" s="18"/>
      <c r="C216" s="19"/>
      <c r="D216" s="20"/>
      <c r="E216" s="2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18"/>
      <c r="B217" s="18"/>
      <c r="C217" s="19"/>
      <c r="D217" s="20"/>
      <c r="E217" s="2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18"/>
      <c r="B218" s="18"/>
      <c r="C218" s="19"/>
      <c r="D218" s="20"/>
      <c r="E218" s="2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18"/>
      <c r="B219" s="18"/>
      <c r="C219" s="19"/>
      <c r="D219" s="20"/>
      <c r="E219" s="2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18"/>
      <c r="B220" s="18"/>
      <c r="C220" s="19"/>
      <c r="D220" s="20"/>
      <c r="E220" s="2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18"/>
      <c r="B221" s="18"/>
      <c r="C221" s="19"/>
      <c r="D221" s="20"/>
      <c r="E221" s="25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18"/>
      <c r="B222" s="18"/>
      <c r="C222" s="19"/>
      <c r="D222" s="20"/>
      <c r="E222" s="25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18"/>
      <c r="B223" s="18"/>
      <c r="C223" s="19"/>
      <c r="D223" s="20"/>
      <c r="E223" s="25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18"/>
      <c r="B224" s="18"/>
      <c r="C224" s="19"/>
      <c r="D224" s="20"/>
      <c r="E224" s="25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18"/>
      <c r="B225" s="18"/>
      <c r="C225" s="19"/>
      <c r="D225" s="20"/>
      <c r="E225" s="25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18"/>
      <c r="B226" s="18"/>
      <c r="C226" s="19"/>
      <c r="D226" s="20"/>
      <c r="E226" s="25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18"/>
      <c r="B227" s="18"/>
      <c r="C227" s="19"/>
      <c r="D227" s="20"/>
      <c r="E227" s="25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18"/>
      <c r="B228" s="18"/>
      <c r="C228" s="19"/>
      <c r="D228" s="20"/>
      <c r="E228" s="25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18"/>
      <c r="B229" s="18"/>
      <c r="C229" s="19"/>
      <c r="D229" s="20"/>
      <c r="E229" s="25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18"/>
      <c r="B230" s="18"/>
      <c r="C230" s="19"/>
      <c r="D230" s="20"/>
      <c r="E230" s="25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18"/>
      <c r="B231" s="18"/>
      <c r="C231" s="19"/>
      <c r="D231" s="20"/>
      <c r="E231" s="25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18"/>
      <c r="B232" s="18"/>
      <c r="C232" s="19"/>
      <c r="D232" s="20"/>
      <c r="E232" s="25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18"/>
      <c r="B233" s="18"/>
      <c r="C233" s="19"/>
      <c r="D233" s="20"/>
      <c r="E233" s="25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18"/>
      <c r="B234" s="18"/>
      <c r="C234" s="19"/>
      <c r="D234" s="20"/>
      <c r="E234" s="25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18"/>
      <c r="B235" s="18"/>
      <c r="C235" s="19"/>
      <c r="D235" s="20"/>
      <c r="E235" s="25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18"/>
      <c r="B236" s="18"/>
      <c r="C236" s="19"/>
      <c r="D236" s="20"/>
      <c r="E236" s="25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18"/>
      <c r="B237" s="18"/>
      <c r="C237" s="19"/>
      <c r="D237" s="20"/>
      <c r="E237" s="25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18"/>
      <c r="B238" s="18"/>
      <c r="C238" s="19"/>
      <c r="D238" s="20"/>
      <c r="E238" s="25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18"/>
      <c r="B239" s="18"/>
      <c r="C239" s="19"/>
      <c r="D239" s="20"/>
      <c r="E239" s="25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18"/>
      <c r="B240" s="18"/>
      <c r="C240" s="19"/>
      <c r="D240" s="20"/>
      <c r="E240" s="25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18"/>
      <c r="B241" s="18"/>
      <c r="C241" s="19"/>
      <c r="D241" s="20"/>
      <c r="E241" s="25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18"/>
      <c r="B242" s="18"/>
      <c r="C242" s="19"/>
      <c r="D242" s="20"/>
      <c r="E242" s="25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18"/>
      <c r="B243" s="18"/>
      <c r="C243" s="19"/>
      <c r="D243" s="20"/>
      <c r="E243" s="25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18"/>
      <c r="B244" s="18"/>
      <c r="C244" s="19"/>
      <c r="D244" s="20"/>
      <c r="E244" s="25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18"/>
      <c r="B245" s="18"/>
      <c r="C245" s="19"/>
      <c r="D245" s="20"/>
      <c r="E245" s="25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18"/>
      <c r="B246" s="18"/>
      <c r="C246" s="19"/>
      <c r="D246" s="20"/>
      <c r="E246" s="25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18"/>
      <c r="B247" s="18"/>
      <c r="C247" s="19"/>
      <c r="D247" s="20"/>
      <c r="E247" s="25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18"/>
      <c r="B248" s="18"/>
      <c r="C248" s="19"/>
      <c r="D248" s="20"/>
      <c r="E248" s="25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18"/>
      <c r="B249" s="18"/>
      <c r="C249" s="19"/>
      <c r="D249" s="20"/>
      <c r="E249" s="25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18"/>
      <c r="B250" s="18"/>
      <c r="C250" s="19"/>
      <c r="D250" s="20"/>
      <c r="E250" s="25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18"/>
      <c r="B251" s="18"/>
      <c r="C251" s="19"/>
      <c r="D251" s="20"/>
      <c r="E251" s="25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18"/>
      <c r="B252" s="18"/>
      <c r="C252" s="19"/>
      <c r="D252" s="20"/>
      <c r="E252" s="25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18"/>
      <c r="B253" s="18"/>
      <c r="C253" s="19"/>
      <c r="D253" s="20"/>
      <c r="E253" s="25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18"/>
      <c r="B254" s="18"/>
      <c r="C254" s="19"/>
      <c r="D254" s="20"/>
      <c r="E254" s="25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18"/>
      <c r="B255" s="18"/>
      <c r="C255" s="19"/>
      <c r="D255" s="20"/>
      <c r="E255" s="25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18"/>
      <c r="B256" s="18"/>
      <c r="C256" s="19"/>
      <c r="D256" s="20"/>
      <c r="E256" s="25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18"/>
      <c r="B257" s="18"/>
      <c r="C257" s="19"/>
      <c r="D257" s="20"/>
      <c r="E257" s="25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18"/>
      <c r="B258" s="18"/>
      <c r="C258" s="19"/>
      <c r="D258" s="20"/>
      <c r="E258" s="25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18"/>
      <c r="B259" s="18"/>
      <c r="C259" s="19"/>
      <c r="D259" s="20"/>
      <c r="E259" s="25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18"/>
      <c r="B260" s="18"/>
      <c r="C260" s="19"/>
      <c r="D260" s="20"/>
      <c r="E260" s="25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18"/>
      <c r="B261" s="18"/>
      <c r="C261" s="19"/>
      <c r="D261" s="20"/>
      <c r="E261" s="25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18"/>
      <c r="B262" s="18"/>
      <c r="C262" s="19"/>
      <c r="D262" s="20"/>
      <c r="E262" s="25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18"/>
      <c r="B263" s="18"/>
      <c r="C263" s="19"/>
      <c r="D263" s="20"/>
      <c r="E263" s="25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18"/>
      <c r="B264" s="18"/>
      <c r="C264" s="19"/>
      <c r="D264" s="20"/>
      <c r="E264" s="25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18"/>
      <c r="B265" s="18"/>
      <c r="C265" s="19"/>
      <c r="D265" s="20"/>
      <c r="E265" s="25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18"/>
      <c r="B266" s="18"/>
      <c r="C266" s="19"/>
      <c r="D266" s="20"/>
      <c r="E266" s="25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18"/>
      <c r="B267" s="18"/>
      <c r="C267" s="19"/>
      <c r="D267" s="20"/>
      <c r="E267" s="25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18"/>
      <c r="B268" s="18"/>
      <c r="C268" s="19"/>
      <c r="D268" s="20"/>
      <c r="E268" s="25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18"/>
      <c r="B269" s="18"/>
      <c r="C269" s="19"/>
      <c r="D269" s="20"/>
      <c r="E269" s="25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18"/>
      <c r="B270" s="18"/>
      <c r="C270" s="19"/>
      <c r="D270" s="20"/>
      <c r="E270" s="25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18"/>
      <c r="B271" s="18"/>
      <c r="C271" s="19"/>
      <c r="D271" s="20"/>
      <c r="E271" s="25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18"/>
      <c r="B272" s="18"/>
      <c r="C272" s="19"/>
      <c r="D272" s="20"/>
      <c r="E272" s="25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18"/>
      <c r="B273" s="18"/>
      <c r="C273" s="19"/>
      <c r="D273" s="20"/>
      <c r="E273" s="25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18"/>
      <c r="B274" s="18"/>
      <c r="C274" s="19"/>
      <c r="D274" s="20"/>
      <c r="E274" s="25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18"/>
      <c r="B275" s="18"/>
      <c r="C275" s="19"/>
      <c r="D275" s="20"/>
      <c r="E275" s="25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18"/>
      <c r="B276" s="18"/>
      <c r="C276" s="19"/>
      <c r="D276" s="20"/>
      <c r="E276" s="25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18"/>
      <c r="B277" s="18"/>
      <c r="C277" s="19"/>
      <c r="D277" s="20"/>
      <c r="E277" s="25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18"/>
      <c r="B278" s="18"/>
      <c r="C278" s="19"/>
      <c r="D278" s="20"/>
      <c r="E278" s="25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18"/>
      <c r="B279" s="18"/>
      <c r="C279" s="19"/>
      <c r="D279" s="20"/>
      <c r="E279" s="25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18"/>
      <c r="B280" s="18"/>
      <c r="C280" s="19"/>
      <c r="D280" s="20"/>
      <c r="E280" s="25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18"/>
      <c r="B281" s="18"/>
      <c r="C281" s="19"/>
      <c r="D281" s="20"/>
      <c r="E281" s="25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18"/>
      <c r="B282" s="18"/>
      <c r="C282" s="19"/>
      <c r="D282" s="20"/>
      <c r="E282" s="25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18"/>
      <c r="B283" s="18"/>
      <c r="C283" s="19"/>
      <c r="D283" s="20"/>
      <c r="E283" s="25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18"/>
      <c r="B284" s="18"/>
      <c r="C284" s="19"/>
      <c r="D284" s="20"/>
      <c r="E284" s="25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18"/>
      <c r="B285" s="18"/>
      <c r="C285" s="19"/>
      <c r="D285" s="20"/>
      <c r="E285" s="25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18"/>
      <c r="B286" s="18"/>
      <c r="C286" s="19"/>
      <c r="D286" s="20"/>
      <c r="E286" s="25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18"/>
      <c r="B287" s="18"/>
      <c r="C287" s="19"/>
      <c r="D287" s="20"/>
      <c r="E287" s="25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18"/>
      <c r="B288" s="18"/>
      <c r="C288" s="19"/>
      <c r="D288" s="20"/>
      <c r="E288" s="25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18"/>
      <c r="B289" s="18"/>
      <c r="C289" s="19"/>
      <c r="D289" s="20"/>
      <c r="E289" s="25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18"/>
      <c r="B290" s="18"/>
      <c r="C290" s="19"/>
      <c r="D290" s="20"/>
      <c r="E290" s="25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18"/>
      <c r="B291" s="18"/>
      <c r="C291" s="19"/>
      <c r="D291" s="20"/>
      <c r="E291" s="25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18"/>
      <c r="B292" s="18"/>
      <c r="C292" s="19"/>
      <c r="D292" s="20"/>
      <c r="E292" s="25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18"/>
      <c r="B293" s="18"/>
      <c r="C293" s="19"/>
      <c r="D293" s="20"/>
      <c r="E293" s="25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18"/>
      <c r="B294" s="18"/>
      <c r="C294" s="19"/>
      <c r="D294" s="20"/>
      <c r="E294" s="25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18"/>
      <c r="B295" s="18"/>
      <c r="C295" s="19"/>
      <c r="D295" s="20"/>
      <c r="E295" s="25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18"/>
      <c r="B296" s="18"/>
      <c r="C296" s="19"/>
      <c r="D296" s="20"/>
      <c r="E296" s="25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18"/>
      <c r="B297" s="18"/>
      <c r="C297" s="19"/>
      <c r="D297" s="20"/>
      <c r="E297" s="25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18"/>
      <c r="B298" s="18"/>
      <c r="C298" s="19"/>
      <c r="D298" s="20"/>
      <c r="E298" s="25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18"/>
      <c r="B299" s="18"/>
      <c r="C299" s="19"/>
      <c r="D299" s="20"/>
      <c r="E299" s="25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18"/>
      <c r="B300" s="18"/>
      <c r="C300" s="19"/>
      <c r="D300" s="20"/>
      <c r="E300" s="25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18"/>
      <c r="B301" s="18"/>
      <c r="C301" s="19"/>
      <c r="D301" s="20"/>
      <c r="E301" s="25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18"/>
      <c r="B302" s="18"/>
      <c r="C302" s="19"/>
      <c r="D302" s="20"/>
      <c r="E302" s="25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18"/>
      <c r="B303" s="18"/>
      <c r="C303" s="19"/>
      <c r="D303" s="20"/>
      <c r="E303" s="25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18"/>
      <c r="B304" s="18"/>
      <c r="C304" s="19"/>
      <c r="D304" s="20"/>
      <c r="E304" s="25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18"/>
      <c r="B305" s="18"/>
      <c r="C305" s="19"/>
      <c r="D305" s="20"/>
      <c r="E305" s="25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18"/>
      <c r="B306" s="18"/>
      <c r="C306" s="19"/>
      <c r="D306" s="20"/>
      <c r="E306" s="25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18"/>
      <c r="B307" s="18"/>
      <c r="C307" s="19"/>
      <c r="D307" s="20"/>
      <c r="E307" s="25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18"/>
      <c r="B308" s="18"/>
      <c r="C308" s="19"/>
      <c r="D308" s="20"/>
      <c r="E308" s="25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18"/>
      <c r="B309" s="18"/>
      <c r="C309" s="19"/>
      <c r="D309" s="20"/>
      <c r="E309" s="25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18"/>
      <c r="B310" s="18"/>
      <c r="C310" s="19"/>
      <c r="D310" s="20"/>
      <c r="E310" s="25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18"/>
      <c r="B311" s="18"/>
      <c r="C311" s="19"/>
      <c r="D311" s="20"/>
      <c r="E311" s="25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18"/>
      <c r="B312" s="18"/>
      <c r="C312" s="19"/>
      <c r="D312" s="20"/>
      <c r="E312" s="25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18"/>
      <c r="B313" s="18"/>
      <c r="C313" s="19"/>
      <c r="D313" s="20"/>
      <c r="E313" s="25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18"/>
      <c r="B314" s="18"/>
      <c r="C314" s="19"/>
      <c r="D314" s="20"/>
      <c r="E314" s="25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18"/>
      <c r="B315" s="18"/>
      <c r="C315" s="19"/>
      <c r="D315" s="20"/>
      <c r="E315" s="25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18"/>
      <c r="B316" s="18"/>
      <c r="C316" s="19"/>
      <c r="D316" s="20"/>
      <c r="E316" s="25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18"/>
      <c r="B317" s="18"/>
      <c r="C317" s="19"/>
      <c r="D317" s="20"/>
      <c r="E317" s="25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18"/>
      <c r="B318" s="18"/>
      <c r="C318" s="19"/>
      <c r="D318" s="20"/>
      <c r="E318" s="25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18"/>
      <c r="B319" s="18"/>
      <c r="C319" s="19"/>
      <c r="D319" s="20"/>
      <c r="E319" s="25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18"/>
      <c r="B320" s="18"/>
      <c r="C320" s="19"/>
      <c r="D320" s="20"/>
      <c r="E320" s="25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18"/>
      <c r="B321" s="18"/>
      <c r="C321" s="19"/>
      <c r="D321" s="20"/>
      <c r="E321" s="25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18"/>
      <c r="B322" s="18"/>
      <c r="C322" s="19"/>
      <c r="D322" s="20"/>
      <c r="E322" s="25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18"/>
      <c r="B323" s="18"/>
      <c r="C323" s="19"/>
      <c r="D323" s="20"/>
      <c r="E323" s="25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18"/>
      <c r="B324" s="18"/>
      <c r="C324" s="19"/>
      <c r="D324" s="20"/>
      <c r="E324" s="25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18"/>
      <c r="B325" s="18"/>
      <c r="C325" s="19"/>
      <c r="D325" s="20"/>
      <c r="E325" s="25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18"/>
      <c r="B326" s="18"/>
      <c r="C326" s="19"/>
      <c r="D326" s="20"/>
      <c r="E326" s="25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18"/>
      <c r="B327" s="18"/>
      <c r="C327" s="19"/>
      <c r="D327" s="20"/>
      <c r="E327" s="25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18"/>
      <c r="B328" s="18"/>
      <c r="C328" s="19"/>
      <c r="D328" s="20"/>
      <c r="E328" s="25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18"/>
      <c r="B329" s="18"/>
      <c r="C329" s="19"/>
      <c r="D329" s="20"/>
      <c r="E329" s="25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18"/>
      <c r="B330" s="18"/>
      <c r="C330" s="19"/>
      <c r="D330" s="20"/>
      <c r="E330" s="25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18"/>
      <c r="B331" s="18"/>
      <c r="C331" s="19"/>
      <c r="D331" s="20"/>
      <c r="E331" s="25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18"/>
      <c r="B332" s="18"/>
      <c r="C332" s="19"/>
      <c r="D332" s="20"/>
      <c r="E332" s="25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18"/>
      <c r="B333" s="18"/>
      <c r="C333" s="19"/>
      <c r="D333" s="20"/>
      <c r="E333" s="25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18"/>
      <c r="B334" s="18"/>
      <c r="C334" s="19"/>
      <c r="D334" s="20"/>
      <c r="E334" s="25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18"/>
      <c r="B335" s="18"/>
      <c r="C335" s="19"/>
      <c r="D335" s="20"/>
      <c r="E335" s="25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18"/>
      <c r="B336" s="18"/>
      <c r="C336" s="19"/>
      <c r="D336" s="20"/>
      <c r="E336" s="25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18"/>
      <c r="B337" s="18"/>
      <c r="C337" s="19"/>
      <c r="D337" s="20"/>
      <c r="E337" s="25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18"/>
      <c r="B338" s="18"/>
      <c r="C338" s="19"/>
      <c r="D338" s="20"/>
      <c r="E338" s="25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18"/>
      <c r="B339" s="18"/>
      <c r="C339" s="19"/>
      <c r="D339" s="20"/>
      <c r="E339" s="25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18"/>
      <c r="B340" s="18"/>
      <c r="C340" s="19"/>
      <c r="D340" s="20"/>
      <c r="E340" s="25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18"/>
      <c r="B341" s="18"/>
      <c r="C341" s="19"/>
      <c r="D341" s="20"/>
      <c r="E341" s="25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18"/>
      <c r="B342" s="18"/>
      <c r="C342" s="19"/>
      <c r="D342" s="20"/>
      <c r="E342" s="25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18"/>
      <c r="B343" s="18"/>
      <c r="C343" s="19"/>
      <c r="D343" s="20"/>
      <c r="E343" s="25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18"/>
      <c r="B344" s="18"/>
      <c r="C344" s="19"/>
      <c r="D344" s="20"/>
      <c r="E344" s="25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18"/>
      <c r="B345" s="18"/>
      <c r="C345" s="19"/>
      <c r="D345" s="20"/>
      <c r="E345" s="25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18"/>
      <c r="B346" s="18"/>
      <c r="C346" s="19"/>
      <c r="D346" s="20"/>
      <c r="E346" s="25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18"/>
      <c r="B347" s="18"/>
      <c r="C347" s="19"/>
      <c r="D347" s="20"/>
      <c r="E347" s="25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18"/>
      <c r="B348" s="18"/>
      <c r="C348" s="19"/>
      <c r="D348" s="20"/>
      <c r="E348" s="25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18"/>
      <c r="B349" s="18"/>
      <c r="C349" s="19"/>
      <c r="D349" s="20"/>
      <c r="E349" s="25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18"/>
      <c r="B350" s="18"/>
      <c r="C350" s="19"/>
      <c r="D350" s="20"/>
      <c r="E350" s="25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18"/>
      <c r="B351" s="18"/>
      <c r="C351" s="19"/>
      <c r="D351" s="20"/>
      <c r="E351" s="25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18"/>
      <c r="B352" s="18"/>
      <c r="C352" s="19"/>
      <c r="D352" s="20"/>
      <c r="E352" s="25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18"/>
      <c r="B353" s="18"/>
      <c r="C353" s="19"/>
      <c r="D353" s="20"/>
      <c r="E353" s="25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18"/>
      <c r="B354" s="18"/>
      <c r="C354" s="19"/>
      <c r="D354" s="20"/>
      <c r="E354" s="25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18"/>
      <c r="B355" s="18"/>
      <c r="C355" s="19"/>
      <c r="D355" s="20"/>
      <c r="E355" s="25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18"/>
      <c r="B356" s="18"/>
      <c r="C356" s="19"/>
      <c r="D356" s="20"/>
      <c r="E356" s="25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18"/>
      <c r="B357" s="18"/>
      <c r="C357" s="19"/>
      <c r="D357" s="20"/>
      <c r="E357" s="25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18"/>
      <c r="B358" s="18"/>
      <c r="C358" s="19"/>
      <c r="D358" s="20"/>
      <c r="E358" s="25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18"/>
      <c r="B359" s="18"/>
      <c r="C359" s="19"/>
      <c r="D359" s="20"/>
      <c r="E359" s="25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18"/>
      <c r="B360" s="18"/>
      <c r="C360" s="19"/>
      <c r="D360" s="20"/>
      <c r="E360" s="25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18"/>
      <c r="B361" s="18"/>
      <c r="C361" s="19"/>
      <c r="D361" s="20"/>
      <c r="E361" s="25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18"/>
      <c r="B362" s="18"/>
      <c r="C362" s="19"/>
      <c r="D362" s="20"/>
      <c r="E362" s="25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18"/>
      <c r="B363" s="18"/>
      <c r="C363" s="19"/>
      <c r="D363" s="20"/>
      <c r="E363" s="25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18"/>
      <c r="B364" s="18"/>
      <c r="C364" s="19"/>
      <c r="D364" s="20"/>
      <c r="E364" s="25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18"/>
      <c r="B365" s="18"/>
      <c r="C365" s="19"/>
      <c r="D365" s="20"/>
      <c r="E365" s="25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18"/>
      <c r="B366" s="18"/>
      <c r="C366" s="19"/>
      <c r="D366" s="20"/>
      <c r="E366" s="25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18"/>
      <c r="B367" s="18"/>
      <c r="C367" s="19"/>
      <c r="D367" s="20"/>
      <c r="E367" s="25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18"/>
      <c r="B368" s="18"/>
      <c r="C368" s="19"/>
      <c r="D368" s="20"/>
      <c r="E368" s="25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18"/>
      <c r="B369" s="18"/>
      <c r="C369" s="19"/>
      <c r="D369" s="20"/>
      <c r="E369" s="25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18"/>
      <c r="B370" s="18"/>
      <c r="C370" s="19"/>
      <c r="D370" s="20"/>
      <c r="E370" s="25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18"/>
      <c r="B371" s="18"/>
      <c r="C371" s="19"/>
      <c r="D371" s="20"/>
      <c r="E371" s="25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18"/>
      <c r="B372" s="18"/>
      <c r="C372" s="19"/>
      <c r="D372" s="20"/>
      <c r="E372" s="25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18"/>
      <c r="B373" s="18"/>
      <c r="C373" s="19"/>
      <c r="D373" s="20"/>
      <c r="E373" s="25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18"/>
      <c r="B374" s="18"/>
      <c r="C374" s="19"/>
      <c r="D374" s="20"/>
      <c r="E374" s="25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18"/>
      <c r="B375" s="18"/>
      <c r="C375" s="19"/>
      <c r="D375" s="20"/>
      <c r="E375" s="25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18"/>
      <c r="B376" s="18"/>
      <c r="C376" s="19"/>
      <c r="D376" s="20"/>
      <c r="E376" s="25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18"/>
      <c r="B377" s="18"/>
      <c r="C377" s="19"/>
      <c r="D377" s="20"/>
      <c r="E377" s="25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18"/>
      <c r="B378" s="18"/>
      <c r="C378" s="19"/>
      <c r="D378" s="20"/>
      <c r="E378" s="25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18"/>
      <c r="B379" s="18"/>
      <c r="C379" s="19"/>
      <c r="D379" s="20"/>
      <c r="E379" s="25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18"/>
      <c r="B380" s="18"/>
      <c r="C380" s="19"/>
      <c r="D380" s="20"/>
      <c r="E380" s="25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18"/>
      <c r="B381" s="18"/>
      <c r="C381" s="19"/>
      <c r="D381" s="20"/>
      <c r="E381" s="25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18"/>
      <c r="B382" s="18"/>
      <c r="C382" s="19"/>
      <c r="D382" s="20"/>
      <c r="E382" s="25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18"/>
      <c r="B383" s="18"/>
      <c r="C383" s="19"/>
      <c r="D383" s="20"/>
      <c r="E383" s="25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18"/>
      <c r="B384" s="18"/>
      <c r="C384" s="19"/>
      <c r="D384" s="20"/>
      <c r="E384" s="25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18"/>
      <c r="B385" s="18"/>
      <c r="C385" s="19"/>
      <c r="D385" s="20"/>
      <c r="E385" s="25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18"/>
      <c r="B386" s="18"/>
      <c r="C386" s="19"/>
      <c r="D386" s="20"/>
      <c r="E386" s="25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18"/>
      <c r="B387" s="18"/>
      <c r="C387" s="19"/>
      <c r="D387" s="20"/>
      <c r="E387" s="25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18"/>
      <c r="B388" s="18"/>
      <c r="C388" s="19"/>
      <c r="D388" s="20"/>
      <c r="E388" s="25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18"/>
      <c r="B389" s="18"/>
      <c r="C389" s="19"/>
      <c r="D389" s="20"/>
      <c r="E389" s="25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18"/>
      <c r="B390" s="18"/>
      <c r="C390" s="19"/>
      <c r="D390" s="20"/>
      <c r="E390" s="25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18"/>
      <c r="B391" s="18"/>
      <c r="C391" s="19"/>
      <c r="D391" s="20"/>
      <c r="E391" s="25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18"/>
      <c r="B392" s="18"/>
      <c r="C392" s="19"/>
      <c r="D392" s="20"/>
      <c r="E392" s="25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18"/>
      <c r="B393" s="18"/>
      <c r="C393" s="19"/>
      <c r="D393" s="20"/>
      <c r="E393" s="25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18"/>
      <c r="B394" s="18"/>
      <c r="C394" s="19"/>
      <c r="D394" s="20"/>
      <c r="E394" s="25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18"/>
      <c r="B395" s="18"/>
      <c r="C395" s="19"/>
      <c r="D395" s="20"/>
      <c r="E395" s="25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18"/>
      <c r="B396" s="18"/>
      <c r="C396" s="19"/>
      <c r="D396" s="20"/>
      <c r="E396" s="25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18"/>
      <c r="B397" s="18"/>
      <c r="C397" s="19"/>
      <c r="D397" s="20"/>
      <c r="E397" s="25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18"/>
      <c r="B398" s="18"/>
      <c r="C398" s="19"/>
      <c r="D398" s="20"/>
      <c r="E398" s="25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18"/>
      <c r="B399" s="18"/>
      <c r="C399" s="19"/>
      <c r="D399" s="20"/>
      <c r="E399" s="25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18"/>
      <c r="B400" s="18"/>
      <c r="C400" s="19"/>
      <c r="D400" s="20"/>
      <c r="E400" s="25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18"/>
      <c r="B401" s="18"/>
      <c r="C401" s="19"/>
      <c r="D401" s="20"/>
      <c r="E401" s="25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18"/>
      <c r="B402" s="18"/>
      <c r="C402" s="19"/>
      <c r="D402" s="20"/>
      <c r="E402" s="25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18"/>
      <c r="B403" s="18"/>
      <c r="C403" s="19"/>
      <c r="D403" s="20"/>
      <c r="E403" s="25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18"/>
      <c r="B404" s="18"/>
      <c r="C404" s="19"/>
      <c r="D404" s="20"/>
      <c r="E404" s="25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18"/>
      <c r="B405" s="18"/>
      <c r="C405" s="19"/>
      <c r="D405" s="20"/>
      <c r="E405" s="25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18"/>
      <c r="B406" s="18"/>
      <c r="C406" s="19"/>
      <c r="D406" s="20"/>
      <c r="E406" s="25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18"/>
      <c r="B407" s="18"/>
      <c r="C407" s="19"/>
      <c r="D407" s="20"/>
      <c r="E407" s="25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18"/>
      <c r="B408" s="18"/>
      <c r="C408" s="19"/>
      <c r="D408" s="20"/>
      <c r="E408" s="25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18"/>
      <c r="B409" s="18"/>
      <c r="C409" s="19"/>
      <c r="D409" s="20"/>
      <c r="E409" s="25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18"/>
      <c r="B410" s="18"/>
      <c r="C410" s="19"/>
      <c r="D410" s="20"/>
      <c r="E410" s="25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18"/>
      <c r="B411" s="18"/>
      <c r="C411" s="19"/>
      <c r="D411" s="20"/>
      <c r="E411" s="25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18"/>
      <c r="B412" s="18"/>
      <c r="C412" s="19"/>
      <c r="D412" s="20"/>
      <c r="E412" s="25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18"/>
      <c r="B413" s="18"/>
      <c r="C413" s="19"/>
      <c r="D413" s="20"/>
      <c r="E413" s="25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18"/>
      <c r="B414" s="18"/>
      <c r="C414" s="19"/>
      <c r="D414" s="20"/>
      <c r="E414" s="25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18"/>
      <c r="B415" s="18"/>
      <c r="C415" s="19"/>
      <c r="D415" s="20"/>
      <c r="E415" s="25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18"/>
      <c r="B416" s="18"/>
      <c r="C416" s="19"/>
      <c r="D416" s="20"/>
      <c r="E416" s="25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18"/>
      <c r="B417" s="18"/>
      <c r="C417" s="19"/>
      <c r="D417" s="20"/>
      <c r="E417" s="25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18"/>
      <c r="B418" s="18"/>
      <c r="C418" s="19"/>
      <c r="D418" s="20"/>
      <c r="E418" s="25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18"/>
      <c r="B419" s="18"/>
      <c r="C419" s="19"/>
      <c r="D419" s="20"/>
      <c r="E419" s="25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18"/>
      <c r="B420" s="18"/>
      <c r="C420" s="19"/>
      <c r="D420" s="20"/>
      <c r="E420" s="25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18"/>
      <c r="B421" s="18"/>
      <c r="C421" s="19"/>
      <c r="D421" s="20"/>
      <c r="E421" s="25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18"/>
      <c r="B422" s="18"/>
      <c r="C422" s="19"/>
      <c r="D422" s="20"/>
      <c r="E422" s="25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18"/>
      <c r="B423" s="18"/>
      <c r="C423" s="19"/>
      <c r="D423" s="20"/>
      <c r="E423" s="25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18"/>
      <c r="B424" s="18"/>
      <c r="C424" s="19"/>
      <c r="D424" s="20"/>
      <c r="E424" s="25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18"/>
      <c r="B425" s="18"/>
      <c r="C425" s="19"/>
      <c r="D425" s="20"/>
      <c r="E425" s="25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18"/>
      <c r="B426" s="18"/>
      <c r="C426" s="19"/>
      <c r="D426" s="20"/>
      <c r="E426" s="25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18"/>
      <c r="B427" s="18"/>
      <c r="C427" s="19"/>
      <c r="D427" s="20"/>
      <c r="E427" s="25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18"/>
      <c r="B428" s="18"/>
      <c r="C428" s="19"/>
      <c r="D428" s="20"/>
      <c r="E428" s="25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18"/>
      <c r="B429" s="18"/>
      <c r="C429" s="19"/>
      <c r="D429" s="20"/>
      <c r="E429" s="25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18"/>
      <c r="B430" s="18"/>
      <c r="C430" s="19"/>
      <c r="D430" s="20"/>
      <c r="E430" s="25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18"/>
      <c r="B431" s="18"/>
      <c r="C431" s="19"/>
      <c r="D431" s="20"/>
      <c r="E431" s="25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18"/>
      <c r="B432" s="18"/>
      <c r="C432" s="19"/>
      <c r="D432" s="20"/>
      <c r="E432" s="25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18"/>
      <c r="B433" s="18"/>
      <c r="C433" s="19"/>
      <c r="D433" s="20"/>
      <c r="E433" s="25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18"/>
      <c r="B434" s="18"/>
      <c r="C434" s="19"/>
      <c r="D434" s="20"/>
      <c r="E434" s="25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18"/>
      <c r="B435" s="18"/>
      <c r="C435" s="19"/>
      <c r="D435" s="20"/>
      <c r="E435" s="25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18"/>
      <c r="B436" s="18"/>
      <c r="C436" s="19"/>
      <c r="D436" s="20"/>
      <c r="E436" s="25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18"/>
      <c r="B437" s="18"/>
      <c r="C437" s="19"/>
      <c r="D437" s="20"/>
      <c r="E437" s="25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18"/>
      <c r="B438" s="18"/>
      <c r="C438" s="19"/>
      <c r="D438" s="20"/>
      <c r="E438" s="25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18"/>
      <c r="B439" s="18"/>
      <c r="C439" s="19"/>
      <c r="D439" s="20"/>
      <c r="E439" s="25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18"/>
      <c r="B440" s="18"/>
      <c r="C440" s="19"/>
      <c r="D440" s="20"/>
      <c r="E440" s="25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18"/>
      <c r="B441" s="18"/>
      <c r="C441" s="19"/>
      <c r="D441" s="20"/>
      <c r="E441" s="25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18"/>
      <c r="B442" s="18"/>
      <c r="C442" s="19"/>
      <c r="D442" s="20"/>
      <c r="E442" s="25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18"/>
      <c r="B443" s="18"/>
      <c r="C443" s="19"/>
      <c r="D443" s="20"/>
      <c r="E443" s="25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18"/>
      <c r="B444" s="18"/>
      <c r="C444" s="19"/>
      <c r="D444" s="20"/>
      <c r="E444" s="25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18"/>
      <c r="B445" s="18"/>
      <c r="C445" s="19"/>
      <c r="D445" s="20"/>
      <c r="E445" s="25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18"/>
      <c r="B446" s="18"/>
      <c r="C446" s="19"/>
      <c r="D446" s="20"/>
      <c r="E446" s="25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18"/>
      <c r="B447" s="18"/>
      <c r="C447" s="19"/>
      <c r="D447" s="20"/>
      <c r="E447" s="25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18"/>
      <c r="B448" s="18"/>
      <c r="C448" s="19"/>
      <c r="D448" s="20"/>
      <c r="E448" s="25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18"/>
      <c r="B449" s="18"/>
      <c r="C449" s="19"/>
      <c r="D449" s="20"/>
      <c r="E449" s="25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18"/>
      <c r="B450" s="18"/>
      <c r="C450" s="19"/>
      <c r="D450" s="20"/>
      <c r="E450" s="25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18"/>
      <c r="B451" s="18"/>
      <c r="C451" s="19"/>
      <c r="D451" s="20"/>
      <c r="E451" s="25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18"/>
      <c r="B452" s="18"/>
      <c r="C452" s="19"/>
      <c r="D452" s="20"/>
      <c r="E452" s="25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18"/>
      <c r="B453" s="18"/>
      <c r="C453" s="19"/>
      <c r="D453" s="20"/>
      <c r="E453" s="25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18"/>
      <c r="B454" s="18"/>
      <c r="C454" s="19"/>
      <c r="D454" s="20"/>
      <c r="E454" s="25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18"/>
      <c r="B455" s="18"/>
      <c r="C455" s="19"/>
      <c r="D455" s="20"/>
      <c r="E455" s="25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18"/>
      <c r="B456" s="18"/>
      <c r="C456" s="19"/>
      <c r="D456" s="20"/>
      <c r="E456" s="25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18"/>
      <c r="B457" s="18"/>
      <c r="C457" s="19"/>
      <c r="D457" s="20"/>
      <c r="E457" s="25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18"/>
      <c r="B458" s="18"/>
      <c r="C458" s="19"/>
      <c r="D458" s="20"/>
      <c r="E458" s="25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18"/>
      <c r="B459" s="18"/>
      <c r="C459" s="19"/>
      <c r="D459" s="20"/>
      <c r="E459" s="25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18"/>
      <c r="B460" s="18"/>
      <c r="C460" s="19"/>
      <c r="D460" s="20"/>
      <c r="E460" s="25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18"/>
      <c r="B461" s="18"/>
      <c r="C461" s="19"/>
      <c r="D461" s="20"/>
      <c r="E461" s="25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18"/>
      <c r="B462" s="18"/>
      <c r="C462" s="19"/>
      <c r="D462" s="20"/>
      <c r="E462" s="25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18"/>
      <c r="B463" s="18"/>
      <c r="C463" s="19"/>
      <c r="D463" s="20"/>
      <c r="E463" s="25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18"/>
      <c r="B464" s="18"/>
      <c r="C464" s="19"/>
      <c r="D464" s="20"/>
      <c r="E464" s="25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18"/>
      <c r="B465" s="18"/>
      <c r="C465" s="19"/>
      <c r="D465" s="20"/>
      <c r="E465" s="25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18"/>
      <c r="B466" s="18"/>
      <c r="C466" s="19"/>
      <c r="D466" s="20"/>
      <c r="E466" s="25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18"/>
      <c r="B467" s="18"/>
      <c r="C467" s="19"/>
      <c r="D467" s="20"/>
      <c r="E467" s="25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18"/>
      <c r="B468" s="18"/>
      <c r="C468" s="19"/>
      <c r="D468" s="20"/>
      <c r="E468" s="25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18"/>
      <c r="B469" s="18"/>
      <c r="C469" s="19"/>
      <c r="D469" s="20"/>
      <c r="E469" s="25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18"/>
      <c r="B470" s="18"/>
      <c r="C470" s="19"/>
      <c r="D470" s="20"/>
      <c r="E470" s="25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18"/>
      <c r="B471" s="18"/>
      <c r="C471" s="19"/>
      <c r="D471" s="20"/>
      <c r="E471" s="25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18"/>
      <c r="B472" s="18"/>
      <c r="C472" s="19"/>
      <c r="D472" s="20"/>
      <c r="E472" s="25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18"/>
      <c r="B473" s="18"/>
      <c r="C473" s="19"/>
      <c r="D473" s="20"/>
      <c r="E473" s="25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18"/>
      <c r="B474" s="18"/>
      <c r="C474" s="19"/>
      <c r="D474" s="20"/>
      <c r="E474" s="25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18"/>
      <c r="B475" s="18"/>
      <c r="C475" s="19"/>
      <c r="D475" s="20"/>
      <c r="E475" s="25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18"/>
      <c r="B476" s="18"/>
      <c r="C476" s="19"/>
      <c r="D476" s="20"/>
      <c r="E476" s="25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18"/>
      <c r="B477" s="18"/>
      <c r="C477" s="19"/>
      <c r="D477" s="20"/>
      <c r="E477" s="25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18"/>
      <c r="B478" s="18"/>
      <c r="C478" s="19"/>
      <c r="D478" s="20"/>
      <c r="E478" s="25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18"/>
      <c r="B479" s="18"/>
      <c r="C479" s="19"/>
      <c r="D479" s="20"/>
      <c r="E479" s="25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18"/>
      <c r="B480" s="18"/>
      <c r="C480" s="19"/>
      <c r="D480" s="20"/>
      <c r="E480" s="25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18"/>
      <c r="B481" s="18"/>
      <c r="C481" s="19"/>
      <c r="D481" s="20"/>
      <c r="E481" s="25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18"/>
      <c r="B482" s="18"/>
      <c r="C482" s="19"/>
      <c r="D482" s="20"/>
      <c r="E482" s="25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18"/>
      <c r="B483" s="18"/>
      <c r="C483" s="19"/>
      <c r="D483" s="20"/>
      <c r="E483" s="25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18"/>
      <c r="B484" s="18"/>
      <c r="C484" s="19"/>
      <c r="D484" s="20"/>
      <c r="E484" s="25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18"/>
      <c r="B485" s="18"/>
      <c r="C485" s="19"/>
      <c r="D485" s="20"/>
      <c r="E485" s="25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18"/>
      <c r="B486" s="18"/>
      <c r="C486" s="19"/>
      <c r="D486" s="20"/>
      <c r="E486" s="25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18"/>
      <c r="B487" s="18"/>
      <c r="C487" s="19"/>
      <c r="D487" s="20"/>
      <c r="E487" s="25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18"/>
      <c r="B488" s="18"/>
      <c r="C488" s="19"/>
      <c r="D488" s="20"/>
      <c r="E488" s="25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18"/>
      <c r="B489" s="18"/>
      <c r="C489" s="19"/>
      <c r="D489" s="20"/>
      <c r="E489" s="25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18"/>
      <c r="B490" s="18"/>
      <c r="C490" s="19"/>
      <c r="D490" s="20"/>
      <c r="E490" s="25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18"/>
      <c r="B491" s="18"/>
      <c r="C491" s="19"/>
      <c r="D491" s="20"/>
      <c r="E491" s="25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18"/>
      <c r="B492" s="18"/>
      <c r="C492" s="19"/>
      <c r="D492" s="20"/>
      <c r="E492" s="25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18"/>
      <c r="B493" s="18"/>
      <c r="C493" s="19"/>
      <c r="D493" s="20"/>
      <c r="E493" s="25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18"/>
      <c r="B494" s="18"/>
      <c r="C494" s="19"/>
      <c r="D494" s="20"/>
      <c r="E494" s="25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18"/>
      <c r="B495" s="18"/>
      <c r="C495" s="19"/>
      <c r="D495" s="20"/>
      <c r="E495" s="25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18"/>
      <c r="B496" s="18"/>
      <c r="C496" s="19"/>
      <c r="D496" s="20"/>
      <c r="E496" s="25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18"/>
      <c r="B497" s="18"/>
      <c r="C497" s="19"/>
      <c r="D497" s="20"/>
      <c r="E497" s="25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18"/>
      <c r="B498" s="18"/>
      <c r="C498" s="19"/>
      <c r="D498" s="20"/>
      <c r="E498" s="25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18"/>
      <c r="B499" s="18"/>
      <c r="C499" s="19"/>
      <c r="D499" s="20"/>
      <c r="E499" s="25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18"/>
      <c r="B500" s="18"/>
      <c r="C500" s="19"/>
      <c r="D500" s="20"/>
      <c r="E500" s="25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18"/>
      <c r="B501" s="18"/>
      <c r="C501" s="19"/>
      <c r="D501" s="20"/>
      <c r="E501" s="25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18"/>
      <c r="B502" s="18"/>
      <c r="C502" s="19"/>
      <c r="D502" s="20"/>
      <c r="E502" s="25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18"/>
      <c r="B503" s="18"/>
      <c r="C503" s="19"/>
      <c r="D503" s="20"/>
      <c r="E503" s="25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18"/>
      <c r="B504" s="18"/>
      <c r="C504" s="19"/>
      <c r="D504" s="20"/>
      <c r="E504" s="25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18"/>
      <c r="B505" s="18"/>
      <c r="C505" s="19"/>
      <c r="D505" s="20"/>
      <c r="E505" s="25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18"/>
      <c r="B506" s="18"/>
      <c r="C506" s="19"/>
      <c r="D506" s="20"/>
      <c r="E506" s="25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18"/>
      <c r="B507" s="18"/>
      <c r="C507" s="19"/>
      <c r="D507" s="20"/>
      <c r="E507" s="25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18"/>
      <c r="B508" s="18"/>
      <c r="C508" s="19"/>
      <c r="D508" s="20"/>
      <c r="E508" s="25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18"/>
      <c r="B509" s="18"/>
      <c r="C509" s="19"/>
      <c r="D509" s="20"/>
      <c r="E509" s="25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18"/>
      <c r="B510" s="18"/>
      <c r="C510" s="19"/>
      <c r="D510" s="20"/>
      <c r="E510" s="25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18"/>
      <c r="B511" s="18"/>
      <c r="C511" s="19"/>
      <c r="D511" s="20"/>
      <c r="E511" s="25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18"/>
      <c r="B512" s="18"/>
      <c r="C512" s="19"/>
      <c r="D512" s="20"/>
      <c r="E512" s="25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18"/>
      <c r="B513" s="18"/>
      <c r="C513" s="19"/>
      <c r="D513" s="20"/>
      <c r="E513" s="25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18"/>
      <c r="B514" s="18"/>
      <c r="C514" s="19"/>
      <c r="D514" s="20"/>
      <c r="E514" s="25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18"/>
      <c r="B515" s="18"/>
      <c r="C515" s="19"/>
      <c r="D515" s="20"/>
      <c r="E515" s="25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18"/>
      <c r="B516" s="18"/>
      <c r="C516" s="19"/>
      <c r="D516" s="20"/>
      <c r="E516" s="25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18"/>
      <c r="B517" s="18"/>
      <c r="C517" s="19"/>
      <c r="D517" s="20"/>
      <c r="E517" s="25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18"/>
      <c r="B518" s="18"/>
      <c r="C518" s="19"/>
      <c r="D518" s="20"/>
      <c r="E518" s="25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18"/>
      <c r="B519" s="18"/>
      <c r="C519" s="19"/>
      <c r="D519" s="20"/>
      <c r="E519" s="25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18"/>
      <c r="B520" s="18"/>
      <c r="C520" s="19"/>
      <c r="D520" s="20"/>
      <c r="E520" s="25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18"/>
      <c r="B521" s="18"/>
      <c r="C521" s="19"/>
      <c r="D521" s="20"/>
      <c r="E521" s="25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18"/>
      <c r="B522" s="18"/>
      <c r="C522" s="19"/>
      <c r="D522" s="20"/>
      <c r="E522" s="25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18"/>
      <c r="B523" s="18"/>
      <c r="C523" s="19"/>
      <c r="D523" s="20"/>
      <c r="E523" s="25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18"/>
      <c r="B524" s="18"/>
      <c r="C524" s="19"/>
      <c r="D524" s="20"/>
      <c r="E524" s="25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18"/>
      <c r="B525" s="18"/>
      <c r="C525" s="19"/>
      <c r="D525" s="20"/>
      <c r="E525" s="25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18"/>
      <c r="B526" s="18"/>
      <c r="C526" s="19"/>
      <c r="D526" s="20"/>
      <c r="E526" s="25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18"/>
      <c r="B527" s="18"/>
      <c r="C527" s="19"/>
      <c r="D527" s="20"/>
      <c r="E527" s="25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18"/>
      <c r="B528" s="18"/>
      <c r="C528" s="19"/>
      <c r="D528" s="20"/>
      <c r="E528" s="25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18"/>
      <c r="B529" s="18"/>
      <c r="C529" s="19"/>
      <c r="D529" s="20"/>
      <c r="E529" s="25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18"/>
      <c r="B530" s="18"/>
      <c r="C530" s="19"/>
      <c r="D530" s="20"/>
      <c r="E530" s="25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18"/>
      <c r="B531" s="18"/>
      <c r="C531" s="19"/>
      <c r="D531" s="20"/>
      <c r="E531" s="25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18"/>
      <c r="B532" s="18"/>
      <c r="C532" s="19"/>
      <c r="D532" s="20"/>
      <c r="E532" s="25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18"/>
      <c r="B533" s="18"/>
      <c r="C533" s="19"/>
      <c r="D533" s="20"/>
      <c r="E533" s="25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18"/>
      <c r="B534" s="18"/>
      <c r="C534" s="19"/>
      <c r="D534" s="20"/>
      <c r="E534" s="25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18"/>
      <c r="B535" s="18"/>
      <c r="C535" s="19"/>
      <c r="D535" s="20"/>
      <c r="E535" s="25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18"/>
      <c r="B536" s="18"/>
      <c r="C536" s="19"/>
      <c r="D536" s="20"/>
      <c r="E536" s="25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18"/>
      <c r="B537" s="18"/>
      <c r="C537" s="19"/>
      <c r="D537" s="20"/>
      <c r="E537" s="25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18"/>
      <c r="B538" s="18"/>
      <c r="C538" s="19"/>
      <c r="D538" s="20"/>
      <c r="E538" s="25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18"/>
      <c r="B539" s="18"/>
      <c r="C539" s="19"/>
      <c r="D539" s="20"/>
      <c r="E539" s="25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18"/>
      <c r="B540" s="18"/>
      <c r="C540" s="19"/>
      <c r="D540" s="20"/>
      <c r="E540" s="25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18"/>
      <c r="B541" s="18"/>
      <c r="C541" s="19"/>
      <c r="D541" s="20"/>
      <c r="E541" s="25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18"/>
      <c r="B542" s="18"/>
      <c r="C542" s="19"/>
      <c r="D542" s="20"/>
      <c r="E542" s="25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18"/>
      <c r="B543" s="18"/>
      <c r="C543" s="19"/>
      <c r="D543" s="20"/>
      <c r="E543" s="25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18"/>
      <c r="B544" s="18"/>
      <c r="C544" s="19"/>
      <c r="D544" s="20"/>
      <c r="E544" s="25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18"/>
      <c r="B545" s="18"/>
      <c r="C545" s="19"/>
      <c r="D545" s="20"/>
      <c r="E545" s="25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18"/>
      <c r="B546" s="18"/>
      <c r="C546" s="19"/>
      <c r="D546" s="20"/>
      <c r="E546" s="25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18"/>
      <c r="B547" s="18"/>
      <c r="C547" s="19"/>
      <c r="D547" s="20"/>
      <c r="E547" s="25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18"/>
      <c r="B548" s="18"/>
      <c r="C548" s="19"/>
      <c r="D548" s="20"/>
      <c r="E548" s="25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18"/>
      <c r="B549" s="18"/>
      <c r="C549" s="19"/>
      <c r="D549" s="20"/>
      <c r="E549" s="25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18"/>
      <c r="B550" s="18"/>
      <c r="C550" s="19"/>
      <c r="D550" s="20"/>
      <c r="E550" s="25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18"/>
      <c r="B551" s="18"/>
      <c r="C551" s="19"/>
      <c r="D551" s="20"/>
      <c r="E551" s="25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18"/>
      <c r="B552" s="18"/>
      <c r="C552" s="19"/>
      <c r="D552" s="20"/>
      <c r="E552" s="25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18"/>
      <c r="B553" s="18"/>
      <c r="C553" s="19"/>
      <c r="D553" s="20"/>
      <c r="E553" s="25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18"/>
      <c r="B554" s="18"/>
      <c r="C554" s="19"/>
      <c r="D554" s="20"/>
      <c r="E554" s="25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18"/>
      <c r="B555" s="18"/>
      <c r="C555" s="19"/>
      <c r="D555" s="20"/>
      <c r="E555" s="25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18"/>
      <c r="B556" s="18"/>
      <c r="C556" s="19"/>
      <c r="D556" s="20"/>
      <c r="E556" s="25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18"/>
      <c r="B557" s="18"/>
      <c r="C557" s="19"/>
      <c r="D557" s="20"/>
      <c r="E557" s="25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18"/>
      <c r="B558" s="18"/>
      <c r="C558" s="19"/>
      <c r="D558" s="20"/>
      <c r="E558" s="25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18"/>
      <c r="B559" s="18"/>
      <c r="C559" s="19"/>
      <c r="D559" s="20"/>
      <c r="E559" s="25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18"/>
      <c r="B560" s="18"/>
      <c r="C560" s="19"/>
      <c r="D560" s="20"/>
      <c r="E560" s="25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18"/>
      <c r="B561" s="18"/>
      <c r="C561" s="19"/>
      <c r="D561" s="20"/>
      <c r="E561" s="25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18"/>
      <c r="B562" s="18"/>
      <c r="C562" s="19"/>
      <c r="D562" s="20"/>
      <c r="E562" s="25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18"/>
      <c r="B563" s="18"/>
      <c r="C563" s="19"/>
      <c r="D563" s="20"/>
      <c r="E563" s="25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18"/>
      <c r="B564" s="18"/>
      <c r="C564" s="19"/>
      <c r="D564" s="20"/>
      <c r="E564" s="25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18"/>
      <c r="B565" s="18"/>
      <c r="C565" s="19"/>
      <c r="D565" s="20"/>
      <c r="E565" s="25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18"/>
      <c r="B566" s="18"/>
      <c r="C566" s="19"/>
      <c r="D566" s="20"/>
      <c r="E566" s="25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18"/>
      <c r="B567" s="18"/>
      <c r="C567" s="19"/>
      <c r="D567" s="20"/>
      <c r="E567" s="25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18"/>
      <c r="B568" s="18"/>
      <c r="C568" s="19"/>
      <c r="D568" s="20"/>
      <c r="E568" s="25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18"/>
      <c r="B569" s="18"/>
      <c r="C569" s="19"/>
      <c r="D569" s="20"/>
      <c r="E569" s="25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18"/>
      <c r="B570" s="18"/>
      <c r="C570" s="19"/>
      <c r="D570" s="20"/>
      <c r="E570" s="25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18"/>
      <c r="B571" s="18"/>
      <c r="C571" s="19"/>
      <c r="D571" s="20"/>
      <c r="E571" s="25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18"/>
      <c r="B572" s="18"/>
      <c r="C572" s="19"/>
      <c r="D572" s="20"/>
      <c r="E572" s="25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18"/>
      <c r="B573" s="18"/>
      <c r="C573" s="19"/>
      <c r="D573" s="20"/>
      <c r="E573" s="25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18"/>
      <c r="B574" s="18"/>
      <c r="C574" s="19"/>
      <c r="D574" s="20"/>
      <c r="E574" s="25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18"/>
      <c r="B575" s="18"/>
      <c r="C575" s="19"/>
      <c r="D575" s="20"/>
      <c r="E575" s="25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18"/>
      <c r="B576" s="18"/>
      <c r="C576" s="19"/>
      <c r="D576" s="20"/>
      <c r="E576" s="25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18"/>
      <c r="B577" s="18"/>
      <c r="C577" s="19"/>
      <c r="D577" s="20"/>
      <c r="E577" s="25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18"/>
      <c r="B578" s="18"/>
      <c r="C578" s="19"/>
      <c r="D578" s="20"/>
      <c r="E578" s="25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18"/>
      <c r="B579" s="18"/>
      <c r="C579" s="19"/>
      <c r="D579" s="20"/>
      <c r="E579" s="25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18"/>
      <c r="B580" s="18"/>
      <c r="C580" s="19"/>
      <c r="D580" s="20"/>
      <c r="E580" s="25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18"/>
      <c r="B581" s="18"/>
      <c r="C581" s="19"/>
      <c r="D581" s="20"/>
      <c r="E581" s="25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18"/>
      <c r="B582" s="18"/>
      <c r="C582" s="19"/>
      <c r="D582" s="20"/>
      <c r="E582" s="25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18"/>
      <c r="B583" s="18"/>
      <c r="C583" s="19"/>
      <c r="D583" s="20"/>
      <c r="E583" s="25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18"/>
      <c r="B584" s="18"/>
      <c r="C584" s="19"/>
      <c r="D584" s="20"/>
      <c r="E584" s="25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18"/>
      <c r="B585" s="18"/>
      <c r="C585" s="19"/>
      <c r="D585" s="20"/>
      <c r="E585" s="25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18"/>
      <c r="B586" s="18"/>
      <c r="C586" s="19"/>
      <c r="D586" s="20"/>
      <c r="E586" s="25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18"/>
      <c r="B587" s="18"/>
      <c r="C587" s="19"/>
      <c r="D587" s="20"/>
      <c r="E587" s="25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18"/>
      <c r="B588" s="18"/>
      <c r="C588" s="19"/>
      <c r="D588" s="20"/>
      <c r="E588" s="25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18"/>
      <c r="B589" s="18"/>
      <c r="C589" s="19"/>
      <c r="D589" s="20"/>
      <c r="E589" s="25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18"/>
      <c r="B590" s="18"/>
      <c r="C590" s="19"/>
      <c r="D590" s="20"/>
      <c r="E590" s="25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18"/>
      <c r="B591" s="18"/>
      <c r="C591" s="19"/>
      <c r="D591" s="20"/>
      <c r="E591" s="25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18"/>
      <c r="B592" s="18"/>
      <c r="C592" s="19"/>
      <c r="D592" s="20"/>
      <c r="E592" s="25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18"/>
      <c r="B593" s="18"/>
      <c r="C593" s="19"/>
      <c r="D593" s="20"/>
      <c r="E593" s="25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18"/>
      <c r="B594" s="18"/>
      <c r="C594" s="19"/>
      <c r="D594" s="20"/>
      <c r="E594" s="25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18"/>
      <c r="B595" s="18"/>
      <c r="C595" s="19"/>
      <c r="D595" s="20"/>
      <c r="E595" s="25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18"/>
      <c r="B596" s="18"/>
      <c r="C596" s="19"/>
      <c r="D596" s="20"/>
      <c r="E596" s="25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18"/>
      <c r="B597" s="18"/>
      <c r="C597" s="19"/>
      <c r="D597" s="20"/>
      <c r="E597" s="25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18"/>
      <c r="B598" s="18"/>
      <c r="C598" s="19"/>
      <c r="D598" s="20"/>
      <c r="E598" s="25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18"/>
      <c r="B599" s="18"/>
      <c r="C599" s="19"/>
      <c r="D599" s="20"/>
      <c r="E599" s="25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18"/>
      <c r="B600" s="18"/>
      <c r="C600" s="19"/>
      <c r="D600" s="20"/>
      <c r="E600" s="25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18"/>
      <c r="B601" s="18"/>
      <c r="C601" s="19"/>
      <c r="D601" s="20"/>
      <c r="E601" s="25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18"/>
      <c r="B602" s="18"/>
      <c r="C602" s="19"/>
      <c r="D602" s="20"/>
      <c r="E602" s="25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18"/>
      <c r="B603" s="18"/>
      <c r="C603" s="19"/>
      <c r="D603" s="20"/>
      <c r="E603" s="25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18"/>
      <c r="B604" s="18"/>
      <c r="C604" s="19"/>
      <c r="D604" s="20"/>
      <c r="E604" s="25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18"/>
      <c r="B605" s="18"/>
      <c r="C605" s="19"/>
      <c r="D605" s="20"/>
      <c r="E605" s="25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18"/>
      <c r="B606" s="18"/>
      <c r="C606" s="19"/>
      <c r="D606" s="20"/>
      <c r="E606" s="25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18"/>
      <c r="B607" s="18"/>
      <c r="C607" s="19"/>
      <c r="D607" s="20"/>
      <c r="E607" s="25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18"/>
      <c r="B608" s="18"/>
      <c r="C608" s="19"/>
      <c r="D608" s="20"/>
      <c r="E608" s="25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18"/>
      <c r="B609" s="18"/>
      <c r="C609" s="19"/>
      <c r="D609" s="20"/>
      <c r="E609" s="25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18"/>
      <c r="B610" s="18"/>
      <c r="C610" s="19"/>
      <c r="D610" s="20"/>
      <c r="E610" s="25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18"/>
      <c r="B611" s="18"/>
      <c r="C611" s="19"/>
      <c r="D611" s="20"/>
      <c r="E611" s="25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18"/>
      <c r="B612" s="18"/>
      <c r="C612" s="19"/>
      <c r="D612" s="20"/>
      <c r="E612" s="25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18"/>
      <c r="B613" s="18"/>
      <c r="C613" s="19"/>
      <c r="D613" s="20"/>
      <c r="E613" s="25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18"/>
      <c r="B614" s="18"/>
      <c r="C614" s="19"/>
      <c r="D614" s="20"/>
      <c r="E614" s="25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18"/>
      <c r="B615" s="18"/>
      <c r="C615" s="19"/>
      <c r="D615" s="20"/>
      <c r="E615" s="25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18"/>
      <c r="B616" s="18"/>
      <c r="C616" s="19"/>
      <c r="D616" s="20"/>
      <c r="E616" s="25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18"/>
      <c r="B617" s="18"/>
      <c r="C617" s="19"/>
      <c r="D617" s="20"/>
      <c r="E617" s="25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18"/>
      <c r="B618" s="18"/>
      <c r="C618" s="19"/>
      <c r="D618" s="20"/>
      <c r="E618" s="25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18"/>
      <c r="B619" s="18"/>
      <c r="C619" s="19"/>
      <c r="D619" s="20"/>
      <c r="E619" s="25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18"/>
      <c r="B620" s="18"/>
      <c r="C620" s="19"/>
      <c r="D620" s="20"/>
      <c r="E620" s="25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18"/>
      <c r="B621" s="18"/>
      <c r="C621" s="19"/>
      <c r="D621" s="20"/>
      <c r="E621" s="25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18"/>
      <c r="B622" s="18"/>
      <c r="C622" s="19"/>
      <c r="D622" s="20"/>
      <c r="E622" s="25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18"/>
      <c r="B623" s="18"/>
      <c r="C623" s="19"/>
      <c r="D623" s="20"/>
      <c r="E623" s="25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18"/>
      <c r="B624" s="18"/>
      <c r="C624" s="19"/>
      <c r="D624" s="20"/>
      <c r="E624" s="25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18"/>
      <c r="B625" s="18"/>
      <c r="C625" s="19"/>
      <c r="D625" s="20"/>
      <c r="E625" s="25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18"/>
      <c r="B626" s="18"/>
      <c r="C626" s="19"/>
      <c r="D626" s="20"/>
      <c r="E626" s="25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18"/>
      <c r="B627" s="18"/>
      <c r="C627" s="19"/>
      <c r="D627" s="20"/>
      <c r="E627" s="25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18"/>
      <c r="B628" s="18"/>
      <c r="C628" s="19"/>
      <c r="D628" s="20"/>
      <c r="E628" s="25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18"/>
      <c r="B629" s="18"/>
      <c r="C629" s="19"/>
      <c r="D629" s="20"/>
      <c r="E629" s="25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18"/>
      <c r="B630" s="18"/>
      <c r="C630" s="19"/>
      <c r="D630" s="20"/>
      <c r="E630" s="25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18"/>
      <c r="B631" s="18"/>
      <c r="C631" s="19"/>
      <c r="D631" s="20"/>
      <c r="E631" s="25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18"/>
      <c r="B632" s="18"/>
      <c r="C632" s="19"/>
      <c r="D632" s="20"/>
      <c r="E632" s="25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18"/>
      <c r="B633" s="18"/>
      <c r="C633" s="19"/>
      <c r="D633" s="20"/>
      <c r="E633" s="25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18"/>
      <c r="B634" s="18"/>
      <c r="C634" s="19"/>
      <c r="D634" s="20"/>
      <c r="E634" s="25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18"/>
      <c r="B635" s="18"/>
      <c r="C635" s="19"/>
      <c r="D635" s="20"/>
      <c r="E635" s="25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18"/>
      <c r="B636" s="18"/>
      <c r="C636" s="19"/>
      <c r="D636" s="20"/>
      <c r="E636" s="25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18"/>
      <c r="B637" s="18"/>
      <c r="C637" s="19"/>
      <c r="D637" s="20"/>
      <c r="E637" s="25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18"/>
      <c r="B638" s="18"/>
      <c r="C638" s="19"/>
      <c r="D638" s="20"/>
      <c r="E638" s="25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18"/>
      <c r="B639" s="18"/>
      <c r="C639" s="19"/>
      <c r="D639" s="20"/>
      <c r="E639" s="25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18"/>
      <c r="B640" s="18"/>
      <c r="C640" s="19"/>
      <c r="D640" s="20"/>
      <c r="E640" s="25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18"/>
      <c r="B641" s="18"/>
      <c r="C641" s="19"/>
      <c r="D641" s="20"/>
      <c r="E641" s="25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18"/>
      <c r="B642" s="18"/>
      <c r="C642" s="19"/>
      <c r="D642" s="20"/>
      <c r="E642" s="25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18"/>
      <c r="B643" s="18"/>
      <c r="C643" s="19"/>
      <c r="D643" s="20"/>
      <c r="E643" s="25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18"/>
      <c r="B644" s="18"/>
      <c r="C644" s="19"/>
      <c r="D644" s="20"/>
      <c r="E644" s="25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18"/>
      <c r="B645" s="18"/>
      <c r="C645" s="19"/>
      <c r="D645" s="20"/>
      <c r="E645" s="25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18"/>
      <c r="B646" s="18"/>
      <c r="C646" s="19"/>
      <c r="D646" s="20"/>
      <c r="E646" s="25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18"/>
      <c r="B647" s="18"/>
      <c r="C647" s="19"/>
      <c r="D647" s="20"/>
      <c r="E647" s="25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18"/>
      <c r="B648" s="18"/>
      <c r="C648" s="19"/>
      <c r="D648" s="20"/>
      <c r="E648" s="25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18"/>
      <c r="B649" s="18"/>
      <c r="C649" s="19"/>
      <c r="D649" s="20"/>
      <c r="E649" s="25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18"/>
      <c r="B650" s="18"/>
      <c r="C650" s="19"/>
      <c r="D650" s="20"/>
      <c r="E650" s="25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18"/>
      <c r="B651" s="18"/>
      <c r="C651" s="19"/>
      <c r="D651" s="20"/>
      <c r="E651" s="25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18"/>
      <c r="B652" s="18"/>
      <c r="C652" s="19"/>
      <c r="D652" s="20"/>
      <c r="E652" s="25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18"/>
      <c r="B653" s="18"/>
      <c r="C653" s="19"/>
      <c r="D653" s="20"/>
      <c r="E653" s="25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18"/>
      <c r="B654" s="18"/>
      <c r="C654" s="19"/>
      <c r="D654" s="20"/>
      <c r="E654" s="25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18"/>
      <c r="B655" s="18"/>
      <c r="C655" s="19"/>
      <c r="D655" s="20"/>
      <c r="E655" s="25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18"/>
      <c r="B656" s="18"/>
      <c r="C656" s="19"/>
      <c r="D656" s="20"/>
      <c r="E656" s="25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18"/>
      <c r="B657" s="18"/>
      <c r="C657" s="19"/>
      <c r="D657" s="20"/>
      <c r="E657" s="25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18"/>
      <c r="B658" s="18"/>
      <c r="C658" s="19"/>
      <c r="D658" s="20"/>
      <c r="E658" s="25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18"/>
      <c r="B659" s="18"/>
      <c r="C659" s="19"/>
      <c r="D659" s="20"/>
      <c r="E659" s="25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18"/>
      <c r="B660" s="18"/>
      <c r="C660" s="19"/>
      <c r="D660" s="20"/>
      <c r="E660" s="25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18"/>
      <c r="B661" s="18"/>
      <c r="C661" s="19"/>
      <c r="D661" s="20"/>
      <c r="E661" s="25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18"/>
      <c r="B662" s="18"/>
      <c r="C662" s="19"/>
      <c r="D662" s="20"/>
      <c r="E662" s="25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18"/>
      <c r="B663" s="18"/>
      <c r="C663" s="19"/>
      <c r="D663" s="20"/>
      <c r="E663" s="25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18"/>
      <c r="B664" s="18"/>
      <c r="C664" s="19"/>
      <c r="D664" s="20"/>
      <c r="E664" s="25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18"/>
      <c r="B665" s="18"/>
      <c r="C665" s="19"/>
      <c r="D665" s="20"/>
      <c r="E665" s="25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18"/>
      <c r="B666" s="18"/>
      <c r="C666" s="19"/>
      <c r="D666" s="20"/>
      <c r="E666" s="25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18"/>
      <c r="B667" s="18"/>
      <c r="C667" s="19"/>
      <c r="D667" s="20"/>
      <c r="E667" s="25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18"/>
      <c r="B668" s="18"/>
      <c r="C668" s="19"/>
      <c r="D668" s="20"/>
      <c r="E668" s="25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18"/>
      <c r="B669" s="18"/>
      <c r="C669" s="19"/>
      <c r="D669" s="20"/>
      <c r="E669" s="25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18"/>
      <c r="B670" s="18"/>
      <c r="C670" s="19"/>
      <c r="D670" s="20"/>
      <c r="E670" s="25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18"/>
      <c r="B671" s="18"/>
      <c r="C671" s="19"/>
      <c r="D671" s="20"/>
      <c r="E671" s="25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18"/>
      <c r="B672" s="18"/>
      <c r="C672" s="19"/>
      <c r="D672" s="20"/>
      <c r="E672" s="25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18"/>
      <c r="B673" s="18"/>
      <c r="C673" s="19"/>
      <c r="D673" s="20"/>
      <c r="E673" s="25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18"/>
      <c r="B674" s="18"/>
      <c r="C674" s="19"/>
      <c r="D674" s="20"/>
      <c r="E674" s="25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18"/>
      <c r="B675" s="18"/>
      <c r="C675" s="19"/>
      <c r="D675" s="20"/>
      <c r="E675" s="25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18"/>
      <c r="B676" s="18"/>
      <c r="C676" s="19"/>
      <c r="D676" s="20"/>
      <c r="E676" s="25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18"/>
      <c r="B677" s="18"/>
      <c r="C677" s="19"/>
      <c r="D677" s="20"/>
      <c r="E677" s="25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18"/>
      <c r="B678" s="18"/>
      <c r="C678" s="19"/>
      <c r="D678" s="20"/>
      <c r="E678" s="25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18"/>
      <c r="B679" s="18"/>
      <c r="C679" s="19"/>
      <c r="D679" s="20"/>
      <c r="E679" s="25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18"/>
      <c r="B680" s="18"/>
      <c r="C680" s="19"/>
      <c r="D680" s="20"/>
      <c r="E680" s="25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18"/>
      <c r="B681" s="18"/>
      <c r="C681" s="19"/>
      <c r="D681" s="20"/>
      <c r="E681" s="25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18"/>
      <c r="B682" s="18"/>
      <c r="C682" s="19"/>
      <c r="D682" s="20"/>
      <c r="E682" s="25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18"/>
      <c r="B683" s="18"/>
      <c r="C683" s="19"/>
      <c r="D683" s="20"/>
      <c r="E683" s="25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18"/>
      <c r="B684" s="18"/>
      <c r="C684" s="19"/>
      <c r="D684" s="20"/>
      <c r="E684" s="25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18"/>
      <c r="B685" s="18"/>
      <c r="C685" s="19"/>
      <c r="D685" s="20"/>
      <c r="E685" s="25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18"/>
      <c r="B686" s="18"/>
      <c r="C686" s="19"/>
      <c r="D686" s="20"/>
      <c r="E686" s="25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18"/>
      <c r="B687" s="18"/>
      <c r="C687" s="19"/>
      <c r="D687" s="20"/>
      <c r="E687" s="25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18"/>
      <c r="B688" s="18"/>
      <c r="C688" s="19"/>
      <c r="D688" s="20"/>
      <c r="E688" s="25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18"/>
      <c r="B689" s="18"/>
      <c r="C689" s="19"/>
      <c r="D689" s="20"/>
      <c r="E689" s="25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18"/>
      <c r="B690" s="18"/>
      <c r="C690" s="19"/>
      <c r="D690" s="20"/>
      <c r="E690" s="25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18"/>
      <c r="B691" s="18"/>
      <c r="C691" s="19"/>
      <c r="D691" s="20"/>
      <c r="E691" s="25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18"/>
      <c r="B692" s="18"/>
      <c r="C692" s="19"/>
      <c r="D692" s="20"/>
      <c r="E692" s="25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18"/>
      <c r="B693" s="18"/>
      <c r="C693" s="19"/>
      <c r="D693" s="20"/>
      <c r="E693" s="25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18"/>
      <c r="B694" s="18"/>
      <c r="C694" s="19"/>
      <c r="D694" s="20"/>
      <c r="E694" s="25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18"/>
      <c r="B695" s="18"/>
      <c r="C695" s="19"/>
      <c r="D695" s="20"/>
      <c r="E695" s="25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18"/>
      <c r="B696" s="18"/>
      <c r="C696" s="19"/>
      <c r="D696" s="20"/>
      <c r="E696" s="25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18"/>
      <c r="B697" s="18"/>
      <c r="C697" s="19"/>
      <c r="D697" s="20"/>
      <c r="E697" s="25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18"/>
      <c r="B698" s="18"/>
      <c r="C698" s="19"/>
      <c r="D698" s="20"/>
      <c r="E698" s="25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18"/>
      <c r="B699" s="18"/>
      <c r="C699" s="19"/>
      <c r="D699" s="20"/>
      <c r="E699" s="25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18"/>
      <c r="B700" s="18"/>
      <c r="C700" s="19"/>
      <c r="D700" s="20"/>
      <c r="E700" s="25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18"/>
      <c r="B701" s="18"/>
      <c r="C701" s="19"/>
      <c r="D701" s="20"/>
      <c r="E701" s="25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18"/>
      <c r="B702" s="18"/>
      <c r="C702" s="19"/>
      <c r="D702" s="20"/>
      <c r="E702" s="25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18"/>
      <c r="B703" s="18"/>
      <c r="C703" s="19"/>
      <c r="D703" s="20"/>
      <c r="E703" s="25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18"/>
      <c r="B704" s="18"/>
      <c r="C704" s="19"/>
      <c r="D704" s="20"/>
      <c r="E704" s="25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18"/>
      <c r="B705" s="18"/>
      <c r="C705" s="19"/>
      <c r="D705" s="20"/>
      <c r="E705" s="25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18"/>
      <c r="B706" s="18"/>
      <c r="C706" s="19"/>
      <c r="D706" s="20"/>
      <c r="E706" s="25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18"/>
      <c r="B707" s="18"/>
      <c r="C707" s="19"/>
      <c r="D707" s="20"/>
      <c r="E707" s="25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18"/>
      <c r="B708" s="18"/>
      <c r="C708" s="19"/>
      <c r="D708" s="20"/>
      <c r="E708" s="25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18"/>
      <c r="B709" s="18"/>
      <c r="C709" s="19"/>
      <c r="D709" s="20"/>
      <c r="E709" s="25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18"/>
      <c r="B710" s="18"/>
      <c r="C710" s="19"/>
      <c r="D710" s="20"/>
      <c r="E710" s="25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18"/>
      <c r="B711" s="18"/>
      <c r="C711" s="19"/>
      <c r="D711" s="20"/>
      <c r="E711" s="25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18"/>
      <c r="B712" s="18"/>
      <c r="C712" s="19"/>
      <c r="D712" s="20"/>
      <c r="E712" s="25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18"/>
      <c r="B713" s="18"/>
      <c r="C713" s="19"/>
      <c r="D713" s="20"/>
      <c r="E713" s="25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18"/>
      <c r="B714" s="18"/>
      <c r="C714" s="19"/>
      <c r="D714" s="20"/>
      <c r="E714" s="25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18"/>
      <c r="B715" s="18"/>
      <c r="C715" s="19"/>
      <c r="D715" s="20"/>
      <c r="E715" s="25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18"/>
      <c r="B716" s="18"/>
      <c r="C716" s="19"/>
      <c r="D716" s="20"/>
      <c r="E716" s="25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18"/>
      <c r="B717" s="18"/>
      <c r="C717" s="19"/>
      <c r="D717" s="20"/>
      <c r="E717" s="25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18"/>
      <c r="B718" s="18"/>
      <c r="C718" s="19"/>
      <c r="D718" s="20"/>
      <c r="E718" s="25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18"/>
      <c r="B719" s="18"/>
      <c r="C719" s="19"/>
      <c r="D719" s="20"/>
      <c r="E719" s="25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18"/>
      <c r="B720" s="18"/>
      <c r="C720" s="19"/>
      <c r="D720" s="20"/>
      <c r="E720" s="25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18"/>
      <c r="B721" s="18"/>
      <c r="C721" s="19"/>
      <c r="D721" s="20"/>
      <c r="E721" s="25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18"/>
      <c r="B722" s="18"/>
      <c r="C722" s="19"/>
      <c r="D722" s="20"/>
      <c r="E722" s="25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18"/>
      <c r="B723" s="18"/>
      <c r="C723" s="19"/>
      <c r="D723" s="20"/>
      <c r="E723" s="25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18"/>
      <c r="B724" s="18"/>
      <c r="C724" s="19"/>
      <c r="D724" s="20"/>
      <c r="E724" s="25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18"/>
      <c r="B725" s="18"/>
      <c r="C725" s="19"/>
      <c r="D725" s="20"/>
      <c r="E725" s="25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18"/>
      <c r="B726" s="18"/>
      <c r="C726" s="19"/>
      <c r="D726" s="20"/>
      <c r="E726" s="25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18"/>
      <c r="B727" s="18"/>
      <c r="C727" s="19"/>
      <c r="D727" s="20"/>
      <c r="E727" s="25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18"/>
      <c r="B728" s="18"/>
      <c r="C728" s="19"/>
      <c r="D728" s="20"/>
      <c r="E728" s="25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18"/>
      <c r="B729" s="18"/>
      <c r="C729" s="19"/>
      <c r="D729" s="20"/>
      <c r="E729" s="25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18"/>
      <c r="B730" s="18"/>
      <c r="C730" s="19"/>
      <c r="D730" s="20"/>
      <c r="E730" s="25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18"/>
      <c r="B731" s="18"/>
      <c r="C731" s="19"/>
      <c r="D731" s="20"/>
      <c r="E731" s="25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18"/>
      <c r="B732" s="18"/>
      <c r="C732" s="19"/>
      <c r="D732" s="20"/>
      <c r="E732" s="25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18"/>
      <c r="B733" s="18"/>
      <c r="C733" s="19"/>
      <c r="D733" s="20"/>
      <c r="E733" s="25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18"/>
      <c r="B734" s="18"/>
      <c r="C734" s="19"/>
      <c r="D734" s="20"/>
      <c r="E734" s="25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18"/>
      <c r="B735" s="18"/>
      <c r="C735" s="19"/>
      <c r="D735" s="20"/>
      <c r="E735" s="25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18"/>
      <c r="B736" s="18"/>
      <c r="C736" s="19"/>
      <c r="D736" s="20"/>
      <c r="E736" s="25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18"/>
      <c r="B737" s="18"/>
      <c r="C737" s="19"/>
      <c r="D737" s="20"/>
      <c r="E737" s="25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18"/>
      <c r="B738" s="18"/>
      <c r="C738" s="19"/>
      <c r="D738" s="20"/>
      <c r="E738" s="25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18"/>
      <c r="B739" s="18"/>
      <c r="C739" s="19"/>
      <c r="D739" s="20"/>
      <c r="E739" s="25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18"/>
      <c r="B740" s="18"/>
      <c r="C740" s="19"/>
      <c r="D740" s="20"/>
      <c r="E740" s="25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18"/>
      <c r="B741" s="18"/>
      <c r="C741" s="19"/>
      <c r="D741" s="20"/>
      <c r="E741" s="25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18"/>
      <c r="B742" s="18"/>
      <c r="C742" s="19"/>
      <c r="D742" s="20"/>
      <c r="E742" s="25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18"/>
      <c r="B743" s="18"/>
      <c r="C743" s="19"/>
      <c r="D743" s="20"/>
      <c r="E743" s="25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18"/>
      <c r="B744" s="18"/>
      <c r="C744" s="19"/>
      <c r="D744" s="20"/>
      <c r="E744" s="25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18"/>
      <c r="B745" s="18"/>
      <c r="C745" s="19"/>
      <c r="D745" s="20"/>
      <c r="E745" s="25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18"/>
      <c r="B746" s="18"/>
      <c r="C746" s="19"/>
      <c r="D746" s="20"/>
      <c r="E746" s="25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18"/>
      <c r="B747" s="18"/>
      <c r="C747" s="19"/>
      <c r="D747" s="20"/>
      <c r="E747" s="25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18"/>
      <c r="B748" s="18"/>
      <c r="C748" s="19"/>
      <c r="D748" s="20"/>
      <c r="E748" s="25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18"/>
      <c r="B749" s="18"/>
      <c r="C749" s="19"/>
      <c r="D749" s="20"/>
      <c r="E749" s="25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18"/>
      <c r="B750" s="18"/>
      <c r="C750" s="19"/>
      <c r="D750" s="20"/>
      <c r="E750" s="25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18"/>
      <c r="B751" s="18"/>
      <c r="C751" s="19"/>
      <c r="D751" s="20"/>
      <c r="E751" s="25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18"/>
      <c r="B752" s="18"/>
      <c r="C752" s="19"/>
      <c r="D752" s="20"/>
      <c r="E752" s="25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18"/>
      <c r="B753" s="18"/>
      <c r="C753" s="19"/>
      <c r="D753" s="20"/>
      <c r="E753" s="25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18"/>
      <c r="B754" s="18"/>
      <c r="C754" s="19"/>
      <c r="D754" s="20"/>
      <c r="E754" s="25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18"/>
      <c r="B755" s="18"/>
      <c r="C755" s="19"/>
      <c r="D755" s="20"/>
      <c r="E755" s="25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18"/>
      <c r="B756" s="18"/>
      <c r="C756" s="19"/>
      <c r="D756" s="20"/>
      <c r="E756" s="25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18"/>
      <c r="B757" s="18"/>
      <c r="C757" s="19"/>
      <c r="D757" s="20"/>
      <c r="E757" s="25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18"/>
      <c r="B758" s="18"/>
      <c r="C758" s="19"/>
      <c r="D758" s="20"/>
      <c r="E758" s="25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18"/>
      <c r="B759" s="18"/>
      <c r="C759" s="19"/>
      <c r="D759" s="20"/>
      <c r="E759" s="25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18"/>
      <c r="B760" s="18"/>
      <c r="C760" s="19"/>
      <c r="D760" s="20"/>
      <c r="E760" s="25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18"/>
      <c r="B761" s="18"/>
      <c r="C761" s="19"/>
      <c r="D761" s="20"/>
      <c r="E761" s="25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18"/>
      <c r="B762" s="18"/>
      <c r="C762" s="19"/>
      <c r="D762" s="20"/>
      <c r="E762" s="25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18"/>
      <c r="B763" s="18"/>
      <c r="C763" s="19"/>
      <c r="D763" s="20"/>
      <c r="E763" s="25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18"/>
      <c r="B764" s="18"/>
      <c r="C764" s="19"/>
      <c r="D764" s="20"/>
      <c r="E764" s="25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18"/>
      <c r="B765" s="18"/>
      <c r="C765" s="19"/>
      <c r="D765" s="20"/>
      <c r="E765" s="25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18"/>
      <c r="B766" s="18"/>
      <c r="C766" s="19"/>
      <c r="D766" s="20"/>
      <c r="E766" s="25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18"/>
      <c r="B767" s="18"/>
      <c r="C767" s="19"/>
      <c r="D767" s="20"/>
      <c r="E767" s="25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18"/>
      <c r="B768" s="18"/>
      <c r="C768" s="19"/>
      <c r="D768" s="20"/>
      <c r="E768" s="25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18"/>
      <c r="B769" s="18"/>
      <c r="C769" s="19"/>
      <c r="D769" s="20"/>
      <c r="E769" s="25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18"/>
      <c r="B770" s="18"/>
      <c r="C770" s="19"/>
      <c r="D770" s="20"/>
      <c r="E770" s="25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18"/>
      <c r="B771" s="18"/>
      <c r="C771" s="19"/>
      <c r="D771" s="20"/>
      <c r="E771" s="25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18"/>
      <c r="B772" s="18"/>
      <c r="C772" s="19"/>
      <c r="D772" s="20"/>
      <c r="E772" s="25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18"/>
      <c r="B773" s="18"/>
      <c r="C773" s="19"/>
      <c r="D773" s="20"/>
      <c r="E773" s="25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18"/>
      <c r="B774" s="18"/>
      <c r="C774" s="19"/>
      <c r="D774" s="20"/>
      <c r="E774" s="25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18"/>
      <c r="B775" s="18"/>
      <c r="C775" s="19"/>
      <c r="D775" s="20"/>
      <c r="E775" s="25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18"/>
      <c r="B776" s="18"/>
      <c r="C776" s="19"/>
      <c r="D776" s="20"/>
      <c r="E776" s="25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18"/>
      <c r="B777" s="18"/>
      <c r="C777" s="19"/>
      <c r="D777" s="20"/>
      <c r="E777" s="25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18"/>
      <c r="B778" s="18"/>
      <c r="C778" s="19"/>
      <c r="D778" s="20"/>
      <c r="E778" s="25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18"/>
      <c r="B779" s="18"/>
      <c r="C779" s="19"/>
      <c r="D779" s="20"/>
      <c r="E779" s="25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18"/>
      <c r="B780" s="18"/>
      <c r="C780" s="19"/>
      <c r="D780" s="20"/>
      <c r="E780" s="25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18"/>
      <c r="B781" s="18"/>
      <c r="C781" s="19"/>
      <c r="D781" s="20"/>
      <c r="E781" s="25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18"/>
      <c r="B782" s="18"/>
      <c r="C782" s="19"/>
      <c r="D782" s="20"/>
      <c r="E782" s="25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18"/>
      <c r="B783" s="18"/>
      <c r="C783" s="19"/>
      <c r="D783" s="20"/>
      <c r="E783" s="25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18"/>
      <c r="B784" s="18"/>
      <c r="C784" s="19"/>
      <c r="D784" s="20"/>
      <c r="E784" s="25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18"/>
      <c r="B785" s="18"/>
      <c r="C785" s="19"/>
      <c r="D785" s="20"/>
      <c r="E785" s="25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18"/>
      <c r="B786" s="18"/>
      <c r="C786" s="19"/>
      <c r="D786" s="20"/>
      <c r="E786" s="25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18"/>
      <c r="B787" s="18"/>
      <c r="C787" s="19"/>
      <c r="D787" s="20"/>
      <c r="E787" s="25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18"/>
      <c r="B788" s="18"/>
      <c r="C788" s="19"/>
      <c r="D788" s="20"/>
      <c r="E788" s="25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18"/>
      <c r="B789" s="18"/>
      <c r="C789" s="19"/>
      <c r="D789" s="20"/>
      <c r="E789" s="25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18"/>
      <c r="B790" s="18"/>
      <c r="C790" s="19"/>
      <c r="D790" s="20"/>
      <c r="E790" s="25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18"/>
      <c r="B791" s="18"/>
      <c r="C791" s="19"/>
      <c r="D791" s="20"/>
      <c r="E791" s="25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18"/>
      <c r="B792" s="18"/>
      <c r="C792" s="19"/>
      <c r="D792" s="20"/>
      <c r="E792" s="25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18"/>
      <c r="B793" s="18"/>
      <c r="C793" s="19"/>
      <c r="D793" s="20"/>
      <c r="E793" s="25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18"/>
      <c r="B794" s="18"/>
      <c r="C794" s="19"/>
      <c r="D794" s="20"/>
      <c r="E794" s="25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18"/>
      <c r="B795" s="18"/>
      <c r="C795" s="19"/>
      <c r="D795" s="20"/>
      <c r="E795" s="25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18"/>
      <c r="B796" s="18"/>
      <c r="C796" s="19"/>
      <c r="D796" s="20"/>
      <c r="E796" s="25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18"/>
      <c r="B797" s="18"/>
      <c r="C797" s="19"/>
      <c r="D797" s="20"/>
      <c r="E797" s="25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18"/>
      <c r="B798" s="18"/>
      <c r="C798" s="19"/>
      <c r="D798" s="20"/>
      <c r="E798" s="25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18"/>
      <c r="B799" s="18"/>
      <c r="C799" s="19"/>
      <c r="D799" s="20"/>
      <c r="E799" s="25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18"/>
      <c r="B800" s="18"/>
      <c r="C800" s="19"/>
      <c r="D800" s="20"/>
      <c r="E800" s="25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18"/>
      <c r="B801" s="18"/>
      <c r="C801" s="19"/>
      <c r="D801" s="20"/>
      <c r="E801" s="25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18"/>
      <c r="B802" s="18"/>
      <c r="C802" s="19"/>
      <c r="D802" s="20"/>
      <c r="E802" s="25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18"/>
      <c r="B803" s="18"/>
      <c r="C803" s="19"/>
      <c r="D803" s="20"/>
      <c r="E803" s="25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18"/>
      <c r="B804" s="18"/>
      <c r="C804" s="19"/>
      <c r="D804" s="20"/>
      <c r="E804" s="25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18"/>
      <c r="B805" s="18"/>
      <c r="C805" s="19"/>
      <c r="D805" s="20"/>
      <c r="E805" s="25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18"/>
      <c r="B806" s="18"/>
      <c r="C806" s="19"/>
      <c r="D806" s="20"/>
      <c r="E806" s="25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18"/>
      <c r="B807" s="18"/>
      <c r="C807" s="19"/>
      <c r="D807" s="20"/>
      <c r="E807" s="25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18"/>
      <c r="B808" s="18"/>
      <c r="C808" s="19"/>
      <c r="D808" s="20"/>
      <c r="E808" s="25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18"/>
      <c r="B809" s="18"/>
      <c r="C809" s="19"/>
      <c r="D809" s="20"/>
      <c r="E809" s="25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18"/>
      <c r="B810" s="18"/>
      <c r="C810" s="19"/>
      <c r="D810" s="20"/>
      <c r="E810" s="25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18"/>
      <c r="B811" s="18"/>
      <c r="C811" s="19"/>
      <c r="D811" s="20"/>
      <c r="E811" s="25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18"/>
      <c r="B812" s="18"/>
      <c r="C812" s="19"/>
      <c r="D812" s="20"/>
      <c r="E812" s="25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18"/>
      <c r="B813" s="18"/>
      <c r="C813" s="19"/>
      <c r="D813" s="20"/>
      <c r="E813" s="25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18"/>
      <c r="B814" s="18"/>
      <c r="C814" s="19"/>
      <c r="D814" s="20"/>
      <c r="E814" s="25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18"/>
      <c r="B815" s="18"/>
      <c r="C815" s="19"/>
      <c r="D815" s="20"/>
      <c r="E815" s="25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18"/>
      <c r="B816" s="18"/>
      <c r="C816" s="19"/>
      <c r="D816" s="20"/>
      <c r="E816" s="25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18"/>
      <c r="B817" s="18"/>
      <c r="C817" s="19"/>
      <c r="D817" s="20"/>
      <c r="E817" s="25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18"/>
      <c r="B818" s="18"/>
      <c r="C818" s="19"/>
      <c r="D818" s="20"/>
      <c r="E818" s="25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18"/>
      <c r="B819" s="18"/>
      <c r="C819" s="19"/>
      <c r="D819" s="20"/>
      <c r="E819" s="25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18"/>
      <c r="B820" s="18"/>
      <c r="C820" s="19"/>
      <c r="D820" s="20"/>
      <c r="E820" s="25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18"/>
      <c r="B821" s="18"/>
      <c r="C821" s="19"/>
      <c r="D821" s="20"/>
      <c r="E821" s="25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18"/>
      <c r="B822" s="18"/>
      <c r="C822" s="19"/>
      <c r="D822" s="20"/>
      <c r="E822" s="25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18"/>
      <c r="B823" s="18"/>
      <c r="C823" s="19"/>
      <c r="D823" s="20"/>
      <c r="E823" s="25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18"/>
      <c r="B824" s="18"/>
      <c r="C824" s="19"/>
      <c r="D824" s="20"/>
      <c r="E824" s="25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18"/>
      <c r="B825" s="18"/>
      <c r="C825" s="19"/>
      <c r="D825" s="20"/>
      <c r="E825" s="25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18"/>
      <c r="B826" s="18"/>
      <c r="C826" s="19"/>
      <c r="D826" s="20"/>
      <c r="E826" s="25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18"/>
      <c r="B827" s="18"/>
      <c r="C827" s="19"/>
      <c r="D827" s="20"/>
      <c r="E827" s="25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18"/>
      <c r="B828" s="18"/>
      <c r="C828" s="19"/>
      <c r="D828" s="20"/>
      <c r="E828" s="25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18"/>
      <c r="B829" s="18"/>
      <c r="C829" s="19"/>
      <c r="D829" s="20"/>
      <c r="E829" s="25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18"/>
      <c r="B830" s="18"/>
      <c r="C830" s="19"/>
      <c r="D830" s="20"/>
      <c r="E830" s="25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18"/>
      <c r="B831" s="18"/>
      <c r="C831" s="19"/>
      <c r="D831" s="20"/>
      <c r="E831" s="25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18"/>
      <c r="B832" s="18"/>
      <c r="C832" s="19"/>
      <c r="D832" s="20"/>
      <c r="E832" s="25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18"/>
      <c r="B833" s="18"/>
      <c r="C833" s="19"/>
      <c r="D833" s="20"/>
      <c r="E833" s="25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18"/>
      <c r="B834" s="18"/>
      <c r="C834" s="19"/>
      <c r="D834" s="20"/>
      <c r="E834" s="25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18"/>
      <c r="B835" s="18"/>
      <c r="C835" s="19"/>
      <c r="D835" s="20"/>
      <c r="E835" s="25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18"/>
      <c r="B836" s="18"/>
      <c r="C836" s="19"/>
      <c r="D836" s="20"/>
      <c r="E836" s="25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18"/>
      <c r="B837" s="18"/>
      <c r="C837" s="19"/>
      <c r="D837" s="20"/>
      <c r="E837" s="25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18"/>
      <c r="B838" s="18"/>
      <c r="C838" s="19"/>
      <c r="D838" s="20"/>
      <c r="E838" s="25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18"/>
      <c r="B839" s="18"/>
      <c r="C839" s="19"/>
      <c r="D839" s="20"/>
      <c r="E839" s="25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18"/>
      <c r="B840" s="18"/>
      <c r="C840" s="19"/>
      <c r="D840" s="20"/>
      <c r="E840" s="25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18"/>
      <c r="B841" s="18"/>
      <c r="C841" s="19"/>
      <c r="D841" s="20"/>
      <c r="E841" s="25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18"/>
      <c r="B842" s="18"/>
      <c r="C842" s="19"/>
      <c r="D842" s="20"/>
      <c r="E842" s="25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18"/>
      <c r="B843" s="18"/>
      <c r="C843" s="19"/>
      <c r="D843" s="20"/>
      <c r="E843" s="25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18"/>
      <c r="B844" s="18"/>
      <c r="C844" s="19"/>
      <c r="D844" s="20"/>
      <c r="E844" s="25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18"/>
      <c r="B845" s="18"/>
      <c r="C845" s="19"/>
      <c r="D845" s="20"/>
      <c r="E845" s="25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18"/>
      <c r="B846" s="18"/>
      <c r="C846" s="19"/>
      <c r="D846" s="20"/>
      <c r="E846" s="25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18"/>
      <c r="B847" s="18"/>
      <c r="C847" s="19"/>
      <c r="D847" s="20"/>
      <c r="E847" s="25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18"/>
      <c r="B848" s="18"/>
      <c r="C848" s="19"/>
      <c r="D848" s="20"/>
      <c r="E848" s="25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18"/>
      <c r="B849" s="18"/>
      <c r="C849" s="19"/>
      <c r="D849" s="20"/>
      <c r="E849" s="25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18"/>
      <c r="B850" s="18"/>
      <c r="C850" s="19"/>
      <c r="D850" s="20"/>
      <c r="E850" s="25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18"/>
      <c r="B851" s="18"/>
      <c r="C851" s="19"/>
      <c r="D851" s="20"/>
      <c r="E851" s="25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18"/>
      <c r="B852" s="18"/>
      <c r="C852" s="19"/>
      <c r="D852" s="20"/>
      <c r="E852" s="25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18"/>
      <c r="B853" s="18"/>
      <c r="C853" s="19"/>
      <c r="D853" s="20"/>
      <c r="E853" s="25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18"/>
      <c r="B854" s="18"/>
      <c r="C854" s="19"/>
      <c r="D854" s="20"/>
      <c r="E854" s="25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18"/>
      <c r="B855" s="18"/>
      <c r="C855" s="19"/>
      <c r="D855" s="20"/>
      <c r="E855" s="25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18"/>
      <c r="B856" s="18"/>
      <c r="C856" s="19"/>
      <c r="D856" s="20"/>
      <c r="E856" s="25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18"/>
      <c r="B857" s="18"/>
      <c r="C857" s="19"/>
      <c r="D857" s="20"/>
      <c r="E857" s="25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18"/>
      <c r="B858" s="18"/>
      <c r="C858" s="19"/>
      <c r="D858" s="20"/>
      <c r="E858" s="25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18"/>
      <c r="B859" s="18"/>
      <c r="C859" s="19"/>
      <c r="D859" s="20"/>
      <c r="E859" s="25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18"/>
      <c r="B860" s="18"/>
      <c r="C860" s="19"/>
      <c r="D860" s="20"/>
      <c r="E860" s="25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18"/>
      <c r="B861" s="18"/>
      <c r="C861" s="19"/>
      <c r="D861" s="20"/>
      <c r="E861" s="25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18"/>
      <c r="B862" s="18"/>
      <c r="C862" s="19"/>
      <c r="D862" s="20"/>
      <c r="E862" s="25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18"/>
      <c r="B863" s="18"/>
      <c r="C863" s="19"/>
      <c r="D863" s="20"/>
      <c r="E863" s="25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18"/>
      <c r="B864" s="18"/>
      <c r="C864" s="19"/>
      <c r="D864" s="20"/>
      <c r="E864" s="25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18"/>
      <c r="B865" s="18"/>
      <c r="C865" s="19"/>
      <c r="D865" s="20"/>
      <c r="E865" s="25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18"/>
      <c r="B866" s="18"/>
      <c r="C866" s="19"/>
      <c r="D866" s="20"/>
      <c r="E866" s="25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18"/>
      <c r="B867" s="18"/>
      <c r="C867" s="19"/>
      <c r="D867" s="20"/>
      <c r="E867" s="25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18"/>
      <c r="B868" s="18"/>
      <c r="C868" s="19"/>
      <c r="D868" s="20"/>
      <c r="E868" s="25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18"/>
      <c r="B869" s="18"/>
      <c r="C869" s="19"/>
      <c r="D869" s="20"/>
      <c r="E869" s="25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18"/>
      <c r="B870" s="18"/>
      <c r="C870" s="19"/>
      <c r="D870" s="20"/>
      <c r="E870" s="25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18"/>
      <c r="B871" s="18"/>
      <c r="C871" s="19"/>
      <c r="D871" s="20"/>
      <c r="E871" s="25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18"/>
      <c r="B872" s="18"/>
      <c r="C872" s="19"/>
      <c r="D872" s="20"/>
      <c r="E872" s="25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18"/>
      <c r="B873" s="18"/>
      <c r="C873" s="19"/>
      <c r="D873" s="20"/>
      <c r="E873" s="25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18"/>
      <c r="B874" s="18"/>
      <c r="C874" s="19"/>
      <c r="D874" s="20"/>
      <c r="E874" s="25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18"/>
      <c r="B875" s="18"/>
      <c r="C875" s="19"/>
      <c r="D875" s="20"/>
      <c r="E875" s="25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18"/>
      <c r="B876" s="18"/>
      <c r="C876" s="19"/>
      <c r="D876" s="20"/>
      <c r="E876" s="25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18"/>
      <c r="B877" s="18"/>
      <c r="C877" s="19"/>
      <c r="D877" s="20"/>
      <c r="E877" s="25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18"/>
      <c r="B878" s="18"/>
      <c r="C878" s="19"/>
      <c r="D878" s="20"/>
      <c r="E878" s="25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18"/>
      <c r="B879" s="18"/>
      <c r="C879" s="19"/>
      <c r="D879" s="20"/>
      <c r="E879" s="25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18"/>
      <c r="B880" s="18"/>
      <c r="C880" s="19"/>
      <c r="D880" s="20"/>
      <c r="E880" s="25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18"/>
      <c r="B881" s="18"/>
      <c r="C881" s="19"/>
      <c r="D881" s="20"/>
      <c r="E881" s="25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18"/>
      <c r="B882" s="18"/>
      <c r="C882" s="19"/>
      <c r="D882" s="20"/>
      <c r="E882" s="25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18"/>
      <c r="B883" s="18"/>
      <c r="C883" s="19"/>
      <c r="D883" s="20"/>
      <c r="E883" s="25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18"/>
      <c r="B884" s="18"/>
      <c r="C884" s="19"/>
      <c r="D884" s="20"/>
      <c r="E884" s="25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18"/>
      <c r="B885" s="18"/>
      <c r="C885" s="19"/>
      <c r="D885" s="20"/>
      <c r="E885" s="25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18"/>
      <c r="B886" s="18"/>
      <c r="C886" s="19"/>
      <c r="D886" s="20"/>
      <c r="E886" s="25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18"/>
      <c r="B887" s="18"/>
      <c r="C887" s="19"/>
      <c r="D887" s="20"/>
      <c r="E887" s="25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18"/>
      <c r="B888" s="18"/>
      <c r="C888" s="19"/>
      <c r="D888" s="20"/>
      <c r="E888" s="25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18"/>
      <c r="B889" s="18"/>
      <c r="C889" s="19"/>
      <c r="D889" s="20"/>
      <c r="E889" s="25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18"/>
      <c r="B890" s="18"/>
      <c r="C890" s="19"/>
      <c r="D890" s="20"/>
      <c r="E890" s="25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18"/>
      <c r="B891" s="18"/>
      <c r="C891" s="19"/>
      <c r="D891" s="20"/>
      <c r="E891" s="25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18"/>
      <c r="B892" s="18"/>
      <c r="C892" s="19"/>
      <c r="D892" s="20"/>
      <c r="E892" s="25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18"/>
      <c r="B893" s="18"/>
      <c r="C893" s="19"/>
      <c r="D893" s="20"/>
      <c r="E893" s="25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18"/>
      <c r="B894" s="18"/>
      <c r="C894" s="19"/>
      <c r="D894" s="20"/>
      <c r="E894" s="25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18"/>
      <c r="B895" s="18"/>
      <c r="C895" s="19"/>
      <c r="D895" s="20"/>
      <c r="E895" s="25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18"/>
      <c r="B896" s="18"/>
      <c r="C896" s="19"/>
      <c r="D896" s="20"/>
      <c r="E896" s="25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18"/>
      <c r="B897" s="18"/>
      <c r="C897" s="19"/>
      <c r="D897" s="20"/>
      <c r="E897" s="25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18"/>
      <c r="B898" s="18"/>
      <c r="C898" s="19"/>
      <c r="D898" s="20"/>
      <c r="E898" s="25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18"/>
      <c r="B899" s="18"/>
      <c r="C899" s="19"/>
      <c r="D899" s="20"/>
      <c r="E899" s="25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18"/>
      <c r="B900" s="18"/>
      <c r="C900" s="19"/>
      <c r="D900" s="20"/>
      <c r="E900" s="25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18"/>
      <c r="B901" s="18"/>
      <c r="C901" s="19"/>
      <c r="D901" s="20"/>
      <c r="E901" s="25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18"/>
      <c r="B902" s="18"/>
      <c r="C902" s="19"/>
      <c r="D902" s="20"/>
      <c r="E902" s="25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18"/>
      <c r="B903" s="18"/>
      <c r="C903" s="19"/>
      <c r="D903" s="20"/>
      <c r="E903" s="25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18"/>
      <c r="B904" s="18"/>
      <c r="C904" s="19"/>
      <c r="D904" s="20"/>
      <c r="E904" s="25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18"/>
      <c r="B905" s="18"/>
      <c r="C905" s="19"/>
      <c r="D905" s="20"/>
      <c r="E905" s="25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18"/>
      <c r="B906" s="18"/>
      <c r="C906" s="19"/>
      <c r="D906" s="20"/>
      <c r="E906" s="25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18"/>
      <c r="B907" s="18"/>
      <c r="C907" s="19"/>
      <c r="D907" s="20"/>
      <c r="E907" s="25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18"/>
      <c r="B908" s="18"/>
      <c r="C908" s="19"/>
      <c r="D908" s="20"/>
      <c r="E908" s="25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18"/>
      <c r="B909" s="18"/>
      <c r="C909" s="19"/>
      <c r="D909" s="20"/>
      <c r="E909" s="25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18"/>
      <c r="B910" s="18"/>
      <c r="C910" s="19"/>
      <c r="D910" s="20"/>
      <c r="E910" s="25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18"/>
      <c r="B911" s="18"/>
      <c r="C911" s="19"/>
      <c r="D911" s="20"/>
      <c r="E911" s="25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18"/>
      <c r="B912" s="18"/>
      <c r="C912" s="19"/>
      <c r="D912" s="20"/>
      <c r="E912" s="25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18"/>
      <c r="B913" s="18"/>
      <c r="C913" s="19"/>
      <c r="D913" s="20"/>
      <c r="E913" s="25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18"/>
      <c r="B914" s="18"/>
      <c r="C914" s="19"/>
      <c r="D914" s="20"/>
      <c r="E914" s="25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18"/>
      <c r="B915" s="18"/>
      <c r="C915" s="19"/>
      <c r="D915" s="20"/>
      <c r="E915" s="25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18"/>
      <c r="B916" s="18"/>
      <c r="C916" s="19"/>
      <c r="D916" s="20"/>
      <c r="E916" s="25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18"/>
      <c r="B917" s="18"/>
      <c r="C917" s="19"/>
      <c r="D917" s="20"/>
      <c r="E917" s="25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18"/>
      <c r="B918" s="18"/>
      <c r="C918" s="19"/>
      <c r="D918" s="20"/>
      <c r="E918" s="25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18"/>
      <c r="B919" s="18"/>
      <c r="C919" s="19"/>
      <c r="D919" s="20"/>
      <c r="E919" s="25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18"/>
      <c r="B920" s="18"/>
      <c r="C920" s="19"/>
      <c r="D920" s="20"/>
      <c r="E920" s="25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18"/>
      <c r="B921" s="18"/>
      <c r="C921" s="19"/>
      <c r="D921" s="20"/>
      <c r="E921" s="25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18"/>
      <c r="B922" s="18"/>
      <c r="C922" s="19"/>
      <c r="D922" s="20"/>
      <c r="E922" s="25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18"/>
      <c r="B923" s="18"/>
      <c r="C923" s="19"/>
      <c r="D923" s="20"/>
      <c r="E923" s="25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18"/>
      <c r="B924" s="18"/>
      <c r="C924" s="19"/>
      <c r="D924" s="20"/>
      <c r="E924" s="25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18"/>
      <c r="B925" s="18"/>
      <c r="C925" s="19"/>
      <c r="D925" s="20"/>
      <c r="E925" s="25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18"/>
      <c r="B926" s="18"/>
      <c r="C926" s="19"/>
      <c r="D926" s="20"/>
      <c r="E926" s="25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18"/>
      <c r="B927" s="18"/>
      <c r="C927" s="19"/>
      <c r="D927" s="20"/>
      <c r="E927" s="25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18"/>
      <c r="B928" s="18"/>
      <c r="C928" s="19"/>
      <c r="D928" s="20"/>
      <c r="E928" s="25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18"/>
      <c r="B929" s="18"/>
      <c r="C929" s="19"/>
      <c r="D929" s="20"/>
      <c r="E929" s="25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18"/>
      <c r="B930" s="18"/>
      <c r="C930" s="19"/>
      <c r="D930" s="20"/>
      <c r="E930" s="25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18"/>
      <c r="B931" s="18"/>
      <c r="C931" s="19"/>
      <c r="D931" s="20"/>
      <c r="E931" s="25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18"/>
      <c r="B932" s="18"/>
      <c r="C932" s="19"/>
      <c r="D932" s="20"/>
      <c r="E932" s="25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18"/>
      <c r="B933" s="18"/>
      <c r="C933" s="19"/>
      <c r="D933" s="20"/>
      <c r="E933" s="25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18"/>
      <c r="B934" s="18"/>
      <c r="C934" s="19"/>
      <c r="D934" s="20"/>
      <c r="E934" s="25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18"/>
      <c r="B935" s="18"/>
      <c r="C935" s="19"/>
      <c r="D935" s="20"/>
      <c r="E935" s="25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18"/>
      <c r="B936" s="18"/>
      <c r="C936" s="19"/>
      <c r="D936" s="20"/>
      <c r="E936" s="25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18"/>
      <c r="B937" s="18"/>
      <c r="C937" s="19"/>
      <c r="D937" s="20"/>
      <c r="E937" s="25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18"/>
      <c r="B938" s="18"/>
      <c r="C938" s="19"/>
      <c r="D938" s="20"/>
      <c r="E938" s="25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18"/>
      <c r="B939" s="18"/>
      <c r="C939" s="19"/>
      <c r="D939" s="20"/>
      <c r="E939" s="25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18"/>
      <c r="B940" s="18"/>
      <c r="C940" s="19"/>
      <c r="D940" s="20"/>
      <c r="E940" s="25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18"/>
      <c r="B941" s="18"/>
      <c r="C941" s="19"/>
      <c r="D941" s="20"/>
      <c r="E941" s="25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18"/>
      <c r="B942" s="18"/>
      <c r="C942" s="19"/>
      <c r="D942" s="20"/>
      <c r="E942" s="25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18"/>
      <c r="B943" s="18"/>
      <c r="C943" s="19"/>
      <c r="D943" s="20"/>
      <c r="E943" s="25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18"/>
      <c r="B944" s="18"/>
      <c r="C944" s="19"/>
      <c r="D944" s="20"/>
      <c r="E944" s="25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18"/>
      <c r="B945" s="18"/>
      <c r="C945" s="19"/>
      <c r="D945" s="20"/>
      <c r="E945" s="25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18"/>
      <c r="B946" s="18"/>
      <c r="C946" s="19"/>
      <c r="D946" s="20"/>
      <c r="E946" s="25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18"/>
      <c r="B947" s="18"/>
      <c r="C947" s="19"/>
      <c r="D947" s="20"/>
      <c r="E947" s="25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18"/>
      <c r="B948" s="18"/>
      <c r="C948" s="19"/>
      <c r="D948" s="20"/>
      <c r="E948" s="25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18"/>
      <c r="B949" s="18"/>
      <c r="C949" s="19"/>
      <c r="D949" s="20"/>
      <c r="E949" s="25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18"/>
      <c r="B950" s="18"/>
      <c r="C950" s="19"/>
      <c r="D950" s="20"/>
      <c r="E950" s="25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18"/>
      <c r="B951" s="18"/>
      <c r="C951" s="19"/>
      <c r="D951" s="20"/>
      <c r="E951" s="25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18"/>
      <c r="B952" s="18"/>
      <c r="C952" s="19"/>
      <c r="D952" s="20"/>
      <c r="E952" s="25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18"/>
      <c r="B953" s="18"/>
      <c r="C953" s="19"/>
      <c r="D953" s="20"/>
      <c r="E953" s="25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18"/>
      <c r="B954" s="18"/>
      <c r="C954" s="19"/>
      <c r="D954" s="20"/>
      <c r="E954" s="25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18"/>
      <c r="B955" s="18"/>
      <c r="C955" s="19"/>
      <c r="D955" s="20"/>
      <c r="E955" s="25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18"/>
      <c r="B956" s="18"/>
      <c r="C956" s="19"/>
      <c r="D956" s="20"/>
      <c r="E956" s="25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18"/>
      <c r="B957" s="18"/>
      <c r="C957" s="19"/>
      <c r="D957" s="20"/>
      <c r="E957" s="25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18"/>
      <c r="B958" s="18"/>
      <c r="C958" s="19"/>
      <c r="D958" s="20"/>
      <c r="E958" s="25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18"/>
      <c r="B959" s="18"/>
      <c r="C959" s="19"/>
      <c r="D959" s="20"/>
      <c r="E959" s="25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18"/>
      <c r="B960" s="18"/>
      <c r="C960" s="19"/>
      <c r="D960" s="20"/>
      <c r="E960" s="25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18"/>
      <c r="B961" s="18"/>
      <c r="C961" s="19"/>
      <c r="D961" s="20"/>
      <c r="E961" s="25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18"/>
      <c r="B962" s="18"/>
      <c r="C962" s="19"/>
      <c r="D962" s="20"/>
      <c r="E962" s="25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18"/>
      <c r="B963" s="18"/>
      <c r="C963" s="19"/>
      <c r="D963" s="20"/>
      <c r="E963" s="25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18"/>
      <c r="B964" s="18"/>
      <c r="C964" s="19"/>
      <c r="D964" s="20"/>
      <c r="E964" s="25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18"/>
      <c r="B965" s="18"/>
      <c r="C965" s="19"/>
      <c r="D965" s="20"/>
      <c r="E965" s="25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18"/>
      <c r="B966" s="18"/>
      <c r="C966" s="19"/>
      <c r="D966" s="20"/>
      <c r="E966" s="25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18"/>
      <c r="B967" s="18"/>
      <c r="C967" s="19"/>
      <c r="D967" s="20"/>
      <c r="E967" s="25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18"/>
      <c r="B968" s="18"/>
      <c r="C968" s="19"/>
      <c r="D968" s="20"/>
      <c r="E968" s="25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18"/>
      <c r="B969" s="18"/>
      <c r="C969" s="19"/>
      <c r="D969" s="20"/>
      <c r="E969" s="25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18"/>
      <c r="B970" s="18"/>
      <c r="C970" s="19"/>
      <c r="D970" s="20"/>
      <c r="E970" s="25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18"/>
      <c r="B971" s="18"/>
      <c r="C971" s="19"/>
      <c r="D971" s="20"/>
      <c r="E971" s="25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18"/>
      <c r="B972" s="18"/>
      <c r="C972" s="19"/>
      <c r="D972" s="20"/>
      <c r="E972" s="25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18"/>
      <c r="B973" s="18"/>
      <c r="C973" s="19"/>
      <c r="D973" s="20"/>
      <c r="E973" s="25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18"/>
      <c r="B974" s="18"/>
      <c r="C974" s="19"/>
      <c r="D974" s="20"/>
      <c r="E974" s="25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18"/>
      <c r="B975" s="18"/>
      <c r="C975" s="19"/>
      <c r="D975" s="20"/>
      <c r="E975" s="25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18"/>
      <c r="B976" s="18"/>
      <c r="C976" s="19"/>
      <c r="D976" s="20"/>
      <c r="E976" s="25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18"/>
      <c r="B977" s="18"/>
      <c r="C977" s="19"/>
      <c r="D977" s="20"/>
      <c r="E977" s="25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18"/>
      <c r="B978" s="18"/>
      <c r="C978" s="19"/>
      <c r="D978" s="20"/>
      <c r="E978" s="25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18"/>
      <c r="B979" s="18"/>
      <c r="C979" s="19"/>
      <c r="D979" s="20"/>
      <c r="E979" s="25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18"/>
      <c r="B980" s="18"/>
      <c r="C980" s="19"/>
      <c r="D980" s="20"/>
      <c r="E980" s="25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18"/>
      <c r="B981" s="18"/>
      <c r="C981" s="19"/>
      <c r="D981" s="20"/>
      <c r="E981" s="25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18"/>
      <c r="B982" s="18"/>
      <c r="C982" s="19"/>
      <c r="D982" s="20"/>
      <c r="E982" s="25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18"/>
      <c r="B983" s="18"/>
      <c r="C983" s="19"/>
      <c r="D983" s="20"/>
      <c r="E983" s="25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18"/>
      <c r="B984" s="18"/>
      <c r="C984" s="19"/>
      <c r="D984" s="20"/>
      <c r="E984" s="25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18"/>
      <c r="B985" s="18"/>
      <c r="C985" s="19"/>
      <c r="D985" s="20"/>
      <c r="E985" s="25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18"/>
      <c r="B986" s="18"/>
      <c r="C986" s="19"/>
      <c r="D986" s="20"/>
      <c r="E986" s="25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18"/>
      <c r="B987" s="18"/>
      <c r="C987" s="19"/>
      <c r="D987" s="20"/>
      <c r="E987" s="25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18"/>
      <c r="B988" s="18"/>
      <c r="C988" s="19"/>
      <c r="D988" s="20"/>
      <c r="E988" s="25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18"/>
      <c r="B989" s="18"/>
      <c r="C989" s="19"/>
      <c r="D989" s="20"/>
      <c r="E989" s="25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18"/>
      <c r="B990" s="18"/>
      <c r="C990" s="19"/>
      <c r="D990" s="20"/>
      <c r="E990" s="25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18"/>
      <c r="B991" s="18"/>
      <c r="C991" s="19"/>
      <c r="D991" s="20"/>
      <c r="E991" s="25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18"/>
      <c r="B992" s="18"/>
      <c r="C992" s="19"/>
      <c r="D992" s="20"/>
      <c r="E992" s="25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18"/>
      <c r="B993" s="18"/>
      <c r="C993" s="19"/>
      <c r="D993" s="20"/>
      <c r="E993" s="25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18"/>
      <c r="B994" s="18"/>
      <c r="C994" s="19"/>
      <c r="D994" s="20"/>
      <c r="E994" s="25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18"/>
      <c r="B995" s="18"/>
      <c r="C995" s="19"/>
      <c r="D995" s="20"/>
      <c r="E995" s="25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18"/>
      <c r="B996" s="18"/>
      <c r="C996" s="19"/>
      <c r="D996" s="20"/>
      <c r="E996" s="25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18"/>
      <c r="B997" s="18"/>
      <c r="C997" s="19"/>
      <c r="D997" s="20"/>
      <c r="E997" s="25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18"/>
      <c r="B998" s="18"/>
      <c r="C998" s="19"/>
      <c r="D998" s="20"/>
      <c r="E998" s="25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18"/>
      <c r="B999" s="18"/>
      <c r="C999" s="19"/>
      <c r="D999" s="20"/>
      <c r="E999" s="25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18"/>
      <c r="B1000" s="18"/>
      <c r="C1000" s="19"/>
      <c r="D1000" s="20"/>
      <c r="E1000" s="25"/>
      <c r="F1000" s="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18"/>
      <c r="B1001" s="18"/>
      <c r="C1001" s="19"/>
      <c r="D1001" s="20"/>
      <c r="E1001" s="25"/>
      <c r="F1001" s="5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18"/>
      <c r="B1002" s="18"/>
      <c r="C1002" s="19"/>
      <c r="D1002" s="20"/>
      <c r="E1002" s="25"/>
      <c r="F1002" s="5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18"/>
      <c r="B1003" s="18"/>
      <c r="C1003" s="19"/>
      <c r="D1003" s="20"/>
      <c r="E1003" s="25"/>
      <c r="F1003" s="5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18"/>
      <c r="B1004" s="18"/>
      <c r="C1004" s="19"/>
      <c r="D1004" s="20"/>
      <c r="E1004" s="25"/>
      <c r="F1004" s="5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18"/>
      <c r="B1005" s="18"/>
      <c r="C1005" s="19"/>
      <c r="D1005" s="20"/>
      <c r="E1005" s="25"/>
      <c r="F1005" s="5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18"/>
      <c r="B1006" s="18"/>
      <c r="C1006" s="19"/>
      <c r="D1006" s="20"/>
      <c r="E1006" s="25"/>
      <c r="F1006" s="5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18"/>
      <c r="B1007" s="18"/>
      <c r="C1007" s="19"/>
      <c r="D1007" s="20"/>
      <c r="E1007" s="25"/>
      <c r="F1007" s="5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18"/>
      <c r="B1008" s="18"/>
      <c r="C1008" s="19"/>
      <c r="D1008" s="20"/>
      <c r="E1008" s="25"/>
      <c r="F1008" s="5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6:6" ht="15" customHeight="1" x14ac:dyDescent="0.25">
      <c r="F1009" s="5"/>
    </row>
  </sheetData>
  <mergeCells count="1">
    <mergeCell ref="B1:E1"/>
  </mergeCells>
  <phoneticPr fontId="16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0B6E-15AA-4DA6-A6AC-CD17475EA327}">
  <dimension ref="A2:D24"/>
  <sheetViews>
    <sheetView tabSelected="1" zoomScaleNormal="100" workbookViewId="0">
      <selection activeCell="D10" sqref="D10"/>
    </sheetView>
  </sheetViews>
  <sheetFormatPr defaultColWidth="8.5703125" defaultRowHeight="15" x14ac:dyDescent="0.25"/>
  <cols>
    <col min="1" max="1" width="33.7109375" customWidth="1"/>
    <col min="2" max="2" width="12.85546875" style="1" customWidth="1"/>
    <col min="3" max="3" width="50.140625" customWidth="1"/>
    <col min="4" max="4" width="19" customWidth="1"/>
    <col min="5" max="5" width="11.28515625" customWidth="1"/>
  </cols>
  <sheetData>
    <row r="2" spans="1:4" ht="21" x14ac:dyDescent="0.35">
      <c r="A2" t="s">
        <v>49</v>
      </c>
      <c r="C2" s="27" t="s">
        <v>50</v>
      </c>
    </row>
    <row r="3" spans="1:4" x14ac:dyDescent="0.25">
      <c r="B3" s="2"/>
    </row>
    <row r="4" spans="1:4" x14ac:dyDescent="0.25">
      <c r="B4" s="1" t="s">
        <v>51</v>
      </c>
      <c r="D4" s="28"/>
    </row>
    <row r="5" spans="1:4" x14ac:dyDescent="0.25">
      <c r="A5" t="s">
        <v>52</v>
      </c>
      <c r="B5" s="1">
        <f>+D6+D7</f>
        <v>690848.76080000028</v>
      </c>
      <c r="C5" s="29"/>
      <c r="D5" s="30" t="s">
        <v>51</v>
      </c>
    </row>
    <row r="6" spans="1:4" x14ac:dyDescent="0.25">
      <c r="A6" t="s">
        <v>53</v>
      </c>
      <c r="B6" s="1">
        <f>SUM(D8:D19)</f>
        <v>383726.61</v>
      </c>
      <c r="C6" s="31" t="s">
        <v>81</v>
      </c>
      <c r="D6" s="32">
        <f>+[2]SUMMERY!$E$19</f>
        <v>-456526.23919999972</v>
      </c>
    </row>
    <row r="7" spans="1:4" ht="15.75" thickBot="1" x14ac:dyDescent="0.3">
      <c r="A7" t="s">
        <v>54</v>
      </c>
      <c r="B7" s="33">
        <f>+B5-B6</f>
        <v>307122.15080000029</v>
      </c>
      <c r="C7" s="34" t="s">
        <v>55</v>
      </c>
      <c r="D7" s="35">
        <f>+'Breakdown of Income'!C16</f>
        <v>1147375</v>
      </c>
    </row>
    <row r="8" spans="1:4" ht="15.75" thickTop="1" x14ac:dyDescent="0.25">
      <c r="C8" s="29" t="s">
        <v>56</v>
      </c>
      <c r="D8" s="35">
        <v>183410.17</v>
      </c>
    </row>
    <row r="9" spans="1:4" x14ac:dyDescent="0.25">
      <c r="C9" s="29" t="s">
        <v>57</v>
      </c>
      <c r="D9" s="35">
        <v>200316.44</v>
      </c>
    </row>
    <row r="10" spans="1:4" x14ac:dyDescent="0.25">
      <c r="A10" t="s">
        <v>82</v>
      </c>
      <c r="B10" s="1">
        <f>+' Expenses '!D24</f>
        <v>162772.73333333334</v>
      </c>
      <c r="C10" s="29" t="s">
        <v>58</v>
      </c>
      <c r="D10" s="35"/>
    </row>
    <row r="11" spans="1:4" x14ac:dyDescent="0.25">
      <c r="A11" t="s">
        <v>83</v>
      </c>
      <c r="B11" s="1">
        <f>+' Expenses '!D30</f>
        <v>37543.706666666672</v>
      </c>
      <c r="C11" s="29" t="s">
        <v>59</v>
      </c>
      <c r="D11" s="35"/>
    </row>
    <row r="12" spans="1:4" ht="15.75" thickBot="1" x14ac:dyDescent="0.3">
      <c r="A12" t="s">
        <v>84</v>
      </c>
      <c r="B12" s="64">
        <f>SUM(B10:B11)</f>
        <v>200316.44</v>
      </c>
      <c r="C12" s="29" t="s">
        <v>60</v>
      </c>
      <c r="D12" s="35"/>
    </row>
    <row r="13" spans="1:4" ht="15.75" thickTop="1" x14ac:dyDescent="0.25">
      <c r="C13" s="29" t="s">
        <v>61</v>
      </c>
      <c r="D13" s="35"/>
    </row>
    <row r="14" spans="1:4" x14ac:dyDescent="0.25">
      <c r="C14" s="29" t="s">
        <v>62</v>
      </c>
      <c r="D14" s="35"/>
    </row>
    <row r="15" spans="1:4" x14ac:dyDescent="0.25">
      <c r="B15" s="36"/>
      <c r="C15" s="29" t="s">
        <v>63</v>
      </c>
      <c r="D15" s="35"/>
    </row>
    <row r="16" spans="1:4" x14ac:dyDescent="0.25">
      <c r="C16" s="29" t="s">
        <v>64</v>
      </c>
      <c r="D16" s="35"/>
    </row>
    <row r="17" spans="3:4" x14ac:dyDescent="0.25">
      <c r="C17" s="29" t="s">
        <v>65</v>
      </c>
      <c r="D17" s="35"/>
    </row>
    <row r="18" spans="3:4" x14ac:dyDescent="0.25">
      <c r="C18" s="29" t="s">
        <v>66</v>
      </c>
      <c r="D18" s="37"/>
    </row>
    <row r="19" spans="3:4" x14ac:dyDescent="0.25">
      <c r="C19" s="29" t="s">
        <v>67</v>
      </c>
      <c r="D19" s="37"/>
    </row>
    <row r="20" spans="3:4" x14ac:dyDescent="0.25">
      <c r="C20" s="29"/>
      <c r="D20" s="37"/>
    </row>
    <row r="21" spans="3:4" ht="18.75" x14ac:dyDescent="0.3">
      <c r="C21" s="112" t="s">
        <v>68</v>
      </c>
      <c r="D21" s="113">
        <f>+D6+D7-D8-D9-D10-D11-D12-D13-D14-D15-D16-D17-D18-D19</f>
        <v>307122.15080000024</v>
      </c>
    </row>
    <row r="22" spans="3:4" x14ac:dyDescent="0.25">
      <c r="D22" s="38"/>
    </row>
    <row r="23" spans="3:4" x14ac:dyDescent="0.25">
      <c r="D23" s="38"/>
    </row>
    <row r="24" spans="3:4" x14ac:dyDescent="0.25">
      <c r="D24" s="39">
        <f>SUM(D8:D18)</f>
        <v>383726.61</v>
      </c>
    </row>
  </sheetData>
  <pageMargins left="0.7" right="0.7" top="0.75" bottom="0.75" header="0.511811023622047" footer="0.511811023622047"/>
  <pageSetup paperSize="9" scale="75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0D61-26CC-49FE-A88E-65416B3079FE}">
  <sheetPr filterMode="1"/>
  <dimension ref="B1:X997"/>
  <sheetViews>
    <sheetView workbookViewId="0">
      <selection activeCell="C33" sqref="C33"/>
    </sheetView>
  </sheetViews>
  <sheetFormatPr defaultColWidth="12.42578125" defaultRowHeight="15" customHeight="1" x14ac:dyDescent="0.25"/>
  <cols>
    <col min="1" max="1" width="2.85546875" style="5" customWidth="1"/>
    <col min="2" max="2" width="19.28515625" style="5" customWidth="1"/>
    <col min="3" max="3" width="53.5703125" style="5" customWidth="1"/>
    <col min="4" max="4" width="19.140625" style="69" customWidth="1"/>
    <col min="5" max="24" width="11.7109375" style="5" customWidth="1"/>
    <col min="25" max="16384" width="12.42578125" style="5"/>
  </cols>
  <sheetData>
    <row r="1" spans="2:24" s="70" customFormat="1" x14ac:dyDescent="0.25">
      <c r="B1" s="83"/>
      <c r="C1" s="84"/>
      <c r="D1" s="85"/>
      <c r="E1" s="76"/>
    </row>
    <row r="2" spans="2:24" s="70" customFormat="1" x14ac:dyDescent="0.25">
      <c r="B2" s="83"/>
      <c r="C2" s="83" t="s">
        <v>12</v>
      </c>
      <c r="D2" s="86">
        <f>+D24</f>
        <v>162772.73333333334</v>
      </c>
      <c r="E2" s="77"/>
    </row>
    <row r="3" spans="2:24" s="70" customFormat="1" x14ac:dyDescent="0.25">
      <c r="B3" s="83"/>
      <c r="C3" s="83" t="s">
        <v>11</v>
      </c>
      <c r="D3" s="86">
        <f>+D30</f>
        <v>37543.706666666672</v>
      </c>
      <c r="E3" s="76"/>
    </row>
    <row r="4" spans="2:24" s="70" customFormat="1" ht="15.75" thickBot="1" x14ac:dyDescent="0.3">
      <c r="B4" s="83"/>
      <c r="C4" s="83" t="s">
        <v>10</v>
      </c>
      <c r="D4" s="87">
        <f>SUM(D2:D3)</f>
        <v>200316.44</v>
      </c>
      <c r="E4" s="76"/>
    </row>
    <row r="5" spans="2:24" ht="45.6" customHeight="1" thickTop="1" x14ac:dyDescent="0.25">
      <c r="B5" s="88"/>
      <c r="C5" s="89" t="s">
        <v>14</v>
      </c>
      <c r="D5" s="90">
        <v>46023</v>
      </c>
      <c r="E5" s="78"/>
    </row>
    <row r="6" spans="2:24" ht="19.899999999999999" customHeight="1" x14ac:dyDescent="0.25">
      <c r="B6" s="91" t="s">
        <v>15</v>
      </c>
      <c r="C6" s="91" t="s">
        <v>76</v>
      </c>
      <c r="D6" s="92" t="s">
        <v>71</v>
      </c>
      <c r="E6" s="79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2:24" ht="19.899999999999999" customHeight="1" x14ac:dyDescent="0.35">
      <c r="B7" s="93" t="s">
        <v>15</v>
      </c>
      <c r="C7" s="107" t="s">
        <v>7</v>
      </c>
      <c r="D7" s="108">
        <v>80075.28833333333</v>
      </c>
      <c r="E7" s="79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2:24" ht="19.899999999999999" customHeight="1" x14ac:dyDescent="0.35">
      <c r="B8" s="93" t="s">
        <v>15</v>
      </c>
      <c r="C8" s="107" t="s">
        <v>2</v>
      </c>
      <c r="D8" s="108">
        <v>5250</v>
      </c>
      <c r="E8" s="71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2:24" ht="19.899999999999999" customHeight="1" x14ac:dyDescent="0.35">
      <c r="B9" s="93" t="s">
        <v>15</v>
      </c>
      <c r="C9" s="107" t="s">
        <v>8</v>
      </c>
      <c r="D9" s="108">
        <v>986.5</v>
      </c>
      <c r="E9" s="7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2:24" ht="19.899999999999999" customHeight="1" x14ac:dyDescent="0.35">
      <c r="B10" s="93" t="s">
        <v>15</v>
      </c>
      <c r="C10" s="107" t="s">
        <v>72</v>
      </c>
      <c r="D10" s="108">
        <v>46031.7</v>
      </c>
      <c r="E10" s="7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2:24" ht="19.899999999999999" customHeight="1" x14ac:dyDescent="0.35">
      <c r="B11" s="93" t="s">
        <v>15</v>
      </c>
      <c r="C11" s="107" t="s">
        <v>3</v>
      </c>
      <c r="D11" s="108">
        <v>15723.775</v>
      </c>
      <c r="E11" s="71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2:24" ht="19.899999999999999" customHeight="1" x14ac:dyDescent="0.35">
      <c r="B12" s="93" t="s">
        <v>15</v>
      </c>
      <c r="C12" s="109" t="s">
        <v>13</v>
      </c>
      <c r="D12" s="108">
        <v>6068.4</v>
      </c>
      <c r="E12" s="7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2:24" ht="19.899999999999999" customHeight="1" x14ac:dyDescent="0.35">
      <c r="B13" s="93" t="s">
        <v>15</v>
      </c>
      <c r="C13" s="107" t="s">
        <v>4</v>
      </c>
      <c r="D13" s="108">
        <v>606.15</v>
      </c>
      <c r="E13" s="7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2:24" ht="19.899999999999999" customHeight="1" x14ac:dyDescent="0.35">
      <c r="B14" s="93" t="s">
        <v>15</v>
      </c>
      <c r="C14" s="107" t="s">
        <v>69</v>
      </c>
      <c r="D14" s="108">
        <v>0</v>
      </c>
      <c r="E14" s="7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2:24" ht="19.899999999999999" customHeight="1" x14ac:dyDescent="0.35">
      <c r="B15" s="93" t="s">
        <v>15</v>
      </c>
      <c r="C15" s="107" t="s">
        <v>85</v>
      </c>
      <c r="D15" s="108">
        <v>0</v>
      </c>
      <c r="E15" s="71"/>
      <c r="F15" s="18"/>
      <c r="G15" s="65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2:24" ht="19.899999999999999" customHeight="1" x14ac:dyDescent="0.35">
      <c r="B16" s="93" t="s">
        <v>15</v>
      </c>
      <c r="C16" s="107" t="s">
        <v>75</v>
      </c>
      <c r="D16" s="108">
        <v>0</v>
      </c>
      <c r="E16" s="71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2:24" ht="19.899999999999999" customHeight="1" x14ac:dyDescent="0.35">
      <c r="B17" s="93" t="s">
        <v>15</v>
      </c>
      <c r="C17" s="107" t="s">
        <v>9</v>
      </c>
      <c r="D17" s="108">
        <v>1281.42</v>
      </c>
      <c r="E17" s="71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2:24" ht="19.899999999999999" customHeight="1" x14ac:dyDescent="0.35">
      <c r="B18" s="93" t="s">
        <v>15</v>
      </c>
      <c r="C18" s="107" t="s">
        <v>5</v>
      </c>
      <c r="D18" s="108">
        <v>3565.75</v>
      </c>
      <c r="E18" s="71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2:24" ht="19.899999999999999" customHeight="1" x14ac:dyDescent="0.35">
      <c r="B19" s="93" t="s">
        <v>15</v>
      </c>
      <c r="C19" s="107" t="s">
        <v>6</v>
      </c>
      <c r="D19" s="108">
        <v>3183.75</v>
      </c>
      <c r="E19" s="71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2:24" ht="19.899999999999999" customHeight="1" x14ac:dyDescent="0.35">
      <c r="B20" s="93" t="s">
        <v>15</v>
      </c>
      <c r="C20" s="110" t="s">
        <v>70</v>
      </c>
      <c r="D20" s="108">
        <v>0</v>
      </c>
      <c r="E20" s="71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2:24" ht="19.899999999999999" customHeight="1" x14ac:dyDescent="0.35">
      <c r="B21" s="93" t="s">
        <v>15</v>
      </c>
      <c r="C21" s="107" t="s">
        <v>86</v>
      </c>
      <c r="D21" s="108">
        <v>0</v>
      </c>
      <c r="E21" s="71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2:24" ht="19.899999999999999" customHeight="1" x14ac:dyDescent="0.25">
      <c r="B22" s="93" t="s">
        <v>15</v>
      </c>
      <c r="C22" s="94"/>
      <c r="D22" s="95"/>
      <c r="E22" s="71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24" ht="19.899999999999999" customHeight="1" x14ac:dyDescent="0.25">
      <c r="B23" s="93"/>
      <c r="C23" s="94"/>
      <c r="D23" s="95"/>
      <c r="E23" s="71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ht="19.899999999999999" customHeight="1" x14ac:dyDescent="0.25">
      <c r="B24" s="93"/>
      <c r="C24" s="94"/>
      <c r="D24" s="96">
        <f>SUBTOTAL(9,D7:D23)</f>
        <v>162772.73333333334</v>
      </c>
      <c r="E24" s="8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ht="19.899999999999999" customHeight="1" x14ac:dyDescent="0.25">
      <c r="B25" s="97" t="s">
        <v>16</v>
      </c>
      <c r="C25" s="97" t="s">
        <v>73</v>
      </c>
      <c r="D25" s="98">
        <f>+'[3] EXPENSES HOUSE'!$D$4</f>
        <v>36513.706666666672</v>
      </c>
      <c r="E25" s="80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2:24" ht="19.899999999999999" customHeight="1" x14ac:dyDescent="0.25">
      <c r="B26" s="97" t="s">
        <v>16</v>
      </c>
      <c r="C26" s="101" t="s">
        <v>89</v>
      </c>
      <c r="D26" s="102">
        <f>+'[3] EXPENSES HOUSE'!$F$4</f>
        <v>0</v>
      </c>
      <c r="E26" s="71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ht="19.899999999999999" customHeight="1" x14ac:dyDescent="0.25">
      <c r="B27" s="97" t="s">
        <v>16</v>
      </c>
      <c r="C27" s="101" t="s">
        <v>90</v>
      </c>
      <c r="D27" s="103">
        <f>+'[3] EXPENSES HOUSE'!$G$4</f>
        <v>0</v>
      </c>
      <c r="E27" s="71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ht="19.899999999999999" customHeight="1" x14ac:dyDescent="0.25">
      <c r="B28" s="97" t="s">
        <v>16</v>
      </c>
      <c r="C28" s="101" t="s">
        <v>91</v>
      </c>
      <c r="D28" s="103">
        <f>+'[3] EXPENSES HOUSE'!$H$4</f>
        <v>1030</v>
      </c>
      <c r="E28" s="71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ht="19.899999999999999" customHeight="1" x14ac:dyDescent="0.25">
      <c r="B29" s="97" t="s">
        <v>16</v>
      </c>
      <c r="C29" s="101"/>
      <c r="D29" s="104"/>
      <c r="E29" s="71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ht="19.899999999999999" customHeight="1" thickBot="1" x14ac:dyDescent="0.3">
      <c r="B30" s="81"/>
      <c r="C30" s="81"/>
      <c r="D30" s="99">
        <f>SUBTOTAL(9,D25:D29)</f>
        <v>37543.706666666672</v>
      </c>
      <c r="E30" s="71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ht="19.899999999999999" customHeight="1" thickTop="1" x14ac:dyDescent="0.25">
      <c r="B31" s="81"/>
      <c r="C31" s="81"/>
      <c r="D31" s="82"/>
      <c r="E31" s="71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24" ht="19.899999999999999" customHeight="1" x14ac:dyDescent="0.25">
      <c r="B32" s="81"/>
      <c r="C32" s="81"/>
      <c r="D32" s="82"/>
      <c r="E32" s="71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ht="19.899999999999999" customHeight="1" x14ac:dyDescent="0.25">
      <c r="B33" s="81"/>
      <c r="C33" s="81"/>
      <c r="D33" s="82"/>
      <c r="E33" s="71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ht="19.899999999999999" customHeight="1" x14ac:dyDescent="0.25">
      <c r="B34" s="81"/>
      <c r="C34" s="81"/>
      <c r="D34" s="82"/>
      <c r="E34" s="71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24" ht="19.899999999999999" customHeight="1" x14ac:dyDescent="0.25">
      <c r="B35" s="81"/>
      <c r="C35" s="81"/>
      <c r="D35" s="82"/>
      <c r="E35" s="71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ht="19.899999999999999" customHeight="1" x14ac:dyDescent="0.25">
      <c r="B36" s="81"/>
      <c r="C36" s="81"/>
      <c r="D36" s="82"/>
      <c r="E36" s="71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ht="19.899999999999999" customHeight="1" x14ac:dyDescent="0.25">
      <c r="B37" s="81"/>
      <c r="C37" s="81"/>
      <c r="D37" s="82"/>
      <c r="E37" s="71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ht="19.899999999999999" customHeight="1" x14ac:dyDescent="0.25">
      <c r="B38" s="81"/>
      <c r="C38" s="81"/>
      <c r="D38" s="82"/>
      <c r="E38" s="71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ht="19.899999999999999" customHeight="1" x14ac:dyDescent="0.25">
      <c r="B39" s="81"/>
      <c r="C39" s="81"/>
      <c r="D39" s="82"/>
      <c r="E39" s="71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ht="19.899999999999999" customHeight="1" x14ac:dyDescent="0.25">
      <c r="B40" s="81"/>
      <c r="C40" s="81"/>
      <c r="D40" s="82"/>
      <c r="E40" s="59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ht="19.899999999999999" customHeight="1" x14ac:dyDescent="0.25">
      <c r="B41" s="81"/>
      <c r="C41" s="81"/>
      <c r="D41" s="82"/>
      <c r="E41" s="59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ht="19.899999999999999" customHeight="1" x14ac:dyDescent="0.25">
      <c r="B42" s="81"/>
      <c r="C42" s="81"/>
      <c r="D42" s="82"/>
      <c r="E42" s="5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ht="19.899999999999999" customHeight="1" x14ac:dyDescent="0.25">
      <c r="B43" s="81"/>
      <c r="C43" s="81"/>
      <c r="D43" s="82"/>
      <c r="E43" s="59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ht="19.899999999999999" customHeight="1" x14ac:dyDescent="0.25">
      <c r="B44" s="81"/>
      <c r="C44" s="81"/>
      <c r="D44" s="82"/>
      <c r="E44" s="59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ht="19.899999999999999" customHeight="1" x14ac:dyDescent="0.25">
      <c r="B45" s="81"/>
      <c r="C45" s="81"/>
      <c r="D45" s="82"/>
      <c r="E45" s="59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ht="15.75" customHeight="1" x14ac:dyDescent="0.25">
      <c r="B46" s="81"/>
      <c r="C46" s="81"/>
      <c r="D46" s="82"/>
      <c r="E46" s="59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ht="15.75" customHeight="1" x14ac:dyDescent="0.25">
      <c r="B47" s="81"/>
      <c r="C47" s="81"/>
      <c r="D47" s="82"/>
      <c r="E47" s="59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ht="15.75" customHeight="1" x14ac:dyDescent="0.25">
      <c r="B48" s="81"/>
      <c r="C48" s="81"/>
      <c r="D48" s="82"/>
      <c r="E48" s="59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ht="15.75" customHeight="1" x14ac:dyDescent="0.25">
      <c r="B49" s="81"/>
      <c r="C49" s="81"/>
      <c r="D49" s="82"/>
      <c r="E49" s="59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ht="15.75" customHeight="1" x14ac:dyDescent="0.25">
      <c r="B50" s="81"/>
      <c r="C50" s="81"/>
      <c r="D50" s="82"/>
      <c r="E50" s="59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ht="15.75" customHeight="1" x14ac:dyDescent="0.25">
      <c r="B51" s="81"/>
      <c r="C51" s="81"/>
      <c r="D51" s="82"/>
      <c r="E51" s="59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ht="15.75" customHeight="1" x14ac:dyDescent="0.25">
      <c r="B52" s="81"/>
      <c r="C52" s="81"/>
      <c r="D52" s="82"/>
      <c r="E52" s="59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ht="15.75" customHeight="1" x14ac:dyDescent="0.25">
      <c r="B53" s="81"/>
      <c r="C53" s="81"/>
      <c r="D53" s="82"/>
      <c r="E53" s="66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ht="15.75" customHeight="1" x14ac:dyDescent="0.25">
      <c r="B54" s="81"/>
      <c r="C54" s="81"/>
      <c r="D54" s="82"/>
      <c r="E54" s="66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2:24" ht="15.75" customHeight="1" x14ac:dyDescent="0.25">
      <c r="B55" s="81"/>
      <c r="C55" s="81"/>
      <c r="D55" s="82"/>
      <c r="E55" s="66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2:24" ht="15.75" customHeight="1" x14ac:dyDescent="0.25">
      <c r="B56" s="81"/>
      <c r="C56" s="81"/>
      <c r="D56" s="82"/>
      <c r="E56" s="66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2:24" ht="15.75" customHeight="1" x14ac:dyDescent="0.25">
      <c r="B57" s="81"/>
      <c r="C57" s="81"/>
      <c r="D57" s="82"/>
      <c r="E57" s="66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2:24" ht="15.75" customHeight="1" x14ac:dyDescent="0.25">
      <c r="B58" s="81"/>
      <c r="C58" s="81"/>
      <c r="D58" s="82"/>
      <c r="E58" s="66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2:24" ht="15.75" customHeight="1" x14ac:dyDescent="0.25">
      <c r="B59" s="81"/>
      <c r="C59" s="81"/>
      <c r="D59" s="82"/>
      <c r="E59" s="66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2:24" ht="15.75" customHeight="1" x14ac:dyDescent="0.25">
      <c r="B60" s="81"/>
      <c r="C60" s="81"/>
      <c r="D60" s="82"/>
      <c r="E60" s="66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2:24" ht="15.75" customHeight="1" x14ac:dyDescent="0.25">
      <c r="B61" s="81"/>
      <c r="C61" s="81"/>
      <c r="D61" s="82"/>
      <c r="E61" s="66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2:24" ht="15.75" customHeight="1" x14ac:dyDescent="0.25">
      <c r="B62" s="81"/>
      <c r="C62" s="81"/>
      <c r="D62" s="82"/>
      <c r="E62" s="66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2:24" ht="15.75" customHeight="1" x14ac:dyDescent="0.25">
      <c r="B63" s="81"/>
      <c r="C63" s="81"/>
      <c r="D63" s="82"/>
      <c r="E63" s="66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2:24" ht="15.75" customHeight="1" x14ac:dyDescent="0.25">
      <c r="B64" s="81"/>
      <c r="C64" s="81"/>
      <c r="D64" s="82"/>
      <c r="E64" s="66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2:24" ht="15.75" customHeight="1" x14ac:dyDescent="0.25">
      <c r="B65" s="81"/>
      <c r="C65" s="81"/>
      <c r="D65" s="82"/>
      <c r="E65" s="66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2:24" ht="15.75" customHeight="1" x14ac:dyDescent="0.25">
      <c r="B66" s="81"/>
      <c r="C66" s="81"/>
      <c r="D66" s="82"/>
      <c r="E66" s="66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2:24" ht="15.75" customHeight="1" x14ac:dyDescent="0.25">
      <c r="B67" s="81"/>
      <c r="C67" s="81"/>
      <c r="D67" s="82"/>
      <c r="E67" s="66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2:24" ht="15.75" customHeight="1" x14ac:dyDescent="0.25">
      <c r="B68" s="81"/>
      <c r="C68" s="81"/>
      <c r="D68" s="82"/>
      <c r="E68" s="66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2:24" ht="15.75" customHeight="1" x14ac:dyDescent="0.25">
      <c r="B69" s="81"/>
      <c r="C69" s="81"/>
      <c r="D69" s="82"/>
      <c r="E69" s="66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2:24" ht="15.75" customHeight="1" x14ac:dyDescent="0.25">
      <c r="B70" s="81"/>
      <c r="C70" s="81"/>
      <c r="D70" s="82"/>
      <c r="E70" s="66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2:24" ht="15.75" customHeight="1" x14ac:dyDescent="0.25">
      <c r="B71" s="81"/>
      <c r="C71" s="81"/>
      <c r="D71" s="82"/>
      <c r="E71" s="66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2:24" ht="15.75" customHeight="1" x14ac:dyDescent="0.25">
      <c r="B72" s="81"/>
      <c r="C72" s="81"/>
      <c r="D72" s="82"/>
      <c r="E72" s="66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2:24" ht="15.75" customHeight="1" x14ac:dyDescent="0.25">
      <c r="B73" s="81"/>
      <c r="C73" s="81"/>
      <c r="D73" s="82"/>
      <c r="E73" s="66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2:24" ht="15.75" customHeight="1" x14ac:dyDescent="0.25">
      <c r="B74" s="81"/>
      <c r="C74" s="81"/>
      <c r="D74" s="82"/>
      <c r="E74" s="66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2:24" ht="15.75" customHeight="1" x14ac:dyDescent="0.25">
      <c r="B75" s="81"/>
      <c r="C75" s="81"/>
      <c r="D75" s="82"/>
      <c r="E75" s="66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2:24" ht="15.75" customHeight="1" x14ac:dyDescent="0.25">
      <c r="B76" s="81"/>
      <c r="C76" s="81"/>
      <c r="D76" s="82"/>
      <c r="E76" s="66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2:24" ht="15.75" customHeight="1" x14ac:dyDescent="0.25">
      <c r="B77" s="81"/>
      <c r="C77" s="81"/>
      <c r="D77" s="82"/>
      <c r="E77" s="66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2:24" ht="15.75" customHeight="1" x14ac:dyDescent="0.25">
      <c r="B78" s="81"/>
      <c r="C78" s="81"/>
      <c r="D78" s="82"/>
      <c r="E78" s="66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2:24" ht="15.75" customHeight="1" x14ac:dyDescent="0.25">
      <c r="B79" s="81"/>
      <c r="C79" s="81"/>
      <c r="D79" s="82"/>
      <c r="E79" s="66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2:24" ht="15.75" customHeight="1" x14ac:dyDescent="0.25">
      <c r="B80" s="81"/>
      <c r="C80" s="81"/>
      <c r="D80" s="82"/>
      <c r="E80" s="66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2:24" ht="15.75" customHeight="1" x14ac:dyDescent="0.25">
      <c r="B81" s="81"/>
      <c r="C81" s="81"/>
      <c r="D81" s="82"/>
      <c r="E81" s="66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2:24" ht="15.75" customHeight="1" x14ac:dyDescent="0.25">
      <c r="B82" s="81"/>
      <c r="C82" s="81"/>
      <c r="D82" s="82"/>
      <c r="E82" s="66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2:24" ht="15.75" customHeight="1" x14ac:dyDescent="0.25">
      <c r="B83" s="81"/>
      <c r="C83" s="81"/>
      <c r="D83" s="82"/>
      <c r="E83" s="66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2:24" ht="15.75" customHeight="1" x14ac:dyDescent="0.25">
      <c r="B84" s="81"/>
      <c r="C84" s="81"/>
      <c r="D84" s="82"/>
      <c r="E84" s="66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2:24" ht="15.75" customHeight="1" x14ac:dyDescent="0.25">
      <c r="B85" s="81"/>
      <c r="C85" s="81"/>
      <c r="D85" s="82"/>
      <c r="E85" s="66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2:24" ht="15.75" customHeight="1" x14ac:dyDescent="0.25">
      <c r="B86" s="81"/>
      <c r="C86" s="81"/>
      <c r="D86" s="82"/>
      <c r="E86" s="66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2:24" ht="15.75" customHeight="1" x14ac:dyDescent="0.25">
      <c r="B87" s="81"/>
      <c r="C87" s="81"/>
      <c r="D87" s="82"/>
      <c r="E87" s="66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2:24" ht="15.75" customHeight="1" x14ac:dyDescent="0.25">
      <c r="B88" s="81"/>
      <c r="C88" s="81"/>
      <c r="D88" s="82"/>
      <c r="E88" s="66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2:24" ht="15.75" customHeight="1" x14ac:dyDescent="0.25">
      <c r="B89" s="81"/>
      <c r="C89" s="81"/>
      <c r="D89" s="82"/>
      <c r="E89" s="6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2:24" ht="15.75" customHeight="1" x14ac:dyDescent="0.25">
      <c r="B90" s="81"/>
      <c r="C90" s="81"/>
      <c r="D90" s="82"/>
      <c r="E90" s="66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2:24" ht="15.75" customHeight="1" x14ac:dyDescent="0.25">
      <c r="B91" s="81"/>
      <c r="C91" s="81"/>
      <c r="D91" s="82"/>
      <c r="E91" s="66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2:24" ht="15.75" customHeight="1" x14ac:dyDescent="0.25">
      <c r="B92" s="81"/>
      <c r="C92" s="81"/>
      <c r="D92" s="82"/>
      <c r="E92" s="66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2:24" ht="15.75" customHeight="1" x14ac:dyDescent="0.25">
      <c r="B93" s="81"/>
      <c r="C93" s="81"/>
      <c r="D93" s="82"/>
      <c r="E93" s="66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2:24" ht="15.75" customHeight="1" x14ac:dyDescent="0.25">
      <c r="B94" s="66"/>
      <c r="C94" s="66"/>
      <c r="D94" s="67"/>
      <c r="E94" s="66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2:24" ht="15.75" customHeight="1" x14ac:dyDescent="0.25">
      <c r="B95" s="66"/>
      <c r="C95" s="66"/>
      <c r="D95" s="67"/>
      <c r="E95" s="66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2:24" ht="15.75" customHeight="1" x14ac:dyDescent="0.25">
      <c r="B96" s="66"/>
      <c r="C96" s="66"/>
      <c r="D96" s="67"/>
      <c r="E96" s="66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2:24" ht="15.75" customHeight="1" x14ac:dyDescent="0.25">
      <c r="B97" s="66"/>
      <c r="C97" s="66"/>
      <c r="D97" s="67"/>
      <c r="E97" s="66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2:24" ht="15.75" customHeight="1" x14ac:dyDescent="0.25">
      <c r="B98" s="66"/>
      <c r="C98" s="66"/>
      <c r="D98" s="67"/>
      <c r="E98" s="66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2:24" ht="15.75" customHeight="1" x14ac:dyDescent="0.25">
      <c r="B99" s="66"/>
      <c r="C99" s="66"/>
      <c r="D99" s="67"/>
      <c r="E99" s="66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2:24" ht="15.75" customHeight="1" x14ac:dyDescent="0.25">
      <c r="B100" s="66"/>
      <c r="C100" s="66"/>
      <c r="D100" s="67"/>
      <c r="E100" s="66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2:24" ht="15.75" customHeight="1" x14ac:dyDescent="0.25">
      <c r="B101" s="66"/>
      <c r="C101" s="66"/>
      <c r="D101" s="67"/>
      <c r="E101" s="66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2:24" ht="15.75" customHeight="1" x14ac:dyDescent="0.25">
      <c r="B102" s="66"/>
      <c r="C102" s="66"/>
      <c r="D102" s="67"/>
      <c r="E102" s="66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2:24" ht="15.75" customHeight="1" x14ac:dyDescent="0.25">
      <c r="B103" s="66"/>
      <c r="C103" s="66"/>
      <c r="D103" s="67"/>
      <c r="E103" s="66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2:24" ht="15.75" customHeight="1" x14ac:dyDescent="0.25">
      <c r="B104" s="66"/>
      <c r="C104" s="66"/>
      <c r="D104" s="67"/>
      <c r="E104" s="66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2:24" ht="15.75" customHeight="1" x14ac:dyDescent="0.25">
      <c r="B105" s="66"/>
      <c r="C105" s="66"/>
      <c r="D105" s="67"/>
      <c r="E105" s="66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2:24" ht="15.75" customHeight="1" x14ac:dyDescent="0.25">
      <c r="B106" s="66"/>
      <c r="C106" s="66"/>
      <c r="D106" s="67"/>
      <c r="E106" s="66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2:24" ht="15.75" customHeight="1" x14ac:dyDescent="0.25">
      <c r="B107" s="66"/>
      <c r="C107" s="66"/>
      <c r="D107" s="67"/>
      <c r="E107" s="66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2:24" ht="15.75" customHeight="1" x14ac:dyDescent="0.25">
      <c r="B108" s="66"/>
      <c r="C108" s="66"/>
      <c r="D108" s="67"/>
      <c r="E108" s="66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2:24" ht="15.75" customHeight="1" x14ac:dyDescent="0.25">
      <c r="B109" s="66"/>
      <c r="C109" s="66"/>
      <c r="D109" s="67"/>
      <c r="E109" s="6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2:24" ht="15.75" customHeight="1" x14ac:dyDescent="0.25">
      <c r="B110" s="66"/>
      <c r="C110" s="66"/>
      <c r="D110" s="67"/>
      <c r="E110" s="66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2:24" ht="15.75" customHeight="1" x14ac:dyDescent="0.25">
      <c r="B111" s="66"/>
      <c r="C111" s="66"/>
      <c r="D111" s="67"/>
      <c r="E111" s="66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2:24" ht="15.75" customHeight="1" x14ac:dyDescent="0.25">
      <c r="B112" s="66"/>
      <c r="C112" s="66"/>
      <c r="D112" s="67"/>
      <c r="E112" s="66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2:24" ht="15.75" customHeight="1" x14ac:dyDescent="0.25">
      <c r="B113" s="66"/>
      <c r="C113" s="66"/>
      <c r="D113" s="67"/>
      <c r="E113" s="66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2:24" ht="15.75" customHeight="1" x14ac:dyDescent="0.25">
      <c r="B114" s="66"/>
      <c r="C114" s="66"/>
      <c r="D114" s="67"/>
      <c r="E114" s="66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2:24" ht="15.75" customHeight="1" x14ac:dyDescent="0.25">
      <c r="B115" s="66"/>
      <c r="C115" s="66"/>
      <c r="D115" s="67"/>
      <c r="E115" s="66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2:24" ht="15.75" customHeight="1" x14ac:dyDescent="0.25">
      <c r="B116" s="66"/>
      <c r="C116" s="66"/>
      <c r="D116" s="67"/>
      <c r="E116" s="6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2:24" ht="15.75" customHeight="1" x14ac:dyDescent="0.25">
      <c r="B117" s="66"/>
      <c r="C117" s="66"/>
      <c r="D117" s="67"/>
      <c r="E117" s="6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spans="2:24" ht="15.75" customHeight="1" x14ac:dyDescent="0.25">
      <c r="B118" s="66"/>
      <c r="C118" s="66"/>
      <c r="D118" s="67"/>
      <c r="E118" s="66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2:24" ht="15.75" customHeight="1" x14ac:dyDescent="0.25">
      <c r="B119" s="66"/>
      <c r="C119" s="66"/>
      <c r="D119" s="67"/>
      <c r="E119" s="66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spans="2:24" ht="15.75" customHeight="1" x14ac:dyDescent="0.25">
      <c r="B120" s="66"/>
      <c r="C120" s="66"/>
      <c r="D120" s="67"/>
      <c r="E120" s="66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2:24" ht="15.75" customHeight="1" x14ac:dyDescent="0.25">
      <c r="B121" s="66"/>
      <c r="C121" s="66"/>
      <c r="D121" s="67"/>
      <c r="E121" s="66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spans="2:24" ht="15.75" customHeight="1" x14ac:dyDescent="0.25">
      <c r="B122" s="66"/>
      <c r="C122" s="66"/>
      <c r="D122" s="67"/>
      <c r="E122" s="66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spans="2:24" ht="15.75" customHeight="1" x14ac:dyDescent="0.25">
      <c r="B123" s="66"/>
      <c r="C123" s="66"/>
      <c r="D123" s="67"/>
      <c r="E123" s="66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spans="2:24" ht="15.75" customHeight="1" x14ac:dyDescent="0.25">
      <c r="B124" s="66"/>
      <c r="C124" s="66"/>
      <c r="D124" s="67"/>
      <c r="E124" s="66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spans="2:24" ht="15.75" customHeight="1" x14ac:dyDescent="0.25">
      <c r="B125" s="66"/>
      <c r="C125" s="66"/>
      <c r="D125" s="67"/>
      <c r="E125" s="66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spans="2:24" ht="15.75" customHeight="1" x14ac:dyDescent="0.25">
      <c r="B126" s="66"/>
      <c r="C126" s="66"/>
      <c r="D126" s="67"/>
      <c r="E126" s="66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spans="2:24" ht="15.75" customHeight="1" x14ac:dyDescent="0.25">
      <c r="B127" s="66"/>
      <c r="C127" s="66"/>
      <c r="D127" s="67"/>
      <c r="E127" s="66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2:24" ht="15.75" customHeight="1" x14ac:dyDescent="0.25">
      <c r="B128" s="66"/>
      <c r="C128" s="66"/>
      <c r="D128" s="67"/>
      <c r="E128" s="6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spans="2:24" ht="15.75" customHeight="1" x14ac:dyDescent="0.25">
      <c r="B129" s="66"/>
      <c r="C129" s="66"/>
      <c r="D129" s="67"/>
      <c r="E129" s="6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spans="2:24" ht="15.75" customHeight="1" x14ac:dyDescent="0.25">
      <c r="B130" s="66"/>
      <c r="C130" s="66"/>
      <c r="D130" s="67"/>
      <c r="E130" s="66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2:24" ht="15.75" customHeight="1" x14ac:dyDescent="0.25">
      <c r="B131" s="66"/>
      <c r="C131" s="66"/>
      <c r="D131" s="67"/>
      <c r="E131" s="66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spans="2:24" ht="15.75" customHeight="1" x14ac:dyDescent="0.25">
      <c r="B132" s="66"/>
      <c r="C132" s="66"/>
      <c r="D132" s="67"/>
      <c r="E132" s="66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2:24" ht="15.75" customHeight="1" x14ac:dyDescent="0.25">
      <c r="B133" s="66"/>
      <c r="C133" s="66"/>
      <c r="D133" s="67"/>
      <c r="E133" s="66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spans="2:24" ht="15.75" customHeight="1" x14ac:dyDescent="0.25">
      <c r="B134" s="66"/>
      <c r="C134" s="66"/>
      <c r="D134" s="67"/>
      <c r="E134" s="66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2:24" ht="15.75" customHeight="1" x14ac:dyDescent="0.25">
      <c r="B135" s="66"/>
      <c r="C135" s="66"/>
      <c r="D135" s="67"/>
      <c r="E135" s="6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spans="2:24" ht="15.75" customHeight="1" x14ac:dyDescent="0.25">
      <c r="B136" s="66"/>
      <c r="C136" s="66"/>
      <c r="D136" s="67"/>
      <c r="E136" s="66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2:24" ht="15.75" customHeight="1" x14ac:dyDescent="0.25">
      <c r="B137" s="66"/>
      <c r="C137" s="66"/>
      <c r="D137" s="67"/>
      <c r="E137" s="66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2:24" ht="15.75" customHeight="1" x14ac:dyDescent="0.25">
      <c r="B138" s="66"/>
      <c r="C138" s="66"/>
      <c r="D138" s="67"/>
      <c r="E138" s="66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2:24" ht="15.75" customHeight="1" x14ac:dyDescent="0.25">
      <c r="B139" s="66"/>
      <c r="C139" s="66"/>
      <c r="D139" s="67"/>
      <c r="E139" s="66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2:24" ht="15.75" customHeight="1" x14ac:dyDescent="0.25">
      <c r="B140" s="66"/>
      <c r="C140" s="66"/>
      <c r="D140" s="67"/>
      <c r="E140" s="6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2:24" ht="15.75" customHeight="1" x14ac:dyDescent="0.25">
      <c r="B141" s="66"/>
      <c r="C141" s="66"/>
      <c r="D141" s="67"/>
      <c r="E141" s="66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2:24" ht="15.75" customHeight="1" x14ac:dyDescent="0.25">
      <c r="B142" s="66"/>
      <c r="C142" s="66"/>
      <c r="D142" s="67"/>
      <c r="E142" s="66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2:24" ht="15.75" customHeight="1" x14ac:dyDescent="0.25">
      <c r="B143" s="66"/>
      <c r="C143" s="66"/>
      <c r="D143" s="67"/>
      <c r="E143" s="66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2:24" ht="15.75" customHeight="1" x14ac:dyDescent="0.25">
      <c r="B144" s="66"/>
      <c r="C144" s="66"/>
      <c r="D144" s="67"/>
      <c r="E144" s="66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2:24" ht="15.75" customHeight="1" x14ac:dyDescent="0.25">
      <c r="B145" s="66"/>
      <c r="C145" s="66"/>
      <c r="D145" s="67"/>
      <c r="E145" s="6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2:24" ht="15.75" customHeight="1" x14ac:dyDescent="0.25">
      <c r="B146" s="66"/>
      <c r="C146" s="66"/>
      <c r="D146" s="67"/>
      <c r="E146" s="66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spans="2:24" ht="15.75" customHeight="1" x14ac:dyDescent="0.25">
      <c r="B147" s="66"/>
      <c r="C147" s="66"/>
      <c r="D147" s="67"/>
      <c r="E147" s="66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2:24" ht="15.75" customHeight="1" x14ac:dyDescent="0.25">
      <c r="B148" s="66"/>
      <c r="C148" s="66"/>
      <c r="D148" s="67"/>
      <c r="E148" s="66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spans="2:24" ht="15.75" customHeight="1" x14ac:dyDescent="0.25">
      <c r="B149" s="66"/>
      <c r="C149" s="66"/>
      <c r="D149" s="67"/>
      <c r="E149" s="6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2:24" ht="15.75" customHeight="1" x14ac:dyDescent="0.25">
      <c r="B150" s="66"/>
      <c r="C150" s="66"/>
      <c r="D150" s="67"/>
      <c r="E150" s="66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2:24" ht="15.75" customHeight="1" x14ac:dyDescent="0.25">
      <c r="B151" s="66"/>
      <c r="C151" s="66"/>
      <c r="D151" s="67"/>
      <c r="E151" s="66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spans="2:24" ht="15.75" customHeight="1" x14ac:dyDescent="0.25">
      <c r="B152" s="66"/>
      <c r="C152" s="66"/>
      <c r="D152" s="67"/>
      <c r="E152" s="6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spans="2:24" ht="15.75" customHeight="1" x14ac:dyDescent="0.25">
      <c r="B153" s="66"/>
      <c r="C153" s="66"/>
      <c r="D153" s="67"/>
      <c r="E153" s="66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spans="2:24" ht="15.75" customHeight="1" x14ac:dyDescent="0.25">
      <c r="B154" s="66"/>
      <c r="C154" s="66"/>
      <c r="D154" s="67"/>
      <c r="E154" s="66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spans="2:24" ht="15.75" customHeight="1" x14ac:dyDescent="0.25">
      <c r="B155" s="66"/>
      <c r="C155" s="66"/>
      <c r="D155" s="67"/>
      <c r="E155" s="66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spans="2:24" ht="15.75" customHeight="1" x14ac:dyDescent="0.25">
      <c r="B156" s="66"/>
      <c r="C156" s="66"/>
      <c r="D156" s="67"/>
      <c r="E156" s="66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spans="2:24" ht="15.75" customHeight="1" x14ac:dyDescent="0.25">
      <c r="B157" s="66"/>
      <c r="C157" s="66"/>
      <c r="D157" s="67"/>
      <c r="E157" s="66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spans="2:24" ht="15.75" customHeight="1" x14ac:dyDescent="0.25">
      <c r="B158" s="66"/>
      <c r="C158" s="66"/>
      <c r="D158" s="67"/>
      <c r="E158" s="66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spans="2:24" ht="15.75" customHeight="1" x14ac:dyDescent="0.25">
      <c r="B159" s="66"/>
      <c r="C159" s="66"/>
      <c r="D159" s="67"/>
      <c r="E159" s="66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2:24" ht="15.75" customHeight="1" x14ac:dyDescent="0.25">
      <c r="B160" s="66"/>
      <c r="C160" s="66"/>
      <c r="D160" s="67"/>
      <c r="E160" s="66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spans="2:24" ht="15.75" customHeight="1" x14ac:dyDescent="0.25">
      <c r="B161" s="66"/>
      <c r="C161" s="66"/>
      <c r="D161" s="67"/>
      <c r="E161" s="66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spans="2:24" ht="15.75" customHeight="1" x14ac:dyDescent="0.25">
      <c r="B162" s="66"/>
      <c r="C162" s="66"/>
      <c r="D162" s="67"/>
      <c r="E162" s="66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spans="2:24" ht="15.75" customHeight="1" x14ac:dyDescent="0.25">
      <c r="B163" s="66"/>
      <c r="C163" s="66"/>
      <c r="D163" s="67"/>
      <c r="E163" s="66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spans="2:24" ht="15.75" customHeight="1" x14ac:dyDescent="0.25">
      <c r="B164" s="66"/>
      <c r="C164" s="66"/>
      <c r="D164" s="67"/>
      <c r="E164" s="6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spans="2:24" ht="15.75" customHeight="1" x14ac:dyDescent="0.25">
      <c r="B165" s="66"/>
      <c r="C165" s="66"/>
      <c r="D165" s="67"/>
      <c r="E165" s="66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spans="2:24" ht="15.75" customHeight="1" x14ac:dyDescent="0.25">
      <c r="B166" s="66"/>
      <c r="C166" s="66"/>
      <c r="D166" s="67"/>
      <c r="E166" s="66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2:24" ht="15.75" customHeight="1" x14ac:dyDescent="0.25">
      <c r="B167" s="66"/>
      <c r="C167" s="66"/>
      <c r="D167" s="67"/>
      <c r="E167" s="66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spans="2:24" ht="15.75" customHeight="1" x14ac:dyDescent="0.25">
      <c r="B168" s="66"/>
      <c r="C168" s="66"/>
      <c r="D168" s="67"/>
      <c r="E168" s="66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spans="2:24" ht="15.75" customHeight="1" x14ac:dyDescent="0.25">
      <c r="B169" s="66"/>
      <c r="C169" s="66"/>
      <c r="D169" s="67"/>
      <c r="E169" s="66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spans="2:24" ht="15.75" customHeight="1" x14ac:dyDescent="0.25">
      <c r="B170" s="66"/>
      <c r="C170" s="66"/>
      <c r="D170" s="67"/>
      <c r="E170" s="66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spans="2:24" ht="15.75" customHeight="1" x14ac:dyDescent="0.25">
      <c r="B171" s="66"/>
      <c r="C171" s="66"/>
      <c r="D171" s="67"/>
      <c r="E171" s="66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spans="2:24" ht="15.75" customHeight="1" x14ac:dyDescent="0.25">
      <c r="B172" s="66"/>
      <c r="C172" s="66"/>
      <c r="D172" s="67"/>
      <c r="E172" s="66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spans="2:24" ht="15.75" customHeight="1" x14ac:dyDescent="0.25">
      <c r="B173" s="66"/>
      <c r="C173" s="66"/>
      <c r="D173" s="67"/>
      <c r="E173" s="6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spans="2:24" ht="15.75" customHeight="1" x14ac:dyDescent="0.25">
      <c r="B174" s="66"/>
      <c r="C174" s="66"/>
      <c r="D174" s="67"/>
      <c r="E174" s="66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spans="2:24" ht="15.75" customHeight="1" x14ac:dyDescent="0.25">
      <c r="B175" s="66"/>
      <c r="C175" s="66"/>
      <c r="D175" s="67"/>
      <c r="E175" s="66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spans="2:24" ht="15.75" customHeight="1" x14ac:dyDescent="0.25">
      <c r="B176" s="66"/>
      <c r="C176" s="66"/>
      <c r="D176" s="67"/>
      <c r="E176" s="6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spans="2:24" ht="15.75" customHeight="1" x14ac:dyDescent="0.25">
      <c r="B177" s="66"/>
      <c r="C177" s="66"/>
      <c r="D177" s="67"/>
      <c r="E177" s="66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spans="2:24" ht="15.75" customHeight="1" x14ac:dyDescent="0.25">
      <c r="B178" s="66"/>
      <c r="C178" s="66"/>
      <c r="D178" s="67"/>
      <c r="E178" s="66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spans="2:24" ht="15.75" customHeight="1" x14ac:dyDescent="0.25">
      <c r="B179" s="66"/>
      <c r="C179" s="66"/>
      <c r="D179" s="67"/>
      <c r="E179" s="66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spans="2:24" ht="15.75" customHeight="1" x14ac:dyDescent="0.25">
      <c r="B180" s="66"/>
      <c r="C180" s="66"/>
      <c r="D180" s="67"/>
      <c r="E180" s="66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spans="2:24" ht="15.75" customHeight="1" x14ac:dyDescent="0.25">
      <c r="B181" s="66"/>
      <c r="C181" s="66"/>
      <c r="D181" s="67"/>
      <c r="E181" s="66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spans="2:24" ht="15.75" customHeight="1" x14ac:dyDescent="0.25">
      <c r="B182" s="66"/>
      <c r="C182" s="66"/>
      <c r="D182" s="67"/>
      <c r="E182" s="66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spans="2:24" ht="15.75" customHeight="1" x14ac:dyDescent="0.25">
      <c r="B183" s="66"/>
      <c r="C183" s="66"/>
      <c r="D183" s="67"/>
      <c r="E183" s="66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spans="2:24" ht="15.75" customHeight="1" x14ac:dyDescent="0.25">
      <c r="B184" s="66"/>
      <c r="C184" s="66"/>
      <c r="D184" s="67"/>
      <c r="E184" s="66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spans="2:24" ht="15.75" customHeight="1" x14ac:dyDescent="0.25">
      <c r="B185" s="66"/>
      <c r="C185" s="66"/>
      <c r="D185" s="67"/>
      <c r="E185" s="6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spans="2:24" ht="15.75" customHeight="1" x14ac:dyDescent="0.25">
      <c r="B186" s="66"/>
      <c r="C186" s="66"/>
      <c r="D186" s="67"/>
      <c r="E186" s="66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spans="2:24" ht="15.75" customHeight="1" x14ac:dyDescent="0.25">
      <c r="B187" s="66"/>
      <c r="C187" s="66"/>
      <c r="D187" s="67"/>
      <c r="E187" s="66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spans="2:24" ht="15.75" customHeight="1" x14ac:dyDescent="0.25">
      <c r="B188" s="66"/>
      <c r="C188" s="66"/>
      <c r="D188" s="67"/>
      <c r="E188" s="66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spans="2:24" ht="15.75" customHeight="1" x14ac:dyDescent="0.25">
      <c r="B189" s="66"/>
      <c r="C189" s="66"/>
      <c r="D189" s="67"/>
      <c r="E189" s="66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spans="2:24" ht="15.75" customHeight="1" x14ac:dyDescent="0.25">
      <c r="B190" s="66"/>
      <c r="C190" s="66"/>
      <c r="D190" s="67"/>
      <c r="E190" s="66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spans="2:24" ht="15.75" customHeight="1" x14ac:dyDescent="0.25">
      <c r="B191" s="66"/>
      <c r="C191" s="66"/>
      <c r="D191" s="67"/>
      <c r="E191" s="6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spans="2:24" ht="15.75" customHeight="1" x14ac:dyDescent="0.25">
      <c r="B192" s="66"/>
      <c r="C192" s="66"/>
      <c r="D192" s="67"/>
      <c r="E192" s="66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spans="2:24" ht="15.75" customHeight="1" x14ac:dyDescent="0.25">
      <c r="B193" s="66"/>
      <c r="C193" s="66"/>
      <c r="D193" s="67"/>
      <c r="E193" s="66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spans="2:24" ht="15.75" customHeight="1" x14ac:dyDescent="0.25">
      <c r="B194" s="66"/>
      <c r="C194" s="66"/>
      <c r="D194" s="67"/>
      <c r="E194" s="66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spans="2:24" ht="15.75" customHeight="1" x14ac:dyDescent="0.25">
      <c r="B195" s="66"/>
      <c r="C195" s="66"/>
      <c r="D195" s="67"/>
      <c r="E195" s="66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spans="2:24" ht="15.75" customHeight="1" x14ac:dyDescent="0.25">
      <c r="B196" s="66"/>
      <c r="C196" s="66"/>
      <c r="D196" s="67"/>
      <c r="E196" s="66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spans="2:24" ht="15.75" customHeight="1" x14ac:dyDescent="0.25">
      <c r="B197" s="66"/>
      <c r="C197" s="66"/>
      <c r="D197" s="67"/>
      <c r="E197" s="66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spans="2:24" ht="15.75" customHeight="1" x14ac:dyDescent="0.25">
      <c r="B198" s="66"/>
      <c r="C198" s="66"/>
      <c r="D198" s="67"/>
      <c r="E198" s="6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spans="2:24" ht="15.75" customHeight="1" x14ac:dyDescent="0.25">
      <c r="B199" s="66"/>
      <c r="C199" s="66"/>
      <c r="D199" s="67"/>
      <c r="E199" s="66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spans="2:24" ht="15.75" customHeight="1" x14ac:dyDescent="0.25">
      <c r="B200" s="66"/>
      <c r="C200" s="66"/>
      <c r="D200" s="67"/>
      <c r="E200" s="6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spans="2:24" ht="15.75" customHeight="1" x14ac:dyDescent="0.25">
      <c r="B201" s="66"/>
      <c r="C201" s="66"/>
      <c r="D201" s="67"/>
      <c r="E201" s="66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spans="2:24" ht="15.75" customHeight="1" x14ac:dyDescent="0.25">
      <c r="B202" s="66"/>
      <c r="C202" s="66"/>
      <c r="D202" s="67"/>
      <c r="E202" s="66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spans="2:24" ht="15.75" customHeight="1" x14ac:dyDescent="0.25">
      <c r="B203" s="66"/>
      <c r="C203" s="66"/>
      <c r="D203" s="67"/>
      <c r="E203" s="66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spans="2:24" ht="15.75" customHeight="1" x14ac:dyDescent="0.25">
      <c r="B204" s="66"/>
      <c r="C204" s="66"/>
      <c r="D204" s="67"/>
      <c r="E204" s="66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spans="2:24" ht="15.75" customHeight="1" x14ac:dyDescent="0.25">
      <c r="B205" s="66"/>
      <c r="C205" s="66"/>
      <c r="D205" s="67"/>
      <c r="E205" s="66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spans="2:24" ht="15.75" customHeight="1" x14ac:dyDescent="0.25">
      <c r="B206" s="66"/>
      <c r="C206" s="66"/>
      <c r="D206" s="67"/>
      <c r="E206" s="66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spans="2:24" ht="15.75" customHeight="1" x14ac:dyDescent="0.25">
      <c r="B207" s="66"/>
      <c r="C207" s="66"/>
      <c r="D207" s="67"/>
      <c r="E207" s="66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spans="2:24" ht="15.75" customHeight="1" x14ac:dyDescent="0.25">
      <c r="B208" s="66"/>
      <c r="C208" s="66"/>
      <c r="D208" s="67"/>
      <c r="E208" s="66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spans="2:24" ht="15.75" customHeight="1" x14ac:dyDescent="0.25">
      <c r="B209" s="66"/>
      <c r="C209" s="66"/>
      <c r="D209" s="67"/>
      <c r="E209" s="66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spans="2:24" ht="15.75" customHeight="1" x14ac:dyDescent="0.25">
      <c r="B210" s="66"/>
      <c r="C210" s="66"/>
      <c r="D210" s="67"/>
      <c r="E210" s="66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spans="2:24" ht="15.75" customHeight="1" x14ac:dyDescent="0.25">
      <c r="B211" s="66"/>
      <c r="C211" s="66"/>
      <c r="D211" s="67"/>
      <c r="E211" s="66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spans="2:24" ht="15.75" customHeight="1" x14ac:dyDescent="0.25">
      <c r="B212" s="66"/>
      <c r="C212" s="66"/>
      <c r="D212" s="67"/>
      <c r="E212" s="6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spans="2:24" ht="15.75" customHeight="1" x14ac:dyDescent="0.25">
      <c r="B213" s="66"/>
      <c r="C213" s="66"/>
      <c r="D213" s="67"/>
      <c r="E213" s="66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spans="2:24" ht="15.75" customHeight="1" x14ac:dyDescent="0.25">
      <c r="B214" s="66"/>
      <c r="C214" s="66"/>
      <c r="D214" s="67"/>
      <c r="E214" s="66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spans="2:24" ht="15.75" customHeight="1" x14ac:dyDescent="0.25">
      <c r="B215" s="66"/>
      <c r="C215" s="66"/>
      <c r="D215" s="67"/>
      <c r="E215" s="66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spans="2:24" ht="15.75" customHeight="1" x14ac:dyDescent="0.25">
      <c r="B216" s="66"/>
      <c r="C216" s="66"/>
      <c r="D216" s="67"/>
      <c r="E216" s="66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spans="2:24" ht="15.75" customHeight="1" x14ac:dyDescent="0.25">
      <c r="B217" s="66"/>
      <c r="C217" s="66"/>
      <c r="D217" s="67"/>
      <c r="E217" s="66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spans="2:24" ht="15.75" customHeight="1" x14ac:dyDescent="0.25">
      <c r="B218" s="66"/>
      <c r="C218" s="66"/>
      <c r="D218" s="67"/>
      <c r="E218" s="66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spans="2:24" ht="15.75" customHeight="1" x14ac:dyDescent="0.25">
      <c r="B219" s="66"/>
      <c r="C219" s="66"/>
      <c r="D219" s="67"/>
      <c r="E219" s="66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spans="2:24" ht="15.75" customHeight="1" x14ac:dyDescent="0.25">
      <c r="B220" s="66"/>
      <c r="C220" s="66"/>
      <c r="D220" s="67"/>
      <c r="E220" s="66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spans="2:24" ht="15.75" customHeight="1" x14ac:dyDescent="0.25">
      <c r="B221" s="66"/>
      <c r="C221" s="66"/>
      <c r="D221" s="67"/>
      <c r="E221" s="66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spans="2:24" ht="15.75" customHeight="1" x14ac:dyDescent="0.25">
      <c r="B222" s="66"/>
      <c r="C222" s="66"/>
      <c r="D222" s="67"/>
      <c r="E222" s="66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spans="2:24" ht="15.75" customHeight="1" x14ac:dyDescent="0.25">
      <c r="B223" s="66"/>
      <c r="C223" s="66"/>
      <c r="D223" s="67"/>
      <c r="E223" s="66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spans="2:24" ht="15.75" customHeight="1" x14ac:dyDescent="0.25">
      <c r="B224" s="66"/>
      <c r="C224" s="66"/>
      <c r="D224" s="67"/>
      <c r="E224" s="6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spans="2:24" ht="15.75" customHeight="1" x14ac:dyDescent="0.25">
      <c r="B225" s="66"/>
      <c r="C225" s="66"/>
      <c r="D225" s="67"/>
      <c r="E225" s="66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spans="2:24" ht="15.75" customHeight="1" x14ac:dyDescent="0.25">
      <c r="B226" s="66"/>
      <c r="C226" s="66"/>
      <c r="D226" s="67"/>
      <c r="E226" s="66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spans="2:24" ht="15.75" customHeight="1" x14ac:dyDescent="0.25">
      <c r="B227" s="66"/>
      <c r="C227" s="66"/>
      <c r="D227" s="67"/>
      <c r="E227" s="66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spans="2:24" ht="15.75" customHeight="1" x14ac:dyDescent="0.25">
      <c r="B228" s="66"/>
      <c r="C228" s="66"/>
      <c r="D228" s="67"/>
      <c r="E228" s="66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spans="2:24" ht="15.75" customHeight="1" x14ac:dyDescent="0.25">
      <c r="B229" s="66"/>
      <c r="C229" s="66"/>
      <c r="D229" s="67"/>
      <c r="E229" s="66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spans="2:24" ht="15.75" customHeight="1" x14ac:dyDescent="0.25">
      <c r="B230" s="66"/>
      <c r="C230" s="66"/>
      <c r="D230" s="67"/>
      <c r="E230" s="66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spans="2:24" ht="15.75" customHeight="1" x14ac:dyDescent="0.25">
      <c r="B231" s="66"/>
      <c r="C231" s="66"/>
      <c r="D231" s="67"/>
      <c r="E231" s="66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spans="2:24" ht="15.75" customHeight="1" x14ac:dyDescent="0.25">
      <c r="B232" s="66"/>
      <c r="C232" s="66"/>
      <c r="D232" s="67"/>
      <c r="E232" s="66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spans="2:24" ht="15.75" customHeight="1" x14ac:dyDescent="0.25">
      <c r="B233" s="66"/>
      <c r="C233" s="66"/>
      <c r="D233" s="67"/>
      <c r="E233" s="66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spans="2:24" ht="15.75" customHeight="1" x14ac:dyDescent="0.25">
      <c r="B234" s="66"/>
      <c r="C234" s="66"/>
      <c r="D234" s="67"/>
      <c r="E234" s="66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spans="2:24" ht="15.75" customHeight="1" x14ac:dyDescent="0.25">
      <c r="B235" s="66"/>
      <c r="C235" s="66"/>
      <c r="D235" s="67"/>
      <c r="E235" s="66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spans="2:24" ht="15.75" customHeight="1" x14ac:dyDescent="0.25">
      <c r="B236" s="66"/>
      <c r="C236" s="66"/>
      <c r="D236" s="67"/>
      <c r="E236" s="6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spans="2:24" ht="15.75" customHeight="1" x14ac:dyDescent="0.25">
      <c r="B237" s="66"/>
      <c r="C237" s="66"/>
      <c r="D237" s="67"/>
      <c r="E237" s="66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spans="2:24" ht="15.75" customHeight="1" x14ac:dyDescent="0.25">
      <c r="B238" s="66"/>
      <c r="C238" s="66"/>
      <c r="D238" s="67"/>
      <c r="E238" s="66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spans="2:24" ht="15.75" customHeight="1" x14ac:dyDescent="0.25">
      <c r="B239" s="66"/>
      <c r="C239" s="66"/>
      <c r="D239" s="67"/>
      <c r="E239" s="66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spans="2:24" ht="15.75" customHeight="1" x14ac:dyDescent="0.25">
      <c r="B240" s="66"/>
      <c r="C240" s="66"/>
      <c r="D240" s="67"/>
      <c r="E240" s="66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spans="2:24" ht="15.75" customHeight="1" x14ac:dyDescent="0.25">
      <c r="B241" s="66"/>
      <c r="C241" s="66"/>
      <c r="D241" s="67"/>
      <c r="E241" s="66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spans="2:24" ht="15.75" customHeight="1" x14ac:dyDescent="0.25">
      <c r="B242" s="66"/>
      <c r="C242" s="66"/>
      <c r="D242" s="67"/>
      <c r="E242" s="66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spans="2:24" ht="15.75" customHeight="1" x14ac:dyDescent="0.25">
      <c r="B243" s="18"/>
      <c r="C243" s="18"/>
      <c r="D243" s="6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spans="2:24" ht="15.75" customHeight="1" x14ac:dyDescent="0.25">
      <c r="B244" s="18"/>
      <c r="C244" s="18"/>
      <c r="D244" s="6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spans="2:24" ht="15.75" customHeight="1" x14ac:dyDescent="0.25">
      <c r="B245" s="18"/>
      <c r="C245" s="18"/>
      <c r="D245" s="6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spans="2:24" ht="15.75" customHeight="1" x14ac:dyDescent="0.25">
      <c r="B246" s="18"/>
      <c r="C246" s="18"/>
      <c r="D246" s="6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spans="2:24" ht="15.75" customHeight="1" x14ac:dyDescent="0.25">
      <c r="B247" s="18"/>
      <c r="C247" s="18"/>
      <c r="D247" s="6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spans="2:24" ht="15.75" customHeight="1" x14ac:dyDescent="0.25">
      <c r="B248" s="18"/>
      <c r="C248" s="18"/>
      <c r="D248" s="6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spans="2:24" ht="15.75" customHeight="1" x14ac:dyDescent="0.25">
      <c r="B249" s="18"/>
      <c r="C249" s="18"/>
      <c r="D249" s="6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spans="2:24" ht="15.75" customHeight="1" x14ac:dyDescent="0.25">
      <c r="B250" s="18"/>
      <c r="C250" s="18"/>
      <c r="D250" s="6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spans="2:24" ht="15.75" customHeight="1" x14ac:dyDescent="0.25">
      <c r="B251" s="18"/>
      <c r="C251" s="18"/>
      <c r="D251" s="6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spans="2:24" ht="15.75" customHeight="1" x14ac:dyDescent="0.25">
      <c r="B252" s="18"/>
      <c r="C252" s="18"/>
      <c r="D252" s="6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spans="2:24" ht="15.75" customHeight="1" x14ac:dyDescent="0.25">
      <c r="B253" s="18"/>
      <c r="C253" s="18"/>
      <c r="D253" s="6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spans="2:24" ht="15.75" customHeight="1" x14ac:dyDescent="0.25">
      <c r="B254" s="18"/>
      <c r="C254" s="18"/>
      <c r="D254" s="6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spans="2:24" ht="15.75" customHeight="1" x14ac:dyDescent="0.25">
      <c r="B255" s="18"/>
      <c r="C255" s="18"/>
      <c r="D255" s="6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spans="2:24" ht="15.75" customHeight="1" x14ac:dyDescent="0.25">
      <c r="B256" s="18"/>
      <c r="C256" s="18"/>
      <c r="D256" s="6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spans="2:24" ht="15.75" customHeight="1" x14ac:dyDescent="0.25">
      <c r="B257" s="18"/>
      <c r="C257" s="18"/>
      <c r="D257" s="6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spans="2:24" ht="15.75" customHeight="1" x14ac:dyDescent="0.25">
      <c r="B258" s="18"/>
      <c r="C258" s="18"/>
      <c r="D258" s="6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spans="2:24" ht="15.75" customHeight="1" x14ac:dyDescent="0.25">
      <c r="B259" s="18"/>
      <c r="C259" s="18"/>
      <c r="D259" s="6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spans="2:24" ht="15.75" customHeight="1" x14ac:dyDescent="0.25">
      <c r="B260" s="18"/>
      <c r="C260" s="18"/>
      <c r="D260" s="6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spans="2:24" ht="15.75" customHeight="1" x14ac:dyDescent="0.25">
      <c r="B261" s="18"/>
      <c r="C261" s="18"/>
      <c r="D261" s="6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spans="2:24" ht="15.75" customHeight="1" x14ac:dyDescent="0.25">
      <c r="B262" s="18"/>
      <c r="C262" s="18"/>
      <c r="D262" s="6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spans="2:24" ht="15.75" customHeight="1" x14ac:dyDescent="0.25">
      <c r="B263" s="18"/>
      <c r="C263" s="18"/>
      <c r="D263" s="6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spans="2:24" ht="15.75" customHeight="1" x14ac:dyDescent="0.25">
      <c r="B264" s="18"/>
      <c r="C264" s="18"/>
      <c r="D264" s="6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spans="2:24" ht="15.75" customHeight="1" x14ac:dyDescent="0.25">
      <c r="B265" s="18"/>
      <c r="C265" s="18"/>
      <c r="D265" s="6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spans="2:24" ht="15.75" customHeight="1" x14ac:dyDescent="0.25">
      <c r="B266" s="18"/>
      <c r="C266" s="18"/>
      <c r="D266" s="6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spans="2:24" ht="15.75" customHeight="1" x14ac:dyDescent="0.25">
      <c r="B267" s="18"/>
      <c r="C267" s="18"/>
      <c r="D267" s="6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spans="2:24" ht="15.75" customHeight="1" x14ac:dyDescent="0.25">
      <c r="B268" s="18"/>
      <c r="C268" s="18"/>
      <c r="D268" s="6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spans="2:24" ht="15.75" customHeight="1" x14ac:dyDescent="0.25">
      <c r="B269" s="18"/>
      <c r="C269" s="18"/>
      <c r="D269" s="6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spans="2:24" ht="15.75" customHeight="1" x14ac:dyDescent="0.25">
      <c r="B270" s="18"/>
      <c r="C270" s="18"/>
      <c r="D270" s="6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spans="2:24" ht="15.75" customHeight="1" x14ac:dyDescent="0.25">
      <c r="B271" s="18"/>
      <c r="C271" s="18"/>
      <c r="D271" s="6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spans="2:24" ht="15.75" customHeight="1" x14ac:dyDescent="0.25">
      <c r="B272" s="18"/>
      <c r="C272" s="18"/>
      <c r="D272" s="6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spans="2:24" ht="15.75" customHeight="1" x14ac:dyDescent="0.25">
      <c r="B273" s="18"/>
      <c r="C273" s="18"/>
      <c r="D273" s="6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spans="2:24" ht="15.75" customHeight="1" x14ac:dyDescent="0.25">
      <c r="B274" s="18"/>
      <c r="C274" s="18"/>
      <c r="D274" s="6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spans="2:24" ht="15.75" customHeight="1" x14ac:dyDescent="0.25">
      <c r="B275" s="18"/>
      <c r="C275" s="18"/>
      <c r="D275" s="6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spans="2:24" ht="15.75" customHeight="1" x14ac:dyDescent="0.25">
      <c r="B276" s="18"/>
      <c r="C276" s="18"/>
      <c r="D276" s="6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spans="2:24" ht="15.75" customHeight="1" x14ac:dyDescent="0.25">
      <c r="B277" s="18"/>
      <c r="C277" s="18"/>
      <c r="D277" s="6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spans="2:24" ht="15.75" customHeight="1" x14ac:dyDescent="0.25">
      <c r="B278" s="18"/>
      <c r="C278" s="18"/>
      <c r="D278" s="6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spans="2:24" ht="15.75" customHeight="1" x14ac:dyDescent="0.25">
      <c r="B279" s="18"/>
      <c r="C279" s="18"/>
      <c r="D279" s="6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spans="2:24" ht="15.75" customHeight="1" x14ac:dyDescent="0.25">
      <c r="B280" s="18"/>
      <c r="C280" s="18"/>
      <c r="D280" s="6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spans="2:24" ht="15.75" customHeight="1" x14ac:dyDescent="0.25">
      <c r="B281" s="18"/>
      <c r="C281" s="18"/>
      <c r="D281" s="6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spans="2:24" ht="15.75" customHeight="1" x14ac:dyDescent="0.25">
      <c r="B282" s="18"/>
      <c r="C282" s="18"/>
      <c r="D282" s="6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spans="2:24" ht="15.75" customHeight="1" x14ac:dyDescent="0.25">
      <c r="B283" s="18"/>
      <c r="C283" s="18"/>
      <c r="D283" s="6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spans="2:24" ht="15.75" customHeight="1" x14ac:dyDescent="0.25">
      <c r="B284" s="18"/>
      <c r="C284" s="18"/>
      <c r="D284" s="6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spans="2:24" ht="15.75" customHeight="1" x14ac:dyDescent="0.25">
      <c r="B285" s="18"/>
      <c r="C285" s="18"/>
      <c r="D285" s="6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spans="2:24" ht="15.75" customHeight="1" x14ac:dyDescent="0.25">
      <c r="B286" s="18"/>
      <c r="C286" s="18"/>
      <c r="D286" s="6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spans="2:24" ht="15.75" customHeight="1" x14ac:dyDescent="0.25">
      <c r="B287" s="18"/>
      <c r="C287" s="18"/>
      <c r="D287" s="6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spans="2:24" ht="15.75" customHeight="1" x14ac:dyDescent="0.25">
      <c r="B288" s="18"/>
      <c r="C288" s="18"/>
      <c r="D288" s="6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spans="2:24" ht="15.75" customHeight="1" x14ac:dyDescent="0.25">
      <c r="B289" s="18"/>
      <c r="C289" s="18"/>
      <c r="D289" s="6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spans="2:24" ht="15.75" customHeight="1" x14ac:dyDescent="0.25">
      <c r="B290" s="18"/>
      <c r="C290" s="18"/>
      <c r="D290" s="6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spans="2:24" ht="15.75" customHeight="1" x14ac:dyDescent="0.25">
      <c r="B291" s="18"/>
      <c r="C291" s="18"/>
      <c r="D291" s="6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spans="2:24" ht="15.75" customHeight="1" x14ac:dyDescent="0.25">
      <c r="B292" s="18"/>
      <c r="C292" s="18"/>
      <c r="D292" s="6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spans="2:24" ht="15.75" customHeight="1" x14ac:dyDescent="0.25">
      <c r="B293" s="18"/>
      <c r="C293" s="18"/>
      <c r="D293" s="6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spans="2:24" ht="15.75" customHeight="1" x14ac:dyDescent="0.25">
      <c r="B294" s="18"/>
      <c r="C294" s="18"/>
      <c r="D294" s="6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spans="2:24" ht="15.75" customHeight="1" x14ac:dyDescent="0.25">
      <c r="B295" s="18"/>
      <c r="C295" s="18"/>
      <c r="D295" s="6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spans="2:24" ht="15.75" customHeight="1" x14ac:dyDescent="0.25">
      <c r="B296" s="18"/>
      <c r="C296" s="18"/>
      <c r="D296" s="6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spans="2:24" ht="15.75" customHeight="1" x14ac:dyDescent="0.25">
      <c r="B297" s="18"/>
      <c r="C297" s="18"/>
      <c r="D297" s="6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spans="2:24" ht="15.75" customHeight="1" x14ac:dyDescent="0.25">
      <c r="B298" s="18"/>
      <c r="C298" s="18"/>
      <c r="D298" s="6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spans="2:24" ht="15.75" customHeight="1" x14ac:dyDescent="0.25">
      <c r="B299" s="18"/>
      <c r="C299" s="18"/>
      <c r="D299" s="6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spans="2:24" ht="15.75" customHeight="1" x14ac:dyDescent="0.25">
      <c r="B300" s="18"/>
      <c r="C300" s="18"/>
      <c r="D300" s="6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spans="2:24" ht="15.75" customHeight="1" x14ac:dyDescent="0.25">
      <c r="B301" s="18"/>
      <c r="C301" s="18"/>
      <c r="D301" s="6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spans="2:24" ht="15.75" customHeight="1" x14ac:dyDescent="0.25">
      <c r="B302" s="18"/>
      <c r="C302" s="18"/>
      <c r="D302" s="6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spans="2:24" ht="15.75" customHeight="1" x14ac:dyDescent="0.25">
      <c r="B303" s="18"/>
      <c r="C303" s="18"/>
      <c r="D303" s="6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spans="2:24" ht="15.75" customHeight="1" x14ac:dyDescent="0.25">
      <c r="B304" s="18"/>
      <c r="C304" s="18"/>
      <c r="D304" s="6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spans="2:24" ht="15.75" customHeight="1" x14ac:dyDescent="0.25">
      <c r="B305" s="18"/>
      <c r="C305" s="18"/>
      <c r="D305" s="6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spans="2:24" ht="15.75" customHeight="1" x14ac:dyDescent="0.25">
      <c r="B306" s="18"/>
      <c r="C306" s="18"/>
      <c r="D306" s="6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spans="2:24" ht="15.75" customHeight="1" x14ac:dyDescent="0.25">
      <c r="B307" s="18"/>
      <c r="C307" s="18"/>
      <c r="D307" s="6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spans="2:24" ht="15.75" customHeight="1" x14ac:dyDescent="0.25">
      <c r="B308" s="18"/>
      <c r="C308" s="18"/>
      <c r="D308" s="6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spans="2:24" ht="15.75" customHeight="1" x14ac:dyDescent="0.25">
      <c r="B309" s="18"/>
      <c r="C309" s="18"/>
      <c r="D309" s="6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spans="2:24" ht="15.75" customHeight="1" x14ac:dyDescent="0.25">
      <c r="B310" s="18"/>
      <c r="C310" s="18"/>
      <c r="D310" s="6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spans="2:24" ht="15.75" customHeight="1" x14ac:dyDescent="0.25">
      <c r="B311" s="18"/>
      <c r="C311" s="18"/>
      <c r="D311" s="6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spans="2:24" ht="15.75" customHeight="1" x14ac:dyDescent="0.25">
      <c r="B312" s="18"/>
      <c r="C312" s="18"/>
      <c r="D312" s="6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spans="2:24" ht="15.75" customHeight="1" x14ac:dyDescent="0.25">
      <c r="B313" s="18"/>
      <c r="C313" s="18"/>
      <c r="D313" s="6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spans="2:24" ht="15.75" customHeight="1" x14ac:dyDescent="0.25">
      <c r="B314" s="18"/>
      <c r="C314" s="18"/>
      <c r="D314" s="6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spans="2:24" ht="15.75" customHeight="1" x14ac:dyDescent="0.25">
      <c r="B315" s="18"/>
      <c r="C315" s="18"/>
      <c r="D315" s="6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spans="2:24" ht="15.75" customHeight="1" x14ac:dyDescent="0.25">
      <c r="B316" s="18"/>
      <c r="C316" s="18"/>
      <c r="D316" s="6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spans="2:24" ht="15.75" customHeight="1" x14ac:dyDescent="0.25">
      <c r="B317" s="18"/>
      <c r="C317" s="18"/>
      <c r="D317" s="6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spans="2:24" ht="15.75" customHeight="1" x14ac:dyDescent="0.25">
      <c r="B318" s="18"/>
      <c r="C318" s="18"/>
      <c r="D318" s="6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spans="2:24" ht="15.75" customHeight="1" x14ac:dyDescent="0.25">
      <c r="B319" s="18"/>
      <c r="C319" s="18"/>
      <c r="D319" s="6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spans="2:24" ht="15.75" customHeight="1" x14ac:dyDescent="0.25">
      <c r="B320" s="18"/>
      <c r="C320" s="18"/>
      <c r="D320" s="6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spans="2:24" ht="15.75" customHeight="1" x14ac:dyDescent="0.25">
      <c r="B321" s="18"/>
      <c r="C321" s="18"/>
      <c r="D321" s="6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spans="2:24" ht="15.75" customHeight="1" x14ac:dyDescent="0.25">
      <c r="B322" s="18"/>
      <c r="C322" s="18"/>
      <c r="D322" s="6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spans="2:24" ht="15.75" customHeight="1" x14ac:dyDescent="0.25">
      <c r="B323" s="18"/>
      <c r="C323" s="18"/>
      <c r="D323" s="6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spans="2:24" ht="15.75" customHeight="1" x14ac:dyDescent="0.25">
      <c r="B324" s="18"/>
      <c r="C324" s="18"/>
      <c r="D324" s="6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spans="2:24" ht="15.75" customHeight="1" x14ac:dyDescent="0.25">
      <c r="B325" s="18"/>
      <c r="C325" s="18"/>
      <c r="D325" s="6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spans="2:24" ht="15.75" customHeight="1" x14ac:dyDescent="0.25">
      <c r="B326" s="18"/>
      <c r="C326" s="18"/>
      <c r="D326" s="6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spans="2:24" ht="15.75" customHeight="1" x14ac:dyDescent="0.25">
      <c r="B327" s="18"/>
      <c r="C327" s="18"/>
      <c r="D327" s="6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spans="2:24" ht="15.75" customHeight="1" x14ac:dyDescent="0.25">
      <c r="B328" s="18"/>
      <c r="C328" s="18"/>
      <c r="D328" s="6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spans="2:24" ht="15.75" customHeight="1" x14ac:dyDescent="0.25">
      <c r="B329" s="18"/>
      <c r="C329" s="18"/>
      <c r="D329" s="6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spans="2:24" ht="15.75" customHeight="1" x14ac:dyDescent="0.25">
      <c r="B330" s="18"/>
      <c r="C330" s="18"/>
      <c r="D330" s="6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spans="2:24" ht="15.75" customHeight="1" x14ac:dyDescent="0.25">
      <c r="B331" s="18"/>
      <c r="C331" s="18"/>
      <c r="D331" s="6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spans="2:24" ht="15.75" customHeight="1" x14ac:dyDescent="0.25">
      <c r="B332" s="18"/>
      <c r="C332" s="18"/>
      <c r="D332" s="6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spans="2:24" ht="15.75" customHeight="1" x14ac:dyDescent="0.25">
      <c r="B333" s="18"/>
      <c r="C333" s="18"/>
      <c r="D333" s="6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spans="2:24" ht="15.75" customHeight="1" x14ac:dyDescent="0.25">
      <c r="B334" s="18"/>
      <c r="C334" s="18"/>
      <c r="D334" s="6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spans="2:24" ht="15.75" customHeight="1" x14ac:dyDescent="0.25">
      <c r="B335" s="18"/>
      <c r="C335" s="18"/>
      <c r="D335" s="6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spans="2:24" ht="15.75" customHeight="1" x14ac:dyDescent="0.25">
      <c r="B336" s="18"/>
      <c r="C336" s="18"/>
      <c r="D336" s="6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spans="2:24" ht="15.75" customHeight="1" x14ac:dyDescent="0.25">
      <c r="B337" s="18"/>
      <c r="C337" s="18"/>
      <c r="D337" s="6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spans="2:24" ht="15.75" customHeight="1" x14ac:dyDescent="0.25">
      <c r="B338" s="18"/>
      <c r="C338" s="18"/>
      <c r="D338" s="6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spans="2:24" ht="15.75" customHeight="1" x14ac:dyDescent="0.25">
      <c r="B339" s="18"/>
      <c r="C339" s="18"/>
      <c r="D339" s="6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spans="2:24" ht="15.75" customHeight="1" x14ac:dyDescent="0.25">
      <c r="B340" s="18"/>
      <c r="C340" s="18"/>
      <c r="D340" s="6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spans="2:24" ht="15.75" customHeight="1" x14ac:dyDescent="0.25">
      <c r="B341" s="18"/>
      <c r="C341" s="18"/>
      <c r="D341" s="6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spans="2:24" ht="15.75" customHeight="1" x14ac:dyDescent="0.25">
      <c r="B342" s="18"/>
      <c r="C342" s="18"/>
      <c r="D342" s="6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spans="2:24" ht="15.75" customHeight="1" x14ac:dyDescent="0.25">
      <c r="B343" s="18"/>
      <c r="C343" s="18"/>
      <c r="D343" s="6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spans="2:24" ht="15.75" customHeight="1" x14ac:dyDescent="0.25">
      <c r="B344" s="18"/>
      <c r="C344" s="18"/>
      <c r="D344" s="6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spans="2:24" ht="15.75" customHeight="1" x14ac:dyDescent="0.25">
      <c r="B345" s="18"/>
      <c r="C345" s="18"/>
      <c r="D345" s="6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spans="2:24" ht="15.75" customHeight="1" x14ac:dyDescent="0.25">
      <c r="B346" s="18"/>
      <c r="C346" s="18"/>
      <c r="D346" s="6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spans="2:24" ht="15.75" customHeight="1" x14ac:dyDescent="0.25">
      <c r="B347" s="18"/>
      <c r="C347" s="18"/>
      <c r="D347" s="6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spans="2:24" ht="15.75" customHeight="1" x14ac:dyDescent="0.25">
      <c r="B348" s="18"/>
      <c r="C348" s="18"/>
      <c r="D348" s="6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spans="2:24" ht="15.75" customHeight="1" x14ac:dyDescent="0.25">
      <c r="B349" s="18"/>
      <c r="C349" s="18"/>
      <c r="D349" s="6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spans="2:24" ht="15.75" customHeight="1" x14ac:dyDescent="0.25">
      <c r="B350" s="18"/>
      <c r="C350" s="18"/>
      <c r="D350" s="6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spans="2:24" ht="15.75" customHeight="1" x14ac:dyDescent="0.25">
      <c r="B351" s="18"/>
      <c r="C351" s="18"/>
      <c r="D351" s="6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spans="2:24" ht="15.75" customHeight="1" x14ac:dyDescent="0.25">
      <c r="B352" s="18"/>
      <c r="C352" s="18"/>
      <c r="D352" s="6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spans="2:24" ht="15.75" customHeight="1" x14ac:dyDescent="0.25">
      <c r="B353" s="18"/>
      <c r="C353" s="18"/>
      <c r="D353" s="6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spans="2:24" ht="15.75" customHeight="1" x14ac:dyDescent="0.25">
      <c r="B354" s="18"/>
      <c r="C354" s="18"/>
      <c r="D354" s="6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spans="2:24" ht="15.75" customHeight="1" x14ac:dyDescent="0.25">
      <c r="B355" s="18"/>
      <c r="C355" s="18"/>
      <c r="D355" s="6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spans="2:24" ht="15.75" customHeight="1" x14ac:dyDescent="0.25">
      <c r="B356" s="18"/>
      <c r="C356" s="18"/>
      <c r="D356" s="6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spans="2:24" ht="15.75" customHeight="1" x14ac:dyDescent="0.25">
      <c r="B357" s="18"/>
      <c r="C357" s="18"/>
      <c r="D357" s="6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spans="2:24" ht="15.75" customHeight="1" x14ac:dyDescent="0.25">
      <c r="B358" s="18"/>
      <c r="C358" s="18"/>
      <c r="D358" s="6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spans="2:24" ht="15.75" customHeight="1" x14ac:dyDescent="0.25">
      <c r="B359" s="18"/>
      <c r="C359" s="18"/>
      <c r="D359" s="6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spans="2:24" ht="15.75" customHeight="1" x14ac:dyDescent="0.25">
      <c r="B360" s="18"/>
      <c r="C360" s="18"/>
      <c r="D360" s="6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spans="2:24" ht="15.75" customHeight="1" x14ac:dyDescent="0.25">
      <c r="B361" s="18"/>
      <c r="C361" s="18"/>
      <c r="D361" s="6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spans="2:24" ht="15.75" customHeight="1" x14ac:dyDescent="0.25">
      <c r="B362" s="18"/>
      <c r="C362" s="18"/>
      <c r="D362" s="6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spans="2:24" ht="15.75" customHeight="1" x14ac:dyDescent="0.25">
      <c r="B363" s="18"/>
      <c r="C363" s="18"/>
      <c r="D363" s="6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spans="2:24" ht="15.75" customHeight="1" x14ac:dyDescent="0.25">
      <c r="B364" s="18"/>
      <c r="C364" s="18"/>
      <c r="D364" s="6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spans="2:24" ht="15.75" customHeight="1" x14ac:dyDescent="0.25">
      <c r="B365" s="18"/>
      <c r="C365" s="18"/>
      <c r="D365" s="6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spans="2:24" ht="15.75" customHeight="1" x14ac:dyDescent="0.25">
      <c r="B366" s="18"/>
      <c r="C366" s="18"/>
      <c r="D366" s="6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spans="2:24" ht="15.75" customHeight="1" x14ac:dyDescent="0.25">
      <c r="B367" s="18"/>
      <c r="C367" s="18"/>
      <c r="D367" s="6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spans="2:24" ht="15.75" customHeight="1" x14ac:dyDescent="0.25">
      <c r="B368" s="18"/>
      <c r="C368" s="18"/>
      <c r="D368" s="6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spans="2:24" ht="15.75" customHeight="1" x14ac:dyDescent="0.25">
      <c r="B369" s="18"/>
      <c r="C369" s="18"/>
      <c r="D369" s="6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spans="2:24" ht="15.75" customHeight="1" x14ac:dyDescent="0.25">
      <c r="B370" s="18"/>
      <c r="C370" s="18"/>
      <c r="D370" s="6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spans="2:24" ht="15.75" customHeight="1" x14ac:dyDescent="0.25">
      <c r="B371" s="18"/>
      <c r="C371" s="18"/>
      <c r="D371" s="6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spans="2:24" ht="15.75" customHeight="1" x14ac:dyDescent="0.25">
      <c r="B372" s="18"/>
      <c r="C372" s="18"/>
      <c r="D372" s="6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spans="2:24" ht="15.75" customHeight="1" x14ac:dyDescent="0.25">
      <c r="B373" s="18"/>
      <c r="C373" s="18"/>
      <c r="D373" s="6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spans="2:24" ht="15.75" customHeight="1" x14ac:dyDescent="0.25">
      <c r="B374" s="18"/>
      <c r="C374" s="18"/>
      <c r="D374" s="6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spans="2:24" ht="15.75" customHeight="1" x14ac:dyDescent="0.25">
      <c r="B375" s="18"/>
      <c r="C375" s="18"/>
      <c r="D375" s="6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spans="2:24" ht="15.75" customHeight="1" x14ac:dyDescent="0.25">
      <c r="B376" s="18"/>
      <c r="C376" s="18"/>
      <c r="D376" s="6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spans="2:24" ht="15.75" customHeight="1" x14ac:dyDescent="0.25">
      <c r="B377" s="18"/>
      <c r="C377" s="18"/>
      <c r="D377" s="6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spans="2:24" ht="15.75" customHeight="1" x14ac:dyDescent="0.25">
      <c r="B378" s="18"/>
      <c r="C378" s="18"/>
      <c r="D378" s="6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spans="2:24" ht="15.75" customHeight="1" x14ac:dyDescent="0.25">
      <c r="B379" s="18"/>
      <c r="C379" s="18"/>
      <c r="D379" s="6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spans="2:24" ht="15.75" customHeight="1" x14ac:dyDescent="0.25">
      <c r="B380" s="18"/>
      <c r="C380" s="18"/>
      <c r="D380" s="6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spans="2:24" ht="15.75" customHeight="1" x14ac:dyDescent="0.25">
      <c r="B381" s="18"/>
      <c r="C381" s="18"/>
      <c r="D381" s="6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spans="2:24" ht="15.75" customHeight="1" x14ac:dyDescent="0.25">
      <c r="B382" s="18"/>
      <c r="C382" s="18"/>
      <c r="D382" s="6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spans="2:24" ht="15.75" customHeight="1" x14ac:dyDescent="0.25">
      <c r="B383" s="18"/>
      <c r="C383" s="18"/>
      <c r="D383" s="6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spans="2:24" ht="15.75" customHeight="1" x14ac:dyDescent="0.25">
      <c r="B384" s="18"/>
      <c r="C384" s="18"/>
      <c r="D384" s="6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spans="2:24" ht="15.75" customHeight="1" x14ac:dyDescent="0.25">
      <c r="B385" s="18"/>
      <c r="C385" s="18"/>
      <c r="D385" s="6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spans="2:24" ht="15.75" customHeight="1" x14ac:dyDescent="0.25">
      <c r="B386" s="18"/>
      <c r="C386" s="18"/>
      <c r="D386" s="6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spans="2:24" ht="15.75" customHeight="1" x14ac:dyDescent="0.25">
      <c r="B387" s="18"/>
      <c r="C387" s="18"/>
      <c r="D387" s="6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spans="2:24" ht="15.75" customHeight="1" x14ac:dyDescent="0.25">
      <c r="B388" s="18"/>
      <c r="C388" s="18"/>
      <c r="D388" s="6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spans="2:24" ht="15.75" customHeight="1" x14ac:dyDescent="0.25">
      <c r="B389" s="18"/>
      <c r="C389" s="18"/>
      <c r="D389" s="6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spans="2:24" ht="15.75" customHeight="1" x14ac:dyDescent="0.25">
      <c r="B390" s="18"/>
      <c r="C390" s="18"/>
      <c r="D390" s="6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spans="2:24" ht="15.75" customHeight="1" x14ac:dyDescent="0.25">
      <c r="B391" s="18"/>
      <c r="C391" s="18"/>
      <c r="D391" s="6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spans="2:24" ht="15.75" customHeight="1" x14ac:dyDescent="0.25">
      <c r="B392" s="18"/>
      <c r="C392" s="18"/>
      <c r="D392" s="6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spans="2:24" ht="15.75" customHeight="1" x14ac:dyDescent="0.25">
      <c r="B393" s="18"/>
      <c r="C393" s="18"/>
      <c r="D393" s="6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spans="2:24" ht="15.75" customHeight="1" x14ac:dyDescent="0.25">
      <c r="B394" s="18"/>
      <c r="C394" s="18"/>
      <c r="D394" s="6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spans="2:24" ht="15.75" customHeight="1" x14ac:dyDescent="0.25">
      <c r="B395" s="18"/>
      <c r="C395" s="18"/>
      <c r="D395" s="6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spans="2:24" ht="15.75" customHeight="1" x14ac:dyDescent="0.25">
      <c r="B396" s="18"/>
      <c r="C396" s="18"/>
      <c r="D396" s="6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spans="2:24" ht="15.75" customHeight="1" x14ac:dyDescent="0.25">
      <c r="B397" s="18"/>
      <c r="C397" s="18"/>
      <c r="D397" s="6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spans="2:24" ht="15.75" customHeight="1" x14ac:dyDescent="0.25">
      <c r="B398" s="18"/>
      <c r="C398" s="18"/>
      <c r="D398" s="6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spans="2:24" ht="15.75" customHeight="1" x14ac:dyDescent="0.25">
      <c r="B399" s="18"/>
      <c r="C399" s="18"/>
      <c r="D399" s="6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spans="2:24" ht="15.75" customHeight="1" x14ac:dyDescent="0.25">
      <c r="B400" s="18"/>
      <c r="C400" s="18"/>
      <c r="D400" s="6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spans="2:24" ht="15.75" customHeight="1" x14ac:dyDescent="0.25">
      <c r="B401" s="18"/>
      <c r="C401" s="18"/>
      <c r="D401" s="6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spans="2:24" ht="15.75" customHeight="1" x14ac:dyDescent="0.25">
      <c r="B402" s="18"/>
      <c r="C402" s="18"/>
      <c r="D402" s="6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spans="2:24" ht="15.75" customHeight="1" x14ac:dyDescent="0.25">
      <c r="B403" s="18"/>
      <c r="C403" s="18"/>
      <c r="D403" s="6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spans="2:24" ht="15.75" customHeight="1" x14ac:dyDescent="0.25">
      <c r="B404" s="18"/>
      <c r="C404" s="18"/>
      <c r="D404" s="6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spans="2:24" ht="15.75" customHeight="1" x14ac:dyDescent="0.25">
      <c r="B405" s="18"/>
      <c r="C405" s="18"/>
      <c r="D405" s="6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spans="2:24" ht="15.75" customHeight="1" x14ac:dyDescent="0.25">
      <c r="B406" s="18"/>
      <c r="C406" s="18"/>
      <c r="D406" s="6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spans="2:24" ht="15.75" customHeight="1" x14ac:dyDescent="0.25">
      <c r="B407" s="18"/>
      <c r="C407" s="18"/>
      <c r="D407" s="6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spans="2:24" ht="15.75" customHeight="1" x14ac:dyDescent="0.25">
      <c r="B408" s="18"/>
      <c r="C408" s="18"/>
      <c r="D408" s="6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spans="2:24" ht="15.75" customHeight="1" x14ac:dyDescent="0.25">
      <c r="B409" s="18"/>
      <c r="C409" s="18"/>
      <c r="D409" s="6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spans="2:24" ht="15.75" customHeight="1" x14ac:dyDescent="0.25">
      <c r="B410" s="18"/>
      <c r="C410" s="18"/>
      <c r="D410" s="6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spans="2:24" ht="15.75" customHeight="1" x14ac:dyDescent="0.25">
      <c r="B411" s="18"/>
      <c r="C411" s="18"/>
      <c r="D411" s="6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spans="2:24" ht="15.75" customHeight="1" x14ac:dyDescent="0.25">
      <c r="B412" s="18"/>
      <c r="C412" s="18"/>
      <c r="D412" s="6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spans="2:24" ht="15.75" customHeight="1" x14ac:dyDescent="0.25">
      <c r="B413" s="18"/>
      <c r="C413" s="18"/>
      <c r="D413" s="6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spans="2:24" ht="15.75" customHeight="1" x14ac:dyDescent="0.25">
      <c r="B414" s="18"/>
      <c r="C414" s="18"/>
      <c r="D414" s="6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spans="2:24" ht="15.75" customHeight="1" x14ac:dyDescent="0.25">
      <c r="B415" s="18"/>
      <c r="C415" s="18"/>
      <c r="D415" s="6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spans="2:24" ht="15.75" customHeight="1" x14ac:dyDescent="0.25">
      <c r="B416" s="18"/>
      <c r="C416" s="18"/>
      <c r="D416" s="6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spans="2:24" ht="15.75" customHeight="1" x14ac:dyDescent="0.25">
      <c r="B417" s="18"/>
      <c r="C417" s="18"/>
      <c r="D417" s="6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spans="2:24" ht="15.75" customHeight="1" x14ac:dyDescent="0.25">
      <c r="B418" s="18"/>
      <c r="C418" s="18"/>
      <c r="D418" s="6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spans="2:24" ht="15.75" customHeight="1" x14ac:dyDescent="0.25">
      <c r="B419" s="18"/>
      <c r="C419" s="18"/>
      <c r="D419" s="6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spans="2:24" ht="15.75" customHeight="1" x14ac:dyDescent="0.25">
      <c r="B420" s="18"/>
      <c r="C420" s="18"/>
      <c r="D420" s="6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spans="2:24" ht="15.75" customHeight="1" x14ac:dyDescent="0.25">
      <c r="B421" s="18"/>
      <c r="C421" s="18"/>
      <c r="D421" s="6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spans="2:24" ht="15.75" customHeight="1" x14ac:dyDescent="0.25">
      <c r="B422" s="18"/>
      <c r="C422" s="18"/>
      <c r="D422" s="6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spans="2:24" ht="15.75" customHeight="1" x14ac:dyDescent="0.25">
      <c r="B423" s="18"/>
      <c r="C423" s="18"/>
      <c r="D423" s="6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spans="2:24" ht="15.75" customHeight="1" x14ac:dyDescent="0.25">
      <c r="B424" s="18"/>
      <c r="C424" s="18"/>
      <c r="D424" s="6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spans="2:24" ht="15.75" customHeight="1" x14ac:dyDescent="0.25">
      <c r="B425" s="18"/>
      <c r="C425" s="18"/>
      <c r="D425" s="6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spans="2:24" ht="15.75" customHeight="1" x14ac:dyDescent="0.25">
      <c r="B426" s="18"/>
      <c r="C426" s="18"/>
      <c r="D426" s="6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spans="2:24" ht="15.75" customHeight="1" x14ac:dyDescent="0.25">
      <c r="B427" s="18"/>
      <c r="C427" s="18"/>
      <c r="D427" s="6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spans="2:24" ht="15.75" customHeight="1" x14ac:dyDescent="0.25">
      <c r="B428" s="18"/>
      <c r="C428" s="18"/>
      <c r="D428" s="6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spans="2:24" ht="15.75" customHeight="1" x14ac:dyDescent="0.25">
      <c r="B429" s="18"/>
      <c r="C429" s="18"/>
      <c r="D429" s="6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spans="2:24" ht="15.75" customHeight="1" x14ac:dyDescent="0.25">
      <c r="B430" s="18"/>
      <c r="C430" s="18"/>
      <c r="D430" s="6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spans="2:24" ht="15.75" customHeight="1" x14ac:dyDescent="0.25">
      <c r="B431" s="18"/>
      <c r="C431" s="18"/>
      <c r="D431" s="6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spans="2:24" ht="15.75" customHeight="1" x14ac:dyDescent="0.25">
      <c r="B432" s="18"/>
      <c r="C432" s="18"/>
      <c r="D432" s="6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spans="2:24" ht="15.75" customHeight="1" x14ac:dyDescent="0.25">
      <c r="B433" s="18"/>
      <c r="C433" s="18"/>
      <c r="D433" s="6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spans="2:24" ht="15.75" customHeight="1" x14ac:dyDescent="0.25">
      <c r="B434" s="18"/>
      <c r="C434" s="18"/>
      <c r="D434" s="6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spans="2:24" ht="15.75" customHeight="1" x14ac:dyDescent="0.25">
      <c r="B435" s="18"/>
      <c r="C435" s="18"/>
      <c r="D435" s="6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spans="2:24" ht="15.75" customHeight="1" x14ac:dyDescent="0.25">
      <c r="B436" s="18"/>
      <c r="C436" s="18"/>
      <c r="D436" s="6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spans="2:24" ht="15.75" customHeight="1" x14ac:dyDescent="0.25">
      <c r="B437" s="18"/>
      <c r="C437" s="18"/>
      <c r="D437" s="6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spans="2:24" ht="15.75" customHeight="1" x14ac:dyDescent="0.25">
      <c r="B438" s="18"/>
      <c r="C438" s="18"/>
      <c r="D438" s="6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spans="2:24" ht="15.75" customHeight="1" x14ac:dyDescent="0.25">
      <c r="B439" s="18"/>
      <c r="C439" s="18"/>
      <c r="D439" s="6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spans="2:24" ht="15.75" customHeight="1" x14ac:dyDescent="0.25">
      <c r="B440" s="18"/>
      <c r="C440" s="18"/>
      <c r="D440" s="6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spans="2:24" ht="15.75" customHeight="1" x14ac:dyDescent="0.25">
      <c r="B441" s="18"/>
      <c r="C441" s="18"/>
      <c r="D441" s="6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spans="2:24" ht="15.75" customHeight="1" x14ac:dyDescent="0.25">
      <c r="B442" s="18"/>
      <c r="C442" s="18"/>
      <c r="D442" s="6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spans="2:24" ht="15.75" customHeight="1" x14ac:dyDescent="0.25">
      <c r="B443" s="18"/>
      <c r="C443" s="18"/>
      <c r="D443" s="6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spans="2:24" ht="15.75" customHeight="1" x14ac:dyDescent="0.25">
      <c r="B444" s="18"/>
      <c r="C444" s="18"/>
      <c r="D444" s="6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spans="2:24" ht="15.75" customHeight="1" x14ac:dyDescent="0.25">
      <c r="B445" s="18"/>
      <c r="C445" s="18"/>
      <c r="D445" s="6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spans="2:24" ht="15.75" customHeight="1" x14ac:dyDescent="0.25">
      <c r="B446" s="18"/>
      <c r="C446" s="18"/>
      <c r="D446" s="6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spans="2:24" ht="15.75" customHeight="1" x14ac:dyDescent="0.25">
      <c r="B447" s="18"/>
      <c r="C447" s="18"/>
      <c r="D447" s="6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spans="2:24" ht="15.75" customHeight="1" x14ac:dyDescent="0.25">
      <c r="B448" s="18"/>
      <c r="C448" s="18"/>
      <c r="D448" s="6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spans="2:24" ht="15.75" customHeight="1" x14ac:dyDescent="0.25">
      <c r="B449" s="18"/>
      <c r="C449" s="18"/>
      <c r="D449" s="6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spans="2:24" ht="15.75" customHeight="1" x14ac:dyDescent="0.25">
      <c r="B450" s="18"/>
      <c r="C450" s="18"/>
      <c r="D450" s="6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spans="2:24" ht="15.75" customHeight="1" x14ac:dyDescent="0.25">
      <c r="B451" s="18"/>
      <c r="C451" s="18"/>
      <c r="D451" s="6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spans="2:24" ht="15.75" customHeight="1" x14ac:dyDescent="0.25">
      <c r="B452" s="18"/>
      <c r="C452" s="18"/>
      <c r="D452" s="6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spans="2:24" ht="15.75" customHeight="1" x14ac:dyDescent="0.25">
      <c r="B453" s="18"/>
      <c r="C453" s="18"/>
      <c r="D453" s="6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spans="2:24" ht="15.75" customHeight="1" x14ac:dyDescent="0.25">
      <c r="B454" s="18"/>
      <c r="C454" s="18"/>
      <c r="D454" s="6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spans="2:24" ht="15.75" customHeight="1" x14ac:dyDescent="0.25">
      <c r="B455" s="18"/>
      <c r="C455" s="18"/>
      <c r="D455" s="6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spans="2:24" ht="15.75" customHeight="1" x14ac:dyDescent="0.25">
      <c r="B456" s="18"/>
      <c r="C456" s="18"/>
      <c r="D456" s="6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spans="2:24" ht="15.75" customHeight="1" x14ac:dyDescent="0.25">
      <c r="B457" s="18"/>
      <c r="C457" s="18"/>
      <c r="D457" s="6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spans="2:24" ht="15.75" customHeight="1" x14ac:dyDescent="0.25">
      <c r="B458" s="18"/>
      <c r="C458" s="18"/>
      <c r="D458" s="6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spans="2:24" ht="15.75" customHeight="1" x14ac:dyDescent="0.25">
      <c r="B459" s="18"/>
      <c r="C459" s="18"/>
      <c r="D459" s="6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spans="2:24" ht="15.75" customHeight="1" x14ac:dyDescent="0.25">
      <c r="B460" s="18"/>
      <c r="C460" s="18"/>
      <c r="D460" s="6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spans="2:24" ht="15.75" customHeight="1" x14ac:dyDescent="0.25">
      <c r="B461" s="18"/>
      <c r="C461" s="18"/>
      <c r="D461" s="6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spans="2:24" ht="15.75" customHeight="1" x14ac:dyDescent="0.25">
      <c r="B462" s="18"/>
      <c r="C462" s="18"/>
      <c r="D462" s="6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spans="2:24" ht="15.75" customHeight="1" x14ac:dyDescent="0.25">
      <c r="B463" s="18"/>
      <c r="C463" s="18"/>
      <c r="D463" s="6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spans="2:24" ht="15.75" customHeight="1" x14ac:dyDescent="0.25">
      <c r="B464" s="18"/>
      <c r="C464" s="18"/>
      <c r="D464" s="6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spans="2:24" ht="15.75" customHeight="1" x14ac:dyDescent="0.25">
      <c r="B465" s="18"/>
      <c r="C465" s="18"/>
      <c r="D465" s="6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spans="2:24" ht="15.75" customHeight="1" x14ac:dyDescent="0.25">
      <c r="B466" s="18"/>
      <c r="C466" s="18"/>
      <c r="D466" s="6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spans="2:24" ht="15.75" customHeight="1" x14ac:dyDescent="0.25">
      <c r="B467" s="18"/>
      <c r="C467" s="18"/>
      <c r="D467" s="6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spans="2:24" ht="15.75" customHeight="1" x14ac:dyDescent="0.25">
      <c r="B468" s="18"/>
      <c r="C468" s="18"/>
      <c r="D468" s="6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spans="2:24" ht="15.75" customHeight="1" x14ac:dyDescent="0.25">
      <c r="B469" s="18"/>
      <c r="C469" s="18"/>
      <c r="D469" s="6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spans="2:24" ht="15.75" customHeight="1" x14ac:dyDescent="0.25">
      <c r="B470" s="18"/>
      <c r="C470" s="18"/>
      <c r="D470" s="6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spans="2:24" ht="15.75" customHeight="1" x14ac:dyDescent="0.25">
      <c r="B471" s="18"/>
      <c r="C471" s="18"/>
      <c r="D471" s="6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spans="2:24" ht="15.75" customHeight="1" x14ac:dyDescent="0.25">
      <c r="B472" s="18"/>
      <c r="C472" s="18"/>
      <c r="D472" s="6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spans="2:24" ht="15.75" customHeight="1" x14ac:dyDescent="0.25">
      <c r="B473" s="18"/>
      <c r="C473" s="18"/>
      <c r="D473" s="6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spans="2:24" ht="15.75" customHeight="1" x14ac:dyDescent="0.25">
      <c r="B474" s="18"/>
      <c r="C474" s="18"/>
      <c r="D474" s="6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spans="2:24" ht="15.75" customHeight="1" x14ac:dyDescent="0.25">
      <c r="B475" s="18"/>
      <c r="C475" s="18"/>
      <c r="D475" s="6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spans="2:24" ht="15.75" customHeight="1" x14ac:dyDescent="0.25">
      <c r="B476" s="18"/>
      <c r="C476" s="18"/>
      <c r="D476" s="6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spans="2:24" ht="15.75" customHeight="1" x14ac:dyDescent="0.25">
      <c r="B477" s="18"/>
      <c r="C477" s="18"/>
      <c r="D477" s="6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spans="2:24" ht="15.75" customHeight="1" x14ac:dyDescent="0.25">
      <c r="B478" s="18"/>
      <c r="C478" s="18"/>
      <c r="D478" s="6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spans="2:24" ht="15.75" customHeight="1" x14ac:dyDescent="0.25">
      <c r="B479" s="18"/>
      <c r="C479" s="18"/>
      <c r="D479" s="6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spans="2:24" ht="15.75" customHeight="1" x14ac:dyDescent="0.25">
      <c r="B480" s="18"/>
      <c r="C480" s="18"/>
      <c r="D480" s="6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spans="2:24" ht="15.75" customHeight="1" x14ac:dyDescent="0.25">
      <c r="B481" s="18"/>
      <c r="C481" s="18"/>
      <c r="D481" s="6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spans="2:24" ht="15.75" customHeight="1" x14ac:dyDescent="0.25">
      <c r="B482" s="18"/>
      <c r="C482" s="18"/>
      <c r="D482" s="6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spans="2:24" ht="15.75" customHeight="1" x14ac:dyDescent="0.25">
      <c r="B483" s="18"/>
      <c r="C483" s="18"/>
      <c r="D483" s="6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spans="2:24" ht="15.75" customHeight="1" x14ac:dyDescent="0.25">
      <c r="B484" s="18"/>
      <c r="C484" s="18"/>
      <c r="D484" s="6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spans="2:24" ht="15.75" customHeight="1" x14ac:dyDescent="0.25">
      <c r="B485" s="18"/>
      <c r="C485" s="18"/>
      <c r="D485" s="6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spans="2:24" ht="15.75" customHeight="1" x14ac:dyDescent="0.25">
      <c r="B486" s="18"/>
      <c r="C486" s="18"/>
      <c r="D486" s="6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spans="2:24" ht="15.75" customHeight="1" x14ac:dyDescent="0.25">
      <c r="B487" s="18"/>
      <c r="C487" s="18"/>
      <c r="D487" s="6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spans="2:24" ht="15.75" customHeight="1" x14ac:dyDescent="0.25">
      <c r="B488" s="18"/>
      <c r="C488" s="18"/>
      <c r="D488" s="6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spans="2:24" ht="15.75" customHeight="1" x14ac:dyDescent="0.25">
      <c r="B489" s="18"/>
      <c r="C489" s="18"/>
      <c r="D489" s="6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spans="2:24" ht="15.75" customHeight="1" x14ac:dyDescent="0.25">
      <c r="B490" s="18"/>
      <c r="C490" s="18"/>
      <c r="D490" s="6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spans="2:24" ht="15.75" customHeight="1" x14ac:dyDescent="0.25">
      <c r="B491" s="18"/>
      <c r="C491" s="18"/>
      <c r="D491" s="6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spans="2:24" ht="15.75" customHeight="1" x14ac:dyDescent="0.25">
      <c r="B492" s="18"/>
      <c r="C492" s="18"/>
      <c r="D492" s="6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spans="2:24" ht="15.75" customHeight="1" x14ac:dyDescent="0.25">
      <c r="B493" s="18"/>
      <c r="C493" s="18"/>
      <c r="D493" s="6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spans="2:24" ht="15.75" customHeight="1" x14ac:dyDescent="0.25">
      <c r="B494" s="18"/>
      <c r="C494" s="18"/>
      <c r="D494" s="6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spans="2:24" ht="15.75" customHeight="1" x14ac:dyDescent="0.25">
      <c r="B495" s="18"/>
      <c r="C495" s="18"/>
      <c r="D495" s="6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spans="2:24" ht="15.75" customHeight="1" x14ac:dyDescent="0.25">
      <c r="B496" s="18"/>
      <c r="C496" s="18"/>
      <c r="D496" s="6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spans="2:24" ht="15.75" customHeight="1" x14ac:dyDescent="0.25">
      <c r="B497" s="18"/>
      <c r="C497" s="18"/>
      <c r="D497" s="6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spans="2:24" ht="15.75" customHeight="1" x14ac:dyDescent="0.25">
      <c r="B498" s="18"/>
      <c r="C498" s="18"/>
      <c r="D498" s="6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spans="2:24" ht="15.75" customHeight="1" x14ac:dyDescent="0.25">
      <c r="B499" s="18"/>
      <c r="C499" s="18"/>
      <c r="D499" s="6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spans="2:24" ht="15.75" customHeight="1" x14ac:dyDescent="0.25">
      <c r="B500" s="18"/>
      <c r="C500" s="18"/>
      <c r="D500" s="6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spans="2:24" ht="15.75" customHeight="1" x14ac:dyDescent="0.25">
      <c r="B501" s="18"/>
      <c r="C501" s="18"/>
      <c r="D501" s="6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spans="2:24" ht="15.75" customHeight="1" x14ac:dyDescent="0.25">
      <c r="B502" s="18"/>
      <c r="C502" s="18"/>
      <c r="D502" s="6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spans="2:24" ht="15.75" customHeight="1" x14ac:dyDescent="0.25">
      <c r="B503" s="18"/>
      <c r="C503" s="18"/>
      <c r="D503" s="6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spans="2:24" ht="15.75" customHeight="1" x14ac:dyDescent="0.25">
      <c r="B504" s="18"/>
      <c r="C504" s="18"/>
      <c r="D504" s="6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spans="2:24" ht="15.75" customHeight="1" x14ac:dyDescent="0.25">
      <c r="B505" s="18"/>
      <c r="C505" s="18"/>
      <c r="D505" s="6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spans="2:24" ht="15.75" customHeight="1" x14ac:dyDescent="0.25">
      <c r="B506" s="18"/>
      <c r="C506" s="18"/>
      <c r="D506" s="6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spans="2:24" ht="15.75" customHeight="1" x14ac:dyDescent="0.25">
      <c r="B507" s="18"/>
      <c r="C507" s="18"/>
      <c r="D507" s="6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spans="2:24" ht="15.75" customHeight="1" x14ac:dyDescent="0.25">
      <c r="B508" s="18"/>
      <c r="C508" s="18"/>
      <c r="D508" s="6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spans="2:24" ht="15.75" customHeight="1" x14ac:dyDescent="0.25">
      <c r="B509" s="18"/>
      <c r="C509" s="18"/>
      <c r="D509" s="6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spans="2:24" ht="15.75" customHeight="1" x14ac:dyDescent="0.25">
      <c r="B510" s="18"/>
      <c r="C510" s="18"/>
      <c r="D510" s="6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spans="2:24" ht="15.75" customHeight="1" x14ac:dyDescent="0.25">
      <c r="B511" s="18"/>
      <c r="C511" s="18"/>
      <c r="D511" s="6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spans="2:24" ht="15.75" customHeight="1" x14ac:dyDescent="0.25">
      <c r="B512" s="18"/>
      <c r="C512" s="18"/>
      <c r="D512" s="6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spans="2:24" ht="15.75" customHeight="1" x14ac:dyDescent="0.25">
      <c r="B513" s="18"/>
      <c r="C513" s="18"/>
      <c r="D513" s="6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spans="2:24" ht="15.75" customHeight="1" x14ac:dyDescent="0.25">
      <c r="B514" s="18"/>
      <c r="C514" s="18"/>
      <c r="D514" s="6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spans="2:24" ht="15.75" customHeight="1" x14ac:dyDescent="0.25">
      <c r="B515" s="18"/>
      <c r="C515" s="18"/>
      <c r="D515" s="6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spans="2:24" ht="15.75" customHeight="1" x14ac:dyDescent="0.25">
      <c r="B516" s="18"/>
      <c r="C516" s="18"/>
      <c r="D516" s="6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spans="2:24" ht="15.75" customHeight="1" x14ac:dyDescent="0.25">
      <c r="B517" s="18"/>
      <c r="C517" s="18"/>
      <c r="D517" s="6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spans="2:24" ht="15.75" customHeight="1" x14ac:dyDescent="0.25">
      <c r="B518" s="18"/>
      <c r="C518" s="18"/>
      <c r="D518" s="6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spans="2:24" ht="15.75" customHeight="1" x14ac:dyDescent="0.25">
      <c r="B519" s="18"/>
      <c r="C519" s="18"/>
      <c r="D519" s="6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spans="2:24" ht="15.75" customHeight="1" x14ac:dyDescent="0.25">
      <c r="B520" s="18"/>
      <c r="C520" s="18"/>
      <c r="D520" s="6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spans="2:24" ht="15.75" customHeight="1" x14ac:dyDescent="0.25">
      <c r="B521" s="18"/>
      <c r="C521" s="18"/>
      <c r="D521" s="6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spans="2:24" ht="15.75" customHeight="1" x14ac:dyDescent="0.25">
      <c r="B522" s="18"/>
      <c r="C522" s="18"/>
      <c r="D522" s="6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spans="2:24" ht="15.75" customHeight="1" x14ac:dyDescent="0.25">
      <c r="B523" s="18"/>
      <c r="C523" s="18"/>
      <c r="D523" s="6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spans="2:24" ht="15.75" customHeight="1" x14ac:dyDescent="0.25">
      <c r="B524" s="18"/>
      <c r="C524" s="18"/>
      <c r="D524" s="6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spans="2:24" ht="15.75" customHeight="1" x14ac:dyDescent="0.25">
      <c r="B525" s="18"/>
      <c r="C525" s="18"/>
      <c r="D525" s="6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spans="2:24" ht="15.75" customHeight="1" x14ac:dyDescent="0.25">
      <c r="B526" s="18"/>
      <c r="C526" s="18"/>
      <c r="D526" s="6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spans="2:24" ht="15.75" customHeight="1" x14ac:dyDescent="0.25">
      <c r="B527" s="18"/>
      <c r="C527" s="18"/>
      <c r="D527" s="6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spans="2:24" ht="15.75" customHeight="1" x14ac:dyDescent="0.25">
      <c r="B528" s="18"/>
      <c r="C528" s="18"/>
      <c r="D528" s="6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spans="2:24" ht="15.75" customHeight="1" x14ac:dyDescent="0.25">
      <c r="B529" s="18"/>
      <c r="C529" s="18"/>
      <c r="D529" s="6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spans="2:24" ht="15.75" customHeight="1" x14ac:dyDescent="0.25">
      <c r="B530" s="18"/>
      <c r="C530" s="18"/>
      <c r="D530" s="6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spans="2:24" ht="15.75" customHeight="1" x14ac:dyDescent="0.25">
      <c r="B531" s="18"/>
      <c r="C531" s="18"/>
      <c r="D531" s="6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spans="2:24" ht="15.75" customHeight="1" x14ac:dyDescent="0.25">
      <c r="B532" s="18"/>
      <c r="C532" s="18"/>
      <c r="D532" s="6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spans="2:24" ht="15.75" customHeight="1" x14ac:dyDescent="0.25">
      <c r="B533" s="18"/>
      <c r="C533" s="18"/>
      <c r="D533" s="6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spans="2:24" ht="15.75" customHeight="1" x14ac:dyDescent="0.25">
      <c r="B534" s="18"/>
      <c r="C534" s="18"/>
      <c r="D534" s="6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spans="2:24" ht="15.75" customHeight="1" x14ac:dyDescent="0.25">
      <c r="B535" s="18"/>
      <c r="C535" s="18"/>
      <c r="D535" s="6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spans="2:24" ht="15.75" customHeight="1" x14ac:dyDescent="0.25">
      <c r="B536" s="18"/>
      <c r="C536" s="18"/>
      <c r="D536" s="6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spans="2:24" ht="15.75" customHeight="1" x14ac:dyDescent="0.25">
      <c r="B537" s="18"/>
      <c r="C537" s="18"/>
      <c r="D537" s="6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spans="2:24" ht="15.75" customHeight="1" x14ac:dyDescent="0.25">
      <c r="B538" s="18"/>
      <c r="C538" s="18"/>
      <c r="D538" s="6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spans="2:24" ht="15.75" customHeight="1" x14ac:dyDescent="0.25">
      <c r="B539" s="18"/>
      <c r="C539" s="18"/>
      <c r="D539" s="6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spans="2:24" ht="15.75" customHeight="1" x14ac:dyDescent="0.25">
      <c r="B540" s="18"/>
      <c r="C540" s="18"/>
      <c r="D540" s="6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spans="2:24" ht="15.75" customHeight="1" x14ac:dyDescent="0.25">
      <c r="B541" s="18"/>
      <c r="C541" s="18"/>
      <c r="D541" s="6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spans="2:24" ht="15.75" customHeight="1" x14ac:dyDescent="0.25">
      <c r="B542" s="18"/>
      <c r="C542" s="18"/>
      <c r="D542" s="6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spans="2:24" ht="15.75" customHeight="1" x14ac:dyDescent="0.25">
      <c r="B543" s="18"/>
      <c r="C543" s="18"/>
      <c r="D543" s="6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spans="2:24" ht="15.75" customHeight="1" x14ac:dyDescent="0.25">
      <c r="B544" s="18"/>
      <c r="C544" s="18"/>
      <c r="D544" s="6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spans="2:24" ht="15.75" customHeight="1" x14ac:dyDescent="0.25">
      <c r="B545" s="18"/>
      <c r="C545" s="18"/>
      <c r="D545" s="6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spans="2:24" ht="15.75" customHeight="1" x14ac:dyDescent="0.25">
      <c r="B546" s="18"/>
      <c r="C546" s="18"/>
      <c r="D546" s="6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spans="2:24" ht="15.75" customHeight="1" x14ac:dyDescent="0.25">
      <c r="B547" s="18"/>
      <c r="C547" s="18"/>
      <c r="D547" s="6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spans="2:24" ht="15.75" customHeight="1" x14ac:dyDescent="0.25">
      <c r="B548" s="18"/>
      <c r="C548" s="18"/>
      <c r="D548" s="6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spans="2:24" ht="15.75" customHeight="1" x14ac:dyDescent="0.25">
      <c r="B549" s="18"/>
      <c r="C549" s="18"/>
      <c r="D549" s="6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spans="2:24" ht="15.75" customHeight="1" x14ac:dyDescent="0.25">
      <c r="B550" s="18"/>
      <c r="C550" s="18"/>
      <c r="D550" s="6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spans="2:24" ht="15.75" customHeight="1" x14ac:dyDescent="0.25">
      <c r="B551" s="18"/>
      <c r="C551" s="18"/>
      <c r="D551" s="6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spans="2:24" ht="15.75" customHeight="1" x14ac:dyDescent="0.25">
      <c r="B552" s="18"/>
      <c r="C552" s="18"/>
      <c r="D552" s="6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spans="2:24" ht="15.75" customHeight="1" x14ac:dyDescent="0.25">
      <c r="B553" s="18"/>
      <c r="C553" s="18"/>
      <c r="D553" s="6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spans="2:24" ht="15.75" customHeight="1" x14ac:dyDescent="0.25">
      <c r="B554" s="18"/>
      <c r="C554" s="18"/>
      <c r="D554" s="6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spans="2:24" ht="15.75" customHeight="1" x14ac:dyDescent="0.25">
      <c r="B555" s="18"/>
      <c r="C555" s="18"/>
      <c r="D555" s="6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spans="2:24" ht="15.75" customHeight="1" x14ac:dyDescent="0.25">
      <c r="B556" s="18"/>
      <c r="C556" s="18"/>
      <c r="D556" s="6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spans="2:24" ht="15.75" customHeight="1" x14ac:dyDescent="0.25">
      <c r="B557" s="18"/>
      <c r="C557" s="18"/>
      <c r="D557" s="6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spans="2:24" ht="15.75" customHeight="1" x14ac:dyDescent="0.25">
      <c r="B558" s="18"/>
      <c r="C558" s="18"/>
      <c r="D558" s="6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spans="2:24" ht="15.75" customHeight="1" x14ac:dyDescent="0.25">
      <c r="B559" s="18"/>
      <c r="C559" s="18"/>
      <c r="D559" s="6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spans="2:24" ht="15.75" customHeight="1" x14ac:dyDescent="0.25">
      <c r="B560" s="18"/>
      <c r="C560" s="18"/>
      <c r="D560" s="6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spans="2:24" ht="15.75" customHeight="1" x14ac:dyDescent="0.25">
      <c r="B561" s="18"/>
      <c r="C561" s="18"/>
      <c r="D561" s="6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spans="2:24" ht="15.75" customHeight="1" x14ac:dyDescent="0.25">
      <c r="B562" s="18"/>
      <c r="C562" s="18"/>
      <c r="D562" s="6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spans="2:24" ht="15.75" customHeight="1" x14ac:dyDescent="0.25">
      <c r="B563" s="18"/>
      <c r="C563" s="18"/>
      <c r="D563" s="6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spans="2:24" ht="15.75" customHeight="1" x14ac:dyDescent="0.25">
      <c r="B564" s="18"/>
      <c r="C564" s="18"/>
      <c r="D564" s="6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spans="2:24" ht="15.75" customHeight="1" x14ac:dyDescent="0.25">
      <c r="B565" s="18"/>
      <c r="C565" s="18"/>
      <c r="D565" s="6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spans="2:24" ht="15.75" customHeight="1" x14ac:dyDescent="0.25">
      <c r="B566" s="18"/>
      <c r="C566" s="18"/>
      <c r="D566" s="6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spans="2:24" ht="15.75" customHeight="1" x14ac:dyDescent="0.25">
      <c r="B567" s="18"/>
      <c r="C567" s="18"/>
      <c r="D567" s="6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spans="2:24" ht="15.75" customHeight="1" x14ac:dyDescent="0.25">
      <c r="B568" s="18"/>
      <c r="C568" s="18"/>
      <c r="D568" s="6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spans="2:24" ht="15.75" customHeight="1" x14ac:dyDescent="0.25">
      <c r="B569" s="18"/>
      <c r="C569" s="18"/>
      <c r="D569" s="6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spans="2:24" ht="15.75" customHeight="1" x14ac:dyDescent="0.25">
      <c r="B570" s="18"/>
      <c r="C570" s="18"/>
      <c r="D570" s="6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spans="2:24" ht="15.75" customHeight="1" x14ac:dyDescent="0.25">
      <c r="B571" s="18"/>
      <c r="C571" s="18"/>
      <c r="D571" s="6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spans="2:24" ht="15.75" customHeight="1" x14ac:dyDescent="0.25">
      <c r="B572" s="18"/>
      <c r="C572" s="18"/>
      <c r="D572" s="6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spans="2:24" ht="15.75" customHeight="1" x14ac:dyDescent="0.25">
      <c r="B573" s="18"/>
      <c r="C573" s="18"/>
      <c r="D573" s="6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spans="2:24" ht="15.75" customHeight="1" x14ac:dyDescent="0.25">
      <c r="B574" s="18"/>
      <c r="C574" s="18"/>
      <c r="D574" s="6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spans="2:24" ht="15.75" customHeight="1" x14ac:dyDescent="0.25">
      <c r="B575" s="18"/>
      <c r="C575" s="18"/>
      <c r="D575" s="6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spans="2:24" ht="15.75" customHeight="1" x14ac:dyDescent="0.25">
      <c r="B576" s="18"/>
      <c r="C576" s="18"/>
      <c r="D576" s="6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spans="2:24" ht="15.75" customHeight="1" x14ac:dyDescent="0.25">
      <c r="B577" s="18"/>
      <c r="C577" s="18"/>
      <c r="D577" s="6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spans="2:24" ht="15.75" customHeight="1" x14ac:dyDescent="0.25">
      <c r="B578" s="18"/>
      <c r="C578" s="18"/>
      <c r="D578" s="6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spans="2:24" ht="15.75" customHeight="1" x14ac:dyDescent="0.25">
      <c r="B579" s="18"/>
      <c r="C579" s="18"/>
      <c r="D579" s="6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spans="2:24" ht="15.75" customHeight="1" x14ac:dyDescent="0.25">
      <c r="B580" s="18"/>
      <c r="C580" s="18"/>
      <c r="D580" s="6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spans="2:24" ht="15.75" customHeight="1" x14ac:dyDescent="0.25">
      <c r="B581" s="18"/>
      <c r="C581" s="18"/>
      <c r="D581" s="6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spans="2:24" ht="15.75" customHeight="1" x14ac:dyDescent="0.25">
      <c r="B582" s="18"/>
      <c r="C582" s="18"/>
      <c r="D582" s="6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spans="2:24" ht="15.75" customHeight="1" x14ac:dyDescent="0.25">
      <c r="B583" s="18"/>
      <c r="C583" s="18"/>
      <c r="D583" s="6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spans="2:24" ht="15.75" customHeight="1" x14ac:dyDescent="0.25">
      <c r="B584" s="18"/>
      <c r="C584" s="18"/>
      <c r="D584" s="6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spans="2:24" ht="15.75" customHeight="1" x14ac:dyDescent="0.25">
      <c r="B585" s="18"/>
      <c r="C585" s="18"/>
      <c r="D585" s="6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spans="2:24" ht="15.75" customHeight="1" x14ac:dyDescent="0.25">
      <c r="B586" s="18"/>
      <c r="C586" s="18"/>
      <c r="D586" s="6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spans="2:24" ht="15.75" customHeight="1" x14ac:dyDescent="0.25">
      <c r="B587" s="18"/>
      <c r="C587" s="18"/>
      <c r="D587" s="6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spans="2:24" ht="15.75" customHeight="1" x14ac:dyDescent="0.25">
      <c r="B588" s="18"/>
      <c r="C588" s="18"/>
      <c r="D588" s="6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spans="2:24" ht="15.75" customHeight="1" x14ac:dyDescent="0.25">
      <c r="B589" s="18"/>
      <c r="C589" s="18"/>
      <c r="D589" s="6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spans="2:24" ht="15.75" customHeight="1" x14ac:dyDescent="0.25">
      <c r="B590" s="18"/>
      <c r="C590" s="18"/>
      <c r="D590" s="6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spans="2:24" ht="15.75" customHeight="1" x14ac:dyDescent="0.25">
      <c r="B591" s="18"/>
      <c r="C591" s="18"/>
      <c r="D591" s="6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spans="2:24" ht="15.75" customHeight="1" x14ac:dyDescent="0.25">
      <c r="B592" s="18"/>
      <c r="C592" s="18"/>
      <c r="D592" s="6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spans="2:24" ht="15.75" customHeight="1" x14ac:dyDescent="0.25">
      <c r="B593" s="18"/>
      <c r="C593" s="18"/>
      <c r="D593" s="6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spans="2:24" ht="15.75" customHeight="1" x14ac:dyDescent="0.25">
      <c r="B594" s="18"/>
      <c r="C594" s="18"/>
      <c r="D594" s="6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spans="2:24" ht="15.75" customHeight="1" x14ac:dyDescent="0.25">
      <c r="B595" s="18"/>
      <c r="C595" s="18"/>
      <c r="D595" s="6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spans="2:24" ht="15.75" customHeight="1" x14ac:dyDescent="0.25">
      <c r="B596" s="18"/>
      <c r="C596" s="18"/>
      <c r="D596" s="6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spans="2:24" ht="15.75" customHeight="1" x14ac:dyDescent="0.25">
      <c r="B597" s="18"/>
      <c r="C597" s="18"/>
      <c r="D597" s="6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spans="2:24" ht="15.75" customHeight="1" x14ac:dyDescent="0.25">
      <c r="B598" s="18"/>
      <c r="C598" s="18"/>
      <c r="D598" s="6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spans="2:24" ht="15.75" customHeight="1" x14ac:dyDescent="0.25">
      <c r="B599" s="18"/>
      <c r="C599" s="18"/>
      <c r="D599" s="6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spans="2:24" ht="15.75" customHeight="1" x14ac:dyDescent="0.25">
      <c r="B600" s="18"/>
      <c r="C600" s="18"/>
      <c r="D600" s="6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spans="2:24" ht="15.75" customHeight="1" x14ac:dyDescent="0.25">
      <c r="B601" s="18"/>
      <c r="C601" s="18"/>
      <c r="D601" s="6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spans="2:24" ht="15.75" customHeight="1" x14ac:dyDescent="0.25">
      <c r="B602" s="18"/>
      <c r="C602" s="18"/>
      <c r="D602" s="6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spans="2:24" ht="15.75" customHeight="1" x14ac:dyDescent="0.25">
      <c r="B603" s="18"/>
      <c r="C603" s="18"/>
      <c r="D603" s="6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spans="2:24" ht="15.75" customHeight="1" x14ac:dyDescent="0.25">
      <c r="B604" s="18"/>
      <c r="C604" s="18"/>
      <c r="D604" s="6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spans="2:24" ht="15.75" customHeight="1" x14ac:dyDescent="0.25">
      <c r="B605" s="18"/>
      <c r="C605" s="18"/>
      <c r="D605" s="6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spans="2:24" ht="15.75" customHeight="1" x14ac:dyDescent="0.25">
      <c r="B606" s="18"/>
      <c r="C606" s="18"/>
      <c r="D606" s="6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spans="2:24" ht="15.75" customHeight="1" x14ac:dyDescent="0.25">
      <c r="B607" s="18"/>
      <c r="C607" s="18"/>
      <c r="D607" s="6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spans="2:24" ht="15.75" customHeight="1" x14ac:dyDescent="0.25">
      <c r="B608" s="18"/>
      <c r="C608" s="18"/>
      <c r="D608" s="6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spans="2:24" ht="15.75" customHeight="1" x14ac:dyDescent="0.25">
      <c r="B609" s="18"/>
      <c r="C609" s="18"/>
      <c r="D609" s="6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spans="2:24" ht="15.75" customHeight="1" x14ac:dyDescent="0.25">
      <c r="B610" s="18"/>
      <c r="C610" s="18"/>
      <c r="D610" s="6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spans="2:24" ht="15.75" customHeight="1" x14ac:dyDescent="0.25">
      <c r="B611" s="18"/>
      <c r="C611" s="18"/>
      <c r="D611" s="6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spans="2:24" ht="15.75" customHeight="1" x14ac:dyDescent="0.25">
      <c r="B612" s="18"/>
      <c r="C612" s="18"/>
      <c r="D612" s="6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spans="2:24" ht="15.75" customHeight="1" x14ac:dyDescent="0.25">
      <c r="B613" s="18"/>
      <c r="C613" s="18"/>
      <c r="D613" s="6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spans="2:24" ht="15.75" customHeight="1" x14ac:dyDescent="0.25">
      <c r="B614" s="18"/>
      <c r="C614" s="18"/>
      <c r="D614" s="6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spans="2:24" ht="15.75" customHeight="1" x14ac:dyDescent="0.25">
      <c r="B615" s="18"/>
      <c r="C615" s="18"/>
      <c r="D615" s="6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spans="2:24" ht="15.75" customHeight="1" x14ac:dyDescent="0.25">
      <c r="B616" s="18"/>
      <c r="C616" s="18"/>
      <c r="D616" s="6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spans="2:24" ht="15.75" customHeight="1" x14ac:dyDescent="0.25">
      <c r="B617" s="18"/>
      <c r="C617" s="18"/>
      <c r="D617" s="6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spans="2:24" ht="15.75" customHeight="1" x14ac:dyDescent="0.25">
      <c r="B618" s="18"/>
      <c r="C618" s="18"/>
      <c r="D618" s="6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spans="2:24" ht="15.75" customHeight="1" x14ac:dyDescent="0.25">
      <c r="B619" s="18"/>
      <c r="C619" s="18"/>
      <c r="D619" s="6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spans="2:24" ht="15.75" customHeight="1" x14ac:dyDescent="0.25">
      <c r="B620" s="18"/>
      <c r="C620" s="18"/>
      <c r="D620" s="6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spans="2:24" ht="15.75" customHeight="1" x14ac:dyDescent="0.25">
      <c r="B621" s="18"/>
      <c r="C621" s="18"/>
      <c r="D621" s="6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spans="2:24" ht="15.75" customHeight="1" x14ac:dyDescent="0.25">
      <c r="B622" s="18"/>
      <c r="C622" s="18"/>
      <c r="D622" s="6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spans="2:24" ht="15.75" customHeight="1" x14ac:dyDescent="0.25">
      <c r="B623" s="18"/>
      <c r="C623" s="18"/>
      <c r="D623" s="6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spans="2:24" ht="15.75" customHeight="1" x14ac:dyDescent="0.25">
      <c r="B624" s="18"/>
      <c r="C624" s="18"/>
      <c r="D624" s="6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spans="2:24" ht="15.75" customHeight="1" x14ac:dyDescent="0.25">
      <c r="B625" s="18"/>
      <c r="C625" s="18"/>
      <c r="D625" s="6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spans="2:24" ht="15.75" customHeight="1" x14ac:dyDescent="0.25">
      <c r="B626" s="18"/>
      <c r="C626" s="18"/>
      <c r="D626" s="6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spans="2:24" ht="15.75" customHeight="1" x14ac:dyDescent="0.25">
      <c r="B627" s="18"/>
      <c r="C627" s="18"/>
      <c r="D627" s="6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spans="2:24" ht="15.75" customHeight="1" x14ac:dyDescent="0.25">
      <c r="B628" s="18"/>
      <c r="C628" s="18"/>
      <c r="D628" s="6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spans="2:24" ht="15.75" customHeight="1" x14ac:dyDescent="0.25">
      <c r="B629" s="18"/>
      <c r="C629" s="18"/>
      <c r="D629" s="6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spans="2:24" ht="15.75" customHeight="1" x14ac:dyDescent="0.25">
      <c r="B630" s="18"/>
      <c r="C630" s="18"/>
      <c r="D630" s="6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spans="2:24" ht="15.75" customHeight="1" x14ac:dyDescent="0.25">
      <c r="B631" s="18"/>
      <c r="C631" s="18"/>
      <c r="D631" s="6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spans="2:24" ht="15.75" customHeight="1" x14ac:dyDescent="0.25">
      <c r="B632" s="18"/>
      <c r="C632" s="18"/>
      <c r="D632" s="6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spans="2:24" ht="15.75" customHeight="1" x14ac:dyDescent="0.25">
      <c r="B633" s="18"/>
      <c r="C633" s="18"/>
      <c r="D633" s="6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spans="2:24" ht="15.75" customHeight="1" x14ac:dyDescent="0.25">
      <c r="B634" s="18"/>
      <c r="C634" s="18"/>
      <c r="D634" s="6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spans="2:24" ht="15.75" customHeight="1" x14ac:dyDescent="0.25">
      <c r="B635" s="18"/>
      <c r="C635" s="18"/>
      <c r="D635" s="6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spans="2:24" ht="15.75" customHeight="1" x14ac:dyDescent="0.25">
      <c r="B636" s="18"/>
      <c r="C636" s="18"/>
      <c r="D636" s="6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spans="2:24" ht="15.75" customHeight="1" x14ac:dyDescent="0.25">
      <c r="B637" s="18"/>
      <c r="C637" s="18"/>
      <c r="D637" s="6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spans="2:24" ht="15.75" customHeight="1" x14ac:dyDescent="0.25">
      <c r="B638" s="18"/>
      <c r="C638" s="18"/>
      <c r="D638" s="6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spans="2:24" ht="15.75" customHeight="1" x14ac:dyDescent="0.25">
      <c r="B639" s="18"/>
      <c r="C639" s="18"/>
      <c r="D639" s="6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spans="2:24" ht="15.75" customHeight="1" x14ac:dyDescent="0.25">
      <c r="B640" s="18"/>
      <c r="C640" s="18"/>
      <c r="D640" s="6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spans="2:24" ht="15.75" customHeight="1" x14ac:dyDescent="0.25">
      <c r="B641" s="18"/>
      <c r="C641" s="18"/>
      <c r="D641" s="6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spans="2:24" ht="15.75" customHeight="1" x14ac:dyDescent="0.25">
      <c r="B642" s="18"/>
      <c r="C642" s="18"/>
      <c r="D642" s="6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spans="2:24" ht="15.75" customHeight="1" x14ac:dyDescent="0.25">
      <c r="B643" s="18"/>
      <c r="C643" s="18"/>
      <c r="D643" s="6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spans="2:24" ht="15.75" customHeight="1" x14ac:dyDescent="0.25">
      <c r="B644" s="18"/>
      <c r="C644" s="18"/>
      <c r="D644" s="6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spans="2:24" ht="15.75" customHeight="1" x14ac:dyDescent="0.25">
      <c r="B645" s="18"/>
      <c r="C645" s="18"/>
      <c r="D645" s="6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spans="2:24" ht="15.75" customHeight="1" x14ac:dyDescent="0.25">
      <c r="B646" s="18"/>
      <c r="C646" s="18"/>
      <c r="D646" s="6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spans="2:24" ht="15.75" customHeight="1" x14ac:dyDescent="0.25">
      <c r="B647" s="18"/>
      <c r="C647" s="18"/>
      <c r="D647" s="6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spans="2:24" ht="15.75" customHeight="1" x14ac:dyDescent="0.25">
      <c r="B648" s="18"/>
      <c r="C648" s="18"/>
      <c r="D648" s="6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spans="2:24" ht="15.75" customHeight="1" x14ac:dyDescent="0.25">
      <c r="B649" s="18"/>
      <c r="C649" s="18"/>
      <c r="D649" s="6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spans="2:24" ht="15.75" customHeight="1" x14ac:dyDescent="0.25">
      <c r="B650" s="18"/>
      <c r="C650" s="18"/>
      <c r="D650" s="6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spans="2:24" ht="15.75" customHeight="1" x14ac:dyDescent="0.25">
      <c r="B651" s="18"/>
      <c r="C651" s="18"/>
      <c r="D651" s="6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spans="2:24" ht="15.75" customHeight="1" x14ac:dyDescent="0.25">
      <c r="B652" s="18"/>
      <c r="C652" s="18"/>
      <c r="D652" s="6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spans="2:24" ht="15.75" customHeight="1" x14ac:dyDescent="0.25">
      <c r="B653" s="18"/>
      <c r="C653" s="18"/>
      <c r="D653" s="6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spans="2:24" ht="15.75" customHeight="1" x14ac:dyDescent="0.25">
      <c r="B654" s="18"/>
      <c r="C654" s="18"/>
      <c r="D654" s="6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spans="2:24" ht="15.75" customHeight="1" x14ac:dyDescent="0.25">
      <c r="B655" s="18"/>
      <c r="C655" s="18"/>
      <c r="D655" s="6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spans="2:24" ht="15.75" customHeight="1" x14ac:dyDescent="0.25">
      <c r="B656" s="18"/>
      <c r="C656" s="18"/>
      <c r="D656" s="6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spans="2:24" ht="15.75" customHeight="1" x14ac:dyDescent="0.25">
      <c r="B657" s="18"/>
      <c r="C657" s="18"/>
      <c r="D657" s="6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spans="2:24" ht="15.75" customHeight="1" x14ac:dyDescent="0.25">
      <c r="B658" s="18"/>
      <c r="C658" s="18"/>
      <c r="D658" s="6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spans="2:24" ht="15.75" customHeight="1" x14ac:dyDescent="0.25">
      <c r="B659" s="18"/>
      <c r="C659" s="18"/>
      <c r="D659" s="6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spans="2:24" ht="15.75" customHeight="1" x14ac:dyDescent="0.25">
      <c r="B660" s="18"/>
      <c r="C660" s="18"/>
      <c r="D660" s="6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spans="2:24" ht="15.75" customHeight="1" x14ac:dyDescent="0.25">
      <c r="B661" s="18"/>
      <c r="C661" s="18"/>
      <c r="D661" s="6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spans="2:24" ht="15.75" customHeight="1" x14ac:dyDescent="0.25">
      <c r="B662" s="18"/>
      <c r="C662" s="18"/>
      <c r="D662" s="6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spans="2:24" ht="15.75" customHeight="1" x14ac:dyDescent="0.25">
      <c r="B663" s="18"/>
      <c r="C663" s="18"/>
      <c r="D663" s="6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spans="2:24" ht="15.75" customHeight="1" x14ac:dyDescent="0.25">
      <c r="B664" s="18"/>
      <c r="C664" s="18"/>
      <c r="D664" s="6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spans="2:24" ht="15.75" customHeight="1" x14ac:dyDescent="0.25">
      <c r="B665" s="18"/>
      <c r="C665" s="18"/>
      <c r="D665" s="6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spans="2:24" ht="15.75" customHeight="1" x14ac:dyDescent="0.25">
      <c r="B666" s="18"/>
      <c r="C666" s="18"/>
      <c r="D666" s="6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spans="2:24" ht="15.75" customHeight="1" x14ac:dyDescent="0.25">
      <c r="B667" s="18"/>
      <c r="C667" s="18"/>
      <c r="D667" s="6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spans="2:24" ht="15.75" customHeight="1" x14ac:dyDescent="0.25">
      <c r="B668" s="18"/>
      <c r="C668" s="18"/>
      <c r="D668" s="6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spans="2:24" ht="15.75" customHeight="1" x14ac:dyDescent="0.25">
      <c r="B669" s="18"/>
      <c r="C669" s="18"/>
      <c r="D669" s="6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spans="2:24" ht="15.75" customHeight="1" x14ac:dyDescent="0.25">
      <c r="B670" s="18"/>
      <c r="C670" s="18"/>
      <c r="D670" s="6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spans="2:24" ht="15.75" customHeight="1" x14ac:dyDescent="0.25">
      <c r="B671" s="18"/>
      <c r="C671" s="18"/>
      <c r="D671" s="6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spans="2:24" ht="15.75" customHeight="1" x14ac:dyDescent="0.25">
      <c r="B672" s="18"/>
      <c r="C672" s="18"/>
      <c r="D672" s="6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spans="2:24" ht="15.75" customHeight="1" x14ac:dyDescent="0.25">
      <c r="B673" s="18"/>
      <c r="C673" s="18"/>
      <c r="D673" s="6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spans="2:24" ht="15.75" customHeight="1" x14ac:dyDescent="0.25">
      <c r="B674" s="18"/>
      <c r="C674" s="18"/>
      <c r="D674" s="6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spans="2:24" ht="15.75" customHeight="1" x14ac:dyDescent="0.25">
      <c r="B675" s="18"/>
      <c r="C675" s="18"/>
      <c r="D675" s="6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spans="2:24" ht="15.75" customHeight="1" x14ac:dyDescent="0.25">
      <c r="B676" s="18"/>
      <c r="C676" s="18"/>
      <c r="D676" s="6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spans="2:24" ht="15.75" customHeight="1" x14ac:dyDescent="0.25">
      <c r="B677" s="18"/>
      <c r="C677" s="18"/>
      <c r="D677" s="6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spans="2:24" ht="15.75" customHeight="1" x14ac:dyDescent="0.25">
      <c r="B678" s="18"/>
      <c r="C678" s="18"/>
      <c r="D678" s="6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spans="2:24" ht="15.75" customHeight="1" x14ac:dyDescent="0.25">
      <c r="B679" s="18"/>
      <c r="C679" s="18"/>
      <c r="D679" s="6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spans="2:24" ht="15.75" customHeight="1" x14ac:dyDescent="0.25">
      <c r="B680" s="18"/>
      <c r="C680" s="18"/>
      <c r="D680" s="6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spans="2:24" ht="15.75" customHeight="1" x14ac:dyDescent="0.25">
      <c r="B681" s="18"/>
      <c r="C681" s="18"/>
      <c r="D681" s="6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spans="2:24" ht="15.75" customHeight="1" x14ac:dyDescent="0.25">
      <c r="B682" s="18"/>
      <c r="C682" s="18"/>
      <c r="D682" s="6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spans="2:24" ht="15.75" customHeight="1" x14ac:dyDescent="0.25">
      <c r="B683" s="18"/>
      <c r="C683" s="18"/>
      <c r="D683" s="6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spans="2:24" ht="15.75" customHeight="1" x14ac:dyDescent="0.25">
      <c r="B684" s="18"/>
      <c r="C684" s="18"/>
      <c r="D684" s="6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spans="2:24" ht="15.75" customHeight="1" x14ac:dyDescent="0.25">
      <c r="B685" s="18"/>
      <c r="C685" s="18"/>
      <c r="D685" s="6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spans="2:24" ht="15.75" customHeight="1" x14ac:dyDescent="0.25">
      <c r="B686" s="18"/>
      <c r="C686" s="18"/>
      <c r="D686" s="6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spans="2:24" ht="15.75" customHeight="1" x14ac:dyDescent="0.25">
      <c r="B687" s="18"/>
      <c r="C687" s="18"/>
      <c r="D687" s="6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spans="2:24" ht="15.75" customHeight="1" x14ac:dyDescent="0.25">
      <c r="B688" s="18"/>
      <c r="C688" s="18"/>
      <c r="D688" s="6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spans="2:24" ht="15.75" customHeight="1" x14ac:dyDescent="0.25">
      <c r="B689" s="18"/>
      <c r="C689" s="18"/>
      <c r="D689" s="6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spans="2:24" ht="15.75" customHeight="1" x14ac:dyDescent="0.25">
      <c r="B690" s="18"/>
      <c r="C690" s="18"/>
      <c r="D690" s="6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spans="2:24" ht="15.75" customHeight="1" x14ac:dyDescent="0.25">
      <c r="B691" s="18"/>
      <c r="C691" s="18"/>
      <c r="D691" s="6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spans="2:24" ht="15.75" customHeight="1" x14ac:dyDescent="0.25">
      <c r="B692" s="18"/>
      <c r="C692" s="18"/>
      <c r="D692" s="6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spans="2:24" ht="15.75" customHeight="1" x14ac:dyDescent="0.25">
      <c r="B693" s="18"/>
      <c r="C693" s="18"/>
      <c r="D693" s="6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spans="2:24" ht="15.75" customHeight="1" x14ac:dyDescent="0.25">
      <c r="B694" s="18"/>
      <c r="C694" s="18"/>
      <c r="D694" s="6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spans="2:24" ht="15.75" customHeight="1" x14ac:dyDescent="0.25">
      <c r="B695" s="18"/>
      <c r="C695" s="18"/>
      <c r="D695" s="6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spans="2:24" ht="15.75" customHeight="1" x14ac:dyDescent="0.25">
      <c r="B696" s="18"/>
      <c r="C696" s="18"/>
      <c r="D696" s="6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spans="2:24" ht="15.75" customHeight="1" x14ac:dyDescent="0.25">
      <c r="B697" s="18"/>
      <c r="C697" s="18"/>
      <c r="D697" s="6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spans="2:24" ht="15.75" customHeight="1" x14ac:dyDescent="0.25">
      <c r="B698" s="18"/>
      <c r="C698" s="18"/>
      <c r="D698" s="6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spans="2:24" ht="15.75" customHeight="1" x14ac:dyDescent="0.25">
      <c r="B699" s="18"/>
      <c r="C699" s="18"/>
      <c r="D699" s="6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spans="2:24" ht="15.75" customHeight="1" x14ac:dyDescent="0.25">
      <c r="B700" s="18"/>
      <c r="C700" s="18"/>
      <c r="D700" s="6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spans="2:24" ht="15.75" customHeight="1" x14ac:dyDescent="0.25">
      <c r="B701" s="18"/>
      <c r="C701" s="18"/>
      <c r="D701" s="6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spans="2:24" ht="15.75" customHeight="1" x14ac:dyDescent="0.25">
      <c r="B702" s="18"/>
      <c r="C702" s="18"/>
      <c r="D702" s="6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spans="2:24" ht="15.75" customHeight="1" x14ac:dyDescent="0.25">
      <c r="B703" s="18"/>
      <c r="C703" s="18"/>
      <c r="D703" s="6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spans="2:24" ht="15.75" customHeight="1" x14ac:dyDescent="0.25">
      <c r="B704" s="18"/>
      <c r="C704" s="18"/>
      <c r="D704" s="6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spans="2:24" ht="15.75" customHeight="1" x14ac:dyDescent="0.25">
      <c r="B705" s="18"/>
      <c r="C705" s="18"/>
      <c r="D705" s="6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spans="2:24" ht="15.75" customHeight="1" x14ac:dyDescent="0.25">
      <c r="B706" s="18"/>
      <c r="C706" s="18"/>
      <c r="D706" s="6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spans="2:24" ht="15.75" customHeight="1" x14ac:dyDescent="0.25">
      <c r="B707" s="18"/>
      <c r="C707" s="18"/>
      <c r="D707" s="6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spans="2:24" ht="15.75" customHeight="1" x14ac:dyDescent="0.25">
      <c r="B708" s="18"/>
      <c r="C708" s="18"/>
      <c r="D708" s="6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spans="2:24" ht="15.75" customHeight="1" x14ac:dyDescent="0.25">
      <c r="B709" s="18"/>
      <c r="C709" s="18"/>
      <c r="D709" s="6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spans="2:24" ht="15.75" customHeight="1" x14ac:dyDescent="0.25">
      <c r="B710" s="18"/>
      <c r="C710" s="18"/>
      <c r="D710" s="6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spans="2:24" ht="15.75" customHeight="1" x14ac:dyDescent="0.25">
      <c r="B711" s="18"/>
      <c r="C711" s="18"/>
      <c r="D711" s="6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spans="2:24" ht="15.75" customHeight="1" x14ac:dyDescent="0.25">
      <c r="B712" s="18"/>
      <c r="C712" s="18"/>
      <c r="D712" s="6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spans="2:24" ht="15.75" customHeight="1" x14ac:dyDescent="0.25">
      <c r="B713" s="18"/>
      <c r="C713" s="18"/>
      <c r="D713" s="6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spans="2:24" ht="15.75" customHeight="1" x14ac:dyDescent="0.25">
      <c r="B714" s="18"/>
      <c r="C714" s="18"/>
      <c r="D714" s="6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spans="2:24" ht="15.75" customHeight="1" x14ac:dyDescent="0.25">
      <c r="B715" s="18"/>
      <c r="C715" s="18"/>
      <c r="D715" s="6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spans="2:24" ht="15.75" customHeight="1" x14ac:dyDescent="0.25">
      <c r="B716" s="18"/>
      <c r="C716" s="18"/>
      <c r="D716" s="6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spans="2:24" ht="15.75" customHeight="1" x14ac:dyDescent="0.25">
      <c r="B717" s="18"/>
      <c r="C717" s="18"/>
      <c r="D717" s="6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spans="2:24" ht="15.75" customHeight="1" x14ac:dyDescent="0.25">
      <c r="B718" s="18"/>
      <c r="C718" s="18"/>
      <c r="D718" s="6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spans="2:24" ht="15.75" customHeight="1" x14ac:dyDescent="0.25">
      <c r="B719" s="18"/>
      <c r="C719" s="18"/>
      <c r="D719" s="6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spans="2:24" ht="15.75" customHeight="1" x14ac:dyDescent="0.25">
      <c r="B720" s="18"/>
      <c r="C720" s="18"/>
      <c r="D720" s="6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spans="2:24" ht="15.75" customHeight="1" x14ac:dyDescent="0.25">
      <c r="B721" s="18"/>
      <c r="C721" s="18"/>
      <c r="D721" s="6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spans="2:24" ht="15.75" customHeight="1" x14ac:dyDescent="0.25">
      <c r="B722" s="18"/>
      <c r="C722" s="18"/>
      <c r="D722" s="6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spans="2:24" ht="15.75" customHeight="1" x14ac:dyDescent="0.25">
      <c r="B723" s="18"/>
      <c r="C723" s="18"/>
      <c r="D723" s="6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spans="2:24" ht="15.75" customHeight="1" x14ac:dyDescent="0.25">
      <c r="B724" s="18"/>
      <c r="C724" s="18"/>
      <c r="D724" s="6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spans="2:24" ht="15.75" customHeight="1" x14ac:dyDescent="0.25">
      <c r="B725" s="18"/>
      <c r="C725" s="18"/>
      <c r="D725" s="6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spans="2:24" ht="15.75" customHeight="1" x14ac:dyDescent="0.25">
      <c r="B726" s="18"/>
      <c r="C726" s="18"/>
      <c r="D726" s="6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spans="2:24" ht="15.75" customHeight="1" x14ac:dyDescent="0.25">
      <c r="B727" s="18"/>
      <c r="C727" s="18"/>
      <c r="D727" s="6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spans="2:24" ht="15.75" customHeight="1" x14ac:dyDescent="0.25">
      <c r="B728" s="18"/>
      <c r="C728" s="18"/>
      <c r="D728" s="6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spans="2:24" ht="15.75" customHeight="1" x14ac:dyDescent="0.25">
      <c r="B729" s="18"/>
      <c r="C729" s="18"/>
      <c r="D729" s="6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spans="2:24" ht="15.75" customHeight="1" x14ac:dyDescent="0.25">
      <c r="B730" s="18"/>
      <c r="C730" s="18"/>
      <c r="D730" s="6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spans="2:24" ht="15.75" customHeight="1" x14ac:dyDescent="0.25">
      <c r="B731" s="18"/>
      <c r="C731" s="18"/>
      <c r="D731" s="6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spans="2:24" ht="15.75" customHeight="1" x14ac:dyDescent="0.25">
      <c r="B732" s="18"/>
      <c r="C732" s="18"/>
      <c r="D732" s="6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spans="2:24" ht="15.75" customHeight="1" x14ac:dyDescent="0.25">
      <c r="B733" s="18"/>
      <c r="C733" s="18"/>
      <c r="D733" s="6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spans="2:24" ht="15.75" customHeight="1" x14ac:dyDescent="0.25">
      <c r="B734" s="18"/>
      <c r="C734" s="18"/>
      <c r="D734" s="6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spans="2:24" ht="15.75" customHeight="1" x14ac:dyDescent="0.25">
      <c r="B735" s="18"/>
      <c r="C735" s="18"/>
      <c r="D735" s="6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spans="2:24" ht="15.75" customHeight="1" x14ac:dyDescent="0.25">
      <c r="B736" s="18"/>
      <c r="C736" s="18"/>
      <c r="D736" s="6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spans="2:24" ht="15.75" customHeight="1" x14ac:dyDescent="0.25">
      <c r="B737" s="18"/>
      <c r="C737" s="18"/>
      <c r="D737" s="6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spans="2:24" ht="15.75" customHeight="1" x14ac:dyDescent="0.25">
      <c r="B738" s="18"/>
      <c r="C738" s="18"/>
      <c r="D738" s="6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spans="2:24" ht="15.75" customHeight="1" x14ac:dyDescent="0.25">
      <c r="B739" s="18"/>
      <c r="C739" s="18"/>
      <c r="D739" s="6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spans="2:24" ht="15.75" customHeight="1" x14ac:dyDescent="0.25">
      <c r="B740" s="18"/>
      <c r="C740" s="18"/>
      <c r="D740" s="6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spans="2:24" ht="15.75" customHeight="1" x14ac:dyDescent="0.25">
      <c r="B741" s="18"/>
      <c r="C741" s="18"/>
      <c r="D741" s="6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spans="2:24" ht="15.75" customHeight="1" x14ac:dyDescent="0.25">
      <c r="B742" s="18"/>
      <c r="C742" s="18"/>
      <c r="D742" s="6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spans="2:24" ht="15.75" customHeight="1" x14ac:dyDescent="0.25">
      <c r="B743" s="18"/>
      <c r="C743" s="18"/>
      <c r="D743" s="6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spans="2:24" ht="15.75" customHeight="1" x14ac:dyDescent="0.25">
      <c r="B744" s="18"/>
      <c r="C744" s="18"/>
      <c r="D744" s="6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spans="2:24" ht="15.75" customHeight="1" x14ac:dyDescent="0.25">
      <c r="B745" s="18"/>
      <c r="C745" s="18"/>
      <c r="D745" s="6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spans="2:24" ht="15.75" customHeight="1" x14ac:dyDescent="0.25">
      <c r="B746" s="18"/>
      <c r="C746" s="18"/>
      <c r="D746" s="6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spans="2:24" ht="15.75" customHeight="1" x14ac:dyDescent="0.25">
      <c r="B747" s="18"/>
      <c r="C747" s="18"/>
      <c r="D747" s="6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spans="2:24" ht="15.75" customHeight="1" x14ac:dyDescent="0.25">
      <c r="B748" s="18"/>
      <c r="C748" s="18"/>
      <c r="D748" s="6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spans="2:24" ht="15.75" customHeight="1" x14ac:dyDescent="0.25">
      <c r="B749" s="18"/>
      <c r="C749" s="18"/>
      <c r="D749" s="6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spans="2:24" ht="15.75" customHeight="1" x14ac:dyDescent="0.25">
      <c r="B750" s="18"/>
      <c r="C750" s="18"/>
      <c r="D750" s="6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spans="2:24" ht="15.75" customHeight="1" x14ac:dyDescent="0.25">
      <c r="B751" s="18"/>
      <c r="C751" s="18"/>
      <c r="D751" s="6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spans="2:24" ht="15.75" customHeight="1" x14ac:dyDescent="0.25">
      <c r="B752" s="18"/>
      <c r="C752" s="18"/>
      <c r="D752" s="6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spans="2:24" ht="15.75" customHeight="1" x14ac:dyDescent="0.25">
      <c r="B753" s="18"/>
      <c r="C753" s="18"/>
      <c r="D753" s="6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spans="2:24" ht="15.75" customHeight="1" x14ac:dyDescent="0.25">
      <c r="B754" s="18"/>
      <c r="C754" s="18"/>
      <c r="D754" s="6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spans="2:24" ht="15.75" customHeight="1" x14ac:dyDescent="0.25">
      <c r="B755" s="18"/>
      <c r="C755" s="18"/>
      <c r="D755" s="6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spans="2:24" ht="15.75" customHeight="1" x14ac:dyDescent="0.25">
      <c r="B756" s="18"/>
      <c r="C756" s="18"/>
      <c r="D756" s="6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spans="2:24" ht="15.75" customHeight="1" x14ac:dyDescent="0.25">
      <c r="B757" s="18"/>
      <c r="C757" s="18"/>
      <c r="D757" s="6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spans="2:24" ht="15.75" customHeight="1" x14ac:dyDescent="0.25">
      <c r="B758" s="18"/>
      <c r="C758" s="18"/>
      <c r="D758" s="6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spans="2:24" ht="15.75" customHeight="1" x14ac:dyDescent="0.25">
      <c r="B759" s="18"/>
      <c r="C759" s="18"/>
      <c r="D759" s="6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spans="2:24" ht="15.75" customHeight="1" x14ac:dyDescent="0.25">
      <c r="B760" s="18"/>
      <c r="C760" s="18"/>
      <c r="D760" s="6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spans="2:24" ht="15.75" customHeight="1" x14ac:dyDescent="0.25">
      <c r="B761" s="18"/>
      <c r="C761" s="18"/>
      <c r="D761" s="6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spans="2:24" ht="15.75" customHeight="1" x14ac:dyDescent="0.25">
      <c r="B762" s="18"/>
      <c r="C762" s="18"/>
      <c r="D762" s="6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spans="2:24" ht="15.75" customHeight="1" x14ac:dyDescent="0.25">
      <c r="B763" s="18"/>
      <c r="C763" s="18"/>
      <c r="D763" s="6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spans="2:24" ht="15.75" customHeight="1" x14ac:dyDescent="0.25">
      <c r="B764" s="18"/>
      <c r="C764" s="18"/>
      <c r="D764" s="6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spans="2:24" ht="15.75" customHeight="1" x14ac:dyDescent="0.25">
      <c r="B765" s="18"/>
      <c r="C765" s="18"/>
      <c r="D765" s="6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spans="2:24" ht="15.75" customHeight="1" x14ac:dyDescent="0.25">
      <c r="B766" s="18"/>
      <c r="C766" s="18"/>
      <c r="D766" s="6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spans="2:24" ht="15.75" customHeight="1" x14ac:dyDescent="0.25">
      <c r="B767" s="18"/>
      <c r="C767" s="18"/>
      <c r="D767" s="6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spans="2:24" ht="15.75" customHeight="1" x14ac:dyDescent="0.25">
      <c r="B768" s="18"/>
      <c r="C768" s="18"/>
      <c r="D768" s="6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spans="2:24" ht="15.75" customHeight="1" x14ac:dyDescent="0.25">
      <c r="B769" s="18"/>
      <c r="C769" s="18"/>
      <c r="D769" s="6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spans="2:24" ht="15.75" customHeight="1" x14ac:dyDescent="0.25">
      <c r="B770" s="18"/>
      <c r="C770" s="18"/>
      <c r="D770" s="6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spans="2:24" ht="15.75" customHeight="1" x14ac:dyDescent="0.25">
      <c r="B771" s="18"/>
      <c r="C771" s="18"/>
      <c r="D771" s="6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spans="2:24" ht="15.75" customHeight="1" x14ac:dyDescent="0.25">
      <c r="B772" s="18"/>
      <c r="C772" s="18"/>
      <c r="D772" s="6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spans="2:24" ht="15.75" customHeight="1" x14ac:dyDescent="0.25">
      <c r="B773" s="18"/>
      <c r="C773" s="18"/>
      <c r="D773" s="6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spans="2:24" ht="15.75" customHeight="1" x14ac:dyDescent="0.25">
      <c r="B774" s="18"/>
      <c r="C774" s="18"/>
      <c r="D774" s="6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spans="2:24" ht="15.75" customHeight="1" x14ac:dyDescent="0.25">
      <c r="B775" s="18"/>
      <c r="C775" s="18"/>
      <c r="D775" s="6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spans="2:24" ht="15.75" customHeight="1" x14ac:dyDescent="0.25">
      <c r="B776" s="18"/>
      <c r="C776" s="18"/>
      <c r="D776" s="6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spans="2:24" ht="15.75" customHeight="1" x14ac:dyDescent="0.25">
      <c r="B777" s="18"/>
      <c r="C777" s="18"/>
      <c r="D777" s="6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spans="2:24" ht="15.75" customHeight="1" x14ac:dyDescent="0.25">
      <c r="B778" s="18"/>
      <c r="C778" s="18"/>
      <c r="D778" s="6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spans="2:24" ht="15.75" customHeight="1" x14ac:dyDescent="0.25">
      <c r="B779" s="18"/>
      <c r="C779" s="18"/>
      <c r="D779" s="6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spans="2:24" ht="15.75" customHeight="1" x14ac:dyDescent="0.25">
      <c r="B780" s="18"/>
      <c r="C780" s="18"/>
      <c r="D780" s="6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spans="2:24" ht="15.75" customHeight="1" x14ac:dyDescent="0.25">
      <c r="B781" s="18"/>
      <c r="C781" s="18"/>
      <c r="D781" s="6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spans="2:24" ht="15.75" customHeight="1" x14ac:dyDescent="0.25">
      <c r="B782" s="18"/>
      <c r="C782" s="18"/>
      <c r="D782" s="6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spans="2:24" ht="15.75" customHeight="1" x14ac:dyDescent="0.25">
      <c r="B783" s="18"/>
      <c r="C783" s="18"/>
      <c r="D783" s="6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spans="2:24" ht="15.75" customHeight="1" x14ac:dyDescent="0.25">
      <c r="B784" s="18"/>
      <c r="C784" s="18"/>
      <c r="D784" s="6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spans="2:24" ht="15.75" customHeight="1" x14ac:dyDescent="0.25">
      <c r="B785" s="18"/>
      <c r="C785" s="18"/>
      <c r="D785" s="6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spans="2:24" ht="15.75" customHeight="1" x14ac:dyDescent="0.25">
      <c r="B786" s="18"/>
      <c r="C786" s="18"/>
      <c r="D786" s="6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spans="2:24" ht="15.75" customHeight="1" x14ac:dyDescent="0.25">
      <c r="B787" s="18"/>
      <c r="C787" s="18"/>
      <c r="D787" s="6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spans="2:24" ht="15.75" customHeight="1" x14ac:dyDescent="0.25">
      <c r="B788" s="18"/>
      <c r="C788" s="18"/>
      <c r="D788" s="6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spans="2:24" ht="15.75" customHeight="1" x14ac:dyDescent="0.25">
      <c r="B789" s="18"/>
      <c r="C789" s="18"/>
      <c r="D789" s="6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spans="2:24" ht="15.75" customHeight="1" x14ac:dyDescent="0.25">
      <c r="B790" s="18"/>
      <c r="C790" s="18"/>
      <c r="D790" s="6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spans="2:24" ht="15.75" customHeight="1" x14ac:dyDescent="0.25">
      <c r="B791" s="18"/>
      <c r="C791" s="18"/>
      <c r="D791" s="6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spans="2:24" ht="15.75" customHeight="1" x14ac:dyDescent="0.25">
      <c r="B792" s="18"/>
      <c r="C792" s="18"/>
      <c r="D792" s="6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spans="2:24" ht="15.75" customHeight="1" x14ac:dyDescent="0.25">
      <c r="B793" s="18"/>
      <c r="C793" s="18"/>
      <c r="D793" s="6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spans="2:24" ht="15.75" customHeight="1" x14ac:dyDescent="0.25">
      <c r="B794" s="18"/>
      <c r="C794" s="18"/>
      <c r="D794" s="6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spans="2:24" ht="15.75" customHeight="1" x14ac:dyDescent="0.25">
      <c r="B795" s="18"/>
      <c r="C795" s="18"/>
      <c r="D795" s="6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spans="2:24" ht="15.75" customHeight="1" x14ac:dyDescent="0.25">
      <c r="B796" s="18"/>
      <c r="C796" s="18"/>
      <c r="D796" s="6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spans="2:24" ht="15.75" customHeight="1" x14ac:dyDescent="0.25">
      <c r="B797" s="18"/>
      <c r="C797" s="18"/>
      <c r="D797" s="6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spans="2:24" ht="15.75" customHeight="1" x14ac:dyDescent="0.25">
      <c r="B798" s="18"/>
      <c r="C798" s="18"/>
      <c r="D798" s="6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spans="2:24" ht="15.75" customHeight="1" x14ac:dyDescent="0.25">
      <c r="B799" s="18"/>
      <c r="C799" s="18"/>
      <c r="D799" s="6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spans="2:24" ht="15.75" customHeight="1" x14ac:dyDescent="0.25">
      <c r="B800" s="18"/>
      <c r="C800" s="18"/>
      <c r="D800" s="6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spans="2:24" ht="15.75" customHeight="1" x14ac:dyDescent="0.25">
      <c r="B801" s="18"/>
      <c r="C801" s="18"/>
      <c r="D801" s="6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spans="2:24" ht="15.75" customHeight="1" x14ac:dyDescent="0.25">
      <c r="B802" s="18"/>
      <c r="C802" s="18"/>
      <c r="D802" s="6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spans="2:24" ht="15.75" customHeight="1" x14ac:dyDescent="0.25">
      <c r="B803" s="18"/>
      <c r="C803" s="18"/>
      <c r="D803" s="6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spans="2:24" ht="15.75" customHeight="1" x14ac:dyDescent="0.25">
      <c r="B804" s="18"/>
      <c r="C804" s="18"/>
      <c r="D804" s="6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spans="2:24" ht="15.75" customHeight="1" x14ac:dyDescent="0.25">
      <c r="B805" s="18"/>
      <c r="C805" s="18"/>
      <c r="D805" s="6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spans="2:24" ht="15.75" customHeight="1" x14ac:dyDescent="0.25">
      <c r="B806" s="18"/>
      <c r="C806" s="18"/>
      <c r="D806" s="6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spans="2:24" ht="15.75" customHeight="1" x14ac:dyDescent="0.25">
      <c r="B807" s="18"/>
      <c r="C807" s="18"/>
      <c r="D807" s="6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spans="2:24" ht="15.75" customHeight="1" x14ac:dyDescent="0.25">
      <c r="B808" s="18"/>
      <c r="C808" s="18"/>
      <c r="D808" s="6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spans="2:24" ht="15.75" customHeight="1" x14ac:dyDescent="0.25">
      <c r="B809" s="18"/>
      <c r="C809" s="18"/>
      <c r="D809" s="6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spans="2:24" ht="15.75" customHeight="1" x14ac:dyDescent="0.25">
      <c r="B810" s="18"/>
      <c r="C810" s="18"/>
      <c r="D810" s="6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spans="2:24" ht="15.75" customHeight="1" x14ac:dyDescent="0.25">
      <c r="B811" s="18"/>
      <c r="C811" s="18"/>
      <c r="D811" s="6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spans="2:24" ht="15.75" customHeight="1" x14ac:dyDescent="0.25">
      <c r="B812" s="18"/>
      <c r="C812" s="18"/>
      <c r="D812" s="6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spans="2:24" ht="15.75" customHeight="1" x14ac:dyDescent="0.25">
      <c r="B813" s="18"/>
      <c r="C813" s="18"/>
      <c r="D813" s="6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spans="2:24" ht="15.75" customHeight="1" x14ac:dyDescent="0.25">
      <c r="B814" s="18"/>
      <c r="C814" s="18"/>
      <c r="D814" s="6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spans="2:24" ht="15.75" customHeight="1" x14ac:dyDescent="0.25">
      <c r="B815" s="18"/>
      <c r="C815" s="18"/>
      <c r="D815" s="6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spans="2:24" ht="15.75" customHeight="1" x14ac:dyDescent="0.25">
      <c r="B816" s="18"/>
      <c r="C816" s="18"/>
      <c r="D816" s="6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spans="2:24" ht="15.75" customHeight="1" x14ac:dyDescent="0.25">
      <c r="B817" s="18"/>
      <c r="C817" s="18"/>
      <c r="D817" s="6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spans="2:24" ht="15.75" customHeight="1" x14ac:dyDescent="0.25">
      <c r="B818" s="18"/>
      <c r="C818" s="18"/>
      <c r="D818" s="6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spans="2:24" ht="15.75" customHeight="1" x14ac:dyDescent="0.25">
      <c r="B819" s="18"/>
      <c r="C819" s="18"/>
      <c r="D819" s="6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spans="2:24" ht="15.75" customHeight="1" x14ac:dyDescent="0.25">
      <c r="B820" s="18"/>
      <c r="C820" s="18"/>
      <c r="D820" s="6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spans="2:24" ht="15.75" customHeight="1" x14ac:dyDescent="0.25">
      <c r="B821" s="18"/>
      <c r="C821" s="18"/>
      <c r="D821" s="6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spans="2:24" ht="15.75" customHeight="1" x14ac:dyDescent="0.25">
      <c r="B822" s="18"/>
      <c r="C822" s="18"/>
      <c r="D822" s="6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spans="2:24" ht="15.75" customHeight="1" x14ac:dyDescent="0.25">
      <c r="B823" s="18"/>
      <c r="C823" s="18"/>
      <c r="D823" s="6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spans="2:24" ht="15.75" customHeight="1" x14ac:dyDescent="0.25">
      <c r="B824" s="18"/>
      <c r="C824" s="18"/>
      <c r="D824" s="6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spans="2:24" ht="15.75" customHeight="1" x14ac:dyDescent="0.25">
      <c r="B825" s="18"/>
      <c r="C825" s="18"/>
      <c r="D825" s="6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spans="2:24" ht="15.75" customHeight="1" x14ac:dyDescent="0.25">
      <c r="B826" s="18"/>
      <c r="C826" s="18"/>
      <c r="D826" s="6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spans="2:24" ht="15.75" customHeight="1" x14ac:dyDescent="0.25">
      <c r="B827" s="18"/>
      <c r="C827" s="18"/>
      <c r="D827" s="6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spans="2:24" ht="15.75" customHeight="1" x14ac:dyDescent="0.25">
      <c r="B828" s="18"/>
      <c r="C828" s="18"/>
      <c r="D828" s="6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spans="2:24" ht="15.75" customHeight="1" x14ac:dyDescent="0.25">
      <c r="B829" s="18"/>
      <c r="C829" s="18"/>
      <c r="D829" s="6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spans="2:24" ht="15.75" customHeight="1" x14ac:dyDescent="0.25">
      <c r="B830" s="18"/>
      <c r="C830" s="18"/>
      <c r="D830" s="6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spans="2:24" ht="15.75" customHeight="1" x14ac:dyDescent="0.25">
      <c r="B831" s="18"/>
      <c r="C831" s="18"/>
      <c r="D831" s="6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spans="2:24" ht="15.75" customHeight="1" x14ac:dyDescent="0.25">
      <c r="B832" s="18"/>
      <c r="C832" s="18"/>
      <c r="D832" s="6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spans="2:24" ht="15.75" customHeight="1" x14ac:dyDescent="0.25">
      <c r="B833" s="18"/>
      <c r="C833" s="18"/>
      <c r="D833" s="6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spans="2:24" ht="15.75" customHeight="1" x14ac:dyDescent="0.25">
      <c r="B834" s="18"/>
      <c r="C834" s="18"/>
      <c r="D834" s="6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spans="2:24" ht="15.75" customHeight="1" x14ac:dyDescent="0.25">
      <c r="B835" s="18"/>
      <c r="C835" s="18"/>
      <c r="D835" s="6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spans="2:24" ht="15.75" customHeight="1" x14ac:dyDescent="0.25">
      <c r="B836" s="18"/>
      <c r="C836" s="18"/>
      <c r="D836" s="6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spans="2:24" ht="15.75" customHeight="1" x14ac:dyDescent="0.25">
      <c r="B837" s="18"/>
      <c r="C837" s="18"/>
      <c r="D837" s="6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spans="2:24" ht="15.75" customHeight="1" x14ac:dyDescent="0.25">
      <c r="B838" s="18"/>
      <c r="C838" s="18"/>
      <c r="D838" s="6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spans="2:24" ht="15.75" customHeight="1" x14ac:dyDescent="0.25">
      <c r="B839" s="18"/>
      <c r="C839" s="18"/>
      <c r="D839" s="6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spans="2:24" ht="15.75" customHeight="1" x14ac:dyDescent="0.25">
      <c r="B840" s="18"/>
      <c r="C840" s="18"/>
      <c r="D840" s="6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spans="2:24" ht="15.75" customHeight="1" x14ac:dyDescent="0.25">
      <c r="B841" s="18"/>
      <c r="C841" s="18"/>
      <c r="D841" s="6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spans="2:24" ht="15.75" customHeight="1" x14ac:dyDescent="0.25">
      <c r="B842" s="18"/>
      <c r="C842" s="18"/>
      <c r="D842" s="6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spans="2:24" ht="15.75" customHeight="1" x14ac:dyDescent="0.25">
      <c r="B843" s="18"/>
      <c r="C843" s="18"/>
      <c r="D843" s="6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spans="2:24" ht="15.75" customHeight="1" x14ac:dyDescent="0.25">
      <c r="B844" s="18"/>
      <c r="C844" s="18"/>
      <c r="D844" s="6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spans="2:24" ht="15.75" customHeight="1" x14ac:dyDescent="0.25">
      <c r="B845" s="18"/>
      <c r="C845" s="18"/>
      <c r="D845" s="6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spans="2:24" ht="15.75" customHeight="1" x14ac:dyDescent="0.25">
      <c r="B846" s="18"/>
      <c r="C846" s="18"/>
      <c r="D846" s="6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spans="2:24" ht="15.75" customHeight="1" x14ac:dyDescent="0.25">
      <c r="B847" s="18"/>
      <c r="C847" s="18"/>
      <c r="D847" s="6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spans="2:24" ht="15.75" customHeight="1" x14ac:dyDescent="0.25">
      <c r="B848" s="18"/>
      <c r="C848" s="18"/>
      <c r="D848" s="6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spans="2:24" ht="15.75" customHeight="1" x14ac:dyDescent="0.25">
      <c r="B849" s="18"/>
      <c r="C849" s="18"/>
      <c r="D849" s="6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spans="2:24" ht="15.75" customHeight="1" x14ac:dyDescent="0.25">
      <c r="B850" s="18"/>
      <c r="C850" s="18"/>
      <c r="D850" s="6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spans="2:24" ht="15.75" customHeight="1" x14ac:dyDescent="0.25">
      <c r="B851" s="18"/>
      <c r="C851" s="18"/>
      <c r="D851" s="6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spans="2:24" ht="15.75" customHeight="1" x14ac:dyDescent="0.25">
      <c r="B852" s="18"/>
      <c r="C852" s="18"/>
      <c r="D852" s="6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spans="2:24" ht="15.75" customHeight="1" x14ac:dyDescent="0.25">
      <c r="B853" s="18"/>
      <c r="C853" s="18"/>
      <c r="D853" s="6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spans="2:24" ht="15.75" customHeight="1" x14ac:dyDescent="0.25">
      <c r="B854" s="18"/>
      <c r="C854" s="18"/>
      <c r="D854" s="6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spans="2:24" ht="15.75" customHeight="1" x14ac:dyDescent="0.25">
      <c r="B855" s="18"/>
      <c r="C855" s="18"/>
      <c r="D855" s="6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spans="2:24" ht="15.75" customHeight="1" x14ac:dyDescent="0.25">
      <c r="B856" s="18"/>
      <c r="C856" s="18"/>
      <c r="D856" s="6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spans="2:24" ht="15.75" customHeight="1" x14ac:dyDescent="0.25">
      <c r="B857" s="18"/>
      <c r="C857" s="18"/>
      <c r="D857" s="6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spans="2:24" ht="15.75" customHeight="1" x14ac:dyDescent="0.25">
      <c r="B858" s="18"/>
      <c r="C858" s="18"/>
      <c r="D858" s="6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spans="2:24" ht="15.75" customHeight="1" x14ac:dyDescent="0.25">
      <c r="B859" s="18"/>
      <c r="C859" s="18"/>
      <c r="D859" s="6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spans="2:24" ht="15.75" customHeight="1" x14ac:dyDescent="0.25">
      <c r="B860" s="18"/>
      <c r="C860" s="18"/>
      <c r="D860" s="6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spans="2:24" ht="15.75" customHeight="1" x14ac:dyDescent="0.25">
      <c r="B861" s="18"/>
      <c r="C861" s="18"/>
      <c r="D861" s="6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spans="2:24" ht="15.75" customHeight="1" x14ac:dyDescent="0.25">
      <c r="B862" s="18"/>
      <c r="C862" s="18"/>
      <c r="D862" s="6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spans="2:24" ht="15.75" customHeight="1" x14ac:dyDescent="0.25">
      <c r="B863" s="18"/>
      <c r="C863" s="18"/>
      <c r="D863" s="6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spans="2:24" ht="15.75" customHeight="1" x14ac:dyDescent="0.25">
      <c r="B864" s="18"/>
      <c r="C864" s="18"/>
      <c r="D864" s="6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spans="2:24" ht="15.75" customHeight="1" x14ac:dyDescent="0.25">
      <c r="B865" s="18"/>
      <c r="C865" s="18"/>
      <c r="D865" s="6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spans="2:24" ht="15.75" customHeight="1" x14ac:dyDescent="0.25">
      <c r="B866" s="18"/>
      <c r="C866" s="18"/>
      <c r="D866" s="6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spans="2:24" ht="15.75" customHeight="1" x14ac:dyDescent="0.25">
      <c r="B867" s="18"/>
      <c r="C867" s="18"/>
      <c r="D867" s="6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spans="2:24" ht="15.75" customHeight="1" x14ac:dyDescent="0.25">
      <c r="B868" s="18"/>
      <c r="C868" s="18"/>
      <c r="D868" s="6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spans="2:24" ht="15.75" customHeight="1" x14ac:dyDescent="0.25">
      <c r="B869" s="18"/>
      <c r="C869" s="18"/>
      <c r="D869" s="6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spans="2:24" ht="15.75" customHeight="1" x14ac:dyDescent="0.25">
      <c r="B870" s="18"/>
      <c r="C870" s="18"/>
      <c r="D870" s="6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spans="2:24" ht="15.75" customHeight="1" x14ac:dyDescent="0.25">
      <c r="B871" s="18"/>
      <c r="C871" s="18"/>
      <c r="D871" s="6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spans="2:24" ht="15.75" customHeight="1" x14ac:dyDescent="0.25">
      <c r="B872" s="18"/>
      <c r="C872" s="18"/>
      <c r="D872" s="6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spans="2:24" ht="15.75" customHeight="1" x14ac:dyDescent="0.25">
      <c r="B873" s="18"/>
      <c r="C873" s="18"/>
      <c r="D873" s="6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spans="2:24" ht="15.75" customHeight="1" x14ac:dyDescent="0.25">
      <c r="B874" s="18"/>
      <c r="C874" s="18"/>
      <c r="D874" s="6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spans="2:24" ht="15.75" customHeight="1" x14ac:dyDescent="0.25">
      <c r="B875" s="18"/>
      <c r="C875" s="18"/>
      <c r="D875" s="6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spans="2:24" ht="15.75" customHeight="1" x14ac:dyDescent="0.25">
      <c r="B876" s="18"/>
      <c r="C876" s="18"/>
      <c r="D876" s="6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spans="2:24" ht="15.75" customHeight="1" x14ac:dyDescent="0.25">
      <c r="B877" s="18"/>
      <c r="C877" s="18"/>
      <c r="D877" s="6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spans="2:24" ht="15.75" customHeight="1" x14ac:dyDescent="0.25">
      <c r="B878" s="18"/>
      <c r="C878" s="18"/>
      <c r="D878" s="6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spans="2:24" ht="15.75" customHeight="1" x14ac:dyDescent="0.25">
      <c r="B879" s="18"/>
      <c r="C879" s="18"/>
      <c r="D879" s="6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spans="2:24" ht="15.75" customHeight="1" x14ac:dyDescent="0.25">
      <c r="B880" s="18"/>
      <c r="C880" s="18"/>
      <c r="D880" s="6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spans="2:24" ht="15.75" customHeight="1" x14ac:dyDescent="0.25">
      <c r="B881" s="18"/>
      <c r="C881" s="18"/>
      <c r="D881" s="6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spans="2:24" ht="15.75" customHeight="1" x14ac:dyDescent="0.25">
      <c r="B882" s="18"/>
      <c r="C882" s="18"/>
      <c r="D882" s="6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spans="2:24" ht="15.75" customHeight="1" x14ac:dyDescent="0.25">
      <c r="B883" s="18"/>
      <c r="C883" s="18"/>
      <c r="D883" s="6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spans="2:24" ht="15.75" customHeight="1" x14ac:dyDescent="0.25">
      <c r="B884" s="18"/>
      <c r="C884" s="18"/>
      <c r="D884" s="6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spans="2:24" ht="15.75" customHeight="1" x14ac:dyDescent="0.25">
      <c r="B885" s="18"/>
      <c r="C885" s="18"/>
      <c r="D885" s="6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spans="2:24" ht="15.75" customHeight="1" x14ac:dyDescent="0.25">
      <c r="B886" s="18"/>
      <c r="C886" s="18"/>
      <c r="D886" s="6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spans="2:24" ht="15.75" customHeight="1" x14ac:dyDescent="0.25">
      <c r="B887" s="18"/>
      <c r="C887" s="18"/>
      <c r="D887" s="6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spans="2:24" ht="15.75" customHeight="1" x14ac:dyDescent="0.25">
      <c r="B888" s="18"/>
      <c r="C888" s="18"/>
      <c r="D888" s="6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spans="2:24" ht="15.75" customHeight="1" x14ac:dyDescent="0.25">
      <c r="B889" s="18"/>
      <c r="C889" s="18"/>
      <c r="D889" s="6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spans="2:24" ht="15.75" customHeight="1" x14ac:dyDescent="0.25">
      <c r="B890" s="18"/>
      <c r="C890" s="18"/>
      <c r="D890" s="6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spans="2:24" ht="15.75" customHeight="1" x14ac:dyDescent="0.25">
      <c r="B891" s="18"/>
      <c r="C891" s="18"/>
      <c r="D891" s="6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spans="2:24" ht="15.75" customHeight="1" x14ac:dyDescent="0.25">
      <c r="B892" s="18"/>
      <c r="C892" s="18"/>
      <c r="D892" s="6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spans="2:24" ht="15.75" customHeight="1" x14ac:dyDescent="0.25">
      <c r="B893" s="18"/>
      <c r="C893" s="18"/>
      <c r="D893" s="6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spans="2:24" ht="15.75" customHeight="1" x14ac:dyDescent="0.25">
      <c r="B894" s="18"/>
      <c r="C894" s="18"/>
      <c r="D894" s="6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spans="2:24" ht="15.75" customHeight="1" x14ac:dyDescent="0.25">
      <c r="B895" s="18"/>
      <c r="C895" s="18"/>
      <c r="D895" s="6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spans="2:24" ht="15.75" customHeight="1" x14ac:dyDescent="0.25">
      <c r="B896" s="18"/>
      <c r="C896" s="18"/>
      <c r="D896" s="6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spans="2:24" ht="15.75" customHeight="1" x14ac:dyDescent="0.25">
      <c r="B897" s="18"/>
      <c r="C897" s="18"/>
      <c r="D897" s="6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spans="2:24" ht="15.75" customHeight="1" x14ac:dyDescent="0.25">
      <c r="B898" s="18"/>
      <c r="C898" s="18"/>
      <c r="D898" s="6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spans="2:24" ht="15.75" customHeight="1" x14ac:dyDescent="0.25">
      <c r="B899" s="18"/>
      <c r="C899" s="18"/>
      <c r="D899" s="6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spans="2:24" ht="15.75" customHeight="1" x14ac:dyDescent="0.25">
      <c r="B900" s="18"/>
      <c r="C900" s="18"/>
      <c r="D900" s="6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spans="2:24" ht="15.75" customHeight="1" x14ac:dyDescent="0.25">
      <c r="B901" s="18"/>
      <c r="C901" s="18"/>
      <c r="D901" s="6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spans="2:24" ht="15.75" customHeight="1" x14ac:dyDescent="0.25">
      <c r="B902" s="18"/>
      <c r="C902" s="18"/>
      <c r="D902" s="6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spans="2:24" ht="15.75" customHeight="1" x14ac:dyDescent="0.25">
      <c r="B903" s="18"/>
      <c r="C903" s="18"/>
      <c r="D903" s="6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spans="2:24" ht="15.75" customHeight="1" x14ac:dyDescent="0.25">
      <c r="B904" s="18"/>
      <c r="C904" s="18"/>
      <c r="D904" s="6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spans="2:24" ht="15.75" customHeight="1" x14ac:dyDescent="0.25">
      <c r="B905" s="18"/>
      <c r="C905" s="18"/>
      <c r="D905" s="6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spans="2:24" ht="15.75" customHeight="1" x14ac:dyDescent="0.25">
      <c r="B906" s="18"/>
      <c r="C906" s="18"/>
      <c r="D906" s="6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spans="2:24" ht="15.75" customHeight="1" x14ac:dyDescent="0.25">
      <c r="B907" s="18"/>
      <c r="C907" s="18"/>
      <c r="D907" s="6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spans="2:24" ht="15.75" customHeight="1" x14ac:dyDescent="0.25">
      <c r="B908" s="18"/>
      <c r="C908" s="18"/>
      <c r="D908" s="6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spans="2:24" ht="15.75" customHeight="1" x14ac:dyDescent="0.25">
      <c r="B909" s="18"/>
      <c r="C909" s="18"/>
      <c r="D909" s="6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spans="2:24" ht="15.75" customHeight="1" x14ac:dyDescent="0.25">
      <c r="B910" s="18"/>
      <c r="C910" s="18"/>
      <c r="D910" s="6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spans="2:24" ht="15.75" customHeight="1" x14ac:dyDescent="0.25">
      <c r="B911" s="18"/>
      <c r="C911" s="18"/>
      <c r="D911" s="6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spans="2:24" ht="15.75" customHeight="1" x14ac:dyDescent="0.25">
      <c r="B912" s="18"/>
      <c r="C912" s="18"/>
      <c r="D912" s="6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spans="2:24" ht="15.75" customHeight="1" x14ac:dyDescent="0.25">
      <c r="B913" s="18"/>
      <c r="C913" s="18"/>
      <c r="D913" s="6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spans="2:24" ht="15.75" customHeight="1" x14ac:dyDescent="0.25">
      <c r="B914" s="18"/>
      <c r="C914" s="18"/>
      <c r="D914" s="6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spans="2:24" ht="15.75" customHeight="1" x14ac:dyDescent="0.25">
      <c r="B915" s="18"/>
      <c r="C915" s="18"/>
      <c r="D915" s="6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spans="2:24" ht="15.75" customHeight="1" x14ac:dyDescent="0.25">
      <c r="B916" s="18"/>
      <c r="C916" s="18"/>
      <c r="D916" s="6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spans="2:24" ht="15.75" customHeight="1" x14ac:dyDescent="0.25">
      <c r="B917" s="18"/>
      <c r="C917" s="18"/>
      <c r="D917" s="6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spans="2:24" ht="15.75" customHeight="1" x14ac:dyDescent="0.25">
      <c r="B918" s="18"/>
      <c r="C918" s="18"/>
      <c r="D918" s="6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spans="2:24" ht="15.75" customHeight="1" x14ac:dyDescent="0.25">
      <c r="B919" s="18"/>
      <c r="C919" s="18"/>
      <c r="D919" s="6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spans="2:24" ht="15.75" customHeight="1" x14ac:dyDescent="0.25">
      <c r="B920" s="18"/>
      <c r="C920" s="18"/>
      <c r="D920" s="6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spans="2:24" ht="15.75" customHeight="1" x14ac:dyDescent="0.25">
      <c r="B921" s="18"/>
      <c r="C921" s="18"/>
      <c r="D921" s="6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spans="2:24" ht="15.75" customHeight="1" x14ac:dyDescent="0.25">
      <c r="B922" s="18"/>
      <c r="C922" s="18"/>
      <c r="D922" s="6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spans="2:24" ht="15.75" customHeight="1" x14ac:dyDescent="0.25">
      <c r="B923" s="18"/>
      <c r="C923" s="18"/>
      <c r="D923" s="6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spans="2:24" ht="15.75" customHeight="1" x14ac:dyDescent="0.25">
      <c r="B924" s="18"/>
      <c r="C924" s="18"/>
      <c r="D924" s="6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spans="2:24" ht="15.75" customHeight="1" x14ac:dyDescent="0.25">
      <c r="B925" s="18"/>
      <c r="C925" s="18"/>
      <c r="D925" s="6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spans="2:24" ht="15.75" customHeight="1" x14ac:dyDescent="0.25">
      <c r="B926" s="18"/>
      <c r="C926" s="18"/>
      <c r="D926" s="6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spans="2:24" ht="15.75" customHeight="1" x14ac:dyDescent="0.25">
      <c r="B927" s="18"/>
      <c r="C927" s="18"/>
      <c r="D927" s="6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spans="2:24" ht="15.75" customHeight="1" x14ac:dyDescent="0.25">
      <c r="B928" s="18"/>
      <c r="C928" s="18"/>
      <c r="D928" s="6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spans="2:24" ht="15.75" customHeight="1" x14ac:dyDescent="0.25">
      <c r="B929" s="18"/>
      <c r="C929" s="18"/>
      <c r="D929" s="6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spans="2:24" ht="15.75" customHeight="1" x14ac:dyDescent="0.25">
      <c r="B930" s="18"/>
      <c r="C930" s="18"/>
      <c r="D930" s="6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spans="2:24" ht="15.75" customHeight="1" x14ac:dyDescent="0.25">
      <c r="B931" s="18"/>
      <c r="C931" s="18"/>
      <c r="D931" s="6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spans="2:24" ht="15.75" customHeight="1" x14ac:dyDescent="0.25">
      <c r="B932" s="18"/>
      <c r="C932" s="18"/>
      <c r="D932" s="6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spans="2:24" ht="15.75" customHeight="1" x14ac:dyDescent="0.25">
      <c r="B933" s="18"/>
      <c r="C933" s="18"/>
      <c r="D933" s="6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spans="2:24" ht="15.75" customHeight="1" x14ac:dyDescent="0.25">
      <c r="B934" s="18"/>
      <c r="C934" s="18"/>
      <c r="D934" s="6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spans="2:24" ht="15.75" customHeight="1" x14ac:dyDescent="0.25">
      <c r="B935" s="18"/>
      <c r="C935" s="18"/>
      <c r="D935" s="6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spans="2:24" ht="15.75" customHeight="1" x14ac:dyDescent="0.25">
      <c r="B936" s="18"/>
      <c r="C936" s="18"/>
      <c r="D936" s="6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spans="2:24" ht="15.75" customHeight="1" x14ac:dyDescent="0.25">
      <c r="B937" s="18"/>
      <c r="C937" s="18"/>
      <c r="D937" s="6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spans="2:24" ht="15.75" customHeight="1" x14ac:dyDescent="0.25">
      <c r="B938" s="18"/>
      <c r="C938" s="18"/>
      <c r="D938" s="6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spans="2:24" ht="15.75" customHeight="1" x14ac:dyDescent="0.25">
      <c r="B939" s="18"/>
      <c r="C939" s="18"/>
      <c r="D939" s="6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spans="2:24" ht="15.75" customHeight="1" x14ac:dyDescent="0.25">
      <c r="B940" s="18"/>
      <c r="C940" s="18"/>
      <c r="D940" s="6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spans="2:24" ht="15.75" customHeight="1" x14ac:dyDescent="0.25">
      <c r="B941" s="18"/>
      <c r="C941" s="18"/>
      <c r="D941" s="6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spans="2:24" ht="15.75" customHeight="1" x14ac:dyDescent="0.25">
      <c r="B942" s="18"/>
      <c r="C942" s="18"/>
      <c r="D942" s="6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spans="2:24" ht="15.75" customHeight="1" x14ac:dyDescent="0.25">
      <c r="B943" s="18"/>
      <c r="C943" s="18"/>
      <c r="D943" s="6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spans="2:24" ht="15.75" customHeight="1" x14ac:dyDescent="0.25">
      <c r="B944" s="18"/>
      <c r="C944" s="18"/>
      <c r="D944" s="6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spans="2:24" ht="15.75" customHeight="1" x14ac:dyDescent="0.25">
      <c r="B945" s="18"/>
      <c r="C945" s="18"/>
      <c r="D945" s="6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spans="2:24" ht="15.75" customHeight="1" x14ac:dyDescent="0.25">
      <c r="B946" s="18"/>
      <c r="C946" s="18"/>
      <c r="D946" s="6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spans="2:24" ht="15.75" customHeight="1" x14ac:dyDescent="0.25">
      <c r="B947" s="18"/>
      <c r="C947" s="18"/>
      <c r="D947" s="6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spans="2:24" ht="15.75" customHeight="1" x14ac:dyDescent="0.25">
      <c r="B948" s="18"/>
      <c r="C948" s="18"/>
      <c r="D948" s="6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spans="2:24" ht="15.75" customHeight="1" x14ac:dyDescent="0.25">
      <c r="B949" s="18"/>
      <c r="C949" s="18"/>
      <c r="D949" s="6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spans="2:24" ht="15.75" customHeight="1" x14ac:dyDescent="0.25">
      <c r="B950" s="18"/>
      <c r="C950" s="18"/>
      <c r="D950" s="6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spans="2:24" ht="15.75" customHeight="1" x14ac:dyDescent="0.25">
      <c r="B951" s="18"/>
      <c r="C951" s="18"/>
      <c r="D951" s="6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spans="2:24" ht="15.75" customHeight="1" x14ac:dyDescent="0.25">
      <c r="B952" s="18"/>
      <c r="C952" s="18"/>
      <c r="D952" s="6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 spans="2:24" ht="15.75" customHeight="1" x14ac:dyDescent="0.25">
      <c r="B953" s="18"/>
      <c r="C953" s="18"/>
      <c r="D953" s="6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 spans="2:24" ht="15.75" customHeight="1" x14ac:dyDescent="0.25">
      <c r="B954" s="18"/>
      <c r="C954" s="18"/>
      <c r="D954" s="6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 spans="2:24" ht="15.75" customHeight="1" x14ac:dyDescent="0.25">
      <c r="B955" s="18"/>
      <c r="C955" s="18"/>
      <c r="D955" s="6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 spans="2:24" ht="15.75" customHeight="1" x14ac:dyDescent="0.25">
      <c r="B956" s="18"/>
      <c r="C956" s="18"/>
      <c r="D956" s="6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 spans="2:24" ht="15.75" customHeight="1" x14ac:dyDescent="0.25">
      <c r="B957" s="18"/>
      <c r="C957" s="18"/>
      <c r="D957" s="6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 spans="2:24" ht="15.75" customHeight="1" x14ac:dyDescent="0.25">
      <c r="B958" s="18"/>
      <c r="C958" s="18"/>
      <c r="D958" s="6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 spans="2:24" ht="15.75" customHeight="1" x14ac:dyDescent="0.25">
      <c r="B959" s="18"/>
      <c r="C959" s="18"/>
      <c r="D959" s="6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 spans="2:24" ht="15.75" customHeight="1" x14ac:dyDescent="0.25">
      <c r="B960" s="18"/>
      <c r="C960" s="18"/>
      <c r="D960" s="6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 spans="2:24" ht="15.75" customHeight="1" x14ac:dyDescent="0.25">
      <c r="B961" s="18"/>
      <c r="C961" s="18"/>
      <c r="D961" s="6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 spans="2:24" ht="15.75" customHeight="1" x14ac:dyDescent="0.25">
      <c r="B962" s="18"/>
      <c r="C962" s="18"/>
      <c r="D962" s="6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 spans="2:24" ht="15.75" customHeight="1" x14ac:dyDescent="0.25">
      <c r="B963" s="18"/>
      <c r="C963" s="18"/>
      <c r="D963" s="6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 spans="2:24" ht="15.75" customHeight="1" x14ac:dyDescent="0.25">
      <c r="B964" s="18"/>
      <c r="C964" s="18"/>
      <c r="D964" s="6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 spans="2:24" ht="15.75" customHeight="1" x14ac:dyDescent="0.25">
      <c r="B965" s="18"/>
      <c r="C965" s="18"/>
      <c r="D965" s="6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 spans="2:24" ht="15.75" customHeight="1" x14ac:dyDescent="0.25">
      <c r="B966" s="18"/>
      <c r="C966" s="18"/>
      <c r="D966" s="6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 spans="2:24" ht="15.75" customHeight="1" x14ac:dyDescent="0.25">
      <c r="B967" s="18"/>
      <c r="C967" s="18"/>
      <c r="D967" s="6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 spans="2:24" ht="15.75" customHeight="1" x14ac:dyDescent="0.25">
      <c r="B968" s="18"/>
      <c r="C968" s="18"/>
      <c r="D968" s="6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 spans="2:24" ht="15.75" customHeight="1" x14ac:dyDescent="0.25">
      <c r="B969" s="18"/>
      <c r="C969" s="18"/>
      <c r="D969" s="6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 spans="2:24" ht="15.75" customHeight="1" x14ac:dyDescent="0.25">
      <c r="B970" s="18"/>
      <c r="C970" s="18"/>
      <c r="D970" s="6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 spans="2:24" ht="15.75" customHeight="1" x14ac:dyDescent="0.25">
      <c r="B971" s="18"/>
      <c r="C971" s="18"/>
      <c r="D971" s="6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 spans="2:24" ht="15.75" customHeight="1" x14ac:dyDescent="0.25">
      <c r="B972" s="18"/>
      <c r="C972" s="18"/>
      <c r="D972" s="6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 spans="2:24" ht="15.75" customHeight="1" x14ac:dyDescent="0.25">
      <c r="B973" s="18"/>
      <c r="C973" s="18"/>
      <c r="D973" s="6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 spans="2:24" ht="15.75" customHeight="1" x14ac:dyDescent="0.25">
      <c r="B974" s="18"/>
      <c r="C974" s="18"/>
      <c r="D974" s="6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 spans="2:24" ht="15.75" customHeight="1" x14ac:dyDescent="0.25">
      <c r="B975" s="18"/>
      <c r="C975" s="18"/>
      <c r="D975" s="6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 spans="2:24" ht="15.75" customHeight="1" x14ac:dyDescent="0.25">
      <c r="B976" s="18"/>
      <c r="C976" s="18"/>
      <c r="D976" s="6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 spans="2:24" ht="15.75" customHeight="1" x14ac:dyDescent="0.25">
      <c r="B977" s="18"/>
      <c r="C977" s="18"/>
      <c r="D977" s="6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 spans="2:24" ht="15.75" customHeight="1" x14ac:dyDescent="0.25">
      <c r="B978" s="18"/>
      <c r="C978" s="18"/>
      <c r="D978" s="6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 spans="2:24" ht="15.75" customHeight="1" x14ac:dyDescent="0.25">
      <c r="B979" s="18"/>
      <c r="C979" s="18"/>
      <c r="D979" s="6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 spans="2:24" ht="15.75" customHeight="1" x14ac:dyDescent="0.25">
      <c r="B980" s="18"/>
      <c r="C980" s="18"/>
      <c r="D980" s="6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 spans="2:24" ht="15.75" customHeight="1" x14ac:dyDescent="0.25">
      <c r="B981" s="18"/>
      <c r="C981" s="18"/>
      <c r="D981" s="6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 spans="2:24" ht="15.75" customHeight="1" x14ac:dyDescent="0.25">
      <c r="B982" s="18"/>
      <c r="C982" s="18"/>
      <c r="D982" s="6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 spans="2:24" ht="15.75" customHeight="1" x14ac:dyDescent="0.25">
      <c r="B983" s="18"/>
      <c r="C983" s="18"/>
      <c r="D983" s="6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 spans="2:24" ht="15.75" customHeight="1" x14ac:dyDescent="0.25">
      <c r="B984" s="18"/>
      <c r="C984" s="18"/>
      <c r="D984" s="6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 spans="2:24" ht="15.75" customHeight="1" x14ac:dyDescent="0.25">
      <c r="B985" s="18"/>
      <c r="C985" s="18"/>
      <c r="D985" s="6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 spans="2:24" ht="15.75" customHeight="1" x14ac:dyDescent="0.25">
      <c r="B986" s="18"/>
      <c r="C986" s="18"/>
      <c r="D986" s="6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 spans="2:24" ht="15.75" customHeight="1" x14ac:dyDescent="0.25">
      <c r="B987" s="18"/>
      <c r="C987" s="18"/>
      <c r="D987" s="6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 spans="2:24" ht="15.75" customHeight="1" x14ac:dyDescent="0.25">
      <c r="B988" s="18"/>
      <c r="C988" s="18"/>
      <c r="D988" s="6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 spans="2:24" ht="15.75" customHeight="1" x14ac:dyDescent="0.25">
      <c r="B989" s="18"/>
      <c r="C989" s="18"/>
      <c r="D989" s="6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 spans="2:24" ht="15.75" customHeight="1" x14ac:dyDescent="0.25">
      <c r="B990" s="18"/>
      <c r="C990" s="18"/>
      <c r="D990" s="6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 spans="2:24" ht="15.75" customHeight="1" x14ac:dyDescent="0.25">
      <c r="B991" s="18"/>
      <c r="C991" s="18"/>
      <c r="D991" s="6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 spans="2:24" ht="15.75" customHeight="1" x14ac:dyDescent="0.25">
      <c r="B992" s="18"/>
      <c r="C992" s="18"/>
      <c r="D992" s="6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 spans="2:24" ht="15.75" customHeight="1" x14ac:dyDescent="0.25">
      <c r="B993" s="18"/>
      <c r="C993" s="18"/>
      <c r="D993" s="6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 spans="2:24" ht="15.75" customHeight="1" x14ac:dyDescent="0.25">
      <c r="B994" s="18"/>
      <c r="C994" s="18"/>
      <c r="D994" s="6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 spans="2:24" ht="15.75" customHeight="1" x14ac:dyDescent="0.25">
      <c r="B995" s="18"/>
      <c r="C995" s="18"/>
      <c r="D995" s="6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 spans="2:24" ht="15.75" customHeight="1" x14ac:dyDescent="0.25">
      <c r="B996" s="18"/>
      <c r="C996" s="18"/>
      <c r="D996" s="6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 spans="2:24" ht="15.75" customHeight="1" x14ac:dyDescent="0.25">
      <c r="B997" s="18"/>
      <c r="C997" s="18"/>
      <c r="D997" s="6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</sheetData>
  <autoFilter ref="B6:D24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6A4B-3072-4B9B-A480-570FE9B1F3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SUMMERY</vt:lpstr>
      <vt:lpstr>Breakdown of Income</vt:lpstr>
      <vt:lpstr>INCOME VS EXPENSES</vt:lpstr>
      <vt:lpstr> Expenses </vt:lpstr>
      <vt:lpstr>Sheet1</vt:lpstr>
      <vt:lpstr>'INCOME VS EXPENSES'!Print_Area</vt:lpstr>
      <vt:lpstr>SUMMERY!Print_Area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donna</dc:creator>
  <dc:description/>
  <cp:lastModifiedBy>Andrisa Schnell</cp:lastModifiedBy>
  <cp:revision>1</cp:revision>
  <cp:lastPrinted>2025-04-08T04:15:57Z</cp:lastPrinted>
  <dcterms:created xsi:type="dcterms:W3CDTF">2022-01-05T09:15:22Z</dcterms:created>
  <dcterms:modified xsi:type="dcterms:W3CDTF">2026-03-25T14:29:02Z</dcterms:modified>
  <dc:language>en-US</dc:language>
</cp:coreProperties>
</file>