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ndco\Accounts 2026\Shareholders 2026\01 Shareholders\"/>
    </mc:Choice>
  </mc:AlternateContent>
  <xr:revisionPtr revIDLastSave="0" documentId="13_ncr:1_{CE867AF5-659A-4A5A-9FB8-BAA86B1C6777}" xr6:coauthVersionLast="47" xr6:coauthVersionMax="47" xr10:uidLastSave="{00000000-0000-0000-0000-000000000000}"/>
  <bookViews>
    <workbookView xWindow="0" yWindow="360" windowWidth="20730" windowHeight="11040" firstSheet="1" activeTab="1" xr2:uid="{7530348A-2D9B-D147-BBFE-7340475C451A}"/>
  </bookViews>
  <sheets>
    <sheet name="LANDCO" sheetId="6" r:id="rId1"/>
    <sheet name="COCO SUMMARY" sheetId="1" r:id="rId2"/>
    <sheet name="COCO INCOME" sheetId="2" r:id="rId3"/>
    <sheet name="COCO EXPENSES" sheetId="3" r:id="rId4"/>
    <sheet name="NEGU" sheetId="4" r:id="rId5"/>
    <sheet name="WARRENS PERSONAL" sheetId="5" r:id="rId6"/>
  </sheets>
  <externalReferences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5" l="1"/>
  <c r="H14" i="5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H52" i="4"/>
  <c r="E52" i="4"/>
  <c r="E6" i="4"/>
  <c r="E10" i="4" s="1"/>
  <c r="F7" i="4"/>
  <c r="H7" i="4" s="1"/>
  <c r="E6" i="1" l="1"/>
  <c r="C6" i="2"/>
  <c r="E5" i="1" l="1"/>
  <c r="B4" i="1"/>
  <c r="C3" i="2" s="1"/>
  <c r="E14" i="6" l="1"/>
  <c r="E13" i="6"/>
  <c r="E12" i="6"/>
  <c r="E17" i="6" s="1"/>
  <c r="E8" i="6"/>
  <c r="D7" i="6"/>
  <c r="D6" i="6"/>
  <c r="D5" i="6"/>
  <c r="D4" i="6"/>
  <c r="C6" i="6"/>
  <c r="C5" i="6"/>
  <c r="C4" i="6"/>
  <c r="B7" i="6"/>
  <c r="B6" i="6"/>
  <c r="B5" i="6"/>
  <c r="B4" i="6"/>
  <c r="I51" i="5" l="1"/>
  <c r="H51" i="5"/>
  <c r="G52" i="4"/>
  <c r="F52" i="4"/>
  <c r="C52" i="4"/>
  <c r="D52" i="4"/>
  <c r="C17" i="2"/>
  <c r="B9" i="6" l="1"/>
  <c r="E7" i="6"/>
  <c r="E6" i="6"/>
  <c r="E5" i="6" l="1"/>
  <c r="C9" i="6"/>
  <c r="D9" i="6"/>
  <c r="E4" i="6"/>
  <c r="E9" i="6" l="1"/>
  <c r="E51" i="5" l="1"/>
  <c r="H11" i="5"/>
  <c r="C11" i="5"/>
  <c r="E9" i="5"/>
  <c r="E10" i="5" s="1"/>
  <c r="E11" i="5" s="1"/>
  <c r="E12" i="5" s="1"/>
  <c r="E13" i="5" s="1"/>
  <c r="E7" i="5"/>
  <c r="E8" i="5" s="1"/>
  <c r="J6" i="5"/>
  <c r="J7" i="5" s="1"/>
  <c r="J8" i="5" s="1"/>
  <c r="J9" i="5" s="1"/>
  <c r="J10" i="5" s="1"/>
  <c r="E6" i="5"/>
  <c r="J11" i="5" l="1"/>
  <c r="J12" i="5" s="1"/>
  <c r="J13" i="5" s="1"/>
  <c r="C28" i="3" l="1"/>
  <c r="C4" i="3" s="1"/>
  <c r="G23" i="3"/>
  <c r="G28" i="3" s="1"/>
  <c r="C37" i="3" l="1"/>
  <c r="C5" i="3" s="1"/>
  <c r="C6" i="3" s="1"/>
  <c r="B18" i="1"/>
  <c r="E18" i="1"/>
  <c r="G30" i="3"/>
  <c r="G32" i="3" s="1"/>
  <c r="E20" i="1" l="1"/>
  <c r="E21" i="1" s="1"/>
</calcChain>
</file>

<file path=xl/sharedStrings.xml><?xml version="1.0" encoding="utf-8"?>
<sst xmlns="http://schemas.openxmlformats.org/spreadsheetml/2006/main" count="203" uniqueCount="124">
  <si>
    <t>CASA COCO</t>
  </si>
  <si>
    <t>RATE APRIL 67</t>
  </si>
  <si>
    <t>SHARED</t>
  </si>
  <si>
    <t>SALARIES &amp; WAGES</t>
  </si>
  <si>
    <t>CASUAL WORKERS AND FOOD ALLOWANCE</t>
  </si>
  <si>
    <t>OFFICE AND BANK CHARGES</t>
  </si>
  <si>
    <t>ADMIN CHARGES (BDO &amp; ANDRISA )</t>
  </si>
  <si>
    <t>GAS AND ELECTRISITY</t>
  </si>
  <si>
    <t>MAINTENANCE GENERAL</t>
  </si>
  <si>
    <t>MAINTENANCE GARDEN &amp; POOL</t>
  </si>
  <si>
    <t>ELECTRICAL UPGRADE</t>
  </si>
  <si>
    <t>SMALL TOOLS</t>
  </si>
  <si>
    <t>MAINTENANCE VEHICLES</t>
  </si>
  <si>
    <t>INSURANCE &amp; LICENSE</t>
  </si>
  <si>
    <t>DIESEL AND PETROL</t>
  </si>
  <si>
    <t>HOUSE KEEPING</t>
  </si>
  <si>
    <t>MARINTINE &amp; MUNICIPAL TAXES IPRA &amp;TAE</t>
  </si>
  <si>
    <t>1/2 SALARY</t>
  </si>
  <si>
    <t>AMINOSSE ARNALDO TANGUNE</t>
  </si>
  <si>
    <t>WORKERS TOILET BUILDING PLANS</t>
  </si>
  <si>
    <t>JELSON QUALDADE ZIVANE</t>
  </si>
  <si>
    <t>IST PAYMENT IRPC</t>
  </si>
  <si>
    <t>MONIS TSANZIUANE CHIVALE</t>
  </si>
  <si>
    <t>COMMUNITY</t>
  </si>
  <si>
    <t>EVELIN NELSON BERNARDO</t>
  </si>
  <si>
    <t>PERSONAL</t>
  </si>
  <si>
    <t>HOUSE 4 STAFF SALARIES</t>
  </si>
  <si>
    <t>4% INSS</t>
  </si>
  <si>
    <t>PLASRIC TABLE</t>
  </si>
  <si>
    <t>OTIMO SOUVLA BRAAI BAG</t>
  </si>
  <si>
    <t>CLEANING NEGU</t>
  </si>
  <si>
    <t>Bebe Petty Cash (I will refund it from NEGU cash)</t>
  </si>
  <si>
    <t>SHALVES</t>
  </si>
  <si>
    <t>ELECTRICIENT GEYSER</t>
  </si>
  <si>
    <t>MZN</t>
  </si>
  <si>
    <t>US$</t>
  </si>
  <si>
    <t>DATE</t>
  </si>
  <si>
    <t>DETAILS</t>
  </si>
  <si>
    <t>DR</t>
  </si>
  <si>
    <t>CR</t>
  </si>
  <si>
    <t>BAL</t>
  </si>
  <si>
    <t>TOTAL</t>
  </si>
  <si>
    <t>BALANCE</t>
  </si>
  <si>
    <t>OPENING BALANCE</t>
  </si>
  <si>
    <t>DECEMBER BILL PERSONAL FOOD, FUEL ENS</t>
  </si>
  <si>
    <t>TACKLE MONEY OWED TRF FROM NEGU</t>
  </si>
  <si>
    <t>SEAFOOD ADELINO</t>
  </si>
  <si>
    <t>FLIGHTS DOUG &amp; TRACY PC LANDCO</t>
  </si>
  <si>
    <t>460LT BOAT FUEL</t>
  </si>
  <si>
    <t>REPAIR OF DAB ESYBOX PUMP PC LANDCO</t>
  </si>
  <si>
    <t>PARKS FEES</t>
  </si>
  <si>
    <t>RECISION RECRUITMENT PC LANDCO</t>
  </si>
  <si>
    <t>SKIPPERS</t>
  </si>
  <si>
    <t>TSPT SPARE BOREHOLE PUMP TO MOZ PETTY CASH LANDCO</t>
  </si>
  <si>
    <t>GROCERIES</t>
  </si>
  <si>
    <t>RECEIVED</t>
  </si>
  <si>
    <t>CR/IN</t>
  </si>
  <si>
    <t>DR/OUT</t>
  </si>
  <si>
    <t>PAID</t>
  </si>
  <si>
    <t>CASA LUZ</t>
  </si>
  <si>
    <t>CASA AURORA</t>
  </si>
  <si>
    <t>CASA CAJU</t>
  </si>
  <si>
    <t>BANK</t>
  </si>
  <si>
    <t>CASH</t>
  </si>
  <si>
    <t>DOLLAR BANK</t>
  </si>
  <si>
    <t>EMPRESTIMO</t>
  </si>
  <si>
    <t>CASA COCO EXPENSES JULY 2025</t>
  </si>
  <si>
    <t>DESCRIPTION</t>
  </si>
  <si>
    <t xml:space="preserve">OPENING BALANCE JAN 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</si>
  <si>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</si>
  <si>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</si>
  <si>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</si>
  <si>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</si>
  <si>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</si>
  <si>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</si>
  <si>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</si>
  <si>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</si>
  <si>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</si>
  <si>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</si>
  <si>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</si>
  <si>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</si>
  <si>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HOUSE</t>
  </si>
  <si>
    <t xml:space="preserve">CASH AVAILABLE </t>
  </si>
  <si>
    <t>MONTH</t>
  </si>
  <si>
    <t>TOTAL INCOME YTD</t>
  </si>
  <si>
    <t>SHARED/PERSONAL</t>
  </si>
  <si>
    <t>AMOUNT MZN</t>
  </si>
  <si>
    <t xml:space="preserve">AMOUNT MZN </t>
  </si>
  <si>
    <t>BREAKDOWN</t>
  </si>
  <si>
    <t>SUMMARY SHARED EXPENSES</t>
  </si>
  <si>
    <t>SUMMARY PERSONAL EXPENSES</t>
  </si>
  <si>
    <t>TOTAL EXPENSES</t>
  </si>
  <si>
    <t xml:space="preserve">BREAKDOWN OF SALARIES </t>
  </si>
  <si>
    <t xml:space="preserve">TOTAL </t>
  </si>
  <si>
    <t>INCOME AMOUNT</t>
  </si>
  <si>
    <t>EXPENSES AMOUNT</t>
  </si>
  <si>
    <t>BALANCE END DEC 2025</t>
  </si>
  <si>
    <t>INCOME JAN</t>
  </si>
  <si>
    <t>EXPENSES JAN</t>
  </si>
  <si>
    <t>LANDCO BALANCES JANUARY 2026</t>
  </si>
  <si>
    <t xml:space="preserve">BALANCED </t>
  </si>
  <si>
    <t>CASA COCO SUMMARY 2026</t>
  </si>
  <si>
    <t>CASA COCO INCOME 2026</t>
  </si>
  <si>
    <t>CASA COCO EXPENSES 2026</t>
  </si>
  <si>
    <t>NEGU &amp; TACKLE ACCOUNTS 2026</t>
  </si>
  <si>
    <t>WARREN COHEN PERSONAL ENVELOPE 2026</t>
  </si>
  <si>
    <t>BALANCED</t>
  </si>
  <si>
    <t>YES</t>
  </si>
  <si>
    <t>NEGU</t>
  </si>
  <si>
    <t>ROBIN USE OF NEGU IN DEC</t>
  </si>
  <si>
    <t>SKIPPERS CLEANING BOAT</t>
  </si>
  <si>
    <t>CLEANING MATERIAL FROM ALEX</t>
  </si>
  <si>
    <t>BUDGIE RENT NEGU IN MARCH</t>
  </si>
  <si>
    <t>Received from Monique trf to BCI</t>
  </si>
  <si>
    <t>Received from Crewbase trf to BCI</t>
  </si>
  <si>
    <t>Adelino Sea food (Monis) Cash and Mpesa</t>
  </si>
  <si>
    <t>Spar Cash</t>
  </si>
  <si>
    <t>Handling cash</t>
  </si>
  <si>
    <t>Cashews 4 Cash</t>
  </si>
  <si>
    <t>Adelino Sea food (Monis) BCI</t>
  </si>
  <si>
    <t>CaterKing Veggies</t>
  </si>
  <si>
    <t>Bread</t>
  </si>
  <si>
    <t>Parks 15/12 doc 2362</t>
  </si>
  <si>
    <t>Pay Pedro for 2 days on boat during Dec 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</si>
</sst>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&quot;£&quot;* #,##0.00_);_(&quot;£&quot;* \(#,##0.00\);_(&quot;£&quot;* &quot;-&quot;??_);_(@_)"/>
    <numFmt numFmtId="165" formatCode="_(* #,##0.00_);_(* \(#,##0.00\);_(* &quot;-&quot;??_);_(@_)"/>
    <numFmt numFmtId="166" formatCode="&quot;$&quot;#,##0.00"/>
    <numFmt numFmtId="167" formatCode="[$$-409]#,##0.00"/>
    <numFmt numFmtId="168" formatCode="[$-409]mmmm\-yy;@"/>
    <numFmt numFmtId="169" formatCode="_-* #,##0_-;\-* #,##0_-;_-* &quot;-&quot;??_-;_-@"/>
    <numFmt numFmtId="170" formatCode="_-* #,##0.00_-;\-* #,##0.00_-;_-* &quot;-&quot;??_-;_-@"/>
    <numFmt numFmtId="171" formatCode="[$MZN]\ #,##0.00"/>
  </numFmts>
  <fonts count="40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</font>
    <font>
      <sz val="11"/>
      <color theme="1"/>
      <name val="Calibri"/>
      <family val="2"/>
    </font>
    <font>
      <sz val="10"/>
      <name val="Arial"/>
      <family val="2"/>
      <charset val="1"/>
    </font>
    <font>
      <b/>
      <sz val="11"/>
      <color theme="1"/>
      <name val="Calibri"/>
      <family val="2"/>
    </font>
    <font>
      <b/>
      <u/>
      <sz val="20"/>
      <color theme="1"/>
      <name val="Aptos Narrow"/>
      <family val="2"/>
      <scheme val="minor"/>
    </font>
    <font>
      <b/>
      <u/>
      <sz val="20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sz val="11"/>
      <color rgb="FFC00000"/>
      <name val="Times New Roman"/>
      <family val="1"/>
    </font>
    <font>
      <sz val="11"/>
      <color theme="8" tint="0.39997558519241921"/>
      <name val="Times New Roman"/>
      <family val="1"/>
    </font>
    <font>
      <sz val="11"/>
      <color theme="9"/>
      <name val="Times New Roman"/>
      <family val="1"/>
    </font>
    <font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u/>
      <sz val="11"/>
      <color theme="1"/>
      <name val="Times New Roman"/>
      <family val="1"/>
    </font>
    <font>
      <b/>
      <u/>
      <sz val="12"/>
      <color theme="1"/>
      <name val="Times New Roman"/>
      <family val="1"/>
    </font>
    <font>
      <sz val="11"/>
      <color rgb="FF000000"/>
      <name val="Times New Roman"/>
      <family val="1"/>
    </font>
    <font>
      <u/>
      <sz val="12"/>
      <color theme="1"/>
      <name val="Times New Roman"/>
      <family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2"/>
      <name val="Times New Roman"/>
      <family val="1"/>
    </font>
    <font>
      <b/>
      <u/>
      <sz val="10"/>
      <name val="Times New Roman"/>
      <family val="1"/>
    </font>
    <font>
      <b/>
      <u/>
      <sz val="12"/>
      <color theme="1" tint="0.34998626667073579"/>
      <name val="Times New Roman"/>
      <family val="1"/>
    </font>
    <font>
      <b/>
      <u/>
      <sz val="12"/>
      <color rgb="FFFF0000"/>
      <name val="Times New Roman"/>
      <family val="1"/>
    </font>
    <font>
      <sz val="14"/>
      <color theme="1"/>
      <name val="Aptos Narrow"/>
      <family val="2"/>
      <scheme val="minor"/>
    </font>
    <font>
      <sz val="14"/>
      <color rgb="FF000000"/>
      <name val="Calibri"/>
      <family val="2"/>
      <charset val="1"/>
    </font>
    <font>
      <sz val="9"/>
      <color theme="1"/>
      <name val="Aptos Narrow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969696"/>
      </left>
      <right style="thin">
        <color rgb="FF969696"/>
      </right>
      <top style="thin">
        <color rgb="FF969696"/>
      </top>
      <bottom style="thin">
        <color rgb="FF969696"/>
      </bottom>
      <diagonal/>
    </border>
  </borders>
  <cellStyleXfs count="12">
    <xf numFmtId="0" fontId="0" fillId="0" borderId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0" fontId="3" fillId="0" borderId="0"/>
    <xf numFmtId="0" fontId="3" fillId="0" borderId="0"/>
    <xf numFmtId="0" fontId="6" fillId="0" borderId="0"/>
    <xf numFmtId="0" fontId="6" fillId="0" borderId="0"/>
    <xf numFmtId="0" fontId="3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</cellStyleXfs>
  <cellXfs count="304">
    <xf numFmtId="0" fontId="0" fillId="0" borderId="0" xfId="0"/>
    <xf numFmtId="0" fontId="2" fillId="0" borderId="0" xfId="3"/>
    <xf numFmtId="0" fontId="4" fillId="2" borderId="0" xfId="3" applyFont="1" applyFill="1"/>
    <xf numFmtId="0" fontId="4" fillId="2" borderId="0" xfId="3" applyFont="1" applyFill="1" applyAlignment="1">
      <alignment horizontal="left"/>
    </xf>
    <xf numFmtId="4" fontId="4" fillId="2" borderId="0" xfId="3" applyNumberFormat="1" applyFont="1" applyFill="1" applyAlignment="1">
      <alignment horizontal="right"/>
    </xf>
    <xf numFmtId="0" fontId="6" fillId="0" borderId="0" xfId="7"/>
    <xf numFmtId="167" fontId="6" fillId="0" borderId="0" xfId="7" applyNumberFormat="1"/>
    <xf numFmtId="166" fontId="6" fillId="0" borderId="0" xfId="7" applyNumberFormat="1"/>
    <xf numFmtId="167" fontId="7" fillId="0" borderId="0" xfId="7" applyNumberFormat="1" applyFont="1"/>
    <xf numFmtId="0" fontId="3" fillId="0" borderId="0" xfId="8"/>
    <xf numFmtId="171" fontId="0" fillId="0" borderId="0" xfId="0" applyNumberFormat="1"/>
    <xf numFmtId="0" fontId="8" fillId="0" borderId="0" xfId="5" applyFont="1"/>
    <xf numFmtId="0" fontId="8" fillId="0" borderId="0" xfId="0" applyFont="1"/>
    <xf numFmtId="17" fontId="4" fillId="2" borderId="0" xfId="3" applyNumberFormat="1" applyFont="1" applyFill="1" applyAlignment="1">
      <alignment horizontal="left"/>
    </xf>
    <xf numFmtId="17" fontId="2" fillId="0" borderId="0" xfId="3" applyNumberFormat="1"/>
    <xf numFmtId="4" fontId="2" fillId="0" borderId="0" xfId="3" applyNumberFormat="1" applyAlignment="1">
      <alignment horizontal="right"/>
    </xf>
    <xf numFmtId="0" fontId="10" fillId="0" borderId="0" xfId="0" applyFont="1"/>
    <xf numFmtId="0" fontId="11" fillId="0" borderId="0" xfId="8" applyFont="1"/>
    <xf numFmtId="4" fontId="11" fillId="0" borderId="0" xfId="8" applyNumberFormat="1" applyFont="1"/>
    <xf numFmtId="4" fontId="13" fillId="0" borderId="0" xfId="8" applyNumberFormat="1" applyFont="1"/>
    <xf numFmtId="4" fontId="14" fillId="0" borderId="0" xfId="8" applyNumberFormat="1" applyFont="1"/>
    <xf numFmtId="171" fontId="10" fillId="0" borderId="0" xfId="0" applyNumberFormat="1" applyFont="1"/>
    <xf numFmtId="0" fontId="10" fillId="0" borderId="0" xfId="3" applyFont="1"/>
    <xf numFmtId="0" fontId="16" fillId="2" borderId="0" xfId="3" applyFont="1" applyFill="1"/>
    <xf numFmtId="0" fontId="10" fillId="2" borderId="0" xfId="3" applyFont="1" applyFill="1"/>
    <xf numFmtId="0" fontId="11" fillId="0" borderId="0" xfId="5" applyFont="1"/>
    <xf numFmtId="4" fontId="11" fillId="0" borderId="0" xfId="5" applyNumberFormat="1" applyFont="1"/>
    <xf numFmtId="0" fontId="16" fillId="2" borderId="1" xfId="3" applyFont="1" applyFill="1" applyBorder="1" applyAlignment="1">
      <alignment horizontal="left"/>
    </xf>
    <xf numFmtId="0" fontId="16" fillId="3" borderId="1" xfId="5" applyFont="1" applyFill="1" applyBorder="1"/>
    <xf numFmtId="4" fontId="16" fillId="0" borderId="1" xfId="5" applyNumberFormat="1" applyFont="1" applyBorder="1"/>
    <xf numFmtId="0" fontId="16" fillId="3" borderId="1" xfId="5" applyFont="1" applyFill="1" applyBorder="1" applyAlignment="1">
      <alignment horizontal="left" vertical="center" wrapText="1"/>
    </xf>
    <xf numFmtId="0" fontId="16" fillId="3" borderId="1" xfId="5" applyFont="1" applyFill="1" applyBorder="1" applyAlignment="1">
      <alignment wrapText="1"/>
    </xf>
    <xf numFmtId="0" fontId="16" fillId="2" borderId="1" xfId="3" applyFont="1" applyFill="1" applyBorder="1"/>
    <xf numFmtId="4" fontId="16" fillId="2" borderId="1" xfId="3" applyNumberFormat="1" applyFont="1" applyFill="1" applyBorder="1" applyAlignment="1">
      <alignment horizontal="right"/>
    </xf>
    <xf numFmtId="0" fontId="16" fillId="0" borderId="1" xfId="7" applyFont="1" applyBorder="1"/>
    <xf numFmtId="0" fontId="16" fillId="0" borderId="1" xfId="5" applyFont="1" applyBorder="1" applyAlignment="1">
      <alignment horizontal="left" vertical="center" wrapText="1"/>
    </xf>
    <xf numFmtId="0" fontId="19" fillId="0" borderId="1" xfId="5" applyFont="1" applyBorder="1" applyAlignment="1">
      <alignment horizontal="left" vertical="center" wrapText="1"/>
    </xf>
    <xf numFmtId="0" fontId="16" fillId="0" borderId="1" xfId="4" applyFont="1" applyBorder="1" applyAlignment="1">
      <alignment horizontal="left" vertical="center"/>
    </xf>
    <xf numFmtId="0" fontId="19" fillId="0" borderId="0" xfId="7" applyFont="1"/>
    <xf numFmtId="167" fontId="19" fillId="0" borderId="0" xfId="7" applyNumberFormat="1" applyFont="1"/>
    <xf numFmtId="166" fontId="19" fillId="0" borderId="0" xfId="7" applyNumberFormat="1" applyFont="1"/>
    <xf numFmtId="0" fontId="22" fillId="0" borderId="0" xfId="7" applyFont="1"/>
    <xf numFmtId="167" fontId="22" fillId="0" borderId="0" xfId="7" applyNumberFormat="1" applyFont="1"/>
    <xf numFmtId="0" fontId="11" fillId="0" borderId="7" xfId="7" applyFont="1" applyBorder="1"/>
    <xf numFmtId="0" fontId="11" fillId="0" borderId="8" xfId="7" applyFont="1" applyBorder="1"/>
    <xf numFmtId="0" fontId="11" fillId="0" borderId="9" xfId="7" applyFont="1" applyBorder="1"/>
    <xf numFmtId="16" fontId="19" fillId="0" borderId="0" xfId="7" applyNumberFormat="1" applyFont="1"/>
    <xf numFmtId="15" fontId="11" fillId="0" borderId="7" xfId="7" applyNumberFormat="1" applyFont="1" applyBorder="1"/>
    <xf numFmtId="169" fontId="11" fillId="0" borderId="8" xfId="7" applyNumberFormat="1" applyFont="1" applyBorder="1"/>
    <xf numFmtId="169" fontId="11" fillId="0" borderId="9" xfId="7" applyNumberFormat="1" applyFont="1" applyBorder="1"/>
    <xf numFmtId="170" fontId="11" fillId="0" borderId="8" xfId="7" applyNumberFormat="1" applyFont="1" applyBorder="1"/>
    <xf numFmtId="166" fontId="11" fillId="0" borderId="0" xfId="7" applyNumberFormat="1" applyFont="1"/>
    <xf numFmtId="0" fontId="11" fillId="0" borderId="8" xfId="7" applyFont="1" applyBorder="1" applyAlignment="1">
      <alignment horizontal="left" vertical="center"/>
    </xf>
    <xf numFmtId="0" fontId="11" fillId="0" borderId="0" xfId="0" applyFont="1"/>
    <xf numFmtId="169" fontId="11" fillId="0" borderId="0" xfId="0" applyNumberFormat="1" applyFont="1"/>
    <xf numFmtId="0" fontId="22" fillId="0" borderId="0" xfId="0" applyFont="1"/>
    <xf numFmtId="166" fontId="22" fillId="0" borderId="0" xfId="7" applyNumberFormat="1" applyFont="1"/>
    <xf numFmtId="169" fontId="11" fillId="0" borderId="9" xfId="7" applyNumberFormat="1" applyFont="1" applyBorder="1" applyAlignment="1">
      <alignment vertical="center"/>
    </xf>
    <xf numFmtId="0" fontId="11" fillId="0" borderId="0" xfId="7" applyFont="1" applyAlignment="1">
      <alignment vertical="center"/>
    </xf>
    <xf numFmtId="0" fontId="23" fillId="4" borderId="8" xfId="7" applyFont="1" applyFill="1" applyBorder="1"/>
    <xf numFmtId="169" fontId="23" fillId="4" borderId="8" xfId="7" applyNumberFormat="1" applyFont="1" applyFill="1" applyBorder="1"/>
    <xf numFmtId="169" fontId="23" fillId="4" borderId="9" xfId="7" applyNumberFormat="1" applyFont="1" applyFill="1" applyBorder="1"/>
    <xf numFmtId="0" fontId="10" fillId="0" borderId="1" xfId="0" applyFont="1" applyBorder="1"/>
    <xf numFmtId="0" fontId="3" fillId="0" borderId="1" xfId="8" applyBorder="1"/>
    <xf numFmtId="0" fontId="3" fillId="5" borderId="1" xfId="8" applyFill="1" applyBorder="1"/>
    <xf numFmtId="0" fontId="11" fillId="0" borderId="1" xfId="8" applyFont="1" applyBorder="1"/>
    <xf numFmtId="4" fontId="11" fillId="0" borderId="1" xfId="8" applyNumberFormat="1" applyFont="1" applyBorder="1"/>
    <xf numFmtId="4" fontId="11" fillId="5" borderId="1" xfId="8" applyNumberFormat="1" applyFont="1" applyFill="1" applyBorder="1"/>
    <xf numFmtId="4" fontId="14" fillId="5" borderId="1" xfId="8" applyNumberFormat="1" applyFont="1" applyFill="1" applyBorder="1"/>
    <xf numFmtId="4" fontId="15" fillId="5" borderId="1" xfId="8" applyNumberFormat="1" applyFont="1" applyFill="1" applyBorder="1"/>
    <xf numFmtId="166" fontId="11" fillId="0" borderId="1" xfId="8" applyNumberFormat="1" applyFont="1" applyBorder="1"/>
    <xf numFmtId="171" fontId="10" fillId="0" borderId="1" xfId="0" applyNumberFormat="1" applyFont="1" applyBorder="1"/>
    <xf numFmtId="4" fontId="10" fillId="0" borderId="1" xfId="0" applyNumberFormat="1" applyFont="1" applyBorder="1"/>
    <xf numFmtId="0" fontId="25" fillId="0" borderId="1" xfId="8" applyFont="1" applyBorder="1"/>
    <xf numFmtId="4" fontId="25" fillId="0" borderId="1" xfId="8" applyNumberFormat="1" applyFont="1" applyBorder="1"/>
    <xf numFmtId="4" fontId="25" fillId="5" borderId="1" xfId="8" applyNumberFormat="1" applyFont="1" applyFill="1" applyBorder="1"/>
    <xf numFmtId="4" fontId="25" fillId="0" borderId="0" xfId="8" applyNumberFormat="1" applyFont="1"/>
    <xf numFmtId="0" fontId="25" fillId="0" borderId="0" xfId="8" applyFont="1"/>
    <xf numFmtId="0" fontId="25" fillId="0" borderId="1" xfId="8" applyFont="1" applyBorder="1" applyAlignment="1">
      <alignment horizontal="center"/>
    </xf>
    <xf numFmtId="0" fontId="25" fillId="0" borderId="1" xfId="8" applyFont="1" applyBorder="1" applyAlignment="1">
      <alignment horizontal="center" wrapText="1"/>
    </xf>
    <xf numFmtId="0" fontId="10" fillId="0" borderId="0" xfId="8" applyFont="1" applyAlignment="1">
      <alignment horizontal="center"/>
    </xf>
    <xf numFmtId="0" fontId="24" fillId="5" borderId="1" xfId="8" applyFont="1" applyFill="1" applyBorder="1" applyAlignment="1">
      <alignment horizontal="center"/>
    </xf>
    <xf numFmtId="0" fontId="25" fillId="0" borderId="1" xfId="0" applyFont="1" applyBorder="1" applyAlignment="1">
      <alignment horizontal="center"/>
    </xf>
    <xf numFmtId="4" fontId="24" fillId="0" borderId="0" xfId="8" applyNumberFormat="1" applyFont="1"/>
    <xf numFmtId="0" fontId="24" fillId="0" borderId="0" xfId="8" applyFont="1"/>
    <xf numFmtId="0" fontId="25" fillId="0" borderId="1" xfId="0" applyFont="1" applyBorder="1"/>
    <xf numFmtId="0" fontId="0" fillId="0" borderId="1" xfId="0" applyBorder="1"/>
    <xf numFmtId="166" fontId="10" fillId="2" borderId="1" xfId="3" applyNumberFormat="1" applyFont="1" applyFill="1" applyBorder="1"/>
    <xf numFmtId="0" fontId="17" fillId="2" borderId="1" xfId="3" applyFont="1" applyFill="1" applyBorder="1"/>
    <xf numFmtId="4" fontId="10" fillId="2" borderId="1" xfId="3" applyNumberFormat="1" applyFont="1" applyFill="1" applyBorder="1"/>
    <xf numFmtId="0" fontId="11" fillId="2" borderId="1" xfId="3" applyFont="1" applyFill="1" applyBorder="1"/>
    <xf numFmtId="4" fontId="11" fillId="2" borderId="1" xfId="3" applyNumberFormat="1" applyFont="1" applyFill="1" applyBorder="1"/>
    <xf numFmtId="166" fontId="11" fillId="2" borderId="1" xfId="3" applyNumberFormat="1" applyFont="1" applyFill="1" applyBorder="1"/>
    <xf numFmtId="0" fontId="22" fillId="2" borderId="1" xfId="3" applyFont="1" applyFill="1" applyBorder="1" applyAlignment="1">
      <alignment horizontal="center"/>
    </xf>
    <xf numFmtId="4" fontId="26" fillId="0" borderId="1" xfId="2" applyNumberFormat="1" applyFont="1" applyBorder="1" applyProtection="1"/>
    <xf numFmtId="4" fontId="21" fillId="3" borderId="1" xfId="0" applyNumberFormat="1" applyFont="1" applyFill="1" applyBorder="1"/>
    <xf numFmtId="0" fontId="25" fillId="0" borderId="0" xfId="0" applyFont="1"/>
    <xf numFmtId="4" fontId="25" fillId="2" borderId="1" xfId="3" applyNumberFormat="1" applyFont="1" applyFill="1" applyBorder="1"/>
    <xf numFmtId="166" fontId="25" fillId="2" borderId="1" xfId="3" applyNumberFormat="1" applyFont="1" applyFill="1" applyBorder="1"/>
    <xf numFmtId="0" fontId="25" fillId="2" borderId="1" xfId="3" applyFont="1" applyFill="1" applyBorder="1"/>
    <xf numFmtId="0" fontId="9" fillId="0" borderId="1" xfId="5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9" fillId="0" borderId="0" xfId="5" applyFont="1" applyAlignment="1">
      <alignment horizontal="center"/>
    </xf>
    <xf numFmtId="17" fontId="17" fillId="2" borderId="1" xfId="3" applyNumberFormat="1" applyFont="1" applyFill="1" applyBorder="1" applyAlignment="1">
      <alignment horizontal="left"/>
    </xf>
    <xf numFmtId="4" fontId="17" fillId="2" borderId="1" xfId="3" applyNumberFormat="1" applyFont="1" applyFill="1" applyBorder="1" applyAlignment="1">
      <alignment horizontal="right"/>
    </xf>
    <xf numFmtId="17" fontId="25" fillId="2" borderId="1" xfId="3" applyNumberFormat="1" applyFont="1" applyFill="1" applyBorder="1" applyAlignment="1">
      <alignment horizontal="left"/>
    </xf>
    <xf numFmtId="4" fontId="25" fillId="2" borderId="1" xfId="3" applyNumberFormat="1" applyFont="1" applyFill="1" applyBorder="1" applyAlignment="1">
      <alignment horizontal="right"/>
    </xf>
    <xf numFmtId="0" fontId="25" fillId="0" borderId="1" xfId="3" applyFont="1" applyBorder="1"/>
    <xf numFmtId="0" fontId="25" fillId="0" borderId="1" xfId="3" applyFont="1" applyBorder="1" applyAlignment="1">
      <alignment horizontal="center"/>
    </xf>
    <xf numFmtId="0" fontId="24" fillId="0" borderId="1" xfId="4" applyFont="1" applyBorder="1" applyAlignment="1">
      <alignment horizontal="center"/>
    </xf>
    <xf numFmtId="0" fontId="25" fillId="0" borderId="0" xfId="0" applyFont="1" applyAlignment="1">
      <alignment horizontal="center"/>
    </xf>
    <xf numFmtId="4" fontId="25" fillId="0" borderId="1" xfId="3" applyNumberFormat="1" applyFont="1" applyBorder="1"/>
    <xf numFmtId="166" fontId="25" fillId="0" borderId="1" xfId="3" applyNumberFormat="1" applyFont="1" applyBorder="1"/>
    <xf numFmtId="0" fontId="10" fillId="0" borderId="14" xfId="0" applyFont="1" applyBorder="1"/>
    <xf numFmtId="0" fontId="17" fillId="2" borderId="14" xfId="3" applyFont="1" applyFill="1" applyBorder="1" applyAlignment="1">
      <alignment horizontal="left"/>
    </xf>
    <xf numFmtId="0" fontId="20" fillId="2" borderId="14" xfId="3" applyFont="1" applyFill="1" applyBorder="1" applyAlignment="1">
      <alignment horizontal="left"/>
    </xf>
    <xf numFmtId="0" fontId="12" fillId="2" borderId="14" xfId="3" applyFont="1" applyFill="1" applyBorder="1" applyAlignment="1">
      <alignment horizontal="left"/>
    </xf>
    <xf numFmtId="0" fontId="10" fillId="2" borderId="14" xfId="3" applyFont="1" applyFill="1" applyBorder="1" applyAlignment="1">
      <alignment horizontal="left"/>
    </xf>
    <xf numFmtId="0" fontId="16" fillId="2" borderId="14" xfId="3" applyFont="1" applyFill="1" applyBorder="1" applyAlignment="1">
      <alignment horizontal="left"/>
    </xf>
    <xf numFmtId="4" fontId="10" fillId="2" borderId="14" xfId="3" applyNumberFormat="1" applyFont="1" applyFill="1" applyBorder="1" applyAlignment="1">
      <alignment horizontal="right"/>
    </xf>
    <xf numFmtId="0" fontId="10" fillId="0" borderId="14" xfId="3" applyFont="1" applyBorder="1"/>
    <xf numFmtId="0" fontId="0" fillId="0" borderId="14" xfId="0" applyBorder="1"/>
    <xf numFmtId="0" fontId="10" fillId="2" borderId="16" xfId="3" applyFont="1" applyFill="1" applyBorder="1" applyAlignment="1">
      <alignment horizontal="left"/>
    </xf>
    <xf numFmtId="0" fontId="16" fillId="2" borderId="16" xfId="3" applyFont="1" applyFill="1" applyBorder="1" applyAlignment="1">
      <alignment horizontal="left"/>
    </xf>
    <xf numFmtId="0" fontId="10" fillId="2" borderId="17" xfId="3" applyFont="1" applyFill="1" applyBorder="1" applyAlignment="1">
      <alignment horizontal="left"/>
    </xf>
    <xf numFmtId="0" fontId="10" fillId="0" borderId="18" xfId="3" applyFont="1" applyBorder="1"/>
    <xf numFmtId="0" fontId="17" fillId="2" borderId="15" xfId="3" applyFont="1" applyFill="1" applyBorder="1" applyAlignment="1">
      <alignment horizontal="left"/>
    </xf>
    <xf numFmtId="0" fontId="10" fillId="0" borderId="15" xfId="3" applyFont="1" applyBorder="1"/>
    <xf numFmtId="0" fontId="25" fillId="2" borderId="15" xfId="3" applyFont="1" applyFill="1" applyBorder="1" applyAlignment="1">
      <alignment horizontal="left"/>
    </xf>
    <xf numFmtId="4" fontId="25" fillId="2" borderId="15" xfId="3" applyNumberFormat="1" applyFont="1" applyFill="1" applyBorder="1" applyAlignment="1">
      <alignment horizontal="right"/>
    </xf>
    <xf numFmtId="0" fontId="10" fillId="0" borderId="16" xfId="0" applyFont="1" applyBorder="1"/>
    <xf numFmtId="0" fontId="20" fillId="2" borderId="16" xfId="3" applyFont="1" applyFill="1" applyBorder="1" applyAlignment="1">
      <alignment horizontal="left"/>
    </xf>
    <xf numFmtId="0" fontId="12" fillId="2" borderId="16" xfId="3" applyFont="1" applyFill="1" applyBorder="1" applyAlignment="1">
      <alignment horizontal="left"/>
    </xf>
    <xf numFmtId="0" fontId="12" fillId="2" borderId="19" xfId="3" applyFont="1" applyFill="1" applyBorder="1" applyAlignment="1">
      <alignment horizontal="left"/>
    </xf>
    <xf numFmtId="4" fontId="12" fillId="2" borderId="19" xfId="3" quotePrefix="1" applyNumberFormat="1" applyFont="1" applyFill="1" applyBorder="1" applyAlignment="1">
      <alignment horizontal="right"/>
    </xf>
    <xf numFmtId="4" fontId="12" fillId="2" borderId="19" xfId="3" applyNumberFormat="1" applyFont="1" applyFill="1" applyBorder="1" applyAlignment="1">
      <alignment horizontal="left"/>
    </xf>
    <xf numFmtId="0" fontId="10" fillId="0" borderId="19" xfId="3" applyFont="1" applyBorder="1"/>
    <xf numFmtId="0" fontId="10" fillId="0" borderId="16" xfId="3" applyFont="1" applyBorder="1"/>
    <xf numFmtId="0" fontId="16" fillId="0" borderId="1" xfId="5" applyFont="1" applyBorder="1"/>
    <xf numFmtId="4" fontId="18" fillId="0" borderId="1" xfId="5" applyNumberFormat="1" applyFont="1" applyBorder="1"/>
    <xf numFmtId="0" fontId="11" fillId="2" borderId="1" xfId="3" applyFont="1" applyFill="1" applyBorder="1" applyAlignment="1">
      <alignment horizontal="left"/>
    </xf>
    <xf numFmtId="0" fontId="17" fillId="0" borderId="1" xfId="5" applyFont="1" applyBorder="1"/>
    <xf numFmtId="4" fontId="17" fillId="0" borderId="1" xfId="5" applyNumberFormat="1" applyFont="1" applyBorder="1"/>
    <xf numFmtId="0" fontId="25" fillId="2" borderId="1" xfId="3" applyFont="1" applyFill="1" applyBorder="1" applyAlignment="1">
      <alignment horizontal="left"/>
    </xf>
    <xf numFmtId="0" fontId="25" fillId="3" borderId="1" xfId="5" applyFont="1" applyFill="1" applyBorder="1"/>
    <xf numFmtId="4" fontId="25" fillId="0" borderId="1" xfId="5" applyNumberFormat="1" applyFont="1" applyBorder="1"/>
    <xf numFmtId="0" fontId="21" fillId="0" borderId="15" xfId="6" applyFont="1" applyBorder="1" applyAlignment="1">
      <alignment vertical="center"/>
    </xf>
    <xf numFmtId="0" fontId="11" fillId="2" borderId="15" xfId="3" applyFont="1" applyFill="1" applyBorder="1" applyAlignment="1">
      <alignment horizontal="left"/>
    </xf>
    <xf numFmtId="4" fontId="11" fillId="2" borderId="15" xfId="3" applyNumberFormat="1" applyFont="1" applyFill="1" applyBorder="1" applyAlignment="1">
      <alignment horizontal="right"/>
    </xf>
    <xf numFmtId="0" fontId="21" fillId="0" borderId="15" xfId="0" applyFont="1" applyBorder="1" applyAlignment="1">
      <alignment vertical="center"/>
    </xf>
    <xf numFmtId="4" fontId="21" fillId="0" borderId="15" xfId="1" applyNumberFormat="1" applyFont="1" applyBorder="1" applyAlignment="1" applyProtection="1">
      <alignment vertical="center"/>
    </xf>
    <xf numFmtId="0" fontId="11" fillId="0" borderId="0" xfId="4" applyFont="1"/>
    <xf numFmtId="4" fontId="11" fillId="0" borderId="0" xfId="4" applyNumberFormat="1" applyFont="1"/>
    <xf numFmtId="166" fontId="22" fillId="0" borderId="0" xfId="4" applyNumberFormat="1" applyFont="1"/>
    <xf numFmtId="4" fontId="22" fillId="0" borderId="0" xfId="4" applyNumberFormat="1" applyFont="1"/>
    <xf numFmtId="166" fontId="11" fillId="0" borderId="0" xfId="4" applyNumberFormat="1" applyFont="1"/>
    <xf numFmtId="0" fontId="11" fillId="0" borderId="10" xfId="4" applyFont="1" applyBorder="1"/>
    <xf numFmtId="169" fontId="11" fillId="0" borderId="10" xfId="4" applyNumberFormat="1" applyFont="1" applyBorder="1"/>
    <xf numFmtId="4" fontId="11" fillId="0" borderId="10" xfId="4" applyNumberFormat="1" applyFont="1" applyBorder="1"/>
    <xf numFmtId="0" fontId="22" fillId="0" borderId="10" xfId="4" applyFont="1" applyBorder="1"/>
    <xf numFmtId="170" fontId="11" fillId="0" borderId="0" xfId="4" applyNumberFormat="1" applyFont="1"/>
    <xf numFmtId="170" fontId="11" fillId="0" borderId="0" xfId="4" applyNumberFormat="1" applyFont="1" applyAlignment="1">
      <alignment vertical="center"/>
    </xf>
    <xf numFmtId="0" fontId="11" fillId="0" borderId="0" xfId="4" applyFont="1" applyAlignment="1">
      <alignment vertical="center"/>
    </xf>
    <xf numFmtId="166" fontId="11" fillId="0" borderId="10" xfId="4" applyNumberFormat="1" applyFont="1" applyBorder="1"/>
    <xf numFmtId="166" fontId="5" fillId="0" borderId="0" xfId="4" applyNumberFormat="1" applyFont="1"/>
    <xf numFmtId="166" fontId="7" fillId="0" borderId="0" xfId="4" applyNumberFormat="1" applyFont="1"/>
    <xf numFmtId="4" fontId="7" fillId="0" borderId="0" xfId="4" applyNumberFormat="1" applyFont="1"/>
    <xf numFmtId="0" fontId="3" fillId="0" borderId="0" xfId="4"/>
    <xf numFmtId="4" fontId="3" fillId="0" borderId="0" xfId="4" applyNumberFormat="1"/>
    <xf numFmtId="0" fontId="25" fillId="0" borderId="20" xfId="4" applyFont="1" applyBorder="1"/>
    <xf numFmtId="166" fontId="25" fillId="0" borderId="20" xfId="4" applyNumberFormat="1" applyFont="1" applyBorder="1"/>
    <xf numFmtId="4" fontId="25" fillId="0" borderId="20" xfId="4" applyNumberFormat="1" applyFont="1" applyBorder="1"/>
    <xf numFmtId="0" fontId="25" fillId="0" borderId="0" xfId="4" applyFont="1"/>
    <xf numFmtId="4" fontId="25" fillId="0" borderId="0" xfId="4" applyNumberFormat="1" applyFont="1"/>
    <xf numFmtId="169" fontId="25" fillId="0" borderId="0" xfId="4" applyNumberFormat="1" applyFont="1"/>
    <xf numFmtId="166" fontId="25" fillId="0" borderId="20" xfId="4" applyNumberFormat="1" applyFont="1" applyBorder="1" applyAlignment="1">
      <alignment horizontal="center"/>
    </xf>
    <xf numFmtId="4" fontId="25" fillId="0" borderId="20" xfId="4" applyNumberFormat="1" applyFont="1" applyBorder="1" applyAlignment="1">
      <alignment horizontal="center"/>
    </xf>
    <xf numFmtId="0" fontId="29" fillId="0" borderId="0" xfId="4" applyFont="1"/>
    <xf numFmtId="4" fontId="29" fillId="0" borderId="0" xfId="4" applyNumberFormat="1" applyFont="1"/>
    <xf numFmtId="0" fontId="25" fillId="0" borderId="2" xfId="7" applyFont="1" applyBorder="1"/>
    <xf numFmtId="0" fontId="25" fillId="0" borderId="3" xfId="7" applyFont="1" applyBorder="1"/>
    <xf numFmtId="0" fontId="30" fillId="0" borderId="0" xfId="7" applyFont="1"/>
    <xf numFmtId="166" fontId="30" fillId="0" borderId="0" xfId="7" applyNumberFormat="1" applyFont="1"/>
    <xf numFmtId="0" fontId="24" fillId="0" borderId="7" xfId="7" applyFont="1" applyBorder="1"/>
    <xf numFmtId="0" fontId="24" fillId="0" borderId="8" xfId="7" applyFont="1" applyBorder="1"/>
    <xf numFmtId="0" fontId="24" fillId="0" borderId="9" xfId="7" applyFont="1" applyBorder="1"/>
    <xf numFmtId="0" fontId="31" fillId="0" borderId="0" xfId="7" applyFont="1"/>
    <xf numFmtId="166" fontId="31" fillId="0" borderId="0" xfId="7" applyNumberFormat="1" applyFont="1"/>
    <xf numFmtId="4" fontId="25" fillId="2" borderId="1" xfId="3" applyNumberFormat="1" applyFont="1" applyFill="1" applyBorder="1" applyAlignment="1">
      <alignment horizontal="left"/>
    </xf>
    <xf numFmtId="0" fontId="25" fillId="2" borderId="0" xfId="3" applyFont="1" applyFill="1" applyAlignment="1">
      <alignment horizontal="left"/>
    </xf>
    <xf numFmtId="0" fontId="27" fillId="0" borderId="0" xfId="3" applyFont="1" applyAlignment="1">
      <alignment horizontal="left"/>
    </xf>
    <xf numFmtId="0" fontId="25" fillId="0" borderId="20" xfId="7" applyFont="1" applyBorder="1"/>
    <xf numFmtId="0" fontId="24" fillId="0" borderId="20" xfId="7" applyFont="1" applyBorder="1"/>
    <xf numFmtId="0" fontId="11" fillId="0" borderId="20" xfId="7" applyFont="1" applyBorder="1"/>
    <xf numFmtId="15" fontId="11" fillId="0" borderId="20" xfId="7" applyNumberFormat="1" applyFont="1" applyBorder="1"/>
    <xf numFmtId="167" fontId="11" fillId="0" borderId="20" xfId="7" applyNumberFormat="1" applyFont="1" applyBorder="1"/>
    <xf numFmtId="167" fontId="22" fillId="0" borderId="20" xfId="7" applyNumberFormat="1" applyFont="1" applyBorder="1"/>
    <xf numFmtId="0" fontId="11" fillId="0" borderId="20" xfId="7" applyFont="1" applyBorder="1" applyAlignment="1">
      <alignment wrapText="1"/>
    </xf>
    <xf numFmtId="0" fontId="21" fillId="0" borderId="20" xfId="7" applyFont="1" applyBorder="1"/>
    <xf numFmtId="16" fontId="11" fillId="0" borderId="20" xfId="7" applyNumberFormat="1" applyFont="1" applyBorder="1"/>
    <xf numFmtId="0" fontId="24" fillId="0" borderId="1" xfId="8" applyFont="1" applyBorder="1"/>
    <xf numFmtId="4" fontId="10" fillId="0" borderId="1" xfId="8" applyNumberFormat="1" applyFont="1" applyBorder="1" applyAlignment="1">
      <alignment horizontal="left"/>
    </xf>
    <xf numFmtId="0" fontId="25" fillId="5" borderId="1" xfId="8" applyFont="1" applyFill="1" applyBorder="1" applyAlignment="1">
      <alignment horizontal="left"/>
    </xf>
    <xf numFmtId="4" fontId="32" fillId="5" borderId="1" xfId="8" applyNumberFormat="1" applyFont="1" applyFill="1" applyBorder="1" applyAlignment="1">
      <alignment horizontal="left"/>
    </xf>
    <xf numFmtId="4" fontId="25" fillId="5" borderId="1" xfId="8" applyNumberFormat="1" applyFont="1" applyFill="1" applyBorder="1" applyAlignment="1">
      <alignment horizontal="left"/>
    </xf>
    <xf numFmtId="4" fontId="26" fillId="0" borderId="1" xfId="0" applyNumberFormat="1" applyFont="1" applyBorder="1"/>
    <xf numFmtId="4" fontId="11" fillId="2" borderId="1" xfId="3" applyNumberFormat="1" applyFont="1" applyFill="1" applyBorder="1" applyAlignment="1">
      <alignment horizontal="right"/>
    </xf>
    <xf numFmtId="0" fontId="21" fillId="3" borderId="1" xfId="0" applyFont="1" applyFill="1" applyBorder="1" applyAlignment="1">
      <alignment horizontal="left"/>
    </xf>
    <xf numFmtId="0" fontId="25" fillId="0" borderId="1" xfId="5" applyFont="1" applyBorder="1"/>
    <xf numFmtId="168" fontId="25" fillId="0" borderId="1" xfId="3" applyNumberFormat="1" applyFont="1" applyBorder="1" applyAlignment="1">
      <alignment horizontal="right"/>
    </xf>
    <xf numFmtId="17" fontId="25" fillId="0" borderId="1" xfId="3" applyNumberFormat="1" applyFont="1" applyBorder="1"/>
    <xf numFmtId="0" fontId="25" fillId="0" borderId="7" xfId="7" applyFont="1" applyBorder="1"/>
    <xf numFmtId="0" fontId="25" fillId="0" borderId="8" xfId="7" applyFont="1" applyBorder="1"/>
    <xf numFmtId="169" fontId="25" fillId="0" borderId="8" xfId="7" applyNumberFormat="1" applyFont="1" applyBorder="1"/>
    <xf numFmtId="169" fontId="25" fillId="0" borderId="9" xfId="7" applyNumberFormat="1" applyFont="1" applyBorder="1"/>
    <xf numFmtId="0" fontId="33" fillId="0" borderId="20" xfId="7" applyFont="1" applyBorder="1"/>
    <xf numFmtId="167" fontId="25" fillId="0" borderId="20" xfId="7" applyNumberFormat="1" applyFont="1" applyBorder="1"/>
    <xf numFmtId="15" fontId="22" fillId="0" borderId="0" xfId="7" applyNumberFormat="1" applyFont="1"/>
    <xf numFmtId="0" fontId="16" fillId="0" borderId="0" xfId="7" applyFont="1"/>
    <xf numFmtId="166" fontId="16" fillId="0" borderId="0" xfId="7" applyNumberFormat="1" applyFont="1"/>
    <xf numFmtId="0" fontId="11" fillId="0" borderId="14" xfId="0" applyFont="1" applyBorder="1"/>
    <xf numFmtId="0" fontId="11" fillId="5" borderId="14" xfId="0" applyFont="1" applyFill="1" applyBorder="1"/>
    <xf numFmtId="0" fontId="10" fillId="5" borderId="14" xfId="0" applyFont="1" applyFill="1" applyBorder="1"/>
    <xf numFmtId="0" fontId="19" fillId="0" borderId="14" xfId="7" applyFont="1" applyBorder="1"/>
    <xf numFmtId="0" fontId="19" fillId="5" borderId="14" xfId="7" applyFont="1" applyFill="1" applyBorder="1"/>
    <xf numFmtId="0" fontId="30" fillId="0" borderId="14" xfId="7" applyFont="1" applyBorder="1"/>
    <xf numFmtId="0" fontId="30" fillId="5" borderId="14" xfId="7" applyFont="1" applyFill="1" applyBorder="1"/>
    <xf numFmtId="0" fontId="6" fillId="0" borderId="14" xfId="7" applyBorder="1"/>
    <xf numFmtId="0" fontId="11" fillId="0" borderId="17" xfId="0" applyFont="1" applyBorder="1"/>
    <xf numFmtId="0" fontId="11" fillId="5" borderId="17" xfId="0" applyFont="1" applyFill="1" applyBorder="1"/>
    <xf numFmtId="0" fontId="11" fillId="0" borderId="18" xfId="0" applyFont="1" applyBorder="1"/>
    <xf numFmtId="0" fontId="11" fillId="0" borderId="21" xfId="0" applyFont="1" applyBorder="1"/>
    <xf numFmtId="0" fontId="11" fillId="0" borderId="22" xfId="0" applyFont="1" applyBorder="1"/>
    <xf numFmtId="0" fontId="3" fillId="5" borderId="0" xfId="8" applyFill="1"/>
    <xf numFmtId="0" fontId="36" fillId="0" borderId="0" xfId="8" applyFont="1" applyAlignment="1">
      <alignment wrapText="1"/>
    </xf>
    <xf numFmtId="0" fontId="36" fillId="0" borderId="0" xfId="8" applyFont="1"/>
    <xf numFmtId="0" fontId="1" fillId="0" borderId="0" xfId="8" applyFont="1"/>
    <xf numFmtId="4" fontId="3" fillId="0" borderId="0" xfId="8" applyNumberFormat="1"/>
    <xf numFmtId="4" fontId="11" fillId="0" borderId="1" xfId="0" applyNumberFormat="1" applyFont="1" applyBorder="1"/>
    <xf numFmtId="4" fontId="5" fillId="0" borderId="8" xfId="0" applyNumberFormat="1" applyFont="1" applyBorder="1"/>
    <xf numFmtId="0" fontId="25" fillId="0" borderId="26" xfId="4" applyFont="1" applyBorder="1"/>
    <xf numFmtId="166" fontId="25" fillId="0" borderId="26" xfId="4" applyNumberFormat="1" applyFont="1" applyBorder="1"/>
    <xf numFmtId="4" fontId="25" fillId="0" borderId="26" xfId="4" applyNumberFormat="1" applyFont="1" applyBorder="1"/>
    <xf numFmtId="15" fontId="25" fillId="0" borderId="27" xfId="4" applyNumberFormat="1" applyFont="1" applyBorder="1"/>
    <xf numFmtId="0" fontId="25" fillId="0" borderId="27" xfId="4" applyFont="1" applyBorder="1"/>
    <xf numFmtId="166" fontId="25" fillId="0" borderId="27" xfId="4" applyNumberFormat="1" applyFont="1" applyBorder="1"/>
    <xf numFmtId="166" fontId="25" fillId="0" borderId="27" xfId="4" applyNumberFormat="1" applyFont="1" applyBorder="1" applyAlignment="1">
      <alignment vertical="center"/>
    </xf>
    <xf numFmtId="4" fontId="25" fillId="0" borderId="27" xfId="4" applyNumberFormat="1" applyFont="1" applyBorder="1"/>
    <xf numFmtId="0" fontId="11" fillId="0" borderId="8" xfId="4" applyFont="1" applyBorder="1"/>
    <xf numFmtId="166" fontId="11" fillId="0" borderId="8" xfId="4" applyNumberFormat="1" applyFont="1" applyBorder="1"/>
    <xf numFmtId="166" fontId="22" fillId="0" borderId="8" xfId="4" applyNumberFormat="1" applyFont="1" applyBorder="1"/>
    <xf numFmtId="4" fontId="11" fillId="0" borderId="8" xfId="4" applyNumberFormat="1" applyFont="1" applyBorder="1"/>
    <xf numFmtId="4" fontId="22" fillId="0" borderId="8" xfId="4" applyNumberFormat="1" applyFont="1" applyBorder="1"/>
    <xf numFmtId="4" fontId="22" fillId="0" borderId="9" xfId="4" applyNumberFormat="1" applyFont="1" applyBorder="1"/>
    <xf numFmtId="16" fontId="5" fillId="0" borderId="8" xfId="0" applyNumberFormat="1" applyFont="1" applyBorder="1"/>
    <xf numFmtId="0" fontId="5" fillId="0" borderId="8" xfId="0" applyFont="1" applyBorder="1"/>
    <xf numFmtId="166" fontId="5" fillId="0" borderId="8" xfId="0" applyNumberFormat="1" applyFont="1" applyBorder="1"/>
    <xf numFmtId="166" fontId="7" fillId="0" borderId="8" xfId="0" applyNumberFormat="1" applyFont="1" applyBorder="1"/>
    <xf numFmtId="4" fontId="7" fillId="0" borderId="8" xfId="0" applyNumberFormat="1" applyFont="1" applyBorder="1"/>
    <xf numFmtId="4" fontId="22" fillId="0" borderId="9" xfId="4" applyNumberFormat="1" applyFont="1" applyBorder="1" applyAlignment="1">
      <alignment horizontal="center"/>
    </xf>
    <xf numFmtId="15" fontId="11" fillId="0" borderId="8" xfId="4" applyNumberFormat="1" applyFont="1" applyBorder="1" applyAlignment="1">
      <alignment vertical="center"/>
    </xf>
    <xf numFmtId="0" fontId="11" fillId="0" borderId="8" xfId="4" applyFont="1" applyBorder="1" applyAlignment="1">
      <alignment vertical="center"/>
    </xf>
    <xf numFmtId="166" fontId="11" fillId="0" borderId="8" xfId="4" applyNumberFormat="1" applyFont="1" applyBorder="1" applyAlignment="1">
      <alignment vertical="center"/>
    </xf>
    <xf numFmtId="166" fontId="22" fillId="0" borderId="8" xfId="4" applyNumberFormat="1" applyFont="1" applyBorder="1" applyAlignment="1">
      <alignment vertical="center"/>
    </xf>
    <xf numFmtId="4" fontId="11" fillId="0" borderId="8" xfId="4" applyNumberFormat="1" applyFont="1" applyBorder="1" applyAlignment="1">
      <alignment vertical="center"/>
    </xf>
    <xf numFmtId="16" fontId="11" fillId="0" borderId="8" xfId="4" applyNumberFormat="1" applyFont="1" applyBorder="1"/>
    <xf numFmtId="0" fontId="22" fillId="0" borderId="8" xfId="4" applyFont="1" applyBorder="1"/>
    <xf numFmtId="15" fontId="22" fillId="0" borderId="8" xfId="4" applyNumberFormat="1" applyFont="1" applyBorder="1"/>
    <xf numFmtId="15" fontId="11" fillId="0" borderId="8" xfId="4" applyNumberFormat="1" applyFont="1" applyBorder="1"/>
    <xf numFmtId="0" fontId="11" fillId="0" borderId="8" xfId="4" applyFont="1" applyBorder="1" applyAlignment="1">
      <alignment wrapText="1"/>
    </xf>
    <xf numFmtId="15" fontId="11" fillId="0" borderId="24" xfId="4" applyNumberFormat="1" applyFont="1" applyBorder="1"/>
    <xf numFmtId="0" fontId="11" fillId="0" borderId="24" xfId="4" applyFont="1" applyBorder="1"/>
    <xf numFmtId="166" fontId="11" fillId="0" borderId="24" xfId="4" applyNumberFormat="1" applyFont="1" applyBorder="1"/>
    <xf numFmtId="166" fontId="22" fillId="0" borderId="24" xfId="4" applyNumberFormat="1" applyFont="1" applyBorder="1" applyAlignment="1">
      <alignment vertical="center"/>
    </xf>
    <xf numFmtId="4" fontId="11" fillId="0" borderId="24" xfId="4" applyNumberFormat="1" applyFont="1" applyBorder="1"/>
    <xf numFmtId="4" fontId="22" fillId="0" borderId="24" xfId="4" applyNumberFormat="1" applyFont="1" applyBorder="1"/>
    <xf numFmtId="4" fontId="22" fillId="0" borderId="25" xfId="4" applyNumberFormat="1" applyFont="1" applyBorder="1"/>
    <xf numFmtId="16" fontId="37" fillId="0" borderId="23" xfId="9" applyNumberFormat="1" applyFont="1" applyBorder="1" applyAlignment="1">
      <alignment horizontal="right"/>
    </xf>
    <xf numFmtId="0" fontId="37" fillId="0" borderId="8" xfId="9" applyFont="1" applyBorder="1"/>
    <xf numFmtId="171" fontId="37" fillId="0" borderId="8" xfId="10" applyNumberFormat="1" applyFont="1" applyBorder="1"/>
    <xf numFmtId="171" fontId="38" fillId="0" borderId="9" xfId="10" applyNumberFormat="1" applyFont="1" applyBorder="1"/>
    <xf numFmtId="171" fontId="37" fillId="0" borderId="8" xfId="11" applyNumberFormat="1" applyFont="1" applyBorder="1"/>
    <xf numFmtId="171" fontId="38" fillId="0" borderId="9" xfId="11" applyNumberFormat="1" applyFont="1" applyBorder="1"/>
    <xf numFmtId="1" fontId="39" fillId="0" borderId="28" xfId="0" applyNumberFormat="1" applyFont="1" applyBorder="1" applyAlignment="1">
      <alignment horizontal="center" vertical="center"/>
    </xf>
    <xf numFmtId="171" fontId="39" fillId="0" borderId="28" xfId="0" applyNumberFormat="1" applyFont="1" applyBorder="1" applyAlignment="1">
      <alignment vertical="center"/>
    </xf>
    <xf numFmtId="16" fontId="39" fillId="0" borderId="28" xfId="0" applyNumberFormat="1" applyFont="1" applyBorder="1" applyAlignment="1">
      <alignment vertical="center"/>
    </xf>
    <xf numFmtId="16" fontId="39" fillId="0" borderId="28" xfId="0" applyNumberFormat="1" applyFont="1" applyBorder="1" applyAlignment="1">
      <alignment horizontal="left" vertical="center"/>
    </xf>
    <xf numFmtId="0" fontId="9" fillId="0" borderId="1" xfId="5" applyFont="1" applyBorder="1" applyAlignment="1">
      <alignment horizontal="center"/>
    </xf>
    <xf numFmtId="0" fontId="9" fillId="0" borderId="11" xfId="5" applyFont="1" applyBorder="1" applyAlignment="1">
      <alignment horizontal="center"/>
    </xf>
    <xf numFmtId="0" fontId="9" fillId="0" borderId="12" xfId="5" applyFont="1" applyBorder="1" applyAlignment="1">
      <alignment horizontal="center"/>
    </xf>
    <xf numFmtId="0" fontId="24" fillId="5" borderId="1" xfId="8" applyFont="1" applyFill="1" applyBorder="1" applyAlignment="1">
      <alignment horizontal="center"/>
    </xf>
    <xf numFmtId="0" fontId="25" fillId="0" borderId="1" xfId="0" applyFont="1" applyBorder="1" applyAlignment="1">
      <alignment horizontal="center"/>
    </xf>
    <xf numFmtId="17" fontId="34" fillId="0" borderId="0" xfId="8" applyNumberFormat="1" applyFont="1" applyAlignment="1">
      <alignment horizontal="center"/>
    </xf>
    <xf numFmtId="17" fontId="35" fillId="0" borderId="0" xfId="0" applyNumberFormat="1" applyFont="1" applyAlignment="1">
      <alignment horizontal="center"/>
    </xf>
    <xf numFmtId="0" fontId="9" fillId="0" borderId="13" xfId="5" applyFont="1" applyBorder="1" applyAlignment="1">
      <alignment horizontal="center"/>
    </xf>
    <xf numFmtId="0" fontId="9" fillId="0" borderId="0" xfId="5" applyFont="1" applyAlignment="1">
      <alignment horizontal="center"/>
    </xf>
    <xf numFmtId="0" fontId="11" fillId="0" borderId="10" xfId="4" applyFont="1" applyBorder="1" applyAlignment="1">
      <alignment horizontal="center"/>
    </xf>
    <xf numFmtId="0" fontId="11" fillId="0" borderId="10" xfId="4" applyFont="1" applyBorder="1"/>
    <xf numFmtId="0" fontId="25" fillId="0" borderId="4" xfId="7" applyFont="1" applyBorder="1" applyAlignment="1">
      <alignment horizontal="center" wrapText="1"/>
    </xf>
    <xf numFmtId="0" fontId="30" fillId="0" borderId="5" xfId="7" applyFont="1" applyBorder="1"/>
    <xf numFmtId="0" fontId="30" fillId="0" borderId="6" xfId="7" applyFont="1" applyBorder="1"/>
    <xf numFmtId="0" fontId="30" fillId="0" borderId="20" xfId="0" applyFont="1" applyBorder="1" applyAlignment="1">
      <alignment horizontal="center"/>
    </xf>
    <xf numFmtId="0" fontId="25" fillId="0" borderId="20" xfId="0" applyFont="1" applyBorder="1" applyAlignment="1">
      <alignment horizontal="center"/>
    </xf>
    <xf numFmtId="0" fontId="19" fillId="0" borderId="0" xfId="7" applyFont="1"/>
  </cellXfs>
  <cellStyles count="12">
    <cellStyle name="Comma" xfId="1" builtinId="3"/>
    <cellStyle name="Comma 5 2" xfId="11" xr:uid="{AEBC4B8E-E73D-4D05-94BB-F71420667898}"/>
    <cellStyle name="Currency" xfId="2" builtinId="4"/>
    <cellStyle name="Normal" xfId="0" builtinId="0"/>
    <cellStyle name="Normal 2" xfId="6" xr:uid="{05F83D9A-ECBE-8E4A-941E-F07EBCD2ECAC}"/>
    <cellStyle name="Normal 2 3 2" xfId="4" xr:uid="{587AC36D-8614-9945-8173-6750200A8486}"/>
    <cellStyle name="Normal 20 2" xfId="8" xr:uid="{B458068C-72A1-CA40-A0F1-9749128C879C}"/>
    <cellStyle name="Normal 4" xfId="3" xr:uid="{A743C894-7B54-FA4C-9851-985F17A305A0}"/>
    <cellStyle name="Normal 5" xfId="7" xr:uid="{CA5A6F46-D852-0143-B3CF-AE80B4CA6568}"/>
    <cellStyle name="Normal 5 2 2" xfId="9" xr:uid="{BA0A348F-A2DA-4EF5-B2E3-322CCFAEF17E}"/>
    <cellStyle name="Normal 6" xfId="5" xr:uid="{BC83C051-70B0-424F-ACF4-1ADAEA571CE3}"/>
    <cellStyle name="Normal 8 2" xfId="10" xr:uid="{2AE227C5-D612-472E-B1B7-6D662102A3B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24</xdr:row>
      <xdr:rowOff>0</xdr:rowOff>
    </xdr:from>
    <xdr:to>
      <xdr:col>3</xdr:col>
      <xdr:colOff>586740</xdr:colOff>
      <xdr:row>29</xdr:row>
      <xdr:rowOff>160020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7CF39C78-B99F-EF4E-917E-25426DD7393C}"/>
            </a:ext>
          </a:extLst>
        </xdr:cNvPr>
        <xdr:cNvCxnSpPr/>
      </xdr:nvCxnSpPr>
      <xdr:spPr>
        <a:xfrm flipV="1">
          <a:off x="7010400" y="5410200"/>
          <a:ext cx="434340" cy="9220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121920</xdr:colOff>
      <xdr:row>32</xdr:row>
      <xdr:rowOff>129540</xdr:rowOff>
    </xdr:from>
    <xdr:to>
      <xdr:col>3</xdr:col>
      <xdr:colOff>617220</xdr:colOff>
      <xdr:row>32</xdr:row>
      <xdr:rowOff>137160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D6555464-38B3-EE44-9C0D-AC9D0462B31A}"/>
            </a:ext>
          </a:extLst>
        </xdr:cNvPr>
        <xdr:cNvCxnSpPr/>
      </xdr:nvCxnSpPr>
      <xdr:spPr>
        <a:xfrm flipV="1">
          <a:off x="6979920" y="7063740"/>
          <a:ext cx="495300" cy="76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Landco%20Accounts%202026\01%20JAN%20ACCOUNTS\01%20JAN%20MONTH%20END%202026.xlsx" TargetMode="External"/><Relationship Id="rId1" Type="http://schemas.openxmlformats.org/officeDocument/2006/relationships/externalLinkPath" Target="file:///C:\Users\Andrisa\Dropbox\Andrisa\Landco\Accounts%202026\Landco%20Accounts%202026\01%20JAN%20ACCOUNTS\01%20JAN%20MONTH%20END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landco\Accounts%202026\Shareholders%202026\01%20Shareholders\01%20COCO%20COHEN2026.xlsx" TargetMode="External"/><Relationship Id="rId1" Type="http://schemas.openxmlformats.org/officeDocument/2006/relationships/externalLinkPath" Target="01%20COCO%20COHEN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2%20COCO%20COHEN2026.xlsx" TargetMode="External"/><Relationship Id="rId1" Type="http://schemas.openxmlformats.org/officeDocument/2006/relationships/externalLinkPath" Target="file:///C:\Users\Andrisa\Dropbox\Andrisa\Landco\Accounts%202026\Shareholders%202026\02%20COCO%20COHEN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"/>
      <sheetName val="RECON"/>
      <sheetName val=" EXPENSES"/>
      <sheetName val=" EXPENSES HOUSE"/>
      <sheetName val="MONTHLY FOR THE YEAR"/>
    </sheetNames>
    <sheetDataSet>
      <sheetData sheetId="0">
        <row r="51">
          <cell r="D51">
            <v>812375</v>
          </cell>
        </row>
      </sheetData>
      <sheetData sheetId="1">
        <row r="4">
          <cell r="C4">
            <v>-456526.24425000005</v>
          </cell>
          <cell r="D4">
            <v>812375</v>
          </cell>
          <cell r="E4">
            <v>183410.17249999999</v>
          </cell>
        </row>
        <row r="5">
          <cell r="C5">
            <v>-9572.7775000000838</v>
          </cell>
          <cell r="D5">
            <v>948750</v>
          </cell>
          <cell r="E5">
            <v>211718.57250000001</v>
          </cell>
        </row>
        <row r="6">
          <cell r="C6">
            <v>724450.72249999992</v>
          </cell>
          <cell r="D6">
            <v>0</v>
          </cell>
          <cell r="E6">
            <v>196921.21249999999</v>
          </cell>
        </row>
        <row r="7">
          <cell r="C7">
            <v>345627.78249999997</v>
          </cell>
          <cell r="E7">
            <v>193473.21249999999</v>
          </cell>
        </row>
        <row r="21">
          <cell r="G21">
            <v>775874.74999999988</v>
          </cell>
        </row>
        <row r="22">
          <cell r="G22">
            <v>557664.46250000014</v>
          </cell>
        </row>
        <row r="23">
          <cell r="G23">
            <v>416942.10249999998</v>
          </cell>
        </row>
      </sheetData>
      <sheetData sheetId="2"/>
      <sheetData sheetId="3">
        <row r="6">
          <cell r="D6">
            <v>38090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 "/>
      <sheetName val=" INCOME"/>
      <sheetName val=" Expenses "/>
      <sheetName val="INCOME VS EXPENSES"/>
    </sheetNames>
    <sheetDataSet>
      <sheetData sheetId="0">
        <row r="3">
          <cell r="C3">
            <v>345627.78249999997</v>
          </cell>
        </row>
        <row r="4">
          <cell r="F4">
            <v>193473.21249999999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 "/>
      <sheetName val=" INCOME"/>
      <sheetName val=" Expenses "/>
      <sheetName val="INCOME VS EXPENSES"/>
    </sheetNames>
    <sheetDataSet>
      <sheetData sheetId="0">
        <row r="5">
          <cell r="F5">
            <v>242759.98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1A65-5AD3-BF4A-8F42-72A9983F49D6}">
  <dimension ref="A1:L32"/>
  <sheetViews>
    <sheetView workbookViewId="0">
      <selection activeCell="G22" sqref="G22"/>
    </sheetView>
  </sheetViews>
  <sheetFormatPr defaultColWidth="8.5" defaultRowHeight="15.75" x14ac:dyDescent="0.25"/>
  <cols>
    <col min="1" max="1" width="17.75" customWidth="1"/>
    <col min="2" max="2" width="19.25" customWidth="1"/>
    <col min="3" max="3" width="18.75" style="10" customWidth="1"/>
    <col min="4" max="4" width="16.75" bestFit="1" customWidth="1"/>
    <col min="5" max="5" width="18.25" bestFit="1" customWidth="1"/>
    <col min="6" max="6" width="12.25" customWidth="1"/>
    <col min="7" max="7" width="13.25" customWidth="1"/>
    <col min="8" max="8" width="11.5" customWidth="1"/>
    <col min="9" max="9" width="14.375" customWidth="1"/>
    <col min="12" max="12" width="12.5" customWidth="1"/>
  </cols>
  <sheetData>
    <row r="1" spans="1:12" s="16" customFormat="1" ht="25.5" x14ac:dyDescent="0.35">
      <c r="A1" s="288" t="s">
        <v>99</v>
      </c>
      <c r="B1" s="289"/>
      <c r="C1" s="289"/>
      <c r="D1" s="289"/>
      <c r="E1" s="289"/>
    </row>
    <row r="2" spans="1:12" s="9" customFormat="1" ht="15" x14ac:dyDescent="0.25">
      <c r="A2" s="63"/>
      <c r="B2" s="63"/>
      <c r="C2" s="63"/>
      <c r="D2" s="63"/>
      <c r="E2" s="64"/>
    </row>
    <row r="3" spans="1:12" s="80" customFormat="1" ht="32.25" x14ac:dyDescent="0.3">
      <c r="A3" s="78" t="s">
        <v>81</v>
      </c>
      <c r="B3" s="79" t="s">
        <v>96</v>
      </c>
      <c r="C3" s="78" t="s">
        <v>97</v>
      </c>
      <c r="D3" s="78" t="s">
        <v>98</v>
      </c>
      <c r="E3" s="78" t="s">
        <v>42</v>
      </c>
      <c r="H3" s="9"/>
      <c r="I3" s="9"/>
      <c r="J3" s="292"/>
      <c r="K3" s="293"/>
      <c r="L3" s="293"/>
    </row>
    <row r="4" spans="1:12" s="17" customFormat="1" ht="15" x14ac:dyDescent="0.25">
      <c r="A4" s="65" t="s">
        <v>59</v>
      </c>
      <c r="B4" s="66">
        <f>+[1]RECON!$C$4</f>
        <v>-456526.24425000005</v>
      </c>
      <c r="C4" s="66">
        <f>+[1]RECON!$D$4</f>
        <v>812375</v>
      </c>
      <c r="D4" s="66">
        <f>+[1]RECON!$E$4</f>
        <v>183410.17249999999</v>
      </c>
      <c r="E4" s="66">
        <f>+B4+C4-D4</f>
        <v>172438.58324999997</v>
      </c>
      <c r="F4" s="18"/>
      <c r="G4" s="18"/>
      <c r="H4" s="9"/>
      <c r="I4" s="9"/>
      <c r="J4" s="9"/>
      <c r="K4" s="9"/>
      <c r="L4" s="233"/>
    </row>
    <row r="5" spans="1:12" s="17" customFormat="1" ht="15" x14ac:dyDescent="0.25">
      <c r="A5" s="65" t="s">
        <v>60</v>
      </c>
      <c r="B5" s="66">
        <f>+[1]RECON!$C$5</f>
        <v>-9572.7775000000838</v>
      </c>
      <c r="C5" s="66">
        <f>+[1]RECON!$D$5</f>
        <v>948750</v>
      </c>
      <c r="D5" s="66">
        <f>+[1]RECON!$E$5</f>
        <v>211718.57250000001</v>
      </c>
      <c r="E5" s="66">
        <f>+B5+C5-D5</f>
        <v>727458.64999999991</v>
      </c>
      <c r="F5" s="18"/>
      <c r="G5" s="18"/>
      <c r="H5" s="9"/>
      <c r="I5" s="234"/>
      <c r="J5" s="235"/>
      <c r="K5" s="235"/>
      <c r="L5" s="235"/>
    </row>
    <row r="6" spans="1:12" s="17" customFormat="1" ht="15" x14ac:dyDescent="0.25">
      <c r="A6" s="65" t="s">
        <v>61</v>
      </c>
      <c r="B6" s="66">
        <f>+[1]RECON!$C$6</f>
        <v>724450.72249999992</v>
      </c>
      <c r="C6" s="66">
        <f>+[1]RECON!$D$6</f>
        <v>0</v>
      </c>
      <c r="D6" s="66">
        <f>+[1]RECON!$E$6</f>
        <v>196921.21249999999</v>
      </c>
      <c r="E6" s="66">
        <f t="shared" ref="E6:E8" si="0">+B6+C6-D6</f>
        <v>527529.50999999989</v>
      </c>
      <c r="F6" s="18"/>
      <c r="G6" s="18"/>
      <c r="H6" s="236"/>
      <c r="I6" s="237"/>
      <c r="J6" s="237"/>
      <c r="K6" s="237"/>
      <c r="L6" s="237"/>
    </row>
    <row r="7" spans="1:12" s="17" customFormat="1" ht="15" x14ac:dyDescent="0.25">
      <c r="A7" s="65" t="s">
        <v>0</v>
      </c>
      <c r="B7" s="66">
        <f>+[1]RECON!$C$7</f>
        <v>345627.78249999997</v>
      </c>
      <c r="C7" s="66">
        <v>0</v>
      </c>
      <c r="D7" s="66">
        <f>+[1]RECON!$E$7</f>
        <v>193473.21249999999</v>
      </c>
      <c r="E7" s="66">
        <f t="shared" si="0"/>
        <v>152154.56999999998</v>
      </c>
      <c r="F7" s="18"/>
      <c r="G7" s="18"/>
      <c r="H7" s="236"/>
      <c r="I7" s="237"/>
      <c r="J7" s="237"/>
      <c r="K7" s="237"/>
      <c r="L7" s="237"/>
    </row>
    <row r="8" spans="1:12" s="17" customFormat="1" ht="15" x14ac:dyDescent="0.25">
      <c r="A8" s="65" t="s">
        <v>108</v>
      </c>
      <c r="B8" s="66">
        <v>170900</v>
      </c>
      <c r="C8" s="66">
        <v>0</v>
      </c>
      <c r="D8" s="66">
        <v>0</v>
      </c>
      <c r="E8" s="66">
        <f t="shared" si="0"/>
        <v>170900</v>
      </c>
      <c r="G8" s="18"/>
      <c r="H8" s="236"/>
      <c r="I8" s="237"/>
      <c r="J8" s="237"/>
      <c r="K8" s="237"/>
      <c r="L8" s="237"/>
    </row>
    <row r="9" spans="1:12" s="77" customFormat="1" x14ac:dyDescent="0.25">
      <c r="A9" s="73" t="s">
        <v>41</v>
      </c>
      <c r="B9" s="74">
        <f>SUM(B4:B7)</f>
        <v>603979.48324999982</v>
      </c>
      <c r="C9" s="74">
        <f>SUM(C4:C7)</f>
        <v>1761125</v>
      </c>
      <c r="D9" s="74">
        <f>SUM(D4:D7)</f>
        <v>785523.17</v>
      </c>
      <c r="E9" s="74">
        <f>SUM(E4:E8)</f>
        <v>1750481.3132499999</v>
      </c>
      <c r="F9" s="76"/>
      <c r="G9" s="76"/>
      <c r="H9" s="236"/>
      <c r="I9" s="237"/>
      <c r="J9" s="237"/>
      <c r="K9" s="237"/>
      <c r="L9" s="237"/>
    </row>
    <row r="10" spans="1:12" s="17" customFormat="1" ht="15" x14ac:dyDescent="0.25">
      <c r="A10" s="65"/>
      <c r="B10" s="65"/>
      <c r="C10" s="67"/>
      <c r="D10" s="67"/>
      <c r="E10" s="65"/>
      <c r="H10" s="9"/>
      <c r="I10" s="237"/>
      <c r="J10" s="237"/>
      <c r="K10" s="237"/>
      <c r="L10" s="237"/>
    </row>
    <row r="11" spans="1:12" s="84" customFormat="1" x14ac:dyDescent="0.25">
      <c r="A11" s="290"/>
      <c r="B11" s="291"/>
      <c r="C11" s="81"/>
      <c r="D11" s="81"/>
      <c r="E11" s="81"/>
      <c r="F11" s="83"/>
      <c r="H11" s="9"/>
      <c r="I11" s="237"/>
      <c r="J11" s="237"/>
      <c r="K11" s="237"/>
      <c r="L11" s="237"/>
    </row>
    <row r="12" spans="1:12" s="17" customFormat="1" x14ac:dyDescent="0.25">
      <c r="A12" s="202" t="s">
        <v>63</v>
      </c>
      <c r="B12" s="200"/>
      <c r="C12" s="85"/>
      <c r="D12" s="200"/>
      <c r="E12" s="238">
        <f>+[1]RECON!$G$22</f>
        <v>557664.46250000014</v>
      </c>
      <c r="F12" s="19"/>
      <c r="G12" s="18"/>
      <c r="H12" s="18"/>
    </row>
    <row r="13" spans="1:12" s="17" customFormat="1" x14ac:dyDescent="0.25">
      <c r="A13" s="203" t="s">
        <v>62</v>
      </c>
      <c r="B13" s="68"/>
      <c r="C13" s="67"/>
      <c r="D13" s="67"/>
      <c r="E13" s="67">
        <f>+[1]RECON!$G$21</f>
        <v>775874.74999999988</v>
      </c>
      <c r="F13" s="20"/>
      <c r="G13" s="18"/>
      <c r="H13" s="18"/>
    </row>
    <row r="14" spans="1:12" s="17" customFormat="1" x14ac:dyDescent="0.25">
      <c r="A14" s="204" t="s">
        <v>64</v>
      </c>
      <c r="B14" s="68"/>
      <c r="C14" s="67"/>
      <c r="D14" s="67"/>
      <c r="E14" s="67">
        <f>+[1]RECON!$G$23</f>
        <v>416942.10249999998</v>
      </c>
      <c r="F14" s="18"/>
      <c r="H14" s="18"/>
    </row>
    <row r="15" spans="1:12" s="17" customFormat="1" x14ac:dyDescent="0.25">
      <c r="A15" s="204" t="s">
        <v>65</v>
      </c>
      <c r="B15" s="68"/>
      <c r="C15" s="67"/>
      <c r="D15" s="67"/>
      <c r="E15" s="67"/>
      <c r="F15" s="18"/>
    </row>
    <row r="16" spans="1:12" s="17" customFormat="1" x14ac:dyDescent="0.25">
      <c r="A16" s="201"/>
      <c r="B16" s="67"/>
      <c r="C16" s="67"/>
      <c r="D16" s="67"/>
      <c r="E16" s="67"/>
      <c r="F16" s="18"/>
      <c r="G16" s="18"/>
      <c r="H16" s="18"/>
    </row>
    <row r="17" spans="1:11" s="17" customFormat="1" x14ac:dyDescent="0.25">
      <c r="A17" s="75" t="s">
        <v>41</v>
      </c>
      <c r="B17" s="67"/>
      <c r="C17" s="67"/>
      <c r="D17" s="69"/>
      <c r="E17" s="69">
        <f>SUM(E12:E16)</f>
        <v>1750481.3149999999</v>
      </c>
      <c r="H17" s="18"/>
    </row>
    <row r="18" spans="1:11" s="17" customFormat="1" ht="15" x14ac:dyDescent="0.25">
      <c r="A18" s="67"/>
      <c r="B18" s="67"/>
      <c r="C18" s="67"/>
      <c r="D18" s="67"/>
      <c r="E18" s="67"/>
    </row>
    <row r="19" spans="1:11" s="77" customFormat="1" x14ac:dyDescent="0.25">
      <c r="A19" s="73" t="s">
        <v>100</v>
      </c>
      <c r="B19" s="82" t="s">
        <v>107</v>
      </c>
      <c r="C19" s="85"/>
      <c r="D19" s="73"/>
      <c r="E19" s="73"/>
      <c r="I19" s="76"/>
      <c r="J19" s="76"/>
      <c r="K19" s="76"/>
    </row>
    <row r="20" spans="1:11" s="17" customFormat="1" ht="15" x14ac:dyDescent="0.25">
      <c r="A20" s="65"/>
      <c r="B20" s="66"/>
      <c r="C20" s="70"/>
      <c r="D20" s="66"/>
      <c r="E20" s="65"/>
      <c r="I20" s="18"/>
      <c r="J20" s="18"/>
      <c r="K20" s="18"/>
    </row>
    <row r="21" spans="1:11" s="17" customFormat="1" ht="15" x14ac:dyDescent="0.25">
      <c r="A21" s="65"/>
      <c r="B21" s="66"/>
      <c r="C21" s="70"/>
      <c r="D21" s="66"/>
      <c r="E21" s="65"/>
      <c r="I21" s="18"/>
      <c r="J21" s="18"/>
      <c r="K21" s="18"/>
    </row>
    <row r="22" spans="1:11" s="17" customFormat="1" ht="15" x14ac:dyDescent="0.25">
      <c r="A22" s="65"/>
      <c r="B22" s="66"/>
      <c r="C22" s="70"/>
      <c r="D22" s="66"/>
      <c r="E22" s="65"/>
    </row>
    <row r="23" spans="1:11" s="17" customFormat="1" ht="15" x14ac:dyDescent="0.25">
      <c r="A23" s="65"/>
      <c r="B23" s="66"/>
      <c r="C23" s="70"/>
      <c r="D23" s="66"/>
      <c r="E23" s="65"/>
    </row>
    <row r="24" spans="1:11" s="17" customFormat="1" ht="15" x14ac:dyDescent="0.25">
      <c r="A24" s="65"/>
      <c r="B24" s="66"/>
      <c r="C24" s="70"/>
      <c r="D24" s="66"/>
      <c r="E24" s="65"/>
    </row>
    <row r="25" spans="1:11" s="17" customFormat="1" ht="15" x14ac:dyDescent="0.25">
      <c r="A25" s="65"/>
      <c r="B25" s="66"/>
      <c r="C25" s="70"/>
      <c r="D25" s="66"/>
      <c r="E25" s="65"/>
    </row>
    <row r="26" spans="1:11" s="17" customFormat="1" ht="15" x14ac:dyDescent="0.25">
      <c r="A26" s="65"/>
      <c r="B26" s="66"/>
      <c r="C26" s="70"/>
      <c r="D26" s="65"/>
      <c r="E26" s="65"/>
    </row>
    <row r="27" spans="1:11" s="17" customFormat="1" ht="15" x14ac:dyDescent="0.25">
      <c r="A27" s="65"/>
      <c r="B27" s="66"/>
      <c r="C27" s="70"/>
      <c r="D27" s="65"/>
      <c r="E27" s="65"/>
    </row>
    <row r="28" spans="1:11" s="16" customFormat="1" x14ac:dyDescent="0.25">
      <c r="A28" s="62"/>
      <c r="B28" s="62"/>
      <c r="C28" s="71"/>
      <c r="D28" s="62"/>
      <c r="E28" s="62"/>
    </row>
    <row r="29" spans="1:11" s="16" customFormat="1" x14ac:dyDescent="0.25">
      <c r="A29" s="62"/>
      <c r="B29" s="72"/>
      <c r="C29" s="71"/>
      <c r="D29" s="62"/>
      <c r="E29" s="62"/>
    </row>
    <row r="30" spans="1:11" s="16" customFormat="1" x14ac:dyDescent="0.25">
      <c r="A30" s="62"/>
      <c r="B30" s="62"/>
      <c r="C30" s="71"/>
      <c r="D30" s="62"/>
      <c r="E30" s="62"/>
    </row>
    <row r="31" spans="1:11" s="16" customFormat="1" x14ac:dyDescent="0.25">
      <c r="C31" s="21"/>
    </row>
    <row r="32" spans="1:11" s="16" customFormat="1" x14ac:dyDescent="0.25">
      <c r="C32" s="21"/>
    </row>
  </sheetData>
  <mergeCells count="3">
    <mergeCell ref="A1:E1"/>
    <mergeCell ref="A11:B11"/>
    <mergeCell ref="J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25405-4E5A-144C-A56E-B03BBD356513}">
  <dimension ref="A1:F23"/>
  <sheetViews>
    <sheetView tabSelected="1" workbookViewId="0">
      <selection activeCell="E7" sqref="E7"/>
    </sheetView>
  </sheetViews>
  <sheetFormatPr defaultColWidth="11.25" defaultRowHeight="15.75" x14ac:dyDescent="0.25"/>
  <cols>
    <col min="1" max="1" width="22.5" customWidth="1"/>
    <col min="2" max="2" width="17.75" bestFit="1" customWidth="1"/>
    <col min="4" max="4" width="11.75" bestFit="1" customWidth="1"/>
    <col min="5" max="5" width="20.25" customWidth="1"/>
    <col min="6" max="6" width="12.75" bestFit="1" customWidth="1"/>
  </cols>
  <sheetData>
    <row r="1" spans="1:6" s="16" customFormat="1" ht="25.5" x14ac:dyDescent="0.35">
      <c r="A1" s="288" t="s">
        <v>101</v>
      </c>
      <c r="B1" s="289"/>
      <c r="C1" s="289"/>
      <c r="D1" s="289"/>
      <c r="E1" s="289"/>
      <c r="F1" s="294"/>
    </row>
    <row r="2" spans="1:6" x14ac:dyDescent="0.25">
      <c r="A2" s="86"/>
      <c r="B2" s="86"/>
      <c r="C2" s="86"/>
      <c r="D2" s="86"/>
      <c r="E2" s="86"/>
      <c r="F2" s="86"/>
    </row>
    <row r="3" spans="1:6" s="110" customFormat="1" x14ac:dyDescent="0.25">
      <c r="A3" s="108" t="s">
        <v>83</v>
      </c>
      <c r="B3" s="109" t="s">
        <v>94</v>
      </c>
      <c r="C3" s="109"/>
      <c r="D3" s="108" t="s">
        <v>83</v>
      </c>
      <c r="E3" s="109" t="s">
        <v>95</v>
      </c>
      <c r="F3" s="82" t="s">
        <v>106</v>
      </c>
    </row>
    <row r="4" spans="1:6" s="16" customFormat="1" x14ac:dyDescent="0.25">
      <c r="A4" s="90" t="s">
        <v>43</v>
      </c>
      <c r="B4" s="91">
        <f>+'[2]SUMMERY '!$C$3</f>
        <v>345627.78249999997</v>
      </c>
      <c r="C4" s="92"/>
      <c r="D4" s="93"/>
      <c r="E4" s="92"/>
      <c r="F4" s="62"/>
    </row>
    <row r="5" spans="1:6" s="16" customFormat="1" x14ac:dyDescent="0.25">
      <c r="A5" s="90" t="s">
        <v>70</v>
      </c>
      <c r="B5" s="91"/>
      <c r="C5" s="92"/>
      <c r="D5" s="90" t="s">
        <v>70</v>
      </c>
      <c r="E5" s="94">
        <f>+'[2]SUMMERY '!$F$4</f>
        <v>193473.21249999999</v>
      </c>
      <c r="F5" s="101" t="s">
        <v>107</v>
      </c>
    </row>
    <row r="6" spans="1:6" s="16" customFormat="1" x14ac:dyDescent="0.25">
      <c r="A6" s="90" t="s">
        <v>71</v>
      </c>
      <c r="B6" s="91"/>
      <c r="C6" s="92"/>
      <c r="D6" s="90" t="s">
        <v>71</v>
      </c>
      <c r="E6" s="94">
        <f>+'[3]SUMMERY '!$F$5</f>
        <v>242759.98</v>
      </c>
      <c r="F6" s="62"/>
    </row>
    <row r="7" spans="1:6" s="16" customFormat="1" x14ac:dyDescent="0.25">
      <c r="A7" s="90" t="s">
        <v>72</v>
      </c>
      <c r="B7" s="95"/>
      <c r="C7" s="92"/>
      <c r="D7" s="90" t="s">
        <v>72</v>
      </c>
      <c r="E7" s="91"/>
      <c r="F7" s="62"/>
    </row>
    <row r="8" spans="1:6" s="16" customFormat="1" x14ac:dyDescent="0.25">
      <c r="A8" s="90" t="s">
        <v>73</v>
      </c>
      <c r="B8" s="91"/>
      <c r="C8" s="92"/>
      <c r="D8" s="90" t="s">
        <v>73</v>
      </c>
      <c r="E8" s="91"/>
      <c r="F8" s="62"/>
    </row>
    <row r="9" spans="1:6" s="16" customFormat="1" x14ac:dyDescent="0.25">
      <c r="A9" s="90" t="s">
        <v>74</v>
      </c>
      <c r="B9" s="91"/>
      <c r="C9" s="92"/>
      <c r="D9" s="90" t="s">
        <v>74</v>
      </c>
      <c r="E9" s="91"/>
      <c r="F9" s="62"/>
    </row>
    <row r="10" spans="1:6" s="16" customFormat="1" x14ac:dyDescent="0.25">
      <c r="A10" s="90" t="s">
        <v>75</v>
      </c>
      <c r="B10" s="91"/>
      <c r="C10" s="92"/>
      <c r="D10" s="90" t="s">
        <v>75</v>
      </c>
      <c r="E10" s="91"/>
      <c r="F10" s="62"/>
    </row>
    <row r="11" spans="1:6" s="16" customFormat="1" x14ac:dyDescent="0.25">
      <c r="A11" s="90" t="s">
        <v>76</v>
      </c>
      <c r="B11" s="91"/>
      <c r="C11" s="92"/>
      <c r="D11" s="90" t="s">
        <v>76</v>
      </c>
      <c r="E11" s="91"/>
      <c r="F11" s="62"/>
    </row>
    <row r="12" spans="1:6" s="16" customFormat="1" x14ac:dyDescent="0.25">
      <c r="A12" s="90" t="s">
        <v>77</v>
      </c>
      <c r="B12" s="91"/>
      <c r="C12" s="92"/>
      <c r="D12" s="90" t="s">
        <v>77</v>
      </c>
      <c r="E12" s="91"/>
      <c r="F12" s="62"/>
    </row>
    <row r="13" spans="1:6" s="16" customFormat="1" x14ac:dyDescent="0.25">
      <c r="A13" s="90" t="s">
        <v>78</v>
      </c>
      <c r="B13" s="91"/>
      <c r="C13" s="92"/>
      <c r="D13" s="90" t="s">
        <v>78</v>
      </c>
      <c r="E13" s="91"/>
      <c r="F13" s="62"/>
    </row>
    <row r="14" spans="1:6" s="16" customFormat="1" x14ac:dyDescent="0.25">
      <c r="A14" s="90" t="s">
        <v>79</v>
      </c>
      <c r="B14" s="91"/>
      <c r="C14" s="92"/>
      <c r="D14" s="90" t="s">
        <v>79</v>
      </c>
      <c r="E14" s="91"/>
      <c r="F14" s="62"/>
    </row>
    <row r="15" spans="1:6" s="16" customFormat="1" x14ac:dyDescent="0.25">
      <c r="A15" s="90" t="s">
        <v>80</v>
      </c>
      <c r="B15" s="91"/>
      <c r="C15" s="92"/>
      <c r="D15" s="90" t="s">
        <v>80</v>
      </c>
      <c r="E15" s="91"/>
      <c r="F15" s="62"/>
    </row>
    <row r="16" spans="1:6" s="16" customFormat="1" x14ac:dyDescent="0.25">
      <c r="A16" s="90" t="s">
        <v>69</v>
      </c>
      <c r="B16" s="91"/>
      <c r="C16" s="92"/>
      <c r="D16" s="90" t="s">
        <v>69</v>
      </c>
      <c r="E16" s="91"/>
      <c r="F16" s="62"/>
    </row>
    <row r="17" spans="1:6" s="16" customFormat="1" x14ac:dyDescent="0.25">
      <c r="A17" s="90"/>
      <c r="B17" s="91"/>
      <c r="C17" s="92"/>
      <c r="D17" s="90"/>
      <c r="E17" s="91"/>
      <c r="F17" s="62"/>
    </row>
    <row r="18" spans="1:6" s="96" customFormat="1" x14ac:dyDescent="0.25">
      <c r="A18" s="107" t="s">
        <v>41</v>
      </c>
      <c r="B18" s="111">
        <f>SUM(B4:B16)</f>
        <v>345627.78249999997</v>
      </c>
      <c r="C18" s="112"/>
      <c r="D18" s="107" t="s">
        <v>41</v>
      </c>
      <c r="E18" s="111">
        <f>SUM(E5:E16)</f>
        <v>436233.1925</v>
      </c>
      <c r="F18" s="85"/>
    </row>
    <row r="19" spans="1:6" s="16" customFormat="1" x14ac:dyDescent="0.25">
      <c r="A19" s="88"/>
      <c r="B19" s="89"/>
      <c r="C19" s="87"/>
      <c r="D19" s="88"/>
      <c r="E19" s="89"/>
      <c r="F19" s="62"/>
    </row>
    <row r="20" spans="1:6" s="96" customFormat="1" x14ac:dyDescent="0.25">
      <c r="A20" s="99" t="s">
        <v>82</v>
      </c>
      <c r="B20" s="97"/>
      <c r="C20" s="98"/>
      <c r="D20" s="99"/>
      <c r="E20" s="97">
        <f>+B18-E18</f>
        <v>-90605.410000000033</v>
      </c>
      <c r="F20" s="85"/>
    </row>
    <row r="21" spans="1:6" s="96" customFormat="1" x14ac:dyDescent="0.25">
      <c r="A21" s="99" t="s">
        <v>1</v>
      </c>
      <c r="B21" s="97"/>
      <c r="C21" s="98"/>
      <c r="D21" s="99"/>
      <c r="E21" s="98">
        <f>+E20/67</f>
        <v>-1352.3195522388064</v>
      </c>
      <c r="F21" s="85"/>
    </row>
    <row r="22" spans="1:6" s="16" customFormat="1" x14ac:dyDescent="0.25"/>
    <row r="23" spans="1:6" s="16" customFormat="1" x14ac:dyDescent="0.25"/>
  </sheetData>
  <mergeCells count="1">
    <mergeCell ref="A1:F1"/>
  </mergeCells>
  <phoneticPr fontId="2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6E3FA-FAA4-BC4B-84BD-94475A158BF5}">
  <dimension ref="A1:W997"/>
  <sheetViews>
    <sheetView workbookViewId="0">
      <selection activeCell="B23" sqref="B23"/>
    </sheetView>
  </sheetViews>
  <sheetFormatPr defaultColWidth="12.5" defaultRowHeight="15.75" x14ac:dyDescent="0.25"/>
  <cols>
    <col min="1" max="1" width="11.75" style="14" bestFit="1" customWidth="1"/>
    <col min="2" max="2" width="43.75" style="1" customWidth="1"/>
    <col min="3" max="3" width="24.5" style="15" customWidth="1"/>
    <col min="4" max="23" width="11.75" style="1" customWidth="1"/>
    <col min="24" max="16384" width="12.5" style="1"/>
  </cols>
  <sheetData>
    <row r="1" spans="1:23" s="16" customFormat="1" ht="25.5" x14ac:dyDescent="0.35">
      <c r="A1" s="287" t="s">
        <v>102</v>
      </c>
      <c r="B1" s="287"/>
      <c r="C1" s="287"/>
    </row>
    <row r="2" spans="1:23" s="190" customFormat="1" ht="15.75" customHeight="1" x14ac:dyDescent="0.25">
      <c r="A2" s="105" t="s">
        <v>36</v>
      </c>
      <c r="B2" s="143" t="s">
        <v>67</v>
      </c>
      <c r="C2" s="188" t="s">
        <v>86</v>
      </c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22" customFormat="1" ht="19.899999999999999" customHeight="1" x14ac:dyDescent="0.25">
      <c r="A3" s="90" t="s">
        <v>70</v>
      </c>
      <c r="B3" s="140" t="s">
        <v>68</v>
      </c>
      <c r="C3" s="205">
        <f>+'COCO SUMMARY'!B4</f>
        <v>345627.78249999997</v>
      </c>
      <c r="D3" s="23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 s="22" customFormat="1" ht="19.899999999999999" customHeight="1" x14ac:dyDescent="0.25">
      <c r="A4" s="90" t="s">
        <v>70</v>
      </c>
      <c r="B4" s="140"/>
      <c r="C4" s="205">
        <v>0</v>
      </c>
      <c r="D4" s="23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 s="22" customFormat="1" ht="19.899999999999999" customHeight="1" x14ac:dyDescent="0.25">
      <c r="A5" s="90" t="s">
        <v>71</v>
      </c>
      <c r="B5" s="140"/>
      <c r="C5" s="206">
        <v>0</v>
      </c>
      <c r="D5" s="23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 s="22" customFormat="1" ht="19.899999999999999" customHeight="1" x14ac:dyDescent="0.25">
      <c r="A6" s="90" t="s">
        <v>72</v>
      </c>
      <c r="B6" s="207"/>
      <c r="C6" s="206">
        <f>21000*63.25</f>
        <v>1328250</v>
      </c>
      <c r="D6" s="23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 s="22" customFormat="1" ht="19.899999999999999" customHeight="1" x14ac:dyDescent="0.25">
      <c r="A7" s="90" t="s">
        <v>73</v>
      </c>
      <c r="B7" s="140"/>
      <c r="C7" s="206"/>
      <c r="D7" s="23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 s="22" customFormat="1" ht="19.899999999999999" customHeight="1" x14ac:dyDescent="0.25">
      <c r="A8" s="90" t="s">
        <v>74</v>
      </c>
      <c r="B8" s="140"/>
      <c r="C8" s="206"/>
      <c r="D8" s="23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 s="22" customFormat="1" ht="19.899999999999999" customHeight="1" x14ac:dyDescent="0.25">
      <c r="A9" s="90" t="s">
        <v>75</v>
      </c>
      <c r="B9" s="140"/>
      <c r="C9" s="206"/>
      <c r="D9" s="23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 s="22" customFormat="1" ht="19.899999999999999" customHeight="1" x14ac:dyDescent="0.25">
      <c r="A10" s="90" t="s">
        <v>76</v>
      </c>
      <c r="B10" s="140"/>
      <c r="C10" s="206"/>
      <c r="D10" s="23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 s="22" customFormat="1" ht="19.899999999999999" customHeight="1" x14ac:dyDescent="0.25">
      <c r="A11" s="90" t="s">
        <v>77</v>
      </c>
      <c r="B11" s="140"/>
      <c r="C11" s="206"/>
      <c r="D11" s="23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 s="22" customFormat="1" ht="19.899999999999999" customHeight="1" x14ac:dyDescent="0.25">
      <c r="A12" s="90" t="s">
        <v>78</v>
      </c>
      <c r="B12" s="140"/>
      <c r="C12" s="206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 s="22" customFormat="1" ht="19.899999999999999" customHeight="1" x14ac:dyDescent="0.25">
      <c r="A13" s="90" t="s">
        <v>79</v>
      </c>
      <c r="B13" s="140"/>
      <c r="C13" s="206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 s="22" customFormat="1" ht="19.899999999999999" customHeight="1" x14ac:dyDescent="0.25">
      <c r="A14" s="90" t="s">
        <v>80</v>
      </c>
      <c r="B14" s="140"/>
      <c r="C14" s="206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 s="22" customFormat="1" ht="19.899999999999999" customHeight="1" x14ac:dyDescent="0.25">
      <c r="A15" s="90" t="s">
        <v>69</v>
      </c>
      <c r="B15" s="140"/>
      <c r="C15" s="206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 s="22" customFormat="1" ht="19.899999999999999" customHeight="1" x14ac:dyDescent="0.25">
      <c r="A16" s="90"/>
      <c r="B16" s="27"/>
      <c r="C16" s="33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 s="22" customFormat="1" x14ac:dyDescent="0.25">
      <c r="A17" s="105" t="s">
        <v>84</v>
      </c>
      <c r="B17" s="103"/>
      <c r="C17" s="104">
        <f>SUM(C4:C15)</f>
        <v>1328250</v>
      </c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 ht="15.75" customHeight="1" x14ac:dyDescent="0.25">
      <c r="A18" s="13"/>
      <c r="B18" s="3"/>
      <c r="C18" s="4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ht="15.75" customHeight="1" x14ac:dyDescent="0.25">
      <c r="A19" s="13"/>
      <c r="B19" s="3"/>
      <c r="C19" s="4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ht="15.75" customHeight="1" x14ac:dyDescent="0.25">
      <c r="A20" s="13"/>
      <c r="B20" s="3"/>
      <c r="C20" s="4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ht="15.75" customHeight="1" x14ac:dyDescent="0.25">
      <c r="A21" s="13"/>
      <c r="B21" s="3"/>
      <c r="C21" s="4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ht="15.75" customHeight="1" x14ac:dyDescent="0.25">
      <c r="A22" s="13"/>
      <c r="B22" s="3"/>
      <c r="C22" s="4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ht="15.75" customHeight="1" x14ac:dyDescent="0.25">
      <c r="A23" s="13"/>
      <c r="B23" s="3"/>
      <c r="C23" s="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ht="15.75" customHeight="1" x14ac:dyDescent="0.25">
      <c r="A24" s="13"/>
      <c r="B24" s="3"/>
      <c r="C24" s="4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ht="15.75" customHeight="1" x14ac:dyDescent="0.25">
      <c r="A25" s="13"/>
      <c r="B25" s="3"/>
      <c r="C25" s="4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ht="15.75" customHeight="1" x14ac:dyDescent="0.25">
      <c r="A26" s="13"/>
      <c r="B26" s="3"/>
      <c r="C26" s="4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ht="15.75" customHeight="1" x14ac:dyDescent="0.25">
      <c r="A27" s="13"/>
      <c r="B27" s="3"/>
      <c r="C27" s="4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ht="15.75" customHeight="1" x14ac:dyDescent="0.25">
      <c r="A28" s="13"/>
      <c r="B28" s="3"/>
      <c r="C28" s="4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ht="15.75" customHeight="1" x14ac:dyDescent="0.25">
      <c r="A29" s="13"/>
      <c r="B29" s="3"/>
      <c r="C29" s="4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ht="15.75" customHeight="1" x14ac:dyDescent="0.25">
      <c r="A30" s="13"/>
      <c r="B30" s="3"/>
      <c r="C30" s="4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ht="15.75" customHeight="1" x14ac:dyDescent="0.25">
      <c r="A31" s="13"/>
      <c r="B31" s="3"/>
      <c r="C31" s="4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ht="15.75" customHeight="1" x14ac:dyDescent="0.25">
      <c r="A32" s="13"/>
      <c r="B32" s="3"/>
      <c r="C32" s="4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ht="15.75" customHeight="1" x14ac:dyDescent="0.25">
      <c r="A33" s="13"/>
      <c r="B33" s="3"/>
      <c r="C33" s="4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ht="15.75" customHeight="1" x14ac:dyDescent="0.25">
      <c r="A34" s="13"/>
      <c r="B34" s="3"/>
      <c r="C34" s="4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ht="15.75" customHeight="1" x14ac:dyDescent="0.25">
      <c r="A35" s="13"/>
      <c r="B35" s="3"/>
      <c r="C35" s="4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ht="15.75" customHeight="1" x14ac:dyDescent="0.25">
      <c r="A36" s="13"/>
      <c r="B36" s="3"/>
      <c r="C36" s="4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ht="15.75" customHeight="1" x14ac:dyDescent="0.25">
      <c r="A37" s="13"/>
      <c r="B37" s="3"/>
      <c r="C37" s="4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ht="15.75" customHeight="1" x14ac:dyDescent="0.25">
      <c r="A38" s="13"/>
      <c r="B38" s="3"/>
      <c r="C38" s="4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ht="15.75" customHeight="1" x14ac:dyDescent="0.25">
      <c r="A39" s="13"/>
      <c r="B39" s="3"/>
      <c r="C39" s="4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ht="15.75" customHeight="1" x14ac:dyDescent="0.25">
      <c r="A40" s="13"/>
      <c r="B40" s="3"/>
      <c r="C40" s="4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ht="15.75" customHeight="1" x14ac:dyDescent="0.25">
      <c r="A41" s="13"/>
      <c r="B41" s="3"/>
      <c r="C41" s="4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ht="15.75" customHeight="1" x14ac:dyDescent="0.25">
      <c r="A42" s="13"/>
      <c r="B42" s="3"/>
      <c r="C42" s="4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ht="15.75" customHeight="1" x14ac:dyDescent="0.25">
      <c r="A43" s="13"/>
      <c r="B43" s="3"/>
      <c r="C43" s="4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ht="15.75" customHeight="1" x14ac:dyDescent="0.25">
      <c r="A44" s="13"/>
      <c r="B44" s="3"/>
      <c r="C44" s="4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ht="15.75" customHeight="1" x14ac:dyDescent="0.25">
      <c r="A45" s="13"/>
      <c r="B45" s="3"/>
      <c r="C45" s="4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ht="15.75" customHeight="1" x14ac:dyDescent="0.25">
      <c r="A46" s="13"/>
      <c r="B46" s="3"/>
      <c r="C46" s="4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ht="15.75" customHeight="1" x14ac:dyDescent="0.25">
      <c r="A47" s="13"/>
      <c r="B47" s="3"/>
      <c r="C47" s="4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ht="15.75" customHeight="1" x14ac:dyDescent="0.25">
      <c r="A48" s="13"/>
      <c r="B48" s="3"/>
      <c r="C48" s="4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ht="15.75" customHeight="1" x14ac:dyDescent="0.25">
      <c r="A49" s="13"/>
      <c r="B49" s="3"/>
      <c r="C49" s="4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ht="15.75" customHeight="1" x14ac:dyDescent="0.25">
      <c r="A50" s="13"/>
      <c r="B50" s="3"/>
      <c r="C50" s="4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ht="15.75" customHeight="1" x14ac:dyDescent="0.25">
      <c r="A51" s="13"/>
      <c r="B51" s="3"/>
      <c r="C51" s="4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ht="15.75" customHeight="1" x14ac:dyDescent="0.25">
      <c r="A52" s="13"/>
      <c r="B52" s="3"/>
      <c r="C52" s="4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ht="15.75" customHeight="1" x14ac:dyDescent="0.25">
      <c r="A53" s="13"/>
      <c r="B53" s="3"/>
      <c r="C53" s="4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ht="15.75" customHeight="1" x14ac:dyDescent="0.25">
      <c r="A54" s="13"/>
      <c r="B54" s="3"/>
      <c r="C54" s="4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ht="15.75" customHeight="1" x14ac:dyDescent="0.25">
      <c r="A55" s="13"/>
      <c r="B55" s="3"/>
      <c r="C55" s="4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ht="15.75" customHeight="1" x14ac:dyDescent="0.25">
      <c r="A56" s="13"/>
      <c r="B56" s="3"/>
      <c r="C56" s="4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ht="15.75" customHeight="1" x14ac:dyDescent="0.25">
      <c r="A57" s="13"/>
      <c r="B57" s="3"/>
      <c r="C57" s="4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ht="15.75" customHeight="1" x14ac:dyDescent="0.25">
      <c r="A58" s="13"/>
      <c r="B58" s="3"/>
      <c r="C58" s="4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ht="15.75" customHeight="1" x14ac:dyDescent="0.25">
      <c r="A59" s="13"/>
      <c r="B59" s="3"/>
      <c r="C59" s="4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ht="15.75" customHeight="1" x14ac:dyDescent="0.25">
      <c r="A60" s="13"/>
      <c r="B60" s="3"/>
      <c r="C60" s="4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ht="15.75" customHeight="1" x14ac:dyDescent="0.25">
      <c r="A61" s="13"/>
      <c r="B61" s="3"/>
      <c r="C61" s="4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ht="15.75" customHeight="1" x14ac:dyDescent="0.25">
      <c r="A62" s="13"/>
      <c r="B62" s="3"/>
      <c r="C62" s="4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ht="15.75" customHeight="1" x14ac:dyDescent="0.25">
      <c r="A63" s="13"/>
      <c r="B63" s="3"/>
      <c r="C63" s="4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ht="15.75" customHeight="1" x14ac:dyDescent="0.25">
      <c r="A64" s="13"/>
      <c r="B64" s="3"/>
      <c r="C64" s="4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ht="15.75" customHeight="1" x14ac:dyDescent="0.25">
      <c r="A65" s="13"/>
      <c r="B65" s="3"/>
      <c r="C65" s="4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ht="15.75" customHeight="1" x14ac:dyDescent="0.25">
      <c r="A66" s="13"/>
      <c r="B66" s="3"/>
      <c r="C66" s="4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ht="15.75" customHeight="1" x14ac:dyDescent="0.25">
      <c r="A67" s="13"/>
      <c r="B67" s="3"/>
      <c r="C67" s="4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ht="15.75" customHeight="1" x14ac:dyDescent="0.25">
      <c r="A68" s="13"/>
      <c r="B68" s="3"/>
      <c r="C68" s="4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ht="15.75" customHeight="1" x14ac:dyDescent="0.25">
      <c r="A69" s="13"/>
      <c r="B69" s="3"/>
      <c r="C69" s="4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ht="15.75" customHeight="1" x14ac:dyDescent="0.25">
      <c r="A70" s="13"/>
      <c r="B70" s="3"/>
      <c r="C70" s="4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ht="15.75" customHeight="1" x14ac:dyDescent="0.25">
      <c r="A71" s="13"/>
      <c r="B71" s="3"/>
      <c r="C71" s="4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ht="15.75" customHeight="1" x14ac:dyDescent="0.25">
      <c r="A72" s="13"/>
      <c r="B72" s="3"/>
      <c r="C72" s="4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ht="15.75" customHeight="1" x14ac:dyDescent="0.25">
      <c r="A73" s="13"/>
      <c r="B73" s="3"/>
      <c r="C73" s="4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ht="15.75" customHeight="1" x14ac:dyDescent="0.25">
      <c r="A74" s="13"/>
      <c r="B74" s="3"/>
      <c r="C74" s="4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ht="15.75" customHeight="1" x14ac:dyDescent="0.25">
      <c r="A75" s="13"/>
      <c r="B75" s="3"/>
      <c r="C75" s="4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ht="15.75" customHeight="1" x14ac:dyDescent="0.25">
      <c r="A76" s="13"/>
      <c r="B76" s="3"/>
      <c r="C76" s="4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ht="15.75" customHeight="1" x14ac:dyDescent="0.25">
      <c r="A77" s="13"/>
      <c r="B77" s="3"/>
      <c r="C77" s="4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ht="15.75" customHeight="1" x14ac:dyDescent="0.25">
      <c r="A78" s="13"/>
      <c r="B78" s="3"/>
      <c r="C78" s="4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ht="15.75" customHeight="1" x14ac:dyDescent="0.25">
      <c r="A79" s="13"/>
      <c r="B79" s="3"/>
      <c r="C79" s="4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ht="15.75" customHeight="1" x14ac:dyDescent="0.25">
      <c r="A80" s="13"/>
      <c r="B80" s="3"/>
      <c r="C80" s="4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ht="15.75" customHeight="1" x14ac:dyDescent="0.25">
      <c r="A81" s="13"/>
      <c r="B81" s="3"/>
      <c r="C81" s="4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ht="15.75" customHeight="1" x14ac:dyDescent="0.25">
      <c r="A82" s="13"/>
      <c r="B82" s="3"/>
      <c r="C82" s="4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ht="15.75" customHeight="1" x14ac:dyDescent="0.25">
      <c r="A83" s="13"/>
      <c r="B83" s="3"/>
      <c r="C83" s="4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ht="15.75" customHeight="1" x14ac:dyDescent="0.25">
      <c r="A84" s="13"/>
      <c r="B84" s="3"/>
      <c r="C84" s="4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ht="15.75" customHeight="1" x14ac:dyDescent="0.25">
      <c r="A85" s="13"/>
      <c r="B85" s="3"/>
      <c r="C85" s="4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ht="15.75" customHeight="1" x14ac:dyDescent="0.25">
      <c r="A86" s="13"/>
      <c r="B86" s="3"/>
      <c r="C86" s="4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ht="15.75" customHeight="1" x14ac:dyDescent="0.25">
      <c r="A87" s="13"/>
      <c r="B87" s="3"/>
      <c r="C87" s="4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ht="15.75" customHeight="1" x14ac:dyDescent="0.25">
      <c r="A88" s="13"/>
      <c r="B88" s="3"/>
      <c r="C88" s="4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ht="15.75" customHeight="1" x14ac:dyDescent="0.25">
      <c r="A89" s="13"/>
      <c r="B89" s="3"/>
      <c r="C89" s="4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ht="15.75" customHeight="1" x14ac:dyDescent="0.25">
      <c r="A90" s="13"/>
      <c r="B90" s="3"/>
      <c r="C90" s="4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ht="15.75" customHeight="1" x14ac:dyDescent="0.25">
      <c r="A91" s="13"/>
      <c r="B91" s="3"/>
      <c r="C91" s="4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ht="15.75" customHeight="1" x14ac:dyDescent="0.25">
      <c r="A92" s="13"/>
      <c r="B92" s="3"/>
      <c r="C92" s="4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ht="15.75" customHeight="1" x14ac:dyDescent="0.25">
      <c r="A93" s="13"/>
      <c r="B93" s="3"/>
      <c r="C93" s="4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ht="15.75" customHeight="1" x14ac:dyDescent="0.25">
      <c r="A94" s="13"/>
      <c r="B94" s="3"/>
      <c r="C94" s="4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spans="1:23" ht="15.75" customHeight="1" x14ac:dyDescent="0.25">
      <c r="A95" s="13"/>
      <c r="B95" s="3"/>
      <c r="C95" s="4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spans="1:23" ht="15.75" customHeight="1" x14ac:dyDescent="0.25">
      <c r="A96" s="13"/>
      <c r="B96" s="3"/>
      <c r="C96" s="4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spans="1:23" ht="15.75" customHeight="1" x14ac:dyDescent="0.25">
      <c r="A97" s="13"/>
      <c r="B97" s="3"/>
      <c r="C97" s="4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spans="1:23" ht="15.75" customHeight="1" x14ac:dyDescent="0.25">
      <c r="A98" s="13"/>
      <c r="B98" s="3"/>
      <c r="C98" s="4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spans="1:23" ht="15.75" customHeight="1" x14ac:dyDescent="0.25">
      <c r="A99" s="13"/>
      <c r="B99" s="3"/>
      <c r="C99" s="4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spans="1:23" ht="15.75" customHeight="1" x14ac:dyDescent="0.25">
      <c r="A100" s="13"/>
      <c r="B100" s="3"/>
      <c r="C100" s="4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spans="1:23" ht="15.75" customHeight="1" x14ac:dyDescent="0.25">
      <c r="A101" s="13"/>
      <c r="B101" s="3"/>
      <c r="C101" s="4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spans="1:23" ht="15.75" customHeight="1" x14ac:dyDescent="0.25">
      <c r="A102" s="13"/>
      <c r="B102" s="3"/>
      <c r="C102" s="4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spans="1:23" ht="15.75" customHeight="1" x14ac:dyDescent="0.25">
      <c r="A103" s="13"/>
      <c r="B103" s="3"/>
      <c r="C103" s="4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spans="1:23" ht="15.75" customHeight="1" x14ac:dyDescent="0.25">
      <c r="A104" s="13"/>
      <c r="B104" s="3"/>
      <c r="C104" s="4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spans="1:23" ht="15.75" customHeight="1" x14ac:dyDescent="0.25">
      <c r="A105" s="13"/>
      <c r="B105" s="3"/>
      <c r="C105" s="4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spans="1:23" ht="15.75" customHeight="1" x14ac:dyDescent="0.25">
      <c r="A106" s="13"/>
      <c r="B106" s="3"/>
      <c r="C106" s="4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spans="1:23" ht="15.75" customHeight="1" x14ac:dyDescent="0.25">
      <c r="A107" s="13"/>
      <c r="B107" s="3"/>
      <c r="C107" s="4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spans="1:23" ht="15.75" customHeight="1" x14ac:dyDescent="0.25">
      <c r="A108" s="13"/>
      <c r="B108" s="3"/>
      <c r="C108" s="4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spans="1:23" ht="15.75" customHeight="1" x14ac:dyDescent="0.25">
      <c r="A109" s="13"/>
      <c r="B109" s="3"/>
      <c r="C109" s="4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spans="1:23" ht="15.75" customHeight="1" x14ac:dyDescent="0.25">
      <c r="A110" s="13"/>
      <c r="B110" s="3"/>
      <c r="C110" s="4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spans="1:23" ht="15.75" customHeight="1" x14ac:dyDescent="0.25">
      <c r="A111" s="13"/>
      <c r="B111" s="3"/>
      <c r="C111" s="4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spans="1:23" ht="15.75" customHeight="1" x14ac:dyDescent="0.25">
      <c r="A112" s="13"/>
      <c r="B112" s="3"/>
      <c r="C112" s="4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spans="1:23" ht="15.75" customHeight="1" x14ac:dyDescent="0.25">
      <c r="A113" s="13"/>
      <c r="B113" s="3"/>
      <c r="C113" s="4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spans="1:23" ht="15.75" customHeight="1" x14ac:dyDescent="0.25">
      <c r="A114" s="13"/>
      <c r="B114" s="3"/>
      <c r="C114" s="4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spans="1:23" ht="15.75" customHeight="1" x14ac:dyDescent="0.25">
      <c r="A115" s="13"/>
      <c r="B115" s="3"/>
      <c r="C115" s="4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spans="1:23" ht="15.75" customHeight="1" x14ac:dyDescent="0.25">
      <c r="A116" s="13"/>
      <c r="B116" s="3"/>
      <c r="C116" s="4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spans="1:23" ht="15.75" customHeight="1" x14ac:dyDescent="0.25">
      <c r="A117" s="13"/>
      <c r="B117" s="3"/>
      <c r="C117" s="4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spans="1:23" ht="15.75" customHeight="1" x14ac:dyDescent="0.25">
      <c r="A118" s="13"/>
      <c r="B118" s="3"/>
      <c r="C118" s="4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spans="1:23" ht="15.75" customHeight="1" x14ac:dyDescent="0.25">
      <c r="A119" s="13"/>
      <c r="B119" s="3"/>
      <c r="C119" s="4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spans="1:23" ht="15.75" customHeight="1" x14ac:dyDescent="0.25">
      <c r="A120" s="13"/>
      <c r="B120" s="3"/>
      <c r="C120" s="4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spans="1:23" ht="15.75" customHeight="1" x14ac:dyDescent="0.25">
      <c r="A121" s="13"/>
      <c r="B121" s="3"/>
      <c r="C121" s="4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spans="1:23" ht="15.75" customHeight="1" x14ac:dyDescent="0.25">
      <c r="A122" s="13"/>
      <c r="B122" s="3"/>
      <c r="C122" s="4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spans="1:23" ht="15.75" customHeight="1" x14ac:dyDescent="0.25">
      <c r="A123" s="13"/>
      <c r="B123" s="3"/>
      <c r="C123" s="4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spans="1:23" ht="15.75" customHeight="1" x14ac:dyDescent="0.25">
      <c r="A124" s="13"/>
      <c r="B124" s="3"/>
      <c r="C124" s="4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spans="1:23" ht="15.75" customHeight="1" x14ac:dyDescent="0.25">
      <c r="A125" s="13"/>
      <c r="B125" s="3"/>
      <c r="C125" s="4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spans="1:23" ht="15.75" customHeight="1" x14ac:dyDescent="0.25">
      <c r="A126" s="13"/>
      <c r="B126" s="3"/>
      <c r="C126" s="4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spans="1:23" ht="15.75" customHeight="1" x14ac:dyDescent="0.25">
      <c r="A127" s="13"/>
      <c r="B127" s="3"/>
      <c r="C127" s="4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spans="1:23" ht="15.75" customHeight="1" x14ac:dyDescent="0.25">
      <c r="A128" s="13"/>
      <c r="B128" s="3"/>
      <c r="C128" s="4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spans="1:23" ht="15.75" customHeight="1" x14ac:dyDescent="0.25">
      <c r="A129" s="13"/>
      <c r="B129" s="3"/>
      <c r="C129" s="4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spans="1:23" ht="15.75" customHeight="1" x14ac:dyDescent="0.25">
      <c r="A130" s="13"/>
      <c r="B130" s="3"/>
      <c r="C130" s="4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spans="1:23" ht="15.75" customHeight="1" x14ac:dyDescent="0.25">
      <c r="A131" s="13"/>
      <c r="B131" s="3"/>
      <c r="C131" s="4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spans="1:23" ht="15.75" customHeight="1" x14ac:dyDescent="0.25">
      <c r="A132" s="13"/>
      <c r="B132" s="3"/>
      <c r="C132" s="4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1:23" ht="15.75" customHeight="1" x14ac:dyDescent="0.25">
      <c r="A133" s="13"/>
      <c r="B133" s="3"/>
      <c r="C133" s="4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spans="1:23" ht="15.75" customHeight="1" x14ac:dyDescent="0.25">
      <c r="A134" s="13"/>
      <c r="B134" s="3"/>
      <c r="C134" s="4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spans="1:23" ht="15.75" customHeight="1" x14ac:dyDescent="0.25">
      <c r="A135" s="13"/>
      <c r="B135" s="3"/>
      <c r="C135" s="4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spans="1:23" ht="15.75" customHeight="1" x14ac:dyDescent="0.25">
      <c r="A136" s="13"/>
      <c r="B136" s="3"/>
      <c r="C136" s="4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spans="1:23" ht="15.75" customHeight="1" x14ac:dyDescent="0.25">
      <c r="A137" s="13"/>
      <c r="B137" s="3"/>
      <c r="C137" s="4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spans="1:23" ht="15.75" customHeight="1" x14ac:dyDescent="0.25">
      <c r="A138" s="13"/>
      <c r="B138" s="3"/>
      <c r="C138" s="4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spans="1:23" ht="15.75" customHeight="1" x14ac:dyDescent="0.25">
      <c r="A139" s="13"/>
      <c r="B139" s="3"/>
      <c r="C139" s="4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spans="1:23" ht="15.75" customHeight="1" x14ac:dyDescent="0.25">
      <c r="A140" s="13"/>
      <c r="B140" s="3"/>
      <c r="C140" s="4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spans="1:23" ht="15.75" customHeight="1" x14ac:dyDescent="0.25">
      <c r="A141" s="13"/>
      <c r="B141" s="3"/>
      <c r="C141" s="4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1:23" ht="15.75" customHeight="1" x14ac:dyDescent="0.25">
      <c r="A142" s="13"/>
      <c r="B142" s="3"/>
      <c r="C142" s="4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1:23" ht="15.75" customHeight="1" x14ac:dyDescent="0.25">
      <c r="A143" s="13"/>
      <c r="B143" s="3"/>
      <c r="C143" s="4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1:23" ht="15.75" customHeight="1" x14ac:dyDescent="0.25">
      <c r="A144" s="13"/>
      <c r="B144" s="3"/>
      <c r="C144" s="4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1:23" ht="15.75" customHeight="1" x14ac:dyDescent="0.25">
      <c r="A145" s="13"/>
      <c r="B145" s="3"/>
      <c r="C145" s="4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spans="1:23" ht="15.75" customHeight="1" x14ac:dyDescent="0.25">
      <c r="A146" s="13"/>
      <c r="B146" s="3"/>
      <c r="C146" s="4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1:23" ht="15.75" customHeight="1" x14ac:dyDescent="0.25">
      <c r="A147" s="13"/>
      <c r="B147" s="3"/>
      <c r="C147" s="4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spans="1:23" ht="15.75" customHeight="1" x14ac:dyDescent="0.25">
      <c r="A148" s="13"/>
      <c r="B148" s="3"/>
      <c r="C148" s="4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spans="1:23" ht="15.75" customHeight="1" x14ac:dyDescent="0.25">
      <c r="A149" s="13"/>
      <c r="B149" s="3"/>
      <c r="C149" s="4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spans="1:23" ht="15.75" customHeight="1" x14ac:dyDescent="0.25">
      <c r="A150" s="13"/>
      <c r="B150" s="3"/>
      <c r="C150" s="4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spans="1:23" ht="15.75" customHeight="1" x14ac:dyDescent="0.25">
      <c r="A151" s="13"/>
      <c r="B151" s="3"/>
      <c r="C151" s="4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1:23" ht="15.75" customHeight="1" x14ac:dyDescent="0.25">
      <c r="A152" s="13"/>
      <c r="B152" s="3"/>
      <c r="C152" s="4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1:23" ht="15.75" customHeight="1" x14ac:dyDescent="0.25">
      <c r="A153" s="13"/>
      <c r="B153" s="3"/>
      <c r="C153" s="4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1:23" ht="15.75" customHeight="1" x14ac:dyDescent="0.25">
      <c r="A154" s="13"/>
      <c r="B154" s="3"/>
      <c r="C154" s="4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1:23" ht="15.75" customHeight="1" x14ac:dyDescent="0.25">
      <c r="A155" s="13"/>
      <c r="B155" s="3"/>
      <c r="C155" s="4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1:23" ht="15.75" customHeight="1" x14ac:dyDescent="0.25">
      <c r="A156" s="13"/>
      <c r="B156" s="3"/>
      <c r="C156" s="4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1:23" ht="15.75" customHeight="1" x14ac:dyDescent="0.25">
      <c r="A157" s="13"/>
      <c r="B157" s="3"/>
      <c r="C157" s="4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1:23" ht="15.75" customHeight="1" x14ac:dyDescent="0.25">
      <c r="A158" s="13"/>
      <c r="B158" s="3"/>
      <c r="C158" s="4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1:23" ht="15.75" customHeight="1" x14ac:dyDescent="0.25">
      <c r="A159" s="13"/>
      <c r="B159" s="3"/>
      <c r="C159" s="4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1:23" ht="15.75" customHeight="1" x14ac:dyDescent="0.25">
      <c r="A160" s="13"/>
      <c r="B160" s="3"/>
      <c r="C160" s="4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1:23" ht="15.75" customHeight="1" x14ac:dyDescent="0.25">
      <c r="A161" s="13"/>
      <c r="B161" s="3"/>
      <c r="C161" s="4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spans="1:23" ht="15.75" customHeight="1" x14ac:dyDescent="0.25">
      <c r="A162" s="13"/>
      <c r="B162" s="3"/>
      <c r="C162" s="4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spans="1:23" ht="15.75" customHeight="1" x14ac:dyDescent="0.25">
      <c r="A163" s="13"/>
      <c r="B163" s="3"/>
      <c r="C163" s="4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spans="1:23" ht="15.75" customHeight="1" x14ac:dyDescent="0.25">
      <c r="A164" s="13"/>
      <c r="B164" s="3"/>
      <c r="C164" s="4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spans="1:23" ht="15.75" customHeight="1" x14ac:dyDescent="0.25">
      <c r="A165" s="13"/>
      <c r="B165" s="3"/>
      <c r="C165" s="4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spans="1:23" ht="15.75" customHeight="1" x14ac:dyDescent="0.25">
      <c r="A166" s="13"/>
      <c r="B166" s="3"/>
      <c r="C166" s="4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spans="1:23" ht="15.75" customHeight="1" x14ac:dyDescent="0.25">
      <c r="A167" s="13"/>
      <c r="B167" s="3"/>
      <c r="C167" s="4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spans="1:23" ht="15.75" customHeight="1" x14ac:dyDescent="0.25">
      <c r="A168" s="13"/>
      <c r="B168" s="3"/>
      <c r="C168" s="4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spans="1:23" ht="15.75" customHeight="1" x14ac:dyDescent="0.25">
      <c r="A169" s="13"/>
      <c r="B169" s="3"/>
      <c r="C169" s="4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spans="1:23" ht="15.75" customHeight="1" x14ac:dyDescent="0.25">
      <c r="A170" s="13"/>
      <c r="B170" s="3"/>
      <c r="C170" s="4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spans="1:23" ht="15.75" customHeight="1" x14ac:dyDescent="0.25">
      <c r="A171" s="13"/>
      <c r="B171" s="3"/>
      <c r="C171" s="4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spans="1:23" ht="15.75" customHeight="1" x14ac:dyDescent="0.25">
      <c r="A172" s="13"/>
      <c r="B172" s="3"/>
      <c r="C172" s="4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spans="1:23" ht="15.75" customHeight="1" x14ac:dyDescent="0.25">
      <c r="A173" s="13"/>
      <c r="B173" s="3"/>
      <c r="C173" s="4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spans="1:23" ht="15.75" customHeight="1" x14ac:dyDescent="0.25">
      <c r="A174" s="13"/>
      <c r="B174" s="3"/>
      <c r="C174" s="4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spans="1:23" ht="15.75" customHeight="1" x14ac:dyDescent="0.25">
      <c r="A175" s="13"/>
      <c r="B175" s="3"/>
      <c r="C175" s="4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spans="1:23" ht="15.75" customHeight="1" x14ac:dyDescent="0.25">
      <c r="A176" s="13"/>
      <c r="B176" s="3"/>
      <c r="C176" s="4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spans="1:23" ht="15.75" customHeight="1" x14ac:dyDescent="0.25">
      <c r="A177" s="13"/>
      <c r="B177" s="3"/>
      <c r="C177" s="4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spans="1:23" ht="15.75" customHeight="1" x14ac:dyDescent="0.25">
      <c r="A178" s="13"/>
      <c r="B178" s="3"/>
      <c r="C178" s="4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spans="1:23" ht="15.75" customHeight="1" x14ac:dyDescent="0.25">
      <c r="A179" s="13"/>
      <c r="B179" s="3"/>
      <c r="C179" s="4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spans="1:23" ht="15.75" customHeight="1" x14ac:dyDescent="0.25">
      <c r="A180" s="13"/>
      <c r="B180" s="3"/>
      <c r="C180" s="4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spans="1:23" ht="15.75" customHeight="1" x14ac:dyDescent="0.25">
      <c r="A181" s="13"/>
      <c r="B181" s="3"/>
      <c r="C181" s="4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spans="1:23" ht="15.75" customHeight="1" x14ac:dyDescent="0.25">
      <c r="A182" s="13"/>
      <c r="B182" s="3"/>
      <c r="C182" s="4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spans="1:23" ht="15.75" customHeight="1" x14ac:dyDescent="0.25">
      <c r="A183" s="13"/>
      <c r="B183" s="3"/>
      <c r="C183" s="4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spans="1:23" ht="15.75" customHeight="1" x14ac:dyDescent="0.25">
      <c r="A184" s="13"/>
      <c r="B184" s="3"/>
      <c r="C184" s="4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spans="1:23" ht="15.75" customHeight="1" x14ac:dyDescent="0.25">
      <c r="A185" s="13"/>
      <c r="B185" s="3"/>
      <c r="C185" s="4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spans="1:23" ht="15.75" customHeight="1" x14ac:dyDescent="0.25">
      <c r="A186" s="13"/>
      <c r="B186" s="3"/>
      <c r="C186" s="4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spans="1:23" ht="15.75" customHeight="1" x14ac:dyDescent="0.25">
      <c r="A187" s="13"/>
      <c r="B187" s="3"/>
      <c r="C187" s="4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spans="1:23" ht="15.75" customHeight="1" x14ac:dyDescent="0.25">
      <c r="A188" s="13"/>
      <c r="B188" s="3"/>
      <c r="C188" s="4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spans="1:23" ht="15.75" customHeight="1" x14ac:dyDescent="0.25">
      <c r="A189" s="13"/>
      <c r="B189" s="3"/>
      <c r="C189" s="4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spans="1:23" ht="15.75" customHeight="1" x14ac:dyDescent="0.25">
      <c r="A190" s="13"/>
      <c r="B190" s="3"/>
      <c r="C190" s="4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spans="1:23" ht="15.75" customHeight="1" x14ac:dyDescent="0.25">
      <c r="A191" s="13"/>
      <c r="B191" s="3"/>
      <c r="C191" s="4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spans="1:23" ht="15.75" customHeight="1" x14ac:dyDescent="0.25">
      <c r="A192" s="13"/>
      <c r="B192" s="3"/>
      <c r="C192" s="4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spans="1:23" ht="15.75" customHeight="1" x14ac:dyDescent="0.25">
      <c r="A193" s="13"/>
      <c r="B193" s="3"/>
      <c r="C193" s="4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spans="1:23" ht="15.75" customHeight="1" x14ac:dyDescent="0.25">
      <c r="A194" s="13"/>
      <c r="B194" s="3"/>
      <c r="C194" s="4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spans="1:23" ht="15.75" customHeight="1" x14ac:dyDescent="0.25">
      <c r="A195" s="13"/>
      <c r="B195" s="3"/>
      <c r="C195" s="4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spans="1:23" ht="15.75" customHeight="1" x14ac:dyDescent="0.25">
      <c r="A196" s="13"/>
      <c r="B196" s="3"/>
      <c r="C196" s="4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spans="1:23" ht="15.75" customHeight="1" x14ac:dyDescent="0.25">
      <c r="A197" s="13"/>
      <c r="B197" s="3"/>
      <c r="C197" s="4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spans="1:23" ht="15.75" customHeight="1" x14ac:dyDescent="0.25">
      <c r="A198" s="13"/>
      <c r="B198" s="3"/>
      <c r="C198" s="4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spans="1:23" ht="15.75" customHeight="1" x14ac:dyDescent="0.25">
      <c r="A199" s="13"/>
      <c r="B199" s="3"/>
      <c r="C199" s="4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spans="1:23" ht="15.75" customHeight="1" x14ac:dyDescent="0.25">
      <c r="A200" s="13"/>
      <c r="B200" s="3"/>
      <c r="C200" s="4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spans="1:23" ht="15.75" customHeight="1" x14ac:dyDescent="0.25">
      <c r="A201" s="13"/>
      <c r="B201" s="3"/>
      <c r="C201" s="4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spans="1:23" ht="15.75" customHeight="1" x14ac:dyDescent="0.25">
      <c r="A202" s="13"/>
      <c r="B202" s="3"/>
      <c r="C202" s="4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spans="1:23" ht="15.75" customHeight="1" x14ac:dyDescent="0.25">
      <c r="A203" s="13"/>
      <c r="B203" s="3"/>
      <c r="C203" s="4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spans="1:23" ht="15.75" customHeight="1" x14ac:dyDescent="0.25">
      <c r="A204" s="13"/>
      <c r="B204" s="3"/>
      <c r="C204" s="4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spans="1:23" ht="15.75" customHeight="1" x14ac:dyDescent="0.25">
      <c r="A205" s="13"/>
      <c r="B205" s="3"/>
      <c r="C205" s="4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spans="1:23" ht="15.75" customHeight="1" x14ac:dyDescent="0.25">
      <c r="A206" s="13"/>
      <c r="B206" s="3"/>
      <c r="C206" s="4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spans="1:23" ht="15.75" customHeight="1" x14ac:dyDescent="0.25">
      <c r="A207" s="13"/>
      <c r="B207" s="3"/>
      <c r="C207" s="4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spans="1:23" ht="15.75" customHeight="1" x14ac:dyDescent="0.25">
      <c r="A208" s="13"/>
      <c r="B208" s="3"/>
      <c r="C208" s="4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spans="1:23" ht="15.75" customHeight="1" x14ac:dyDescent="0.25">
      <c r="A209" s="13"/>
      <c r="B209" s="3"/>
      <c r="C209" s="4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spans="1:23" ht="15.75" customHeight="1" x14ac:dyDescent="0.25">
      <c r="A210" s="13"/>
      <c r="B210" s="3"/>
      <c r="C210" s="4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spans="1:23" ht="15.75" customHeight="1" x14ac:dyDescent="0.25">
      <c r="A211" s="13"/>
      <c r="B211" s="3"/>
      <c r="C211" s="4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spans="1:23" ht="15.75" customHeight="1" x14ac:dyDescent="0.25">
      <c r="A212" s="13"/>
      <c r="B212" s="3"/>
      <c r="C212" s="4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spans="1:23" ht="15.75" customHeight="1" x14ac:dyDescent="0.25">
      <c r="A213" s="13"/>
      <c r="B213" s="3"/>
      <c r="C213" s="4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spans="1:23" ht="15.75" customHeight="1" x14ac:dyDescent="0.25">
      <c r="A214" s="13"/>
      <c r="B214" s="3"/>
      <c r="C214" s="4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spans="1:23" ht="15.75" customHeight="1" x14ac:dyDescent="0.25">
      <c r="A215" s="13"/>
      <c r="B215" s="3"/>
      <c r="C215" s="4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spans="1:23" ht="15.75" customHeight="1" x14ac:dyDescent="0.25">
      <c r="A216" s="13"/>
      <c r="B216" s="3"/>
      <c r="C216" s="4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 spans="1:23" ht="15.75" customHeight="1" x14ac:dyDescent="0.25">
      <c r="A217" s="13"/>
      <c r="B217" s="3"/>
      <c r="C217" s="4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spans="1:23" ht="15.75" customHeight="1" x14ac:dyDescent="0.25">
      <c r="A218" s="13"/>
      <c r="B218" s="3"/>
      <c r="C218" s="4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 spans="1:23" ht="15.75" customHeight="1" x14ac:dyDescent="0.25">
      <c r="A219" s="13"/>
      <c r="B219" s="3"/>
      <c r="C219" s="4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 spans="1:23" ht="15.75" customHeight="1" x14ac:dyDescent="0.25">
      <c r="A220" s="13"/>
      <c r="B220" s="3"/>
      <c r="C220" s="4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 spans="1:23" ht="15.75" customHeight="1" x14ac:dyDescent="0.25">
      <c r="A221" s="13"/>
      <c r="B221" s="3"/>
      <c r="C221" s="4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 spans="1:23" ht="15.75" customHeight="1" x14ac:dyDescent="0.25">
      <c r="A222" s="13"/>
      <c r="B222" s="3"/>
      <c r="C222" s="4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 spans="1:23" ht="15.75" customHeight="1" x14ac:dyDescent="0.25">
      <c r="A223" s="13"/>
      <c r="B223" s="3"/>
      <c r="C223" s="4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 spans="1:23" ht="15.75" customHeight="1" x14ac:dyDescent="0.25">
      <c r="A224" s="13"/>
      <c r="B224" s="3"/>
      <c r="C224" s="4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 spans="1:23" ht="15.75" customHeight="1" x14ac:dyDescent="0.25">
      <c r="A225" s="13"/>
      <c r="B225" s="3"/>
      <c r="C225" s="4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 spans="1:23" ht="15.75" customHeight="1" x14ac:dyDescent="0.25">
      <c r="A226" s="13"/>
      <c r="B226" s="3"/>
      <c r="C226" s="4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 spans="1:23" ht="15.75" customHeight="1" x14ac:dyDescent="0.25">
      <c r="A227" s="13"/>
      <c r="B227" s="3"/>
      <c r="C227" s="4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 spans="1:23" ht="15.75" customHeight="1" x14ac:dyDescent="0.25">
      <c r="A228" s="13"/>
      <c r="B228" s="3"/>
      <c r="C228" s="4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</row>
    <row r="229" spans="1:23" ht="15.75" customHeight="1" x14ac:dyDescent="0.25">
      <c r="A229" s="13"/>
      <c r="B229" s="3"/>
      <c r="C229" s="4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 spans="1:23" ht="15.75" customHeight="1" x14ac:dyDescent="0.25">
      <c r="A230" s="13"/>
      <c r="B230" s="3"/>
      <c r="C230" s="4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 spans="1:23" ht="15.75" customHeight="1" x14ac:dyDescent="0.25">
      <c r="A231" s="13"/>
      <c r="B231" s="3"/>
      <c r="C231" s="4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 spans="1:23" ht="15.75" customHeight="1" x14ac:dyDescent="0.25">
      <c r="A232" s="13"/>
      <c r="B232" s="3"/>
      <c r="C232" s="4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 spans="1:23" ht="15.75" customHeight="1" x14ac:dyDescent="0.25">
      <c r="A233" s="13"/>
      <c r="B233" s="3"/>
      <c r="C233" s="4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 spans="1:23" ht="15.75" customHeight="1" x14ac:dyDescent="0.25">
      <c r="A234" s="13"/>
      <c r="B234" s="3"/>
      <c r="C234" s="4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 spans="1:23" ht="15.75" customHeight="1" x14ac:dyDescent="0.25">
      <c r="A235" s="13"/>
      <c r="B235" s="3"/>
      <c r="C235" s="4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3" ht="15.75" customHeight="1" x14ac:dyDescent="0.25">
      <c r="A236" s="13"/>
      <c r="B236" s="3"/>
      <c r="C236" s="4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 spans="1:23" ht="15.75" customHeight="1" x14ac:dyDescent="0.25">
      <c r="A237" s="13"/>
      <c r="B237" s="3"/>
      <c r="C237" s="4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 spans="1:23" ht="15.75" customHeight="1" x14ac:dyDescent="0.25">
      <c r="A238" s="13"/>
      <c r="B238" s="3"/>
      <c r="C238" s="4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 spans="1:23" ht="15.75" customHeight="1" x14ac:dyDescent="0.25">
      <c r="A239" s="13"/>
      <c r="B239" s="3"/>
      <c r="C239" s="4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 spans="1:23" ht="15.75" customHeight="1" x14ac:dyDescent="0.25">
      <c r="A240" s="13"/>
      <c r="B240" s="3"/>
      <c r="C240" s="4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 spans="1:23" ht="15.75" customHeight="1" x14ac:dyDescent="0.25">
      <c r="A241" s="13"/>
      <c r="B241" s="3"/>
      <c r="C241" s="4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 spans="1:23" ht="15.75" customHeight="1" x14ac:dyDescent="0.25">
      <c r="A242" s="13"/>
      <c r="B242" s="3"/>
      <c r="C242" s="4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 spans="1:23" ht="15.75" customHeight="1" x14ac:dyDescent="0.25">
      <c r="A243" s="13"/>
      <c r="B243" s="3"/>
      <c r="C243" s="4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 spans="1:23" ht="15.75" customHeight="1" x14ac:dyDescent="0.25">
      <c r="A244" s="13"/>
      <c r="B244" s="3"/>
      <c r="C244" s="4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</row>
    <row r="245" spans="1:23" ht="15.75" customHeight="1" x14ac:dyDescent="0.25">
      <c r="A245" s="13"/>
      <c r="B245" s="3"/>
      <c r="C245" s="4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</row>
    <row r="246" spans="1:23" ht="15.75" customHeight="1" x14ac:dyDescent="0.25">
      <c r="A246" s="13"/>
      <c r="B246" s="3"/>
      <c r="C246" s="4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</row>
    <row r="247" spans="1:23" ht="15.75" customHeight="1" x14ac:dyDescent="0.25">
      <c r="A247" s="13"/>
      <c r="B247" s="3"/>
      <c r="C247" s="4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</row>
    <row r="248" spans="1:23" ht="15.75" customHeight="1" x14ac:dyDescent="0.25">
      <c r="A248" s="13"/>
      <c r="B248" s="3"/>
      <c r="C248" s="4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</row>
    <row r="249" spans="1:23" ht="15.75" customHeight="1" x14ac:dyDescent="0.25">
      <c r="A249" s="13"/>
      <c r="B249" s="3"/>
      <c r="C249" s="4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</row>
    <row r="250" spans="1:23" ht="15.75" customHeight="1" x14ac:dyDescent="0.25">
      <c r="A250" s="13"/>
      <c r="B250" s="3"/>
      <c r="C250" s="4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</row>
    <row r="251" spans="1:23" ht="15.75" customHeight="1" x14ac:dyDescent="0.25">
      <c r="A251" s="13"/>
      <c r="B251" s="3"/>
      <c r="C251" s="4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</row>
    <row r="252" spans="1:23" ht="15.75" customHeight="1" x14ac:dyDescent="0.25">
      <c r="A252" s="13"/>
      <c r="B252" s="3"/>
      <c r="C252" s="4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</row>
    <row r="253" spans="1:23" ht="15.75" customHeight="1" x14ac:dyDescent="0.25">
      <c r="A253" s="13"/>
      <c r="B253" s="3"/>
      <c r="C253" s="4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</row>
    <row r="254" spans="1:23" ht="15.75" customHeight="1" x14ac:dyDescent="0.25">
      <c r="A254" s="13"/>
      <c r="B254" s="3"/>
      <c r="C254" s="4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</row>
    <row r="255" spans="1:23" ht="15.75" customHeight="1" x14ac:dyDescent="0.25">
      <c r="A255" s="13"/>
      <c r="B255" s="3"/>
      <c r="C255" s="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</row>
    <row r="256" spans="1:23" ht="15.75" customHeight="1" x14ac:dyDescent="0.25">
      <c r="A256" s="13"/>
      <c r="B256" s="3"/>
      <c r="C256" s="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</row>
    <row r="257" spans="1:23" ht="15.75" customHeight="1" x14ac:dyDescent="0.25">
      <c r="A257" s="13"/>
      <c r="B257" s="3"/>
      <c r="C257" s="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</row>
    <row r="258" spans="1:23" ht="15.75" customHeight="1" x14ac:dyDescent="0.25">
      <c r="A258" s="13"/>
      <c r="B258" s="3"/>
      <c r="C258" s="4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</row>
    <row r="259" spans="1:23" ht="15.75" customHeight="1" x14ac:dyDescent="0.25">
      <c r="A259" s="13"/>
      <c r="B259" s="3"/>
      <c r="C259" s="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</row>
    <row r="260" spans="1:23" ht="15.75" customHeight="1" x14ac:dyDescent="0.25">
      <c r="A260" s="13"/>
      <c r="B260" s="3"/>
      <c r="C260" s="4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</row>
    <row r="261" spans="1:23" ht="15.75" customHeight="1" x14ac:dyDescent="0.25">
      <c r="A261" s="13"/>
      <c r="B261" s="3"/>
      <c r="C261" s="4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</row>
    <row r="262" spans="1:23" ht="15.75" customHeight="1" x14ac:dyDescent="0.25">
      <c r="A262" s="13"/>
      <c r="B262" s="3"/>
      <c r="C262" s="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</row>
    <row r="263" spans="1:23" ht="15.75" customHeight="1" x14ac:dyDescent="0.25">
      <c r="A263" s="13"/>
      <c r="B263" s="3"/>
      <c r="C263" s="4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</row>
    <row r="264" spans="1:23" ht="15.75" customHeight="1" x14ac:dyDescent="0.25">
      <c r="A264" s="13"/>
      <c r="B264" s="3"/>
      <c r="C264" s="4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</row>
    <row r="265" spans="1:23" ht="15.75" customHeight="1" x14ac:dyDescent="0.25">
      <c r="A265" s="13"/>
      <c r="B265" s="3"/>
      <c r="C265" s="4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</row>
    <row r="266" spans="1:23" ht="15.75" customHeight="1" x14ac:dyDescent="0.25">
      <c r="A266" s="13"/>
      <c r="B266" s="3"/>
      <c r="C266" s="4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</row>
    <row r="267" spans="1:23" ht="15.75" customHeight="1" x14ac:dyDescent="0.25">
      <c r="A267" s="13"/>
      <c r="B267" s="3"/>
      <c r="C267" s="4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</row>
    <row r="268" spans="1:23" ht="15.75" customHeight="1" x14ac:dyDescent="0.25">
      <c r="A268" s="13"/>
      <c r="B268" s="3"/>
      <c r="C268" s="4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</row>
    <row r="269" spans="1:23" ht="15.75" customHeight="1" x14ac:dyDescent="0.25">
      <c r="A269" s="13"/>
      <c r="B269" s="3"/>
      <c r="C269" s="4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</row>
    <row r="270" spans="1:23" ht="15.75" customHeight="1" x14ac:dyDescent="0.25">
      <c r="A270" s="13"/>
      <c r="B270" s="3"/>
      <c r="C270" s="4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</row>
    <row r="271" spans="1:23" ht="15.75" customHeight="1" x14ac:dyDescent="0.25">
      <c r="A271" s="13"/>
      <c r="B271" s="3"/>
      <c r="C271" s="4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</row>
    <row r="272" spans="1:23" ht="15.75" customHeight="1" x14ac:dyDescent="0.25">
      <c r="A272" s="13"/>
      <c r="B272" s="3"/>
      <c r="C272" s="4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</row>
    <row r="273" spans="1:23" ht="15.75" customHeight="1" x14ac:dyDescent="0.25">
      <c r="A273" s="13"/>
      <c r="B273" s="3"/>
      <c r="C273" s="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</row>
    <row r="274" spans="1:23" ht="15.75" customHeight="1" x14ac:dyDescent="0.25">
      <c r="A274" s="13"/>
      <c r="B274" s="3"/>
      <c r="C274" s="4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</row>
    <row r="275" spans="1:23" ht="15.75" customHeight="1" x14ac:dyDescent="0.25">
      <c r="A275" s="13"/>
      <c r="B275" s="3"/>
      <c r="C275" s="4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</row>
    <row r="276" spans="1:23" ht="15.75" customHeight="1" x14ac:dyDescent="0.25">
      <c r="A276" s="13"/>
      <c r="B276" s="3"/>
      <c r="C276" s="4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</row>
    <row r="277" spans="1:23" ht="15.75" customHeight="1" x14ac:dyDescent="0.25">
      <c r="A277" s="13"/>
      <c r="B277" s="3"/>
      <c r="C277" s="4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</row>
    <row r="278" spans="1:23" ht="15.75" customHeight="1" x14ac:dyDescent="0.25">
      <c r="A278" s="13"/>
      <c r="B278" s="3"/>
      <c r="C278" s="4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</row>
    <row r="279" spans="1:23" ht="15.75" customHeight="1" x14ac:dyDescent="0.25">
      <c r="A279" s="13"/>
      <c r="B279" s="3"/>
      <c r="C279" s="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</row>
    <row r="280" spans="1:23" ht="15.75" customHeight="1" x14ac:dyDescent="0.25">
      <c r="A280" s="13"/>
      <c r="B280" s="3"/>
      <c r="C280" s="4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</row>
    <row r="281" spans="1:23" ht="15.75" customHeight="1" x14ac:dyDescent="0.25">
      <c r="A281" s="13"/>
      <c r="B281" s="3"/>
      <c r="C281" s="4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</row>
    <row r="282" spans="1:23" ht="15.75" customHeight="1" x14ac:dyDescent="0.25">
      <c r="A282" s="13"/>
      <c r="B282" s="3"/>
      <c r="C282" s="4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</row>
    <row r="283" spans="1:23" ht="15.75" customHeight="1" x14ac:dyDescent="0.25">
      <c r="A283" s="13"/>
      <c r="B283" s="3"/>
      <c r="C283" s="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</row>
    <row r="284" spans="1:23" ht="15.75" customHeight="1" x14ac:dyDescent="0.25">
      <c r="A284" s="13"/>
      <c r="B284" s="3"/>
      <c r="C284" s="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</row>
    <row r="285" spans="1:23" ht="15.75" customHeight="1" x14ac:dyDescent="0.25">
      <c r="A285" s="13"/>
      <c r="B285" s="3"/>
      <c r="C285" s="4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</row>
    <row r="286" spans="1:23" ht="15.75" customHeight="1" x14ac:dyDescent="0.25">
      <c r="A286" s="13"/>
      <c r="B286" s="3"/>
      <c r="C286" s="4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</row>
    <row r="287" spans="1:23" ht="15.75" customHeight="1" x14ac:dyDescent="0.25">
      <c r="A287" s="13"/>
      <c r="B287" s="3"/>
      <c r="C287" s="4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</row>
    <row r="288" spans="1:23" ht="15.75" customHeight="1" x14ac:dyDescent="0.25">
      <c r="A288" s="13"/>
      <c r="B288" s="3"/>
      <c r="C288" s="4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</row>
    <row r="289" spans="1:23" ht="15.75" customHeight="1" x14ac:dyDescent="0.25">
      <c r="A289" s="13"/>
      <c r="B289" s="3"/>
      <c r="C289" s="4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</row>
    <row r="290" spans="1:23" ht="15.75" customHeight="1" x14ac:dyDescent="0.25">
      <c r="A290" s="13"/>
      <c r="B290" s="3"/>
      <c r="C290" s="4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</row>
    <row r="291" spans="1:23" ht="15.75" customHeight="1" x14ac:dyDescent="0.25">
      <c r="A291" s="13"/>
      <c r="B291" s="3"/>
      <c r="C291" s="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</row>
    <row r="292" spans="1:23" ht="15.75" customHeight="1" x14ac:dyDescent="0.25">
      <c r="A292" s="13"/>
      <c r="B292" s="3"/>
      <c r="C292" s="4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</row>
    <row r="293" spans="1:23" ht="15.75" customHeight="1" x14ac:dyDescent="0.25">
      <c r="A293" s="13"/>
      <c r="B293" s="3"/>
      <c r="C293" s="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</row>
    <row r="294" spans="1:23" ht="15.75" customHeight="1" x14ac:dyDescent="0.25">
      <c r="A294" s="13"/>
      <c r="B294" s="3"/>
      <c r="C294" s="4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</row>
    <row r="295" spans="1:23" ht="15.75" customHeight="1" x14ac:dyDescent="0.25">
      <c r="A295" s="13"/>
      <c r="B295" s="3"/>
      <c r="C295" s="4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</row>
    <row r="296" spans="1:23" ht="15.75" customHeight="1" x14ac:dyDescent="0.25">
      <c r="A296" s="13"/>
      <c r="B296" s="3"/>
      <c r="C296" s="4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</row>
    <row r="297" spans="1:23" ht="15.75" customHeight="1" x14ac:dyDescent="0.25">
      <c r="A297" s="13"/>
      <c r="B297" s="3"/>
      <c r="C297" s="4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</row>
    <row r="298" spans="1:23" ht="15.75" customHeight="1" x14ac:dyDescent="0.25">
      <c r="A298" s="13"/>
      <c r="B298" s="3"/>
      <c r="C298" s="4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</row>
    <row r="299" spans="1:23" ht="15.75" customHeight="1" x14ac:dyDescent="0.25">
      <c r="A299" s="13"/>
      <c r="B299" s="3"/>
      <c r="C299" s="4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</row>
    <row r="300" spans="1:23" ht="15.75" customHeight="1" x14ac:dyDescent="0.25">
      <c r="A300" s="13"/>
      <c r="B300" s="3"/>
      <c r="C300" s="4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</row>
    <row r="301" spans="1:23" ht="15.75" customHeight="1" x14ac:dyDescent="0.25">
      <c r="A301" s="13"/>
      <c r="B301" s="3"/>
      <c r="C301" s="4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</row>
    <row r="302" spans="1:23" ht="15.75" customHeight="1" x14ac:dyDescent="0.25">
      <c r="A302" s="13"/>
      <c r="B302" s="3"/>
      <c r="C302" s="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3" ht="15.75" customHeight="1" x14ac:dyDescent="0.25">
      <c r="A303" s="13"/>
      <c r="B303" s="3"/>
      <c r="C303" s="4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3" ht="15.75" customHeight="1" x14ac:dyDescent="0.25">
      <c r="A304" s="13"/>
      <c r="B304" s="3"/>
      <c r="C304" s="4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</row>
    <row r="305" spans="1:23" ht="15.75" customHeight="1" x14ac:dyDescent="0.25">
      <c r="A305" s="13"/>
      <c r="B305" s="3"/>
      <c r="C305" s="4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</row>
    <row r="306" spans="1:23" ht="15.75" customHeight="1" x14ac:dyDescent="0.25">
      <c r="A306" s="13"/>
      <c r="B306" s="3"/>
      <c r="C306" s="4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</row>
    <row r="307" spans="1:23" ht="15.75" customHeight="1" x14ac:dyDescent="0.25">
      <c r="A307" s="13"/>
      <c r="B307" s="3"/>
      <c r="C307" s="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</row>
    <row r="308" spans="1:23" ht="15.75" customHeight="1" x14ac:dyDescent="0.25">
      <c r="A308" s="13"/>
      <c r="B308" s="3"/>
      <c r="C308" s="4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</row>
    <row r="309" spans="1:23" ht="15.75" customHeight="1" x14ac:dyDescent="0.25">
      <c r="A309" s="13"/>
      <c r="B309" s="3"/>
      <c r="C309" s="4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</row>
    <row r="310" spans="1:23" ht="15.75" customHeight="1" x14ac:dyDescent="0.25">
      <c r="A310" s="13"/>
      <c r="B310" s="3"/>
      <c r="C310" s="4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</row>
    <row r="311" spans="1:23" ht="15.75" customHeight="1" x14ac:dyDescent="0.25">
      <c r="A311" s="13"/>
      <c r="B311" s="3"/>
      <c r="C311" s="4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</row>
    <row r="312" spans="1:23" ht="15.75" customHeight="1" x14ac:dyDescent="0.25">
      <c r="A312" s="13"/>
      <c r="B312" s="3"/>
      <c r="C312" s="4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</row>
    <row r="313" spans="1:23" ht="15.75" customHeight="1" x14ac:dyDescent="0.25">
      <c r="A313" s="13"/>
      <c r="B313" s="3"/>
      <c r="C313" s="4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</row>
    <row r="314" spans="1:23" ht="15.75" customHeight="1" x14ac:dyDescent="0.25">
      <c r="A314" s="13"/>
      <c r="B314" s="3"/>
      <c r="C314" s="4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</row>
    <row r="315" spans="1:23" ht="15.75" customHeight="1" x14ac:dyDescent="0.25">
      <c r="A315" s="13"/>
      <c r="B315" s="3"/>
      <c r="C315" s="4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</row>
    <row r="316" spans="1:23" ht="15.75" customHeight="1" x14ac:dyDescent="0.25">
      <c r="A316" s="13"/>
      <c r="B316" s="3"/>
      <c r="C316" s="4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</row>
    <row r="317" spans="1:23" ht="15.75" customHeight="1" x14ac:dyDescent="0.25">
      <c r="A317" s="13"/>
      <c r="B317" s="3"/>
      <c r="C317" s="4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</row>
    <row r="318" spans="1:23" ht="15.75" customHeight="1" x14ac:dyDescent="0.25">
      <c r="A318" s="13"/>
      <c r="B318" s="3"/>
      <c r="C318" s="4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</row>
    <row r="319" spans="1:23" ht="15.75" customHeight="1" x14ac:dyDescent="0.25">
      <c r="A319" s="13"/>
      <c r="B319" s="3"/>
      <c r="C319" s="4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</row>
    <row r="320" spans="1:23" ht="15.75" customHeight="1" x14ac:dyDescent="0.25">
      <c r="A320" s="13"/>
      <c r="B320" s="3"/>
      <c r="C320" s="4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</row>
    <row r="321" spans="1:23" ht="15.75" customHeight="1" x14ac:dyDescent="0.25">
      <c r="A321" s="13"/>
      <c r="B321" s="3"/>
      <c r="C321" s="4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</row>
    <row r="322" spans="1:23" ht="15.75" customHeight="1" x14ac:dyDescent="0.25">
      <c r="A322" s="13"/>
      <c r="B322" s="3"/>
      <c r="C322" s="4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</row>
    <row r="323" spans="1:23" ht="15.75" customHeight="1" x14ac:dyDescent="0.25">
      <c r="A323" s="13"/>
      <c r="B323" s="3"/>
      <c r="C323" s="4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</row>
    <row r="324" spans="1:23" ht="15.75" customHeight="1" x14ac:dyDescent="0.25">
      <c r="A324" s="13"/>
      <c r="B324" s="3"/>
      <c r="C324" s="4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</row>
    <row r="325" spans="1:23" ht="15.75" customHeight="1" x14ac:dyDescent="0.25">
      <c r="A325" s="13"/>
      <c r="B325" s="3"/>
      <c r="C325" s="4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</row>
    <row r="326" spans="1:23" ht="15.75" customHeight="1" x14ac:dyDescent="0.25">
      <c r="A326" s="13"/>
      <c r="B326" s="3"/>
      <c r="C326" s="4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</row>
    <row r="327" spans="1:23" ht="15.75" customHeight="1" x14ac:dyDescent="0.25">
      <c r="A327" s="13"/>
      <c r="B327" s="3"/>
      <c r="C327" s="4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</row>
    <row r="328" spans="1:23" ht="15.75" customHeight="1" x14ac:dyDescent="0.25">
      <c r="A328" s="13"/>
      <c r="B328" s="3"/>
      <c r="C328" s="4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</row>
    <row r="329" spans="1:23" ht="15.75" customHeight="1" x14ac:dyDescent="0.25">
      <c r="A329" s="13"/>
      <c r="B329" s="3"/>
      <c r="C329" s="4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</row>
    <row r="330" spans="1:23" ht="15.75" customHeight="1" x14ac:dyDescent="0.25">
      <c r="A330" s="13"/>
      <c r="B330" s="3"/>
      <c r="C330" s="4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</row>
    <row r="331" spans="1:23" ht="15.75" customHeight="1" x14ac:dyDescent="0.25">
      <c r="A331" s="13"/>
      <c r="B331" s="3"/>
      <c r="C331" s="4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</row>
    <row r="332" spans="1:23" ht="15.75" customHeight="1" x14ac:dyDescent="0.25">
      <c r="A332" s="13"/>
      <c r="B332" s="3"/>
      <c r="C332" s="4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</row>
    <row r="333" spans="1:23" ht="15.75" customHeight="1" x14ac:dyDescent="0.25">
      <c r="A333" s="13"/>
      <c r="B333" s="3"/>
      <c r="C333" s="4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</row>
    <row r="334" spans="1:23" ht="15.75" customHeight="1" x14ac:dyDescent="0.25">
      <c r="A334" s="13"/>
      <c r="B334" s="3"/>
      <c r="C334" s="4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</row>
    <row r="335" spans="1:23" ht="15.75" customHeight="1" x14ac:dyDescent="0.25">
      <c r="A335" s="13"/>
      <c r="B335" s="3"/>
      <c r="C335" s="4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</row>
    <row r="336" spans="1:23" ht="15.75" customHeight="1" x14ac:dyDescent="0.25">
      <c r="A336" s="13"/>
      <c r="B336" s="3"/>
      <c r="C336" s="4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</row>
    <row r="337" spans="1:23" ht="15.75" customHeight="1" x14ac:dyDescent="0.25">
      <c r="A337" s="13"/>
      <c r="B337" s="3"/>
      <c r="C337" s="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</row>
    <row r="338" spans="1:23" ht="15.75" customHeight="1" x14ac:dyDescent="0.25">
      <c r="A338" s="13"/>
      <c r="B338" s="3"/>
      <c r="C338" s="4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</row>
    <row r="339" spans="1:23" ht="15.75" customHeight="1" x14ac:dyDescent="0.25">
      <c r="A339" s="13"/>
      <c r="B339" s="3"/>
      <c r="C339" s="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</row>
    <row r="340" spans="1:23" ht="15.75" customHeight="1" x14ac:dyDescent="0.25">
      <c r="A340" s="13"/>
      <c r="B340" s="3"/>
      <c r="C340" s="4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</row>
    <row r="341" spans="1:23" ht="15.75" customHeight="1" x14ac:dyDescent="0.25">
      <c r="A341" s="13"/>
      <c r="B341" s="3"/>
      <c r="C341" s="4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</row>
    <row r="342" spans="1:23" ht="15.75" customHeight="1" x14ac:dyDescent="0.25">
      <c r="A342" s="13"/>
      <c r="B342" s="3"/>
      <c r="C342" s="4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</row>
    <row r="343" spans="1:23" ht="15.75" customHeight="1" x14ac:dyDescent="0.25">
      <c r="A343" s="13"/>
      <c r="B343" s="3"/>
      <c r="C343" s="4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</row>
    <row r="344" spans="1:23" ht="15.75" customHeight="1" x14ac:dyDescent="0.25">
      <c r="A344" s="13"/>
      <c r="B344" s="3"/>
      <c r="C344" s="4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</row>
    <row r="345" spans="1:23" ht="15.75" customHeight="1" x14ac:dyDescent="0.25">
      <c r="A345" s="13"/>
      <c r="B345" s="3"/>
      <c r="C345" s="4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</row>
    <row r="346" spans="1:23" ht="15.75" customHeight="1" x14ac:dyDescent="0.25">
      <c r="A346" s="13"/>
      <c r="B346" s="3"/>
      <c r="C346" s="4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</row>
    <row r="347" spans="1:23" ht="15.75" customHeight="1" x14ac:dyDescent="0.25">
      <c r="A347" s="13"/>
      <c r="B347" s="3"/>
      <c r="C347" s="4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</row>
    <row r="348" spans="1:23" ht="15.75" customHeight="1" x14ac:dyDescent="0.25">
      <c r="A348" s="13"/>
      <c r="B348" s="3"/>
      <c r="C348" s="4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</row>
    <row r="349" spans="1:23" ht="15.75" customHeight="1" x14ac:dyDescent="0.25">
      <c r="A349" s="13"/>
      <c r="B349" s="3"/>
      <c r="C349" s="4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</row>
    <row r="350" spans="1:23" ht="15.75" customHeight="1" x14ac:dyDescent="0.25">
      <c r="A350" s="13"/>
      <c r="B350" s="3"/>
      <c r="C350" s="4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 spans="1:23" ht="15.75" customHeight="1" x14ac:dyDescent="0.25">
      <c r="A351" s="13"/>
      <c r="B351" s="3"/>
      <c r="C351" s="4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 spans="1:23" ht="15.75" customHeight="1" x14ac:dyDescent="0.25">
      <c r="A352" s="13"/>
      <c r="B352" s="3"/>
      <c r="C352" s="4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 spans="1:23" ht="15.75" customHeight="1" x14ac:dyDescent="0.25">
      <c r="A353" s="13"/>
      <c r="B353" s="3"/>
      <c r="C353" s="4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 spans="1:23" ht="15.75" customHeight="1" x14ac:dyDescent="0.25">
      <c r="A354" s="13"/>
      <c r="B354" s="3"/>
      <c r="C354" s="4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 spans="1:23" ht="15.75" customHeight="1" x14ac:dyDescent="0.25">
      <c r="A355" s="13"/>
      <c r="B355" s="3"/>
      <c r="C355" s="4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 spans="1:23" ht="15.75" customHeight="1" x14ac:dyDescent="0.25">
      <c r="A356" s="13"/>
      <c r="B356" s="3"/>
      <c r="C356" s="4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 spans="1:23" ht="15.75" customHeight="1" x14ac:dyDescent="0.25">
      <c r="A357" s="13"/>
      <c r="B357" s="3"/>
      <c r="C357" s="4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 spans="1:23" ht="15.75" customHeight="1" x14ac:dyDescent="0.25">
      <c r="A358" s="13"/>
      <c r="B358" s="3"/>
      <c r="C358" s="4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 spans="1:23" ht="15.75" customHeight="1" x14ac:dyDescent="0.25">
      <c r="A359" s="13"/>
      <c r="B359" s="3"/>
      <c r="C359" s="4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 spans="1:23" ht="15.75" customHeight="1" x14ac:dyDescent="0.25">
      <c r="A360" s="13"/>
      <c r="B360" s="3"/>
      <c r="C360" s="4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 spans="1:23" ht="15.75" customHeight="1" x14ac:dyDescent="0.25">
      <c r="A361" s="13"/>
      <c r="B361" s="3"/>
      <c r="C361" s="4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 spans="1:23" ht="15.75" customHeight="1" x14ac:dyDescent="0.25">
      <c r="A362" s="13"/>
      <c r="B362" s="3"/>
      <c r="C362" s="4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 spans="1:23" ht="15.75" customHeight="1" x14ac:dyDescent="0.25">
      <c r="A363" s="13"/>
      <c r="B363" s="3"/>
      <c r="C363" s="4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 spans="1:23" ht="15.75" customHeight="1" x14ac:dyDescent="0.25">
      <c r="A364" s="13"/>
      <c r="B364" s="3"/>
      <c r="C364" s="4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 spans="1:23" ht="15.75" customHeight="1" x14ac:dyDescent="0.25">
      <c r="A365" s="13"/>
      <c r="B365" s="3"/>
      <c r="C365" s="4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 spans="1:23" ht="15.75" customHeight="1" x14ac:dyDescent="0.25">
      <c r="A366" s="13"/>
      <c r="B366" s="3"/>
      <c r="C366" s="4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 spans="1:23" ht="15.75" customHeight="1" x14ac:dyDescent="0.25">
      <c r="A367" s="13"/>
      <c r="B367" s="3"/>
      <c r="C367" s="4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 spans="1:23" ht="15.75" customHeight="1" x14ac:dyDescent="0.25">
      <c r="A368" s="13"/>
      <c r="B368" s="3"/>
      <c r="C368" s="4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 spans="1:23" ht="15.75" customHeight="1" x14ac:dyDescent="0.25">
      <c r="A369" s="13"/>
      <c r="B369" s="3"/>
      <c r="C369" s="4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 spans="1:23" ht="15.75" customHeight="1" x14ac:dyDescent="0.25">
      <c r="A370" s="13"/>
      <c r="B370" s="3"/>
      <c r="C370" s="4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 spans="1:23" ht="15.75" customHeight="1" x14ac:dyDescent="0.25">
      <c r="A371" s="13"/>
      <c r="B371" s="3"/>
      <c r="C371" s="4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 spans="1:23" ht="15.75" customHeight="1" x14ac:dyDescent="0.25">
      <c r="A372" s="13"/>
      <c r="B372" s="3"/>
      <c r="C372" s="4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 spans="1:23" ht="15.75" customHeight="1" x14ac:dyDescent="0.25">
      <c r="A373" s="13"/>
      <c r="B373" s="3"/>
      <c r="C373" s="4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 spans="1:23" ht="15.75" customHeight="1" x14ac:dyDescent="0.25">
      <c r="A374" s="13"/>
      <c r="B374" s="3"/>
      <c r="C374" s="4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 spans="1:23" ht="15.75" customHeight="1" x14ac:dyDescent="0.25">
      <c r="A375" s="13"/>
      <c r="B375" s="3"/>
      <c r="C375" s="4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 spans="1:23" ht="15.75" customHeight="1" x14ac:dyDescent="0.25">
      <c r="A376" s="13"/>
      <c r="B376" s="3"/>
      <c r="C376" s="4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 spans="1:23" ht="15.75" customHeight="1" x14ac:dyDescent="0.25">
      <c r="A377" s="13"/>
      <c r="B377" s="3"/>
      <c r="C377" s="4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 spans="1:23" ht="15.75" customHeight="1" x14ac:dyDescent="0.25">
      <c r="A378" s="13"/>
      <c r="B378" s="3"/>
      <c r="C378" s="4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 spans="1:23" ht="15.75" customHeight="1" x14ac:dyDescent="0.25">
      <c r="A379" s="13"/>
      <c r="B379" s="3"/>
      <c r="C379" s="4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 spans="1:23" ht="15.75" customHeight="1" x14ac:dyDescent="0.25">
      <c r="A380" s="13"/>
      <c r="B380" s="3"/>
      <c r="C380" s="4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 spans="1:23" ht="15.75" customHeight="1" x14ac:dyDescent="0.25">
      <c r="A381" s="13"/>
      <c r="B381" s="3"/>
      <c r="C381" s="4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 spans="1:23" ht="15.75" customHeight="1" x14ac:dyDescent="0.25">
      <c r="A382" s="13"/>
      <c r="B382" s="3"/>
      <c r="C382" s="4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 spans="1:23" ht="15.75" customHeight="1" x14ac:dyDescent="0.25">
      <c r="A383" s="13"/>
      <c r="B383" s="3"/>
      <c r="C383" s="4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 spans="1:23" ht="15.75" customHeight="1" x14ac:dyDescent="0.25">
      <c r="A384" s="13"/>
      <c r="B384" s="3"/>
      <c r="C384" s="4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 spans="1:23" ht="15.75" customHeight="1" x14ac:dyDescent="0.25">
      <c r="A385" s="13"/>
      <c r="B385" s="3"/>
      <c r="C385" s="4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 spans="1:23" ht="15.75" customHeight="1" x14ac:dyDescent="0.25">
      <c r="A386" s="13"/>
      <c r="B386" s="3"/>
      <c r="C386" s="4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 spans="1:23" ht="15.75" customHeight="1" x14ac:dyDescent="0.25">
      <c r="A387" s="13"/>
      <c r="B387" s="3"/>
      <c r="C387" s="4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 spans="1:23" ht="15.75" customHeight="1" x14ac:dyDescent="0.25">
      <c r="A388" s="13"/>
      <c r="B388" s="3"/>
      <c r="C388" s="4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 spans="1:23" ht="15.75" customHeight="1" x14ac:dyDescent="0.25">
      <c r="A389" s="13"/>
      <c r="B389" s="3"/>
      <c r="C389" s="4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 spans="1:23" ht="15.75" customHeight="1" x14ac:dyDescent="0.25">
      <c r="A390" s="13"/>
      <c r="B390" s="3"/>
      <c r="C390" s="4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 spans="1:23" ht="15.75" customHeight="1" x14ac:dyDescent="0.25">
      <c r="A391" s="13"/>
      <c r="B391" s="3"/>
      <c r="C391" s="4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 spans="1:23" ht="15.75" customHeight="1" x14ac:dyDescent="0.25">
      <c r="A392" s="13"/>
      <c r="B392" s="3"/>
      <c r="C392" s="4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 spans="1:23" ht="15.75" customHeight="1" x14ac:dyDescent="0.25">
      <c r="A393" s="13"/>
      <c r="B393" s="3"/>
      <c r="C393" s="4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 spans="1:23" ht="15.75" customHeight="1" x14ac:dyDescent="0.25">
      <c r="A394" s="13"/>
      <c r="B394" s="3"/>
      <c r="C394" s="4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 spans="1:23" ht="15.75" customHeight="1" x14ac:dyDescent="0.25">
      <c r="A395" s="13"/>
      <c r="B395" s="3"/>
      <c r="C395" s="4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 spans="1:23" ht="15.75" customHeight="1" x14ac:dyDescent="0.25">
      <c r="A396" s="13"/>
      <c r="B396" s="3"/>
      <c r="C396" s="4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 spans="1:23" ht="15.75" customHeight="1" x14ac:dyDescent="0.25">
      <c r="A397" s="13"/>
      <c r="B397" s="3"/>
      <c r="C397" s="4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 spans="1:23" ht="15.75" customHeight="1" x14ac:dyDescent="0.25">
      <c r="A398" s="13"/>
      <c r="B398" s="3"/>
      <c r="C398" s="4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 spans="1:23" ht="15.75" customHeight="1" x14ac:dyDescent="0.25">
      <c r="A399" s="13"/>
      <c r="B399" s="3"/>
      <c r="C399" s="4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 spans="1:23" ht="15.75" customHeight="1" x14ac:dyDescent="0.25">
      <c r="A400" s="13"/>
      <c r="B400" s="3"/>
      <c r="C400" s="4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 spans="1:23" ht="15.75" customHeight="1" x14ac:dyDescent="0.25">
      <c r="A401" s="13"/>
      <c r="B401" s="3"/>
      <c r="C401" s="4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 spans="1:23" ht="15.75" customHeight="1" x14ac:dyDescent="0.25">
      <c r="A402" s="13"/>
      <c r="B402" s="3"/>
      <c r="C402" s="4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 spans="1:23" ht="15.75" customHeight="1" x14ac:dyDescent="0.25">
      <c r="A403" s="13"/>
      <c r="B403" s="3"/>
      <c r="C403" s="4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 spans="1:23" ht="15.75" customHeight="1" x14ac:dyDescent="0.25">
      <c r="A404" s="13"/>
      <c r="B404" s="3"/>
      <c r="C404" s="4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 spans="1:23" ht="15.75" customHeight="1" x14ac:dyDescent="0.25">
      <c r="A405" s="13"/>
      <c r="B405" s="3"/>
      <c r="C405" s="4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 spans="1:23" ht="15.75" customHeight="1" x14ac:dyDescent="0.25">
      <c r="A406" s="13"/>
      <c r="B406" s="3"/>
      <c r="C406" s="4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 spans="1:23" ht="15.75" customHeight="1" x14ac:dyDescent="0.25">
      <c r="A407" s="13"/>
      <c r="B407" s="3"/>
      <c r="C407" s="4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 spans="1:23" ht="15.75" customHeight="1" x14ac:dyDescent="0.25">
      <c r="A408" s="13"/>
      <c r="B408" s="3"/>
      <c r="C408" s="4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 spans="1:23" ht="15.75" customHeight="1" x14ac:dyDescent="0.25">
      <c r="A409" s="13"/>
      <c r="B409" s="3"/>
      <c r="C409" s="4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 spans="1:23" ht="15.75" customHeight="1" x14ac:dyDescent="0.25">
      <c r="A410" s="13"/>
      <c r="B410" s="3"/>
      <c r="C410" s="4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 spans="1:23" ht="15.75" customHeight="1" x14ac:dyDescent="0.25">
      <c r="A411" s="13"/>
      <c r="B411" s="3"/>
      <c r="C411" s="4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 spans="1:23" ht="15.75" customHeight="1" x14ac:dyDescent="0.25">
      <c r="A412" s="13"/>
      <c r="B412" s="3"/>
      <c r="C412" s="4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 spans="1:23" ht="15.75" customHeight="1" x14ac:dyDescent="0.25">
      <c r="A413" s="13"/>
      <c r="B413" s="3"/>
      <c r="C413" s="4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 spans="1:23" ht="15.75" customHeight="1" x14ac:dyDescent="0.25">
      <c r="A414" s="13"/>
      <c r="B414" s="3"/>
      <c r="C414" s="4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 spans="1:23" ht="15.75" customHeight="1" x14ac:dyDescent="0.25">
      <c r="A415" s="13"/>
      <c r="B415" s="3"/>
      <c r="C415" s="4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 spans="1:23" ht="15.75" customHeight="1" x14ac:dyDescent="0.25">
      <c r="A416" s="13"/>
      <c r="B416" s="3"/>
      <c r="C416" s="4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 spans="1:23" ht="15.75" customHeight="1" x14ac:dyDescent="0.25">
      <c r="A417" s="13"/>
      <c r="B417" s="3"/>
      <c r="C417" s="4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 spans="1:23" ht="15.75" customHeight="1" x14ac:dyDescent="0.25">
      <c r="A418" s="13"/>
      <c r="B418" s="3"/>
      <c r="C418" s="4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 spans="1:23" ht="15.75" customHeight="1" x14ac:dyDescent="0.25">
      <c r="A419" s="13"/>
      <c r="B419" s="3"/>
      <c r="C419" s="4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 spans="1:23" ht="15.75" customHeight="1" x14ac:dyDescent="0.25">
      <c r="A420" s="13"/>
      <c r="B420" s="3"/>
      <c r="C420" s="4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 spans="1:23" ht="15.75" customHeight="1" x14ac:dyDescent="0.25">
      <c r="A421" s="13"/>
      <c r="B421" s="3"/>
      <c r="C421" s="4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 spans="1:23" ht="15.75" customHeight="1" x14ac:dyDescent="0.25">
      <c r="A422" s="13"/>
      <c r="B422" s="3"/>
      <c r="C422" s="4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 spans="1:23" ht="15.75" customHeight="1" x14ac:dyDescent="0.25">
      <c r="A423" s="13"/>
      <c r="B423" s="3"/>
      <c r="C423" s="4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 spans="1:23" ht="15.75" customHeight="1" x14ac:dyDescent="0.25">
      <c r="A424" s="13"/>
      <c r="B424" s="3"/>
      <c r="C424" s="4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 spans="1:23" ht="15.75" customHeight="1" x14ac:dyDescent="0.25">
      <c r="A425" s="13"/>
      <c r="B425" s="3"/>
      <c r="C425" s="4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 spans="1:23" ht="15.75" customHeight="1" x14ac:dyDescent="0.25">
      <c r="A426" s="13"/>
      <c r="B426" s="3"/>
      <c r="C426" s="4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 spans="1:23" ht="15.75" customHeight="1" x14ac:dyDescent="0.25">
      <c r="A427" s="13"/>
      <c r="B427" s="3"/>
      <c r="C427" s="4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 spans="1:23" ht="15.75" customHeight="1" x14ac:dyDescent="0.25">
      <c r="A428" s="13"/>
      <c r="B428" s="3"/>
      <c r="C428" s="4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 spans="1:23" ht="15.75" customHeight="1" x14ac:dyDescent="0.25">
      <c r="A429" s="13"/>
      <c r="B429" s="3"/>
      <c r="C429" s="4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 spans="1:23" ht="15.75" customHeight="1" x14ac:dyDescent="0.25">
      <c r="A430" s="13"/>
      <c r="B430" s="3"/>
      <c r="C430" s="4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 spans="1:23" ht="15.75" customHeight="1" x14ac:dyDescent="0.25">
      <c r="A431" s="13"/>
      <c r="B431" s="3"/>
      <c r="C431" s="4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 spans="1:23" ht="15.75" customHeight="1" x14ac:dyDescent="0.25">
      <c r="A432" s="13"/>
      <c r="B432" s="3"/>
      <c r="C432" s="4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 spans="1:23" ht="15.75" customHeight="1" x14ac:dyDescent="0.25">
      <c r="A433" s="13"/>
      <c r="B433" s="3"/>
      <c r="C433" s="4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 spans="1:23" ht="15.75" customHeight="1" x14ac:dyDescent="0.25">
      <c r="A434" s="13"/>
      <c r="B434" s="3"/>
      <c r="C434" s="4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 spans="1:23" ht="15.75" customHeight="1" x14ac:dyDescent="0.25">
      <c r="A435" s="13"/>
      <c r="B435" s="3"/>
      <c r="C435" s="4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 spans="1:23" ht="15.75" customHeight="1" x14ac:dyDescent="0.25">
      <c r="A436" s="13"/>
      <c r="B436" s="3"/>
      <c r="C436" s="4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 spans="1:23" ht="15.75" customHeight="1" x14ac:dyDescent="0.25">
      <c r="A437" s="13"/>
      <c r="B437" s="3"/>
      <c r="C437" s="4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 spans="1:23" ht="15.75" customHeight="1" x14ac:dyDescent="0.25">
      <c r="A438" s="13"/>
      <c r="B438" s="3"/>
      <c r="C438" s="4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 spans="1:23" ht="15.75" customHeight="1" x14ac:dyDescent="0.25">
      <c r="A439" s="13"/>
      <c r="B439" s="3"/>
      <c r="C439" s="4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 spans="1:23" ht="15.75" customHeight="1" x14ac:dyDescent="0.25">
      <c r="A440" s="13"/>
      <c r="B440" s="3"/>
      <c r="C440" s="4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 spans="1:23" ht="15.75" customHeight="1" x14ac:dyDescent="0.25">
      <c r="A441" s="13"/>
      <c r="B441" s="3"/>
      <c r="C441" s="4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 spans="1:23" ht="15.75" customHeight="1" x14ac:dyDescent="0.25">
      <c r="A442" s="13"/>
      <c r="B442" s="3"/>
      <c r="C442" s="4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 spans="1:23" ht="15.75" customHeight="1" x14ac:dyDescent="0.25">
      <c r="A443" s="13"/>
      <c r="B443" s="3"/>
      <c r="C443" s="4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 spans="1:23" ht="15.75" customHeight="1" x14ac:dyDescent="0.25">
      <c r="A444" s="13"/>
      <c r="B444" s="3"/>
      <c r="C444" s="4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 spans="1:23" ht="15.75" customHeight="1" x14ac:dyDescent="0.25">
      <c r="A445" s="13"/>
      <c r="B445" s="3"/>
      <c r="C445" s="4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 spans="1:23" ht="15.75" customHeight="1" x14ac:dyDescent="0.25">
      <c r="A446" s="13"/>
      <c r="B446" s="3"/>
      <c r="C446" s="4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 spans="1:23" ht="15.75" customHeight="1" x14ac:dyDescent="0.25">
      <c r="A447" s="13"/>
      <c r="B447" s="3"/>
      <c r="C447" s="4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 spans="1:23" ht="15.75" customHeight="1" x14ac:dyDescent="0.25">
      <c r="A448" s="13"/>
      <c r="B448" s="3"/>
      <c r="C448" s="4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 spans="1:23" ht="15.75" customHeight="1" x14ac:dyDescent="0.25">
      <c r="A449" s="13"/>
      <c r="B449" s="3"/>
      <c r="C449" s="4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 spans="1:23" ht="15.75" customHeight="1" x14ac:dyDescent="0.25">
      <c r="A450" s="13"/>
      <c r="B450" s="3"/>
      <c r="C450" s="4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 spans="1:23" ht="15.75" customHeight="1" x14ac:dyDescent="0.25">
      <c r="A451" s="13"/>
      <c r="B451" s="3"/>
      <c r="C451" s="4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 spans="1:23" ht="15.75" customHeight="1" x14ac:dyDescent="0.25">
      <c r="A452" s="13"/>
      <c r="B452" s="3"/>
      <c r="C452" s="4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 spans="1:23" ht="15.75" customHeight="1" x14ac:dyDescent="0.25">
      <c r="A453" s="13"/>
      <c r="B453" s="3"/>
      <c r="C453" s="4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 spans="1:23" ht="15.75" customHeight="1" x14ac:dyDescent="0.25">
      <c r="A454" s="13"/>
      <c r="B454" s="3"/>
      <c r="C454" s="4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 spans="1:23" ht="15.75" customHeight="1" x14ac:dyDescent="0.25">
      <c r="A455" s="13"/>
      <c r="B455" s="3"/>
      <c r="C455" s="4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 spans="1:23" ht="15.75" customHeight="1" x14ac:dyDescent="0.25">
      <c r="A456" s="13"/>
      <c r="B456" s="3"/>
      <c r="C456" s="4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 spans="1:23" ht="15.75" customHeight="1" x14ac:dyDescent="0.25">
      <c r="A457" s="13"/>
      <c r="B457" s="3"/>
      <c r="C457" s="4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 spans="1:23" ht="15.75" customHeight="1" x14ac:dyDescent="0.25">
      <c r="A458" s="13"/>
      <c r="B458" s="3"/>
      <c r="C458" s="4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 spans="1:23" ht="15.75" customHeight="1" x14ac:dyDescent="0.25">
      <c r="A459" s="13"/>
      <c r="B459" s="3"/>
      <c r="C459" s="4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 spans="1:23" ht="15.75" customHeight="1" x14ac:dyDescent="0.25">
      <c r="A460" s="13"/>
      <c r="B460" s="3"/>
      <c r="C460" s="4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 spans="1:23" ht="15.75" customHeight="1" x14ac:dyDescent="0.25">
      <c r="A461" s="13"/>
      <c r="B461" s="3"/>
      <c r="C461" s="4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 spans="1:23" ht="15.75" customHeight="1" x14ac:dyDescent="0.25">
      <c r="A462" s="13"/>
      <c r="B462" s="3"/>
      <c r="C462" s="4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 spans="1:23" ht="15.75" customHeight="1" x14ac:dyDescent="0.25">
      <c r="A463" s="13"/>
      <c r="B463" s="3"/>
      <c r="C463" s="4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 spans="1:23" ht="15.75" customHeight="1" x14ac:dyDescent="0.25">
      <c r="A464" s="13"/>
      <c r="B464" s="3"/>
      <c r="C464" s="4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 spans="1:23" ht="15.75" customHeight="1" x14ac:dyDescent="0.25">
      <c r="A465" s="13"/>
      <c r="B465" s="3"/>
      <c r="C465" s="4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 spans="1:23" ht="15.75" customHeight="1" x14ac:dyDescent="0.25">
      <c r="A466" s="13"/>
      <c r="B466" s="3"/>
      <c r="C466" s="4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 spans="1:23" ht="15.75" customHeight="1" x14ac:dyDescent="0.25">
      <c r="A467" s="13"/>
      <c r="B467" s="3"/>
      <c r="C467" s="4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 spans="1:23" ht="15.75" customHeight="1" x14ac:dyDescent="0.25">
      <c r="A468" s="13"/>
      <c r="B468" s="3"/>
      <c r="C468" s="4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 spans="1:23" ht="15.75" customHeight="1" x14ac:dyDescent="0.25">
      <c r="A469" s="13"/>
      <c r="B469" s="3"/>
      <c r="C469" s="4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 spans="1:23" ht="15.75" customHeight="1" x14ac:dyDescent="0.25">
      <c r="A470" s="13"/>
      <c r="B470" s="3"/>
      <c r="C470" s="4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 spans="1:23" ht="15.75" customHeight="1" x14ac:dyDescent="0.25">
      <c r="A471" s="13"/>
      <c r="B471" s="3"/>
      <c r="C471" s="4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 spans="1:23" ht="15.75" customHeight="1" x14ac:dyDescent="0.25">
      <c r="A472" s="13"/>
      <c r="B472" s="3"/>
      <c r="C472" s="4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 spans="1:23" ht="15.75" customHeight="1" x14ac:dyDescent="0.25">
      <c r="A473" s="13"/>
      <c r="B473" s="3"/>
      <c r="C473" s="4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 spans="1:23" ht="15.75" customHeight="1" x14ac:dyDescent="0.25">
      <c r="A474" s="13"/>
      <c r="B474" s="3"/>
      <c r="C474" s="4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 spans="1:23" ht="15.75" customHeight="1" x14ac:dyDescent="0.25">
      <c r="A475" s="13"/>
      <c r="B475" s="3"/>
      <c r="C475" s="4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 spans="1:23" ht="15.75" customHeight="1" x14ac:dyDescent="0.25">
      <c r="A476" s="13"/>
      <c r="B476" s="3"/>
      <c r="C476" s="4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 spans="1:23" ht="15.75" customHeight="1" x14ac:dyDescent="0.25">
      <c r="A477" s="13"/>
      <c r="B477" s="3"/>
      <c r="C477" s="4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 spans="1:23" ht="15.75" customHeight="1" x14ac:dyDescent="0.25">
      <c r="A478" s="13"/>
      <c r="B478" s="3"/>
      <c r="C478" s="4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 spans="1:23" ht="15.75" customHeight="1" x14ac:dyDescent="0.25">
      <c r="A479" s="13"/>
      <c r="B479" s="3"/>
      <c r="C479" s="4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 spans="1:23" ht="15.75" customHeight="1" x14ac:dyDescent="0.25">
      <c r="A480" s="13"/>
      <c r="B480" s="3"/>
      <c r="C480" s="4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 spans="1:23" ht="15.75" customHeight="1" x14ac:dyDescent="0.25">
      <c r="A481" s="13"/>
      <c r="B481" s="3"/>
      <c r="C481" s="4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 spans="1:23" ht="15.75" customHeight="1" x14ac:dyDescent="0.25">
      <c r="A482" s="13"/>
      <c r="B482" s="3"/>
      <c r="C482" s="4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 spans="1:23" ht="15.75" customHeight="1" x14ac:dyDescent="0.25">
      <c r="A483" s="13"/>
      <c r="B483" s="3"/>
      <c r="C483" s="4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 spans="1:23" ht="15.75" customHeight="1" x14ac:dyDescent="0.25">
      <c r="A484" s="13"/>
      <c r="B484" s="3"/>
      <c r="C484" s="4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 spans="1:23" ht="15.75" customHeight="1" x14ac:dyDescent="0.25">
      <c r="A485" s="13"/>
      <c r="B485" s="3"/>
      <c r="C485" s="4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 spans="1:23" ht="15.75" customHeight="1" x14ac:dyDescent="0.25">
      <c r="A486" s="13"/>
      <c r="B486" s="3"/>
      <c r="C486" s="4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 spans="1:23" ht="15.75" customHeight="1" x14ac:dyDescent="0.25">
      <c r="A487" s="13"/>
      <c r="B487" s="3"/>
      <c r="C487" s="4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 spans="1:23" ht="15.75" customHeight="1" x14ac:dyDescent="0.25">
      <c r="A488" s="13"/>
      <c r="B488" s="3"/>
      <c r="C488" s="4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 spans="1:23" ht="15.75" customHeight="1" x14ac:dyDescent="0.25">
      <c r="A489" s="13"/>
      <c r="B489" s="3"/>
      <c r="C489" s="4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 spans="1:23" ht="15.75" customHeight="1" x14ac:dyDescent="0.25">
      <c r="A490" s="13"/>
      <c r="B490" s="3"/>
      <c r="C490" s="4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 spans="1:23" ht="15.75" customHeight="1" x14ac:dyDescent="0.25">
      <c r="A491" s="13"/>
      <c r="B491" s="3"/>
      <c r="C491" s="4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 spans="1:23" ht="15.75" customHeight="1" x14ac:dyDescent="0.25">
      <c r="A492" s="13"/>
      <c r="B492" s="3"/>
      <c r="C492" s="4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 spans="1:23" ht="15.75" customHeight="1" x14ac:dyDescent="0.25">
      <c r="A493" s="13"/>
      <c r="B493" s="3"/>
      <c r="C493" s="4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 spans="1:23" ht="15.75" customHeight="1" x14ac:dyDescent="0.25">
      <c r="A494" s="13"/>
      <c r="B494" s="3"/>
      <c r="C494" s="4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 spans="1:23" ht="15.75" customHeight="1" x14ac:dyDescent="0.25">
      <c r="A495" s="13"/>
      <c r="B495" s="3"/>
      <c r="C495" s="4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 spans="1:23" ht="15.75" customHeight="1" x14ac:dyDescent="0.25">
      <c r="A496" s="13"/>
      <c r="B496" s="3"/>
      <c r="C496" s="4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 spans="1:23" ht="15.75" customHeight="1" x14ac:dyDescent="0.25">
      <c r="A497" s="13"/>
      <c r="B497" s="3"/>
      <c r="C497" s="4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 spans="1:23" ht="15.75" customHeight="1" x14ac:dyDescent="0.25">
      <c r="A498" s="13"/>
      <c r="B498" s="3"/>
      <c r="C498" s="4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 spans="1:23" ht="15.75" customHeight="1" x14ac:dyDescent="0.25">
      <c r="A499" s="13"/>
      <c r="B499" s="3"/>
      <c r="C499" s="4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 spans="1:23" ht="15.75" customHeight="1" x14ac:dyDescent="0.25">
      <c r="A500" s="13"/>
      <c r="B500" s="3"/>
      <c r="C500" s="4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 spans="1:23" ht="15.75" customHeight="1" x14ac:dyDescent="0.25">
      <c r="A501" s="13"/>
      <c r="B501" s="3"/>
      <c r="C501" s="4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 spans="1:23" ht="15.75" customHeight="1" x14ac:dyDescent="0.25">
      <c r="A502" s="13"/>
      <c r="B502" s="3"/>
      <c r="C502" s="4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 spans="1:23" ht="15.75" customHeight="1" x14ac:dyDescent="0.25">
      <c r="A503" s="13"/>
      <c r="B503" s="3"/>
      <c r="C503" s="4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 spans="1:23" ht="15.75" customHeight="1" x14ac:dyDescent="0.25">
      <c r="A504" s="13"/>
      <c r="B504" s="3"/>
      <c r="C504" s="4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 spans="1:23" ht="15.75" customHeight="1" x14ac:dyDescent="0.25">
      <c r="A505" s="13"/>
      <c r="B505" s="3"/>
      <c r="C505" s="4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 spans="1:23" ht="15.75" customHeight="1" x14ac:dyDescent="0.25">
      <c r="A506" s="13"/>
      <c r="B506" s="3"/>
      <c r="C506" s="4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 spans="1:23" ht="15.75" customHeight="1" x14ac:dyDescent="0.25">
      <c r="A507" s="13"/>
      <c r="B507" s="3"/>
      <c r="C507" s="4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 spans="1:23" ht="15.75" customHeight="1" x14ac:dyDescent="0.25">
      <c r="A508" s="13"/>
      <c r="B508" s="3"/>
      <c r="C508" s="4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 spans="1:23" ht="15.75" customHeight="1" x14ac:dyDescent="0.25">
      <c r="A509" s="13"/>
      <c r="B509" s="3"/>
      <c r="C509" s="4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 spans="1:23" ht="15.75" customHeight="1" x14ac:dyDescent="0.25">
      <c r="A510" s="13"/>
      <c r="B510" s="3"/>
      <c r="C510" s="4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 spans="1:23" ht="15.75" customHeight="1" x14ac:dyDescent="0.25">
      <c r="A511" s="13"/>
      <c r="B511" s="3"/>
      <c r="C511" s="4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 spans="1:23" ht="15.75" customHeight="1" x14ac:dyDescent="0.25">
      <c r="A512" s="13"/>
      <c r="B512" s="3"/>
      <c r="C512" s="4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 spans="1:23" ht="15.75" customHeight="1" x14ac:dyDescent="0.25">
      <c r="A513" s="13"/>
      <c r="B513" s="3"/>
      <c r="C513" s="4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 spans="1:23" ht="15.75" customHeight="1" x14ac:dyDescent="0.25">
      <c r="A514" s="13"/>
      <c r="B514" s="3"/>
      <c r="C514" s="4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 spans="1:23" ht="15.75" customHeight="1" x14ac:dyDescent="0.25">
      <c r="A515" s="13"/>
      <c r="B515" s="3"/>
      <c r="C515" s="4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 spans="1:23" ht="15.75" customHeight="1" x14ac:dyDescent="0.25">
      <c r="A516" s="13"/>
      <c r="B516" s="3"/>
      <c r="C516" s="4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 spans="1:23" ht="15.75" customHeight="1" x14ac:dyDescent="0.25">
      <c r="A517" s="13"/>
      <c r="B517" s="3"/>
      <c r="C517" s="4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 spans="1:23" ht="15.75" customHeight="1" x14ac:dyDescent="0.25">
      <c r="A518" s="13"/>
      <c r="B518" s="3"/>
      <c r="C518" s="4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 spans="1:23" ht="15.75" customHeight="1" x14ac:dyDescent="0.25">
      <c r="A519" s="13"/>
      <c r="B519" s="3"/>
      <c r="C519" s="4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 spans="1:23" ht="15.75" customHeight="1" x14ac:dyDescent="0.25">
      <c r="A520" s="13"/>
      <c r="B520" s="3"/>
      <c r="C520" s="4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 spans="1:23" ht="15.75" customHeight="1" x14ac:dyDescent="0.25">
      <c r="A521" s="13"/>
      <c r="B521" s="3"/>
      <c r="C521" s="4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 spans="1:23" ht="15.75" customHeight="1" x14ac:dyDescent="0.25">
      <c r="A522" s="13"/>
      <c r="B522" s="3"/>
      <c r="C522" s="4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 spans="1:23" ht="15.75" customHeight="1" x14ac:dyDescent="0.25">
      <c r="A523" s="13"/>
      <c r="B523" s="3"/>
      <c r="C523" s="4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 spans="1:23" ht="15.75" customHeight="1" x14ac:dyDescent="0.25">
      <c r="A524" s="13"/>
      <c r="B524" s="3"/>
      <c r="C524" s="4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 spans="1:23" ht="15.75" customHeight="1" x14ac:dyDescent="0.25">
      <c r="A525" s="13"/>
      <c r="B525" s="3"/>
      <c r="C525" s="4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 spans="1:23" ht="15.75" customHeight="1" x14ac:dyDescent="0.25">
      <c r="A526" s="13"/>
      <c r="B526" s="3"/>
      <c r="C526" s="4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 spans="1:23" ht="15.75" customHeight="1" x14ac:dyDescent="0.25">
      <c r="A527" s="13"/>
      <c r="B527" s="3"/>
      <c r="C527" s="4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 spans="1:23" ht="15.75" customHeight="1" x14ac:dyDescent="0.25">
      <c r="A528" s="13"/>
      <c r="B528" s="3"/>
      <c r="C528" s="4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 spans="1:23" ht="15.75" customHeight="1" x14ac:dyDescent="0.25">
      <c r="A529" s="13"/>
      <c r="B529" s="3"/>
      <c r="C529" s="4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 spans="1:23" ht="15.75" customHeight="1" x14ac:dyDescent="0.25">
      <c r="A530" s="13"/>
      <c r="B530" s="3"/>
      <c r="C530" s="4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 spans="1:23" ht="15.75" customHeight="1" x14ac:dyDescent="0.25">
      <c r="A531" s="13"/>
      <c r="B531" s="3"/>
      <c r="C531" s="4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 spans="1:23" ht="15.75" customHeight="1" x14ac:dyDescent="0.25">
      <c r="A532" s="13"/>
      <c r="B532" s="3"/>
      <c r="C532" s="4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 spans="1:23" ht="15.75" customHeight="1" x14ac:dyDescent="0.25">
      <c r="A533" s="13"/>
      <c r="B533" s="3"/>
      <c r="C533" s="4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 spans="1:23" ht="15.75" customHeight="1" x14ac:dyDescent="0.25">
      <c r="A534" s="13"/>
      <c r="B534" s="3"/>
      <c r="C534" s="4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 spans="1:23" ht="15.75" customHeight="1" x14ac:dyDescent="0.25">
      <c r="A535" s="13"/>
      <c r="B535" s="3"/>
      <c r="C535" s="4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 spans="1:23" ht="15.75" customHeight="1" x14ac:dyDescent="0.25">
      <c r="A536" s="13"/>
      <c r="B536" s="3"/>
      <c r="C536" s="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 spans="1:23" ht="15.75" customHeight="1" x14ac:dyDescent="0.25">
      <c r="A537" s="13"/>
      <c r="B537" s="3"/>
      <c r="C537" s="4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 spans="1:23" ht="15.75" customHeight="1" x14ac:dyDescent="0.25">
      <c r="A538" s="13"/>
      <c r="B538" s="3"/>
      <c r="C538" s="4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 spans="1:23" ht="15.75" customHeight="1" x14ac:dyDescent="0.25">
      <c r="A539" s="13"/>
      <c r="B539" s="3"/>
      <c r="C539" s="4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 spans="1:23" ht="15.75" customHeight="1" x14ac:dyDescent="0.25">
      <c r="A540" s="13"/>
      <c r="B540" s="3"/>
      <c r="C540" s="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 spans="1:23" ht="15.75" customHeight="1" x14ac:dyDescent="0.25">
      <c r="A541" s="13"/>
      <c r="B541" s="3"/>
      <c r="C541" s="4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 spans="1:23" ht="15.75" customHeight="1" x14ac:dyDescent="0.25">
      <c r="A542" s="13"/>
      <c r="B542" s="3"/>
      <c r="C542" s="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 spans="1:23" ht="15.75" customHeight="1" x14ac:dyDescent="0.25">
      <c r="A543" s="13"/>
      <c r="B543" s="3"/>
      <c r="C543" s="4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 spans="1:23" ht="15.75" customHeight="1" x14ac:dyDescent="0.25">
      <c r="A544" s="13"/>
      <c r="B544" s="3"/>
      <c r="C544" s="4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 spans="1:23" ht="15.75" customHeight="1" x14ac:dyDescent="0.25">
      <c r="A545" s="13"/>
      <c r="B545" s="3"/>
      <c r="C545" s="4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 spans="1:23" ht="15.75" customHeight="1" x14ac:dyDescent="0.25">
      <c r="A546" s="13"/>
      <c r="B546" s="3"/>
      <c r="C546" s="4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 spans="1:23" ht="15.75" customHeight="1" x14ac:dyDescent="0.25">
      <c r="A547" s="13"/>
      <c r="B547" s="3"/>
      <c r="C547" s="4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 spans="1:23" ht="15.75" customHeight="1" x14ac:dyDescent="0.25">
      <c r="A548" s="13"/>
      <c r="B548" s="3"/>
      <c r="C548" s="4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 spans="1:23" ht="15.75" customHeight="1" x14ac:dyDescent="0.25">
      <c r="A549" s="13"/>
      <c r="B549" s="3"/>
      <c r="C549" s="4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 spans="1:23" ht="15.75" customHeight="1" x14ac:dyDescent="0.25">
      <c r="A550" s="13"/>
      <c r="B550" s="3"/>
      <c r="C550" s="4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 spans="1:23" ht="15.75" customHeight="1" x14ac:dyDescent="0.25">
      <c r="A551" s="13"/>
      <c r="B551" s="3"/>
      <c r="C551" s="4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 spans="1:23" ht="15.75" customHeight="1" x14ac:dyDescent="0.25">
      <c r="A552" s="13"/>
      <c r="B552" s="3"/>
      <c r="C552" s="4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 spans="1:23" ht="15.75" customHeight="1" x14ac:dyDescent="0.25">
      <c r="A553" s="13"/>
      <c r="B553" s="3"/>
      <c r="C553" s="4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 spans="1:23" ht="15.75" customHeight="1" x14ac:dyDescent="0.25">
      <c r="A554" s="13"/>
      <c r="B554" s="3"/>
      <c r="C554" s="4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 spans="1:23" ht="15.75" customHeight="1" x14ac:dyDescent="0.25">
      <c r="A555" s="13"/>
      <c r="B555" s="3"/>
      <c r="C555" s="4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 spans="1:23" ht="15.75" customHeight="1" x14ac:dyDescent="0.25">
      <c r="A556" s="13"/>
      <c r="B556" s="3"/>
      <c r="C556" s="4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 spans="1:23" ht="15.75" customHeight="1" x14ac:dyDescent="0.25">
      <c r="A557" s="13"/>
      <c r="B557" s="3"/>
      <c r="C557" s="4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 spans="1:23" ht="15.75" customHeight="1" x14ac:dyDescent="0.25">
      <c r="A558" s="13"/>
      <c r="B558" s="3"/>
      <c r="C558" s="4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 spans="1:23" ht="15.75" customHeight="1" x14ac:dyDescent="0.25">
      <c r="A559" s="13"/>
      <c r="B559" s="3"/>
      <c r="C559" s="4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 spans="1:23" ht="15.75" customHeight="1" x14ac:dyDescent="0.25">
      <c r="A560" s="13"/>
      <c r="B560" s="3"/>
      <c r="C560" s="4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 spans="1:23" ht="15.75" customHeight="1" x14ac:dyDescent="0.25">
      <c r="A561" s="13"/>
      <c r="B561" s="3"/>
      <c r="C561" s="4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 spans="1:23" ht="15.75" customHeight="1" x14ac:dyDescent="0.25">
      <c r="A562" s="13"/>
      <c r="B562" s="3"/>
      <c r="C562" s="4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 spans="1:23" ht="15.75" customHeight="1" x14ac:dyDescent="0.25">
      <c r="A563" s="13"/>
      <c r="B563" s="3"/>
      <c r="C563" s="4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 spans="1:23" ht="15.75" customHeight="1" x14ac:dyDescent="0.25">
      <c r="A564" s="13"/>
      <c r="B564" s="3"/>
      <c r="C564" s="4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 spans="1:23" ht="15.75" customHeight="1" x14ac:dyDescent="0.25">
      <c r="A565" s="13"/>
      <c r="B565" s="3"/>
      <c r="C565" s="4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 spans="1:23" ht="15.75" customHeight="1" x14ac:dyDescent="0.25">
      <c r="A566" s="13"/>
      <c r="B566" s="3"/>
      <c r="C566" s="4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 spans="1:23" ht="15.75" customHeight="1" x14ac:dyDescent="0.25">
      <c r="A567" s="13"/>
      <c r="B567" s="3"/>
      <c r="C567" s="4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 spans="1:23" ht="15.75" customHeight="1" x14ac:dyDescent="0.25">
      <c r="A568" s="13"/>
      <c r="B568" s="3"/>
      <c r="C568" s="4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 spans="1:23" ht="15.75" customHeight="1" x14ac:dyDescent="0.25">
      <c r="A569" s="13"/>
      <c r="B569" s="3"/>
      <c r="C569" s="4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 spans="1:23" ht="15.75" customHeight="1" x14ac:dyDescent="0.25">
      <c r="A570" s="13"/>
      <c r="B570" s="3"/>
      <c r="C570" s="4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 spans="1:23" ht="15.75" customHeight="1" x14ac:dyDescent="0.25">
      <c r="A571" s="13"/>
      <c r="B571" s="3"/>
      <c r="C571" s="4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 spans="1:23" ht="15.75" customHeight="1" x14ac:dyDescent="0.25">
      <c r="A572" s="13"/>
      <c r="B572" s="3"/>
      <c r="C572" s="4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 spans="1:23" ht="15.75" customHeight="1" x14ac:dyDescent="0.25">
      <c r="A573" s="13"/>
      <c r="B573" s="3"/>
      <c r="C573" s="4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 spans="1:23" ht="15.75" customHeight="1" x14ac:dyDescent="0.25">
      <c r="A574" s="13"/>
      <c r="B574" s="3"/>
      <c r="C574" s="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 spans="1:23" ht="15.75" customHeight="1" x14ac:dyDescent="0.25">
      <c r="A575" s="13"/>
      <c r="B575" s="3"/>
      <c r="C575" s="4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 spans="1:23" ht="15.75" customHeight="1" x14ac:dyDescent="0.25">
      <c r="A576" s="13"/>
      <c r="B576" s="3"/>
      <c r="C576" s="4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 spans="1:23" ht="15.75" customHeight="1" x14ac:dyDescent="0.25">
      <c r="A577" s="13"/>
      <c r="B577" s="3"/>
      <c r="C577" s="4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 spans="1:23" ht="15.75" customHeight="1" x14ac:dyDescent="0.25">
      <c r="A578" s="13"/>
      <c r="B578" s="3"/>
      <c r="C578" s="4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 spans="1:23" ht="15.75" customHeight="1" x14ac:dyDescent="0.25">
      <c r="A579" s="13"/>
      <c r="B579" s="3"/>
      <c r="C579" s="4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 spans="1:23" ht="15.75" customHeight="1" x14ac:dyDescent="0.25">
      <c r="A580" s="13"/>
      <c r="B580" s="3"/>
      <c r="C580" s="4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 spans="1:23" ht="15.75" customHeight="1" x14ac:dyDescent="0.25">
      <c r="A581" s="13"/>
      <c r="B581" s="3"/>
      <c r="C581" s="4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 spans="1:23" ht="15.75" customHeight="1" x14ac:dyDescent="0.25">
      <c r="A582" s="13"/>
      <c r="B582" s="3"/>
      <c r="C582" s="4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 spans="1:23" ht="15.75" customHeight="1" x14ac:dyDescent="0.25">
      <c r="A583" s="13"/>
      <c r="B583" s="3"/>
      <c r="C583" s="4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 spans="1:23" ht="15.75" customHeight="1" x14ac:dyDescent="0.25">
      <c r="A584" s="13"/>
      <c r="B584" s="3"/>
      <c r="C584" s="4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 spans="1:23" ht="15.75" customHeight="1" x14ac:dyDescent="0.25">
      <c r="A585" s="13"/>
      <c r="B585" s="3"/>
      <c r="C585" s="4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 spans="1:23" ht="15.75" customHeight="1" x14ac:dyDescent="0.25">
      <c r="A586" s="13"/>
      <c r="B586" s="3"/>
      <c r="C586" s="4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 spans="1:23" ht="15.75" customHeight="1" x14ac:dyDescent="0.25">
      <c r="A587" s="13"/>
      <c r="B587" s="3"/>
      <c r="C587" s="4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 spans="1:23" ht="15.75" customHeight="1" x14ac:dyDescent="0.25">
      <c r="A588" s="13"/>
      <c r="B588" s="3"/>
      <c r="C588" s="4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 spans="1:23" ht="15.75" customHeight="1" x14ac:dyDescent="0.25">
      <c r="A589" s="13"/>
      <c r="B589" s="3"/>
      <c r="C589" s="4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 spans="1:23" ht="15.75" customHeight="1" x14ac:dyDescent="0.25">
      <c r="A590" s="13"/>
      <c r="B590" s="3"/>
      <c r="C590" s="4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 spans="1:23" ht="15.75" customHeight="1" x14ac:dyDescent="0.25">
      <c r="A591" s="13"/>
      <c r="B591" s="3"/>
      <c r="C591" s="4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 spans="1:23" ht="15.75" customHeight="1" x14ac:dyDescent="0.25">
      <c r="A592" s="13"/>
      <c r="B592" s="3"/>
      <c r="C592" s="4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 spans="1:23" ht="15.75" customHeight="1" x14ac:dyDescent="0.25">
      <c r="A593" s="13"/>
      <c r="B593" s="3"/>
      <c r="C593" s="4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 spans="1:23" ht="15.75" customHeight="1" x14ac:dyDescent="0.25">
      <c r="A594" s="13"/>
      <c r="B594" s="3"/>
      <c r="C594" s="4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 spans="1:23" ht="15.75" customHeight="1" x14ac:dyDescent="0.25">
      <c r="A595" s="13"/>
      <c r="B595" s="3"/>
      <c r="C595" s="4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 spans="1:23" ht="15.75" customHeight="1" x14ac:dyDescent="0.25">
      <c r="A596" s="13"/>
      <c r="B596" s="3"/>
      <c r="C596" s="4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 spans="1:23" ht="15.75" customHeight="1" x14ac:dyDescent="0.25">
      <c r="A597" s="13"/>
      <c r="B597" s="3"/>
      <c r="C597" s="4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 spans="1:23" ht="15.75" customHeight="1" x14ac:dyDescent="0.25">
      <c r="A598" s="13"/>
      <c r="B598" s="3"/>
      <c r="C598" s="4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 spans="1:23" ht="15.75" customHeight="1" x14ac:dyDescent="0.25">
      <c r="A599" s="13"/>
      <c r="B599" s="3"/>
      <c r="C599" s="4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 spans="1:23" ht="15.75" customHeight="1" x14ac:dyDescent="0.25">
      <c r="A600" s="13"/>
      <c r="B600" s="3"/>
      <c r="C600" s="4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 spans="1:23" ht="15.75" customHeight="1" x14ac:dyDescent="0.25">
      <c r="A601" s="13"/>
      <c r="B601" s="3"/>
      <c r="C601" s="4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 spans="1:23" ht="15.75" customHeight="1" x14ac:dyDescent="0.25">
      <c r="A602" s="13"/>
      <c r="B602" s="3"/>
      <c r="C602" s="4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 spans="1:23" ht="15.75" customHeight="1" x14ac:dyDescent="0.25">
      <c r="A603" s="13"/>
      <c r="B603" s="3"/>
      <c r="C603" s="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 spans="1:23" ht="15.75" customHeight="1" x14ac:dyDescent="0.25">
      <c r="A604" s="13"/>
      <c r="B604" s="3"/>
      <c r="C604" s="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 spans="1:23" ht="15.75" customHeight="1" x14ac:dyDescent="0.25">
      <c r="A605" s="13"/>
      <c r="B605" s="3"/>
      <c r="C605" s="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 spans="1:23" ht="15.75" customHeight="1" x14ac:dyDescent="0.25">
      <c r="A606" s="13"/>
      <c r="B606" s="3"/>
      <c r="C606" s="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 spans="1:23" ht="15.75" customHeight="1" x14ac:dyDescent="0.25">
      <c r="A607" s="13"/>
      <c r="B607" s="3"/>
      <c r="C607" s="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 spans="1:23" ht="15.75" customHeight="1" x14ac:dyDescent="0.25">
      <c r="A608" s="13"/>
      <c r="B608" s="3"/>
      <c r="C608" s="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 spans="1:23" ht="15.75" customHeight="1" x14ac:dyDescent="0.25">
      <c r="A609" s="13"/>
      <c r="B609" s="3"/>
      <c r="C609" s="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 spans="1:23" ht="15.75" customHeight="1" x14ac:dyDescent="0.25">
      <c r="A610" s="13"/>
      <c r="B610" s="3"/>
      <c r="C610" s="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 spans="1:23" ht="15.75" customHeight="1" x14ac:dyDescent="0.25">
      <c r="A611" s="13"/>
      <c r="B611" s="3"/>
      <c r="C611" s="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 spans="1:23" ht="15.75" customHeight="1" x14ac:dyDescent="0.25">
      <c r="A612" s="13"/>
      <c r="B612" s="3"/>
      <c r="C612" s="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 spans="1:23" ht="15.75" customHeight="1" x14ac:dyDescent="0.25">
      <c r="A613" s="13"/>
      <c r="B613" s="3"/>
      <c r="C613" s="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 spans="1:23" ht="15.75" customHeight="1" x14ac:dyDescent="0.25">
      <c r="A614" s="13"/>
      <c r="B614" s="3"/>
      <c r="C614" s="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 spans="1:23" ht="15.75" customHeight="1" x14ac:dyDescent="0.25">
      <c r="A615" s="13"/>
      <c r="B615" s="3"/>
      <c r="C615" s="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 spans="1:23" ht="15.75" customHeight="1" x14ac:dyDescent="0.25">
      <c r="A616" s="13"/>
      <c r="B616" s="3"/>
      <c r="C616" s="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 spans="1:23" ht="15.75" customHeight="1" x14ac:dyDescent="0.25">
      <c r="A617" s="13"/>
      <c r="B617" s="3"/>
      <c r="C617" s="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 spans="1:23" ht="15.75" customHeight="1" x14ac:dyDescent="0.25">
      <c r="A618" s="13"/>
      <c r="B618" s="3"/>
      <c r="C618" s="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 spans="1:23" ht="15.75" customHeight="1" x14ac:dyDescent="0.25">
      <c r="A619" s="13"/>
      <c r="B619" s="3"/>
      <c r="C619" s="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 spans="1:23" ht="15.75" customHeight="1" x14ac:dyDescent="0.25">
      <c r="A620" s="13"/>
      <c r="B620" s="3"/>
      <c r="C620" s="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 spans="1:23" ht="15.75" customHeight="1" x14ac:dyDescent="0.25">
      <c r="A621" s="13"/>
      <c r="B621" s="3"/>
      <c r="C621" s="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 spans="1:23" ht="15.75" customHeight="1" x14ac:dyDescent="0.25">
      <c r="A622" s="13"/>
      <c r="B622" s="3"/>
      <c r="C622" s="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 spans="1:23" ht="15.75" customHeight="1" x14ac:dyDescent="0.25">
      <c r="A623" s="13"/>
      <c r="B623" s="3"/>
      <c r="C623" s="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 spans="1:23" ht="15.75" customHeight="1" x14ac:dyDescent="0.25">
      <c r="A624" s="13"/>
      <c r="B624" s="3"/>
      <c r="C624" s="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 spans="1:23" ht="15.75" customHeight="1" x14ac:dyDescent="0.25">
      <c r="A625" s="13"/>
      <c r="B625" s="3"/>
      <c r="C625" s="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 spans="1:23" ht="15.75" customHeight="1" x14ac:dyDescent="0.25">
      <c r="A626" s="13"/>
      <c r="B626" s="3"/>
      <c r="C626" s="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 spans="1:23" ht="15.75" customHeight="1" x14ac:dyDescent="0.25">
      <c r="A627" s="13"/>
      <c r="B627" s="3"/>
      <c r="C627" s="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 spans="1:23" ht="15.75" customHeight="1" x14ac:dyDescent="0.25">
      <c r="A628" s="13"/>
      <c r="B628" s="3"/>
      <c r="C628" s="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 spans="1:23" ht="15.75" customHeight="1" x14ac:dyDescent="0.25">
      <c r="A629" s="13"/>
      <c r="B629" s="3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 spans="1:23" ht="15.75" customHeight="1" x14ac:dyDescent="0.25">
      <c r="A630" s="13"/>
      <c r="B630" s="3"/>
      <c r="C630" s="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 spans="1:23" ht="15.75" customHeight="1" x14ac:dyDescent="0.25">
      <c r="A631" s="13"/>
      <c r="B631" s="3"/>
      <c r="C631" s="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 spans="1:23" ht="15.75" customHeight="1" x14ac:dyDescent="0.25">
      <c r="A632" s="13"/>
      <c r="B632" s="3"/>
      <c r="C632" s="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 spans="1:23" ht="15.75" customHeight="1" x14ac:dyDescent="0.25">
      <c r="A633" s="13"/>
      <c r="B633" s="3"/>
      <c r="C633" s="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 spans="1:23" ht="15.75" customHeight="1" x14ac:dyDescent="0.25">
      <c r="A634" s="13"/>
      <c r="B634" s="3"/>
      <c r="C634" s="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 spans="1:23" ht="15.75" customHeight="1" x14ac:dyDescent="0.25">
      <c r="A635" s="13"/>
      <c r="B635" s="3"/>
      <c r="C635" s="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 spans="1:23" ht="15.75" customHeight="1" x14ac:dyDescent="0.25">
      <c r="A636" s="13"/>
      <c r="B636" s="3"/>
      <c r="C636" s="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 spans="1:23" ht="15.75" customHeight="1" x14ac:dyDescent="0.25">
      <c r="A637" s="13"/>
      <c r="B637" s="3"/>
      <c r="C637" s="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 spans="1:23" ht="15.75" customHeight="1" x14ac:dyDescent="0.25">
      <c r="A638" s="13"/>
      <c r="B638" s="3"/>
      <c r="C638" s="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 spans="1:23" ht="15.75" customHeight="1" x14ac:dyDescent="0.25">
      <c r="A639" s="13"/>
      <c r="B639" s="3"/>
      <c r="C639" s="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 spans="1:23" ht="15.75" customHeight="1" x14ac:dyDescent="0.25">
      <c r="A640" s="13"/>
      <c r="B640" s="3"/>
      <c r="C640" s="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 spans="1:23" ht="15.75" customHeight="1" x14ac:dyDescent="0.25">
      <c r="A641" s="13"/>
      <c r="B641" s="3"/>
      <c r="C641" s="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 spans="1:23" ht="15.75" customHeight="1" x14ac:dyDescent="0.25">
      <c r="A642" s="13"/>
      <c r="B642" s="3"/>
      <c r="C642" s="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 spans="1:23" ht="15.75" customHeight="1" x14ac:dyDescent="0.25">
      <c r="A643" s="13"/>
      <c r="B643" s="3"/>
      <c r="C643" s="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 spans="1:23" ht="15.75" customHeight="1" x14ac:dyDescent="0.25">
      <c r="A644" s="13"/>
      <c r="B644" s="3"/>
      <c r="C644" s="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 spans="1:23" ht="15.75" customHeight="1" x14ac:dyDescent="0.25">
      <c r="A645" s="13"/>
      <c r="B645" s="3"/>
      <c r="C645" s="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 spans="1:23" ht="15.75" customHeight="1" x14ac:dyDescent="0.25">
      <c r="A646" s="13"/>
      <c r="B646" s="3"/>
      <c r="C646" s="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 spans="1:23" ht="15.75" customHeight="1" x14ac:dyDescent="0.25">
      <c r="A647" s="13"/>
      <c r="B647" s="3"/>
      <c r="C647" s="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 spans="1:23" ht="15.75" customHeight="1" x14ac:dyDescent="0.25">
      <c r="A648" s="13"/>
      <c r="B648" s="3"/>
      <c r="C648" s="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 spans="1:23" ht="15.75" customHeight="1" x14ac:dyDescent="0.25">
      <c r="A649" s="13"/>
      <c r="B649" s="3"/>
      <c r="C649" s="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 spans="1:23" ht="15.75" customHeight="1" x14ac:dyDescent="0.25">
      <c r="A650" s="13"/>
      <c r="B650" s="3"/>
      <c r="C650" s="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 spans="1:23" ht="15.75" customHeight="1" x14ac:dyDescent="0.25">
      <c r="A651" s="13"/>
      <c r="B651" s="3"/>
      <c r="C651" s="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 spans="1:23" ht="15.75" customHeight="1" x14ac:dyDescent="0.25">
      <c r="A652" s="13"/>
      <c r="B652" s="3"/>
      <c r="C652" s="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 spans="1:23" ht="15.75" customHeight="1" x14ac:dyDescent="0.25">
      <c r="A653" s="13"/>
      <c r="B653" s="3"/>
      <c r="C653" s="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 spans="1:23" ht="15.75" customHeight="1" x14ac:dyDescent="0.25">
      <c r="A654" s="13"/>
      <c r="B654" s="3"/>
      <c r="C654" s="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 spans="1:23" ht="15.75" customHeight="1" x14ac:dyDescent="0.25">
      <c r="A655" s="13"/>
      <c r="B655" s="3"/>
      <c r="C655" s="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 spans="1:23" ht="15.75" customHeight="1" x14ac:dyDescent="0.25">
      <c r="A656" s="13"/>
      <c r="B656" s="3"/>
      <c r="C656" s="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 spans="1:23" ht="15.75" customHeight="1" x14ac:dyDescent="0.25">
      <c r="A657" s="13"/>
      <c r="B657" s="3"/>
      <c r="C657" s="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 spans="1:23" ht="15.75" customHeight="1" x14ac:dyDescent="0.25">
      <c r="A658" s="13"/>
      <c r="B658" s="3"/>
      <c r="C658" s="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 spans="1:23" ht="15.75" customHeight="1" x14ac:dyDescent="0.25">
      <c r="A659" s="13"/>
      <c r="B659" s="3"/>
      <c r="C659" s="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 spans="1:23" ht="15.75" customHeight="1" x14ac:dyDescent="0.25">
      <c r="A660" s="13"/>
      <c r="B660" s="3"/>
      <c r="C660" s="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 spans="1:23" ht="15.75" customHeight="1" x14ac:dyDescent="0.25">
      <c r="A661" s="13"/>
      <c r="B661" s="3"/>
      <c r="C661" s="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 spans="1:23" ht="15.75" customHeight="1" x14ac:dyDescent="0.25">
      <c r="A662" s="13"/>
      <c r="B662" s="3"/>
      <c r="C662" s="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 spans="1:23" ht="15.75" customHeight="1" x14ac:dyDescent="0.25">
      <c r="A663" s="13"/>
      <c r="B663" s="3"/>
      <c r="C663" s="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 spans="1:23" ht="15.75" customHeight="1" x14ac:dyDescent="0.25">
      <c r="A664" s="13"/>
      <c r="B664" s="3"/>
      <c r="C664" s="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 spans="1:23" ht="15.75" customHeight="1" x14ac:dyDescent="0.25">
      <c r="A665" s="13"/>
      <c r="B665" s="3"/>
      <c r="C665" s="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 spans="1:23" ht="15.75" customHeight="1" x14ac:dyDescent="0.25">
      <c r="A666" s="13"/>
      <c r="B666" s="3"/>
      <c r="C666" s="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 spans="1:23" ht="15.75" customHeight="1" x14ac:dyDescent="0.25">
      <c r="A667" s="13"/>
      <c r="B667" s="3"/>
      <c r="C667" s="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 spans="1:23" ht="15.75" customHeight="1" x14ac:dyDescent="0.25">
      <c r="A668" s="13"/>
      <c r="B668" s="3"/>
      <c r="C668" s="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 spans="1:23" ht="15.75" customHeight="1" x14ac:dyDescent="0.25">
      <c r="A669" s="13"/>
      <c r="B669" s="3"/>
      <c r="C669" s="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 spans="1:23" ht="15.75" customHeight="1" x14ac:dyDescent="0.25">
      <c r="A670" s="13"/>
      <c r="B670" s="3"/>
      <c r="C670" s="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 spans="1:23" ht="15.75" customHeight="1" x14ac:dyDescent="0.25">
      <c r="A671" s="13"/>
      <c r="B671" s="3"/>
      <c r="C671" s="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 spans="1:23" ht="15.75" customHeight="1" x14ac:dyDescent="0.25">
      <c r="A672" s="13"/>
      <c r="B672" s="3"/>
      <c r="C672" s="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 spans="1:23" ht="15.75" customHeight="1" x14ac:dyDescent="0.25">
      <c r="A673" s="13"/>
      <c r="B673" s="3"/>
      <c r="C673" s="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 spans="1:23" ht="15.75" customHeight="1" x14ac:dyDescent="0.25">
      <c r="A674" s="13"/>
      <c r="B674" s="3"/>
      <c r="C674" s="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 spans="1:23" ht="15.75" customHeight="1" x14ac:dyDescent="0.25">
      <c r="A675" s="13"/>
      <c r="B675" s="3"/>
      <c r="C675" s="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 spans="1:23" ht="15.75" customHeight="1" x14ac:dyDescent="0.25">
      <c r="A676" s="13"/>
      <c r="B676" s="3"/>
      <c r="C676" s="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 spans="1:23" ht="15.75" customHeight="1" x14ac:dyDescent="0.25">
      <c r="A677" s="13"/>
      <c r="B677" s="3"/>
      <c r="C677" s="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 spans="1:23" ht="15.75" customHeight="1" x14ac:dyDescent="0.25">
      <c r="A678" s="13"/>
      <c r="B678" s="3"/>
      <c r="C678" s="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 spans="1:23" ht="15.75" customHeight="1" x14ac:dyDescent="0.25">
      <c r="A679" s="13"/>
      <c r="B679" s="3"/>
      <c r="C679" s="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 spans="1:23" ht="15.75" customHeight="1" x14ac:dyDescent="0.25">
      <c r="A680" s="13"/>
      <c r="B680" s="3"/>
      <c r="C680" s="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 spans="1:23" ht="15.75" customHeight="1" x14ac:dyDescent="0.25">
      <c r="A681" s="13"/>
      <c r="B681" s="3"/>
      <c r="C681" s="4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 spans="1:23" ht="15.75" customHeight="1" x14ac:dyDescent="0.25">
      <c r="A682" s="13"/>
      <c r="B682" s="3"/>
      <c r="C682" s="4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 spans="1:23" ht="15.75" customHeight="1" x14ac:dyDescent="0.25">
      <c r="A683" s="13"/>
      <c r="B683" s="3"/>
      <c r="C683" s="4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 spans="1:23" ht="15.75" customHeight="1" x14ac:dyDescent="0.25">
      <c r="A684" s="13"/>
      <c r="B684" s="3"/>
      <c r="C684" s="4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 spans="1:23" ht="15.75" customHeight="1" x14ac:dyDescent="0.25">
      <c r="A685" s="13"/>
      <c r="B685" s="3"/>
      <c r="C685" s="4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 spans="1:23" ht="15.75" customHeight="1" x14ac:dyDescent="0.25">
      <c r="A686" s="13"/>
      <c r="B686" s="3"/>
      <c r="C686" s="4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 spans="1:23" ht="15.75" customHeight="1" x14ac:dyDescent="0.25">
      <c r="A687" s="13"/>
      <c r="B687" s="3"/>
      <c r="C687" s="4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 spans="1:23" ht="15.75" customHeight="1" x14ac:dyDescent="0.25">
      <c r="A688" s="13"/>
      <c r="B688" s="3"/>
      <c r="C688" s="4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 spans="1:23" ht="15.75" customHeight="1" x14ac:dyDescent="0.25">
      <c r="A689" s="13"/>
      <c r="B689" s="3"/>
      <c r="C689" s="4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 spans="1:23" ht="15.75" customHeight="1" x14ac:dyDescent="0.25">
      <c r="A690" s="13"/>
      <c r="B690" s="3"/>
      <c r="C690" s="4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 spans="1:23" ht="15.75" customHeight="1" x14ac:dyDescent="0.25">
      <c r="A691" s="13"/>
      <c r="B691" s="3"/>
      <c r="C691" s="4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 spans="1:23" ht="15.75" customHeight="1" x14ac:dyDescent="0.25">
      <c r="A692" s="13"/>
      <c r="B692" s="3"/>
      <c r="C692" s="4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 spans="1:23" ht="15.75" customHeight="1" x14ac:dyDescent="0.25">
      <c r="A693" s="13"/>
      <c r="B693" s="3"/>
      <c r="C693" s="4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 spans="1:23" ht="15.75" customHeight="1" x14ac:dyDescent="0.25">
      <c r="A694" s="13"/>
      <c r="B694" s="3"/>
      <c r="C694" s="4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 spans="1:23" ht="15.75" customHeight="1" x14ac:dyDescent="0.25">
      <c r="A695" s="13"/>
      <c r="B695" s="3"/>
      <c r="C695" s="4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 spans="1:23" ht="15.75" customHeight="1" x14ac:dyDescent="0.25">
      <c r="A696" s="13"/>
      <c r="B696" s="3"/>
      <c r="C696" s="4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 spans="1:23" ht="15.75" customHeight="1" x14ac:dyDescent="0.25">
      <c r="A697" s="13"/>
      <c r="B697" s="3"/>
      <c r="C697" s="4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 spans="1:23" ht="15.75" customHeight="1" x14ac:dyDescent="0.25">
      <c r="A698" s="13"/>
      <c r="B698" s="3"/>
      <c r="C698" s="4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 spans="1:23" ht="15.75" customHeight="1" x14ac:dyDescent="0.25">
      <c r="A699" s="13"/>
      <c r="B699" s="3"/>
      <c r="C699" s="4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 spans="1:23" ht="15.75" customHeight="1" x14ac:dyDescent="0.25">
      <c r="A700" s="13"/>
      <c r="B700" s="3"/>
      <c r="C700" s="4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 spans="1:23" ht="15.75" customHeight="1" x14ac:dyDescent="0.25">
      <c r="A701" s="13"/>
      <c r="B701" s="3"/>
      <c r="C701" s="4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 spans="1:23" ht="15.75" customHeight="1" x14ac:dyDescent="0.25">
      <c r="A702" s="13"/>
      <c r="B702" s="3"/>
      <c r="C702" s="4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 spans="1:23" ht="15.75" customHeight="1" x14ac:dyDescent="0.25">
      <c r="A703" s="13"/>
      <c r="B703" s="3"/>
      <c r="C703" s="4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 spans="1:23" ht="15.75" customHeight="1" x14ac:dyDescent="0.25">
      <c r="A704" s="13"/>
      <c r="B704" s="3"/>
      <c r="C704" s="4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 spans="1:23" ht="15.75" customHeight="1" x14ac:dyDescent="0.25">
      <c r="A705" s="13"/>
      <c r="B705" s="3"/>
      <c r="C705" s="4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 spans="1:23" ht="15.75" customHeight="1" x14ac:dyDescent="0.25">
      <c r="A706" s="13"/>
      <c r="B706" s="3"/>
      <c r="C706" s="4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 spans="1:23" ht="15.75" customHeight="1" x14ac:dyDescent="0.25">
      <c r="A707" s="13"/>
      <c r="B707" s="3"/>
      <c r="C707" s="4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 spans="1:23" ht="15.75" customHeight="1" x14ac:dyDescent="0.25">
      <c r="A708" s="13"/>
      <c r="B708" s="3"/>
      <c r="C708" s="4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 spans="1:23" ht="15.75" customHeight="1" x14ac:dyDescent="0.25">
      <c r="A709" s="13"/>
      <c r="B709" s="3"/>
      <c r="C709" s="4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 spans="1:23" ht="15.75" customHeight="1" x14ac:dyDescent="0.25">
      <c r="A710" s="13"/>
      <c r="B710" s="3"/>
      <c r="C710" s="4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 spans="1:23" ht="15.75" customHeight="1" x14ac:dyDescent="0.25">
      <c r="A711" s="13"/>
      <c r="B711" s="3"/>
      <c r="C711" s="4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 spans="1:23" ht="15.75" customHeight="1" x14ac:dyDescent="0.25">
      <c r="A712" s="13"/>
      <c r="B712" s="3"/>
      <c r="C712" s="4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 spans="1:23" ht="15.75" customHeight="1" x14ac:dyDescent="0.25">
      <c r="A713" s="13"/>
      <c r="B713" s="3"/>
      <c r="C713" s="4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 spans="1:23" ht="15.75" customHeight="1" x14ac:dyDescent="0.25">
      <c r="A714" s="13"/>
      <c r="B714" s="3"/>
      <c r="C714" s="4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 spans="1:23" ht="15.75" customHeight="1" x14ac:dyDescent="0.25">
      <c r="A715" s="13"/>
      <c r="B715" s="3"/>
      <c r="C715" s="4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 spans="1:23" ht="15.75" customHeight="1" x14ac:dyDescent="0.25">
      <c r="A716" s="13"/>
      <c r="B716" s="3"/>
      <c r="C716" s="4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 spans="1:23" ht="15.75" customHeight="1" x14ac:dyDescent="0.25">
      <c r="A717" s="13"/>
      <c r="B717" s="3"/>
      <c r="C717" s="4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 spans="1:23" ht="15.75" customHeight="1" x14ac:dyDescent="0.25">
      <c r="A718" s="13"/>
      <c r="B718" s="3"/>
      <c r="C718" s="4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 spans="1:23" ht="15.75" customHeight="1" x14ac:dyDescent="0.25">
      <c r="A719" s="13"/>
      <c r="B719" s="3"/>
      <c r="C719" s="4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 spans="1:23" ht="15.75" customHeight="1" x14ac:dyDescent="0.25">
      <c r="A720" s="13"/>
      <c r="B720" s="3"/>
      <c r="C720" s="4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 spans="1:23" ht="15.75" customHeight="1" x14ac:dyDescent="0.25">
      <c r="A721" s="13"/>
      <c r="B721" s="3"/>
      <c r="C721" s="4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 spans="1:23" ht="15.75" customHeight="1" x14ac:dyDescent="0.25">
      <c r="A722" s="13"/>
      <c r="B722" s="3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 spans="1:23" ht="15.75" customHeight="1" x14ac:dyDescent="0.25">
      <c r="A723" s="13"/>
      <c r="B723" s="3"/>
      <c r="C723" s="4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 spans="1:23" ht="15.75" customHeight="1" x14ac:dyDescent="0.25">
      <c r="A724" s="13"/>
      <c r="B724" s="3"/>
      <c r="C724" s="4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 spans="1:23" ht="15.75" customHeight="1" x14ac:dyDescent="0.25">
      <c r="A725" s="13"/>
      <c r="B725" s="3"/>
      <c r="C725" s="4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 spans="1:23" ht="15.75" customHeight="1" x14ac:dyDescent="0.25">
      <c r="A726" s="13"/>
      <c r="B726" s="3"/>
      <c r="C726" s="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 spans="1:23" ht="15.75" customHeight="1" x14ac:dyDescent="0.25">
      <c r="A727" s="13"/>
      <c r="B727" s="3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 spans="1:23" ht="15.75" customHeight="1" x14ac:dyDescent="0.25">
      <c r="A728" s="13"/>
      <c r="B728" s="3"/>
      <c r="C728" s="4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 spans="1:23" ht="15.75" customHeight="1" x14ac:dyDescent="0.25">
      <c r="A729" s="13"/>
      <c r="B729" s="3"/>
      <c r="C729" s="4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 spans="1:23" ht="15.75" customHeight="1" x14ac:dyDescent="0.25">
      <c r="A730" s="13"/>
      <c r="B730" s="3"/>
      <c r="C730" s="4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 spans="1:23" ht="15.75" customHeight="1" x14ac:dyDescent="0.25">
      <c r="A731" s="13"/>
      <c r="B731" s="3"/>
      <c r="C731" s="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 spans="1:23" ht="15.75" customHeight="1" x14ac:dyDescent="0.25">
      <c r="A732" s="13"/>
      <c r="B732" s="3"/>
      <c r="C732" s="4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 spans="1:23" ht="15.75" customHeight="1" x14ac:dyDescent="0.25">
      <c r="A733" s="13"/>
      <c r="B733" s="3"/>
      <c r="C733" s="4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 spans="1:23" ht="15.75" customHeight="1" x14ac:dyDescent="0.25">
      <c r="A734" s="13"/>
      <c r="B734" s="3"/>
      <c r="C734" s="4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 spans="1:23" ht="15.75" customHeight="1" x14ac:dyDescent="0.25">
      <c r="A735" s="13"/>
      <c r="B735" s="3"/>
      <c r="C735" s="4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 spans="1:23" ht="15.75" customHeight="1" x14ac:dyDescent="0.25">
      <c r="A736" s="13"/>
      <c r="B736" s="3"/>
      <c r="C736" s="4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 spans="1:23" ht="15.75" customHeight="1" x14ac:dyDescent="0.25">
      <c r="A737" s="13"/>
      <c r="B737" s="3"/>
      <c r="C737" s="4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 spans="1:23" ht="15.75" customHeight="1" x14ac:dyDescent="0.25">
      <c r="A738" s="13"/>
      <c r="B738" s="3"/>
      <c r="C738" s="4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 spans="1:23" ht="15.75" customHeight="1" x14ac:dyDescent="0.25">
      <c r="A739" s="13"/>
      <c r="B739" s="3"/>
      <c r="C739" s="4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 spans="1:23" ht="15.75" customHeight="1" x14ac:dyDescent="0.25">
      <c r="A740" s="13"/>
      <c r="B740" s="3"/>
      <c r="C740" s="4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 spans="1:23" ht="15.75" customHeight="1" x14ac:dyDescent="0.25">
      <c r="A741" s="13"/>
      <c r="B741" s="3"/>
      <c r="C741" s="4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 spans="1:23" ht="15.75" customHeight="1" x14ac:dyDescent="0.25">
      <c r="A742" s="13"/>
      <c r="B742" s="3"/>
      <c r="C742" s="4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 spans="1:23" ht="15.75" customHeight="1" x14ac:dyDescent="0.25">
      <c r="A743" s="13"/>
      <c r="B743" s="3"/>
      <c r="C743" s="4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 spans="1:23" ht="15.75" customHeight="1" x14ac:dyDescent="0.25">
      <c r="A744" s="13"/>
      <c r="B744" s="3"/>
      <c r="C744" s="4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 spans="1:23" ht="15.75" customHeight="1" x14ac:dyDescent="0.25">
      <c r="A745" s="13"/>
      <c r="B745" s="3"/>
      <c r="C745" s="4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 spans="1:23" ht="15.75" customHeight="1" x14ac:dyDescent="0.25">
      <c r="A746" s="13"/>
      <c r="B746" s="3"/>
      <c r="C746" s="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 spans="1:23" ht="15.75" customHeight="1" x14ac:dyDescent="0.25">
      <c r="A747" s="13"/>
      <c r="B747" s="3"/>
      <c r="C747" s="4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 spans="1:23" ht="15.75" customHeight="1" x14ac:dyDescent="0.25">
      <c r="A748" s="13"/>
      <c r="B748" s="3"/>
      <c r="C748" s="4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 spans="1:23" ht="15.75" customHeight="1" x14ac:dyDescent="0.25">
      <c r="A749" s="13"/>
      <c r="B749" s="3"/>
      <c r="C749" s="4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 spans="1:23" ht="15.75" customHeight="1" x14ac:dyDescent="0.25">
      <c r="A750" s="13"/>
      <c r="B750" s="3"/>
      <c r="C750" s="4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 spans="1:23" ht="15.75" customHeight="1" x14ac:dyDescent="0.25">
      <c r="A751" s="13"/>
      <c r="B751" s="3"/>
      <c r="C751" s="4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 spans="1:23" ht="15.75" customHeight="1" x14ac:dyDescent="0.25">
      <c r="A752" s="13"/>
      <c r="B752" s="3"/>
      <c r="C752" s="4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 spans="1:23" ht="15.75" customHeight="1" x14ac:dyDescent="0.25">
      <c r="A753" s="13"/>
      <c r="B753" s="3"/>
      <c r="C753" s="4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 spans="1:23" ht="15.75" customHeight="1" x14ac:dyDescent="0.25">
      <c r="A754" s="13"/>
      <c r="B754" s="3"/>
      <c r="C754" s="4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 spans="1:23" ht="15.75" customHeight="1" x14ac:dyDescent="0.25">
      <c r="A755" s="13"/>
      <c r="B755" s="3"/>
      <c r="C755" s="4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 spans="1:23" ht="15.75" customHeight="1" x14ac:dyDescent="0.25">
      <c r="A756" s="13"/>
      <c r="B756" s="3"/>
      <c r="C756" s="4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 spans="1:23" ht="15.75" customHeight="1" x14ac:dyDescent="0.25">
      <c r="A757" s="13"/>
      <c r="B757" s="3"/>
      <c r="C757" s="4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 spans="1:23" ht="15.75" customHeight="1" x14ac:dyDescent="0.25">
      <c r="A758" s="13"/>
      <c r="B758" s="3"/>
      <c r="C758" s="4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 spans="1:23" ht="15.75" customHeight="1" x14ac:dyDescent="0.25">
      <c r="A759" s="13"/>
      <c r="B759" s="3"/>
      <c r="C759" s="4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 spans="1:23" ht="15.75" customHeight="1" x14ac:dyDescent="0.25">
      <c r="A760" s="13"/>
      <c r="B760" s="3"/>
      <c r="C760" s="4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 spans="1:23" ht="15.75" customHeight="1" x14ac:dyDescent="0.25">
      <c r="A761" s="13"/>
      <c r="B761" s="3"/>
      <c r="C761" s="4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 spans="1:23" ht="15.75" customHeight="1" x14ac:dyDescent="0.25">
      <c r="A762" s="13"/>
      <c r="B762" s="3"/>
      <c r="C762" s="4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 spans="1:23" ht="15.75" customHeight="1" x14ac:dyDescent="0.25">
      <c r="A763" s="13"/>
      <c r="B763" s="3"/>
      <c r="C763" s="4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 spans="1:23" ht="15.75" customHeight="1" x14ac:dyDescent="0.25">
      <c r="A764" s="13"/>
      <c r="B764" s="3"/>
      <c r="C764" s="4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 spans="1:23" ht="15.75" customHeight="1" x14ac:dyDescent="0.25">
      <c r="A765" s="13"/>
      <c r="B765" s="3"/>
      <c r="C765" s="4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 spans="1:23" ht="15.75" customHeight="1" x14ac:dyDescent="0.25">
      <c r="A766" s="13"/>
      <c r="B766" s="3"/>
      <c r="C766" s="4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  <row r="767" spans="1:23" ht="15.75" customHeight="1" x14ac:dyDescent="0.25">
      <c r="A767" s="13"/>
      <c r="B767" s="3"/>
      <c r="C767" s="4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</row>
    <row r="768" spans="1:23" ht="15.75" customHeight="1" x14ac:dyDescent="0.25">
      <c r="A768" s="13"/>
      <c r="B768" s="3"/>
      <c r="C768" s="4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</row>
    <row r="769" spans="1:23" ht="15.75" customHeight="1" x14ac:dyDescent="0.25">
      <c r="A769" s="13"/>
      <c r="B769" s="3"/>
      <c r="C769" s="4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</row>
    <row r="770" spans="1:23" ht="15.75" customHeight="1" x14ac:dyDescent="0.25">
      <c r="A770" s="13"/>
      <c r="B770" s="3"/>
      <c r="C770" s="4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</row>
    <row r="771" spans="1:23" ht="15.75" customHeight="1" x14ac:dyDescent="0.25">
      <c r="A771" s="13"/>
      <c r="B771" s="3"/>
      <c r="C771" s="4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</row>
    <row r="772" spans="1:23" ht="15.75" customHeight="1" x14ac:dyDescent="0.25">
      <c r="A772" s="13"/>
      <c r="B772" s="3"/>
      <c r="C772" s="4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</row>
    <row r="773" spans="1:23" ht="15.75" customHeight="1" x14ac:dyDescent="0.25">
      <c r="A773" s="13"/>
      <c r="B773" s="3"/>
      <c r="C773" s="4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</row>
    <row r="774" spans="1:23" ht="15.75" customHeight="1" x14ac:dyDescent="0.25">
      <c r="A774" s="13"/>
      <c r="B774" s="3"/>
      <c r="C774" s="4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</row>
    <row r="775" spans="1:23" ht="15.75" customHeight="1" x14ac:dyDescent="0.25">
      <c r="A775" s="13"/>
      <c r="B775" s="3"/>
      <c r="C775" s="4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</row>
    <row r="776" spans="1:23" ht="15.75" customHeight="1" x14ac:dyDescent="0.25">
      <c r="A776" s="13"/>
      <c r="B776" s="3"/>
      <c r="C776" s="4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</row>
    <row r="777" spans="1:23" ht="15.75" customHeight="1" x14ac:dyDescent="0.25">
      <c r="A777" s="13"/>
      <c r="B777" s="3"/>
      <c r="C777" s="4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</row>
    <row r="778" spans="1:23" ht="15.75" customHeight="1" x14ac:dyDescent="0.25">
      <c r="A778" s="13"/>
      <c r="B778" s="3"/>
      <c r="C778" s="4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</row>
    <row r="779" spans="1:23" ht="15.75" customHeight="1" x14ac:dyDescent="0.25">
      <c r="A779" s="13"/>
      <c r="B779" s="3"/>
      <c r="C779" s="4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</row>
    <row r="780" spans="1:23" ht="15.75" customHeight="1" x14ac:dyDescent="0.25">
      <c r="A780" s="13"/>
      <c r="B780" s="3"/>
      <c r="C780" s="4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</row>
    <row r="781" spans="1:23" ht="15.75" customHeight="1" x14ac:dyDescent="0.25">
      <c r="A781" s="13"/>
      <c r="B781" s="3"/>
      <c r="C781" s="4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</row>
    <row r="782" spans="1:23" ht="15.75" customHeight="1" x14ac:dyDescent="0.25">
      <c r="A782" s="13"/>
      <c r="B782" s="3"/>
      <c r="C782" s="4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</row>
    <row r="783" spans="1:23" ht="15.75" customHeight="1" x14ac:dyDescent="0.25">
      <c r="A783" s="13"/>
      <c r="B783" s="3"/>
      <c r="C783" s="4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</row>
    <row r="784" spans="1:23" ht="15.75" customHeight="1" x14ac:dyDescent="0.25">
      <c r="A784" s="13"/>
      <c r="B784" s="3"/>
      <c r="C784" s="4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</row>
    <row r="785" spans="1:23" ht="15.75" customHeight="1" x14ac:dyDescent="0.25">
      <c r="A785" s="13"/>
      <c r="B785" s="3"/>
      <c r="C785" s="4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</row>
    <row r="786" spans="1:23" ht="15.75" customHeight="1" x14ac:dyDescent="0.25">
      <c r="A786" s="13"/>
      <c r="B786" s="3"/>
      <c r="C786" s="4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</row>
    <row r="787" spans="1:23" ht="15.75" customHeight="1" x14ac:dyDescent="0.25">
      <c r="A787" s="13"/>
      <c r="B787" s="3"/>
      <c r="C787" s="4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</row>
    <row r="788" spans="1:23" ht="15.75" customHeight="1" x14ac:dyDescent="0.25">
      <c r="A788" s="13"/>
      <c r="B788" s="3"/>
      <c r="C788" s="4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</row>
    <row r="789" spans="1:23" ht="15.75" customHeight="1" x14ac:dyDescent="0.25">
      <c r="A789" s="13"/>
      <c r="B789" s="3"/>
      <c r="C789" s="4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</row>
    <row r="790" spans="1:23" ht="15.75" customHeight="1" x14ac:dyDescent="0.25">
      <c r="A790" s="13"/>
      <c r="B790" s="3"/>
      <c r="C790" s="4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</row>
    <row r="791" spans="1:23" ht="15.75" customHeight="1" x14ac:dyDescent="0.25">
      <c r="A791" s="13"/>
      <c r="B791" s="3"/>
      <c r="C791" s="4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</row>
    <row r="792" spans="1:23" ht="15.75" customHeight="1" x14ac:dyDescent="0.25">
      <c r="A792" s="13"/>
      <c r="B792" s="3"/>
      <c r="C792" s="4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</row>
    <row r="793" spans="1:23" ht="15.75" customHeight="1" x14ac:dyDescent="0.25">
      <c r="A793" s="13"/>
      <c r="B793" s="3"/>
      <c r="C793" s="4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</row>
    <row r="794" spans="1:23" ht="15.75" customHeight="1" x14ac:dyDescent="0.25">
      <c r="A794" s="13"/>
      <c r="B794" s="3"/>
      <c r="C794" s="4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</row>
    <row r="795" spans="1:23" ht="15.75" customHeight="1" x14ac:dyDescent="0.25">
      <c r="A795" s="13"/>
      <c r="B795" s="3"/>
      <c r="C795" s="4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</row>
    <row r="796" spans="1:23" ht="15.75" customHeight="1" x14ac:dyDescent="0.25">
      <c r="A796" s="13"/>
      <c r="B796" s="3"/>
      <c r="C796" s="4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</row>
    <row r="797" spans="1:23" ht="15.75" customHeight="1" x14ac:dyDescent="0.25">
      <c r="A797" s="13"/>
      <c r="B797" s="3"/>
      <c r="C797" s="4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</row>
    <row r="798" spans="1:23" ht="15.75" customHeight="1" x14ac:dyDescent="0.25">
      <c r="A798" s="13"/>
      <c r="B798" s="3"/>
      <c r="C798" s="4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</row>
    <row r="799" spans="1:23" ht="15.75" customHeight="1" x14ac:dyDescent="0.25">
      <c r="A799" s="13"/>
      <c r="B799" s="3"/>
      <c r="C799" s="4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</row>
    <row r="800" spans="1:23" ht="15.75" customHeight="1" x14ac:dyDescent="0.25">
      <c r="A800" s="13"/>
      <c r="B800" s="3"/>
      <c r="C800" s="4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</row>
    <row r="801" spans="1:23" ht="15.75" customHeight="1" x14ac:dyDescent="0.25">
      <c r="A801" s="13"/>
      <c r="B801" s="3"/>
      <c r="C801" s="4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</row>
    <row r="802" spans="1:23" ht="15.75" customHeight="1" x14ac:dyDescent="0.25">
      <c r="A802" s="13"/>
      <c r="B802" s="3"/>
      <c r="C802" s="4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</row>
    <row r="803" spans="1:23" ht="15.75" customHeight="1" x14ac:dyDescent="0.25">
      <c r="A803" s="13"/>
      <c r="B803" s="3"/>
      <c r="C803" s="4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</row>
    <row r="804" spans="1:23" ht="15.75" customHeight="1" x14ac:dyDescent="0.25">
      <c r="A804" s="13"/>
      <c r="B804" s="3"/>
      <c r="C804" s="4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</row>
    <row r="805" spans="1:23" ht="15.75" customHeight="1" x14ac:dyDescent="0.25">
      <c r="A805" s="13"/>
      <c r="B805" s="3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</row>
    <row r="806" spans="1:23" ht="15.75" customHeight="1" x14ac:dyDescent="0.25">
      <c r="A806" s="13"/>
      <c r="B806" s="3"/>
      <c r="C806" s="4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</row>
    <row r="807" spans="1:23" ht="15.75" customHeight="1" x14ac:dyDescent="0.25">
      <c r="A807" s="13"/>
      <c r="B807" s="3"/>
      <c r="C807" s="4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</row>
    <row r="808" spans="1:23" ht="15.75" customHeight="1" x14ac:dyDescent="0.25">
      <c r="A808" s="13"/>
      <c r="B808" s="3"/>
      <c r="C808" s="4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</row>
    <row r="809" spans="1:23" ht="15.75" customHeight="1" x14ac:dyDescent="0.25">
      <c r="A809" s="13"/>
      <c r="B809" s="3"/>
      <c r="C809" s="4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</row>
    <row r="810" spans="1:23" ht="15.75" customHeight="1" x14ac:dyDescent="0.25">
      <c r="A810" s="13"/>
      <c r="B810" s="3"/>
      <c r="C810" s="4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</row>
    <row r="811" spans="1:23" ht="15.75" customHeight="1" x14ac:dyDescent="0.25">
      <c r="A811" s="13"/>
      <c r="B811" s="3"/>
      <c r="C811" s="4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</row>
    <row r="812" spans="1:23" ht="15.75" customHeight="1" x14ac:dyDescent="0.25">
      <c r="A812" s="13"/>
      <c r="B812" s="3"/>
      <c r="C812" s="4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</row>
    <row r="813" spans="1:23" ht="15.75" customHeight="1" x14ac:dyDescent="0.25">
      <c r="A813" s="13"/>
      <c r="B813" s="3"/>
      <c r="C813" s="4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</row>
    <row r="814" spans="1:23" ht="15.75" customHeight="1" x14ac:dyDescent="0.25">
      <c r="A814" s="13"/>
      <c r="B814" s="3"/>
      <c r="C814" s="4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</row>
    <row r="815" spans="1:23" ht="15.75" customHeight="1" x14ac:dyDescent="0.25">
      <c r="A815" s="13"/>
      <c r="B815" s="3"/>
      <c r="C815" s="4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</row>
    <row r="816" spans="1:23" ht="15.75" customHeight="1" x14ac:dyDescent="0.25">
      <c r="A816" s="13"/>
      <c r="B816" s="3"/>
      <c r="C816" s="4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</row>
    <row r="817" spans="1:23" ht="15.75" customHeight="1" x14ac:dyDescent="0.25">
      <c r="A817" s="13"/>
      <c r="B817" s="3"/>
      <c r="C817" s="4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</row>
    <row r="818" spans="1:23" ht="15.75" customHeight="1" x14ac:dyDescent="0.25">
      <c r="A818" s="13"/>
      <c r="B818" s="3"/>
      <c r="C818" s="4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</row>
    <row r="819" spans="1:23" ht="15.75" customHeight="1" x14ac:dyDescent="0.25">
      <c r="A819" s="13"/>
      <c r="B819" s="3"/>
      <c r="C819" s="4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</row>
    <row r="820" spans="1:23" ht="15.75" customHeight="1" x14ac:dyDescent="0.25">
      <c r="A820" s="13"/>
      <c r="B820" s="3"/>
      <c r="C820" s="4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</row>
    <row r="821" spans="1:23" ht="15.75" customHeight="1" x14ac:dyDescent="0.25">
      <c r="A821" s="13"/>
      <c r="B821" s="3"/>
      <c r="C821" s="4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</row>
    <row r="822" spans="1:23" ht="15.75" customHeight="1" x14ac:dyDescent="0.25">
      <c r="A822" s="13"/>
      <c r="B822" s="3"/>
      <c r="C822" s="4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</row>
    <row r="823" spans="1:23" ht="15.75" customHeight="1" x14ac:dyDescent="0.25">
      <c r="A823" s="13"/>
      <c r="B823" s="3"/>
      <c r="C823" s="4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</row>
    <row r="824" spans="1:23" ht="15.75" customHeight="1" x14ac:dyDescent="0.25">
      <c r="A824" s="13"/>
      <c r="B824" s="3"/>
      <c r="C824" s="4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</row>
    <row r="825" spans="1:23" ht="15.75" customHeight="1" x14ac:dyDescent="0.25">
      <c r="A825" s="13"/>
      <c r="B825" s="3"/>
      <c r="C825" s="4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</row>
    <row r="826" spans="1:23" ht="15.75" customHeight="1" x14ac:dyDescent="0.25">
      <c r="A826" s="13"/>
      <c r="B826" s="3"/>
      <c r="C826" s="4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</row>
    <row r="827" spans="1:23" ht="15.75" customHeight="1" x14ac:dyDescent="0.25">
      <c r="A827" s="13"/>
      <c r="B827" s="3"/>
      <c r="C827" s="4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</row>
    <row r="828" spans="1:23" ht="15.75" customHeight="1" x14ac:dyDescent="0.25">
      <c r="A828" s="13"/>
      <c r="B828" s="3"/>
      <c r="C828" s="4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</row>
    <row r="829" spans="1:23" ht="15.75" customHeight="1" x14ac:dyDescent="0.25">
      <c r="A829" s="13"/>
      <c r="B829" s="3"/>
      <c r="C829" s="4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</row>
    <row r="830" spans="1:23" ht="15.75" customHeight="1" x14ac:dyDescent="0.25">
      <c r="A830" s="13"/>
      <c r="B830" s="3"/>
      <c r="C830" s="4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</row>
    <row r="831" spans="1:23" ht="15.75" customHeight="1" x14ac:dyDescent="0.25">
      <c r="A831" s="13"/>
      <c r="B831" s="3"/>
      <c r="C831" s="4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</row>
    <row r="832" spans="1:23" ht="15.75" customHeight="1" x14ac:dyDescent="0.25">
      <c r="A832" s="13"/>
      <c r="B832" s="3"/>
      <c r="C832" s="4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</row>
    <row r="833" spans="1:23" ht="15.75" customHeight="1" x14ac:dyDescent="0.25">
      <c r="A833" s="13"/>
      <c r="B833" s="3"/>
      <c r="C833" s="4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</row>
    <row r="834" spans="1:23" ht="15.75" customHeight="1" x14ac:dyDescent="0.25">
      <c r="A834" s="13"/>
      <c r="B834" s="3"/>
      <c r="C834" s="4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</row>
    <row r="835" spans="1:23" ht="15.75" customHeight="1" x14ac:dyDescent="0.25">
      <c r="A835" s="13"/>
      <c r="B835" s="3"/>
      <c r="C835" s="4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</row>
    <row r="836" spans="1:23" ht="15.75" customHeight="1" x14ac:dyDescent="0.25">
      <c r="A836" s="13"/>
      <c r="B836" s="3"/>
      <c r="C836" s="4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</row>
    <row r="837" spans="1:23" ht="15.75" customHeight="1" x14ac:dyDescent="0.25">
      <c r="A837" s="13"/>
      <c r="B837" s="3"/>
      <c r="C837" s="4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</row>
    <row r="838" spans="1:23" ht="15.75" customHeight="1" x14ac:dyDescent="0.25">
      <c r="A838" s="13"/>
      <c r="B838" s="3"/>
      <c r="C838" s="4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</row>
    <row r="839" spans="1:23" ht="15.75" customHeight="1" x14ac:dyDescent="0.25">
      <c r="A839" s="13"/>
      <c r="B839" s="3"/>
      <c r="C839" s="4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</row>
    <row r="840" spans="1:23" ht="15.75" customHeight="1" x14ac:dyDescent="0.25">
      <c r="A840" s="13"/>
      <c r="B840" s="3"/>
      <c r="C840" s="4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</row>
    <row r="841" spans="1:23" ht="15.75" customHeight="1" x14ac:dyDescent="0.25">
      <c r="A841" s="13"/>
      <c r="B841" s="3"/>
      <c r="C841" s="4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</row>
    <row r="842" spans="1:23" ht="15.75" customHeight="1" x14ac:dyDescent="0.25">
      <c r="A842" s="13"/>
      <c r="B842" s="3"/>
      <c r="C842" s="4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</row>
    <row r="843" spans="1:23" ht="15.75" customHeight="1" x14ac:dyDescent="0.25">
      <c r="A843" s="13"/>
      <c r="B843" s="3"/>
      <c r="C843" s="4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</row>
    <row r="844" spans="1:23" ht="15.75" customHeight="1" x14ac:dyDescent="0.25">
      <c r="A844" s="13"/>
      <c r="B844" s="3"/>
      <c r="C844" s="4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</row>
    <row r="845" spans="1:23" ht="15.75" customHeight="1" x14ac:dyDescent="0.25">
      <c r="A845" s="13"/>
      <c r="B845" s="3"/>
      <c r="C845" s="4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</row>
    <row r="846" spans="1:23" ht="15.75" customHeight="1" x14ac:dyDescent="0.25">
      <c r="A846" s="13"/>
      <c r="B846" s="3"/>
      <c r="C846" s="4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</row>
    <row r="847" spans="1:23" ht="15.75" customHeight="1" x14ac:dyDescent="0.25">
      <c r="A847" s="13"/>
      <c r="B847" s="3"/>
      <c r="C847" s="4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</row>
    <row r="848" spans="1:23" ht="15.75" customHeight="1" x14ac:dyDescent="0.25">
      <c r="A848" s="13"/>
      <c r="B848" s="3"/>
      <c r="C848" s="4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</row>
    <row r="849" spans="1:23" ht="15.75" customHeight="1" x14ac:dyDescent="0.25">
      <c r="A849" s="13"/>
      <c r="B849" s="3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</row>
    <row r="850" spans="1:23" ht="15.75" customHeight="1" x14ac:dyDescent="0.25">
      <c r="A850" s="13"/>
      <c r="B850" s="3"/>
      <c r="C850" s="4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</row>
    <row r="851" spans="1:23" ht="15.75" customHeight="1" x14ac:dyDescent="0.25">
      <c r="A851" s="13"/>
      <c r="B851" s="3"/>
      <c r="C851" s="4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</row>
    <row r="852" spans="1:23" ht="15.75" customHeight="1" x14ac:dyDescent="0.25">
      <c r="A852" s="13"/>
      <c r="B852" s="3"/>
      <c r="C852" s="4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</row>
    <row r="853" spans="1:23" ht="15.75" customHeight="1" x14ac:dyDescent="0.25">
      <c r="A853" s="13"/>
      <c r="B853" s="3"/>
      <c r="C853" s="4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</row>
    <row r="854" spans="1:23" ht="15.75" customHeight="1" x14ac:dyDescent="0.25">
      <c r="A854" s="13"/>
      <c r="B854" s="3"/>
      <c r="C854" s="4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</row>
    <row r="855" spans="1:23" ht="15.75" customHeight="1" x14ac:dyDescent="0.25">
      <c r="A855" s="13"/>
      <c r="B855" s="3"/>
      <c r="C855" s="4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</row>
    <row r="856" spans="1:23" ht="15.75" customHeight="1" x14ac:dyDescent="0.25">
      <c r="A856" s="13"/>
      <c r="B856" s="3"/>
      <c r="C856" s="4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</row>
    <row r="857" spans="1:23" ht="15.75" customHeight="1" x14ac:dyDescent="0.25">
      <c r="A857" s="13"/>
      <c r="B857" s="3"/>
      <c r="C857" s="4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</row>
    <row r="858" spans="1:23" ht="15.75" customHeight="1" x14ac:dyDescent="0.25">
      <c r="A858" s="13"/>
      <c r="B858" s="3"/>
      <c r="C858" s="4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</row>
    <row r="859" spans="1:23" ht="15.75" customHeight="1" x14ac:dyDescent="0.25">
      <c r="A859" s="13"/>
      <c r="B859" s="3"/>
      <c r="C859" s="4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</row>
    <row r="860" spans="1:23" ht="15.75" customHeight="1" x14ac:dyDescent="0.25">
      <c r="A860" s="13"/>
      <c r="B860" s="3"/>
      <c r="C860" s="4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</row>
    <row r="861" spans="1:23" ht="15.75" customHeight="1" x14ac:dyDescent="0.25">
      <c r="A861" s="13"/>
      <c r="B861" s="3"/>
      <c r="C861" s="4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</row>
    <row r="862" spans="1:23" ht="15.75" customHeight="1" x14ac:dyDescent="0.25">
      <c r="A862" s="13"/>
      <c r="B862" s="3"/>
      <c r="C862" s="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</row>
    <row r="863" spans="1:23" ht="15.75" customHeight="1" x14ac:dyDescent="0.25">
      <c r="A863" s="13"/>
      <c r="B863" s="3"/>
      <c r="C863" s="4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</row>
    <row r="864" spans="1:23" ht="15.75" customHeight="1" x14ac:dyDescent="0.25">
      <c r="A864" s="13"/>
      <c r="B864" s="3"/>
      <c r="C864" s="4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</row>
    <row r="865" spans="1:23" ht="15.75" customHeight="1" x14ac:dyDescent="0.25">
      <c r="A865" s="13"/>
      <c r="B865" s="3"/>
      <c r="C865" s="4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</row>
    <row r="866" spans="1:23" ht="15.75" customHeight="1" x14ac:dyDescent="0.25">
      <c r="A866" s="13"/>
      <c r="B866" s="3"/>
      <c r="C866" s="4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</row>
    <row r="867" spans="1:23" ht="15.75" customHeight="1" x14ac:dyDescent="0.25">
      <c r="A867" s="13"/>
      <c r="B867" s="3"/>
      <c r="C867" s="4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</row>
    <row r="868" spans="1:23" ht="15.75" customHeight="1" x14ac:dyDescent="0.25">
      <c r="A868" s="13"/>
      <c r="B868" s="3"/>
      <c r="C868" s="4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</row>
    <row r="869" spans="1:23" ht="15.75" customHeight="1" x14ac:dyDescent="0.25">
      <c r="A869" s="13"/>
      <c r="B869" s="3"/>
      <c r="C869" s="4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</row>
    <row r="870" spans="1:23" ht="15.75" customHeight="1" x14ac:dyDescent="0.25">
      <c r="A870" s="13"/>
      <c r="B870" s="3"/>
      <c r="C870" s="4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</row>
    <row r="871" spans="1:23" ht="15.75" customHeight="1" x14ac:dyDescent="0.25">
      <c r="A871" s="13"/>
      <c r="B871" s="3"/>
      <c r="C871" s="4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</row>
    <row r="872" spans="1:23" ht="15.75" customHeight="1" x14ac:dyDescent="0.25">
      <c r="A872" s="13"/>
      <c r="B872" s="3"/>
      <c r="C872" s="4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</row>
    <row r="873" spans="1:23" ht="15.75" customHeight="1" x14ac:dyDescent="0.25">
      <c r="A873" s="13"/>
      <c r="B873" s="3"/>
      <c r="C873" s="4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</row>
    <row r="874" spans="1:23" ht="15.75" customHeight="1" x14ac:dyDescent="0.25">
      <c r="A874" s="13"/>
      <c r="B874" s="3"/>
      <c r="C874" s="4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</row>
    <row r="875" spans="1:23" ht="15.75" customHeight="1" x14ac:dyDescent="0.25">
      <c r="A875" s="13"/>
      <c r="B875" s="3"/>
      <c r="C875" s="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</row>
    <row r="876" spans="1:23" ht="15.75" customHeight="1" x14ac:dyDescent="0.25">
      <c r="A876" s="13"/>
      <c r="B876" s="3"/>
      <c r="C876" s="4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</row>
    <row r="877" spans="1:23" ht="15.75" customHeight="1" x14ac:dyDescent="0.25">
      <c r="A877" s="13"/>
      <c r="B877" s="3"/>
      <c r="C877" s="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</row>
    <row r="878" spans="1:23" ht="15.75" customHeight="1" x14ac:dyDescent="0.25">
      <c r="A878" s="13"/>
      <c r="B878" s="3"/>
      <c r="C878" s="4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</row>
    <row r="879" spans="1:23" ht="15.75" customHeight="1" x14ac:dyDescent="0.25">
      <c r="A879" s="13"/>
      <c r="B879" s="3"/>
      <c r="C879" s="4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</row>
    <row r="880" spans="1:23" ht="15.75" customHeight="1" x14ac:dyDescent="0.25">
      <c r="A880" s="13"/>
      <c r="B880" s="3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</row>
    <row r="881" spans="1:23" ht="15.75" customHeight="1" x14ac:dyDescent="0.25">
      <c r="A881" s="13"/>
      <c r="B881" s="3"/>
      <c r="C881" s="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</row>
    <row r="882" spans="1:23" ht="15.75" customHeight="1" x14ac:dyDescent="0.25">
      <c r="A882" s="13"/>
      <c r="B882" s="3"/>
      <c r="C882" s="4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</row>
    <row r="883" spans="1:23" ht="15.75" customHeight="1" x14ac:dyDescent="0.25">
      <c r="A883" s="13"/>
      <c r="B883" s="3"/>
      <c r="C883" s="4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</row>
    <row r="884" spans="1:23" ht="15.75" customHeight="1" x14ac:dyDescent="0.25">
      <c r="A884" s="13"/>
      <c r="B884" s="3"/>
      <c r="C884" s="4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</row>
    <row r="885" spans="1:23" ht="15.75" customHeight="1" x14ac:dyDescent="0.25">
      <c r="A885" s="13"/>
      <c r="B885" s="3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</row>
    <row r="886" spans="1:23" ht="15.75" customHeight="1" x14ac:dyDescent="0.25">
      <c r="A886" s="13"/>
      <c r="B886" s="3"/>
      <c r="C886" s="4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</row>
    <row r="887" spans="1:23" ht="15.75" customHeight="1" x14ac:dyDescent="0.25">
      <c r="A887" s="13"/>
      <c r="B887" s="3"/>
      <c r="C887" s="4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</row>
    <row r="888" spans="1:23" ht="15.75" customHeight="1" x14ac:dyDescent="0.25">
      <c r="A888" s="13"/>
      <c r="B888" s="3"/>
      <c r="C888" s="4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</row>
    <row r="889" spans="1:23" ht="15.75" customHeight="1" x14ac:dyDescent="0.25">
      <c r="A889" s="13"/>
      <c r="B889" s="3"/>
      <c r="C889" s="4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</row>
    <row r="890" spans="1:23" ht="15.75" customHeight="1" x14ac:dyDescent="0.25">
      <c r="A890" s="13"/>
      <c r="B890" s="3"/>
      <c r="C890" s="4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</row>
    <row r="891" spans="1:23" ht="15.75" customHeight="1" x14ac:dyDescent="0.25">
      <c r="A891" s="13"/>
      <c r="B891" s="3"/>
      <c r="C891" s="4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</row>
    <row r="892" spans="1:23" ht="15.75" customHeight="1" x14ac:dyDescent="0.25">
      <c r="A892" s="13"/>
      <c r="B892" s="3"/>
      <c r="C892" s="4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</row>
    <row r="893" spans="1:23" ht="15.75" customHeight="1" x14ac:dyDescent="0.25">
      <c r="A893" s="13"/>
      <c r="B893" s="3"/>
      <c r="C893" s="4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</row>
    <row r="894" spans="1:23" ht="15.75" customHeight="1" x14ac:dyDescent="0.25">
      <c r="A894" s="13"/>
      <c r="B894" s="3"/>
      <c r="C894" s="4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</row>
    <row r="895" spans="1:23" ht="15.75" customHeight="1" x14ac:dyDescent="0.25">
      <c r="A895" s="13"/>
      <c r="B895" s="3"/>
      <c r="C895" s="4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</row>
    <row r="896" spans="1:23" ht="15.75" customHeight="1" x14ac:dyDescent="0.25">
      <c r="A896" s="13"/>
      <c r="B896" s="3"/>
      <c r="C896" s="4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</row>
    <row r="897" spans="1:23" ht="15.75" customHeight="1" x14ac:dyDescent="0.25">
      <c r="A897" s="13"/>
      <c r="B897" s="3"/>
      <c r="C897" s="4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</row>
    <row r="898" spans="1:23" ht="15.75" customHeight="1" x14ac:dyDescent="0.25">
      <c r="A898" s="13"/>
      <c r="B898" s="3"/>
      <c r="C898" s="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</row>
    <row r="899" spans="1:23" ht="15.75" customHeight="1" x14ac:dyDescent="0.25">
      <c r="A899" s="13"/>
      <c r="B899" s="3"/>
      <c r="C899" s="4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</row>
    <row r="900" spans="1:23" ht="15.75" customHeight="1" x14ac:dyDescent="0.25">
      <c r="A900" s="13"/>
      <c r="B900" s="3"/>
      <c r="C900" s="4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</row>
    <row r="901" spans="1:23" ht="15.75" customHeight="1" x14ac:dyDescent="0.25">
      <c r="A901" s="13"/>
      <c r="B901" s="3"/>
      <c r="C901" s="4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</row>
    <row r="902" spans="1:23" ht="15.75" customHeight="1" x14ac:dyDescent="0.25">
      <c r="A902" s="13"/>
      <c r="B902" s="3"/>
      <c r="C902" s="4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</row>
    <row r="903" spans="1:23" ht="15.75" customHeight="1" x14ac:dyDescent="0.25">
      <c r="A903" s="13"/>
      <c r="B903" s="3"/>
      <c r="C903" s="4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</row>
    <row r="904" spans="1:23" ht="15.75" customHeight="1" x14ac:dyDescent="0.25">
      <c r="A904" s="13"/>
      <c r="B904" s="3"/>
      <c r="C904" s="4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</row>
    <row r="905" spans="1:23" ht="15.75" customHeight="1" x14ac:dyDescent="0.25">
      <c r="A905" s="13"/>
      <c r="B905" s="3"/>
      <c r="C905" s="4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</row>
    <row r="906" spans="1:23" ht="15.75" customHeight="1" x14ac:dyDescent="0.25">
      <c r="A906" s="13"/>
      <c r="B906" s="3"/>
      <c r="C906" s="4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</row>
    <row r="907" spans="1:23" ht="15.75" customHeight="1" x14ac:dyDescent="0.25">
      <c r="A907" s="13"/>
      <c r="B907" s="3"/>
      <c r="C907" s="4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</row>
    <row r="908" spans="1:23" ht="15.75" customHeight="1" x14ac:dyDescent="0.25">
      <c r="A908" s="13"/>
      <c r="B908" s="3"/>
      <c r="C908" s="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</row>
    <row r="909" spans="1:23" ht="15.75" customHeight="1" x14ac:dyDescent="0.25">
      <c r="A909" s="13"/>
      <c r="B909" s="3"/>
      <c r="C909" s="4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</row>
    <row r="910" spans="1:23" ht="15.75" customHeight="1" x14ac:dyDescent="0.25">
      <c r="A910" s="13"/>
      <c r="B910" s="3"/>
      <c r="C910" s="4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</row>
    <row r="911" spans="1:23" ht="15.75" customHeight="1" x14ac:dyDescent="0.25">
      <c r="A911" s="13"/>
      <c r="B911" s="3"/>
      <c r="C911" s="4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</row>
    <row r="912" spans="1:23" ht="15.75" customHeight="1" x14ac:dyDescent="0.25">
      <c r="A912" s="13"/>
      <c r="B912" s="3"/>
      <c r="C912" s="4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</row>
    <row r="913" spans="1:23" ht="15.75" customHeight="1" x14ac:dyDescent="0.25">
      <c r="A913" s="13"/>
      <c r="B913" s="3"/>
      <c r="C913" s="4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</row>
    <row r="914" spans="1:23" ht="15.75" customHeight="1" x14ac:dyDescent="0.25">
      <c r="A914" s="13"/>
      <c r="B914" s="3"/>
      <c r="C914" s="4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</row>
    <row r="915" spans="1:23" ht="15.75" customHeight="1" x14ac:dyDescent="0.25">
      <c r="A915" s="13"/>
      <c r="B915" s="3"/>
      <c r="C915" s="4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</row>
    <row r="916" spans="1:23" ht="15.75" customHeight="1" x14ac:dyDescent="0.25">
      <c r="A916" s="13"/>
      <c r="B916" s="3"/>
      <c r="C916" s="4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</row>
    <row r="917" spans="1:23" ht="15.75" customHeight="1" x14ac:dyDescent="0.25">
      <c r="A917" s="13"/>
      <c r="B917" s="3"/>
      <c r="C917" s="4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</row>
    <row r="918" spans="1:23" ht="15.75" customHeight="1" x14ac:dyDescent="0.25">
      <c r="A918" s="13"/>
      <c r="B918" s="3"/>
      <c r="C918" s="4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</row>
    <row r="919" spans="1:23" ht="15.75" customHeight="1" x14ac:dyDescent="0.25">
      <c r="A919" s="13"/>
      <c r="B919" s="3"/>
      <c r="C919" s="4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</row>
    <row r="920" spans="1:23" ht="15.75" customHeight="1" x14ac:dyDescent="0.25">
      <c r="A920" s="13"/>
      <c r="B920" s="3"/>
      <c r="C920" s="4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</row>
    <row r="921" spans="1:23" ht="15.75" customHeight="1" x14ac:dyDescent="0.25">
      <c r="A921" s="13"/>
      <c r="B921" s="3"/>
      <c r="C921" s="4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</row>
    <row r="922" spans="1:23" ht="15.75" customHeight="1" x14ac:dyDescent="0.25">
      <c r="A922" s="13"/>
      <c r="B922" s="3"/>
      <c r="C922" s="4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</row>
    <row r="923" spans="1:23" ht="15.75" customHeight="1" x14ac:dyDescent="0.25">
      <c r="A923" s="13"/>
      <c r="B923" s="3"/>
      <c r="C923" s="4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</row>
    <row r="924" spans="1:23" ht="15.75" customHeight="1" x14ac:dyDescent="0.25">
      <c r="A924" s="13"/>
      <c r="B924" s="3"/>
      <c r="C924" s="4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</row>
    <row r="925" spans="1:23" ht="15.75" customHeight="1" x14ac:dyDescent="0.25">
      <c r="A925" s="13"/>
      <c r="B925" s="3"/>
      <c r="C925" s="4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</row>
    <row r="926" spans="1:23" ht="15.75" customHeight="1" x14ac:dyDescent="0.25">
      <c r="A926" s="13"/>
      <c r="B926" s="3"/>
      <c r="C926" s="4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</row>
    <row r="927" spans="1:23" ht="15.75" customHeight="1" x14ac:dyDescent="0.25">
      <c r="A927" s="13"/>
      <c r="B927" s="3"/>
      <c r="C927" s="4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</row>
    <row r="928" spans="1:23" ht="15.75" customHeight="1" x14ac:dyDescent="0.25">
      <c r="A928" s="13"/>
      <c r="B928" s="3"/>
      <c r="C928" s="4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</row>
    <row r="929" spans="1:23" ht="15.75" customHeight="1" x14ac:dyDescent="0.25">
      <c r="A929" s="13"/>
      <c r="B929" s="3"/>
      <c r="C929" s="4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</row>
    <row r="930" spans="1:23" ht="15.75" customHeight="1" x14ac:dyDescent="0.25">
      <c r="A930" s="13"/>
      <c r="B930" s="3"/>
      <c r="C930" s="4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</row>
    <row r="931" spans="1:23" ht="15.75" customHeight="1" x14ac:dyDescent="0.25">
      <c r="A931" s="13"/>
      <c r="B931" s="3"/>
      <c r="C931" s="4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</row>
    <row r="932" spans="1:23" ht="15.75" customHeight="1" x14ac:dyDescent="0.25">
      <c r="A932" s="13"/>
      <c r="B932" s="3"/>
      <c r="C932" s="4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</row>
    <row r="933" spans="1:23" ht="15.75" customHeight="1" x14ac:dyDescent="0.25">
      <c r="A933" s="13"/>
      <c r="B933" s="3"/>
      <c r="C933" s="4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</row>
    <row r="934" spans="1:23" ht="15.75" customHeight="1" x14ac:dyDescent="0.25">
      <c r="A934" s="13"/>
      <c r="B934" s="3"/>
      <c r="C934" s="4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</row>
    <row r="935" spans="1:23" ht="15.75" customHeight="1" x14ac:dyDescent="0.25">
      <c r="A935" s="13"/>
      <c r="B935" s="3"/>
      <c r="C935" s="4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</row>
    <row r="936" spans="1:23" ht="15.75" customHeight="1" x14ac:dyDescent="0.25">
      <c r="A936" s="13"/>
      <c r="B936" s="3"/>
      <c r="C936" s="4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</row>
    <row r="937" spans="1:23" ht="15.75" customHeight="1" x14ac:dyDescent="0.25">
      <c r="A937" s="13"/>
      <c r="B937" s="3"/>
      <c r="C937" s="4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</row>
    <row r="938" spans="1:23" ht="15.75" customHeight="1" x14ac:dyDescent="0.25">
      <c r="A938" s="13"/>
      <c r="B938" s="3"/>
      <c r="C938" s="4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</row>
    <row r="939" spans="1:23" ht="15.75" customHeight="1" x14ac:dyDescent="0.25">
      <c r="A939" s="13"/>
      <c r="B939" s="3"/>
      <c r="C939" s="4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</row>
    <row r="940" spans="1:23" ht="15.75" customHeight="1" x14ac:dyDescent="0.25">
      <c r="A940" s="13"/>
      <c r="B940" s="3"/>
      <c r="C940" s="4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</row>
    <row r="941" spans="1:23" ht="15.75" customHeight="1" x14ac:dyDescent="0.25">
      <c r="A941" s="13"/>
      <c r="B941" s="3"/>
      <c r="C941" s="4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</row>
    <row r="942" spans="1:23" ht="15.75" customHeight="1" x14ac:dyDescent="0.25">
      <c r="A942" s="13"/>
      <c r="B942" s="3"/>
      <c r="C942" s="4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</row>
    <row r="943" spans="1:23" ht="15.75" customHeight="1" x14ac:dyDescent="0.25">
      <c r="A943" s="13"/>
      <c r="B943" s="3"/>
      <c r="C943" s="4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</row>
    <row r="944" spans="1:23" ht="15.75" customHeight="1" x14ac:dyDescent="0.25">
      <c r="A944" s="13"/>
      <c r="B944" s="3"/>
      <c r="C944" s="4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</row>
    <row r="945" spans="1:23" ht="15.75" customHeight="1" x14ac:dyDescent="0.25">
      <c r="A945" s="13"/>
      <c r="B945" s="3"/>
      <c r="C945" s="4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</row>
    <row r="946" spans="1:23" ht="15.75" customHeight="1" x14ac:dyDescent="0.25">
      <c r="A946" s="13"/>
      <c r="B946" s="3"/>
      <c r="C946" s="4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</row>
    <row r="947" spans="1:23" ht="15.75" customHeight="1" x14ac:dyDescent="0.25">
      <c r="A947" s="13"/>
      <c r="B947" s="3"/>
      <c r="C947" s="4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</row>
    <row r="948" spans="1:23" ht="15.75" customHeight="1" x14ac:dyDescent="0.25">
      <c r="A948" s="13"/>
      <c r="B948" s="3"/>
      <c r="C948" s="4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</row>
    <row r="949" spans="1:23" ht="15.75" customHeight="1" x14ac:dyDescent="0.25">
      <c r="A949" s="13"/>
      <c r="B949" s="3"/>
      <c r="C949" s="4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</row>
    <row r="950" spans="1:23" ht="15.75" customHeight="1" x14ac:dyDescent="0.25">
      <c r="A950" s="13"/>
      <c r="B950" s="3"/>
      <c r="C950" s="4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</row>
    <row r="951" spans="1:23" ht="15.75" customHeight="1" x14ac:dyDescent="0.25">
      <c r="A951" s="13"/>
      <c r="B951" s="3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</row>
    <row r="952" spans="1:23" ht="15.75" customHeight="1" x14ac:dyDescent="0.25">
      <c r="A952" s="13"/>
      <c r="B952" s="3"/>
      <c r="C952" s="4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</row>
    <row r="953" spans="1:23" ht="15.75" customHeight="1" x14ac:dyDescent="0.25">
      <c r="A953" s="13"/>
      <c r="B953" s="3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</row>
    <row r="954" spans="1:23" ht="15.75" customHeight="1" x14ac:dyDescent="0.25">
      <c r="A954" s="13"/>
      <c r="B954" s="3"/>
      <c r="C954" s="4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</row>
    <row r="955" spans="1:23" ht="15.75" customHeight="1" x14ac:dyDescent="0.25">
      <c r="A955" s="13"/>
      <c r="B955" s="3"/>
      <c r="C955" s="4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</row>
    <row r="956" spans="1:23" ht="15.75" customHeight="1" x14ac:dyDescent="0.25">
      <c r="A956" s="13"/>
      <c r="B956" s="3"/>
      <c r="C956" s="4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</row>
    <row r="957" spans="1:23" ht="15.75" customHeight="1" x14ac:dyDescent="0.25">
      <c r="A957" s="13"/>
      <c r="B957" s="3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</row>
    <row r="958" spans="1:23" ht="15.75" customHeight="1" x14ac:dyDescent="0.25">
      <c r="A958" s="13"/>
      <c r="B958" s="3"/>
      <c r="C958" s="4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</row>
    <row r="959" spans="1:23" ht="15.75" customHeight="1" x14ac:dyDescent="0.25">
      <c r="A959" s="13"/>
      <c r="B959" s="3"/>
      <c r="C959" s="4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</row>
    <row r="960" spans="1:23" ht="15.75" customHeight="1" x14ac:dyDescent="0.25">
      <c r="A960" s="13"/>
      <c r="B960" s="3"/>
      <c r="C960" s="4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</row>
    <row r="961" spans="1:23" ht="15.75" customHeight="1" x14ac:dyDescent="0.25">
      <c r="A961" s="13"/>
      <c r="B961" s="3"/>
      <c r="C961" s="4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</row>
    <row r="962" spans="1:23" ht="15.75" customHeight="1" x14ac:dyDescent="0.25">
      <c r="A962" s="13"/>
      <c r="B962" s="3"/>
      <c r="C962" s="4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</row>
    <row r="963" spans="1:23" ht="15.75" customHeight="1" x14ac:dyDescent="0.25">
      <c r="A963" s="13"/>
      <c r="B963" s="3"/>
      <c r="C963" s="4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</row>
    <row r="964" spans="1:23" ht="15.75" customHeight="1" x14ac:dyDescent="0.25">
      <c r="A964" s="13"/>
      <c r="B964" s="3"/>
      <c r="C964" s="4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</row>
    <row r="965" spans="1:23" ht="15.75" customHeight="1" x14ac:dyDescent="0.25">
      <c r="A965" s="13"/>
      <c r="B965" s="3"/>
      <c r="C965" s="4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</row>
    <row r="966" spans="1:23" ht="15.75" customHeight="1" x14ac:dyDescent="0.25">
      <c r="A966" s="13"/>
      <c r="B966" s="3"/>
      <c r="C966" s="4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</row>
    <row r="967" spans="1:23" ht="15.75" customHeight="1" x14ac:dyDescent="0.25">
      <c r="A967" s="13"/>
      <c r="B967" s="3"/>
      <c r="C967" s="4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</row>
    <row r="968" spans="1:23" ht="15.75" customHeight="1" x14ac:dyDescent="0.25">
      <c r="A968" s="13"/>
      <c r="B968" s="3"/>
      <c r="C968" s="4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</row>
    <row r="969" spans="1:23" ht="15.75" customHeight="1" x14ac:dyDescent="0.25">
      <c r="A969" s="13"/>
      <c r="B969" s="3"/>
      <c r="C969" s="4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</row>
    <row r="970" spans="1:23" ht="15.75" customHeight="1" x14ac:dyDescent="0.25">
      <c r="A970" s="13"/>
      <c r="B970" s="3"/>
      <c r="C970" s="4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</row>
    <row r="971" spans="1:23" ht="15.75" customHeight="1" x14ac:dyDescent="0.25">
      <c r="A971" s="13"/>
      <c r="B971" s="3"/>
      <c r="C971" s="4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</row>
    <row r="972" spans="1:23" ht="15.75" customHeight="1" x14ac:dyDescent="0.25">
      <c r="A972" s="13"/>
      <c r="B972" s="3"/>
      <c r="C972" s="4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</row>
    <row r="973" spans="1:23" ht="15.75" customHeight="1" x14ac:dyDescent="0.25">
      <c r="A973" s="13"/>
      <c r="B973" s="3"/>
      <c r="C973" s="4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</row>
    <row r="974" spans="1:23" ht="15.75" customHeight="1" x14ac:dyDescent="0.25">
      <c r="A974" s="13"/>
      <c r="B974" s="3"/>
      <c r="C974" s="4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</row>
    <row r="975" spans="1:23" ht="15.75" customHeight="1" x14ac:dyDescent="0.25">
      <c r="A975" s="13"/>
      <c r="B975" s="3"/>
      <c r="C975" s="4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</row>
    <row r="976" spans="1:23" ht="15.75" customHeight="1" x14ac:dyDescent="0.25">
      <c r="A976" s="13"/>
      <c r="B976" s="3"/>
      <c r="C976" s="4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</row>
    <row r="977" spans="1:23" ht="15.75" customHeight="1" x14ac:dyDescent="0.25">
      <c r="A977" s="13"/>
      <c r="B977" s="3"/>
      <c r="C977" s="4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</row>
    <row r="978" spans="1:23" ht="15.75" customHeight="1" x14ac:dyDescent="0.25">
      <c r="A978" s="13"/>
      <c r="B978" s="3"/>
      <c r="C978" s="4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</row>
    <row r="979" spans="1:23" ht="15.75" customHeight="1" x14ac:dyDescent="0.25">
      <c r="A979" s="13"/>
      <c r="B979" s="3"/>
      <c r="C979" s="4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</row>
    <row r="980" spans="1:23" ht="15.75" customHeight="1" x14ac:dyDescent="0.25">
      <c r="A980" s="13"/>
      <c r="B980" s="3"/>
      <c r="C980" s="4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</row>
    <row r="981" spans="1:23" ht="15.75" customHeight="1" x14ac:dyDescent="0.25">
      <c r="A981" s="13"/>
      <c r="B981" s="3"/>
      <c r="C981" s="4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</row>
    <row r="982" spans="1:23" ht="15.75" customHeight="1" x14ac:dyDescent="0.25">
      <c r="A982" s="13"/>
      <c r="B982" s="3"/>
      <c r="C982" s="4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</row>
    <row r="983" spans="1:23" ht="15.75" customHeight="1" x14ac:dyDescent="0.25">
      <c r="A983" s="13"/>
      <c r="B983" s="3"/>
      <c r="C983" s="4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</row>
    <row r="984" spans="1:23" ht="15.75" customHeight="1" x14ac:dyDescent="0.25">
      <c r="A984" s="13"/>
      <c r="B984" s="3"/>
      <c r="C984" s="4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</row>
    <row r="985" spans="1:23" ht="15.75" customHeight="1" x14ac:dyDescent="0.25">
      <c r="A985" s="13"/>
      <c r="B985" s="3"/>
      <c r="C985" s="4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</row>
    <row r="986" spans="1:23" ht="15.75" customHeight="1" x14ac:dyDescent="0.25">
      <c r="A986" s="13"/>
      <c r="B986" s="3"/>
      <c r="C986" s="4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</row>
    <row r="987" spans="1:23" ht="15.75" customHeight="1" x14ac:dyDescent="0.25">
      <c r="A987" s="13"/>
      <c r="B987" s="3"/>
      <c r="C987" s="4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</row>
    <row r="988" spans="1:23" ht="15.75" customHeight="1" x14ac:dyDescent="0.25">
      <c r="A988" s="13"/>
      <c r="B988" s="3"/>
      <c r="C988" s="4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</row>
    <row r="989" spans="1:23" ht="15.75" customHeight="1" x14ac:dyDescent="0.25">
      <c r="A989" s="13"/>
      <c r="B989" s="3"/>
      <c r="C989" s="4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</row>
    <row r="990" spans="1:23" ht="15.75" customHeight="1" x14ac:dyDescent="0.25">
      <c r="A990" s="13"/>
      <c r="B990" s="3"/>
      <c r="C990" s="4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</row>
    <row r="991" spans="1:23" ht="15.75" customHeight="1" x14ac:dyDescent="0.25">
      <c r="A991" s="13"/>
      <c r="B991" s="3"/>
      <c r="C991" s="4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</row>
    <row r="992" spans="1:23" ht="15.75" customHeight="1" x14ac:dyDescent="0.25">
      <c r="A992" s="13"/>
      <c r="B992" s="3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</row>
    <row r="993" spans="1:23" ht="15.75" customHeight="1" x14ac:dyDescent="0.25">
      <c r="A993" s="13"/>
      <c r="B993" s="3"/>
      <c r="C993" s="4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</row>
    <row r="994" spans="1:23" ht="15.75" customHeight="1" x14ac:dyDescent="0.25">
      <c r="A994" s="13"/>
      <c r="B994" s="3"/>
      <c r="C994" s="4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</row>
    <row r="995" spans="1:23" ht="15.75" customHeight="1" x14ac:dyDescent="0.25">
      <c r="A995" s="13"/>
      <c r="B995" s="3"/>
      <c r="C995" s="4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</row>
    <row r="996" spans="1:23" ht="15.75" customHeight="1" x14ac:dyDescent="0.25">
      <c r="A996" s="13"/>
      <c r="B996" s="3"/>
      <c r="C996" s="4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</row>
    <row r="997" spans="1:23" ht="15.75" customHeight="1" x14ac:dyDescent="0.25">
      <c r="A997" s="13"/>
      <c r="B997" s="3"/>
      <c r="C997" s="4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</row>
  </sheetData>
  <mergeCells count="1">
    <mergeCell ref="A1:C1"/>
  </mergeCells>
  <phoneticPr fontId="2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A0338-8D81-534C-9A37-52A1B63894DD}">
  <dimension ref="A1:H39"/>
  <sheetViews>
    <sheetView workbookViewId="0">
      <selection sqref="A1:C2"/>
    </sheetView>
  </sheetViews>
  <sheetFormatPr defaultColWidth="11.25" defaultRowHeight="15.75" x14ac:dyDescent="0.25"/>
  <cols>
    <col min="1" max="1" width="21.5" bestFit="1" customWidth="1"/>
    <col min="2" max="2" width="38" customWidth="1"/>
    <col min="3" max="3" width="20.25" customWidth="1"/>
    <col min="6" max="6" width="21.75" customWidth="1"/>
    <col min="7" max="7" width="15.25" bestFit="1" customWidth="1"/>
  </cols>
  <sheetData>
    <row r="1" spans="1:8" s="12" customFormat="1" ht="26.25" x14ac:dyDescent="0.4">
      <c r="A1" s="287" t="s">
        <v>66</v>
      </c>
      <c r="B1" s="287"/>
      <c r="C1" s="287"/>
      <c r="D1" s="11"/>
      <c r="E1" s="11"/>
      <c r="F1" s="11"/>
      <c r="G1" s="11"/>
      <c r="H1" s="11"/>
    </row>
    <row r="2" spans="1:8" s="16" customFormat="1" ht="25.5" x14ac:dyDescent="0.35">
      <c r="A2" s="287" t="s">
        <v>103</v>
      </c>
      <c r="B2" s="287"/>
      <c r="C2" s="287"/>
    </row>
    <row r="3" spans="1:8" s="16" customFormat="1" ht="10.15" customHeight="1" x14ac:dyDescent="0.35">
      <c r="A3" s="100"/>
      <c r="B3" s="100"/>
      <c r="C3" s="100"/>
    </row>
    <row r="4" spans="1:8" s="16" customFormat="1" x14ac:dyDescent="0.25">
      <c r="A4" s="138"/>
      <c r="B4" s="141" t="s">
        <v>89</v>
      </c>
      <c r="C4" s="142">
        <f>+C28</f>
        <v>0</v>
      </c>
      <c r="D4" s="26"/>
      <c r="E4" s="25"/>
      <c r="F4" s="25"/>
      <c r="G4" s="25"/>
      <c r="H4" s="25"/>
    </row>
    <row r="5" spans="1:8" s="16" customFormat="1" x14ac:dyDescent="0.25">
      <c r="A5" s="138"/>
      <c r="B5" s="141" t="s">
        <v>90</v>
      </c>
      <c r="C5" s="142">
        <f>+C37</f>
        <v>0</v>
      </c>
      <c r="D5" s="25"/>
      <c r="E5" s="25"/>
      <c r="F5" s="25"/>
      <c r="G5" s="25"/>
      <c r="H5" s="25"/>
    </row>
    <row r="6" spans="1:8" s="16" customFormat="1" x14ac:dyDescent="0.25">
      <c r="A6" s="138"/>
      <c r="B6" s="208" t="s">
        <v>91</v>
      </c>
      <c r="C6" s="145">
        <f>SUM(C4:C5)</f>
        <v>0</v>
      </c>
      <c r="D6" s="25"/>
      <c r="E6" s="25"/>
      <c r="F6" s="25"/>
      <c r="G6" s="25"/>
      <c r="H6" s="25"/>
    </row>
    <row r="7" spans="1:8" s="16" customFormat="1" x14ac:dyDescent="0.25">
      <c r="A7" s="138"/>
      <c r="B7" s="138"/>
      <c r="C7" s="139"/>
      <c r="D7" s="25"/>
      <c r="E7" s="25"/>
      <c r="F7" s="25"/>
      <c r="G7" s="25"/>
      <c r="H7" s="25"/>
    </row>
    <row r="8" spans="1:8" s="16" customFormat="1" x14ac:dyDescent="0.25">
      <c r="A8" s="210"/>
      <c r="B8" s="107" t="s">
        <v>88</v>
      </c>
      <c r="C8" s="209"/>
      <c r="D8" s="22"/>
      <c r="E8" s="22"/>
      <c r="F8" s="22"/>
      <c r="G8" s="22"/>
      <c r="H8" s="22"/>
    </row>
    <row r="9" spans="1:8" s="16" customFormat="1" x14ac:dyDescent="0.25">
      <c r="A9" s="143" t="s">
        <v>85</v>
      </c>
      <c r="B9" s="143" t="s">
        <v>67</v>
      </c>
      <c r="C9" s="106" t="s">
        <v>87</v>
      </c>
      <c r="D9" s="130"/>
      <c r="E9" s="114"/>
      <c r="F9" s="114"/>
      <c r="G9" s="114"/>
      <c r="H9" s="114"/>
    </row>
    <row r="10" spans="1:8" s="16" customFormat="1" x14ac:dyDescent="0.25">
      <c r="A10" s="27" t="s">
        <v>2</v>
      </c>
      <c r="B10" s="28" t="s">
        <v>3</v>
      </c>
      <c r="C10" s="29"/>
      <c r="D10" s="131"/>
      <c r="E10" s="114"/>
      <c r="F10" s="114"/>
      <c r="G10" s="114"/>
      <c r="H10" s="114"/>
    </row>
    <row r="11" spans="1:8" s="16" customFormat="1" x14ac:dyDescent="0.25">
      <c r="A11" s="27" t="s">
        <v>2</v>
      </c>
      <c r="B11" s="28" t="s">
        <v>4</v>
      </c>
      <c r="C11" s="29"/>
      <c r="D11" s="132"/>
      <c r="E11" s="117"/>
      <c r="F11" s="117"/>
      <c r="G11" s="117"/>
      <c r="H11" s="117"/>
    </row>
    <row r="12" spans="1:8" s="16" customFormat="1" x14ac:dyDescent="0.25">
      <c r="A12" s="27" t="s">
        <v>2</v>
      </c>
      <c r="B12" s="28" t="s">
        <v>5</v>
      </c>
      <c r="C12" s="29"/>
      <c r="D12" s="132"/>
      <c r="E12" s="117"/>
      <c r="F12" s="117"/>
      <c r="G12" s="117"/>
      <c r="H12" s="117"/>
    </row>
    <row r="13" spans="1:8" s="16" customFormat="1" x14ac:dyDescent="0.25">
      <c r="A13" s="27" t="s">
        <v>2</v>
      </c>
      <c r="B13" s="28" t="s">
        <v>6</v>
      </c>
      <c r="C13" s="29"/>
      <c r="D13" s="132"/>
      <c r="E13" s="117"/>
      <c r="F13" s="117"/>
      <c r="G13" s="117"/>
      <c r="H13" s="117"/>
    </row>
    <row r="14" spans="1:8" s="16" customFormat="1" x14ac:dyDescent="0.25">
      <c r="A14" s="27" t="s">
        <v>2</v>
      </c>
      <c r="B14" s="28" t="s">
        <v>7</v>
      </c>
      <c r="C14" s="29"/>
      <c r="D14" s="132"/>
      <c r="E14" s="117"/>
      <c r="F14" s="117"/>
      <c r="G14" s="117"/>
      <c r="H14" s="117"/>
    </row>
    <row r="15" spans="1:8" s="16" customFormat="1" x14ac:dyDescent="0.25">
      <c r="A15" s="27" t="s">
        <v>2</v>
      </c>
      <c r="B15" s="30" t="s">
        <v>8</v>
      </c>
      <c r="C15" s="29"/>
      <c r="D15" s="132"/>
      <c r="E15" s="117"/>
      <c r="F15" s="117"/>
      <c r="G15" s="117"/>
      <c r="H15" s="117"/>
    </row>
    <row r="16" spans="1:8" s="16" customFormat="1" x14ac:dyDescent="0.25">
      <c r="A16" s="27" t="s">
        <v>2</v>
      </c>
      <c r="B16" s="28" t="s">
        <v>9</v>
      </c>
      <c r="C16" s="29"/>
      <c r="D16" s="132"/>
      <c r="E16" s="117"/>
      <c r="F16" s="117"/>
      <c r="G16" s="117"/>
      <c r="H16" s="115"/>
    </row>
    <row r="17" spans="1:8" s="16" customFormat="1" x14ac:dyDescent="0.25">
      <c r="A17" s="27" t="s">
        <v>2</v>
      </c>
      <c r="B17" s="28" t="s">
        <v>10</v>
      </c>
      <c r="C17" s="29"/>
      <c r="D17" s="132"/>
      <c r="E17" s="117"/>
      <c r="F17" s="117"/>
      <c r="G17" s="117"/>
      <c r="H17" s="117"/>
    </row>
    <row r="18" spans="1:8" s="16" customFormat="1" x14ac:dyDescent="0.25">
      <c r="A18" s="27" t="s">
        <v>2</v>
      </c>
      <c r="B18" s="28" t="s">
        <v>11</v>
      </c>
      <c r="C18" s="29"/>
      <c r="D18" s="132"/>
      <c r="E18" s="117"/>
      <c r="F18" s="116"/>
      <c r="G18" s="117"/>
      <c r="H18" s="117"/>
    </row>
    <row r="19" spans="1:8" s="16" customFormat="1" x14ac:dyDescent="0.25">
      <c r="A19" s="27" t="s">
        <v>2</v>
      </c>
      <c r="B19" s="28" t="s">
        <v>12</v>
      </c>
      <c r="C19" s="29"/>
      <c r="D19" s="132"/>
      <c r="E19" s="117"/>
      <c r="F19" s="117"/>
      <c r="G19" s="117"/>
      <c r="H19" s="117"/>
    </row>
    <row r="20" spans="1:8" s="16" customFormat="1" x14ac:dyDescent="0.25">
      <c r="A20" s="27" t="s">
        <v>2</v>
      </c>
      <c r="B20" s="28" t="s">
        <v>13</v>
      </c>
      <c r="C20" s="29"/>
      <c r="D20" s="132"/>
      <c r="E20" s="117"/>
      <c r="F20" s="117"/>
      <c r="G20" s="117"/>
      <c r="H20" s="117"/>
    </row>
    <row r="21" spans="1:8" s="16" customFormat="1" x14ac:dyDescent="0.25">
      <c r="A21" s="27" t="s">
        <v>2</v>
      </c>
      <c r="B21" s="28" t="s">
        <v>14</v>
      </c>
      <c r="C21" s="29"/>
      <c r="D21" s="132"/>
      <c r="E21" s="124"/>
      <c r="F21" s="124"/>
      <c r="G21" s="124"/>
      <c r="H21" s="117"/>
    </row>
    <row r="22" spans="1:8" s="16" customFormat="1" x14ac:dyDescent="0.25">
      <c r="A22" s="27" t="s">
        <v>2</v>
      </c>
      <c r="B22" s="28" t="s">
        <v>15</v>
      </c>
      <c r="C22" s="29"/>
      <c r="D22" s="133"/>
      <c r="E22" s="126" t="s">
        <v>92</v>
      </c>
      <c r="F22" s="126"/>
      <c r="G22" s="128" t="s">
        <v>86</v>
      </c>
      <c r="H22" s="122"/>
    </row>
    <row r="23" spans="1:8" s="16" customFormat="1" x14ac:dyDescent="0.25">
      <c r="A23" s="27" t="s">
        <v>2</v>
      </c>
      <c r="B23" s="31" t="s">
        <v>16</v>
      </c>
      <c r="C23" s="29"/>
      <c r="D23" s="134" t="s">
        <v>17</v>
      </c>
      <c r="E23" s="146" t="s">
        <v>18</v>
      </c>
      <c r="F23" s="147"/>
      <c r="G23" s="148">
        <f>13000/2</f>
        <v>6500</v>
      </c>
      <c r="H23" s="122"/>
    </row>
    <row r="24" spans="1:8" s="16" customFormat="1" x14ac:dyDescent="0.25">
      <c r="A24" s="27" t="s">
        <v>2</v>
      </c>
      <c r="B24" s="28" t="s">
        <v>19</v>
      </c>
      <c r="C24" s="29"/>
      <c r="D24" s="135"/>
      <c r="E24" s="149" t="s">
        <v>20</v>
      </c>
      <c r="F24" s="147"/>
      <c r="G24" s="150">
        <v>10500</v>
      </c>
      <c r="H24" s="122"/>
    </row>
    <row r="25" spans="1:8" s="16" customFormat="1" x14ac:dyDescent="0.25">
      <c r="A25" s="27" t="s">
        <v>2</v>
      </c>
      <c r="B25" s="28" t="s">
        <v>21</v>
      </c>
      <c r="C25" s="29"/>
      <c r="D25" s="133"/>
      <c r="E25" s="149" t="s">
        <v>22</v>
      </c>
      <c r="F25" s="147"/>
      <c r="G25" s="150">
        <v>13050</v>
      </c>
      <c r="H25" s="122"/>
    </row>
    <row r="26" spans="1:8" s="16" customFormat="1" x14ac:dyDescent="0.25">
      <c r="A26" s="27"/>
      <c r="B26" s="28" t="s">
        <v>23</v>
      </c>
      <c r="C26" s="29"/>
      <c r="D26" s="133"/>
      <c r="E26" s="149" t="s">
        <v>24</v>
      </c>
      <c r="F26" s="147"/>
      <c r="G26" s="150">
        <v>10050</v>
      </c>
      <c r="H26" s="122"/>
    </row>
    <row r="27" spans="1:8" s="16" customFormat="1" x14ac:dyDescent="0.25">
      <c r="A27" s="27"/>
      <c r="B27" s="28"/>
      <c r="C27" s="29"/>
      <c r="D27" s="133"/>
      <c r="E27" s="149"/>
      <c r="F27" s="147"/>
      <c r="G27" s="150"/>
      <c r="H27" s="122"/>
    </row>
    <row r="28" spans="1:8" s="16" customFormat="1" x14ac:dyDescent="0.25">
      <c r="A28" s="143" t="s">
        <v>41</v>
      </c>
      <c r="B28" s="144"/>
      <c r="C28" s="145">
        <f>SUBTOTAL(9,C10:C26)</f>
        <v>0</v>
      </c>
      <c r="D28" s="133"/>
      <c r="E28" s="147"/>
      <c r="F28" s="147"/>
      <c r="G28" s="148">
        <f>SUBTOTAL(9,G23:G26)</f>
        <v>40100</v>
      </c>
      <c r="H28" s="123"/>
    </row>
    <row r="29" spans="1:8" s="16" customFormat="1" x14ac:dyDescent="0.25">
      <c r="A29" s="27"/>
      <c r="B29" s="28"/>
      <c r="C29" s="29"/>
      <c r="D29" s="133"/>
      <c r="E29" s="147"/>
      <c r="F29" s="147"/>
      <c r="G29" s="148"/>
      <c r="H29" s="123"/>
    </row>
    <row r="30" spans="1:8" s="16" customFormat="1" x14ac:dyDescent="0.25">
      <c r="A30" s="32" t="s">
        <v>25</v>
      </c>
      <c r="B30" s="32" t="s">
        <v>26</v>
      </c>
      <c r="C30" s="33"/>
      <c r="D30" s="133"/>
      <c r="E30" s="147" t="s">
        <v>27</v>
      </c>
      <c r="F30" s="147"/>
      <c r="G30" s="148">
        <f>+G28*0.04</f>
        <v>1604</v>
      </c>
      <c r="H30" s="123"/>
    </row>
    <row r="31" spans="1:8" s="16" customFormat="1" x14ac:dyDescent="0.25">
      <c r="A31" s="32" t="s">
        <v>25</v>
      </c>
      <c r="B31" s="32" t="s">
        <v>28</v>
      </c>
      <c r="C31" s="33"/>
      <c r="D31" s="133"/>
      <c r="E31" s="147"/>
      <c r="F31" s="147"/>
      <c r="G31" s="148"/>
      <c r="H31" s="123"/>
    </row>
    <row r="32" spans="1:8" s="16" customFormat="1" x14ac:dyDescent="0.25">
      <c r="A32" s="32" t="s">
        <v>25</v>
      </c>
      <c r="B32" s="34" t="s">
        <v>29</v>
      </c>
      <c r="C32" s="33"/>
      <c r="D32" s="136"/>
      <c r="E32" s="128" t="s">
        <v>41</v>
      </c>
      <c r="F32" s="128"/>
      <c r="G32" s="129">
        <f>+G28+G30</f>
        <v>41704</v>
      </c>
      <c r="H32" s="123"/>
    </row>
    <row r="33" spans="1:8" s="16" customFormat="1" x14ac:dyDescent="0.25">
      <c r="A33" s="32" t="s">
        <v>25</v>
      </c>
      <c r="B33" s="35" t="s">
        <v>30</v>
      </c>
      <c r="C33" s="33"/>
      <c r="D33" s="136"/>
      <c r="E33" s="127"/>
      <c r="F33" s="127"/>
      <c r="G33" s="127"/>
      <c r="H33" s="123"/>
    </row>
    <row r="34" spans="1:8" s="16" customFormat="1" x14ac:dyDescent="0.25">
      <c r="A34" s="32" t="s">
        <v>25</v>
      </c>
      <c r="B34" s="36" t="s">
        <v>32</v>
      </c>
      <c r="C34" s="33"/>
      <c r="D34" s="137"/>
      <c r="E34" s="127" t="s">
        <v>31</v>
      </c>
      <c r="F34" s="127"/>
      <c r="G34" s="127"/>
      <c r="H34" s="118"/>
    </row>
    <row r="35" spans="1:8" s="16" customFormat="1" x14ac:dyDescent="0.25">
      <c r="A35" s="32" t="s">
        <v>25</v>
      </c>
      <c r="B35" s="37" t="s">
        <v>33</v>
      </c>
      <c r="C35" s="33"/>
      <c r="D35" s="137"/>
      <c r="E35" s="125"/>
      <c r="F35" s="125"/>
      <c r="G35" s="125"/>
      <c r="H35" s="117"/>
    </row>
    <row r="36" spans="1:8" s="16" customFormat="1" x14ac:dyDescent="0.25">
      <c r="A36" s="32"/>
      <c r="B36" s="37"/>
      <c r="C36" s="33"/>
      <c r="D36" s="137"/>
      <c r="E36" s="120"/>
      <c r="F36" s="120"/>
      <c r="G36" s="120"/>
      <c r="H36" s="117"/>
    </row>
    <row r="37" spans="1:8" s="16" customFormat="1" x14ac:dyDescent="0.25">
      <c r="A37" s="143" t="s">
        <v>41</v>
      </c>
      <c r="B37" s="143"/>
      <c r="C37" s="106">
        <f>SUBTOTAL(9,C30:C35)</f>
        <v>0</v>
      </c>
      <c r="D37" s="132"/>
      <c r="E37" s="120"/>
      <c r="F37" s="120"/>
      <c r="G37" s="120"/>
      <c r="H37" s="117"/>
    </row>
    <row r="38" spans="1:8" x14ac:dyDescent="0.25">
      <c r="D38" s="121"/>
      <c r="E38" s="117"/>
      <c r="F38" s="117"/>
      <c r="G38" s="119"/>
      <c r="H38" s="121"/>
    </row>
    <row r="39" spans="1:8" x14ac:dyDescent="0.25">
      <c r="E39" s="121"/>
      <c r="F39" s="121"/>
      <c r="G39" s="121"/>
    </row>
  </sheetData>
  <mergeCells count="2">
    <mergeCell ref="A1:C1"/>
    <mergeCell ref="A2:C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3781-0CE0-B24B-BF7C-E7EB63743FAC}">
  <dimension ref="A1:Q969"/>
  <sheetViews>
    <sheetView workbookViewId="0">
      <selection activeCell="L24" sqref="L24"/>
    </sheetView>
  </sheetViews>
  <sheetFormatPr defaultColWidth="14.5" defaultRowHeight="15" x14ac:dyDescent="0.25"/>
  <cols>
    <col min="1" max="1" width="10" style="167" bestFit="1" customWidth="1"/>
    <col min="2" max="2" width="45.5" style="167" bestFit="1" customWidth="1"/>
    <col min="3" max="3" width="12" style="167" bestFit="1" customWidth="1"/>
    <col min="4" max="4" width="10.25" style="167" bestFit="1" customWidth="1"/>
    <col min="5" max="5" width="11.25" style="177" bestFit="1" customWidth="1"/>
    <col min="6" max="6" width="12" style="168" bestFit="1" customWidth="1"/>
    <col min="7" max="7" width="10.25" style="168" bestFit="1" customWidth="1"/>
    <col min="8" max="8" width="11.25" style="178" bestFit="1" customWidth="1"/>
    <col min="9" max="9" width="12.75" style="178" bestFit="1" customWidth="1"/>
    <col min="10" max="10" width="3" style="167" customWidth="1"/>
    <col min="11" max="11" width="7.25" style="167" bestFit="1" customWidth="1"/>
    <col min="12" max="12" width="24.25" style="167" bestFit="1" customWidth="1"/>
    <col min="13" max="13" width="10.25" style="168" bestFit="1" customWidth="1"/>
    <col min="14" max="14" width="10.25" style="167" bestFit="1" customWidth="1"/>
    <col min="15" max="15" width="10.75" style="167" bestFit="1" customWidth="1"/>
    <col min="16" max="16" width="9.25" style="167" customWidth="1"/>
    <col min="17" max="17" width="9.75" style="167" customWidth="1"/>
    <col min="18" max="21" width="8.75" style="167" customWidth="1"/>
    <col min="22" max="16384" width="14.5" style="167"/>
  </cols>
  <sheetData>
    <row r="1" spans="1:17" ht="34.15" customHeight="1" x14ac:dyDescent="0.35">
      <c r="A1" s="295" t="s">
        <v>104</v>
      </c>
      <c r="B1" s="295"/>
      <c r="C1" s="295"/>
      <c r="D1" s="295"/>
      <c r="E1" s="295"/>
      <c r="F1" s="295"/>
      <c r="G1" s="295"/>
      <c r="H1" s="295"/>
      <c r="I1" s="102"/>
    </row>
    <row r="2" spans="1:17" ht="25.5" x14ac:dyDescent="0.35">
      <c r="A2" s="102"/>
      <c r="B2" s="102"/>
      <c r="C2" s="102"/>
      <c r="D2" s="102"/>
      <c r="E2" s="102"/>
      <c r="F2" s="102"/>
      <c r="G2" s="102"/>
      <c r="H2" s="102"/>
      <c r="I2" s="102"/>
    </row>
    <row r="3" spans="1:17" s="172" customFormat="1" ht="15.75" x14ac:dyDescent="0.25">
      <c r="A3" s="169"/>
      <c r="B3" s="169"/>
      <c r="C3" s="169"/>
      <c r="D3" s="175" t="s">
        <v>35</v>
      </c>
      <c r="E3" s="169"/>
      <c r="F3" s="171"/>
      <c r="G3" s="176" t="s">
        <v>34</v>
      </c>
      <c r="H3" s="171"/>
      <c r="I3" s="171"/>
      <c r="M3" s="173"/>
    </row>
    <row r="4" spans="1:17" s="172" customFormat="1" ht="15.75" x14ac:dyDescent="0.25">
      <c r="A4" s="169" t="s">
        <v>36</v>
      </c>
      <c r="B4" s="169" t="s">
        <v>67</v>
      </c>
      <c r="C4" s="170" t="s">
        <v>56</v>
      </c>
      <c r="D4" s="170" t="s">
        <v>57</v>
      </c>
      <c r="E4" s="170" t="s">
        <v>42</v>
      </c>
      <c r="F4" s="171" t="s">
        <v>56</v>
      </c>
      <c r="G4" s="171" t="s">
        <v>57</v>
      </c>
      <c r="H4" s="171" t="s">
        <v>42</v>
      </c>
      <c r="I4" s="171" t="s">
        <v>106</v>
      </c>
      <c r="M4" s="173"/>
    </row>
    <row r="5" spans="1:17" s="172" customFormat="1" ht="15.75" x14ac:dyDescent="0.25">
      <c r="A5" s="240"/>
      <c r="B5" s="240"/>
      <c r="C5" s="241" t="s">
        <v>55</v>
      </c>
      <c r="D5" s="241" t="s">
        <v>58</v>
      </c>
      <c r="E5" s="241"/>
      <c r="F5" s="242" t="s">
        <v>55</v>
      </c>
      <c r="G5" s="242" t="s">
        <v>58</v>
      </c>
      <c r="H5" s="242"/>
      <c r="I5" s="242"/>
      <c r="M5" s="173"/>
      <c r="N5" s="174"/>
    </row>
    <row r="6" spans="1:17" s="151" customFormat="1" x14ac:dyDescent="0.25">
      <c r="A6" s="248" t="s">
        <v>70</v>
      </c>
      <c r="B6" s="248" t="s">
        <v>43</v>
      </c>
      <c r="C6" s="249">
        <v>350</v>
      </c>
      <c r="D6" s="249"/>
      <c r="E6" s="250">
        <f>+C6</f>
        <v>350</v>
      </c>
      <c r="F6" s="251"/>
      <c r="G6" s="251"/>
      <c r="H6" s="252"/>
      <c r="I6" s="253"/>
      <c r="K6" s="156"/>
      <c r="L6" s="296"/>
      <c r="M6" s="297"/>
      <c r="N6" s="157"/>
      <c r="O6" s="296"/>
      <c r="P6" s="297"/>
      <c r="Q6" s="157"/>
    </row>
    <row r="7" spans="1:17" s="151" customFormat="1" x14ac:dyDescent="0.25">
      <c r="A7" s="254">
        <v>46031</v>
      </c>
      <c r="B7" s="255" t="s">
        <v>109</v>
      </c>
      <c r="C7" s="256"/>
      <c r="D7" s="256"/>
      <c r="E7" s="257"/>
      <c r="F7" s="239">
        <f>2800*63.25</f>
        <v>177100</v>
      </c>
      <c r="G7" s="239"/>
      <c r="H7" s="258">
        <f>+H6+F7-G7</f>
        <v>177100</v>
      </c>
      <c r="I7" s="259" t="s">
        <v>107</v>
      </c>
      <c r="K7" s="156"/>
      <c r="L7" s="156"/>
      <c r="M7" s="158"/>
      <c r="N7" s="159"/>
      <c r="O7" s="156"/>
      <c r="P7" s="156"/>
      <c r="Q7" s="159"/>
    </row>
    <row r="8" spans="1:17" s="151" customFormat="1" x14ac:dyDescent="0.25">
      <c r="A8" s="254">
        <v>46081</v>
      </c>
      <c r="B8" s="255" t="s">
        <v>110</v>
      </c>
      <c r="C8" s="256"/>
      <c r="D8" s="256"/>
      <c r="E8" s="257"/>
      <c r="F8" s="239"/>
      <c r="G8" s="239">
        <v>800</v>
      </c>
      <c r="H8" s="258"/>
      <c r="I8" s="253"/>
      <c r="K8" s="156"/>
      <c r="L8" s="156"/>
      <c r="M8" s="158"/>
      <c r="N8" s="156"/>
      <c r="O8" s="156"/>
      <c r="P8" s="156"/>
      <c r="Q8" s="156"/>
    </row>
    <row r="9" spans="1:17" s="151" customFormat="1" x14ac:dyDescent="0.25">
      <c r="A9" s="254">
        <v>46081</v>
      </c>
      <c r="B9" s="255" t="s">
        <v>111</v>
      </c>
      <c r="C9" s="256"/>
      <c r="D9" s="256"/>
      <c r="E9" s="257"/>
      <c r="F9" s="239"/>
      <c r="G9" s="239">
        <v>7762.5</v>
      </c>
      <c r="H9" s="258"/>
      <c r="I9" s="253"/>
      <c r="K9" s="156"/>
      <c r="L9" s="156"/>
      <c r="M9" s="158"/>
      <c r="N9" s="156"/>
      <c r="O9" s="156"/>
      <c r="P9" s="156"/>
      <c r="Q9" s="156"/>
    </row>
    <row r="10" spans="1:17" s="151" customFormat="1" x14ac:dyDescent="0.25">
      <c r="A10" s="254">
        <v>46086</v>
      </c>
      <c r="B10" s="255" t="s">
        <v>112</v>
      </c>
      <c r="C10" s="256">
        <v>700</v>
      </c>
      <c r="D10" s="256"/>
      <c r="E10" s="257">
        <f>+E6+C10</f>
        <v>1050</v>
      </c>
      <c r="F10" s="239"/>
      <c r="G10" s="239"/>
      <c r="H10" s="258"/>
      <c r="I10" s="253"/>
      <c r="J10" s="160"/>
      <c r="K10" s="156"/>
      <c r="L10" s="156"/>
      <c r="M10" s="158"/>
      <c r="N10" s="156"/>
      <c r="O10" s="156"/>
      <c r="P10" s="156"/>
      <c r="Q10" s="156"/>
    </row>
    <row r="11" spans="1:17" s="151" customFormat="1" x14ac:dyDescent="0.25">
      <c r="A11" s="255"/>
      <c r="B11" s="255"/>
      <c r="C11" s="256"/>
      <c r="D11" s="256"/>
      <c r="E11" s="257"/>
      <c r="F11" s="239"/>
      <c r="G11" s="239"/>
      <c r="H11" s="258"/>
      <c r="I11" s="253"/>
      <c r="J11" s="161"/>
      <c r="K11" s="156"/>
      <c r="L11" s="156"/>
      <c r="M11" s="158"/>
      <c r="N11" s="156"/>
      <c r="O11" s="156"/>
      <c r="P11" s="156"/>
      <c r="Q11" s="156"/>
    </row>
    <row r="12" spans="1:17" s="151" customFormat="1" x14ac:dyDescent="0.25">
      <c r="A12" s="248"/>
      <c r="B12" s="248"/>
      <c r="C12" s="249"/>
      <c r="D12" s="249"/>
      <c r="E12" s="250"/>
      <c r="F12" s="251"/>
      <c r="G12" s="251"/>
      <c r="H12" s="252"/>
      <c r="I12" s="253"/>
      <c r="J12" s="160"/>
      <c r="K12" s="156"/>
      <c r="L12" s="156"/>
      <c r="M12" s="158"/>
      <c r="N12" s="156"/>
      <c r="O12" s="156"/>
      <c r="P12" s="156"/>
      <c r="Q12" s="156"/>
    </row>
    <row r="13" spans="1:17" s="151" customFormat="1" x14ac:dyDescent="0.25">
      <c r="A13" s="248"/>
      <c r="B13" s="248"/>
      <c r="C13" s="249"/>
      <c r="D13" s="249"/>
      <c r="E13" s="250"/>
      <c r="F13" s="251"/>
      <c r="G13" s="251"/>
      <c r="H13" s="252"/>
      <c r="I13" s="253"/>
      <c r="J13" s="160"/>
      <c r="K13" s="156"/>
      <c r="L13" s="156"/>
      <c r="M13" s="158"/>
      <c r="N13" s="156"/>
      <c r="O13" s="156"/>
      <c r="P13" s="156"/>
      <c r="Q13" s="156"/>
    </row>
    <row r="14" spans="1:17" s="151" customFormat="1" x14ac:dyDescent="0.25">
      <c r="A14" s="260"/>
      <c r="B14" s="261"/>
      <c r="C14" s="262"/>
      <c r="D14" s="262"/>
      <c r="E14" s="263"/>
      <c r="F14" s="264"/>
      <c r="G14" s="264"/>
      <c r="H14" s="252"/>
      <c r="I14" s="253"/>
      <c r="J14" s="162"/>
      <c r="K14" s="156"/>
      <c r="L14" s="156"/>
      <c r="M14" s="158"/>
      <c r="N14" s="156"/>
      <c r="O14" s="156"/>
      <c r="P14" s="156"/>
      <c r="Q14" s="156"/>
    </row>
    <row r="15" spans="1:17" s="151" customFormat="1" x14ac:dyDescent="0.25">
      <c r="A15" s="265"/>
      <c r="B15" s="248"/>
      <c r="C15" s="249"/>
      <c r="D15" s="249"/>
      <c r="E15" s="263"/>
      <c r="F15" s="251"/>
      <c r="G15" s="251"/>
      <c r="H15" s="252"/>
      <c r="I15" s="253"/>
      <c r="K15" s="156"/>
      <c r="L15" s="163"/>
      <c r="M15" s="158"/>
      <c r="N15" s="156"/>
      <c r="O15" s="156"/>
      <c r="P15" s="156"/>
      <c r="Q15" s="156"/>
    </row>
    <row r="16" spans="1:17" s="151" customFormat="1" x14ac:dyDescent="0.25">
      <c r="A16" s="265"/>
      <c r="B16" s="266"/>
      <c r="C16" s="250"/>
      <c r="D16" s="250"/>
      <c r="E16" s="263"/>
      <c r="F16" s="251"/>
      <c r="G16" s="251"/>
      <c r="H16" s="252"/>
      <c r="I16" s="253"/>
      <c r="K16" s="156"/>
      <c r="L16" s="156"/>
      <c r="M16" s="158"/>
      <c r="N16" s="156"/>
      <c r="O16" s="156"/>
      <c r="P16" s="156"/>
      <c r="Q16" s="156"/>
    </row>
    <row r="17" spans="1:17" s="151" customFormat="1" x14ac:dyDescent="0.25">
      <c r="A17" s="265"/>
      <c r="B17" s="248"/>
      <c r="C17" s="249"/>
      <c r="D17" s="249"/>
      <c r="E17" s="263"/>
      <c r="F17" s="251"/>
      <c r="G17" s="251"/>
      <c r="H17" s="252"/>
      <c r="I17" s="253"/>
      <c r="K17" s="156"/>
      <c r="L17" s="156"/>
      <c r="M17" s="158"/>
      <c r="N17" s="156"/>
      <c r="O17" s="156"/>
      <c r="P17" s="156"/>
      <c r="Q17" s="156"/>
    </row>
    <row r="18" spans="1:17" s="151" customFormat="1" x14ac:dyDescent="0.25">
      <c r="A18" s="265"/>
      <c r="B18" s="248"/>
      <c r="C18" s="249"/>
      <c r="D18" s="249"/>
      <c r="E18" s="263"/>
      <c r="F18" s="251"/>
      <c r="G18" s="251"/>
      <c r="H18" s="252"/>
      <c r="I18" s="253"/>
      <c r="K18" s="156"/>
      <c r="L18" s="156"/>
      <c r="M18" s="158"/>
      <c r="N18" s="156"/>
      <c r="O18" s="156"/>
      <c r="P18" s="156"/>
      <c r="Q18" s="156"/>
    </row>
    <row r="19" spans="1:17" s="151" customFormat="1" x14ac:dyDescent="0.25">
      <c r="A19" s="265"/>
      <c r="B19" s="248"/>
      <c r="C19" s="249"/>
      <c r="D19" s="249"/>
      <c r="E19" s="263"/>
      <c r="F19" s="251"/>
      <c r="G19" s="251"/>
      <c r="H19" s="252"/>
      <c r="I19" s="253"/>
      <c r="M19" s="152"/>
    </row>
    <row r="20" spans="1:17" s="151" customFormat="1" x14ac:dyDescent="0.25">
      <c r="A20" s="265"/>
      <c r="B20" s="248"/>
      <c r="C20" s="249"/>
      <c r="D20" s="249"/>
      <c r="E20" s="263"/>
      <c r="F20" s="251"/>
      <c r="G20" s="251"/>
      <c r="H20" s="252"/>
      <c r="I20" s="253"/>
      <c r="M20" s="152"/>
    </row>
    <row r="21" spans="1:17" s="151" customFormat="1" x14ac:dyDescent="0.25">
      <c r="A21" s="267"/>
      <c r="B21" s="248"/>
      <c r="C21" s="249"/>
      <c r="D21" s="250"/>
      <c r="E21" s="263"/>
      <c r="F21" s="251"/>
      <c r="G21" s="251"/>
      <c r="H21" s="252"/>
      <c r="I21" s="253"/>
      <c r="M21" s="152"/>
    </row>
    <row r="22" spans="1:17" s="151" customFormat="1" x14ac:dyDescent="0.25">
      <c r="A22" s="268"/>
      <c r="B22" s="248"/>
      <c r="C22" s="249"/>
      <c r="D22" s="249"/>
      <c r="E22" s="263"/>
      <c r="F22" s="251"/>
      <c r="G22" s="251"/>
      <c r="H22" s="252"/>
      <c r="I22" s="253"/>
      <c r="M22" s="152"/>
    </row>
    <row r="23" spans="1:17" s="151" customFormat="1" x14ac:dyDescent="0.25">
      <c r="A23" s="268"/>
      <c r="B23" s="248"/>
      <c r="C23" s="249"/>
      <c r="D23" s="249"/>
      <c r="E23" s="263"/>
      <c r="F23" s="251"/>
      <c r="G23" s="251"/>
      <c r="H23" s="252"/>
      <c r="I23" s="253"/>
      <c r="M23" s="152"/>
    </row>
    <row r="24" spans="1:17" s="151" customFormat="1" x14ac:dyDescent="0.25">
      <c r="A24" s="268"/>
      <c r="B24" s="248"/>
      <c r="C24" s="249"/>
      <c r="D24" s="249"/>
      <c r="E24" s="263"/>
      <c r="F24" s="251"/>
      <c r="G24" s="251"/>
      <c r="H24" s="252"/>
      <c r="I24" s="253"/>
      <c r="M24" s="152"/>
    </row>
    <row r="25" spans="1:17" s="151" customFormat="1" x14ac:dyDescent="0.25">
      <c r="A25" s="268"/>
      <c r="B25" s="248"/>
      <c r="C25" s="249"/>
      <c r="D25" s="249"/>
      <c r="E25" s="263"/>
      <c r="F25" s="251"/>
      <c r="G25" s="251"/>
      <c r="H25" s="252"/>
      <c r="I25" s="253"/>
      <c r="M25" s="152"/>
    </row>
    <row r="26" spans="1:17" s="151" customFormat="1" x14ac:dyDescent="0.25">
      <c r="A26" s="268"/>
      <c r="B26" s="248"/>
      <c r="C26" s="249"/>
      <c r="D26" s="249"/>
      <c r="E26" s="263"/>
      <c r="F26" s="251"/>
      <c r="G26" s="251"/>
      <c r="H26" s="252"/>
      <c r="I26" s="253"/>
      <c r="M26" s="152"/>
    </row>
    <row r="27" spans="1:17" s="151" customFormat="1" x14ac:dyDescent="0.25">
      <c r="A27" s="268"/>
      <c r="B27" s="248"/>
      <c r="C27" s="249"/>
      <c r="D27" s="249"/>
      <c r="E27" s="263"/>
      <c r="F27" s="251"/>
      <c r="G27" s="251"/>
      <c r="H27" s="252"/>
      <c r="I27" s="253"/>
      <c r="M27" s="152"/>
    </row>
    <row r="28" spans="1:17" s="151" customFormat="1" x14ac:dyDescent="0.25">
      <c r="A28" s="268"/>
      <c r="B28" s="248"/>
      <c r="C28" s="249"/>
      <c r="D28" s="249"/>
      <c r="E28" s="263"/>
      <c r="F28" s="251"/>
      <c r="G28" s="251"/>
      <c r="H28" s="252"/>
      <c r="I28" s="253"/>
      <c r="M28" s="152"/>
    </row>
    <row r="29" spans="1:17" s="151" customFormat="1" x14ac:dyDescent="0.25">
      <c r="A29" s="268"/>
      <c r="B29" s="248"/>
      <c r="C29" s="249"/>
      <c r="D29" s="249"/>
      <c r="E29" s="263"/>
      <c r="F29" s="251"/>
      <c r="G29" s="251"/>
      <c r="H29" s="252"/>
      <c r="I29" s="253"/>
      <c r="M29" s="152"/>
    </row>
    <row r="30" spans="1:17" s="151" customFormat="1" x14ac:dyDescent="0.25">
      <c r="A30" s="268"/>
      <c r="B30" s="248"/>
      <c r="C30" s="249"/>
      <c r="D30" s="249"/>
      <c r="E30" s="263"/>
      <c r="F30" s="251"/>
      <c r="G30" s="251"/>
      <c r="H30" s="252"/>
      <c r="I30" s="253"/>
      <c r="M30" s="152"/>
    </row>
    <row r="31" spans="1:17" s="151" customFormat="1" x14ac:dyDescent="0.25">
      <c r="A31" s="268"/>
      <c r="B31" s="248"/>
      <c r="C31" s="249"/>
      <c r="D31" s="249"/>
      <c r="E31" s="263"/>
      <c r="F31" s="251"/>
      <c r="G31" s="251"/>
      <c r="H31" s="252"/>
      <c r="I31" s="253"/>
      <c r="M31" s="152"/>
    </row>
    <row r="32" spans="1:17" s="151" customFormat="1" x14ac:dyDescent="0.25">
      <c r="A32" s="268"/>
      <c r="B32" s="248"/>
      <c r="C32" s="249"/>
      <c r="D32" s="249"/>
      <c r="E32" s="263"/>
      <c r="F32" s="251"/>
      <c r="G32" s="251"/>
      <c r="H32" s="252"/>
      <c r="I32" s="253"/>
      <c r="M32" s="152"/>
    </row>
    <row r="33" spans="1:13" s="151" customFormat="1" x14ac:dyDescent="0.25">
      <c r="A33" s="268"/>
      <c r="B33" s="248"/>
      <c r="C33" s="249"/>
      <c r="D33" s="249"/>
      <c r="E33" s="263"/>
      <c r="F33" s="251"/>
      <c r="G33" s="251"/>
      <c r="H33" s="252"/>
      <c r="I33" s="253"/>
      <c r="M33" s="152"/>
    </row>
    <row r="34" spans="1:13" s="151" customFormat="1" x14ac:dyDescent="0.25">
      <c r="A34" s="268"/>
      <c r="B34" s="248"/>
      <c r="C34" s="249"/>
      <c r="D34" s="249"/>
      <c r="E34" s="263"/>
      <c r="F34" s="251"/>
      <c r="G34" s="251"/>
      <c r="H34" s="252"/>
      <c r="I34" s="253"/>
      <c r="M34" s="152"/>
    </row>
    <row r="35" spans="1:13" s="151" customFormat="1" x14ac:dyDescent="0.25">
      <c r="A35" s="268"/>
      <c r="B35" s="248"/>
      <c r="C35" s="249"/>
      <c r="D35" s="249"/>
      <c r="E35" s="263"/>
      <c r="F35" s="251"/>
      <c r="G35" s="251"/>
      <c r="H35" s="252"/>
      <c r="I35" s="253"/>
      <c r="M35" s="152"/>
    </row>
    <row r="36" spans="1:13" s="151" customFormat="1" x14ac:dyDescent="0.25">
      <c r="A36" s="268"/>
      <c r="B36" s="248"/>
      <c r="C36" s="249"/>
      <c r="D36" s="249"/>
      <c r="E36" s="263"/>
      <c r="F36" s="251"/>
      <c r="G36" s="251"/>
      <c r="H36" s="252"/>
      <c r="I36" s="253"/>
      <c r="M36" s="152"/>
    </row>
    <row r="37" spans="1:13" s="151" customFormat="1" x14ac:dyDescent="0.25">
      <c r="A37" s="268"/>
      <c r="B37" s="248"/>
      <c r="C37" s="249"/>
      <c r="D37" s="249"/>
      <c r="E37" s="263"/>
      <c r="F37" s="251"/>
      <c r="G37" s="251"/>
      <c r="H37" s="252"/>
      <c r="I37" s="253"/>
      <c r="M37" s="152"/>
    </row>
    <row r="38" spans="1:13" s="151" customFormat="1" x14ac:dyDescent="0.25">
      <c r="A38" s="268"/>
      <c r="B38" s="248"/>
      <c r="C38" s="249"/>
      <c r="D38" s="249"/>
      <c r="E38" s="263"/>
      <c r="F38" s="251"/>
      <c r="G38" s="251"/>
      <c r="H38" s="252"/>
      <c r="I38" s="253"/>
      <c r="M38" s="152"/>
    </row>
    <row r="39" spans="1:13" s="151" customFormat="1" x14ac:dyDescent="0.25">
      <c r="A39" s="268"/>
      <c r="B39" s="248"/>
      <c r="C39" s="249"/>
      <c r="D39" s="249"/>
      <c r="E39" s="263"/>
      <c r="F39" s="251"/>
      <c r="G39" s="251"/>
      <c r="H39" s="252"/>
      <c r="I39" s="253"/>
      <c r="M39" s="152"/>
    </row>
    <row r="40" spans="1:13" s="151" customFormat="1" x14ac:dyDescent="0.25">
      <c r="A40" s="268"/>
      <c r="B40" s="248"/>
      <c r="C40" s="249"/>
      <c r="D40" s="249"/>
      <c r="E40" s="263"/>
      <c r="F40" s="251"/>
      <c r="G40" s="251"/>
      <c r="H40" s="252"/>
      <c r="I40" s="253"/>
      <c r="M40" s="152"/>
    </row>
    <row r="41" spans="1:13" s="151" customFormat="1" x14ac:dyDescent="0.25">
      <c r="A41" s="268"/>
      <c r="B41" s="248"/>
      <c r="C41" s="249"/>
      <c r="D41" s="249"/>
      <c r="E41" s="263"/>
      <c r="F41" s="251"/>
      <c r="G41" s="251"/>
      <c r="H41" s="252"/>
      <c r="I41" s="253"/>
      <c r="M41" s="152"/>
    </row>
    <row r="42" spans="1:13" s="151" customFormat="1" x14ac:dyDescent="0.25">
      <c r="A42" s="268"/>
      <c r="B42" s="248"/>
      <c r="C42" s="249"/>
      <c r="D42" s="249"/>
      <c r="E42" s="263"/>
      <c r="F42" s="251"/>
      <c r="G42" s="251"/>
      <c r="H42" s="252"/>
      <c r="I42" s="253"/>
      <c r="M42" s="152"/>
    </row>
    <row r="43" spans="1:13" s="151" customFormat="1" x14ac:dyDescent="0.25">
      <c r="A43" s="268"/>
      <c r="B43" s="248"/>
      <c r="C43" s="249"/>
      <c r="D43" s="249"/>
      <c r="E43" s="263"/>
      <c r="F43" s="251"/>
      <c r="G43" s="251"/>
      <c r="H43" s="252"/>
      <c r="I43" s="253"/>
      <c r="M43" s="152"/>
    </row>
    <row r="44" spans="1:13" s="151" customFormat="1" x14ac:dyDescent="0.25">
      <c r="A44" s="268"/>
      <c r="B44" s="269"/>
      <c r="C44" s="249"/>
      <c r="D44" s="249"/>
      <c r="E44" s="263"/>
      <c r="F44" s="251"/>
      <c r="G44" s="251"/>
      <c r="H44" s="252"/>
      <c r="I44" s="253"/>
      <c r="M44" s="152"/>
    </row>
    <row r="45" spans="1:13" s="151" customFormat="1" x14ac:dyDescent="0.25">
      <c r="A45" s="268"/>
      <c r="B45" s="248"/>
      <c r="C45" s="249"/>
      <c r="D45" s="249"/>
      <c r="E45" s="263"/>
      <c r="F45" s="251"/>
      <c r="G45" s="251"/>
      <c r="H45" s="252"/>
      <c r="I45" s="253"/>
      <c r="M45" s="152"/>
    </row>
    <row r="46" spans="1:13" s="151" customFormat="1" x14ac:dyDescent="0.25">
      <c r="A46" s="268"/>
      <c r="B46" s="248"/>
      <c r="C46" s="249"/>
      <c r="D46" s="249"/>
      <c r="E46" s="263"/>
      <c r="F46" s="251"/>
      <c r="G46" s="251"/>
      <c r="H46" s="252"/>
      <c r="I46" s="253"/>
      <c r="M46" s="152"/>
    </row>
    <row r="47" spans="1:13" s="151" customFormat="1" x14ac:dyDescent="0.25">
      <c r="A47" s="248"/>
      <c r="B47" s="248"/>
      <c r="C47" s="248"/>
      <c r="D47" s="249"/>
      <c r="E47" s="263"/>
      <c r="F47" s="251"/>
      <c r="G47" s="251"/>
      <c r="H47" s="252"/>
      <c r="I47" s="253"/>
      <c r="M47" s="152"/>
    </row>
    <row r="48" spans="1:13" s="151" customFormat="1" x14ac:dyDescent="0.25">
      <c r="A48" s="268"/>
      <c r="B48" s="248"/>
      <c r="C48" s="249"/>
      <c r="D48" s="249"/>
      <c r="E48" s="263"/>
      <c r="F48" s="251"/>
      <c r="G48" s="251"/>
      <c r="H48" s="252"/>
      <c r="I48" s="253"/>
      <c r="M48" s="152"/>
    </row>
    <row r="49" spans="1:13" s="151" customFormat="1" x14ac:dyDescent="0.25">
      <c r="A49" s="268"/>
      <c r="B49" s="248"/>
      <c r="C49" s="249"/>
      <c r="D49" s="249"/>
      <c r="E49" s="263"/>
      <c r="F49" s="251"/>
      <c r="G49" s="251"/>
      <c r="H49" s="252"/>
      <c r="I49" s="253"/>
      <c r="M49" s="152"/>
    </row>
    <row r="50" spans="1:13" s="151" customFormat="1" x14ac:dyDescent="0.25">
      <c r="A50" s="268"/>
      <c r="B50" s="248"/>
      <c r="C50" s="249"/>
      <c r="D50" s="249"/>
      <c r="E50" s="263"/>
      <c r="F50" s="251"/>
      <c r="G50" s="251"/>
      <c r="H50" s="252"/>
      <c r="I50" s="253"/>
      <c r="M50" s="152"/>
    </row>
    <row r="51" spans="1:13" s="151" customFormat="1" x14ac:dyDescent="0.25">
      <c r="A51" s="270"/>
      <c r="B51" s="271"/>
      <c r="C51" s="272"/>
      <c r="D51" s="272"/>
      <c r="E51" s="273"/>
      <c r="F51" s="274"/>
      <c r="G51" s="274"/>
      <c r="H51" s="275"/>
      <c r="I51" s="276"/>
      <c r="M51" s="152"/>
    </row>
    <row r="52" spans="1:13" s="172" customFormat="1" ht="15.75" x14ac:dyDescent="0.25">
      <c r="A52" s="243" t="s">
        <v>93</v>
      </c>
      <c r="B52" s="244"/>
      <c r="C52" s="245">
        <f>SUM(C6:C51)</f>
        <v>1050</v>
      </c>
      <c r="D52" s="245">
        <f>SUM(D6:D51)</f>
        <v>0</v>
      </c>
      <c r="E52" s="246">
        <f>+C52-D52</f>
        <v>1050</v>
      </c>
      <c r="F52" s="247">
        <f>SUM(F6:F51)</f>
        <v>177100</v>
      </c>
      <c r="G52" s="247">
        <f>SUM(G6:G51)</f>
        <v>8562.5</v>
      </c>
      <c r="H52" s="247">
        <f>+F52-G52</f>
        <v>168537.5</v>
      </c>
      <c r="I52" s="247"/>
      <c r="M52" s="173"/>
    </row>
    <row r="53" spans="1:13" s="151" customFormat="1" x14ac:dyDescent="0.25">
      <c r="C53" s="155"/>
      <c r="D53" s="155"/>
      <c r="E53" s="153"/>
      <c r="F53" s="152"/>
      <c r="G53" s="152"/>
      <c r="H53" s="154"/>
      <c r="I53" s="154"/>
      <c r="M53" s="152"/>
    </row>
    <row r="54" spans="1:13" ht="15.75" customHeight="1" x14ac:dyDescent="0.25">
      <c r="C54" s="164"/>
      <c r="D54" s="164"/>
      <c r="E54" s="165"/>
      <c r="H54" s="166"/>
      <c r="I54" s="166"/>
    </row>
    <row r="55" spans="1:13" ht="15.75" customHeight="1" x14ac:dyDescent="0.25">
      <c r="C55" s="164"/>
      <c r="D55" s="164"/>
      <c r="E55" s="165"/>
      <c r="H55" s="166"/>
      <c r="I55" s="166"/>
    </row>
    <row r="56" spans="1:13" ht="15.75" customHeight="1" x14ac:dyDescent="0.25">
      <c r="C56" s="164"/>
      <c r="D56" s="164"/>
      <c r="E56" s="165"/>
      <c r="H56" s="166"/>
      <c r="I56" s="166"/>
    </row>
    <row r="57" spans="1:13" ht="15.75" customHeight="1" x14ac:dyDescent="0.25">
      <c r="C57" s="164"/>
      <c r="D57" s="164"/>
      <c r="E57" s="165"/>
      <c r="H57" s="166"/>
      <c r="I57" s="166"/>
    </row>
    <row r="58" spans="1:13" ht="15.75" customHeight="1" x14ac:dyDescent="0.25">
      <c r="C58" s="164"/>
      <c r="D58" s="164"/>
      <c r="E58" s="165"/>
      <c r="H58" s="166"/>
      <c r="I58" s="166"/>
    </row>
    <row r="59" spans="1:13" ht="15.75" customHeight="1" x14ac:dyDescent="0.25">
      <c r="C59" s="164"/>
      <c r="D59" s="164"/>
      <c r="E59" s="165"/>
      <c r="H59" s="166"/>
      <c r="I59" s="166"/>
    </row>
    <row r="60" spans="1:13" ht="15.75" customHeight="1" x14ac:dyDescent="0.25">
      <c r="C60" s="164"/>
      <c r="D60" s="164"/>
      <c r="E60" s="165"/>
      <c r="H60" s="166"/>
      <c r="I60" s="166"/>
    </row>
    <row r="61" spans="1:13" ht="15.75" customHeight="1" x14ac:dyDescent="0.25">
      <c r="C61" s="164"/>
      <c r="D61" s="164"/>
      <c r="E61" s="165"/>
      <c r="H61" s="166"/>
      <c r="I61" s="166"/>
    </row>
    <row r="62" spans="1:13" ht="15.75" customHeight="1" x14ac:dyDescent="0.25">
      <c r="C62" s="164"/>
      <c r="D62" s="164"/>
      <c r="E62" s="165"/>
      <c r="H62" s="166"/>
      <c r="I62" s="166"/>
    </row>
    <row r="63" spans="1:13" ht="15.75" customHeight="1" x14ac:dyDescent="0.25">
      <c r="C63" s="164"/>
      <c r="D63" s="164"/>
      <c r="E63" s="165"/>
      <c r="H63" s="166"/>
      <c r="I63" s="166"/>
    </row>
    <row r="64" spans="1:13" ht="15.75" customHeight="1" x14ac:dyDescent="0.25">
      <c r="C64" s="164"/>
      <c r="D64" s="164"/>
      <c r="E64" s="165"/>
      <c r="H64" s="166"/>
      <c r="I64" s="166"/>
    </row>
    <row r="65" spans="3:9" ht="15.75" customHeight="1" x14ac:dyDescent="0.25">
      <c r="C65" s="164"/>
      <c r="D65" s="164"/>
      <c r="E65" s="165"/>
      <c r="H65" s="166"/>
      <c r="I65" s="166"/>
    </row>
    <row r="66" spans="3:9" ht="15.75" customHeight="1" x14ac:dyDescent="0.25">
      <c r="C66" s="164"/>
      <c r="D66" s="164"/>
      <c r="E66" s="165"/>
      <c r="H66" s="166"/>
      <c r="I66" s="166"/>
    </row>
    <row r="67" spans="3:9" ht="15.75" customHeight="1" x14ac:dyDescent="0.25">
      <c r="C67" s="164"/>
      <c r="D67" s="164"/>
      <c r="E67" s="165"/>
      <c r="H67" s="166"/>
      <c r="I67" s="166"/>
    </row>
    <row r="68" spans="3:9" ht="15.75" customHeight="1" x14ac:dyDescent="0.25">
      <c r="C68" s="164"/>
      <c r="D68" s="164"/>
      <c r="E68" s="165"/>
      <c r="H68" s="166"/>
      <c r="I68" s="166"/>
    </row>
    <row r="69" spans="3:9" ht="15.75" customHeight="1" x14ac:dyDescent="0.25">
      <c r="C69" s="164"/>
      <c r="D69" s="164"/>
      <c r="E69" s="165"/>
      <c r="H69" s="166"/>
      <c r="I69" s="166"/>
    </row>
    <row r="70" spans="3:9" ht="15.75" customHeight="1" x14ac:dyDescent="0.25">
      <c r="C70" s="164"/>
      <c r="D70" s="164"/>
      <c r="E70" s="165"/>
      <c r="H70" s="166"/>
      <c r="I70" s="166"/>
    </row>
    <row r="71" spans="3:9" ht="15.75" customHeight="1" x14ac:dyDescent="0.25">
      <c r="C71" s="164"/>
      <c r="D71" s="164"/>
      <c r="E71" s="165"/>
      <c r="H71" s="166"/>
      <c r="I71" s="166"/>
    </row>
    <row r="72" spans="3:9" ht="15.75" customHeight="1" x14ac:dyDescent="0.25">
      <c r="C72" s="164"/>
      <c r="D72" s="164"/>
      <c r="E72" s="165"/>
      <c r="H72" s="166"/>
      <c r="I72" s="166"/>
    </row>
    <row r="73" spans="3:9" ht="15.75" customHeight="1" x14ac:dyDescent="0.25">
      <c r="C73" s="164"/>
      <c r="D73" s="164"/>
      <c r="E73" s="165"/>
      <c r="H73" s="166"/>
      <c r="I73" s="166"/>
    </row>
    <row r="74" spans="3:9" ht="15.75" customHeight="1" x14ac:dyDescent="0.25">
      <c r="C74" s="164"/>
      <c r="D74" s="164"/>
      <c r="E74" s="165"/>
      <c r="H74" s="166"/>
      <c r="I74" s="166"/>
    </row>
    <row r="75" spans="3:9" ht="15.75" customHeight="1" x14ac:dyDescent="0.25">
      <c r="C75" s="164"/>
      <c r="D75" s="164"/>
      <c r="E75" s="165"/>
      <c r="H75" s="166"/>
      <c r="I75" s="166"/>
    </row>
    <row r="76" spans="3:9" ht="15.75" customHeight="1" x14ac:dyDescent="0.25">
      <c r="C76" s="164"/>
      <c r="D76" s="164"/>
      <c r="E76" s="165"/>
      <c r="H76" s="166"/>
      <c r="I76" s="166"/>
    </row>
    <row r="77" spans="3:9" ht="15.75" customHeight="1" x14ac:dyDescent="0.25">
      <c r="C77" s="164"/>
      <c r="D77" s="164"/>
      <c r="E77" s="165"/>
      <c r="H77" s="166"/>
      <c r="I77" s="166"/>
    </row>
    <row r="78" spans="3:9" ht="15.75" customHeight="1" x14ac:dyDescent="0.25">
      <c r="C78" s="164"/>
      <c r="D78" s="164"/>
      <c r="E78" s="165"/>
      <c r="H78" s="166"/>
      <c r="I78" s="166"/>
    </row>
    <row r="79" spans="3:9" ht="15.75" customHeight="1" x14ac:dyDescent="0.25">
      <c r="C79" s="164"/>
      <c r="D79" s="164"/>
      <c r="E79" s="165"/>
      <c r="H79" s="166"/>
      <c r="I79" s="166"/>
    </row>
    <row r="80" spans="3:9" ht="15.75" customHeight="1" x14ac:dyDescent="0.25">
      <c r="C80" s="164"/>
      <c r="D80" s="164"/>
      <c r="E80" s="165"/>
      <c r="H80" s="166"/>
      <c r="I80" s="166"/>
    </row>
    <row r="81" spans="3:9" ht="15.75" customHeight="1" x14ac:dyDescent="0.25">
      <c r="C81" s="164"/>
      <c r="D81" s="164"/>
      <c r="E81" s="165"/>
      <c r="H81" s="166"/>
      <c r="I81" s="166"/>
    </row>
    <row r="82" spans="3:9" ht="15.75" customHeight="1" x14ac:dyDescent="0.25">
      <c r="C82" s="164"/>
      <c r="D82" s="164"/>
      <c r="E82" s="165"/>
      <c r="H82" s="166"/>
      <c r="I82" s="166"/>
    </row>
    <row r="83" spans="3:9" ht="15.75" customHeight="1" x14ac:dyDescent="0.25">
      <c r="C83" s="164"/>
      <c r="D83" s="164"/>
      <c r="E83" s="165"/>
      <c r="H83" s="166"/>
      <c r="I83" s="166"/>
    </row>
    <row r="84" spans="3:9" ht="15.75" customHeight="1" x14ac:dyDescent="0.25">
      <c r="C84" s="164"/>
      <c r="D84" s="164"/>
      <c r="E84" s="165"/>
      <c r="H84" s="166"/>
      <c r="I84" s="166"/>
    </row>
    <row r="85" spans="3:9" ht="15.75" customHeight="1" x14ac:dyDescent="0.25">
      <c r="C85" s="164"/>
      <c r="D85" s="164"/>
      <c r="E85" s="165"/>
      <c r="H85" s="166"/>
      <c r="I85" s="166"/>
    </row>
    <row r="86" spans="3:9" ht="15.75" customHeight="1" x14ac:dyDescent="0.25">
      <c r="C86" s="164"/>
      <c r="D86" s="164"/>
      <c r="E86" s="165"/>
      <c r="H86" s="166"/>
      <c r="I86" s="166"/>
    </row>
    <row r="87" spans="3:9" ht="15.75" customHeight="1" x14ac:dyDescent="0.25">
      <c r="C87" s="164"/>
      <c r="D87" s="164"/>
      <c r="E87" s="165"/>
      <c r="H87" s="166"/>
      <c r="I87" s="166"/>
    </row>
    <row r="88" spans="3:9" ht="15.75" customHeight="1" x14ac:dyDescent="0.25">
      <c r="C88" s="164"/>
      <c r="D88" s="164"/>
      <c r="E88" s="165"/>
      <c r="H88" s="166"/>
      <c r="I88" s="166"/>
    </row>
    <row r="89" spans="3:9" ht="15.75" customHeight="1" x14ac:dyDescent="0.25">
      <c r="C89" s="164"/>
      <c r="D89" s="164"/>
      <c r="E89" s="165"/>
      <c r="H89" s="166"/>
      <c r="I89" s="166"/>
    </row>
    <row r="90" spans="3:9" ht="15.75" customHeight="1" x14ac:dyDescent="0.25">
      <c r="C90" s="164"/>
      <c r="D90" s="164"/>
      <c r="E90" s="165"/>
      <c r="H90" s="166"/>
      <c r="I90" s="166"/>
    </row>
    <row r="91" spans="3:9" ht="15.75" customHeight="1" x14ac:dyDescent="0.25">
      <c r="C91" s="164"/>
      <c r="D91" s="164"/>
      <c r="E91" s="165"/>
      <c r="H91" s="166"/>
      <c r="I91" s="166"/>
    </row>
    <row r="92" spans="3:9" ht="15.75" customHeight="1" x14ac:dyDescent="0.25">
      <c r="C92" s="164"/>
      <c r="D92" s="164"/>
      <c r="E92" s="165"/>
      <c r="H92" s="166"/>
      <c r="I92" s="166"/>
    </row>
    <row r="93" spans="3:9" ht="15.75" customHeight="1" x14ac:dyDescent="0.25">
      <c r="C93" s="164"/>
      <c r="D93" s="164"/>
      <c r="E93" s="165"/>
      <c r="H93" s="166"/>
      <c r="I93" s="166"/>
    </row>
    <row r="94" spans="3:9" ht="15.75" customHeight="1" x14ac:dyDescent="0.25">
      <c r="C94" s="164"/>
      <c r="D94" s="164"/>
      <c r="E94" s="165"/>
      <c r="H94" s="166"/>
      <c r="I94" s="166"/>
    </row>
    <row r="95" spans="3:9" ht="15.75" customHeight="1" x14ac:dyDescent="0.25">
      <c r="C95" s="164"/>
      <c r="D95" s="164"/>
      <c r="E95" s="165"/>
      <c r="H95" s="166"/>
      <c r="I95" s="166"/>
    </row>
    <row r="96" spans="3:9" ht="15.75" customHeight="1" x14ac:dyDescent="0.25">
      <c r="C96" s="164"/>
      <c r="D96" s="164"/>
      <c r="E96" s="165"/>
      <c r="H96" s="166"/>
      <c r="I96" s="166"/>
    </row>
    <row r="97" spans="3:9" ht="15.75" customHeight="1" x14ac:dyDescent="0.25">
      <c r="C97" s="164"/>
      <c r="D97" s="164"/>
      <c r="E97" s="165"/>
      <c r="H97" s="166"/>
      <c r="I97" s="166"/>
    </row>
    <row r="98" spans="3:9" ht="15.75" customHeight="1" x14ac:dyDescent="0.25">
      <c r="C98" s="164"/>
      <c r="D98" s="164"/>
      <c r="E98" s="165"/>
      <c r="H98" s="166"/>
      <c r="I98" s="166"/>
    </row>
    <row r="99" spans="3:9" ht="15.75" customHeight="1" x14ac:dyDescent="0.25">
      <c r="C99" s="164"/>
      <c r="D99" s="164"/>
      <c r="E99" s="165"/>
      <c r="H99" s="166"/>
      <c r="I99" s="166"/>
    </row>
    <row r="100" spans="3:9" ht="15.75" customHeight="1" x14ac:dyDescent="0.25">
      <c r="C100" s="164"/>
      <c r="D100" s="164"/>
      <c r="E100" s="165"/>
      <c r="H100" s="166"/>
      <c r="I100" s="166"/>
    </row>
    <row r="101" spans="3:9" ht="15.75" customHeight="1" x14ac:dyDescent="0.25">
      <c r="C101" s="164"/>
      <c r="D101" s="164"/>
      <c r="E101" s="165"/>
      <c r="H101" s="166"/>
      <c r="I101" s="166"/>
    </row>
    <row r="102" spans="3:9" ht="15.75" customHeight="1" x14ac:dyDescent="0.25">
      <c r="C102" s="164"/>
      <c r="D102" s="164"/>
      <c r="E102" s="165"/>
      <c r="H102" s="166"/>
      <c r="I102" s="166"/>
    </row>
    <row r="103" spans="3:9" ht="15.75" customHeight="1" x14ac:dyDescent="0.25">
      <c r="C103" s="164"/>
      <c r="D103" s="164"/>
      <c r="E103" s="165"/>
      <c r="H103" s="166"/>
      <c r="I103" s="166"/>
    </row>
    <row r="104" spans="3:9" ht="15.75" customHeight="1" x14ac:dyDescent="0.25">
      <c r="C104" s="164"/>
      <c r="D104" s="164"/>
      <c r="E104" s="165"/>
      <c r="H104" s="166"/>
      <c r="I104" s="166"/>
    </row>
    <row r="105" spans="3:9" ht="15.75" customHeight="1" x14ac:dyDescent="0.25">
      <c r="C105" s="164"/>
      <c r="D105" s="164"/>
      <c r="E105" s="165"/>
      <c r="H105" s="166"/>
      <c r="I105" s="166"/>
    </row>
    <row r="106" spans="3:9" ht="15.75" customHeight="1" x14ac:dyDescent="0.25">
      <c r="C106" s="164"/>
      <c r="D106" s="164"/>
      <c r="E106" s="165"/>
      <c r="H106" s="166"/>
      <c r="I106" s="166"/>
    </row>
    <row r="107" spans="3:9" ht="15.75" customHeight="1" x14ac:dyDescent="0.25">
      <c r="C107" s="164"/>
      <c r="D107" s="164"/>
      <c r="E107" s="165"/>
      <c r="H107" s="166"/>
      <c r="I107" s="166"/>
    </row>
    <row r="108" spans="3:9" ht="15.75" customHeight="1" x14ac:dyDescent="0.25">
      <c r="C108" s="164"/>
      <c r="D108" s="164"/>
      <c r="E108" s="165"/>
      <c r="H108" s="166"/>
      <c r="I108" s="166"/>
    </row>
    <row r="109" spans="3:9" ht="15.75" customHeight="1" x14ac:dyDescent="0.25">
      <c r="C109" s="164"/>
      <c r="D109" s="164"/>
      <c r="E109" s="165"/>
      <c r="H109" s="166"/>
      <c r="I109" s="166"/>
    </row>
    <row r="110" spans="3:9" ht="15.75" customHeight="1" x14ac:dyDescent="0.25">
      <c r="C110" s="164"/>
      <c r="D110" s="164"/>
      <c r="E110" s="165"/>
      <c r="H110" s="166"/>
      <c r="I110" s="166"/>
    </row>
    <row r="111" spans="3:9" ht="15.75" customHeight="1" x14ac:dyDescent="0.25">
      <c r="C111" s="164"/>
      <c r="D111" s="164"/>
      <c r="E111" s="165"/>
      <c r="H111" s="166"/>
      <c r="I111" s="166"/>
    </row>
    <row r="112" spans="3:9" ht="15.75" customHeight="1" x14ac:dyDescent="0.25">
      <c r="C112" s="164"/>
      <c r="D112" s="164"/>
      <c r="E112" s="165"/>
      <c r="H112" s="166"/>
      <c r="I112" s="166"/>
    </row>
    <row r="113" spans="3:9" ht="15.75" customHeight="1" x14ac:dyDescent="0.25">
      <c r="C113" s="164"/>
      <c r="D113" s="164"/>
      <c r="E113" s="165"/>
      <c r="H113" s="166"/>
      <c r="I113" s="166"/>
    </row>
    <row r="114" spans="3:9" ht="15.75" customHeight="1" x14ac:dyDescent="0.25">
      <c r="C114" s="164"/>
      <c r="D114" s="164"/>
      <c r="E114" s="165"/>
      <c r="H114" s="166"/>
      <c r="I114" s="166"/>
    </row>
    <row r="115" spans="3:9" ht="15.75" customHeight="1" x14ac:dyDescent="0.25">
      <c r="C115" s="164"/>
      <c r="D115" s="164"/>
      <c r="E115" s="165"/>
      <c r="H115" s="166"/>
      <c r="I115" s="166"/>
    </row>
    <row r="116" spans="3:9" ht="15.75" customHeight="1" x14ac:dyDescent="0.25">
      <c r="C116" s="164"/>
      <c r="D116" s="164"/>
      <c r="E116" s="165"/>
      <c r="H116" s="166"/>
      <c r="I116" s="166"/>
    </row>
    <row r="117" spans="3:9" ht="15.75" customHeight="1" x14ac:dyDescent="0.25">
      <c r="C117" s="164"/>
      <c r="D117" s="164"/>
      <c r="E117" s="165"/>
      <c r="H117" s="166"/>
      <c r="I117" s="166"/>
    </row>
    <row r="118" spans="3:9" ht="15.75" customHeight="1" x14ac:dyDescent="0.25">
      <c r="C118" s="164"/>
      <c r="D118" s="164"/>
      <c r="E118" s="165"/>
      <c r="H118" s="166"/>
      <c r="I118" s="166"/>
    </row>
    <row r="119" spans="3:9" ht="15.75" customHeight="1" x14ac:dyDescent="0.25">
      <c r="C119" s="164"/>
      <c r="D119" s="164"/>
      <c r="E119" s="165"/>
      <c r="H119" s="166"/>
      <c r="I119" s="166"/>
    </row>
    <row r="120" spans="3:9" ht="15.75" customHeight="1" x14ac:dyDescent="0.25">
      <c r="C120" s="164"/>
      <c r="D120" s="164"/>
      <c r="E120" s="165"/>
      <c r="H120" s="166"/>
      <c r="I120" s="166"/>
    </row>
    <row r="121" spans="3:9" ht="15.75" customHeight="1" x14ac:dyDescent="0.25">
      <c r="C121" s="164"/>
      <c r="D121" s="164"/>
      <c r="E121" s="165"/>
      <c r="H121" s="166"/>
      <c r="I121" s="166"/>
    </row>
    <row r="122" spans="3:9" ht="15.75" customHeight="1" x14ac:dyDescent="0.25">
      <c r="C122" s="164"/>
      <c r="D122" s="164"/>
      <c r="E122" s="165"/>
      <c r="H122" s="166"/>
      <c r="I122" s="166"/>
    </row>
    <row r="123" spans="3:9" ht="15.75" customHeight="1" x14ac:dyDescent="0.25">
      <c r="C123" s="164"/>
      <c r="D123" s="164"/>
      <c r="E123" s="165"/>
      <c r="H123" s="166"/>
      <c r="I123" s="166"/>
    </row>
    <row r="124" spans="3:9" ht="15.75" customHeight="1" x14ac:dyDescent="0.25">
      <c r="C124" s="164"/>
      <c r="D124" s="164"/>
      <c r="E124" s="165"/>
      <c r="H124" s="166"/>
      <c r="I124" s="166"/>
    </row>
    <row r="125" spans="3:9" ht="15.75" customHeight="1" x14ac:dyDescent="0.25">
      <c r="C125" s="164"/>
      <c r="D125" s="164"/>
      <c r="E125" s="165"/>
      <c r="H125" s="166"/>
      <c r="I125" s="166"/>
    </row>
    <row r="126" spans="3:9" ht="15.75" customHeight="1" x14ac:dyDescent="0.25">
      <c r="C126" s="164"/>
      <c r="D126" s="164"/>
      <c r="E126" s="165"/>
      <c r="H126" s="166"/>
      <c r="I126" s="166"/>
    </row>
    <row r="127" spans="3:9" ht="15.75" customHeight="1" x14ac:dyDescent="0.25">
      <c r="C127" s="164"/>
      <c r="D127" s="164"/>
      <c r="E127" s="165"/>
      <c r="H127" s="166"/>
      <c r="I127" s="166"/>
    </row>
    <row r="128" spans="3:9" ht="15.75" customHeight="1" x14ac:dyDescent="0.25">
      <c r="C128" s="164"/>
      <c r="D128" s="164"/>
      <c r="E128" s="165"/>
      <c r="H128" s="166"/>
      <c r="I128" s="166"/>
    </row>
    <row r="129" spans="3:9" ht="15.75" customHeight="1" x14ac:dyDescent="0.25">
      <c r="C129" s="164"/>
      <c r="D129" s="164"/>
      <c r="E129" s="165"/>
      <c r="H129" s="166"/>
      <c r="I129" s="166"/>
    </row>
    <row r="130" spans="3:9" ht="15.75" customHeight="1" x14ac:dyDescent="0.25">
      <c r="C130" s="164"/>
      <c r="D130" s="164"/>
      <c r="E130" s="165"/>
      <c r="H130" s="166"/>
      <c r="I130" s="166"/>
    </row>
    <row r="131" spans="3:9" ht="15.75" customHeight="1" x14ac:dyDescent="0.25">
      <c r="C131" s="164"/>
      <c r="D131" s="164"/>
      <c r="E131" s="165"/>
      <c r="H131" s="166"/>
      <c r="I131" s="166"/>
    </row>
    <row r="132" spans="3:9" ht="15.75" customHeight="1" x14ac:dyDescent="0.25">
      <c r="C132" s="164"/>
      <c r="D132" s="164"/>
      <c r="E132" s="165"/>
      <c r="H132" s="166"/>
      <c r="I132" s="166"/>
    </row>
    <row r="133" spans="3:9" ht="15.75" customHeight="1" x14ac:dyDescent="0.25">
      <c r="C133" s="164"/>
      <c r="D133" s="164"/>
      <c r="E133" s="165"/>
      <c r="H133" s="166"/>
      <c r="I133" s="166"/>
    </row>
    <row r="134" spans="3:9" ht="15.75" customHeight="1" x14ac:dyDescent="0.25">
      <c r="C134" s="164"/>
      <c r="D134" s="164"/>
      <c r="E134" s="165"/>
      <c r="H134" s="166"/>
      <c r="I134" s="166"/>
    </row>
    <row r="135" spans="3:9" ht="15.75" customHeight="1" x14ac:dyDescent="0.25">
      <c r="C135" s="164"/>
      <c r="D135" s="164"/>
      <c r="E135" s="165"/>
      <c r="H135" s="166"/>
      <c r="I135" s="166"/>
    </row>
    <row r="136" spans="3:9" ht="15.75" customHeight="1" x14ac:dyDescent="0.25">
      <c r="C136" s="164"/>
      <c r="D136" s="164"/>
      <c r="E136" s="165"/>
      <c r="H136" s="166"/>
      <c r="I136" s="166"/>
    </row>
    <row r="137" spans="3:9" ht="15.75" customHeight="1" x14ac:dyDescent="0.25">
      <c r="C137" s="164"/>
      <c r="D137" s="164"/>
      <c r="E137" s="165"/>
      <c r="H137" s="166"/>
      <c r="I137" s="166"/>
    </row>
    <row r="138" spans="3:9" ht="15.75" customHeight="1" x14ac:dyDescent="0.25">
      <c r="C138" s="164"/>
      <c r="D138" s="164"/>
      <c r="E138" s="165"/>
      <c r="H138" s="166"/>
      <c r="I138" s="166"/>
    </row>
    <row r="139" spans="3:9" ht="15.75" customHeight="1" x14ac:dyDescent="0.25">
      <c r="C139" s="164"/>
      <c r="D139" s="164"/>
      <c r="E139" s="165"/>
      <c r="H139" s="166"/>
      <c r="I139" s="166"/>
    </row>
    <row r="140" spans="3:9" ht="15.75" customHeight="1" x14ac:dyDescent="0.25">
      <c r="C140" s="164"/>
      <c r="D140" s="164"/>
      <c r="E140" s="165"/>
      <c r="H140" s="166"/>
      <c r="I140" s="166"/>
    </row>
    <row r="141" spans="3:9" ht="15.75" customHeight="1" x14ac:dyDescent="0.25">
      <c r="C141" s="164"/>
      <c r="D141" s="164"/>
      <c r="E141" s="165"/>
      <c r="H141" s="166"/>
      <c r="I141" s="166"/>
    </row>
    <row r="142" spans="3:9" ht="15.75" customHeight="1" x14ac:dyDescent="0.25">
      <c r="C142" s="164"/>
      <c r="D142" s="164"/>
      <c r="E142" s="165"/>
      <c r="H142" s="166"/>
      <c r="I142" s="166"/>
    </row>
    <row r="143" spans="3:9" ht="15.75" customHeight="1" x14ac:dyDescent="0.25">
      <c r="C143" s="164"/>
      <c r="D143" s="164"/>
      <c r="E143" s="165"/>
      <c r="H143" s="166"/>
      <c r="I143" s="166"/>
    </row>
    <row r="144" spans="3:9" ht="15.75" customHeight="1" x14ac:dyDescent="0.25">
      <c r="C144" s="164"/>
      <c r="D144" s="164"/>
      <c r="E144" s="165"/>
      <c r="H144" s="166"/>
      <c r="I144" s="166"/>
    </row>
    <row r="145" spans="3:9" ht="15.75" customHeight="1" x14ac:dyDescent="0.25">
      <c r="C145" s="164"/>
      <c r="D145" s="164"/>
      <c r="E145" s="165"/>
      <c r="H145" s="166"/>
      <c r="I145" s="166"/>
    </row>
    <row r="146" spans="3:9" ht="15.75" customHeight="1" x14ac:dyDescent="0.25">
      <c r="C146" s="164"/>
      <c r="D146" s="164"/>
      <c r="E146" s="165"/>
      <c r="H146" s="166"/>
      <c r="I146" s="166"/>
    </row>
    <row r="147" spans="3:9" ht="15.75" customHeight="1" x14ac:dyDescent="0.25">
      <c r="C147" s="164"/>
      <c r="D147" s="164"/>
      <c r="E147" s="165"/>
      <c r="H147" s="166"/>
      <c r="I147" s="166"/>
    </row>
    <row r="148" spans="3:9" ht="15.75" customHeight="1" x14ac:dyDescent="0.25">
      <c r="C148" s="164"/>
      <c r="D148" s="164"/>
      <c r="E148" s="165"/>
      <c r="H148" s="166"/>
      <c r="I148" s="166"/>
    </row>
    <row r="149" spans="3:9" ht="15.75" customHeight="1" x14ac:dyDescent="0.25">
      <c r="C149" s="164"/>
      <c r="D149" s="164"/>
      <c r="E149" s="165"/>
      <c r="H149" s="166"/>
      <c r="I149" s="166"/>
    </row>
    <row r="150" spans="3:9" ht="15.75" customHeight="1" x14ac:dyDescent="0.25">
      <c r="C150" s="164"/>
      <c r="D150" s="164"/>
      <c r="E150" s="165"/>
      <c r="H150" s="166"/>
      <c r="I150" s="166"/>
    </row>
    <row r="151" spans="3:9" ht="15.75" customHeight="1" x14ac:dyDescent="0.25">
      <c r="C151" s="164"/>
      <c r="D151" s="164"/>
      <c r="E151" s="165"/>
      <c r="H151" s="166"/>
      <c r="I151" s="166"/>
    </row>
    <row r="152" spans="3:9" ht="15.75" customHeight="1" x14ac:dyDescent="0.25">
      <c r="C152" s="164"/>
      <c r="D152" s="164"/>
      <c r="E152" s="165"/>
      <c r="H152" s="166"/>
      <c r="I152" s="166"/>
    </row>
    <row r="153" spans="3:9" ht="15.75" customHeight="1" x14ac:dyDescent="0.25">
      <c r="C153" s="164"/>
      <c r="D153" s="164"/>
      <c r="E153" s="165"/>
      <c r="H153" s="166"/>
      <c r="I153" s="166"/>
    </row>
    <row r="154" spans="3:9" ht="15.75" customHeight="1" x14ac:dyDescent="0.25">
      <c r="C154" s="164"/>
      <c r="D154" s="164"/>
      <c r="E154" s="165"/>
      <c r="H154" s="166"/>
      <c r="I154" s="166"/>
    </row>
    <row r="155" spans="3:9" ht="15.75" customHeight="1" x14ac:dyDescent="0.25">
      <c r="C155" s="164"/>
      <c r="D155" s="164"/>
      <c r="E155" s="165"/>
      <c r="H155" s="166"/>
      <c r="I155" s="166"/>
    </row>
    <row r="156" spans="3:9" ht="15.75" customHeight="1" x14ac:dyDescent="0.25">
      <c r="C156" s="164"/>
      <c r="D156" s="164"/>
      <c r="E156" s="165"/>
      <c r="H156" s="166"/>
      <c r="I156" s="166"/>
    </row>
    <row r="157" spans="3:9" ht="15.75" customHeight="1" x14ac:dyDescent="0.25">
      <c r="C157" s="164"/>
      <c r="D157" s="164"/>
      <c r="E157" s="165"/>
      <c r="H157" s="166"/>
      <c r="I157" s="166"/>
    </row>
    <row r="158" spans="3:9" ht="15.75" customHeight="1" x14ac:dyDescent="0.25">
      <c r="C158" s="164"/>
      <c r="D158" s="164"/>
      <c r="E158" s="165"/>
      <c r="H158" s="166"/>
      <c r="I158" s="166"/>
    </row>
    <row r="159" spans="3:9" ht="15.75" customHeight="1" x14ac:dyDescent="0.25">
      <c r="C159" s="164"/>
      <c r="D159" s="164"/>
      <c r="E159" s="165"/>
      <c r="H159" s="166"/>
      <c r="I159" s="166"/>
    </row>
    <row r="160" spans="3:9" ht="15.75" customHeight="1" x14ac:dyDescent="0.25">
      <c r="C160" s="164"/>
      <c r="D160" s="164"/>
      <c r="E160" s="165"/>
      <c r="H160" s="166"/>
      <c r="I160" s="166"/>
    </row>
    <row r="161" spans="3:9" ht="15.75" customHeight="1" x14ac:dyDescent="0.25">
      <c r="C161" s="164"/>
      <c r="D161" s="164"/>
      <c r="E161" s="165"/>
      <c r="H161" s="166"/>
      <c r="I161" s="166"/>
    </row>
    <row r="162" spans="3:9" ht="15.75" customHeight="1" x14ac:dyDescent="0.25">
      <c r="C162" s="164"/>
      <c r="D162" s="164"/>
      <c r="E162" s="165"/>
      <c r="H162" s="166"/>
      <c r="I162" s="166"/>
    </row>
    <row r="163" spans="3:9" ht="15.75" customHeight="1" x14ac:dyDescent="0.25">
      <c r="C163" s="164"/>
      <c r="D163" s="164"/>
      <c r="E163" s="165"/>
      <c r="H163" s="166"/>
      <c r="I163" s="166"/>
    </row>
    <row r="164" spans="3:9" ht="15.75" customHeight="1" x14ac:dyDescent="0.25">
      <c r="C164" s="164"/>
      <c r="D164" s="164"/>
      <c r="E164" s="165"/>
      <c r="H164" s="166"/>
      <c r="I164" s="166"/>
    </row>
    <row r="165" spans="3:9" ht="15.75" customHeight="1" x14ac:dyDescent="0.25">
      <c r="C165" s="164"/>
      <c r="D165" s="164"/>
      <c r="E165" s="165"/>
      <c r="H165" s="166"/>
      <c r="I165" s="166"/>
    </row>
    <row r="166" spans="3:9" ht="15.75" customHeight="1" x14ac:dyDescent="0.25">
      <c r="C166" s="164"/>
      <c r="D166" s="164"/>
      <c r="E166" s="165"/>
      <c r="H166" s="166"/>
      <c r="I166" s="166"/>
    </row>
    <row r="167" spans="3:9" ht="15.75" customHeight="1" x14ac:dyDescent="0.25">
      <c r="C167" s="164"/>
      <c r="D167" s="164"/>
      <c r="E167" s="165"/>
      <c r="H167" s="166"/>
      <c r="I167" s="166"/>
    </row>
    <row r="168" spans="3:9" ht="15.75" customHeight="1" x14ac:dyDescent="0.25">
      <c r="C168" s="164"/>
      <c r="D168" s="164"/>
      <c r="E168" s="165"/>
      <c r="H168" s="166"/>
      <c r="I168" s="166"/>
    </row>
    <row r="169" spans="3:9" ht="15.75" customHeight="1" x14ac:dyDescent="0.25">
      <c r="C169" s="164"/>
      <c r="D169" s="164"/>
      <c r="E169" s="165"/>
      <c r="H169" s="166"/>
      <c r="I169" s="166"/>
    </row>
    <row r="170" spans="3:9" ht="15.75" customHeight="1" x14ac:dyDescent="0.25">
      <c r="C170" s="164"/>
      <c r="D170" s="164"/>
      <c r="E170" s="165"/>
      <c r="H170" s="166"/>
      <c r="I170" s="166"/>
    </row>
    <row r="171" spans="3:9" ht="15.75" customHeight="1" x14ac:dyDescent="0.25">
      <c r="C171" s="164"/>
      <c r="D171" s="164"/>
      <c r="E171" s="165"/>
      <c r="H171" s="166"/>
      <c r="I171" s="166"/>
    </row>
    <row r="172" spans="3:9" ht="15.75" customHeight="1" x14ac:dyDescent="0.25">
      <c r="C172" s="164"/>
      <c r="D172" s="164"/>
      <c r="E172" s="165"/>
      <c r="H172" s="166"/>
      <c r="I172" s="166"/>
    </row>
    <row r="173" spans="3:9" ht="15.75" customHeight="1" x14ac:dyDescent="0.25">
      <c r="C173" s="164"/>
      <c r="D173" s="164"/>
      <c r="E173" s="165"/>
      <c r="H173" s="166"/>
      <c r="I173" s="166"/>
    </row>
    <row r="174" spans="3:9" ht="15.75" customHeight="1" x14ac:dyDescent="0.25">
      <c r="C174" s="164"/>
      <c r="D174" s="164"/>
      <c r="E174" s="165"/>
      <c r="H174" s="166"/>
      <c r="I174" s="166"/>
    </row>
    <row r="175" spans="3:9" ht="15.75" customHeight="1" x14ac:dyDescent="0.25">
      <c r="C175" s="164"/>
      <c r="D175" s="164"/>
      <c r="E175" s="165"/>
      <c r="H175" s="166"/>
      <c r="I175" s="166"/>
    </row>
    <row r="176" spans="3:9" ht="15.75" customHeight="1" x14ac:dyDescent="0.25">
      <c r="C176" s="164"/>
      <c r="D176" s="164"/>
      <c r="E176" s="165"/>
      <c r="H176" s="166"/>
      <c r="I176" s="166"/>
    </row>
    <row r="177" spans="3:9" ht="15.75" customHeight="1" x14ac:dyDescent="0.25">
      <c r="C177" s="164"/>
      <c r="D177" s="164"/>
      <c r="E177" s="165"/>
      <c r="H177" s="166"/>
      <c r="I177" s="166"/>
    </row>
    <row r="178" spans="3:9" ht="15.75" customHeight="1" x14ac:dyDescent="0.25">
      <c r="C178" s="164"/>
      <c r="D178" s="164"/>
      <c r="E178" s="165"/>
      <c r="H178" s="166"/>
      <c r="I178" s="166"/>
    </row>
    <row r="179" spans="3:9" ht="15.75" customHeight="1" x14ac:dyDescent="0.25">
      <c r="C179" s="164"/>
      <c r="D179" s="164"/>
      <c r="E179" s="165"/>
      <c r="H179" s="166"/>
      <c r="I179" s="166"/>
    </row>
    <row r="180" spans="3:9" ht="15.75" customHeight="1" x14ac:dyDescent="0.25">
      <c r="C180" s="164"/>
      <c r="D180" s="164"/>
      <c r="E180" s="165"/>
      <c r="H180" s="166"/>
      <c r="I180" s="166"/>
    </row>
    <row r="181" spans="3:9" ht="15.75" customHeight="1" x14ac:dyDescent="0.25">
      <c r="C181" s="164"/>
      <c r="D181" s="164"/>
      <c r="E181" s="165"/>
      <c r="H181" s="166"/>
      <c r="I181" s="166"/>
    </row>
    <row r="182" spans="3:9" ht="15.75" customHeight="1" x14ac:dyDescent="0.25">
      <c r="C182" s="164"/>
      <c r="D182" s="164"/>
      <c r="E182" s="165"/>
      <c r="H182" s="166"/>
      <c r="I182" s="166"/>
    </row>
    <row r="183" spans="3:9" ht="15.75" customHeight="1" x14ac:dyDescent="0.25">
      <c r="C183" s="164"/>
      <c r="D183" s="164"/>
      <c r="E183" s="165"/>
      <c r="H183" s="166"/>
      <c r="I183" s="166"/>
    </row>
    <row r="184" spans="3:9" ht="15.75" customHeight="1" x14ac:dyDescent="0.25">
      <c r="C184" s="164"/>
      <c r="D184" s="164"/>
      <c r="E184" s="165"/>
      <c r="H184" s="166"/>
      <c r="I184" s="166"/>
    </row>
    <row r="185" spans="3:9" ht="15.75" customHeight="1" x14ac:dyDescent="0.25">
      <c r="C185" s="164"/>
      <c r="D185" s="164"/>
      <c r="E185" s="165"/>
      <c r="H185" s="166"/>
      <c r="I185" s="166"/>
    </row>
    <row r="186" spans="3:9" ht="15.75" customHeight="1" x14ac:dyDescent="0.25">
      <c r="C186" s="164"/>
      <c r="D186" s="164"/>
      <c r="E186" s="165"/>
      <c r="H186" s="166"/>
      <c r="I186" s="166"/>
    </row>
    <row r="187" spans="3:9" ht="15.75" customHeight="1" x14ac:dyDescent="0.25">
      <c r="C187" s="164"/>
      <c r="D187" s="164"/>
      <c r="E187" s="165"/>
      <c r="H187" s="166"/>
      <c r="I187" s="166"/>
    </row>
    <row r="188" spans="3:9" ht="15.75" customHeight="1" x14ac:dyDescent="0.25">
      <c r="C188" s="164"/>
      <c r="D188" s="164"/>
      <c r="E188" s="165"/>
      <c r="H188" s="166"/>
      <c r="I188" s="166"/>
    </row>
    <row r="189" spans="3:9" ht="15.75" customHeight="1" x14ac:dyDescent="0.25">
      <c r="C189" s="164"/>
      <c r="D189" s="164"/>
      <c r="E189" s="165"/>
      <c r="H189" s="166"/>
      <c r="I189" s="166"/>
    </row>
    <row r="190" spans="3:9" ht="15.75" customHeight="1" x14ac:dyDescent="0.25">
      <c r="C190" s="164"/>
      <c r="D190" s="164"/>
      <c r="E190" s="165"/>
      <c r="H190" s="166"/>
      <c r="I190" s="166"/>
    </row>
    <row r="191" spans="3:9" ht="15.75" customHeight="1" x14ac:dyDescent="0.25">
      <c r="C191" s="164"/>
      <c r="D191" s="164"/>
      <c r="E191" s="165"/>
      <c r="H191" s="166"/>
      <c r="I191" s="166"/>
    </row>
    <row r="192" spans="3:9" ht="15.75" customHeight="1" x14ac:dyDescent="0.25">
      <c r="C192" s="164"/>
      <c r="D192" s="164"/>
      <c r="E192" s="165"/>
      <c r="H192" s="166"/>
      <c r="I192" s="166"/>
    </row>
    <row r="193" spans="3:9" ht="15.75" customHeight="1" x14ac:dyDescent="0.25">
      <c r="C193" s="164"/>
      <c r="D193" s="164"/>
      <c r="E193" s="165"/>
      <c r="H193" s="166"/>
      <c r="I193" s="166"/>
    </row>
    <row r="194" spans="3:9" ht="15.75" customHeight="1" x14ac:dyDescent="0.25">
      <c r="C194" s="164"/>
      <c r="D194" s="164"/>
      <c r="E194" s="165"/>
      <c r="H194" s="166"/>
      <c r="I194" s="166"/>
    </row>
    <row r="195" spans="3:9" ht="15.75" customHeight="1" x14ac:dyDescent="0.25">
      <c r="C195" s="164"/>
      <c r="D195" s="164"/>
      <c r="E195" s="165"/>
      <c r="H195" s="166"/>
      <c r="I195" s="166"/>
    </row>
    <row r="196" spans="3:9" ht="15.75" customHeight="1" x14ac:dyDescent="0.25">
      <c r="C196" s="164"/>
      <c r="D196" s="164"/>
      <c r="E196" s="165"/>
      <c r="H196" s="166"/>
      <c r="I196" s="166"/>
    </row>
    <row r="197" spans="3:9" ht="15.75" customHeight="1" x14ac:dyDescent="0.25">
      <c r="C197" s="164"/>
      <c r="D197" s="164"/>
      <c r="E197" s="165"/>
      <c r="H197" s="166"/>
      <c r="I197" s="166"/>
    </row>
    <row r="198" spans="3:9" ht="15.75" customHeight="1" x14ac:dyDescent="0.25">
      <c r="C198" s="164"/>
      <c r="D198" s="164"/>
      <c r="E198" s="165"/>
      <c r="H198" s="166"/>
      <c r="I198" s="166"/>
    </row>
    <row r="199" spans="3:9" ht="15.75" customHeight="1" x14ac:dyDescent="0.25">
      <c r="C199" s="164"/>
      <c r="D199" s="164"/>
      <c r="E199" s="165"/>
      <c r="H199" s="166"/>
      <c r="I199" s="166"/>
    </row>
    <row r="200" spans="3:9" ht="15.75" customHeight="1" x14ac:dyDescent="0.25">
      <c r="C200" s="164"/>
      <c r="D200" s="164"/>
      <c r="E200" s="165"/>
      <c r="H200" s="166"/>
      <c r="I200" s="166"/>
    </row>
    <row r="201" spans="3:9" ht="15.75" customHeight="1" x14ac:dyDescent="0.25">
      <c r="C201" s="164"/>
      <c r="D201" s="164"/>
      <c r="E201" s="165"/>
      <c r="H201" s="166"/>
      <c r="I201" s="166"/>
    </row>
    <row r="202" spans="3:9" ht="15.75" customHeight="1" x14ac:dyDescent="0.25">
      <c r="C202" s="164"/>
      <c r="D202" s="164"/>
      <c r="E202" s="165"/>
      <c r="H202" s="166"/>
      <c r="I202" s="166"/>
    </row>
    <row r="203" spans="3:9" ht="15.75" customHeight="1" x14ac:dyDescent="0.25">
      <c r="C203" s="164"/>
      <c r="D203" s="164"/>
      <c r="E203" s="165"/>
      <c r="H203" s="166"/>
      <c r="I203" s="166"/>
    </row>
    <row r="204" spans="3:9" ht="15.75" customHeight="1" x14ac:dyDescent="0.25">
      <c r="C204" s="164"/>
      <c r="D204" s="164"/>
      <c r="E204" s="165"/>
      <c r="H204" s="166"/>
      <c r="I204" s="166"/>
    </row>
    <row r="205" spans="3:9" ht="15.75" customHeight="1" x14ac:dyDescent="0.25">
      <c r="C205" s="164"/>
      <c r="D205" s="164"/>
      <c r="E205" s="165"/>
      <c r="H205" s="166"/>
      <c r="I205" s="166"/>
    </row>
    <row r="206" spans="3:9" ht="15.75" customHeight="1" x14ac:dyDescent="0.25">
      <c r="C206" s="164"/>
      <c r="D206" s="164"/>
      <c r="E206" s="165"/>
      <c r="H206" s="166"/>
      <c r="I206" s="166"/>
    </row>
    <row r="207" spans="3:9" ht="15.75" customHeight="1" x14ac:dyDescent="0.25">
      <c r="C207" s="164"/>
      <c r="D207" s="164"/>
      <c r="E207" s="165"/>
      <c r="H207" s="166"/>
      <c r="I207" s="166"/>
    </row>
    <row r="208" spans="3:9" ht="15.75" customHeight="1" x14ac:dyDescent="0.25">
      <c r="C208" s="164"/>
      <c r="D208" s="164"/>
      <c r="E208" s="165"/>
      <c r="H208" s="166"/>
      <c r="I208" s="166"/>
    </row>
    <row r="209" spans="3:9" ht="15.75" customHeight="1" x14ac:dyDescent="0.25">
      <c r="C209" s="164"/>
      <c r="D209" s="164"/>
      <c r="E209" s="165"/>
      <c r="H209" s="166"/>
      <c r="I209" s="166"/>
    </row>
    <row r="210" spans="3:9" ht="15.75" customHeight="1" x14ac:dyDescent="0.25">
      <c r="C210" s="164"/>
      <c r="D210" s="164"/>
      <c r="E210" s="165"/>
      <c r="H210" s="166"/>
      <c r="I210" s="166"/>
    </row>
    <row r="211" spans="3:9" ht="15.75" customHeight="1" x14ac:dyDescent="0.25">
      <c r="C211" s="164"/>
      <c r="D211" s="164"/>
      <c r="E211" s="165"/>
      <c r="H211" s="166"/>
      <c r="I211" s="166"/>
    </row>
    <row r="212" spans="3:9" ht="15.75" customHeight="1" x14ac:dyDescent="0.25">
      <c r="C212" s="164"/>
      <c r="D212" s="164"/>
      <c r="E212" s="165"/>
      <c r="H212" s="166"/>
      <c r="I212" s="166"/>
    </row>
    <row r="213" spans="3:9" ht="15.75" customHeight="1" x14ac:dyDescent="0.25">
      <c r="C213" s="164"/>
      <c r="D213" s="164"/>
      <c r="E213" s="165"/>
      <c r="H213" s="166"/>
      <c r="I213" s="166"/>
    </row>
    <row r="214" spans="3:9" ht="15.75" customHeight="1" x14ac:dyDescent="0.25">
      <c r="C214" s="164"/>
      <c r="D214" s="164"/>
      <c r="E214" s="165"/>
      <c r="H214" s="166"/>
      <c r="I214" s="166"/>
    </row>
    <row r="215" spans="3:9" ht="15.75" customHeight="1" x14ac:dyDescent="0.25">
      <c r="C215" s="164"/>
      <c r="D215" s="164"/>
      <c r="E215" s="165"/>
      <c r="H215" s="166"/>
      <c r="I215" s="166"/>
    </row>
    <row r="216" spans="3:9" ht="15.75" customHeight="1" x14ac:dyDescent="0.25">
      <c r="C216" s="164"/>
      <c r="D216" s="164"/>
      <c r="E216" s="165"/>
      <c r="H216" s="166"/>
      <c r="I216" s="166"/>
    </row>
    <row r="217" spans="3:9" ht="15.75" customHeight="1" x14ac:dyDescent="0.25">
      <c r="C217" s="164"/>
      <c r="D217" s="164"/>
      <c r="E217" s="165"/>
      <c r="H217" s="166"/>
      <c r="I217" s="166"/>
    </row>
    <row r="218" spans="3:9" ht="15.75" customHeight="1" x14ac:dyDescent="0.25">
      <c r="C218" s="164"/>
      <c r="D218" s="164"/>
      <c r="E218" s="165"/>
      <c r="H218" s="166"/>
      <c r="I218" s="166"/>
    </row>
    <row r="219" spans="3:9" ht="15.75" customHeight="1" x14ac:dyDescent="0.25">
      <c r="C219" s="164"/>
      <c r="D219" s="164"/>
      <c r="E219" s="165"/>
      <c r="H219" s="166"/>
      <c r="I219" s="166"/>
    </row>
    <row r="220" spans="3:9" ht="15.75" customHeight="1" x14ac:dyDescent="0.25">
      <c r="C220" s="164"/>
      <c r="D220" s="164"/>
      <c r="E220" s="165"/>
      <c r="H220" s="166"/>
      <c r="I220" s="166"/>
    </row>
    <row r="221" spans="3:9" ht="15.75" customHeight="1" x14ac:dyDescent="0.25">
      <c r="C221" s="164"/>
      <c r="D221" s="164"/>
      <c r="E221" s="165"/>
      <c r="H221" s="166"/>
      <c r="I221" s="166"/>
    </row>
    <row r="222" spans="3:9" ht="15.75" customHeight="1" x14ac:dyDescent="0.25">
      <c r="C222" s="164"/>
      <c r="D222" s="164"/>
      <c r="E222" s="165"/>
      <c r="H222" s="166"/>
      <c r="I222" s="166"/>
    </row>
    <row r="223" spans="3:9" ht="15.75" customHeight="1" x14ac:dyDescent="0.25">
      <c r="C223" s="164"/>
      <c r="D223" s="164"/>
      <c r="E223" s="165"/>
      <c r="H223" s="166"/>
      <c r="I223" s="166"/>
    </row>
    <row r="224" spans="3:9" ht="15.75" customHeight="1" x14ac:dyDescent="0.25">
      <c r="C224" s="164"/>
      <c r="D224" s="164"/>
      <c r="E224" s="165"/>
      <c r="H224" s="166"/>
      <c r="I224" s="166"/>
    </row>
    <row r="225" spans="3:9" ht="15.75" customHeight="1" x14ac:dyDescent="0.25">
      <c r="C225" s="164"/>
      <c r="D225" s="164"/>
      <c r="E225" s="165"/>
      <c r="H225" s="166"/>
      <c r="I225" s="166"/>
    </row>
    <row r="226" spans="3:9" ht="15.75" customHeight="1" x14ac:dyDescent="0.25">
      <c r="C226" s="164"/>
      <c r="D226" s="164"/>
      <c r="E226" s="165"/>
      <c r="H226" s="166"/>
      <c r="I226" s="166"/>
    </row>
    <row r="227" spans="3:9" ht="15.75" customHeight="1" x14ac:dyDescent="0.25">
      <c r="C227" s="164"/>
      <c r="D227" s="164"/>
      <c r="E227" s="165"/>
      <c r="H227" s="166"/>
      <c r="I227" s="166"/>
    </row>
    <row r="228" spans="3:9" ht="15.75" customHeight="1" x14ac:dyDescent="0.25">
      <c r="C228" s="164"/>
      <c r="D228" s="164"/>
      <c r="E228" s="165"/>
      <c r="H228" s="166"/>
      <c r="I228" s="166"/>
    </row>
    <row r="229" spans="3:9" ht="15.75" customHeight="1" x14ac:dyDescent="0.25">
      <c r="C229" s="164"/>
      <c r="D229" s="164"/>
      <c r="E229" s="165"/>
      <c r="H229" s="166"/>
      <c r="I229" s="166"/>
    </row>
    <row r="230" spans="3:9" ht="15.75" customHeight="1" x14ac:dyDescent="0.25">
      <c r="C230" s="164"/>
      <c r="D230" s="164"/>
      <c r="E230" s="165"/>
      <c r="H230" s="166"/>
      <c r="I230" s="166"/>
    </row>
    <row r="231" spans="3:9" ht="15.75" customHeight="1" x14ac:dyDescent="0.25">
      <c r="C231" s="164"/>
      <c r="D231" s="164"/>
      <c r="E231" s="165"/>
      <c r="H231" s="166"/>
      <c r="I231" s="166"/>
    </row>
    <row r="232" spans="3:9" ht="15.75" customHeight="1" x14ac:dyDescent="0.25">
      <c r="C232" s="164"/>
      <c r="D232" s="164"/>
      <c r="E232" s="165"/>
      <c r="H232" s="166"/>
      <c r="I232" s="166"/>
    </row>
    <row r="233" spans="3:9" ht="15.75" customHeight="1" x14ac:dyDescent="0.25">
      <c r="C233" s="164"/>
      <c r="D233" s="164"/>
      <c r="E233" s="165"/>
      <c r="H233" s="166"/>
      <c r="I233" s="166"/>
    </row>
    <row r="234" spans="3:9" ht="15.75" customHeight="1" x14ac:dyDescent="0.25">
      <c r="C234" s="164"/>
      <c r="D234" s="164"/>
      <c r="E234" s="165"/>
      <c r="H234" s="166"/>
      <c r="I234" s="166"/>
    </row>
    <row r="235" spans="3:9" ht="15.75" customHeight="1" x14ac:dyDescent="0.25">
      <c r="C235" s="164"/>
      <c r="D235" s="164"/>
      <c r="E235" s="165"/>
      <c r="H235" s="166"/>
      <c r="I235" s="166"/>
    </row>
    <row r="236" spans="3:9" ht="15.75" customHeight="1" x14ac:dyDescent="0.25">
      <c r="C236" s="164"/>
      <c r="D236" s="164"/>
      <c r="E236" s="165"/>
      <c r="H236" s="166"/>
      <c r="I236" s="166"/>
    </row>
    <row r="237" spans="3:9" ht="15.75" customHeight="1" x14ac:dyDescent="0.25">
      <c r="C237" s="164"/>
      <c r="D237" s="164"/>
      <c r="E237" s="165"/>
      <c r="H237" s="166"/>
      <c r="I237" s="166"/>
    </row>
    <row r="238" spans="3:9" ht="15.75" customHeight="1" x14ac:dyDescent="0.25">
      <c r="C238" s="164"/>
      <c r="D238" s="164"/>
      <c r="E238" s="165"/>
      <c r="H238" s="166"/>
      <c r="I238" s="166"/>
    </row>
    <row r="239" spans="3:9" ht="15.75" customHeight="1" x14ac:dyDescent="0.25">
      <c r="C239" s="164"/>
      <c r="D239" s="164"/>
      <c r="E239" s="165"/>
      <c r="H239" s="166"/>
      <c r="I239" s="166"/>
    </row>
    <row r="240" spans="3:9" ht="15.75" customHeight="1" x14ac:dyDescent="0.25">
      <c r="C240" s="164"/>
      <c r="D240" s="164"/>
      <c r="E240" s="165"/>
      <c r="H240" s="166"/>
      <c r="I240" s="166"/>
    </row>
    <row r="241" spans="3:9" ht="15.75" customHeight="1" x14ac:dyDescent="0.25">
      <c r="C241" s="164"/>
      <c r="D241" s="164"/>
      <c r="E241" s="165"/>
      <c r="H241" s="166"/>
      <c r="I241" s="166"/>
    </row>
    <row r="242" spans="3:9" ht="15.75" customHeight="1" x14ac:dyDescent="0.25">
      <c r="C242" s="164"/>
      <c r="D242" s="164"/>
      <c r="E242" s="165"/>
      <c r="H242" s="166"/>
      <c r="I242" s="166"/>
    </row>
    <row r="243" spans="3:9" ht="15.75" customHeight="1" x14ac:dyDescent="0.25">
      <c r="C243" s="164"/>
      <c r="D243" s="164"/>
      <c r="E243" s="165"/>
      <c r="H243" s="166"/>
      <c r="I243" s="166"/>
    </row>
    <row r="244" spans="3:9" ht="15.75" customHeight="1" x14ac:dyDescent="0.25">
      <c r="C244" s="164"/>
      <c r="D244" s="164"/>
      <c r="E244" s="165"/>
      <c r="H244" s="166"/>
      <c r="I244" s="166"/>
    </row>
    <row r="245" spans="3:9" ht="15.75" customHeight="1" x14ac:dyDescent="0.25">
      <c r="C245" s="164"/>
      <c r="D245" s="164"/>
      <c r="E245" s="165"/>
      <c r="H245" s="166"/>
      <c r="I245" s="166"/>
    </row>
    <row r="246" spans="3:9" ht="15.75" customHeight="1" x14ac:dyDescent="0.25">
      <c r="C246" s="164"/>
      <c r="D246" s="164"/>
      <c r="E246" s="165"/>
      <c r="H246" s="166"/>
      <c r="I246" s="166"/>
    </row>
    <row r="247" spans="3:9" ht="15.75" customHeight="1" x14ac:dyDescent="0.25">
      <c r="C247" s="164"/>
      <c r="D247" s="164"/>
      <c r="E247" s="165"/>
      <c r="H247" s="166"/>
      <c r="I247" s="166"/>
    </row>
    <row r="248" spans="3:9" ht="15.75" customHeight="1" x14ac:dyDescent="0.25">
      <c r="C248" s="164"/>
      <c r="D248" s="164"/>
      <c r="E248" s="165"/>
      <c r="H248" s="166"/>
      <c r="I248" s="166"/>
    </row>
    <row r="249" spans="3:9" ht="15.75" customHeight="1" x14ac:dyDescent="0.25">
      <c r="C249" s="164"/>
      <c r="D249" s="164"/>
      <c r="E249" s="165"/>
      <c r="H249" s="166"/>
      <c r="I249" s="166"/>
    </row>
    <row r="250" spans="3:9" ht="15.75" customHeight="1" x14ac:dyDescent="0.25">
      <c r="C250" s="164"/>
      <c r="D250" s="164"/>
      <c r="E250" s="165"/>
      <c r="H250" s="166"/>
      <c r="I250" s="166"/>
    </row>
    <row r="251" spans="3:9" ht="15.75" customHeight="1" x14ac:dyDescent="0.25">
      <c r="C251" s="164"/>
      <c r="D251" s="164"/>
      <c r="E251" s="165"/>
      <c r="H251" s="166"/>
      <c r="I251" s="166"/>
    </row>
    <row r="252" spans="3:9" ht="15.75" customHeight="1" x14ac:dyDescent="0.25">
      <c r="C252" s="164"/>
      <c r="D252" s="164"/>
      <c r="E252" s="165"/>
      <c r="H252" s="166"/>
      <c r="I252" s="166"/>
    </row>
    <row r="253" spans="3:9" ht="15.75" customHeight="1" x14ac:dyDescent="0.25">
      <c r="C253" s="164"/>
      <c r="D253" s="164"/>
      <c r="E253" s="165"/>
      <c r="H253" s="166"/>
      <c r="I253" s="166"/>
    </row>
    <row r="254" spans="3:9" ht="15.75" customHeight="1" x14ac:dyDescent="0.25">
      <c r="C254" s="164"/>
      <c r="D254" s="164"/>
      <c r="E254" s="165"/>
      <c r="H254" s="166"/>
      <c r="I254" s="166"/>
    </row>
    <row r="255" spans="3:9" ht="15.75" customHeight="1" x14ac:dyDescent="0.25">
      <c r="C255" s="164"/>
      <c r="D255" s="164"/>
      <c r="E255" s="165"/>
      <c r="H255" s="166"/>
      <c r="I255" s="166"/>
    </row>
    <row r="256" spans="3:9" ht="15.75" customHeight="1" x14ac:dyDescent="0.25">
      <c r="C256" s="164"/>
      <c r="D256" s="164"/>
      <c r="E256" s="165"/>
      <c r="H256" s="166"/>
      <c r="I256" s="166"/>
    </row>
    <row r="257" spans="3:9" ht="15.75" customHeight="1" x14ac:dyDescent="0.25">
      <c r="C257" s="164"/>
      <c r="D257" s="164"/>
      <c r="E257" s="165"/>
      <c r="H257" s="166"/>
      <c r="I257" s="166"/>
    </row>
    <row r="258" spans="3:9" ht="15.75" customHeight="1" x14ac:dyDescent="0.25">
      <c r="C258" s="164"/>
      <c r="D258" s="164"/>
      <c r="E258" s="165"/>
      <c r="H258" s="166"/>
      <c r="I258" s="166"/>
    </row>
    <row r="259" spans="3:9" ht="15.75" customHeight="1" x14ac:dyDescent="0.25">
      <c r="C259" s="164"/>
      <c r="D259" s="164"/>
      <c r="E259" s="165"/>
      <c r="H259" s="166"/>
      <c r="I259" s="166"/>
    </row>
    <row r="260" spans="3:9" ht="15.75" customHeight="1" x14ac:dyDescent="0.25">
      <c r="C260" s="164"/>
      <c r="D260" s="164"/>
      <c r="E260" s="165"/>
      <c r="H260" s="166"/>
      <c r="I260" s="166"/>
    </row>
    <row r="261" spans="3:9" ht="15.75" customHeight="1" x14ac:dyDescent="0.25">
      <c r="C261" s="164"/>
      <c r="D261" s="164"/>
      <c r="E261" s="165"/>
      <c r="H261" s="166"/>
      <c r="I261" s="166"/>
    </row>
    <row r="262" spans="3:9" ht="15.75" customHeight="1" x14ac:dyDescent="0.25">
      <c r="C262" s="164"/>
      <c r="D262" s="164"/>
      <c r="E262" s="165"/>
      <c r="H262" s="166"/>
      <c r="I262" s="166"/>
    </row>
    <row r="263" spans="3:9" ht="15.75" customHeight="1" x14ac:dyDescent="0.25">
      <c r="C263" s="164"/>
      <c r="D263" s="164"/>
      <c r="E263" s="165"/>
      <c r="H263" s="166"/>
      <c r="I263" s="166"/>
    </row>
    <row r="264" spans="3:9" ht="15.75" customHeight="1" x14ac:dyDescent="0.25">
      <c r="C264" s="164"/>
      <c r="D264" s="164"/>
      <c r="E264" s="165"/>
      <c r="H264" s="166"/>
      <c r="I264" s="166"/>
    </row>
    <row r="265" spans="3:9" ht="15.75" customHeight="1" x14ac:dyDescent="0.25">
      <c r="C265" s="164"/>
      <c r="D265" s="164"/>
      <c r="E265" s="165"/>
      <c r="H265" s="166"/>
      <c r="I265" s="166"/>
    </row>
    <row r="266" spans="3:9" ht="15.75" customHeight="1" x14ac:dyDescent="0.25">
      <c r="C266" s="164"/>
      <c r="D266" s="164"/>
      <c r="E266" s="165"/>
      <c r="H266" s="166"/>
      <c r="I266" s="166"/>
    </row>
    <row r="267" spans="3:9" ht="15.75" customHeight="1" x14ac:dyDescent="0.25">
      <c r="C267" s="164"/>
      <c r="D267" s="164"/>
      <c r="E267" s="165"/>
      <c r="H267" s="166"/>
      <c r="I267" s="166"/>
    </row>
    <row r="268" spans="3:9" ht="15.75" customHeight="1" x14ac:dyDescent="0.25">
      <c r="C268" s="164"/>
      <c r="D268" s="164"/>
      <c r="E268" s="165"/>
      <c r="H268" s="166"/>
      <c r="I268" s="166"/>
    </row>
    <row r="269" spans="3:9" ht="15.75" customHeight="1" x14ac:dyDescent="0.25">
      <c r="C269" s="164"/>
      <c r="D269" s="164"/>
      <c r="E269" s="165"/>
      <c r="H269" s="166"/>
      <c r="I269" s="166"/>
    </row>
    <row r="270" spans="3:9" ht="15.75" customHeight="1" x14ac:dyDescent="0.25">
      <c r="C270" s="164"/>
      <c r="D270" s="164"/>
      <c r="E270" s="165"/>
      <c r="H270" s="166"/>
      <c r="I270" s="166"/>
    </row>
    <row r="271" spans="3:9" ht="15.75" customHeight="1" x14ac:dyDescent="0.25">
      <c r="C271" s="164"/>
      <c r="D271" s="164"/>
      <c r="E271" s="165"/>
      <c r="H271" s="166"/>
      <c r="I271" s="166"/>
    </row>
    <row r="272" spans="3:9" ht="15.75" customHeight="1" x14ac:dyDescent="0.25">
      <c r="C272" s="164"/>
      <c r="D272" s="164"/>
      <c r="E272" s="165"/>
      <c r="H272" s="166"/>
      <c r="I272" s="166"/>
    </row>
    <row r="273" spans="3:9" ht="15.75" customHeight="1" x14ac:dyDescent="0.25">
      <c r="C273" s="164"/>
      <c r="D273" s="164"/>
      <c r="E273" s="165"/>
      <c r="H273" s="166"/>
      <c r="I273" s="166"/>
    </row>
    <row r="274" spans="3:9" ht="15.75" customHeight="1" x14ac:dyDescent="0.25">
      <c r="C274" s="164"/>
      <c r="D274" s="164"/>
      <c r="E274" s="165"/>
      <c r="H274" s="166"/>
      <c r="I274" s="166"/>
    </row>
    <row r="275" spans="3:9" ht="15.75" customHeight="1" x14ac:dyDescent="0.25">
      <c r="C275" s="164"/>
      <c r="D275" s="164"/>
      <c r="E275" s="165"/>
      <c r="H275" s="166"/>
      <c r="I275" s="166"/>
    </row>
    <row r="276" spans="3:9" ht="15.75" customHeight="1" x14ac:dyDescent="0.25">
      <c r="C276" s="164"/>
      <c r="D276" s="164"/>
      <c r="E276" s="165"/>
      <c r="H276" s="166"/>
      <c r="I276" s="166"/>
    </row>
    <row r="277" spans="3:9" ht="15.75" customHeight="1" x14ac:dyDescent="0.25">
      <c r="C277" s="164"/>
      <c r="D277" s="164"/>
      <c r="E277" s="165"/>
      <c r="H277" s="166"/>
      <c r="I277" s="166"/>
    </row>
    <row r="278" spans="3:9" ht="15.75" customHeight="1" x14ac:dyDescent="0.25">
      <c r="C278" s="164"/>
      <c r="D278" s="164"/>
      <c r="E278" s="165"/>
      <c r="H278" s="166"/>
      <c r="I278" s="166"/>
    </row>
    <row r="279" spans="3:9" ht="15.75" customHeight="1" x14ac:dyDescent="0.25">
      <c r="C279" s="164"/>
      <c r="D279" s="164"/>
      <c r="E279" s="165"/>
      <c r="H279" s="166"/>
      <c r="I279" s="166"/>
    </row>
    <row r="280" spans="3:9" ht="15.75" customHeight="1" x14ac:dyDescent="0.25">
      <c r="C280" s="164"/>
      <c r="D280" s="164"/>
      <c r="E280" s="165"/>
      <c r="H280" s="166"/>
      <c r="I280" s="166"/>
    </row>
    <row r="281" spans="3:9" ht="15.75" customHeight="1" x14ac:dyDescent="0.25">
      <c r="C281" s="164"/>
      <c r="D281" s="164"/>
      <c r="E281" s="165"/>
      <c r="H281" s="166"/>
      <c r="I281" s="166"/>
    </row>
    <row r="282" spans="3:9" ht="15.75" customHeight="1" x14ac:dyDescent="0.25">
      <c r="C282" s="164"/>
      <c r="D282" s="164"/>
      <c r="E282" s="165"/>
      <c r="H282" s="166"/>
      <c r="I282" s="166"/>
    </row>
    <row r="283" spans="3:9" ht="15.75" customHeight="1" x14ac:dyDescent="0.25">
      <c r="C283" s="164"/>
      <c r="D283" s="164"/>
      <c r="E283" s="165"/>
      <c r="H283" s="166"/>
      <c r="I283" s="166"/>
    </row>
    <row r="284" spans="3:9" ht="15.75" customHeight="1" x14ac:dyDescent="0.25">
      <c r="C284" s="164"/>
      <c r="D284" s="164"/>
      <c r="E284" s="165"/>
      <c r="H284" s="166"/>
      <c r="I284" s="166"/>
    </row>
    <row r="285" spans="3:9" ht="15.75" customHeight="1" x14ac:dyDescent="0.25">
      <c r="C285" s="164"/>
      <c r="D285" s="164"/>
      <c r="E285" s="165"/>
      <c r="H285" s="166"/>
      <c r="I285" s="166"/>
    </row>
    <row r="286" spans="3:9" ht="15.75" customHeight="1" x14ac:dyDescent="0.25">
      <c r="C286" s="164"/>
      <c r="D286" s="164"/>
      <c r="E286" s="165"/>
      <c r="H286" s="166"/>
      <c r="I286" s="166"/>
    </row>
    <row r="287" spans="3:9" ht="15.75" customHeight="1" x14ac:dyDescent="0.25">
      <c r="C287" s="164"/>
      <c r="D287" s="164"/>
      <c r="E287" s="165"/>
      <c r="H287" s="166"/>
      <c r="I287" s="166"/>
    </row>
    <row r="288" spans="3:9" ht="15.75" customHeight="1" x14ac:dyDescent="0.25">
      <c r="C288" s="164"/>
      <c r="D288" s="164"/>
      <c r="E288" s="165"/>
      <c r="H288" s="166"/>
      <c r="I288" s="166"/>
    </row>
    <row r="289" spans="3:9" ht="15.75" customHeight="1" x14ac:dyDescent="0.25">
      <c r="C289" s="164"/>
      <c r="D289" s="164"/>
      <c r="E289" s="165"/>
      <c r="H289" s="166"/>
      <c r="I289" s="166"/>
    </row>
    <row r="290" spans="3:9" ht="15.75" customHeight="1" x14ac:dyDescent="0.25">
      <c r="C290" s="164"/>
      <c r="D290" s="164"/>
      <c r="E290" s="165"/>
      <c r="H290" s="166"/>
      <c r="I290" s="166"/>
    </row>
    <row r="291" spans="3:9" ht="15.75" customHeight="1" x14ac:dyDescent="0.25">
      <c r="C291" s="164"/>
      <c r="D291" s="164"/>
      <c r="E291" s="165"/>
      <c r="H291" s="166"/>
      <c r="I291" s="166"/>
    </row>
    <row r="292" spans="3:9" ht="15.75" customHeight="1" x14ac:dyDescent="0.25">
      <c r="C292" s="164"/>
      <c r="D292" s="164"/>
      <c r="E292" s="165"/>
      <c r="H292" s="166"/>
      <c r="I292" s="166"/>
    </row>
    <row r="293" spans="3:9" ht="15.75" customHeight="1" x14ac:dyDescent="0.25">
      <c r="C293" s="164"/>
      <c r="D293" s="164"/>
      <c r="E293" s="165"/>
      <c r="H293" s="166"/>
      <c r="I293" s="166"/>
    </row>
    <row r="294" spans="3:9" ht="15.75" customHeight="1" x14ac:dyDescent="0.25">
      <c r="C294" s="164"/>
      <c r="D294" s="164"/>
      <c r="E294" s="165"/>
      <c r="H294" s="166"/>
      <c r="I294" s="166"/>
    </row>
    <row r="295" spans="3:9" ht="15.75" customHeight="1" x14ac:dyDescent="0.25">
      <c r="C295" s="164"/>
      <c r="D295" s="164"/>
      <c r="E295" s="165"/>
      <c r="H295" s="166"/>
      <c r="I295" s="166"/>
    </row>
    <row r="296" spans="3:9" ht="15.75" customHeight="1" x14ac:dyDescent="0.25">
      <c r="C296" s="164"/>
      <c r="D296" s="164"/>
      <c r="E296" s="165"/>
      <c r="H296" s="166"/>
      <c r="I296" s="166"/>
    </row>
    <row r="297" spans="3:9" ht="15.75" customHeight="1" x14ac:dyDescent="0.25">
      <c r="C297" s="164"/>
      <c r="D297" s="164"/>
      <c r="E297" s="165"/>
      <c r="H297" s="166"/>
      <c r="I297" s="166"/>
    </row>
    <row r="298" spans="3:9" ht="15.75" customHeight="1" x14ac:dyDescent="0.25">
      <c r="C298" s="164"/>
      <c r="D298" s="164"/>
      <c r="E298" s="165"/>
      <c r="H298" s="166"/>
      <c r="I298" s="166"/>
    </row>
    <row r="299" spans="3:9" ht="15.75" customHeight="1" x14ac:dyDescent="0.25">
      <c r="C299" s="164"/>
      <c r="D299" s="164"/>
      <c r="E299" s="165"/>
      <c r="H299" s="166"/>
      <c r="I299" s="166"/>
    </row>
    <row r="300" spans="3:9" ht="15.75" customHeight="1" x14ac:dyDescent="0.25">
      <c r="C300" s="164"/>
      <c r="D300" s="164"/>
      <c r="E300" s="165"/>
      <c r="H300" s="166"/>
      <c r="I300" s="166"/>
    </row>
    <row r="301" spans="3:9" ht="15.75" customHeight="1" x14ac:dyDescent="0.25">
      <c r="C301" s="164"/>
      <c r="D301" s="164"/>
      <c r="E301" s="165"/>
      <c r="H301" s="166"/>
      <c r="I301" s="166"/>
    </row>
    <row r="302" spans="3:9" ht="15.75" customHeight="1" x14ac:dyDescent="0.25">
      <c r="C302" s="164"/>
      <c r="D302" s="164"/>
      <c r="E302" s="165"/>
      <c r="H302" s="166"/>
      <c r="I302" s="166"/>
    </row>
    <row r="303" spans="3:9" ht="15.75" customHeight="1" x14ac:dyDescent="0.25">
      <c r="C303" s="164"/>
      <c r="D303" s="164"/>
      <c r="E303" s="165"/>
      <c r="H303" s="166"/>
      <c r="I303" s="166"/>
    </row>
    <row r="304" spans="3:9" ht="15.75" customHeight="1" x14ac:dyDescent="0.25">
      <c r="C304" s="164"/>
      <c r="D304" s="164"/>
      <c r="E304" s="165"/>
      <c r="H304" s="166"/>
      <c r="I304" s="166"/>
    </row>
    <row r="305" spans="3:9" ht="15.75" customHeight="1" x14ac:dyDescent="0.25">
      <c r="C305" s="164"/>
      <c r="D305" s="164"/>
      <c r="E305" s="165"/>
      <c r="H305" s="166"/>
      <c r="I305" s="166"/>
    </row>
    <row r="306" spans="3:9" ht="15.75" customHeight="1" x14ac:dyDescent="0.25">
      <c r="C306" s="164"/>
      <c r="D306" s="164"/>
      <c r="E306" s="165"/>
      <c r="H306" s="166"/>
      <c r="I306" s="166"/>
    </row>
    <row r="307" spans="3:9" ht="15.75" customHeight="1" x14ac:dyDescent="0.25">
      <c r="C307" s="164"/>
      <c r="D307" s="164"/>
      <c r="E307" s="165"/>
      <c r="H307" s="166"/>
      <c r="I307" s="166"/>
    </row>
    <row r="308" spans="3:9" ht="15.75" customHeight="1" x14ac:dyDescent="0.25">
      <c r="C308" s="164"/>
      <c r="D308" s="164"/>
      <c r="E308" s="165"/>
      <c r="H308" s="166"/>
      <c r="I308" s="166"/>
    </row>
    <row r="309" spans="3:9" ht="15.75" customHeight="1" x14ac:dyDescent="0.25">
      <c r="C309" s="164"/>
      <c r="D309" s="164"/>
      <c r="E309" s="165"/>
      <c r="H309" s="166"/>
      <c r="I309" s="166"/>
    </row>
    <row r="310" spans="3:9" ht="15.75" customHeight="1" x14ac:dyDescent="0.25">
      <c r="C310" s="164"/>
      <c r="D310" s="164"/>
      <c r="E310" s="165"/>
      <c r="H310" s="166"/>
      <c r="I310" s="166"/>
    </row>
    <row r="311" spans="3:9" ht="15.75" customHeight="1" x14ac:dyDescent="0.25">
      <c r="C311" s="164"/>
      <c r="D311" s="164"/>
      <c r="E311" s="165"/>
      <c r="H311" s="166"/>
      <c r="I311" s="166"/>
    </row>
    <row r="312" spans="3:9" ht="15.75" customHeight="1" x14ac:dyDescent="0.25">
      <c r="C312" s="164"/>
      <c r="D312" s="164"/>
      <c r="E312" s="165"/>
      <c r="H312" s="166"/>
      <c r="I312" s="166"/>
    </row>
    <row r="313" spans="3:9" ht="15.75" customHeight="1" x14ac:dyDescent="0.25">
      <c r="C313" s="164"/>
      <c r="D313" s="164"/>
      <c r="E313" s="165"/>
      <c r="H313" s="166"/>
      <c r="I313" s="166"/>
    </row>
    <row r="314" spans="3:9" ht="15.75" customHeight="1" x14ac:dyDescent="0.25">
      <c r="C314" s="164"/>
      <c r="D314" s="164"/>
      <c r="E314" s="165"/>
      <c r="H314" s="166"/>
      <c r="I314" s="166"/>
    </row>
    <row r="315" spans="3:9" ht="15.75" customHeight="1" x14ac:dyDescent="0.25">
      <c r="C315" s="164"/>
      <c r="D315" s="164"/>
      <c r="E315" s="165"/>
      <c r="H315" s="166"/>
      <c r="I315" s="166"/>
    </row>
    <row r="316" spans="3:9" ht="15.75" customHeight="1" x14ac:dyDescent="0.25">
      <c r="C316" s="164"/>
      <c r="D316" s="164"/>
      <c r="E316" s="165"/>
      <c r="H316" s="166"/>
      <c r="I316" s="166"/>
    </row>
    <row r="317" spans="3:9" ht="15.75" customHeight="1" x14ac:dyDescent="0.25">
      <c r="C317" s="164"/>
      <c r="D317" s="164"/>
      <c r="E317" s="165"/>
      <c r="H317" s="166"/>
      <c r="I317" s="166"/>
    </row>
    <row r="318" spans="3:9" ht="15.75" customHeight="1" x14ac:dyDescent="0.25">
      <c r="C318" s="164"/>
      <c r="D318" s="164"/>
      <c r="E318" s="165"/>
      <c r="H318" s="166"/>
      <c r="I318" s="166"/>
    </row>
    <row r="319" spans="3:9" ht="15.75" customHeight="1" x14ac:dyDescent="0.25">
      <c r="C319" s="164"/>
      <c r="D319" s="164"/>
      <c r="E319" s="165"/>
      <c r="H319" s="166"/>
      <c r="I319" s="166"/>
    </row>
    <row r="320" spans="3:9" ht="15.75" customHeight="1" x14ac:dyDescent="0.25">
      <c r="C320" s="164"/>
      <c r="D320" s="164"/>
      <c r="E320" s="165"/>
      <c r="H320" s="166"/>
      <c r="I320" s="166"/>
    </row>
    <row r="321" spans="3:9" ht="15.75" customHeight="1" x14ac:dyDescent="0.25">
      <c r="C321" s="164"/>
      <c r="D321" s="164"/>
      <c r="E321" s="165"/>
      <c r="H321" s="166"/>
      <c r="I321" s="166"/>
    </row>
    <row r="322" spans="3:9" ht="15.75" customHeight="1" x14ac:dyDescent="0.25">
      <c r="C322" s="164"/>
      <c r="D322" s="164"/>
      <c r="E322" s="165"/>
      <c r="H322" s="166"/>
      <c r="I322" s="166"/>
    </row>
    <row r="323" spans="3:9" ht="15.75" customHeight="1" x14ac:dyDescent="0.25">
      <c r="C323" s="164"/>
      <c r="D323" s="164"/>
      <c r="E323" s="165"/>
      <c r="H323" s="166"/>
      <c r="I323" s="166"/>
    </row>
    <row r="324" spans="3:9" ht="15.75" customHeight="1" x14ac:dyDescent="0.25">
      <c r="C324" s="164"/>
      <c r="D324" s="164"/>
      <c r="E324" s="165"/>
      <c r="H324" s="166"/>
      <c r="I324" s="166"/>
    </row>
    <row r="325" spans="3:9" ht="15.75" customHeight="1" x14ac:dyDescent="0.25">
      <c r="C325" s="164"/>
      <c r="D325" s="164"/>
      <c r="E325" s="165"/>
      <c r="H325" s="166"/>
      <c r="I325" s="166"/>
    </row>
    <row r="326" spans="3:9" ht="15.75" customHeight="1" x14ac:dyDescent="0.25">
      <c r="C326" s="164"/>
      <c r="D326" s="164"/>
      <c r="E326" s="165"/>
      <c r="H326" s="166"/>
      <c r="I326" s="166"/>
    </row>
    <row r="327" spans="3:9" ht="15.75" customHeight="1" x14ac:dyDescent="0.25">
      <c r="C327" s="164"/>
      <c r="D327" s="164"/>
      <c r="E327" s="165"/>
      <c r="H327" s="166"/>
      <c r="I327" s="166"/>
    </row>
    <row r="328" spans="3:9" ht="15.75" customHeight="1" x14ac:dyDescent="0.25">
      <c r="C328" s="164"/>
      <c r="D328" s="164"/>
      <c r="E328" s="165"/>
      <c r="H328" s="166"/>
      <c r="I328" s="166"/>
    </row>
    <row r="329" spans="3:9" ht="15.75" customHeight="1" x14ac:dyDescent="0.25">
      <c r="C329" s="164"/>
      <c r="D329" s="164"/>
      <c r="E329" s="165"/>
      <c r="H329" s="166"/>
      <c r="I329" s="166"/>
    </row>
    <row r="330" spans="3:9" ht="15.75" customHeight="1" x14ac:dyDescent="0.25">
      <c r="C330" s="164"/>
      <c r="D330" s="164"/>
      <c r="E330" s="165"/>
      <c r="H330" s="166"/>
      <c r="I330" s="166"/>
    </row>
    <row r="331" spans="3:9" ht="15.75" customHeight="1" x14ac:dyDescent="0.25">
      <c r="C331" s="164"/>
      <c r="D331" s="164"/>
      <c r="E331" s="165"/>
      <c r="H331" s="166"/>
      <c r="I331" s="166"/>
    </row>
    <row r="332" spans="3:9" ht="15.75" customHeight="1" x14ac:dyDescent="0.25">
      <c r="C332" s="164"/>
      <c r="D332" s="164"/>
      <c r="E332" s="165"/>
      <c r="H332" s="166"/>
      <c r="I332" s="166"/>
    </row>
    <row r="333" spans="3:9" ht="15.75" customHeight="1" x14ac:dyDescent="0.25">
      <c r="C333" s="164"/>
      <c r="D333" s="164"/>
      <c r="E333" s="165"/>
      <c r="H333" s="166"/>
      <c r="I333" s="166"/>
    </row>
    <row r="334" spans="3:9" ht="15.75" customHeight="1" x14ac:dyDescent="0.25">
      <c r="C334" s="164"/>
      <c r="D334" s="164"/>
      <c r="E334" s="165"/>
      <c r="H334" s="166"/>
      <c r="I334" s="166"/>
    </row>
    <row r="335" spans="3:9" ht="15.75" customHeight="1" x14ac:dyDescent="0.25">
      <c r="C335" s="164"/>
      <c r="D335" s="164"/>
      <c r="E335" s="165"/>
      <c r="H335" s="166"/>
      <c r="I335" s="166"/>
    </row>
    <row r="336" spans="3:9" ht="15.75" customHeight="1" x14ac:dyDescent="0.25">
      <c r="C336" s="164"/>
      <c r="D336" s="164"/>
      <c r="E336" s="165"/>
      <c r="H336" s="166"/>
      <c r="I336" s="166"/>
    </row>
    <row r="337" spans="3:9" ht="15.75" customHeight="1" x14ac:dyDescent="0.25">
      <c r="C337" s="164"/>
      <c r="D337" s="164"/>
      <c r="E337" s="165"/>
      <c r="H337" s="166"/>
      <c r="I337" s="166"/>
    </row>
    <row r="338" spans="3:9" ht="15.75" customHeight="1" x14ac:dyDescent="0.25">
      <c r="C338" s="164"/>
      <c r="D338" s="164"/>
      <c r="E338" s="165"/>
      <c r="H338" s="166"/>
      <c r="I338" s="166"/>
    </row>
    <row r="339" spans="3:9" ht="15.75" customHeight="1" x14ac:dyDescent="0.25">
      <c r="C339" s="164"/>
      <c r="D339" s="164"/>
      <c r="E339" s="165"/>
      <c r="H339" s="166"/>
      <c r="I339" s="166"/>
    </row>
    <row r="340" spans="3:9" ht="15.75" customHeight="1" x14ac:dyDescent="0.25">
      <c r="C340" s="164"/>
      <c r="D340" s="164"/>
      <c r="E340" s="165"/>
      <c r="H340" s="166"/>
      <c r="I340" s="166"/>
    </row>
    <row r="341" spans="3:9" ht="15.75" customHeight="1" x14ac:dyDescent="0.25">
      <c r="C341" s="164"/>
      <c r="D341" s="164"/>
      <c r="E341" s="165"/>
      <c r="H341" s="166"/>
      <c r="I341" s="166"/>
    </row>
    <row r="342" spans="3:9" ht="15.75" customHeight="1" x14ac:dyDescent="0.25">
      <c r="C342" s="164"/>
      <c r="D342" s="164"/>
      <c r="E342" s="165"/>
      <c r="H342" s="166"/>
      <c r="I342" s="166"/>
    </row>
    <row r="343" spans="3:9" ht="15.75" customHeight="1" x14ac:dyDescent="0.25">
      <c r="C343" s="164"/>
      <c r="D343" s="164"/>
      <c r="E343" s="165"/>
      <c r="H343" s="166"/>
      <c r="I343" s="166"/>
    </row>
    <row r="344" spans="3:9" ht="15.75" customHeight="1" x14ac:dyDescent="0.25">
      <c r="C344" s="164"/>
      <c r="D344" s="164"/>
      <c r="E344" s="165"/>
      <c r="H344" s="166"/>
      <c r="I344" s="166"/>
    </row>
    <row r="345" spans="3:9" ht="15.75" customHeight="1" x14ac:dyDescent="0.25">
      <c r="C345" s="164"/>
      <c r="D345" s="164"/>
      <c r="E345" s="165"/>
      <c r="H345" s="166"/>
      <c r="I345" s="166"/>
    </row>
    <row r="346" spans="3:9" ht="15.75" customHeight="1" x14ac:dyDescent="0.25">
      <c r="C346" s="164"/>
      <c r="D346" s="164"/>
      <c r="E346" s="165"/>
      <c r="H346" s="166"/>
      <c r="I346" s="166"/>
    </row>
    <row r="347" spans="3:9" ht="15.75" customHeight="1" x14ac:dyDescent="0.25">
      <c r="C347" s="164"/>
      <c r="D347" s="164"/>
      <c r="E347" s="165"/>
      <c r="H347" s="166"/>
      <c r="I347" s="166"/>
    </row>
    <row r="348" spans="3:9" ht="15.75" customHeight="1" x14ac:dyDescent="0.25">
      <c r="C348" s="164"/>
      <c r="D348" s="164"/>
      <c r="E348" s="165"/>
      <c r="H348" s="166"/>
      <c r="I348" s="166"/>
    </row>
    <row r="349" spans="3:9" ht="15.75" customHeight="1" x14ac:dyDescent="0.25">
      <c r="C349" s="164"/>
      <c r="D349" s="164"/>
      <c r="E349" s="165"/>
      <c r="H349" s="166"/>
      <c r="I349" s="166"/>
    </row>
    <row r="350" spans="3:9" ht="15.75" customHeight="1" x14ac:dyDescent="0.25">
      <c r="C350" s="164"/>
      <c r="D350" s="164"/>
      <c r="E350" s="165"/>
      <c r="H350" s="166"/>
      <c r="I350" s="166"/>
    </row>
    <row r="351" spans="3:9" ht="15.75" customHeight="1" x14ac:dyDescent="0.25">
      <c r="C351" s="164"/>
      <c r="D351" s="164"/>
      <c r="E351" s="165"/>
      <c r="H351" s="166"/>
      <c r="I351" s="166"/>
    </row>
    <row r="352" spans="3:9" ht="15.75" customHeight="1" x14ac:dyDescent="0.25">
      <c r="C352" s="164"/>
      <c r="D352" s="164"/>
      <c r="E352" s="165"/>
      <c r="H352" s="166"/>
      <c r="I352" s="166"/>
    </row>
    <row r="353" spans="3:9" ht="15.75" customHeight="1" x14ac:dyDescent="0.25">
      <c r="C353" s="164"/>
      <c r="D353" s="164"/>
      <c r="E353" s="165"/>
      <c r="H353" s="166"/>
      <c r="I353" s="166"/>
    </row>
    <row r="354" spans="3:9" ht="15.75" customHeight="1" x14ac:dyDescent="0.25">
      <c r="C354" s="164"/>
      <c r="D354" s="164"/>
      <c r="E354" s="165"/>
      <c r="H354" s="166"/>
      <c r="I354" s="166"/>
    </row>
    <row r="355" spans="3:9" ht="15.75" customHeight="1" x14ac:dyDescent="0.25">
      <c r="C355" s="164"/>
      <c r="D355" s="164"/>
      <c r="E355" s="165"/>
      <c r="H355" s="166"/>
      <c r="I355" s="166"/>
    </row>
    <row r="356" spans="3:9" ht="15.75" customHeight="1" x14ac:dyDescent="0.25">
      <c r="C356" s="164"/>
      <c r="D356" s="164"/>
      <c r="E356" s="165"/>
      <c r="H356" s="166"/>
      <c r="I356" s="166"/>
    </row>
    <row r="357" spans="3:9" ht="15.75" customHeight="1" x14ac:dyDescent="0.25">
      <c r="C357" s="164"/>
      <c r="D357" s="164"/>
      <c r="E357" s="165"/>
      <c r="H357" s="166"/>
      <c r="I357" s="166"/>
    </row>
    <row r="358" spans="3:9" ht="15.75" customHeight="1" x14ac:dyDescent="0.25">
      <c r="C358" s="164"/>
      <c r="D358" s="164"/>
      <c r="E358" s="165"/>
      <c r="H358" s="166"/>
      <c r="I358" s="166"/>
    </row>
    <row r="359" spans="3:9" ht="15.75" customHeight="1" x14ac:dyDescent="0.25">
      <c r="C359" s="164"/>
      <c r="D359" s="164"/>
      <c r="E359" s="165"/>
      <c r="H359" s="166"/>
      <c r="I359" s="166"/>
    </row>
    <row r="360" spans="3:9" ht="15.75" customHeight="1" x14ac:dyDescent="0.25">
      <c r="C360" s="164"/>
      <c r="D360" s="164"/>
      <c r="E360" s="165"/>
      <c r="H360" s="166"/>
      <c r="I360" s="166"/>
    </row>
    <row r="361" spans="3:9" ht="15.75" customHeight="1" x14ac:dyDescent="0.25">
      <c r="C361" s="164"/>
      <c r="D361" s="164"/>
      <c r="E361" s="165"/>
      <c r="H361" s="166"/>
      <c r="I361" s="166"/>
    </row>
    <row r="362" spans="3:9" ht="15.75" customHeight="1" x14ac:dyDescent="0.25">
      <c r="C362" s="164"/>
      <c r="D362" s="164"/>
      <c r="E362" s="165"/>
      <c r="H362" s="166"/>
      <c r="I362" s="166"/>
    </row>
    <row r="363" spans="3:9" ht="15.75" customHeight="1" x14ac:dyDescent="0.25">
      <c r="C363" s="164"/>
      <c r="D363" s="164"/>
      <c r="E363" s="165"/>
      <c r="H363" s="166"/>
      <c r="I363" s="166"/>
    </row>
    <row r="364" spans="3:9" ht="15.75" customHeight="1" x14ac:dyDescent="0.25">
      <c r="C364" s="164"/>
      <c r="D364" s="164"/>
      <c r="E364" s="165"/>
      <c r="H364" s="166"/>
      <c r="I364" s="166"/>
    </row>
    <row r="365" spans="3:9" ht="15.75" customHeight="1" x14ac:dyDescent="0.25">
      <c r="C365" s="164"/>
      <c r="D365" s="164"/>
      <c r="E365" s="165"/>
      <c r="H365" s="166"/>
      <c r="I365" s="166"/>
    </row>
    <row r="366" spans="3:9" ht="15.75" customHeight="1" x14ac:dyDescent="0.25">
      <c r="C366" s="164"/>
      <c r="D366" s="164"/>
      <c r="E366" s="165"/>
      <c r="H366" s="166"/>
      <c r="I366" s="166"/>
    </row>
    <row r="367" spans="3:9" ht="15.75" customHeight="1" x14ac:dyDescent="0.25">
      <c r="C367" s="164"/>
      <c r="D367" s="164"/>
      <c r="E367" s="165"/>
      <c r="H367" s="166"/>
      <c r="I367" s="166"/>
    </row>
    <row r="368" spans="3:9" ht="15.75" customHeight="1" x14ac:dyDescent="0.25">
      <c r="C368" s="164"/>
      <c r="D368" s="164"/>
      <c r="E368" s="165"/>
      <c r="H368" s="166"/>
      <c r="I368" s="166"/>
    </row>
    <row r="369" spans="3:9" ht="15.75" customHeight="1" x14ac:dyDescent="0.25">
      <c r="C369" s="164"/>
      <c r="D369" s="164"/>
      <c r="E369" s="165"/>
      <c r="H369" s="166"/>
      <c r="I369" s="166"/>
    </row>
    <row r="370" spans="3:9" ht="15.75" customHeight="1" x14ac:dyDescent="0.25">
      <c r="C370" s="164"/>
      <c r="D370" s="164"/>
      <c r="E370" s="165"/>
      <c r="H370" s="166"/>
      <c r="I370" s="166"/>
    </row>
    <row r="371" spans="3:9" ht="15.75" customHeight="1" x14ac:dyDescent="0.25">
      <c r="C371" s="164"/>
      <c r="D371" s="164"/>
      <c r="E371" s="165"/>
      <c r="H371" s="166"/>
      <c r="I371" s="166"/>
    </row>
    <row r="372" spans="3:9" ht="15.75" customHeight="1" x14ac:dyDescent="0.25">
      <c r="C372" s="164"/>
      <c r="D372" s="164"/>
      <c r="E372" s="165"/>
      <c r="H372" s="166"/>
      <c r="I372" s="166"/>
    </row>
    <row r="373" spans="3:9" ht="15.75" customHeight="1" x14ac:dyDescent="0.25">
      <c r="C373" s="164"/>
      <c r="D373" s="164"/>
      <c r="E373" s="165"/>
      <c r="H373" s="166"/>
      <c r="I373" s="166"/>
    </row>
    <row r="374" spans="3:9" ht="15.75" customHeight="1" x14ac:dyDescent="0.25">
      <c r="C374" s="164"/>
      <c r="D374" s="164"/>
      <c r="E374" s="165"/>
      <c r="H374" s="166"/>
      <c r="I374" s="166"/>
    </row>
    <row r="375" spans="3:9" ht="15.75" customHeight="1" x14ac:dyDescent="0.25">
      <c r="C375" s="164"/>
      <c r="D375" s="164"/>
      <c r="E375" s="165"/>
      <c r="H375" s="166"/>
      <c r="I375" s="166"/>
    </row>
    <row r="376" spans="3:9" ht="15.75" customHeight="1" x14ac:dyDescent="0.25">
      <c r="C376" s="164"/>
      <c r="D376" s="164"/>
      <c r="E376" s="165"/>
      <c r="H376" s="166"/>
      <c r="I376" s="166"/>
    </row>
    <row r="377" spans="3:9" ht="15.75" customHeight="1" x14ac:dyDescent="0.25">
      <c r="C377" s="164"/>
      <c r="D377" s="164"/>
      <c r="E377" s="165"/>
      <c r="H377" s="166"/>
      <c r="I377" s="166"/>
    </row>
    <row r="378" spans="3:9" ht="15.75" customHeight="1" x14ac:dyDescent="0.25">
      <c r="C378" s="164"/>
      <c r="D378" s="164"/>
      <c r="E378" s="165"/>
      <c r="H378" s="166"/>
      <c r="I378" s="166"/>
    </row>
    <row r="379" spans="3:9" ht="15.75" customHeight="1" x14ac:dyDescent="0.25">
      <c r="C379" s="164"/>
      <c r="D379" s="164"/>
      <c r="E379" s="165"/>
      <c r="H379" s="166"/>
      <c r="I379" s="166"/>
    </row>
    <row r="380" spans="3:9" ht="15.75" customHeight="1" x14ac:dyDescent="0.25">
      <c r="C380" s="164"/>
      <c r="D380" s="164"/>
      <c r="E380" s="165"/>
      <c r="H380" s="166"/>
      <c r="I380" s="166"/>
    </row>
    <row r="381" spans="3:9" ht="15.75" customHeight="1" x14ac:dyDescent="0.25">
      <c r="C381" s="164"/>
      <c r="D381" s="164"/>
      <c r="E381" s="165"/>
      <c r="H381" s="166"/>
      <c r="I381" s="166"/>
    </row>
    <row r="382" spans="3:9" ht="15.75" customHeight="1" x14ac:dyDescent="0.25">
      <c r="C382" s="164"/>
      <c r="D382" s="164"/>
      <c r="E382" s="165"/>
      <c r="H382" s="166"/>
      <c r="I382" s="166"/>
    </row>
    <row r="383" spans="3:9" ht="15.75" customHeight="1" x14ac:dyDescent="0.25">
      <c r="C383" s="164"/>
      <c r="D383" s="164"/>
      <c r="E383" s="165"/>
      <c r="H383" s="166"/>
      <c r="I383" s="166"/>
    </row>
    <row r="384" spans="3:9" ht="15.75" customHeight="1" x14ac:dyDescent="0.25">
      <c r="C384" s="164"/>
      <c r="D384" s="164"/>
      <c r="E384" s="165"/>
      <c r="H384" s="166"/>
      <c r="I384" s="166"/>
    </row>
    <row r="385" spans="3:9" ht="15.75" customHeight="1" x14ac:dyDescent="0.25">
      <c r="C385" s="164"/>
      <c r="D385" s="164"/>
      <c r="E385" s="165"/>
      <c r="H385" s="166"/>
      <c r="I385" s="166"/>
    </row>
    <row r="386" spans="3:9" ht="15.75" customHeight="1" x14ac:dyDescent="0.25">
      <c r="C386" s="164"/>
      <c r="D386" s="164"/>
      <c r="E386" s="165"/>
      <c r="H386" s="166"/>
      <c r="I386" s="166"/>
    </row>
    <row r="387" spans="3:9" ht="15.75" customHeight="1" x14ac:dyDescent="0.25">
      <c r="C387" s="164"/>
      <c r="D387" s="164"/>
      <c r="E387" s="165"/>
      <c r="H387" s="166"/>
      <c r="I387" s="166"/>
    </row>
    <row r="388" spans="3:9" ht="15.75" customHeight="1" x14ac:dyDescent="0.25">
      <c r="C388" s="164"/>
      <c r="D388" s="164"/>
      <c r="E388" s="165"/>
      <c r="H388" s="166"/>
      <c r="I388" s="166"/>
    </row>
    <row r="389" spans="3:9" ht="15.75" customHeight="1" x14ac:dyDescent="0.25">
      <c r="C389" s="164"/>
      <c r="D389" s="164"/>
      <c r="E389" s="165"/>
      <c r="H389" s="166"/>
      <c r="I389" s="166"/>
    </row>
    <row r="390" spans="3:9" ht="15.75" customHeight="1" x14ac:dyDescent="0.25">
      <c r="C390" s="164"/>
      <c r="D390" s="164"/>
      <c r="E390" s="165"/>
      <c r="H390" s="166"/>
      <c r="I390" s="166"/>
    </row>
    <row r="391" spans="3:9" ht="15.75" customHeight="1" x14ac:dyDescent="0.25">
      <c r="C391" s="164"/>
      <c r="D391" s="164"/>
      <c r="E391" s="165"/>
      <c r="H391" s="166"/>
      <c r="I391" s="166"/>
    </row>
    <row r="392" spans="3:9" ht="15.75" customHeight="1" x14ac:dyDescent="0.25">
      <c r="C392" s="164"/>
      <c r="D392" s="164"/>
      <c r="E392" s="165"/>
      <c r="H392" s="166"/>
      <c r="I392" s="166"/>
    </row>
    <row r="393" spans="3:9" ht="15.75" customHeight="1" x14ac:dyDescent="0.25">
      <c r="C393" s="164"/>
      <c r="D393" s="164"/>
      <c r="E393" s="165"/>
      <c r="H393" s="166"/>
      <c r="I393" s="166"/>
    </row>
    <row r="394" spans="3:9" ht="15.75" customHeight="1" x14ac:dyDescent="0.25">
      <c r="C394" s="164"/>
      <c r="D394" s="164"/>
      <c r="E394" s="165"/>
      <c r="H394" s="166"/>
      <c r="I394" s="166"/>
    </row>
    <row r="395" spans="3:9" ht="15.75" customHeight="1" x14ac:dyDescent="0.25">
      <c r="C395" s="164"/>
      <c r="D395" s="164"/>
      <c r="E395" s="165"/>
      <c r="H395" s="166"/>
      <c r="I395" s="166"/>
    </row>
    <row r="396" spans="3:9" ht="15.75" customHeight="1" x14ac:dyDescent="0.25">
      <c r="C396" s="164"/>
      <c r="D396" s="164"/>
      <c r="E396" s="165"/>
      <c r="H396" s="166"/>
      <c r="I396" s="166"/>
    </row>
    <row r="397" spans="3:9" ht="15.75" customHeight="1" x14ac:dyDescent="0.25">
      <c r="C397" s="164"/>
      <c r="D397" s="164"/>
      <c r="E397" s="165"/>
      <c r="H397" s="166"/>
      <c r="I397" s="166"/>
    </row>
    <row r="398" spans="3:9" ht="15.75" customHeight="1" x14ac:dyDescent="0.25">
      <c r="C398" s="164"/>
      <c r="D398" s="164"/>
      <c r="E398" s="165"/>
      <c r="H398" s="166"/>
      <c r="I398" s="166"/>
    </row>
    <row r="399" spans="3:9" ht="15.75" customHeight="1" x14ac:dyDescent="0.25">
      <c r="C399" s="164"/>
      <c r="D399" s="164"/>
      <c r="E399" s="165"/>
      <c r="H399" s="166"/>
      <c r="I399" s="166"/>
    </row>
    <row r="400" spans="3:9" ht="15.75" customHeight="1" x14ac:dyDescent="0.25">
      <c r="C400" s="164"/>
      <c r="D400" s="164"/>
      <c r="E400" s="165"/>
      <c r="H400" s="166"/>
      <c r="I400" s="166"/>
    </row>
    <row r="401" spans="3:9" ht="15.75" customHeight="1" x14ac:dyDescent="0.25">
      <c r="C401" s="164"/>
      <c r="D401" s="164"/>
      <c r="E401" s="165"/>
      <c r="H401" s="166"/>
      <c r="I401" s="166"/>
    </row>
    <row r="402" spans="3:9" ht="15.75" customHeight="1" x14ac:dyDescent="0.25">
      <c r="C402" s="164"/>
      <c r="D402" s="164"/>
      <c r="E402" s="165"/>
      <c r="H402" s="166"/>
      <c r="I402" s="166"/>
    </row>
    <row r="403" spans="3:9" ht="15.75" customHeight="1" x14ac:dyDescent="0.25">
      <c r="C403" s="164"/>
      <c r="D403" s="164"/>
      <c r="E403" s="165"/>
      <c r="H403" s="166"/>
      <c r="I403" s="166"/>
    </row>
    <row r="404" spans="3:9" ht="15.75" customHeight="1" x14ac:dyDescent="0.25">
      <c r="C404" s="164"/>
      <c r="D404" s="164"/>
      <c r="E404" s="165"/>
      <c r="H404" s="166"/>
      <c r="I404" s="166"/>
    </row>
    <row r="405" spans="3:9" ht="15.75" customHeight="1" x14ac:dyDescent="0.25">
      <c r="C405" s="164"/>
      <c r="D405" s="164"/>
      <c r="E405" s="165"/>
      <c r="H405" s="166"/>
      <c r="I405" s="166"/>
    </row>
    <row r="406" spans="3:9" ht="15.75" customHeight="1" x14ac:dyDescent="0.25">
      <c r="C406" s="164"/>
      <c r="D406" s="164"/>
      <c r="E406" s="165"/>
      <c r="H406" s="166"/>
      <c r="I406" s="166"/>
    </row>
    <row r="407" spans="3:9" ht="15.75" customHeight="1" x14ac:dyDescent="0.25">
      <c r="C407" s="164"/>
      <c r="D407" s="164"/>
      <c r="E407" s="165"/>
      <c r="H407" s="166"/>
      <c r="I407" s="166"/>
    </row>
    <row r="408" spans="3:9" ht="15.75" customHeight="1" x14ac:dyDescent="0.25">
      <c r="C408" s="164"/>
      <c r="D408" s="164"/>
      <c r="E408" s="165"/>
      <c r="H408" s="166"/>
      <c r="I408" s="166"/>
    </row>
    <row r="409" spans="3:9" ht="15.75" customHeight="1" x14ac:dyDescent="0.25">
      <c r="C409" s="164"/>
      <c r="D409" s="164"/>
      <c r="E409" s="165"/>
      <c r="H409" s="166"/>
      <c r="I409" s="166"/>
    </row>
    <row r="410" spans="3:9" ht="15.75" customHeight="1" x14ac:dyDescent="0.25">
      <c r="C410" s="164"/>
      <c r="D410" s="164"/>
      <c r="E410" s="165"/>
      <c r="H410" s="166"/>
      <c r="I410" s="166"/>
    </row>
    <row r="411" spans="3:9" ht="15.75" customHeight="1" x14ac:dyDescent="0.25">
      <c r="C411" s="164"/>
      <c r="D411" s="164"/>
      <c r="E411" s="165"/>
      <c r="H411" s="166"/>
      <c r="I411" s="166"/>
    </row>
    <row r="412" spans="3:9" ht="15.75" customHeight="1" x14ac:dyDescent="0.25">
      <c r="C412" s="164"/>
      <c r="D412" s="164"/>
      <c r="E412" s="165"/>
      <c r="H412" s="166"/>
      <c r="I412" s="166"/>
    </row>
    <row r="413" spans="3:9" ht="15.75" customHeight="1" x14ac:dyDescent="0.25">
      <c r="C413" s="164"/>
      <c r="D413" s="164"/>
      <c r="E413" s="165"/>
      <c r="H413" s="166"/>
      <c r="I413" s="166"/>
    </row>
    <row r="414" spans="3:9" ht="15.75" customHeight="1" x14ac:dyDescent="0.25">
      <c r="C414" s="164"/>
      <c r="D414" s="164"/>
      <c r="E414" s="165"/>
      <c r="H414" s="166"/>
      <c r="I414" s="166"/>
    </row>
    <row r="415" spans="3:9" ht="15.75" customHeight="1" x14ac:dyDescent="0.25">
      <c r="C415" s="164"/>
      <c r="D415" s="164"/>
      <c r="E415" s="165"/>
      <c r="H415" s="166"/>
      <c r="I415" s="166"/>
    </row>
    <row r="416" spans="3:9" ht="15.75" customHeight="1" x14ac:dyDescent="0.25">
      <c r="C416" s="164"/>
      <c r="D416" s="164"/>
      <c r="E416" s="165"/>
      <c r="H416" s="166"/>
      <c r="I416" s="166"/>
    </row>
    <row r="417" spans="3:9" ht="15.75" customHeight="1" x14ac:dyDescent="0.25">
      <c r="C417" s="164"/>
      <c r="D417" s="164"/>
      <c r="E417" s="165"/>
      <c r="H417" s="166"/>
      <c r="I417" s="166"/>
    </row>
    <row r="418" spans="3:9" ht="15.75" customHeight="1" x14ac:dyDescent="0.25">
      <c r="C418" s="164"/>
      <c r="D418" s="164"/>
      <c r="E418" s="165"/>
      <c r="H418" s="166"/>
      <c r="I418" s="166"/>
    </row>
    <row r="419" spans="3:9" ht="15.75" customHeight="1" x14ac:dyDescent="0.25">
      <c r="C419" s="164"/>
      <c r="D419" s="164"/>
      <c r="E419" s="165"/>
      <c r="H419" s="166"/>
      <c r="I419" s="166"/>
    </row>
    <row r="420" spans="3:9" ht="15.75" customHeight="1" x14ac:dyDescent="0.25">
      <c r="C420" s="164"/>
      <c r="D420" s="164"/>
      <c r="E420" s="165"/>
      <c r="H420" s="166"/>
      <c r="I420" s="166"/>
    </row>
    <row r="421" spans="3:9" ht="15.75" customHeight="1" x14ac:dyDescent="0.25">
      <c r="C421" s="164"/>
      <c r="D421" s="164"/>
      <c r="E421" s="165"/>
      <c r="H421" s="166"/>
      <c r="I421" s="166"/>
    </row>
    <row r="422" spans="3:9" ht="15.75" customHeight="1" x14ac:dyDescent="0.25">
      <c r="C422" s="164"/>
      <c r="D422" s="164"/>
      <c r="E422" s="165"/>
      <c r="H422" s="166"/>
      <c r="I422" s="166"/>
    </row>
    <row r="423" spans="3:9" ht="15.75" customHeight="1" x14ac:dyDescent="0.25">
      <c r="C423" s="164"/>
      <c r="D423" s="164"/>
      <c r="E423" s="165"/>
      <c r="H423" s="166"/>
      <c r="I423" s="166"/>
    </row>
    <row r="424" spans="3:9" ht="15.75" customHeight="1" x14ac:dyDescent="0.25">
      <c r="C424" s="164"/>
      <c r="D424" s="164"/>
      <c r="E424" s="165"/>
      <c r="H424" s="166"/>
      <c r="I424" s="166"/>
    </row>
    <row r="425" spans="3:9" ht="15.75" customHeight="1" x14ac:dyDescent="0.25">
      <c r="C425" s="164"/>
      <c r="D425" s="164"/>
      <c r="E425" s="165"/>
      <c r="H425" s="166"/>
      <c r="I425" s="166"/>
    </row>
    <row r="426" spans="3:9" ht="15.75" customHeight="1" x14ac:dyDescent="0.25">
      <c r="C426" s="164"/>
      <c r="D426" s="164"/>
      <c r="E426" s="165"/>
      <c r="H426" s="166"/>
      <c r="I426" s="166"/>
    </row>
    <row r="427" spans="3:9" ht="15.75" customHeight="1" x14ac:dyDescent="0.25">
      <c r="C427" s="164"/>
      <c r="D427" s="164"/>
      <c r="E427" s="165"/>
      <c r="H427" s="166"/>
      <c r="I427" s="166"/>
    </row>
    <row r="428" spans="3:9" ht="15.75" customHeight="1" x14ac:dyDescent="0.25">
      <c r="C428" s="164"/>
      <c r="D428" s="164"/>
      <c r="E428" s="165"/>
      <c r="H428" s="166"/>
      <c r="I428" s="166"/>
    </row>
    <row r="429" spans="3:9" ht="15.75" customHeight="1" x14ac:dyDescent="0.25">
      <c r="C429" s="164"/>
      <c r="D429" s="164"/>
      <c r="E429" s="165"/>
      <c r="H429" s="166"/>
      <c r="I429" s="166"/>
    </row>
    <row r="430" spans="3:9" ht="15.75" customHeight="1" x14ac:dyDescent="0.25">
      <c r="C430" s="164"/>
      <c r="D430" s="164"/>
      <c r="E430" s="165"/>
      <c r="H430" s="166"/>
      <c r="I430" s="166"/>
    </row>
    <row r="431" spans="3:9" ht="15.75" customHeight="1" x14ac:dyDescent="0.25">
      <c r="C431" s="164"/>
      <c r="D431" s="164"/>
      <c r="E431" s="165"/>
      <c r="H431" s="166"/>
      <c r="I431" s="166"/>
    </row>
    <row r="432" spans="3:9" ht="15.75" customHeight="1" x14ac:dyDescent="0.25">
      <c r="C432" s="164"/>
      <c r="D432" s="164"/>
      <c r="E432" s="165"/>
      <c r="H432" s="166"/>
      <c r="I432" s="166"/>
    </row>
    <row r="433" spans="3:9" ht="15.75" customHeight="1" x14ac:dyDescent="0.25">
      <c r="C433" s="164"/>
      <c r="D433" s="164"/>
      <c r="E433" s="165"/>
      <c r="H433" s="166"/>
      <c r="I433" s="166"/>
    </row>
    <row r="434" spans="3:9" ht="15.75" customHeight="1" x14ac:dyDescent="0.25">
      <c r="C434" s="164"/>
      <c r="D434" s="164"/>
      <c r="E434" s="165"/>
      <c r="H434" s="166"/>
      <c r="I434" s="166"/>
    </row>
    <row r="435" spans="3:9" ht="15.75" customHeight="1" x14ac:dyDescent="0.25">
      <c r="C435" s="164"/>
      <c r="D435" s="164"/>
      <c r="E435" s="165"/>
      <c r="H435" s="166"/>
      <c r="I435" s="166"/>
    </row>
    <row r="436" spans="3:9" ht="15.75" customHeight="1" x14ac:dyDescent="0.25">
      <c r="C436" s="164"/>
      <c r="D436" s="164"/>
      <c r="E436" s="165"/>
      <c r="H436" s="166"/>
      <c r="I436" s="166"/>
    </row>
    <row r="437" spans="3:9" ht="15.75" customHeight="1" x14ac:dyDescent="0.25">
      <c r="C437" s="164"/>
      <c r="D437" s="164"/>
      <c r="E437" s="165"/>
      <c r="H437" s="166"/>
      <c r="I437" s="166"/>
    </row>
    <row r="438" spans="3:9" ht="15.75" customHeight="1" x14ac:dyDescent="0.25">
      <c r="C438" s="164"/>
      <c r="D438" s="164"/>
      <c r="E438" s="165"/>
      <c r="H438" s="166"/>
      <c r="I438" s="166"/>
    </row>
    <row r="439" spans="3:9" ht="15.75" customHeight="1" x14ac:dyDescent="0.25">
      <c r="C439" s="164"/>
      <c r="D439" s="164"/>
      <c r="E439" s="165"/>
      <c r="H439" s="166"/>
      <c r="I439" s="166"/>
    </row>
    <row r="440" spans="3:9" ht="15.75" customHeight="1" x14ac:dyDescent="0.25">
      <c r="C440" s="164"/>
      <c r="D440" s="164"/>
      <c r="E440" s="165"/>
      <c r="H440" s="166"/>
      <c r="I440" s="166"/>
    </row>
    <row r="441" spans="3:9" ht="15.75" customHeight="1" x14ac:dyDescent="0.25">
      <c r="C441" s="164"/>
      <c r="D441" s="164"/>
      <c r="E441" s="165"/>
      <c r="H441" s="166"/>
      <c r="I441" s="166"/>
    </row>
    <row r="442" spans="3:9" ht="15.75" customHeight="1" x14ac:dyDescent="0.25">
      <c r="C442" s="164"/>
      <c r="D442" s="164"/>
      <c r="E442" s="165"/>
      <c r="H442" s="166"/>
      <c r="I442" s="166"/>
    </row>
    <row r="443" spans="3:9" ht="15.75" customHeight="1" x14ac:dyDescent="0.25">
      <c r="C443" s="164"/>
      <c r="D443" s="164"/>
      <c r="E443" s="165"/>
      <c r="H443" s="166"/>
      <c r="I443" s="166"/>
    </row>
    <row r="444" spans="3:9" ht="15.75" customHeight="1" x14ac:dyDescent="0.25">
      <c r="C444" s="164"/>
      <c r="D444" s="164"/>
      <c r="E444" s="165"/>
      <c r="H444" s="166"/>
      <c r="I444" s="166"/>
    </row>
    <row r="445" spans="3:9" ht="15.75" customHeight="1" x14ac:dyDescent="0.25">
      <c r="C445" s="164"/>
      <c r="D445" s="164"/>
      <c r="E445" s="165"/>
      <c r="H445" s="166"/>
      <c r="I445" s="166"/>
    </row>
    <row r="446" spans="3:9" ht="15.75" customHeight="1" x14ac:dyDescent="0.25">
      <c r="C446" s="164"/>
      <c r="D446" s="164"/>
      <c r="E446" s="165"/>
      <c r="H446" s="166"/>
      <c r="I446" s="166"/>
    </row>
    <row r="447" spans="3:9" ht="15.75" customHeight="1" x14ac:dyDescent="0.25">
      <c r="C447" s="164"/>
      <c r="D447" s="164"/>
      <c r="E447" s="165"/>
      <c r="H447" s="166"/>
      <c r="I447" s="166"/>
    </row>
    <row r="448" spans="3:9" ht="15.75" customHeight="1" x14ac:dyDescent="0.25">
      <c r="C448" s="164"/>
      <c r="D448" s="164"/>
      <c r="E448" s="165"/>
      <c r="H448" s="166"/>
      <c r="I448" s="166"/>
    </row>
    <row r="449" spans="3:9" ht="15.75" customHeight="1" x14ac:dyDescent="0.25">
      <c r="C449" s="164"/>
      <c r="D449" s="164"/>
      <c r="E449" s="165"/>
      <c r="H449" s="166"/>
      <c r="I449" s="166"/>
    </row>
    <row r="450" spans="3:9" ht="15.75" customHeight="1" x14ac:dyDescent="0.25">
      <c r="C450" s="164"/>
      <c r="D450" s="164"/>
      <c r="E450" s="165"/>
      <c r="H450" s="166"/>
      <c r="I450" s="166"/>
    </row>
    <row r="451" spans="3:9" ht="15.75" customHeight="1" x14ac:dyDescent="0.25">
      <c r="C451" s="164"/>
      <c r="D451" s="164"/>
      <c r="E451" s="165"/>
      <c r="H451" s="166"/>
      <c r="I451" s="166"/>
    </row>
    <row r="452" spans="3:9" ht="15.75" customHeight="1" x14ac:dyDescent="0.25">
      <c r="C452" s="164"/>
      <c r="D452" s="164"/>
      <c r="E452" s="165"/>
      <c r="H452" s="166"/>
      <c r="I452" s="166"/>
    </row>
    <row r="453" spans="3:9" ht="15.75" customHeight="1" x14ac:dyDescent="0.25">
      <c r="C453" s="164"/>
      <c r="D453" s="164"/>
      <c r="E453" s="165"/>
      <c r="H453" s="166"/>
      <c r="I453" s="166"/>
    </row>
    <row r="454" spans="3:9" ht="15.75" customHeight="1" x14ac:dyDescent="0.25">
      <c r="C454" s="164"/>
      <c r="D454" s="164"/>
      <c r="E454" s="165"/>
      <c r="H454" s="166"/>
      <c r="I454" s="166"/>
    </row>
    <row r="455" spans="3:9" ht="15.75" customHeight="1" x14ac:dyDescent="0.25">
      <c r="C455" s="164"/>
      <c r="D455" s="164"/>
      <c r="E455" s="165"/>
      <c r="H455" s="166"/>
      <c r="I455" s="166"/>
    </row>
    <row r="456" spans="3:9" ht="15.75" customHeight="1" x14ac:dyDescent="0.25">
      <c r="C456" s="164"/>
      <c r="D456" s="164"/>
      <c r="E456" s="165"/>
      <c r="H456" s="166"/>
      <c r="I456" s="166"/>
    </row>
    <row r="457" spans="3:9" ht="15.75" customHeight="1" x14ac:dyDescent="0.25">
      <c r="C457" s="164"/>
      <c r="D457" s="164"/>
      <c r="E457" s="165"/>
      <c r="H457" s="166"/>
      <c r="I457" s="166"/>
    </row>
    <row r="458" spans="3:9" ht="15.75" customHeight="1" x14ac:dyDescent="0.25">
      <c r="C458" s="164"/>
      <c r="D458" s="164"/>
      <c r="E458" s="165"/>
      <c r="H458" s="166"/>
      <c r="I458" s="166"/>
    </row>
    <row r="459" spans="3:9" ht="15.75" customHeight="1" x14ac:dyDescent="0.25">
      <c r="C459" s="164"/>
      <c r="D459" s="164"/>
      <c r="E459" s="165"/>
      <c r="H459" s="166"/>
      <c r="I459" s="166"/>
    </row>
    <row r="460" spans="3:9" ht="15.75" customHeight="1" x14ac:dyDescent="0.25">
      <c r="C460" s="164"/>
      <c r="D460" s="164"/>
      <c r="E460" s="165"/>
      <c r="H460" s="166"/>
      <c r="I460" s="166"/>
    </row>
    <row r="461" spans="3:9" ht="15.75" customHeight="1" x14ac:dyDescent="0.25">
      <c r="C461" s="164"/>
      <c r="D461" s="164"/>
      <c r="E461" s="165"/>
      <c r="H461" s="166"/>
      <c r="I461" s="166"/>
    </row>
    <row r="462" spans="3:9" ht="15.75" customHeight="1" x14ac:dyDescent="0.25">
      <c r="C462" s="164"/>
      <c r="D462" s="164"/>
      <c r="E462" s="165"/>
      <c r="H462" s="166"/>
      <c r="I462" s="166"/>
    </row>
    <row r="463" spans="3:9" ht="15.75" customHeight="1" x14ac:dyDescent="0.25">
      <c r="C463" s="164"/>
      <c r="D463" s="164"/>
      <c r="E463" s="165"/>
      <c r="H463" s="166"/>
      <c r="I463" s="166"/>
    </row>
    <row r="464" spans="3:9" ht="15.75" customHeight="1" x14ac:dyDescent="0.25">
      <c r="C464" s="164"/>
      <c r="D464" s="164"/>
      <c r="E464" s="165"/>
      <c r="H464" s="166"/>
      <c r="I464" s="166"/>
    </row>
    <row r="465" spans="3:9" ht="15.75" customHeight="1" x14ac:dyDescent="0.25">
      <c r="C465" s="164"/>
      <c r="D465" s="164"/>
      <c r="E465" s="165"/>
      <c r="H465" s="166"/>
      <c r="I465" s="166"/>
    </row>
    <row r="466" spans="3:9" ht="15.75" customHeight="1" x14ac:dyDescent="0.25">
      <c r="C466" s="164"/>
      <c r="D466" s="164"/>
      <c r="E466" s="165"/>
      <c r="H466" s="166"/>
      <c r="I466" s="166"/>
    </row>
    <row r="467" spans="3:9" ht="15.75" customHeight="1" x14ac:dyDescent="0.25">
      <c r="C467" s="164"/>
      <c r="D467" s="164"/>
      <c r="E467" s="165"/>
      <c r="H467" s="166"/>
      <c r="I467" s="166"/>
    </row>
    <row r="468" spans="3:9" ht="15.75" customHeight="1" x14ac:dyDescent="0.25">
      <c r="C468" s="164"/>
      <c r="D468" s="164"/>
      <c r="E468" s="165"/>
      <c r="H468" s="166"/>
      <c r="I468" s="166"/>
    </row>
    <row r="469" spans="3:9" ht="15.75" customHeight="1" x14ac:dyDescent="0.25">
      <c r="C469" s="164"/>
      <c r="D469" s="164"/>
      <c r="E469" s="165"/>
      <c r="H469" s="166"/>
      <c r="I469" s="166"/>
    </row>
    <row r="470" spans="3:9" ht="15.75" customHeight="1" x14ac:dyDescent="0.25">
      <c r="C470" s="164"/>
      <c r="D470" s="164"/>
      <c r="E470" s="165"/>
      <c r="H470" s="166"/>
      <c r="I470" s="166"/>
    </row>
    <row r="471" spans="3:9" ht="15.75" customHeight="1" x14ac:dyDescent="0.25">
      <c r="C471" s="164"/>
      <c r="D471" s="164"/>
      <c r="E471" s="165"/>
      <c r="H471" s="166"/>
      <c r="I471" s="166"/>
    </row>
    <row r="472" spans="3:9" ht="15.75" customHeight="1" x14ac:dyDescent="0.25">
      <c r="C472" s="164"/>
      <c r="D472" s="164"/>
      <c r="E472" s="165"/>
      <c r="H472" s="166"/>
      <c r="I472" s="166"/>
    </row>
    <row r="473" spans="3:9" ht="15.75" customHeight="1" x14ac:dyDescent="0.25">
      <c r="C473" s="164"/>
      <c r="D473" s="164"/>
      <c r="E473" s="165"/>
      <c r="H473" s="166"/>
      <c r="I473" s="166"/>
    </row>
    <row r="474" spans="3:9" ht="15.75" customHeight="1" x14ac:dyDescent="0.25">
      <c r="C474" s="164"/>
      <c r="D474" s="164"/>
      <c r="E474" s="165"/>
      <c r="H474" s="166"/>
      <c r="I474" s="166"/>
    </row>
    <row r="475" spans="3:9" ht="15.75" customHeight="1" x14ac:dyDescent="0.25">
      <c r="C475" s="164"/>
      <c r="D475" s="164"/>
      <c r="E475" s="165"/>
      <c r="H475" s="166"/>
      <c r="I475" s="166"/>
    </row>
    <row r="476" spans="3:9" ht="15.75" customHeight="1" x14ac:dyDescent="0.25">
      <c r="C476" s="164"/>
      <c r="D476" s="164"/>
      <c r="E476" s="165"/>
      <c r="H476" s="166"/>
      <c r="I476" s="166"/>
    </row>
    <row r="477" spans="3:9" ht="15.75" customHeight="1" x14ac:dyDescent="0.25">
      <c r="C477" s="164"/>
      <c r="D477" s="164"/>
      <c r="E477" s="165"/>
      <c r="H477" s="166"/>
      <c r="I477" s="166"/>
    </row>
    <row r="478" spans="3:9" ht="15.75" customHeight="1" x14ac:dyDescent="0.25">
      <c r="C478" s="164"/>
      <c r="D478" s="164"/>
      <c r="E478" s="165"/>
      <c r="H478" s="166"/>
      <c r="I478" s="166"/>
    </row>
    <row r="479" spans="3:9" ht="15.75" customHeight="1" x14ac:dyDescent="0.25">
      <c r="C479" s="164"/>
      <c r="D479" s="164"/>
      <c r="E479" s="165"/>
      <c r="H479" s="166"/>
      <c r="I479" s="166"/>
    </row>
    <row r="480" spans="3:9" ht="15.75" customHeight="1" x14ac:dyDescent="0.25">
      <c r="C480" s="164"/>
      <c r="D480" s="164"/>
      <c r="E480" s="165"/>
      <c r="H480" s="166"/>
      <c r="I480" s="166"/>
    </row>
    <row r="481" spans="3:9" ht="15.75" customHeight="1" x14ac:dyDescent="0.25">
      <c r="C481" s="164"/>
      <c r="D481" s="164"/>
      <c r="E481" s="165"/>
      <c r="H481" s="166"/>
      <c r="I481" s="166"/>
    </row>
    <row r="482" spans="3:9" ht="15.75" customHeight="1" x14ac:dyDescent="0.25">
      <c r="C482" s="164"/>
      <c r="D482" s="164"/>
      <c r="E482" s="165"/>
      <c r="H482" s="166"/>
      <c r="I482" s="166"/>
    </row>
    <row r="483" spans="3:9" ht="15.75" customHeight="1" x14ac:dyDescent="0.25">
      <c r="C483" s="164"/>
      <c r="D483" s="164"/>
      <c r="E483" s="165"/>
      <c r="H483" s="166"/>
      <c r="I483" s="166"/>
    </row>
    <row r="484" spans="3:9" ht="15.75" customHeight="1" x14ac:dyDescent="0.25">
      <c r="C484" s="164"/>
      <c r="D484" s="164"/>
      <c r="E484" s="165"/>
      <c r="H484" s="166"/>
      <c r="I484" s="166"/>
    </row>
    <row r="485" spans="3:9" ht="15.75" customHeight="1" x14ac:dyDescent="0.25">
      <c r="C485" s="164"/>
      <c r="D485" s="164"/>
      <c r="E485" s="165"/>
      <c r="H485" s="166"/>
      <c r="I485" s="166"/>
    </row>
    <row r="486" spans="3:9" ht="15.75" customHeight="1" x14ac:dyDescent="0.25">
      <c r="C486" s="164"/>
      <c r="D486" s="164"/>
      <c r="E486" s="165"/>
      <c r="H486" s="166"/>
      <c r="I486" s="166"/>
    </row>
    <row r="487" spans="3:9" ht="15.75" customHeight="1" x14ac:dyDescent="0.25">
      <c r="C487" s="164"/>
      <c r="D487" s="164"/>
      <c r="E487" s="165"/>
      <c r="H487" s="166"/>
      <c r="I487" s="166"/>
    </row>
    <row r="488" spans="3:9" ht="15.75" customHeight="1" x14ac:dyDescent="0.25">
      <c r="C488" s="164"/>
      <c r="D488" s="164"/>
      <c r="E488" s="165"/>
      <c r="H488" s="166"/>
      <c r="I488" s="166"/>
    </row>
    <row r="489" spans="3:9" ht="15.75" customHeight="1" x14ac:dyDescent="0.25">
      <c r="C489" s="164"/>
      <c r="D489" s="164"/>
      <c r="E489" s="165"/>
      <c r="H489" s="166"/>
      <c r="I489" s="166"/>
    </row>
    <row r="490" spans="3:9" ht="15.75" customHeight="1" x14ac:dyDescent="0.25">
      <c r="C490" s="164"/>
      <c r="D490" s="164"/>
      <c r="E490" s="165"/>
      <c r="H490" s="166"/>
      <c r="I490" s="166"/>
    </row>
    <row r="491" spans="3:9" ht="15.75" customHeight="1" x14ac:dyDescent="0.25">
      <c r="C491" s="164"/>
      <c r="D491" s="164"/>
      <c r="E491" s="165"/>
      <c r="H491" s="166"/>
      <c r="I491" s="166"/>
    </row>
    <row r="492" spans="3:9" ht="15.75" customHeight="1" x14ac:dyDescent="0.25">
      <c r="C492" s="164"/>
      <c r="D492" s="164"/>
      <c r="E492" s="165"/>
      <c r="H492" s="166"/>
      <c r="I492" s="166"/>
    </row>
    <row r="493" spans="3:9" ht="15.75" customHeight="1" x14ac:dyDescent="0.25">
      <c r="C493" s="164"/>
      <c r="D493" s="164"/>
      <c r="E493" s="165"/>
      <c r="H493" s="166"/>
      <c r="I493" s="166"/>
    </row>
    <row r="494" spans="3:9" ht="15.75" customHeight="1" x14ac:dyDescent="0.25">
      <c r="C494" s="164"/>
      <c r="D494" s="164"/>
      <c r="E494" s="165"/>
      <c r="H494" s="166"/>
      <c r="I494" s="166"/>
    </row>
    <row r="495" spans="3:9" ht="15.75" customHeight="1" x14ac:dyDescent="0.25">
      <c r="C495" s="164"/>
      <c r="D495" s="164"/>
      <c r="E495" s="165"/>
      <c r="H495" s="166"/>
      <c r="I495" s="166"/>
    </row>
    <row r="496" spans="3:9" ht="15.75" customHeight="1" x14ac:dyDescent="0.25">
      <c r="C496" s="164"/>
      <c r="D496" s="164"/>
      <c r="E496" s="165"/>
      <c r="H496" s="166"/>
      <c r="I496" s="166"/>
    </row>
    <row r="497" spans="3:9" ht="15.75" customHeight="1" x14ac:dyDescent="0.25">
      <c r="C497" s="164"/>
      <c r="D497" s="164"/>
      <c r="E497" s="165"/>
      <c r="H497" s="166"/>
      <c r="I497" s="166"/>
    </row>
    <row r="498" spans="3:9" ht="15.75" customHeight="1" x14ac:dyDescent="0.25">
      <c r="C498" s="164"/>
      <c r="D498" s="164"/>
      <c r="E498" s="165"/>
      <c r="H498" s="166"/>
      <c r="I498" s="166"/>
    </row>
    <row r="499" spans="3:9" ht="15.75" customHeight="1" x14ac:dyDescent="0.25">
      <c r="C499" s="164"/>
      <c r="D499" s="164"/>
      <c r="E499" s="165"/>
      <c r="H499" s="166"/>
      <c r="I499" s="166"/>
    </row>
    <row r="500" spans="3:9" ht="15.75" customHeight="1" x14ac:dyDescent="0.25">
      <c r="C500" s="164"/>
      <c r="D500" s="164"/>
      <c r="E500" s="165"/>
      <c r="H500" s="166"/>
      <c r="I500" s="166"/>
    </row>
    <row r="501" spans="3:9" ht="15.75" customHeight="1" x14ac:dyDescent="0.25">
      <c r="C501" s="164"/>
      <c r="D501" s="164"/>
      <c r="E501" s="165"/>
      <c r="H501" s="166"/>
      <c r="I501" s="166"/>
    </row>
    <row r="502" spans="3:9" ht="15.75" customHeight="1" x14ac:dyDescent="0.25">
      <c r="C502" s="164"/>
      <c r="D502" s="164"/>
      <c r="E502" s="165"/>
      <c r="H502" s="166"/>
      <c r="I502" s="166"/>
    </row>
    <row r="503" spans="3:9" ht="15.75" customHeight="1" x14ac:dyDescent="0.25">
      <c r="C503" s="164"/>
      <c r="D503" s="164"/>
      <c r="E503" s="165"/>
      <c r="H503" s="166"/>
      <c r="I503" s="166"/>
    </row>
    <row r="504" spans="3:9" ht="15.75" customHeight="1" x14ac:dyDescent="0.25">
      <c r="C504" s="164"/>
      <c r="D504" s="164"/>
      <c r="E504" s="165"/>
      <c r="H504" s="166"/>
      <c r="I504" s="166"/>
    </row>
    <row r="505" spans="3:9" ht="15.75" customHeight="1" x14ac:dyDescent="0.25">
      <c r="C505" s="164"/>
      <c r="D505" s="164"/>
      <c r="E505" s="165"/>
      <c r="H505" s="166"/>
      <c r="I505" s="166"/>
    </row>
    <row r="506" spans="3:9" ht="15.75" customHeight="1" x14ac:dyDescent="0.25">
      <c r="C506" s="164"/>
      <c r="D506" s="164"/>
      <c r="E506" s="165"/>
      <c r="H506" s="166"/>
      <c r="I506" s="166"/>
    </row>
    <row r="507" spans="3:9" ht="15.75" customHeight="1" x14ac:dyDescent="0.25">
      <c r="C507" s="164"/>
      <c r="D507" s="164"/>
      <c r="E507" s="165"/>
      <c r="H507" s="166"/>
      <c r="I507" s="166"/>
    </row>
    <row r="508" spans="3:9" ht="15.75" customHeight="1" x14ac:dyDescent="0.25">
      <c r="C508" s="164"/>
      <c r="D508" s="164"/>
      <c r="E508" s="165"/>
      <c r="H508" s="166"/>
      <c r="I508" s="166"/>
    </row>
    <row r="509" spans="3:9" ht="15.75" customHeight="1" x14ac:dyDescent="0.25">
      <c r="C509" s="164"/>
      <c r="D509" s="164"/>
      <c r="E509" s="165"/>
      <c r="H509" s="166"/>
      <c r="I509" s="166"/>
    </row>
    <row r="510" spans="3:9" ht="15.75" customHeight="1" x14ac:dyDescent="0.25">
      <c r="C510" s="164"/>
      <c r="D510" s="164"/>
      <c r="E510" s="165"/>
      <c r="H510" s="166"/>
      <c r="I510" s="166"/>
    </row>
    <row r="511" spans="3:9" ht="15.75" customHeight="1" x14ac:dyDescent="0.25">
      <c r="C511" s="164"/>
      <c r="D511" s="164"/>
      <c r="E511" s="165"/>
      <c r="H511" s="166"/>
      <c r="I511" s="166"/>
    </row>
    <row r="512" spans="3:9" ht="15.75" customHeight="1" x14ac:dyDescent="0.25">
      <c r="C512" s="164"/>
      <c r="D512" s="164"/>
      <c r="E512" s="165"/>
      <c r="H512" s="166"/>
      <c r="I512" s="166"/>
    </row>
    <row r="513" spans="3:9" ht="15.75" customHeight="1" x14ac:dyDescent="0.25">
      <c r="C513" s="164"/>
      <c r="D513" s="164"/>
      <c r="E513" s="165"/>
      <c r="H513" s="166"/>
      <c r="I513" s="166"/>
    </row>
    <row r="514" spans="3:9" ht="15.75" customHeight="1" x14ac:dyDescent="0.25">
      <c r="C514" s="164"/>
      <c r="D514" s="164"/>
      <c r="E514" s="165"/>
      <c r="H514" s="166"/>
      <c r="I514" s="166"/>
    </row>
    <row r="515" spans="3:9" ht="15.75" customHeight="1" x14ac:dyDescent="0.25">
      <c r="C515" s="164"/>
      <c r="D515" s="164"/>
      <c r="E515" s="165"/>
      <c r="H515" s="166"/>
      <c r="I515" s="166"/>
    </row>
    <row r="516" spans="3:9" ht="15.75" customHeight="1" x14ac:dyDescent="0.25">
      <c r="C516" s="164"/>
      <c r="D516" s="164"/>
      <c r="E516" s="165"/>
      <c r="H516" s="166"/>
      <c r="I516" s="166"/>
    </row>
    <row r="517" spans="3:9" ht="15.75" customHeight="1" x14ac:dyDescent="0.25">
      <c r="C517" s="164"/>
      <c r="D517" s="164"/>
      <c r="E517" s="165"/>
      <c r="H517" s="166"/>
      <c r="I517" s="166"/>
    </row>
    <row r="518" spans="3:9" ht="15.75" customHeight="1" x14ac:dyDescent="0.25">
      <c r="C518" s="164"/>
      <c r="D518" s="164"/>
      <c r="E518" s="165"/>
      <c r="H518" s="166"/>
      <c r="I518" s="166"/>
    </row>
    <row r="519" spans="3:9" ht="15.75" customHeight="1" x14ac:dyDescent="0.25">
      <c r="C519" s="164"/>
      <c r="D519" s="164"/>
      <c r="E519" s="165"/>
      <c r="H519" s="166"/>
      <c r="I519" s="166"/>
    </row>
    <row r="520" spans="3:9" ht="15.75" customHeight="1" x14ac:dyDescent="0.25">
      <c r="C520" s="164"/>
      <c r="D520" s="164"/>
      <c r="E520" s="165"/>
      <c r="H520" s="166"/>
      <c r="I520" s="166"/>
    </row>
    <row r="521" spans="3:9" ht="15.75" customHeight="1" x14ac:dyDescent="0.25">
      <c r="C521" s="164"/>
      <c r="D521" s="164"/>
      <c r="E521" s="165"/>
      <c r="H521" s="166"/>
      <c r="I521" s="166"/>
    </row>
    <row r="522" spans="3:9" ht="15.75" customHeight="1" x14ac:dyDescent="0.25">
      <c r="C522" s="164"/>
      <c r="D522" s="164"/>
      <c r="E522" s="165"/>
      <c r="H522" s="166"/>
      <c r="I522" s="166"/>
    </row>
    <row r="523" spans="3:9" ht="15.75" customHeight="1" x14ac:dyDescent="0.25">
      <c r="C523" s="164"/>
      <c r="D523" s="164"/>
      <c r="E523" s="165"/>
      <c r="H523" s="166"/>
      <c r="I523" s="166"/>
    </row>
    <row r="524" spans="3:9" ht="15.75" customHeight="1" x14ac:dyDescent="0.25">
      <c r="C524" s="164"/>
      <c r="D524" s="164"/>
      <c r="E524" s="165"/>
      <c r="H524" s="166"/>
      <c r="I524" s="166"/>
    </row>
    <row r="525" spans="3:9" ht="15.75" customHeight="1" x14ac:dyDescent="0.25">
      <c r="C525" s="164"/>
      <c r="D525" s="164"/>
      <c r="E525" s="165"/>
      <c r="H525" s="166"/>
      <c r="I525" s="166"/>
    </row>
    <row r="526" spans="3:9" ht="15.75" customHeight="1" x14ac:dyDescent="0.25">
      <c r="C526" s="164"/>
      <c r="D526" s="164"/>
      <c r="E526" s="165"/>
      <c r="H526" s="166"/>
      <c r="I526" s="166"/>
    </row>
    <row r="527" spans="3:9" ht="15.75" customHeight="1" x14ac:dyDescent="0.25">
      <c r="C527" s="164"/>
      <c r="D527" s="164"/>
      <c r="E527" s="165"/>
      <c r="H527" s="166"/>
      <c r="I527" s="166"/>
    </row>
    <row r="528" spans="3:9" ht="15.75" customHeight="1" x14ac:dyDescent="0.25">
      <c r="C528" s="164"/>
      <c r="D528" s="164"/>
      <c r="E528" s="165"/>
      <c r="H528" s="166"/>
      <c r="I528" s="166"/>
    </row>
    <row r="529" spans="3:9" ht="15.75" customHeight="1" x14ac:dyDescent="0.25">
      <c r="C529" s="164"/>
      <c r="D529" s="164"/>
      <c r="E529" s="165"/>
      <c r="H529" s="166"/>
      <c r="I529" s="166"/>
    </row>
    <row r="530" spans="3:9" ht="15.75" customHeight="1" x14ac:dyDescent="0.25">
      <c r="C530" s="164"/>
      <c r="D530" s="164"/>
      <c r="E530" s="165"/>
      <c r="H530" s="166"/>
      <c r="I530" s="166"/>
    </row>
    <row r="531" spans="3:9" ht="15.75" customHeight="1" x14ac:dyDescent="0.25">
      <c r="C531" s="164"/>
      <c r="D531" s="164"/>
      <c r="E531" s="165"/>
      <c r="H531" s="166"/>
      <c r="I531" s="166"/>
    </row>
    <row r="532" spans="3:9" ht="15.75" customHeight="1" x14ac:dyDescent="0.25">
      <c r="C532" s="164"/>
      <c r="D532" s="164"/>
      <c r="E532" s="165"/>
      <c r="H532" s="166"/>
      <c r="I532" s="166"/>
    </row>
    <row r="533" spans="3:9" ht="15.75" customHeight="1" x14ac:dyDescent="0.25">
      <c r="C533" s="164"/>
      <c r="D533" s="164"/>
      <c r="E533" s="165"/>
      <c r="H533" s="166"/>
      <c r="I533" s="166"/>
    </row>
    <row r="534" spans="3:9" ht="15.75" customHeight="1" x14ac:dyDescent="0.25">
      <c r="C534" s="164"/>
      <c r="D534" s="164"/>
      <c r="E534" s="165"/>
      <c r="H534" s="166"/>
      <c r="I534" s="166"/>
    </row>
    <row r="535" spans="3:9" ht="15.75" customHeight="1" x14ac:dyDescent="0.25">
      <c r="C535" s="164"/>
      <c r="D535" s="164"/>
      <c r="E535" s="165"/>
      <c r="H535" s="166"/>
      <c r="I535" s="166"/>
    </row>
    <row r="536" spans="3:9" ht="15.75" customHeight="1" x14ac:dyDescent="0.25">
      <c r="C536" s="164"/>
      <c r="D536" s="164"/>
      <c r="E536" s="165"/>
      <c r="H536" s="166"/>
      <c r="I536" s="166"/>
    </row>
    <row r="537" spans="3:9" ht="15.75" customHeight="1" x14ac:dyDescent="0.25">
      <c r="C537" s="164"/>
      <c r="D537" s="164"/>
      <c r="E537" s="165"/>
      <c r="H537" s="166"/>
      <c r="I537" s="166"/>
    </row>
    <row r="538" spans="3:9" ht="15.75" customHeight="1" x14ac:dyDescent="0.25">
      <c r="C538" s="164"/>
      <c r="D538" s="164"/>
      <c r="E538" s="165"/>
      <c r="H538" s="166"/>
      <c r="I538" s="166"/>
    </row>
    <row r="539" spans="3:9" ht="15.75" customHeight="1" x14ac:dyDescent="0.25">
      <c r="C539" s="164"/>
      <c r="D539" s="164"/>
      <c r="E539" s="165"/>
      <c r="H539" s="166"/>
      <c r="I539" s="166"/>
    </row>
    <row r="540" spans="3:9" ht="15.75" customHeight="1" x14ac:dyDescent="0.25">
      <c r="C540" s="164"/>
      <c r="D540" s="164"/>
      <c r="E540" s="165"/>
      <c r="H540" s="166"/>
      <c r="I540" s="166"/>
    </row>
    <row r="541" spans="3:9" ht="15.75" customHeight="1" x14ac:dyDescent="0.25">
      <c r="C541" s="164"/>
      <c r="D541" s="164"/>
      <c r="E541" s="165"/>
      <c r="H541" s="166"/>
      <c r="I541" s="166"/>
    </row>
    <row r="542" spans="3:9" ht="15.75" customHeight="1" x14ac:dyDescent="0.25">
      <c r="C542" s="164"/>
      <c r="D542" s="164"/>
      <c r="E542" s="165"/>
      <c r="H542" s="166"/>
      <c r="I542" s="166"/>
    </row>
    <row r="543" spans="3:9" ht="15.75" customHeight="1" x14ac:dyDescent="0.25">
      <c r="C543" s="164"/>
      <c r="D543" s="164"/>
      <c r="E543" s="165"/>
      <c r="H543" s="166"/>
      <c r="I543" s="166"/>
    </row>
    <row r="544" spans="3:9" ht="15.75" customHeight="1" x14ac:dyDescent="0.25">
      <c r="C544" s="164"/>
      <c r="D544" s="164"/>
      <c r="E544" s="165"/>
      <c r="H544" s="166"/>
      <c r="I544" s="166"/>
    </row>
    <row r="545" spans="3:9" ht="15.75" customHeight="1" x14ac:dyDescent="0.25">
      <c r="C545" s="164"/>
      <c r="D545" s="164"/>
      <c r="E545" s="165"/>
      <c r="H545" s="166"/>
      <c r="I545" s="166"/>
    </row>
    <row r="546" spans="3:9" ht="15.75" customHeight="1" x14ac:dyDescent="0.25">
      <c r="C546" s="164"/>
      <c r="D546" s="164"/>
      <c r="E546" s="165"/>
      <c r="H546" s="166"/>
      <c r="I546" s="166"/>
    </row>
    <row r="547" spans="3:9" ht="15.75" customHeight="1" x14ac:dyDescent="0.25">
      <c r="C547" s="164"/>
      <c r="D547" s="164"/>
      <c r="E547" s="165"/>
      <c r="H547" s="166"/>
      <c r="I547" s="166"/>
    </row>
    <row r="548" spans="3:9" ht="15.75" customHeight="1" x14ac:dyDescent="0.25">
      <c r="C548" s="164"/>
      <c r="D548" s="164"/>
      <c r="E548" s="165"/>
      <c r="H548" s="166"/>
      <c r="I548" s="166"/>
    </row>
    <row r="549" spans="3:9" ht="15.75" customHeight="1" x14ac:dyDescent="0.25">
      <c r="C549" s="164"/>
      <c r="D549" s="164"/>
      <c r="E549" s="165"/>
      <c r="H549" s="166"/>
      <c r="I549" s="166"/>
    </row>
    <row r="550" spans="3:9" ht="15.75" customHeight="1" x14ac:dyDescent="0.25">
      <c r="C550" s="164"/>
      <c r="D550" s="164"/>
      <c r="E550" s="165"/>
      <c r="H550" s="166"/>
      <c r="I550" s="166"/>
    </row>
    <row r="551" spans="3:9" ht="15.75" customHeight="1" x14ac:dyDescent="0.25">
      <c r="C551" s="164"/>
      <c r="D551" s="164"/>
      <c r="E551" s="165"/>
      <c r="H551" s="166"/>
      <c r="I551" s="166"/>
    </row>
    <row r="552" spans="3:9" ht="15.75" customHeight="1" x14ac:dyDescent="0.25">
      <c r="C552" s="164"/>
      <c r="D552" s="164"/>
      <c r="E552" s="165"/>
      <c r="H552" s="166"/>
      <c r="I552" s="166"/>
    </row>
    <row r="553" spans="3:9" ht="15.75" customHeight="1" x14ac:dyDescent="0.25">
      <c r="C553" s="164"/>
      <c r="D553" s="164"/>
      <c r="E553" s="165"/>
      <c r="H553" s="166"/>
      <c r="I553" s="166"/>
    </row>
    <row r="554" spans="3:9" ht="15.75" customHeight="1" x14ac:dyDescent="0.25">
      <c r="C554" s="164"/>
      <c r="D554" s="164"/>
      <c r="E554" s="165"/>
      <c r="H554" s="166"/>
      <c r="I554" s="166"/>
    </row>
    <row r="555" spans="3:9" ht="15.75" customHeight="1" x14ac:dyDescent="0.25">
      <c r="C555" s="164"/>
      <c r="D555" s="164"/>
      <c r="E555" s="165"/>
      <c r="H555" s="166"/>
      <c r="I555" s="166"/>
    </row>
    <row r="556" spans="3:9" ht="15.75" customHeight="1" x14ac:dyDescent="0.25">
      <c r="C556" s="164"/>
      <c r="D556" s="164"/>
      <c r="E556" s="165"/>
      <c r="H556" s="166"/>
      <c r="I556" s="166"/>
    </row>
    <row r="557" spans="3:9" ht="15.75" customHeight="1" x14ac:dyDescent="0.25">
      <c r="C557" s="164"/>
      <c r="D557" s="164"/>
      <c r="E557" s="165"/>
      <c r="H557" s="166"/>
      <c r="I557" s="166"/>
    </row>
    <row r="558" spans="3:9" ht="15.75" customHeight="1" x14ac:dyDescent="0.25">
      <c r="C558" s="164"/>
      <c r="D558" s="164"/>
      <c r="E558" s="165"/>
      <c r="H558" s="166"/>
      <c r="I558" s="166"/>
    </row>
    <row r="559" spans="3:9" ht="15.75" customHeight="1" x14ac:dyDescent="0.25">
      <c r="C559" s="164"/>
      <c r="D559" s="164"/>
      <c r="E559" s="165"/>
      <c r="H559" s="166"/>
      <c r="I559" s="166"/>
    </row>
    <row r="560" spans="3:9" ht="15.75" customHeight="1" x14ac:dyDescent="0.25">
      <c r="C560" s="164"/>
      <c r="D560" s="164"/>
      <c r="E560" s="165"/>
      <c r="H560" s="166"/>
      <c r="I560" s="166"/>
    </row>
    <row r="561" spans="3:9" ht="15.75" customHeight="1" x14ac:dyDescent="0.25">
      <c r="C561" s="164"/>
      <c r="D561" s="164"/>
      <c r="E561" s="165"/>
      <c r="H561" s="166"/>
      <c r="I561" s="166"/>
    </row>
    <row r="562" spans="3:9" ht="15.75" customHeight="1" x14ac:dyDescent="0.25">
      <c r="C562" s="164"/>
      <c r="D562" s="164"/>
      <c r="E562" s="165"/>
      <c r="H562" s="166"/>
      <c r="I562" s="166"/>
    </row>
    <row r="563" spans="3:9" ht="15.75" customHeight="1" x14ac:dyDescent="0.25">
      <c r="C563" s="164"/>
      <c r="D563" s="164"/>
      <c r="E563" s="165"/>
      <c r="H563" s="166"/>
      <c r="I563" s="166"/>
    </row>
    <row r="564" spans="3:9" ht="15.75" customHeight="1" x14ac:dyDescent="0.25">
      <c r="C564" s="164"/>
      <c r="D564" s="164"/>
      <c r="E564" s="165"/>
      <c r="H564" s="166"/>
      <c r="I564" s="166"/>
    </row>
    <row r="565" spans="3:9" ht="15.75" customHeight="1" x14ac:dyDescent="0.25">
      <c r="C565" s="164"/>
      <c r="D565" s="164"/>
      <c r="E565" s="165"/>
      <c r="H565" s="166"/>
      <c r="I565" s="166"/>
    </row>
    <row r="566" spans="3:9" ht="15.75" customHeight="1" x14ac:dyDescent="0.25">
      <c r="C566" s="164"/>
      <c r="D566" s="164"/>
      <c r="E566" s="165"/>
      <c r="H566" s="166"/>
      <c r="I566" s="166"/>
    </row>
    <row r="567" spans="3:9" ht="15.75" customHeight="1" x14ac:dyDescent="0.25">
      <c r="C567" s="164"/>
      <c r="D567" s="164"/>
      <c r="E567" s="165"/>
      <c r="H567" s="166"/>
      <c r="I567" s="166"/>
    </row>
    <row r="568" spans="3:9" ht="15.75" customHeight="1" x14ac:dyDescent="0.25">
      <c r="C568" s="164"/>
      <c r="D568" s="164"/>
      <c r="E568" s="165"/>
      <c r="H568" s="166"/>
      <c r="I568" s="166"/>
    </row>
    <row r="569" spans="3:9" ht="15.75" customHeight="1" x14ac:dyDescent="0.25">
      <c r="C569" s="164"/>
      <c r="D569" s="164"/>
      <c r="E569" s="165"/>
      <c r="H569" s="166"/>
      <c r="I569" s="166"/>
    </row>
    <row r="570" spans="3:9" ht="15.75" customHeight="1" x14ac:dyDescent="0.25">
      <c r="C570" s="164"/>
      <c r="D570" s="164"/>
      <c r="E570" s="165"/>
      <c r="H570" s="166"/>
      <c r="I570" s="166"/>
    </row>
    <row r="571" spans="3:9" ht="15.75" customHeight="1" x14ac:dyDescent="0.25">
      <c r="C571" s="164"/>
      <c r="D571" s="164"/>
      <c r="E571" s="165"/>
      <c r="H571" s="166"/>
      <c r="I571" s="166"/>
    </row>
    <row r="572" spans="3:9" ht="15.75" customHeight="1" x14ac:dyDescent="0.25">
      <c r="C572" s="164"/>
      <c r="D572" s="164"/>
      <c r="E572" s="165"/>
      <c r="H572" s="166"/>
      <c r="I572" s="166"/>
    </row>
    <row r="573" spans="3:9" ht="15.75" customHeight="1" x14ac:dyDescent="0.25">
      <c r="C573" s="164"/>
      <c r="D573" s="164"/>
      <c r="E573" s="165"/>
      <c r="H573" s="166"/>
      <c r="I573" s="166"/>
    </row>
    <row r="574" spans="3:9" ht="15.75" customHeight="1" x14ac:dyDescent="0.25">
      <c r="C574" s="164"/>
      <c r="D574" s="164"/>
      <c r="E574" s="165"/>
      <c r="H574" s="166"/>
      <c r="I574" s="166"/>
    </row>
    <row r="575" spans="3:9" ht="15.75" customHeight="1" x14ac:dyDescent="0.25">
      <c r="C575" s="164"/>
      <c r="D575" s="164"/>
      <c r="E575" s="165"/>
      <c r="H575" s="166"/>
      <c r="I575" s="166"/>
    </row>
    <row r="576" spans="3:9" ht="15.75" customHeight="1" x14ac:dyDescent="0.25">
      <c r="C576" s="164"/>
      <c r="D576" s="164"/>
      <c r="E576" s="165"/>
      <c r="H576" s="166"/>
      <c r="I576" s="166"/>
    </row>
    <row r="577" spans="3:9" ht="15.75" customHeight="1" x14ac:dyDescent="0.25">
      <c r="C577" s="164"/>
      <c r="D577" s="164"/>
      <c r="E577" s="165"/>
      <c r="H577" s="166"/>
      <c r="I577" s="166"/>
    </row>
    <row r="578" spans="3:9" ht="15.75" customHeight="1" x14ac:dyDescent="0.25">
      <c r="C578" s="164"/>
      <c r="D578" s="164"/>
      <c r="E578" s="165"/>
      <c r="H578" s="166"/>
      <c r="I578" s="166"/>
    </row>
    <row r="579" spans="3:9" ht="15.75" customHeight="1" x14ac:dyDescent="0.25">
      <c r="C579" s="164"/>
      <c r="D579" s="164"/>
      <c r="E579" s="165"/>
      <c r="H579" s="166"/>
      <c r="I579" s="166"/>
    </row>
    <row r="580" spans="3:9" ht="15.75" customHeight="1" x14ac:dyDescent="0.25">
      <c r="C580" s="164"/>
      <c r="D580" s="164"/>
      <c r="E580" s="165"/>
      <c r="H580" s="166"/>
      <c r="I580" s="166"/>
    </row>
    <row r="581" spans="3:9" ht="15.75" customHeight="1" x14ac:dyDescent="0.25">
      <c r="C581" s="164"/>
      <c r="D581" s="164"/>
      <c r="E581" s="165"/>
      <c r="H581" s="166"/>
      <c r="I581" s="166"/>
    </row>
    <row r="582" spans="3:9" ht="15.75" customHeight="1" x14ac:dyDescent="0.25">
      <c r="C582" s="164"/>
      <c r="D582" s="164"/>
      <c r="E582" s="165"/>
      <c r="H582" s="166"/>
      <c r="I582" s="166"/>
    </row>
    <row r="583" spans="3:9" ht="15.75" customHeight="1" x14ac:dyDescent="0.25">
      <c r="C583" s="164"/>
      <c r="D583" s="164"/>
      <c r="E583" s="165"/>
      <c r="H583" s="166"/>
      <c r="I583" s="166"/>
    </row>
    <row r="584" spans="3:9" ht="15.75" customHeight="1" x14ac:dyDescent="0.25">
      <c r="C584" s="164"/>
      <c r="D584" s="164"/>
      <c r="E584" s="165"/>
      <c r="H584" s="166"/>
      <c r="I584" s="166"/>
    </row>
    <row r="585" spans="3:9" ht="15.75" customHeight="1" x14ac:dyDescent="0.25">
      <c r="C585" s="164"/>
      <c r="D585" s="164"/>
      <c r="E585" s="165"/>
      <c r="H585" s="166"/>
      <c r="I585" s="166"/>
    </row>
    <row r="586" spans="3:9" ht="15.75" customHeight="1" x14ac:dyDescent="0.25">
      <c r="C586" s="164"/>
      <c r="D586" s="164"/>
      <c r="E586" s="165"/>
      <c r="H586" s="166"/>
      <c r="I586" s="166"/>
    </row>
    <row r="587" spans="3:9" ht="15.75" customHeight="1" x14ac:dyDescent="0.25">
      <c r="C587" s="164"/>
      <c r="D587" s="164"/>
      <c r="E587" s="165"/>
      <c r="H587" s="166"/>
      <c r="I587" s="166"/>
    </row>
    <row r="588" spans="3:9" ht="15.75" customHeight="1" x14ac:dyDescent="0.25">
      <c r="C588" s="164"/>
      <c r="D588" s="164"/>
      <c r="E588" s="165"/>
      <c r="H588" s="166"/>
      <c r="I588" s="166"/>
    </row>
    <row r="589" spans="3:9" ht="15.75" customHeight="1" x14ac:dyDescent="0.25">
      <c r="C589" s="164"/>
      <c r="D589" s="164"/>
      <c r="E589" s="165"/>
      <c r="H589" s="166"/>
      <c r="I589" s="166"/>
    </row>
    <row r="590" spans="3:9" ht="15.75" customHeight="1" x14ac:dyDescent="0.25">
      <c r="C590" s="164"/>
      <c r="D590" s="164"/>
      <c r="E590" s="165"/>
      <c r="H590" s="166"/>
      <c r="I590" s="166"/>
    </row>
    <row r="591" spans="3:9" ht="15.75" customHeight="1" x14ac:dyDescent="0.25">
      <c r="C591" s="164"/>
      <c r="D591" s="164"/>
      <c r="E591" s="165"/>
      <c r="H591" s="166"/>
      <c r="I591" s="166"/>
    </row>
    <row r="592" spans="3:9" ht="15.75" customHeight="1" x14ac:dyDescent="0.25">
      <c r="C592" s="164"/>
      <c r="D592" s="164"/>
      <c r="E592" s="165"/>
      <c r="H592" s="166"/>
      <c r="I592" s="166"/>
    </row>
    <row r="593" spans="3:9" ht="15.75" customHeight="1" x14ac:dyDescent="0.25">
      <c r="C593" s="164"/>
      <c r="D593" s="164"/>
      <c r="E593" s="165"/>
      <c r="H593" s="166"/>
      <c r="I593" s="166"/>
    </row>
    <row r="594" spans="3:9" ht="15.75" customHeight="1" x14ac:dyDescent="0.25">
      <c r="C594" s="164"/>
      <c r="D594" s="164"/>
      <c r="E594" s="165"/>
      <c r="H594" s="166"/>
      <c r="I594" s="166"/>
    </row>
    <row r="595" spans="3:9" ht="15.75" customHeight="1" x14ac:dyDescent="0.25">
      <c r="C595" s="164"/>
      <c r="D595" s="164"/>
      <c r="E595" s="165"/>
      <c r="H595" s="166"/>
      <c r="I595" s="166"/>
    </row>
    <row r="596" spans="3:9" ht="15.75" customHeight="1" x14ac:dyDescent="0.25">
      <c r="C596" s="164"/>
      <c r="D596" s="164"/>
      <c r="E596" s="165"/>
      <c r="H596" s="166"/>
      <c r="I596" s="166"/>
    </row>
    <row r="597" spans="3:9" ht="15.75" customHeight="1" x14ac:dyDescent="0.25">
      <c r="C597" s="164"/>
      <c r="D597" s="164"/>
      <c r="E597" s="165"/>
      <c r="H597" s="166"/>
      <c r="I597" s="166"/>
    </row>
    <row r="598" spans="3:9" ht="15.75" customHeight="1" x14ac:dyDescent="0.25">
      <c r="C598" s="164"/>
      <c r="D598" s="164"/>
      <c r="E598" s="165"/>
      <c r="H598" s="166"/>
      <c r="I598" s="166"/>
    </row>
    <row r="599" spans="3:9" ht="15.75" customHeight="1" x14ac:dyDescent="0.25">
      <c r="C599" s="164"/>
      <c r="D599" s="164"/>
      <c r="E599" s="165"/>
      <c r="H599" s="166"/>
      <c r="I599" s="166"/>
    </row>
    <row r="600" spans="3:9" ht="15.75" customHeight="1" x14ac:dyDescent="0.25">
      <c r="C600" s="164"/>
      <c r="D600" s="164"/>
      <c r="E600" s="165"/>
      <c r="H600" s="166"/>
      <c r="I600" s="166"/>
    </row>
    <row r="601" spans="3:9" ht="15.75" customHeight="1" x14ac:dyDescent="0.25">
      <c r="C601" s="164"/>
      <c r="D601" s="164"/>
      <c r="E601" s="165"/>
      <c r="H601" s="166"/>
      <c r="I601" s="166"/>
    </row>
    <row r="602" spans="3:9" ht="15.75" customHeight="1" x14ac:dyDescent="0.25">
      <c r="C602" s="164"/>
      <c r="D602" s="164"/>
      <c r="E602" s="165"/>
      <c r="H602" s="166"/>
      <c r="I602" s="166"/>
    </row>
    <row r="603" spans="3:9" ht="15.75" customHeight="1" x14ac:dyDescent="0.25">
      <c r="C603" s="164"/>
      <c r="D603" s="164"/>
      <c r="E603" s="165"/>
      <c r="H603" s="166"/>
      <c r="I603" s="166"/>
    </row>
    <row r="604" spans="3:9" ht="15.75" customHeight="1" x14ac:dyDescent="0.25">
      <c r="C604" s="164"/>
      <c r="D604" s="164"/>
      <c r="E604" s="165"/>
      <c r="H604" s="166"/>
      <c r="I604" s="166"/>
    </row>
    <row r="605" spans="3:9" ht="15.75" customHeight="1" x14ac:dyDescent="0.25">
      <c r="C605" s="164"/>
      <c r="D605" s="164"/>
      <c r="E605" s="165"/>
      <c r="H605" s="166"/>
      <c r="I605" s="166"/>
    </row>
    <row r="606" spans="3:9" ht="15.75" customHeight="1" x14ac:dyDescent="0.25">
      <c r="C606" s="164"/>
      <c r="D606" s="164"/>
      <c r="E606" s="165"/>
      <c r="H606" s="166"/>
      <c r="I606" s="166"/>
    </row>
    <row r="607" spans="3:9" ht="15.75" customHeight="1" x14ac:dyDescent="0.25">
      <c r="C607" s="164"/>
      <c r="D607" s="164"/>
      <c r="E607" s="165"/>
      <c r="H607" s="166"/>
      <c r="I607" s="166"/>
    </row>
    <row r="608" spans="3:9" ht="15.75" customHeight="1" x14ac:dyDescent="0.25">
      <c r="C608" s="164"/>
      <c r="D608" s="164"/>
      <c r="E608" s="165"/>
      <c r="H608" s="166"/>
      <c r="I608" s="166"/>
    </row>
    <row r="609" spans="3:9" ht="15.75" customHeight="1" x14ac:dyDescent="0.25">
      <c r="C609" s="164"/>
      <c r="D609" s="164"/>
      <c r="E609" s="165"/>
      <c r="H609" s="166"/>
      <c r="I609" s="166"/>
    </row>
    <row r="610" spans="3:9" ht="15.75" customHeight="1" x14ac:dyDescent="0.25">
      <c r="C610" s="164"/>
      <c r="D610" s="164"/>
      <c r="E610" s="165"/>
      <c r="H610" s="166"/>
      <c r="I610" s="166"/>
    </row>
    <row r="611" spans="3:9" ht="15.75" customHeight="1" x14ac:dyDescent="0.25">
      <c r="C611" s="164"/>
      <c r="D611" s="164"/>
      <c r="E611" s="165"/>
      <c r="H611" s="166"/>
      <c r="I611" s="166"/>
    </row>
    <row r="612" spans="3:9" ht="15.75" customHeight="1" x14ac:dyDescent="0.25">
      <c r="C612" s="164"/>
      <c r="D612" s="164"/>
      <c r="E612" s="165"/>
      <c r="H612" s="166"/>
      <c r="I612" s="166"/>
    </row>
    <row r="613" spans="3:9" ht="15.75" customHeight="1" x14ac:dyDescent="0.25">
      <c r="C613" s="164"/>
      <c r="D613" s="164"/>
      <c r="E613" s="165"/>
      <c r="H613" s="166"/>
      <c r="I613" s="166"/>
    </row>
    <row r="614" spans="3:9" ht="15.75" customHeight="1" x14ac:dyDescent="0.25">
      <c r="C614" s="164"/>
      <c r="D614" s="164"/>
      <c r="E614" s="165"/>
      <c r="H614" s="166"/>
      <c r="I614" s="166"/>
    </row>
    <row r="615" spans="3:9" ht="15.75" customHeight="1" x14ac:dyDescent="0.25">
      <c r="C615" s="164"/>
      <c r="D615" s="164"/>
      <c r="E615" s="165"/>
      <c r="H615" s="166"/>
      <c r="I615" s="166"/>
    </row>
    <row r="616" spans="3:9" ht="15.75" customHeight="1" x14ac:dyDescent="0.25">
      <c r="C616" s="164"/>
      <c r="D616" s="164"/>
      <c r="E616" s="165"/>
      <c r="H616" s="166"/>
      <c r="I616" s="166"/>
    </row>
    <row r="617" spans="3:9" ht="15.75" customHeight="1" x14ac:dyDescent="0.25">
      <c r="C617" s="164"/>
      <c r="D617" s="164"/>
      <c r="E617" s="165"/>
      <c r="H617" s="166"/>
      <c r="I617" s="166"/>
    </row>
    <row r="618" spans="3:9" ht="15.75" customHeight="1" x14ac:dyDescent="0.25">
      <c r="C618" s="164"/>
      <c r="D618" s="164"/>
      <c r="E618" s="165"/>
      <c r="H618" s="166"/>
      <c r="I618" s="166"/>
    </row>
    <row r="619" spans="3:9" ht="15.75" customHeight="1" x14ac:dyDescent="0.25">
      <c r="C619" s="164"/>
      <c r="D619" s="164"/>
      <c r="E619" s="165"/>
      <c r="H619" s="166"/>
      <c r="I619" s="166"/>
    </row>
    <row r="620" spans="3:9" ht="15.75" customHeight="1" x14ac:dyDescent="0.25">
      <c r="C620" s="164"/>
      <c r="D620" s="164"/>
      <c r="E620" s="165"/>
      <c r="H620" s="166"/>
      <c r="I620" s="166"/>
    </row>
    <row r="621" spans="3:9" ht="15.75" customHeight="1" x14ac:dyDescent="0.25">
      <c r="C621" s="164"/>
      <c r="D621" s="164"/>
      <c r="E621" s="165"/>
      <c r="H621" s="166"/>
      <c r="I621" s="166"/>
    </row>
    <row r="622" spans="3:9" ht="15.75" customHeight="1" x14ac:dyDescent="0.25">
      <c r="C622" s="164"/>
      <c r="D622" s="164"/>
      <c r="E622" s="165"/>
      <c r="H622" s="166"/>
      <c r="I622" s="166"/>
    </row>
    <row r="623" spans="3:9" ht="15.75" customHeight="1" x14ac:dyDescent="0.25">
      <c r="C623" s="164"/>
      <c r="D623" s="164"/>
      <c r="E623" s="165"/>
      <c r="H623" s="166"/>
      <c r="I623" s="166"/>
    </row>
    <row r="624" spans="3:9" ht="15.75" customHeight="1" x14ac:dyDescent="0.25">
      <c r="C624" s="164"/>
      <c r="D624" s="164"/>
      <c r="E624" s="165"/>
      <c r="H624" s="166"/>
      <c r="I624" s="166"/>
    </row>
    <row r="625" spans="3:9" ht="15.75" customHeight="1" x14ac:dyDescent="0.25">
      <c r="C625" s="164"/>
      <c r="D625" s="164"/>
      <c r="E625" s="165"/>
      <c r="H625" s="166"/>
      <c r="I625" s="166"/>
    </row>
    <row r="626" spans="3:9" ht="15.75" customHeight="1" x14ac:dyDescent="0.25">
      <c r="C626" s="164"/>
      <c r="D626" s="164"/>
      <c r="E626" s="165"/>
      <c r="H626" s="166"/>
      <c r="I626" s="166"/>
    </row>
    <row r="627" spans="3:9" ht="15.75" customHeight="1" x14ac:dyDescent="0.25">
      <c r="C627" s="164"/>
      <c r="D627" s="164"/>
      <c r="E627" s="165"/>
      <c r="H627" s="166"/>
      <c r="I627" s="166"/>
    </row>
    <row r="628" spans="3:9" ht="15.75" customHeight="1" x14ac:dyDescent="0.25">
      <c r="C628" s="164"/>
      <c r="D628" s="164"/>
      <c r="E628" s="165"/>
      <c r="H628" s="166"/>
      <c r="I628" s="166"/>
    </row>
    <row r="629" spans="3:9" ht="15.75" customHeight="1" x14ac:dyDescent="0.25">
      <c r="C629" s="164"/>
      <c r="D629" s="164"/>
      <c r="E629" s="165"/>
      <c r="H629" s="166"/>
      <c r="I629" s="166"/>
    </row>
    <row r="630" spans="3:9" ht="15.75" customHeight="1" x14ac:dyDescent="0.25">
      <c r="C630" s="164"/>
      <c r="D630" s="164"/>
      <c r="E630" s="165"/>
      <c r="H630" s="166"/>
      <c r="I630" s="166"/>
    </row>
    <row r="631" spans="3:9" ht="15.75" customHeight="1" x14ac:dyDescent="0.25">
      <c r="C631" s="164"/>
      <c r="D631" s="164"/>
      <c r="E631" s="165"/>
      <c r="H631" s="166"/>
      <c r="I631" s="166"/>
    </row>
    <row r="632" spans="3:9" ht="15.75" customHeight="1" x14ac:dyDescent="0.25">
      <c r="C632" s="164"/>
      <c r="D632" s="164"/>
      <c r="E632" s="165"/>
      <c r="H632" s="166"/>
      <c r="I632" s="166"/>
    </row>
    <row r="633" spans="3:9" ht="15.75" customHeight="1" x14ac:dyDescent="0.25">
      <c r="C633" s="164"/>
      <c r="D633" s="164"/>
      <c r="E633" s="165"/>
      <c r="H633" s="166"/>
      <c r="I633" s="166"/>
    </row>
    <row r="634" spans="3:9" ht="15.75" customHeight="1" x14ac:dyDescent="0.25">
      <c r="C634" s="164"/>
      <c r="D634" s="164"/>
      <c r="E634" s="165"/>
      <c r="H634" s="166"/>
      <c r="I634" s="166"/>
    </row>
    <row r="635" spans="3:9" ht="15.75" customHeight="1" x14ac:dyDescent="0.25">
      <c r="C635" s="164"/>
      <c r="D635" s="164"/>
      <c r="E635" s="165"/>
      <c r="H635" s="166"/>
      <c r="I635" s="166"/>
    </row>
    <row r="636" spans="3:9" ht="15.75" customHeight="1" x14ac:dyDescent="0.25">
      <c r="C636" s="164"/>
      <c r="D636" s="164"/>
      <c r="E636" s="165"/>
      <c r="H636" s="166"/>
      <c r="I636" s="166"/>
    </row>
    <row r="637" spans="3:9" ht="15.75" customHeight="1" x14ac:dyDescent="0.25">
      <c r="C637" s="164"/>
      <c r="D637" s="164"/>
      <c r="E637" s="165"/>
      <c r="H637" s="166"/>
      <c r="I637" s="166"/>
    </row>
    <row r="638" spans="3:9" ht="15.75" customHeight="1" x14ac:dyDescent="0.25">
      <c r="C638" s="164"/>
      <c r="D638" s="164"/>
      <c r="E638" s="165"/>
      <c r="H638" s="166"/>
      <c r="I638" s="166"/>
    </row>
    <row r="639" spans="3:9" ht="15.75" customHeight="1" x14ac:dyDescent="0.25">
      <c r="C639" s="164"/>
      <c r="D639" s="164"/>
      <c r="E639" s="165"/>
      <c r="H639" s="166"/>
      <c r="I639" s="166"/>
    </row>
    <row r="640" spans="3:9" ht="15.75" customHeight="1" x14ac:dyDescent="0.25">
      <c r="C640" s="164"/>
      <c r="D640" s="164"/>
      <c r="E640" s="165"/>
      <c r="H640" s="166"/>
      <c r="I640" s="166"/>
    </row>
    <row r="641" spans="3:9" ht="15.75" customHeight="1" x14ac:dyDescent="0.25">
      <c r="C641" s="164"/>
      <c r="D641" s="164"/>
      <c r="E641" s="165"/>
      <c r="H641" s="166"/>
      <c r="I641" s="166"/>
    </row>
    <row r="642" spans="3:9" ht="15.75" customHeight="1" x14ac:dyDescent="0.25">
      <c r="C642" s="164"/>
      <c r="D642" s="164"/>
      <c r="E642" s="165"/>
      <c r="H642" s="166"/>
      <c r="I642" s="166"/>
    </row>
    <row r="643" spans="3:9" ht="15.75" customHeight="1" x14ac:dyDescent="0.25">
      <c r="C643" s="164"/>
      <c r="D643" s="164"/>
      <c r="E643" s="165"/>
      <c r="H643" s="166"/>
      <c r="I643" s="166"/>
    </row>
    <row r="644" spans="3:9" ht="15.75" customHeight="1" x14ac:dyDescent="0.25">
      <c r="C644" s="164"/>
      <c r="D644" s="164"/>
      <c r="E644" s="165"/>
      <c r="H644" s="166"/>
      <c r="I644" s="166"/>
    </row>
    <row r="645" spans="3:9" ht="15.75" customHeight="1" x14ac:dyDescent="0.25">
      <c r="C645" s="164"/>
      <c r="D645" s="164"/>
      <c r="E645" s="165"/>
      <c r="H645" s="166"/>
      <c r="I645" s="166"/>
    </row>
    <row r="646" spans="3:9" ht="15.75" customHeight="1" x14ac:dyDescent="0.25">
      <c r="C646" s="164"/>
      <c r="D646" s="164"/>
      <c r="E646" s="165"/>
      <c r="H646" s="166"/>
      <c r="I646" s="166"/>
    </row>
    <row r="647" spans="3:9" ht="15.75" customHeight="1" x14ac:dyDescent="0.25">
      <c r="C647" s="164"/>
      <c r="D647" s="164"/>
      <c r="E647" s="165"/>
      <c r="H647" s="166"/>
      <c r="I647" s="166"/>
    </row>
    <row r="648" spans="3:9" ht="15.75" customHeight="1" x14ac:dyDescent="0.25">
      <c r="C648" s="164"/>
      <c r="D648" s="164"/>
      <c r="E648" s="165"/>
      <c r="H648" s="166"/>
      <c r="I648" s="166"/>
    </row>
    <row r="649" spans="3:9" ht="15.75" customHeight="1" x14ac:dyDescent="0.25">
      <c r="C649" s="164"/>
      <c r="D649" s="164"/>
      <c r="E649" s="165"/>
      <c r="H649" s="166"/>
      <c r="I649" s="166"/>
    </row>
    <row r="650" spans="3:9" ht="15.75" customHeight="1" x14ac:dyDescent="0.25">
      <c r="C650" s="164"/>
      <c r="D650" s="164"/>
      <c r="E650" s="165"/>
      <c r="H650" s="166"/>
      <c r="I650" s="166"/>
    </row>
    <row r="651" spans="3:9" ht="15.75" customHeight="1" x14ac:dyDescent="0.25">
      <c r="C651" s="164"/>
      <c r="D651" s="164"/>
      <c r="E651" s="165"/>
      <c r="H651" s="166"/>
      <c r="I651" s="166"/>
    </row>
    <row r="652" spans="3:9" ht="15.75" customHeight="1" x14ac:dyDescent="0.25">
      <c r="C652" s="164"/>
      <c r="D652" s="164"/>
      <c r="E652" s="165"/>
      <c r="H652" s="166"/>
      <c r="I652" s="166"/>
    </row>
    <row r="653" spans="3:9" ht="15.75" customHeight="1" x14ac:dyDescent="0.25">
      <c r="C653" s="164"/>
      <c r="D653" s="164"/>
      <c r="E653" s="165"/>
      <c r="H653" s="166"/>
      <c r="I653" s="166"/>
    </row>
    <row r="654" spans="3:9" ht="15.75" customHeight="1" x14ac:dyDescent="0.25">
      <c r="C654" s="164"/>
      <c r="D654" s="164"/>
      <c r="E654" s="165"/>
      <c r="H654" s="166"/>
      <c r="I654" s="166"/>
    </row>
    <row r="655" spans="3:9" ht="15.75" customHeight="1" x14ac:dyDescent="0.25">
      <c r="C655" s="164"/>
      <c r="D655" s="164"/>
      <c r="E655" s="165"/>
      <c r="H655" s="166"/>
      <c r="I655" s="166"/>
    </row>
    <row r="656" spans="3:9" ht="15.75" customHeight="1" x14ac:dyDescent="0.25">
      <c r="C656" s="164"/>
      <c r="D656" s="164"/>
      <c r="E656" s="165"/>
      <c r="H656" s="166"/>
      <c r="I656" s="166"/>
    </row>
    <row r="657" spans="3:9" ht="15.75" customHeight="1" x14ac:dyDescent="0.25">
      <c r="C657" s="164"/>
      <c r="D657" s="164"/>
      <c r="E657" s="165"/>
      <c r="H657" s="166"/>
      <c r="I657" s="166"/>
    </row>
    <row r="658" spans="3:9" ht="15.75" customHeight="1" x14ac:dyDescent="0.25">
      <c r="C658" s="164"/>
      <c r="D658" s="164"/>
      <c r="E658" s="165"/>
      <c r="H658" s="166"/>
      <c r="I658" s="166"/>
    </row>
    <row r="659" spans="3:9" ht="15.75" customHeight="1" x14ac:dyDescent="0.25">
      <c r="C659" s="164"/>
      <c r="D659" s="164"/>
      <c r="E659" s="165"/>
      <c r="H659" s="166"/>
      <c r="I659" s="166"/>
    </row>
    <row r="660" spans="3:9" ht="15.75" customHeight="1" x14ac:dyDescent="0.25">
      <c r="C660" s="164"/>
      <c r="D660" s="164"/>
      <c r="E660" s="165"/>
      <c r="H660" s="166"/>
      <c r="I660" s="166"/>
    </row>
    <row r="661" spans="3:9" ht="15.75" customHeight="1" x14ac:dyDescent="0.25">
      <c r="C661" s="164"/>
      <c r="D661" s="164"/>
      <c r="E661" s="165"/>
      <c r="H661" s="166"/>
      <c r="I661" s="166"/>
    </row>
    <row r="662" spans="3:9" ht="15.75" customHeight="1" x14ac:dyDescent="0.25">
      <c r="C662" s="164"/>
      <c r="D662" s="164"/>
      <c r="E662" s="165"/>
      <c r="H662" s="166"/>
      <c r="I662" s="166"/>
    </row>
    <row r="663" spans="3:9" ht="15.75" customHeight="1" x14ac:dyDescent="0.25">
      <c r="C663" s="164"/>
      <c r="D663" s="164"/>
      <c r="E663" s="165"/>
      <c r="H663" s="166"/>
      <c r="I663" s="166"/>
    </row>
    <row r="664" spans="3:9" ht="15.75" customHeight="1" x14ac:dyDescent="0.25">
      <c r="C664" s="164"/>
      <c r="D664" s="164"/>
      <c r="E664" s="165"/>
      <c r="H664" s="166"/>
      <c r="I664" s="166"/>
    </row>
    <row r="665" spans="3:9" ht="15.75" customHeight="1" x14ac:dyDescent="0.25">
      <c r="C665" s="164"/>
      <c r="D665" s="164"/>
      <c r="E665" s="165"/>
      <c r="H665" s="166"/>
      <c r="I665" s="166"/>
    </row>
    <row r="666" spans="3:9" ht="15.75" customHeight="1" x14ac:dyDescent="0.25">
      <c r="C666" s="164"/>
      <c r="D666" s="164"/>
      <c r="E666" s="165"/>
      <c r="H666" s="166"/>
      <c r="I666" s="166"/>
    </row>
    <row r="667" spans="3:9" ht="15.75" customHeight="1" x14ac:dyDescent="0.25">
      <c r="C667" s="164"/>
      <c r="D667" s="164"/>
      <c r="E667" s="165"/>
      <c r="H667" s="166"/>
      <c r="I667" s="166"/>
    </row>
    <row r="668" spans="3:9" ht="15.75" customHeight="1" x14ac:dyDescent="0.25">
      <c r="C668" s="164"/>
      <c r="D668" s="164"/>
      <c r="E668" s="165"/>
      <c r="H668" s="166"/>
      <c r="I668" s="166"/>
    </row>
    <row r="669" spans="3:9" ht="15.75" customHeight="1" x14ac:dyDescent="0.25">
      <c r="C669" s="164"/>
      <c r="D669" s="164"/>
      <c r="E669" s="165"/>
      <c r="H669" s="166"/>
      <c r="I669" s="166"/>
    </row>
    <row r="670" spans="3:9" ht="15.75" customHeight="1" x14ac:dyDescent="0.25">
      <c r="C670" s="164"/>
      <c r="D670" s="164"/>
      <c r="E670" s="165"/>
      <c r="H670" s="166"/>
      <c r="I670" s="166"/>
    </row>
    <row r="671" spans="3:9" ht="15.75" customHeight="1" x14ac:dyDescent="0.25">
      <c r="C671" s="164"/>
      <c r="D671" s="164"/>
      <c r="E671" s="165"/>
      <c r="H671" s="166"/>
      <c r="I671" s="166"/>
    </row>
    <row r="672" spans="3:9" ht="15.75" customHeight="1" x14ac:dyDescent="0.25">
      <c r="C672" s="164"/>
      <c r="D672" s="164"/>
      <c r="E672" s="165"/>
      <c r="H672" s="166"/>
      <c r="I672" s="166"/>
    </row>
    <row r="673" spans="3:9" ht="15.75" customHeight="1" x14ac:dyDescent="0.25">
      <c r="C673" s="164"/>
      <c r="D673" s="164"/>
      <c r="E673" s="165"/>
      <c r="H673" s="166"/>
      <c r="I673" s="166"/>
    </row>
    <row r="674" spans="3:9" ht="15.75" customHeight="1" x14ac:dyDescent="0.25">
      <c r="C674" s="164"/>
      <c r="D674" s="164"/>
      <c r="E674" s="165"/>
      <c r="H674" s="166"/>
      <c r="I674" s="166"/>
    </row>
    <row r="675" spans="3:9" ht="15.75" customHeight="1" x14ac:dyDescent="0.25">
      <c r="C675" s="164"/>
      <c r="D675" s="164"/>
      <c r="E675" s="165"/>
      <c r="H675" s="166"/>
      <c r="I675" s="166"/>
    </row>
    <row r="676" spans="3:9" ht="15.75" customHeight="1" x14ac:dyDescent="0.25">
      <c r="C676" s="164"/>
      <c r="D676" s="164"/>
      <c r="E676" s="165"/>
      <c r="H676" s="166"/>
      <c r="I676" s="166"/>
    </row>
    <row r="677" spans="3:9" ht="15.75" customHeight="1" x14ac:dyDescent="0.25">
      <c r="C677" s="164"/>
      <c r="D677" s="164"/>
      <c r="E677" s="165"/>
      <c r="H677" s="166"/>
      <c r="I677" s="166"/>
    </row>
    <row r="678" spans="3:9" ht="15.75" customHeight="1" x14ac:dyDescent="0.25">
      <c r="C678" s="164"/>
      <c r="D678" s="164"/>
      <c r="E678" s="165"/>
      <c r="H678" s="166"/>
      <c r="I678" s="166"/>
    </row>
    <row r="679" spans="3:9" ht="15.75" customHeight="1" x14ac:dyDescent="0.25">
      <c r="C679" s="164"/>
      <c r="D679" s="164"/>
      <c r="E679" s="165"/>
      <c r="H679" s="166"/>
      <c r="I679" s="166"/>
    </row>
    <row r="680" spans="3:9" ht="15.75" customHeight="1" x14ac:dyDescent="0.25">
      <c r="C680" s="164"/>
      <c r="D680" s="164"/>
      <c r="E680" s="165"/>
      <c r="H680" s="166"/>
      <c r="I680" s="166"/>
    </row>
    <row r="681" spans="3:9" ht="15.75" customHeight="1" x14ac:dyDescent="0.25">
      <c r="C681" s="164"/>
      <c r="D681" s="164"/>
      <c r="E681" s="165"/>
      <c r="H681" s="166"/>
      <c r="I681" s="166"/>
    </row>
    <row r="682" spans="3:9" ht="15.75" customHeight="1" x14ac:dyDescent="0.25">
      <c r="C682" s="164"/>
      <c r="D682" s="164"/>
      <c r="E682" s="165"/>
      <c r="H682" s="166"/>
      <c r="I682" s="166"/>
    </row>
    <row r="683" spans="3:9" ht="15.75" customHeight="1" x14ac:dyDescent="0.25">
      <c r="C683" s="164"/>
      <c r="D683" s="164"/>
      <c r="E683" s="165"/>
      <c r="H683" s="166"/>
      <c r="I683" s="166"/>
    </row>
    <row r="684" spans="3:9" ht="15.75" customHeight="1" x14ac:dyDescent="0.25">
      <c r="C684" s="164"/>
      <c r="D684" s="164"/>
      <c r="E684" s="165"/>
      <c r="H684" s="166"/>
      <c r="I684" s="166"/>
    </row>
    <row r="685" spans="3:9" ht="15.75" customHeight="1" x14ac:dyDescent="0.25">
      <c r="C685" s="164"/>
      <c r="D685" s="164"/>
      <c r="E685" s="165"/>
      <c r="H685" s="166"/>
      <c r="I685" s="166"/>
    </row>
    <row r="686" spans="3:9" ht="15.75" customHeight="1" x14ac:dyDescent="0.25">
      <c r="C686" s="164"/>
      <c r="D686" s="164"/>
      <c r="E686" s="165"/>
      <c r="H686" s="166"/>
      <c r="I686" s="166"/>
    </row>
    <row r="687" spans="3:9" ht="15.75" customHeight="1" x14ac:dyDescent="0.25">
      <c r="C687" s="164"/>
      <c r="D687" s="164"/>
      <c r="E687" s="165"/>
      <c r="H687" s="166"/>
      <c r="I687" s="166"/>
    </row>
    <row r="688" spans="3:9" ht="15.75" customHeight="1" x14ac:dyDescent="0.25">
      <c r="C688" s="164"/>
      <c r="D688" s="164"/>
      <c r="E688" s="165"/>
      <c r="H688" s="166"/>
      <c r="I688" s="166"/>
    </row>
    <row r="689" spans="3:9" ht="15.75" customHeight="1" x14ac:dyDescent="0.25">
      <c r="C689" s="164"/>
      <c r="D689" s="164"/>
      <c r="E689" s="165"/>
      <c r="H689" s="166"/>
      <c r="I689" s="166"/>
    </row>
    <row r="690" spans="3:9" ht="15.75" customHeight="1" x14ac:dyDescent="0.25">
      <c r="C690" s="164"/>
      <c r="D690" s="164"/>
      <c r="E690" s="165"/>
      <c r="H690" s="166"/>
      <c r="I690" s="166"/>
    </row>
    <row r="691" spans="3:9" ht="15.75" customHeight="1" x14ac:dyDescent="0.25">
      <c r="C691" s="164"/>
      <c r="D691" s="164"/>
      <c r="E691" s="165"/>
      <c r="H691" s="166"/>
      <c r="I691" s="166"/>
    </row>
    <row r="692" spans="3:9" ht="15.75" customHeight="1" x14ac:dyDescent="0.25">
      <c r="C692" s="164"/>
      <c r="D692" s="164"/>
      <c r="E692" s="165"/>
      <c r="H692" s="166"/>
      <c r="I692" s="166"/>
    </row>
    <row r="693" spans="3:9" ht="15.75" customHeight="1" x14ac:dyDescent="0.25">
      <c r="C693" s="164"/>
      <c r="D693" s="164"/>
      <c r="E693" s="165"/>
      <c r="H693" s="166"/>
      <c r="I693" s="166"/>
    </row>
    <row r="694" spans="3:9" ht="15.75" customHeight="1" x14ac:dyDescent="0.25">
      <c r="C694" s="164"/>
      <c r="D694" s="164"/>
      <c r="E694" s="165"/>
      <c r="H694" s="166"/>
      <c r="I694" s="166"/>
    </row>
    <row r="695" spans="3:9" ht="15.75" customHeight="1" x14ac:dyDescent="0.25">
      <c r="C695" s="164"/>
      <c r="D695" s="164"/>
      <c r="E695" s="165"/>
      <c r="H695" s="166"/>
      <c r="I695" s="166"/>
    </row>
    <row r="696" spans="3:9" ht="15.75" customHeight="1" x14ac:dyDescent="0.25">
      <c r="C696" s="164"/>
      <c r="D696" s="164"/>
      <c r="E696" s="165"/>
      <c r="H696" s="166"/>
      <c r="I696" s="166"/>
    </row>
    <row r="697" spans="3:9" ht="15.75" customHeight="1" x14ac:dyDescent="0.25">
      <c r="C697" s="164"/>
      <c r="D697" s="164"/>
      <c r="E697" s="165"/>
      <c r="H697" s="166"/>
      <c r="I697" s="166"/>
    </row>
    <row r="698" spans="3:9" ht="15.75" customHeight="1" x14ac:dyDescent="0.25">
      <c r="C698" s="164"/>
      <c r="D698" s="164"/>
      <c r="E698" s="165"/>
      <c r="H698" s="166"/>
      <c r="I698" s="166"/>
    </row>
    <row r="699" spans="3:9" ht="15.75" customHeight="1" x14ac:dyDescent="0.25">
      <c r="C699" s="164"/>
      <c r="D699" s="164"/>
      <c r="E699" s="165"/>
      <c r="H699" s="166"/>
      <c r="I699" s="166"/>
    </row>
    <row r="700" spans="3:9" ht="15.75" customHeight="1" x14ac:dyDescent="0.25">
      <c r="C700" s="164"/>
      <c r="D700" s="164"/>
      <c r="E700" s="165"/>
      <c r="H700" s="166"/>
      <c r="I700" s="166"/>
    </row>
    <row r="701" spans="3:9" ht="15.75" customHeight="1" x14ac:dyDescent="0.25">
      <c r="C701" s="164"/>
      <c r="D701" s="164"/>
      <c r="E701" s="165"/>
      <c r="H701" s="166"/>
      <c r="I701" s="166"/>
    </row>
    <row r="702" spans="3:9" ht="15.75" customHeight="1" x14ac:dyDescent="0.25">
      <c r="C702" s="164"/>
      <c r="D702" s="164"/>
      <c r="E702" s="165"/>
      <c r="H702" s="166"/>
      <c r="I702" s="166"/>
    </row>
    <row r="703" spans="3:9" ht="15.75" customHeight="1" x14ac:dyDescent="0.25">
      <c r="C703" s="164"/>
      <c r="D703" s="164"/>
      <c r="E703" s="165"/>
      <c r="H703" s="166"/>
      <c r="I703" s="166"/>
    </row>
    <row r="704" spans="3:9" ht="15.75" customHeight="1" x14ac:dyDescent="0.25">
      <c r="C704" s="164"/>
      <c r="D704" s="164"/>
      <c r="E704" s="165"/>
      <c r="H704" s="166"/>
      <c r="I704" s="166"/>
    </row>
    <row r="705" spans="3:9" ht="15.75" customHeight="1" x14ac:dyDescent="0.25">
      <c r="C705" s="164"/>
      <c r="D705" s="164"/>
      <c r="E705" s="165"/>
      <c r="H705" s="166"/>
      <c r="I705" s="166"/>
    </row>
    <row r="706" spans="3:9" ht="15.75" customHeight="1" x14ac:dyDescent="0.25">
      <c r="C706" s="164"/>
      <c r="D706" s="164"/>
      <c r="E706" s="165"/>
      <c r="H706" s="166"/>
      <c r="I706" s="166"/>
    </row>
    <row r="707" spans="3:9" ht="15.75" customHeight="1" x14ac:dyDescent="0.25">
      <c r="C707" s="164"/>
      <c r="D707" s="164"/>
      <c r="E707" s="165"/>
      <c r="H707" s="166"/>
      <c r="I707" s="166"/>
    </row>
    <row r="708" spans="3:9" ht="15.75" customHeight="1" x14ac:dyDescent="0.25">
      <c r="C708" s="164"/>
      <c r="D708" s="164"/>
      <c r="E708" s="165"/>
      <c r="H708" s="166"/>
      <c r="I708" s="166"/>
    </row>
    <row r="709" spans="3:9" ht="15.75" customHeight="1" x14ac:dyDescent="0.25">
      <c r="C709" s="164"/>
      <c r="D709" s="164"/>
      <c r="E709" s="165"/>
      <c r="H709" s="166"/>
      <c r="I709" s="166"/>
    </row>
    <row r="710" spans="3:9" ht="15.75" customHeight="1" x14ac:dyDescent="0.25">
      <c r="C710" s="164"/>
      <c r="D710" s="164"/>
      <c r="E710" s="165"/>
      <c r="H710" s="166"/>
      <c r="I710" s="166"/>
    </row>
    <row r="711" spans="3:9" ht="15.75" customHeight="1" x14ac:dyDescent="0.25">
      <c r="C711" s="164"/>
      <c r="D711" s="164"/>
      <c r="E711" s="165"/>
      <c r="H711" s="166"/>
      <c r="I711" s="166"/>
    </row>
    <row r="712" spans="3:9" ht="15.75" customHeight="1" x14ac:dyDescent="0.25">
      <c r="C712" s="164"/>
      <c r="D712" s="164"/>
      <c r="E712" s="165"/>
      <c r="H712" s="166"/>
      <c r="I712" s="166"/>
    </row>
    <row r="713" spans="3:9" ht="15.75" customHeight="1" x14ac:dyDescent="0.25">
      <c r="C713" s="164"/>
      <c r="D713" s="164"/>
      <c r="E713" s="165"/>
      <c r="H713" s="166"/>
      <c r="I713" s="166"/>
    </row>
    <row r="714" spans="3:9" ht="15.75" customHeight="1" x14ac:dyDescent="0.25">
      <c r="C714" s="164"/>
      <c r="D714" s="164"/>
      <c r="E714" s="165"/>
      <c r="H714" s="166"/>
      <c r="I714" s="166"/>
    </row>
    <row r="715" spans="3:9" ht="15.75" customHeight="1" x14ac:dyDescent="0.25">
      <c r="C715" s="164"/>
      <c r="D715" s="164"/>
      <c r="E715" s="165"/>
      <c r="H715" s="166"/>
      <c r="I715" s="166"/>
    </row>
    <row r="716" spans="3:9" ht="15.75" customHeight="1" x14ac:dyDescent="0.25">
      <c r="C716" s="164"/>
      <c r="D716" s="164"/>
      <c r="E716" s="165"/>
      <c r="H716" s="166"/>
      <c r="I716" s="166"/>
    </row>
    <row r="717" spans="3:9" ht="15.75" customHeight="1" x14ac:dyDescent="0.25">
      <c r="C717" s="164"/>
      <c r="D717" s="164"/>
      <c r="E717" s="165"/>
      <c r="H717" s="166"/>
      <c r="I717" s="166"/>
    </row>
    <row r="718" spans="3:9" ht="15.75" customHeight="1" x14ac:dyDescent="0.25">
      <c r="C718" s="164"/>
      <c r="D718" s="164"/>
      <c r="E718" s="165"/>
      <c r="H718" s="166"/>
      <c r="I718" s="166"/>
    </row>
    <row r="719" spans="3:9" ht="15.75" customHeight="1" x14ac:dyDescent="0.25">
      <c r="C719" s="164"/>
      <c r="D719" s="164"/>
      <c r="E719" s="165"/>
      <c r="H719" s="166"/>
      <c r="I719" s="166"/>
    </row>
    <row r="720" spans="3:9" ht="15.75" customHeight="1" x14ac:dyDescent="0.25">
      <c r="C720" s="164"/>
      <c r="D720" s="164"/>
      <c r="E720" s="165"/>
      <c r="H720" s="166"/>
      <c r="I720" s="166"/>
    </row>
    <row r="721" spans="3:9" ht="15.75" customHeight="1" x14ac:dyDescent="0.25">
      <c r="C721" s="164"/>
      <c r="D721" s="164"/>
      <c r="E721" s="165"/>
      <c r="H721" s="166"/>
      <c r="I721" s="166"/>
    </row>
    <row r="722" spans="3:9" ht="15.75" customHeight="1" x14ac:dyDescent="0.25">
      <c r="C722" s="164"/>
      <c r="D722" s="164"/>
      <c r="E722" s="165"/>
      <c r="H722" s="166"/>
      <c r="I722" s="166"/>
    </row>
    <row r="723" spans="3:9" ht="15.75" customHeight="1" x14ac:dyDescent="0.25">
      <c r="C723" s="164"/>
      <c r="D723" s="164"/>
      <c r="E723" s="165"/>
      <c r="H723" s="166"/>
      <c r="I723" s="166"/>
    </row>
    <row r="724" spans="3:9" ht="15.75" customHeight="1" x14ac:dyDescent="0.25">
      <c r="C724" s="164"/>
      <c r="D724" s="164"/>
      <c r="E724" s="165"/>
      <c r="H724" s="166"/>
      <c r="I724" s="166"/>
    </row>
    <row r="725" spans="3:9" ht="15.75" customHeight="1" x14ac:dyDescent="0.25">
      <c r="C725" s="164"/>
      <c r="D725" s="164"/>
      <c r="E725" s="165"/>
      <c r="H725" s="166"/>
      <c r="I725" s="166"/>
    </row>
    <row r="726" spans="3:9" ht="15.75" customHeight="1" x14ac:dyDescent="0.25">
      <c r="C726" s="164"/>
      <c r="D726" s="164"/>
      <c r="E726" s="165"/>
      <c r="H726" s="166"/>
      <c r="I726" s="166"/>
    </row>
    <row r="727" spans="3:9" ht="15.75" customHeight="1" x14ac:dyDescent="0.25">
      <c r="C727" s="164"/>
      <c r="D727" s="164"/>
      <c r="E727" s="165"/>
      <c r="H727" s="166"/>
      <c r="I727" s="166"/>
    </row>
    <row r="728" spans="3:9" ht="15.75" customHeight="1" x14ac:dyDescent="0.25">
      <c r="C728" s="164"/>
      <c r="D728" s="164"/>
      <c r="E728" s="165"/>
      <c r="H728" s="166"/>
      <c r="I728" s="166"/>
    </row>
    <row r="729" spans="3:9" ht="15.75" customHeight="1" x14ac:dyDescent="0.25">
      <c r="C729" s="164"/>
      <c r="D729" s="164"/>
      <c r="E729" s="165"/>
      <c r="H729" s="166"/>
      <c r="I729" s="166"/>
    </row>
    <row r="730" spans="3:9" ht="15.75" customHeight="1" x14ac:dyDescent="0.25">
      <c r="C730" s="164"/>
      <c r="D730" s="164"/>
      <c r="E730" s="165"/>
      <c r="H730" s="166"/>
      <c r="I730" s="166"/>
    </row>
    <row r="731" spans="3:9" ht="15.75" customHeight="1" x14ac:dyDescent="0.25">
      <c r="C731" s="164"/>
      <c r="D731" s="164"/>
      <c r="E731" s="165"/>
      <c r="H731" s="166"/>
      <c r="I731" s="166"/>
    </row>
    <row r="732" spans="3:9" ht="15.75" customHeight="1" x14ac:dyDescent="0.25">
      <c r="C732" s="164"/>
      <c r="D732" s="164"/>
      <c r="E732" s="165"/>
      <c r="H732" s="166"/>
      <c r="I732" s="166"/>
    </row>
    <row r="733" spans="3:9" ht="15.75" customHeight="1" x14ac:dyDescent="0.25">
      <c r="C733" s="164"/>
      <c r="D733" s="164"/>
      <c r="E733" s="165"/>
      <c r="H733" s="166"/>
      <c r="I733" s="166"/>
    </row>
    <row r="734" spans="3:9" ht="15.75" customHeight="1" x14ac:dyDescent="0.25">
      <c r="C734" s="164"/>
      <c r="D734" s="164"/>
      <c r="E734" s="165"/>
      <c r="H734" s="166"/>
      <c r="I734" s="166"/>
    </row>
    <row r="735" spans="3:9" ht="15.75" customHeight="1" x14ac:dyDescent="0.25">
      <c r="C735" s="164"/>
      <c r="D735" s="164"/>
      <c r="E735" s="165"/>
      <c r="H735" s="166"/>
      <c r="I735" s="166"/>
    </row>
    <row r="736" spans="3:9" ht="15.75" customHeight="1" x14ac:dyDescent="0.25">
      <c r="C736" s="164"/>
      <c r="D736" s="164"/>
      <c r="E736" s="165"/>
      <c r="H736" s="166"/>
      <c r="I736" s="166"/>
    </row>
    <row r="737" spans="3:9" ht="15.75" customHeight="1" x14ac:dyDescent="0.25">
      <c r="C737" s="164"/>
      <c r="D737" s="164"/>
      <c r="E737" s="165"/>
      <c r="H737" s="166"/>
      <c r="I737" s="166"/>
    </row>
    <row r="738" spans="3:9" ht="15.75" customHeight="1" x14ac:dyDescent="0.25">
      <c r="C738" s="164"/>
      <c r="D738" s="164"/>
      <c r="E738" s="165"/>
      <c r="H738" s="166"/>
      <c r="I738" s="166"/>
    </row>
    <row r="739" spans="3:9" ht="15.75" customHeight="1" x14ac:dyDescent="0.25">
      <c r="C739" s="164"/>
      <c r="D739" s="164"/>
      <c r="E739" s="165"/>
      <c r="H739" s="166"/>
      <c r="I739" s="166"/>
    </row>
    <row r="740" spans="3:9" ht="15.75" customHeight="1" x14ac:dyDescent="0.25">
      <c r="C740" s="164"/>
      <c r="D740" s="164"/>
      <c r="E740" s="165"/>
      <c r="H740" s="166"/>
      <c r="I740" s="166"/>
    </row>
    <row r="741" spans="3:9" ht="15.75" customHeight="1" x14ac:dyDescent="0.25">
      <c r="C741" s="164"/>
      <c r="D741" s="164"/>
      <c r="E741" s="165"/>
      <c r="H741" s="166"/>
      <c r="I741" s="166"/>
    </row>
    <row r="742" spans="3:9" ht="15.75" customHeight="1" x14ac:dyDescent="0.25">
      <c r="C742" s="164"/>
      <c r="D742" s="164"/>
      <c r="E742" s="165"/>
      <c r="H742" s="166"/>
      <c r="I742" s="166"/>
    </row>
    <row r="743" spans="3:9" ht="15.75" customHeight="1" x14ac:dyDescent="0.25">
      <c r="C743" s="164"/>
      <c r="D743" s="164"/>
      <c r="E743" s="165"/>
      <c r="H743" s="166"/>
      <c r="I743" s="166"/>
    </row>
    <row r="744" spans="3:9" ht="15.75" customHeight="1" x14ac:dyDescent="0.25">
      <c r="C744" s="164"/>
      <c r="D744" s="164"/>
      <c r="E744" s="165"/>
      <c r="H744" s="166"/>
      <c r="I744" s="166"/>
    </row>
    <row r="745" spans="3:9" ht="15.75" customHeight="1" x14ac:dyDescent="0.25">
      <c r="C745" s="164"/>
      <c r="D745" s="164"/>
      <c r="E745" s="165"/>
      <c r="H745" s="166"/>
      <c r="I745" s="166"/>
    </row>
    <row r="746" spans="3:9" ht="15.75" customHeight="1" x14ac:dyDescent="0.25">
      <c r="C746" s="164"/>
      <c r="D746" s="164"/>
      <c r="E746" s="165"/>
      <c r="H746" s="166"/>
      <c r="I746" s="166"/>
    </row>
    <row r="747" spans="3:9" ht="15.75" customHeight="1" x14ac:dyDescent="0.25">
      <c r="C747" s="164"/>
      <c r="D747" s="164"/>
      <c r="E747" s="165"/>
      <c r="H747" s="166"/>
      <c r="I747" s="166"/>
    </row>
    <row r="748" spans="3:9" ht="15.75" customHeight="1" x14ac:dyDescent="0.25">
      <c r="C748" s="164"/>
      <c r="D748" s="164"/>
      <c r="E748" s="165"/>
      <c r="H748" s="166"/>
      <c r="I748" s="166"/>
    </row>
    <row r="749" spans="3:9" ht="15.75" customHeight="1" x14ac:dyDescent="0.25">
      <c r="C749" s="164"/>
      <c r="D749" s="164"/>
      <c r="E749" s="165"/>
      <c r="H749" s="166"/>
      <c r="I749" s="166"/>
    </row>
    <row r="750" spans="3:9" ht="15.75" customHeight="1" x14ac:dyDescent="0.25">
      <c r="C750" s="164"/>
      <c r="D750" s="164"/>
      <c r="E750" s="165"/>
      <c r="H750" s="166"/>
      <c r="I750" s="166"/>
    </row>
    <row r="751" spans="3:9" ht="15.75" customHeight="1" x14ac:dyDescent="0.25">
      <c r="C751" s="164"/>
      <c r="D751" s="164"/>
      <c r="E751" s="165"/>
      <c r="H751" s="166"/>
      <c r="I751" s="166"/>
    </row>
    <row r="752" spans="3:9" ht="15.75" customHeight="1" x14ac:dyDescent="0.25">
      <c r="C752" s="164"/>
      <c r="D752" s="164"/>
      <c r="E752" s="165"/>
      <c r="H752" s="166"/>
      <c r="I752" s="166"/>
    </row>
    <row r="753" spans="3:9" ht="15.75" customHeight="1" x14ac:dyDescent="0.25">
      <c r="C753" s="164"/>
      <c r="D753" s="164"/>
      <c r="E753" s="165"/>
      <c r="H753" s="166"/>
      <c r="I753" s="166"/>
    </row>
    <row r="754" spans="3:9" ht="15.75" customHeight="1" x14ac:dyDescent="0.25">
      <c r="C754" s="164"/>
      <c r="D754" s="164"/>
      <c r="E754" s="165"/>
      <c r="H754" s="166"/>
      <c r="I754" s="166"/>
    </row>
    <row r="755" spans="3:9" ht="15.75" customHeight="1" x14ac:dyDescent="0.25">
      <c r="C755" s="164"/>
      <c r="D755" s="164"/>
      <c r="E755" s="165"/>
      <c r="H755" s="166"/>
      <c r="I755" s="166"/>
    </row>
    <row r="756" spans="3:9" ht="15.75" customHeight="1" x14ac:dyDescent="0.25">
      <c r="C756" s="164"/>
      <c r="D756" s="164"/>
      <c r="E756" s="165"/>
      <c r="H756" s="166"/>
      <c r="I756" s="166"/>
    </row>
    <row r="757" spans="3:9" ht="15.75" customHeight="1" x14ac:dyDescent="0.25">
      <c r="C757" s="164"/>
      <c r="D757" s="164"/>
      <c r="E757" s="165"/>
      <c r="H757" s="166"/>
      <c r="I757" s="166"/>
    </row>
    <row r="758" spans="3:9" ht="15.75" customHeight="1" x14ac:dyDescent="0.25">
      <c r="C758" s="164"/>
      <c r="D758" s="164"/>
      <c r="E758" s="165"/>
      <c r="H758" s="166"/>
      <c r="I758" s="166"/>
    </row>
    <row r="759" spans="3:9" ht="15.75" customHeight="1" x14ac:dyDescent="0.25">
      <c r="C759" s="164"/>
      <c r="D759" s="164"/>
      <c r="E759" s="165"/>
      <c r="H759" s="166"/>
      <c r="I759" s="166"/>
    </row>
    <row r="760" spans="3:9" ht="15.75" customHeight="1" x14ac:dyDescent="0.25">
      <c r="C760" s="164"/>
      <c r="D760" s="164"/>
      <c r="E760" s="165"/>
      <c r="H760" s="166"/>
      <c r="I760" s="166"/>
    </row>
    <row r="761" spans="3:9" ht="15.75" customHeight="1" x14ac:dyDescent="0.25">
      <c r="C761" s="164"/>
      <c r="D761" s="164"/>
      <c r="E761" s="165"/>
      <c r="H761" s="166"/>
      <c r="I761" s="166"/>
    </row>
    <row r="762" spans="3:9" ht="15.75" customHeight="1" x14ac:dyDescent="0.25">
      <c r="C762" s="164"/>
      <c r="D762" s="164"/>
      <c r="E762" s="165"/>
      <c r="H762" s="166"/>
      <c r="I762" s="166"/>
    </row>
    <row r="763" spans="3:9" ht="15.75" customHeight="1" x14ac:dyDescent="0.25">
      <c r="C763" s="164"/>
      <c r="D763" s="164"/>
      <c r="E763" s="165"/>
      <c r="H763" s="166"/>
      <c r="I763" s="166"/>
    </row>
    <row r="764" spans="3:9" ht="15.75" customHeight="1" x14ac:dyDescent="0.25">
      <c r="C764" s="164"/>
      <c r="D764" s="164"/>
      <c r="E764" s="165"/>
      <c r="H764" s="166"/>
      <c r="I764" s="166"/>
    </row>
    <row r="765" spans="3:9" ht="15.75" customHeight="1" x14ac:dyDescent="0.25">
      <c r="C765" s="164"/>
      <c r="D765" s="164"/>
      <c r="E765" s="165"/>
      <c r="H765" s="166"/>
      <c r="I765" s="166"/>
    </row>
    <row r="766" spans="3:9" ht="15.75" customHeight="1" x14ac:dyDescent="0.25">
      <c r="C766" s="164"/>
      <c r="D766" s="164"/>
      <c r="E766" s="165"/>
      <c r="H766" s="166"/>
      <c r="I766" s="166"/>
    </row>
    <row r="767" spans="3:9" ht="15.75" customHeight="1" x14ac:dyDescent="0.25">
      <c r="C767" s="164"/>
      <c r="D767" s="164"/>
      <c r="E767" s="165"/>
      <c r="H767" s="166"/>
      <c r="I767" s="166"/>
    </row>
    <row r="768" spans="3:9" ht="15.75" customHeight="1" x14ac:dyDescent="0.25">
      <c r="C768" s="164"/>
      <c r="D768" s="164"/>
      <c r="E768" s="165"/>
      <c r="H768" s="166"/>
      <c r="I768" s="166"/>
    </row>
    <row r="769" spans="3:9" ht="15.75" customHeight="1" x14ac:dyDescent="0.25">
      <c r="C769" s="164"/>
      <c r="D769" s="164"/>
      <c r="E769" s="165"/>
      <c r="H769" s="166"/>
      <c r="I769" s="166"/>
    </row>
    <row r="770" spans="3:9" ht="15.75" customHeight="1" x14ac:dyDescent="0.25">
      <c r="C770" s="164"/>
      <c r="D770" s="164"/>
      <c r="E770" s="165"/>
      <c r="H770" s="166"/>
      <c r="I770" s="166"/>
    </row>
    <row r="771" spans="3:9" ht="15.75" customHeight="1" x14ac:dyDescent="0.25">
      <c r="C771" s="164"/>
      <c r="D771" s="164"/>
      <c r="E771" s="165"/>
      <c r="H771" s="166"/>
      <c r="I771" s="166"/>
    </row>
    <row r="772" spans="3:9" ht="15.75" customHeight="1" x14ac:dyDescent="0.25">
      <c r="C772" s="164"/>
      <c r="D772" s="164"/>
      <c r="E772" s="165"/>
      <c r="H772" s="166"/>
      <c r="I772" s="166"/>
    </row>
    <row r="773" spans="3:9" ht="15.75" customHeight="1" x14ac:dyDescent="0.25">
      <c r="C773" s="164"/>
      <c r="D773" s="164"/>
      <c r="E773" s="165"/>
      <c r="H773" s="166"/>
      <c r="I773" s="166"/>
    </row>
    <row r="774" spans="3:9" ht="15.75" customHeight="1" x14ac:dyDescent="0.25">
      <c r="C774" s="164"/>
      <c r="D774" s="164"/>
      <c r="E774" s="165"/>
      <c r="H774" s="166"/>
      <c r="I774" s="166"/>
    </row>
    <row r="775" spans="3:9" ht="15.75" customHeight="1" x14ac:dyDescent="0.25">
      <c r="C775" s="164"/>
      <c r="D775" s="164"/>
      <c r="E775" s="165"/>
      <c r="H775" s="166"/>
      <c r="I775" s="166"/>
    </row>
    <row r="776" spans="3:9" ht="15.75" customHeight="1" x14ac:dyDescent="0.25">
      <c r="C776" s="164"/>
      <c r="D776" s="164"/>
      <c r="E776" s="165"/>
      <c r="H776" s="166"/>
      <c r="I776" s="166"/>
    </row>
    <row r="777" spans="3:9" ht="15.75" customHeight="1" x14ac:dyDescent="0.25">
      <c r="C777" s="164"/>
      <c r="D777" s="164"/>
      <c r="E777" s="165"/>
      <c r="H777" s="166"/>
      <c r="I777" s="166"/>
    </row>
    <row r="778" spans="3:9" ht="15.75" customHeight="1" x14ac:dyDescent="0.25">
      <c r="C778" s="164"/>
      <c r="D778" s="164"/>
      <c r="E778" s="165"/>
      <c r="H778" s="166"/>
      <c r="I778" s="166"/>
    </row>
    <row r="779" spans="3:9" ht="15.75" customHeight="1" x14ac:dyDescent="0.25">
      <c r="C779" s="164"/>
      <c r="D779" s="164"/>
      <c r="E779" s="165"/>
      <c r="H779" s="166"/>
      <c r="I779" s="166"/>
    </row>
    <row r="780" spans="3:9" ht="15.75" customHeight="1" x14ac:dyDescent="0.25">
      <c r="C780" s="164"/>
      <c r="D780" s="164"/>
      <c r="E780" s="165"/>
      <c r="H780" s="166"/>
      <c r="I780" s="166"/>
    </row>
    <row r="781" spans="3:9" ht="15.75" customHeight="1" x14ac:dyDescent="0.25">
      <c r="C781" s="164"/>
      <c r="D781" s="164"/>
      <c r="E781" s="165"/>
      <c r="H781" s="166"/>
      <c r="I781" s="166"/>
    </row>
    <row r="782" spans="3:9" ht="15.75" customHeight="1" x14ac:dyDescent="0.25">
      <c r="C782" s="164"/>
      <c r="D782" s="164"/>
      <c r="E782" s="165"/>
      <c r="H782" s="166"/>
      <c r="I782" s="166"/>
    </row>
    <row r="783" spans="3:9" ht="15.75" customHeight="1" x14ac:dyDescent="0.25">
      <c r="C783" s="164"/>
      <c r="D783" s="164"/>
      <c r="E783" s="165"/>
      <c r="H783" s="166"/>
      <c r="I783" s="166"/>
    </row>
    <row r="784" spans="3:9" ht="15.75" customHeight="1" x14ac:dyDescent="0.25">
      <c r="C784" s="164"/>
      <c r="D784" s="164"/>
      <c r="E784" s="165"/>
      <c r="H784" s="166"/>
      <c r="I784" s="166"/>
    </row>
    <row r="785" spans="3:9" ht="15.75" customHeight="1" x14ac:dyDescent="0.25">
      <c r="C785" s="164"/>
      <c r="D785" s="164"/>
      <c r="E785" s="165"/>
      <c r="H785" s="166"/>
      <c r="I785" s="166"/>
    </row>
    <row r="786" spans="3:9" ht="15.75" customHeight="1" x14ac:dyDescent="0.25">
      <c r="C786" s="164"/>
      <c r="D786" s="164"/>
      <c r="E786" s="165"/>
      <c r="H786" s="166"/>
      <c r="I786" s="166"/>
    </row>
    <row r="787" spans="3:9" ht="15.75" customHeight="1" x14ac:dyDescent="0.25">
      <c r="C787" s="164"/>
      <c r="D787" s="164"/>
      <c r="E787" s="165"/>
      <c r="H787" s="166"/>
      <c r="I787" s="166"/>
    </row>
    <row r="788" spans="3:9" ht="15.75" customHeight="1" x14ac:dyDescent="0.25">
      <c r="C788" s="164"/>
      <c r="D788" s="164"/>
      <c r="E788" s="165"/>
      <c r="H788" s="166"/>
      <c r="I788" s="166"/>
    </row>
    <row r="789" spans="3:9" ht="15.75" customHeight="1" x14ac:dyDescent="0.25">
      <c r="C789" s="164"/>
      <c r="D789" s="164"/>
      <c r="E789" s="165"/>
      <c r="H789" s="166"/>
      <c r="I789" s="166"/>
    </row>
    <row r="790" spans="3:9" ht="15.75" customHeight="1" x14ac:dyDescent="0.25">
      <c r="C790" s="164"/>
      <c r="D790" s="164"/>
      <c r="E790" s="165"/>
      <c r="H790" s="166"/>
      <c r="I790" s="166"/>
    </row>
    <row r="791" spans="3:9" ht="15.75" customHeight="1" x14ac:dyDescent="0.25">
      <c r="C791" s="164"/>
      <c r="D791" s="164"/>
      <c r="E791" s="165"/>
      <c r="H791" s="166"/>
      <c r="I791" s="166"/>
    </row>
    <row r="792" spans="3:9" ht="15.75" customHeight="1" x14ac:dyDescent="0.25">
      <c r="C792" s="164"/>
      <c r="D792" s="164"/>
      <c r="E792" s="165"/>
      <c r="H792" s="166"/>
      <c r="I792" s="166"/>
    </row>
    <row r="793" spans="3:9" ht="15.75" customHeight="1" x14ac:dyDescent="0.25">
      <c r="C793" s="164"/>
      <c r="D793" s="164"/>
      <c r="E793" s="165"/>
      <c r="H793" s="166"/>
      <c r="I793" s="166"/>
    </row>
    <row r="794" spans="3:9" ht="15.75" customHeight="1" x14ac:dyDescent="0.25">
      <c r="C794" s="164"/>
      <c r="D794" s="164"/>
      <c r="E794" s="165"/>
      <c r="H794" s="166"/>
      <c r="I794" s="166"/>
    </row>
    <row r="795" spans="3:9" ht="15.75" customHeight="1" x14ac:dyDescent="0.25">
      <c r="C795" s="164"/>
      <c r="D795" s="164"/>
      <c r="E795" s="165"/>
      <c r="H795" s="166"/>
      <c r="I795" s="166"/>
    </row>
    <row r="796" spans="3:9" ht="15.75" customHeight="1" x14ac:dyDescent="0.25">
      <c r="C796" s="164"/>
      <c r="D796" s="164"/>
      <c r="E796" s="165"/>
      <c r="H796" s="166"/>
      <c r="I796" s="166"/>
    </row>
    <row r="797" spans="3:9" ht="15.75" customHeight="1" x14ac:dyDescent="0.25">
      <c r="C797" s="164"/>
      <c r="D797" s="164"/>
      <c r="E797" s="165"/>
      <c r="H797" s="166"/>
      <c r="I797" s="166"/>
    </row>
    <row r="798" spans="3:9" ht="15.75" customHeight="1" x14ac:dyDescent="0.25">
      <c r="C798" s="164"/>
      <c r="D798" s="164"/>
      <c r="E798" s="165"/>
      <c r="H798" s="166"/>
      <c r="I798" s="166"/>
    </row>
    <row r="799" spans="3:9" ht="15.75" customHeight="1" x14ac:dyDescent="0.25">
      <c r="C799" s="164"/>
      <c r="D799" s="164"/>
      <c r="E799" s="165"/>
      <c r="H799" s="166"/>
      <c r="I799" s="166"/>
    </row>
    <row r="800" spans="3:9" ht="15.75" customHeight="1" x14ac:dyDescent="0.25">
      <c r="C800" s="164"/>
      <c r="D800" s="164"/>
      <c r="E800" s="165"/>
      <c r="H800" s="166"/>
      <c r="I800" s="166"/>
    </row>
    <row r="801" spans="3:9" ht="15.75" customHeight="1" x14ac:dyDescent="0.25">
      <c r="C801" s="164"/>
      <c r="D801" s="164"/>
      <c r="E801" s="165"/>
      <c r="H801" s="166"/>
      <c r="I801" s="166"/>
    </row>
    <row r="802" spans="3:9" ht="15.75" customHeight="1" x14ac:dyDescent="0.25">
      <c r="C802" s="164"/>
      <c r="D802" s="164"/>
      <c r="E802" s="165"/>
      <c r="H802" s="166"/>
      <c r="I802" s="166"/>
    </row>
    <row r="803" spans="3:9" ht="15.75" customHeight="1" x14ac:dyDescent="0.25">
      <c r="C803" s="164"/>
      <c r="D803" s="164"/>
      <c r="E803" s="165"/>
      <c r="H803" s="166"/>
      <c r="I803" s="166"/>
    </row>
    <row r="804" spans="3:9" ht="15.75" customHeight="1" x14ac:dyDescent="0.25">
      <c r="C804" s="164"/>
      <c r="D804" s="164"/>
      <c r="E804" s="165"/>
      <c r="H804" s="166"/>
      <c r="I804" s="166"/>
    </row>
    <row r="805" spans="3:9" ht="15.75" customHeight="1" x14ac:dyDescent="0.25">
      <c r="C805" s="164"/>
      <c r="D805" s="164"/>
      <c r="E805" s="165"/>
      <c r="H805" s="166"/>
      <c r="I805" s="166"/>
    </row>
    <row r="806" spans="3:9" ht="15.75" customHeight="1" x14ac:dyDescent="0.25">
      <c r="C806" s="164"/>
      <c r="D806" s="164"/>
      <c r="E806" s="165"/>
      <c r="H806" s="166"/>
      <c r="I806" s="166"/>
    </row>
    <row r="807" spans="3:9" ht="15.75" customHeight="1" x14ac:dyDescent="0.25">
      <c r="C807" s="164"/>
      <c r="D807" s="164"/>
      <c r="E807" s="165"/>
      <c r="H807" s="166"/>
      <c r="I807" s="166"/>
    </row>
    <row r="808" spans="3:9" ht="15.75" customHeight="1" x14ac:dyDescent="0.25">
      <c r="C808" s="164"/>
      <c r="D808" s="164"/>
      <c r="E808" s="165"/>
      <c r="H808" s="166"/>
      <c r="I808" s="166"/>
    </row>
    <row r="809" spans="3:9" ht="15.75" customHeight="1" x14ac:dyDescent="0.25">
      <c r="C809" s="164"/>
      <c r="D809" s="164"/>
      <c r="E809" s="165"/>
      <c r="H809" s="166"/>
      <c r="I809" s="166"/>
    </row>
    <row r="810" spans="3:9" ht="15.75" customHeight="1" x14ac:dyDescent="0.25">
      <c r="C810" s="164"/>
      <c r="D810" s="164"/>
      <c r="E810" s="165"/>
      <c r="H810" s="166"/>
      <c r="I810" s="166"/>
    </row>
    <row r="811" spans="3:9" ht="15.75" customHeight="1" x14ac:dyDescent="0.25">
      <c r="C811" s="164"/>
      <c r="D811" s="164"/>
      <c r="E811" s="165"/>
      <c r="H811" s="166"/>
      <c r="I811" s="166"/>
    </row>
    <row r="812" spans="3:9" ht="15.75" customHeight="1" x14ac:dyDescent="0.25">
      <c r="C812" s="164"/>
      <c r="D812" s="164"/>
      <c r="E812" s="165"/>
      <c r="H812" s="166"/>
      <c r="I812" s="166"/>
    </row>
    <row r="813" spans="3:9" ht="15.75" customHeight="1" x14ac:dyDescent="0.25">
      <c r="C813" s="164"/>
      <c r="D813" s="164"/>
      <c r="E813" s="165"/>
      <c r="H813" s="166"/>
      <c r="I813" s="166"/>
    </row>
    <row r="814" spans="3:9" ht="15.75" customHeight="1" x14ac:dyDescent="0.25">
      <c r="C814" s="164"/>
      <c r="D814" s="164"/>
      <c r="E814" s="165"/>
      <c r="H814" s="166"/>
      <c r="I814" s="166"/>
    </row>
    <row r="815" spans="3:9" ht="15.75" customHeight="1" x14ac:dyDescent="0.25">
      <c r="C815" s="164"/>
      <c r="D815" s="164"/>
      <c r="E815" s="165"/>
      <c r="H815" s="166"/>
      <c r="I815" s="166"/>
    </row>
    <row r="816" spans="3:9" ht="15.75" customHeight="1" x14ac:dyDescent="0.25">
      <c r="C816" s="164"/>
      <c r="D816" s="164"/>
      <c r="E816" s="165"/>
      <c r="H816" s="166"/>
      <c r="I816" s="166"/>
    </row>
    <row r="817" spans="3:9" ht="15.75" customHeight="1" x14ac:dyDescent="0.25">
      <c r="C817" s="164"/>
      <c r="D817" s="164"/>
      <c r="E817" s="165"/>
      <c r="H817" s="166"/>
      <c r="I817" s="166"/>
    </row>
    <row r="818" spans="3:9" ht="15.75" customHeight="1" x14ac:dyDescent="0.25">
      <c r="C818" s="164"/>
      <c r="D818" s="164"/>
      <c r="E818" s="165"/>
      <c r="H818" s="166"/>
      <c r="I818" s="166"/>
    </row>
    <row r="819" spans="3:9" ht="15.75" customHeight="1" x14ac:dyDescent="0.25">
      <c r="C819" s="164"/>
      <c r="D819" s="164"/>
      <c r="E819" s="165"/>
      <c r="H819" s="166"/>
      <c r="I819" s="166"/>
    </row>
    <row r="820" spans="3:9" ht="15.75" customHeight="1" x14ac:dyDescent="0.25">
      <c r="C820" s="164"/>
      <c r="D820" s="164"/>
      <c r="E820" s="165"/>
      <c r="H820" s="166"/>
      <c r="I820" s="166"/>
    </row>
    <row r="821" spans="3:9" ht="15.75" customHeight="1" x14ac:dyDescent="0.25">
      <c r="C821" s="164"/>
      <c r="D821" s="164"/>
      <c r="E821" s="165"/>
      <c r="H821" s="166"/>
      <c r="I821" s="166"/>
    </row>
    <row r="822" spans="3:9" ht="15.75" customHeight="1" x14ac:dyDescent="0.25">
      <c r="C822" s="164"/>
      <c r="D822" s="164"/>
      <c r="E822" s="165"/>
      <c r="H822" s="166"/>
      <c r="I822" s="166"/>
    </row>
    <row r="823" spans="3:9" ht="15.75" customHeight="1" x14ac:dyDescent="0.25">
      <c r="C823" s="164"/>
      <c r="D823" s="164"/>
      <c r="E823" s="165"/>
      <c r="H823" s="166"/>
      <c r="I823" s="166"/>
    </row>
    <row r="824" spans="3:9" ht="15.75" customHeight="1" x14ac:dyDescent="0.25">
      <c r="C824" s="164"/>
      <c r="D824" s="164"/>
      <c r="E824" s="165"/>
      <c r="H824" s="166"/>
      <c r="I824" s="166"/>
    </row>
    <row r="825" spans="3:9" ht="15.75" customHeight="1" x14ac:dyDescent="0.25">
      <c r="C825" s="164"/>
      <c r="D825" s="164"/>
      <c r="E825" s="165"/>
      <c r="H825" s="166"/>
      <c r="I825" s="166"/>
    </row>
    <row r="826" spans="3:9" ht="15.75" customHeight="1" x14ac:dyDescent="0.25">
      <c r="C826" s="164"/>
      <c r="D826" s="164"/>
      <c r="E826" s="165"/>
      <c r="H826" s="166"/>
      <c r="I826" s="166"/>
    </row>
    <row r="827" spans="3:9" ht="15.75" customHeight="1" x14ac:dyDescent="0.25">
      <c r="C827" s="164"/>
      <c r="D827" s="164"/>
      <c r="E827" s="165"/>
      <c r="H827" s="166"/>
      <c r="I827" s="166"/>
    </row>
    <row r="828" spans="3:9" ht="15.75" customHeight="1" x14ac:dyDescent="0.25">
      <c r="C828" s="164"/>
      <c r="D828" s="164"/>
      <c r="E828" s="165"/>
      <c r="H828" s="166"/>
      <c r="I828" s="166"/>
    </row>
    <row r="829" spans="3:9" ht="15.75" customHeight="1" x14ac:dyDescent="0.25">
      <c r="C829" s="164"/>
      <c r="D829" s="164"/>
      <c r="E829" s="165"/>
      <c r="H829" s="166"/>
      <c r="I829" s="166"/>
    </row>
    <row r="830" spans="3:9" ht="15.75" customHeight="1" x14ac:dyDescent="0.25">
      <c r="C830" s="164"/>
      <c r="D830" s="164"/>
      <c r="E830" s="165"/>
      <c r="H830" s="166"/>
      <c r="I830" s="166"/>
    </row>
    <row r="831" spans="3:9" ht="15.75" customHeight="1" x14ac:dyDescent="0.25">
      <c r="C831" s="164"/>
      <c r="D831" s="164"/>
      <c r="E831" s="165"/>
      <c r="H831" s="166"/>
      <c r="I831" s="166"/>
    </row>
    <row r="832" spans="3:9" ht="15.75" customHeight="1" x14ac:dyDescent="0.25">
      <c r="C832" s="164"/>
      <c r="D832" s="164"/>
      <c r="E832" s="165"/>
      <c r="H832" s="166"/>
      <c r="I832" s="166"/>
    </row>
    <row r="833" spans="3:9" ht="15.75" customHeight="1" x14ac:dyDescent="0.25">
      <c r="C833" s="164"/>
      <c r="D833" s="164"/>
      <c r="E833" s="165"/>
      <c r="H833" s="166"/>
      <c r="I833" s="166"/>
    </row>
    <row r="834" spans="3:9" ht="15.75" customHeight="1" x14ac:dyDescent="0.25">
      <c r="C834" s="164"/>
      <c r="D834" s="164"/>
      <c r="E834" s="165"/>
      <c r="H834" s="166"/>
      <c r="I834" s="166"/>
    </row>
    <row r="835" spans="3:9" ht="15.75" customHeight="1" x14ac:dyDescent="0.25">
      <c r="C835" s="164"/>
      <c r="D835" s="164"/>
      <c r="E835" s="165"/>
      <c r="H835" s="166"/>
      <c r="I835" s="166"/>
    </row>
    <row r="836" spans="3:9" ht="15.75" customHeight="1" x14ac:dyDescent="0.25">
      <c r="C836" s="164"/>
      <c r="D836" s="164"/>
      <c r="E836" s="165"/>
      <c r="H836" s="166"/>
      <c r="I836" s="166"/>
    </row>
    <row r="837" spans="3:9" ht="15.75" customHeight="1" x14ac:dyDescent="0.25">
      <c r="C837" s="164"/>
      <c r="D837" s="164"/>
      <c r="E837" s="165"/>
      <c r="H837" s="166"/>
      <c r="I837" s="166"/>
    </row>
    <row r="838" spans="3:9" ht="15.75" customHeight="1" x14ac:dyDescent="0.25">
      <c r="C838" s="164"/>
      <c r="D838" s="164"/>
      <c r="E838" s="165"/>
      <c r="H838" s="166"/>
      <c r="I838" s="166"/>
    </row>
    <row r="839" spans="3:9" ht="15.75" customHeight="1" x14ac:dyDescent="0.25">
      <c r="C839" s="164"/>
      <c r="D839" s="164"/>
      <c r="E839" s="165"/>
      <c r="H839" s="166"/>
      <c r="I839" s="166"/>
    </row>
    <row r="840" spans="3:9" ht="15.75" customHeight="1" x14ac:dyDescent="0.25">
      <c r="C840" s="164"/>
      <c r="D840" s="164"/>
      <c r="E840" s="165"/>
      <c r="H840" s="166"/>
      <c r="I840" s="166"/>
    </row>
    <row r="841" spans="3:9" ht="15.75" customHeight="1" x14ac:dyDescent="0.25">
      <c r="C841" s="164"/>
      <c r="D841" s="164"/>
      <c r="E841" s="165"/>
      <c r="H841" s="166"/>
      <c r="I841" s="166"/>
    </row>
    <row r="842" spans="3:9" ht="15.75" customHeight="1" x14ac:dyDescent="0.25">
      <c r="C842" s="164"/>
      <c r="D842" s="164"/>
      <c r="E842" s="165"/>
      <c r="H842" s="166"/>
      <c r="I842" s="166"/>
    </row>
    <row r="843" spans="3:9" ht="15.75" customHeight="1" x14ac:dyDescent="0.25">
      <c r="C843" s="164"/>
      <c r="D843" s="164"/>
      <c r="E843" s="165"/>
      <c r="H843" s="166"/>
      <c r="I843" s="166"/>
    </row>
    <row r="844" spans="3:9" ht="15.75" customHeight="1" x14ac:dyDescent="0.25">
      <c r="C844" s="164"/>
      <c r="D844" s="164"/>
      <c r="E844" s="165"/>
      <c r="H844" s="166"/>
      <c r="I844" s="166"/>
    </row>
    <row r="845" spans="3:9" ht="15.75" customHeight="1" x14ac:dyDescent="0.25">
      <c r="C845" s="164"/>
      <c r="D845" s="164"/>
      <c r="E845" s="165"/>
      <c r="H845" s="166"/>
      <c r="I845" s="166"/>
    </row>
    <row r="846" spans="3:9" ht="15.75" customHeight="1" x14ac:dyDescent="0.25">
      <c r="C846" s="164"/>
      <c r="D846" s="164"/>
      <c r="E846" s="165"/>
      <c r="H846" s="166"/>
      <c r="I846" s="166"/>
    </row>
    <row r="847" spans="3:9" ht="15.75" customHeight="1" x14ac:dyDescent="0.25">
      <c r="C847" s="164"/>
      <c r="D847" s="164"/>
      <c r="E847" s="165"/>
      <c r="H847" s="166"/>
      <c r="I847" s="166"/>
    </row>
    <row r="848" spans="3:9" ht="15.75" customHeight="1" x14ac:dyDescent="0.25">
      <c r="C848" s="164"/>
      <c r="D848" s="164"/>
      <c r="E848" s="165"/>
      <c r="H848" s="166"/>
      <c r="I848" s="166"/>
    </row>
    <row r="849" spans="3:9" ht="15.75" customHeight="1" x14ac:dyDescent="0.25">
      <c r="C849" s="164"/>
      <c r="D849" s="164"/>
      <c r="E849" s="165"/>
      <c r="H849" s="166"/>
      <c r="I849" s="166"/>
    </row>
    <row r="850" spans="3:9" ht="15.75" customHeight="1" x14ac:dyDescent="0.25">
      <c r="C850" s="164"/>
      <c r="D850" s="164"/>
      <c r="E850" s="165"/>
      <c r="H850" s="166"/>
      <c r="I850" s="166"/>
    </row>
    <row r="851" spans="3:9" ht="15.75" customHeight="1" x14ac:dyDescent="0.25">
      <c r="C851" s="164"/>
      <c r="D851" s="164"/>
      <c r="E851" s="165"/>
      <c r="H851" s="166"/>
      <c r="I851" s="166"/>
    </row>
    <row r="852" spans="3:9" ht="15.75" customHeight="1" x14ac:dyDescent="0.25">
      <c r="C852" s="164"/>
      <c r="D852" s="164"/>
      <c r="E852" s="165"/>
      <c r="H852" s="166"/>
      <c r="I852" s="166"/>
    </row>
    <row r="853" spans="3:9" ht="15.75" customHeight="1" x14ac:dyDescent="0.25">
      <c r="C853" s="164"/>
      <c r="D853" s="164"/>
      <c r="E853" s="165"/>
      <c r="H853" s="166"/>
      <c r="I853" s="166"/>
    </row>
    <row r="854" spans="3:9" ht="15.75" customHeight="1" x14ac:dyDescent="0.25">
      <c r="C854" s="164"/>
      <c r="D854" s="164"/>
      <c r="E854" s="165"/>
      <c r="H854" s="166"/>
      <c r="I854" s="166"/>
    </row>
    <row r="855" spans="3:9" ht="15.75" customHeight="1" x14ac:dyDescent="0.25">
      <c r="C855" s="164"/>
      <c r="D855" s="164"/>
      <c r="E855" s="165"/>
      <c r="H855" s="166"/>
      <c r="I855" s="166"/>
    </row>
    <row r="856" spans="3:9" ht="15.75" customHeight="1" x14ac:dyDescent="0.25">
      <c r="C856" s="164"/>
      <c r="D856" s="164"/>
      <c r="E856" s="165"/>
      <c r="H856" s="166"/>
      <c r="I856" s="166"/>
    </row>
    <row r="857" spans="3:9" ht="15.75" customHeight="1" x14ac:dyDescent="0.25">
      <c r="C857" s="164"/>
      <c r="D857" s="164"/>
      <c r="E857" s="165"/>
      <c r="H857" s="166"/>
      <c r="I857" s="166"/>
    </row>
    <row r="858" spans="3:9" ht="15.75" customHeight="1" x14ac:dyDescent="0.25">
      <c r="C858" s="164"/>
      <c r="D858" s="164"/>
      <c r="E858" s="165"/>
      <c r="H858" s="166"/>
      <c r="I858" s="166"/>
    </row>
    <row r="859" spans="3:9" ht="15.75" customHeight="1" x14ac:dyDescent="0.25">
      <c r="C859" s="164"/>
      <c r="D859" s="164"/>
      <c r="E859" s="165"/>
      <c r="H859" s="166"/>
      <c r="I859" s="166"/>
    </row>
    <row r="860" spans="3:9" ht="15.75" customHeight="1" x14ac:dyDescent="0.25">
      <c r="C860" s="164"/>
      <c r="D860" s="164"/>
      <c r="E860" s="165"/>
      <c r="H860" s="166"/>
      <c r="I860" s="166"/>
    </row>
    <row r="861" spans="3:9" ht="15.75" customHeight="1" x14ac:dyDescent="0.25">
      <c r="C861" s="164"/>
      <c r="D861" s="164"/>
      <c r="E861" s="165"/>
      <c r="H861" s="166"/>
      <c r="I861" s="166"/>
    </row>
    <row r="862" spans="3:9" ht="15.75" customHeight="1" x14ac:dyDescent="0.25">
      <c r="C862" s="164"/>
      <c r="D862" s="164"/>
      <c r="E862" s="165"/>
      <c r="H862" s="166"/>
      <c r="I862" s="166"/>
    </row>
    <row r="863" spans="3:9" ht="15.75" customHeight="1" x14ac:dyDescent="0.25">
      <c r="C863" s="164"/>
      <c r="D863" s="164"/>
      <c r="E863" s="165"/>
      <c r="H863" s="166"/>
      <c r="I863" s="166"/>
    </row>
    <row r="864" spans="3:9" ht="15.75" customHeight="1" x14ac:dyDescent="0.25">
      <c r="C864" s="164"/>
      <c r="D864" s="164"/>
      <c r="E864" s="165"/>
      <c r="H864" s="166"/>
      <c r="I864" s="166"/>
    </row>
    <row r="865" spans="3:9" ht="15.75" customHeight="1" x14ac:dyDescent="0.25">
      <c r="C865" s="164"/>
      <c r="D865" s="164"/>
      <c r="E865" s="165"/>
      <c r="H865" s="166"/>
      <c r="I865" s="166"/>
    </row>
    <row r="866" spans="3:9" ht="15.75" customHeight="1" x14ac:dyDescent="0.25">
      <c r="C866" s="164"/>
      <c r="D866" s="164"/>
      <c r="E866" s="165"/>
      <c r="H866" s="166"/>
      <c r="I866" s="166"/>
    </row>
    <row r="867" spans="3:9" ht="15.75" customHeight="1" x14ac:dyDescent="0.25">
      <c r="C867" s="164"/>
      <c r="D867" s="164"/>
      <c r="E867" s="165"/>
      <c r="H867" s="166"/>
      <c r="I867" s="166"/>
    </row>
    <row r="868" spans="3:9" ht="15.75" customHeight="1" x14ac:dyDescent="0.25">
      <c r="C868" s="164"/>
      <c r="D868" s="164"/>
      <c r="E868" s="165"/>
      <c r="H868" s="166"/>
      <c r="I868" s="166"/>
    </row>
    <row r="869" spans="3:9" ht="15.75" customHeight="1" x14ac:dyDescent="0.25">
      <c r="C869" s="164"/>
      <c r="D869" s="164"/>
      <c r="E869" s="165"/>
      <c r="H869" s="166"/>
      <c r="I869" s="166"/>
    </row>
    <row r="870" spans="3:9" ht="15.75" customHeight="1" x14ac:dyDescent="0.25">
      <c r="C870" s="164"/>
      <c r="D870" s="164"/>
      <c r="E870" s="165"/>
      <c r="H870" s="166"/>
      <c r="I870" s="166"/>
    </row>
    <row r="871" spans="3:9" ht="15.75" customHeight="1" x14ac:dyDescent="0.25">
      <c r="C871" s="164"/>
      <c r="D871" s="164"/>
      <c r="E871" s="165"/>
      <c r="H871" s="166"/>
      <c r="I871" s="166"/>
    </row>
    <row r="872" spans="3:9" ht="15.75" customHeight="1" x14ac:dyDescent="0.25">
      <c r="C872" s="164"/>
      <c r="D872" s="164"/>
      <c r="E872" s="165"/>
      <c r="H872" s="166"/>
      <c r="I872" s="166"/>
    </row>
    <row r="873" spans="3:9" ht="15.75" customHeight="1" x14ac:dyDescent="0.25">
      <c r="C873" s="164"/>
      <c r="D873" s="164"/>
      <c r="E873" s="165"/>
      <c r="H873" s="166"/>
      <c r="I873" s="166"/>
    </row>
    <row r="874" spans="3:9" ht="15.75" customHeight="1" x14ac:dyDescent="0.25">
      <c r="C874" s="164"/>
      <c r="D874" s="164"/>
      <c r="E874" s="165"/>
      <c r="H874" s="166"/>
      <c r="I874" s="166"/>
    </row>
    <row r="875" spans="3:9" ht="15.75" customHeight="1" x14ac:dyDescent="0.25">
      <c r="C875" s="164"/>
      <c r="D875" s="164"/>
      <c r="E875" s="165"/>
      <c r="H875" s="166"/>
      <c r="I875" s="166"/>
    </row>
    <row r="876" spans="3:9" ht="15.75" customHeight="1" x14ac:dyDescent="0.25">
      <c r="C876" s="164"/>
      <c r="D876" s="164"/>
      <c r="E876" s="165"/>
      <c r="H876" s="166"/>
      <c r="I876" s="166"/>
    </row>
    <row r="877" spans="3:9" ht="15.75" customHeight="1" x14ac:dyDescent="0.25">
      <c r="C877" s="164"/>
      <c r="D877" s="164"/>
      <c r="E877" s="165"/>
      <c r="H877" s="166"/>
      <c r="I877" s="166"/>
    </row>
    <row r="878" spans="3:9" ht="15.75" customHeight="1" x14ac:dyDescent="0.25">
      <c r="C878" s="164"/>
      <c r="D878" s="164"/>
      <c r="E878" s="165"/>
      <c r="H878" s="166"/>
      <c r="I878" s="166"/>
    </row>
    <row r="879" spans="3:9" ht="15.75" customHeight="1" x14ac:dyDescent="0.25">
      <c r="C879" s="164"/>
      <c r="D879" s="164"/>
      <c r="E879" s="165"/>
      <c r="H879" s="166"/>
      <c r="I879" s="166"/>
    </row>
    <row r="880" spans="3:9" ht="15.75" customHeight="1" x14ac:dyDescent="0.25">
      <c r="C880" s="164"/>
      <c r="D880" s="164"/>
      <c r="E880" s="165"/>
      <c r="H880" s="166"/>
      <c r="I880" s="166"/>
    </row>
    <row r="881" spans="3:9" ht="15.75" customHeight="1" x14ac:dyDescent="0.25">
      <c r="C881" s="164"/>
      <c r="D881" s="164"/>
      <c r="E881" s="165"/>
      <c r="H881" s="166"/>
      <c r="I881" s="166"/>
    </row>
    <row r="882" spans="3:9" ht="15.75" customHeight="1" x14ac:dyDescent="0.25">
      <c r="C882" s="164"/>
      <c r="D882" s="164"/>
      <c r="E882" s="165"/>
      <c r="H882" s="166"/>
      <c r="I882" s="166"/>
    </row>
    <row r="883" spans="3:9" ht="15.75" customHeight="1" x14ac:dyDescent="0.25">
      <c r="C883" s="164"/>
      <c r="D883" s="164"/>
      <c r="E883" s="165"/>
      <c r="H883" s="166"/>
      <c r="I883" s="166"/>
    </row>
    <row r="884" spans="3:9" ht="15.75" customHeight="1" x14ac:dyDescent="0.25">
      <c r="C884" s="164"/>
      <c r="D884" s="164"/>
      <c r="E884" s="165"/>
      <c r="H884" s="166"/>
      <c r="I884" s="166"/>
    </row>
    <row r="885" spans="3:9" ht="15.75" customHeight="1" x14ac:dyDescent="0.25">
      <c r="C885" s="164"/>
      <c r="D885" s="164"/>
      <c r="E885" s="165"/>
      <c r="H885" s="166"/>
      <c r="I885" s="166"/>
    </row>
    <row r="886" spans="3:9" ht="15.75" customHeight="1" x14ac:dyDescent="0.25">
      <c r="C886" s="164"/>
      <c r="D886" s="164"/>
      <c r="E886" s="165"/>
      <c r="H886" s="166"/>
      <c r="I886" s="166"/>
    </row>
    <row r="887" spans="3:9" ht="15.75" customHeight="1" x14ac:dyDescent="0.25">
      <c r="C887" s="164"/>
      <c r="D887" s="164"/>
      <c r="E887" s="165"/>
      <c r="H887" s="166"/>
      <c r="I887" s="166"/>
    </row>
    <row r="888" spans="3:9" ht="15.75" customHeight="1" x14ac:dyDescent="0.25">
      <c r="C888" s="164"/>
      <c r="D888" s="164"/>
      <c r="E888" s="165"/>
      <c r="H888" s="166"/>
      <c r="I888" s="166"/>
    </row>
    <row r="889" spans="3:9" ht="15.75" customHeight="1" x14ac:dyDescent="0.25">
      <c r="C889" s="164"/>
      <c r="D889" s="164"/>
      <c r="E889" s="165"/>
      <c r="H889" s="166"/>
      <c r="I889" s="166"/>
    </row>
    <row r="890" spans="3:9" ht="15.75" customHeight="1" x14ac:dyDescent="0.25">
      <c r="C890" s="164"/>
      <c r="D890" s="164"/>
      <c r="E890" s="165"/>
      <c r="H890" s="166"/>
      <c r="I890" s="166"/>
    </row>
    <row r="891" spans="3:9" ht="15.75" customHeight="1" x14ac:dyDescent="0.25">
      <c r="C891" s="164"/>
      <c r="D891" s="164"/>
      <c r="E891" s="165"/>
      <c r="H891" s="166"/>
      <c r="I891" s="166"/>
    </row>
    <row r="892" spans="3:9" ht="15.75" customHeight="1" x14ac:dyDescent="0.25">
      <c r="C892" s="164"/>
      <c r="D892" s="164"/>
      <c r="E892" s="165"/>
      <c r="H892" s="166"/>
      <c r="I892" s="166"/>
    </row>
    <row r="893" spans="3:9" ht="15.75" customHeight="1" x14ac:dyDescent="0.25">
      <c r="C893" s="164"/>
      <c r="D893" s="164"/>
      <c r="E893" s="165"/>
      <c r="H893" s="166"/>
      <c r="I893" s="166"/>
    </row>
    <row r="894" spans="3:9" ht="15.75" customHeight="1" x14ac:dyDescent="0.25">
      <c r="C894" s="164"/>
      <c r="D894" s="164"/>
      <c r="E894" s="165"/>
      <c r="H894" s="166"/>
      <c r="I894" s="166"/>
    </row>
    <row r="895" spans="3:9" ht="15.75" customHeight="1" x14ac:dyDescent="0.25">
      <c r="C895" s="164"/>
      <c r="D895" s="164"/>
      <c r="E895" s="165"/>
      <c r="H895" s="166"/>
      <c r="I895" s="166"/>
    </row>
    <row r="896" spans="3:9" ht="15.75" customHeight="1" x14ac:dyDescent="0.25">
      <c r="C896" s="164"/>
      <c r="D896" s="164"/>
      <c r="E896" s="165"/>
      <c r="H896" s="166"/>
      <c r="I896" s="166"/>
    </row>
    <row r="897" spans="3:9" ht="15.75" customHeight="1" x14ac:dyDescent="0.25">
      <c r="C897" s="164"/>
      <c r="D897" s="164"/>
      <c r="E897" s="165"/>
      <c r="H897" s="166"/>
      <c r="I897" s="166"/>
    </row>
    <row r="898" spans="3:9" ht="15.75" customHeight="1" x14ac:dyDescent="0.25">
      <c r="C898" s="164"/>
      <c r="D898" s="164"/>
      <c r="E898" s="165"/>
      <c r="H898" s="166"/>
      <c r="I898" s="166"/>
    </row>
    <row r="899" spans="3:9" ht="15.75" customHeight="1" x14ac:dyDescent="0.25">
      <c r="C899" s="164"/>
      <c r="D899" s="164"/>
      <c r="E899" s="165"/>
      <c r="H899" s="166"/>
      <c r="I899" s="166"/>
    </row>
    <row r="900" spans="3:9" ht="15.75" customHeight="1" x14ac:dyDescent="0.25">
      <c r="C900" s="164"/>
      <c r="D900" s="164"/>
      <c r="E900" s="165"/>
      <c r="H900" s="166"/>
      <c r="I900" s="166"/>
    </row>
    <row r="901" spans="3:9" ht="15.75" customHeight="1" x14ac:dyDescent="0.25">
      <c r="C901" s="164"/>
      <c r="D901" s="164"/>
      <c r="E901" s="165"/>
      <c r="H901" s="166"/>
      <c r="I901" s="166"/>
    </row>
    <row r="902" spans="3:9" ht="15.75" customHeight="1" x14ac:dyDescent="0.25">
      <c r="C902" s="164"/>
      <c r="D902" s="164"/>
      <c r="E902" s="165"/>
      <c r="H902" s="166"/>
      <c r="I902" s="166"/>
    </row>
    <row r="903" spans="3:9" ht="15.75" customHeight="1" x14ac:dyDescent="0.25">
      <c r="C903" s="164"/>
      <c r="D903" s="164"/>
      <c r="E903" s="165"/>
      <c r="H903" s="166"/>
      <c r="I903" s="166"/>
    </row>
    <row r="904" spans="3:9" ht="15.75" customHeight="1" x14ac:dyDescent="0.25">
      <c r="C904" s="164"/>
      <c r="D904" s="164"/>
      <c r="E904" s="165"/>
      <c r="H904" s="166"/>
      <c r="I904" s="166"/>
    </row>
    <row r="905" spans="3:9" ht="15.75" customHeight="1" x14ac:dyDescent="0.25">
      <c r="C905" s="164"/>
      <c r="D905" s="164"/>
      <c r="E905" s="165"/>
      <c r="H905" s="166"/>
      <c r="I905" s="166"/>
    </row>
    <row r="906" spans="3:9" ht="15.75" customHeight="1" x14ac:dyDescent="0.25">
      <c r="C906" s="164"/>
      <c r="D906" s="164"/>
      <c r="E906" s="165"/>
      <c r="H906" s="166"/>
      <c r="I906" s="166"/>
    </row>
    <row r="907" spans="3:9" ht="15.75" customHeight="1" x14ac:dyDescent="0.25">
      <c r="C907" s="164"/>
      <c r="D907" s="164"/>
      <c r="E907" s="165"/>
      <c r="H907" s="166"/>
      <c r="I907" s="166"/>
    </row>
    <row r="908" spans="3:9" ht="15.75" customHeight="1" x14ac:dyDescent="0.25">
      <c r="C908" s="164"/>
      <c r="D908" s="164"/>
      <c r="E908" s="165"/>
      <c r="H908" s="166"/>
      <c r="I908" s="166"/>
    </row>
    <row r="909" spans="3:9" ht="15.75" customHeight="1" x14ac:dyDescent="0.25">
      <c r="C909" s="164"/>
      <c r="D909" s="164"/>
      <c r="E909" s="165"/>
      <c r="H909" s="166"/>
      <c r="I909" s="166"/>
    </row>
    <row r="910" spans="3:9" ht="15.75" customHeight="1" x14ac:dyDescent="0.25">
      <c r="C910" s="164"/>
      <c r="D910" s="164"/>
      <c r="E910" s="165"/>
      <c r="H910" s="166"/>
      <c r="I910" s="166"/>
    </row>
    <row r="911" spans="3:9" ht="15.75" customHeight="1" x14ac:dyDescent="0.25">
      <c r="C911" s="164"/>
      <c r="D911" s="164"/>
      <c r="E911" s="165"/>
      <c r="H911" s="166"/>
      <c r="I911" s="166"/>
    </row>
    <row r="912" spans="3:9" ht="15.75" customHeight="1" x14ac:dyDescent="0.25">
      <c r="C912" s="164"/>
      <c r="D912" s="164"/>
      <c r="E912" s="165"/>
      <c r="H912" s="166"/>
      <c r="I912" s="166"/>
    </row>
    <row r="913" spans="3:9" ht="15.75" customHeight="1" x14ac:dyDescent="0.25">
      <c r="C913" s="164"/>
      <c r="D913" s="164"/>
      <c r="E913" s="165"/>
      <c r="H913" s="166"/>
      <c r="I913" s="166"/>
    </row>
    <row r="914" spans="3:9" ht="15.75" customHeight="1" x14ac:dyDescent="0.25">
      <c r="C914" s="164"/>
      <c r="D914" s="164"/>
      <c r="E914" s="165"/>
      <c r="H914" s="166"/>
      <c r="I914" s="166"/>
    </row>
    <row r="915" spans="3:9" ht="15.75" customHeight="1" x14ac:dyDescent="0.25">
      <c r="C915" s="164"/>
      <c r="D915" s="164"/>
      <c r="E915" s="165"/>
      <c r="H915" s="166"/>
      <c r="I915" s="166"/>
    </row>
    <row r="916" spans="3:9" ht="15.75" customHeight="1" x14ac:dyDescent="0.25">
      <c r="C916" s="164"/>
      <c r="D916" s="164"/>
      <c r="E916" s="165"/>
      <c r="H916" s="166"/>
      <c r="I916" s="166"/>
    </row>
    <row r="917" spans="3:9" ht="15.75" customHeight="1" x14ac:dyDescent="0.25">
      <c r="C917" s="164"/>
      <c r="D917" s="164"/>
      <c r="E917" s="165"/>
      <c r="H917" s="166"/>
      <c r="I917" s="166"/>
    </row>
    <row r="918" spans="3:9" ht="15.75" customHeight="1" x14ac:dyDescent="0.25">
      <c r="C918" s="164"/>
      <c r="D918" s="164"/>
      <c r="E918" s="165"/>
      <c r="H918" s="166"/>
      <c r="I918" s="166"/>
    </row>
    <row r="919" spans="3:9" ht="15.75" customHeight="1" x14ac:dyDescent="0.25">
      <c r="C919" s="164"/>
      <c r="D919" s="164"/>
      <c r="E919" s="165"/>
      <c r="H919" s="166"/>
      <c r="I919" s="166"/>
    </row>
    <row r="920" spans="3:9" ht="15.75" customHeight="1" x14ac:dyDescent="0.25">
      <c r="C920" s="164"/>
      <c r="D920" s="164"/>
      <c r="E920" s="165"/>
      <c r="H920" s="166"/>
      <c r="I920" s="166"/>
    </row>
    <row r="921" spans="3:9" ht="15.75" customHeight="1" x14ac:dyDescent="0.25">
      <c r="C921" s="164"/>
      <c r="D921" s="164"/>
      <c r="E921" s="165"/>
      <c r="H921" s="166"/>
      <c r="I921" s="166"/>
    </row>
    <row r="922" spans="3:9" ht="15.75" customHeight="1" x14ac:dyDescent="0.25">
      <c r="C922" s="164"/>
      <c r="D922" s="164"/>
      <c r="E922" s="165"/>
      <c r="H922" s="166"/>
      <c r="I922" s="166"/>
    </row>
    <row r="923" spans="3:9" ht="15.75" customHeight="1" x14ac:dyDescent="0.25">
      <c r="C923" s="164"/>
      <c r="D923" s="164"/>
      <c r="E923" s="165"/>
      <c r="H923" s="166"/>
      <c r="I923" s="166"/>
    </row>
    <row r="924" spans="3:9" ht="15.75" customHeight="1" x14ac:dyDescent="0.25">
      <c r="C924" s="164"/>
      <c r="D924" s="164"/>
      <c r="E924" s="165"/>
      <c r="H924" s="166"/>
      <c r="I924" s="166"/>
    </row>
    <row r="925" spans="3:9" ht="15.75" customHeight="1" x14ac:dyDescent="0.25">
      <c r="C925" s="164"/>
      <c r="D925" s="164"/>
      <c r="E925" s="165"/>
      <c r="H925" s="166"/>
      <c r="I925" s="166"/>
    </row>
    <row r="926" spans="3:9" ht="15.75" customHeight="1" x14ac:dyDescent="0.25">
      <c r="C926" s="164"/>
      <c r="D926" s="164"/>
      <c r="E926" s="165"/>
      <c r="H926" s="166"/>
      <c r="I926" s="166"/>
    </row>
    <row r="927" spans="3:9" ht="15.75" customHeight="1" x14ac:dyDescent="0.25">
      <c r="C927" s="164"/>
      <c r="D927" s="164"/>
      <c r="E927" s="165"/>
      <c r="H927" s="166"/>
      <c r="I927" s="166"/>
    </row>
    <row r="928" spans="3:9" ht="15.75" customHeight="1" x14ac:dyDescent="0.25">
      <c r="C928" s="164"/>
      <c r="D928" s="164"/>
      <c r="E928" s="165"/>
      <c r="H928" s="166"/>
      <c r="I928" s="166"/>
    </row>
    <row r="929" spans="3:9" ht="15.75" customHeight="1" x14ac:dyDescent="0.25">
      <c r="C929" s="164"/>
      <c r="D929" s="164"/>
      <c r="E929" s="165"/>
      <c r="H929" s="166"/>
      <c r="I929" s="166"/>
    </row>
    <row r="930" spans="3:9" ht="15.75" customHeight="1" x14ac:dyDescent="0.25">
      <c r="C930" s="164"/>
      <c r="D930" s="164"/>
      <c r="E930" s="165"/>
      <c r="H930" s="166"/>
      <c r="I930" s="166"/>
    </row>
    <row r="931" spans="3:9" ht="15.75" customHeight="1" x14ac:dyDescent="0.25">
      <c r="C931" s="164"/>
      <c r="D931" s="164"/>
      <c r="E931" s="165"/>
      <c r="H931" s="166"/>
      <c r="I931" s="166"/>
    </row>
    <row r="932" spans="3:9" ht="15.75" customHeight="1" x14ac:dyDescent="0.25">
      <c r="C932" s="164"/>
      <c r="D932" s="164"/>
      <c r="E932" s="165"/>
      <c r="H932" s="166"/>
      <c r="I932" s="166"/>
    </row>
    <row r="933" spans="3:9" ht="15.75" customHeight="1" x14ac:dyDescent="0.25">
      <c r="C933" s="164"/>
      <c r="D933" s="164"/>
      <c r="E933" s="165"/>
      <c r="H933" s="166"/>
      <c r="I933" s="166"/>
    </row>
    <row r="934" spans="3:9" ht="15.75" customHeight="1" x14ac:dyDescent="0.25">
      <c r="C934" s="164"/>
      <c r="D934" s="164"/>
      <c r="E934" s="165"/>
      <c r="H934" s="166"/>
      <c r="I934" s="166"/>
    </row>
    <row r="935" spans="3:9" ht="15.75" customHeight="1" x14ac:dyDescent="0.25">
      <c r="C935" s="164"/>
      <c r="D935" s="164"/>
      <c r="E935" s="165"/>
      <c r="H935" s="166"/>
      <c r="I935" s="166"/>
    </row>
    <row r="936" spans="3:9" ht="15.75" customHeight="1" x14ac:dyDescent="0.25">
      <c r="C936" s="164"/>
      <c r="D936" s="164"/>
      <c r="E936" s="165"/>
      <c r="H936" s="166"/>
      <c r="I936" s="166"/>
    </row>
    <row r="937" spans="3:9" ht="15.75" customHeight="1" x14ac:dyDescent="0.25">
      <c r="C937" s="164"/>
      <c r="D937" s="164"/>
      <c r="E937" s="165"/>
      <c r="H937" s="166"/>
      <c r="I937" s="166"/>
    </row>
    <row r="938" spans="3:9" ht="15.75" customHeight="1" x14ac:dyDescent="0.25">
      <c r="C938" s="164"/>
      <c r="D938" s="164"/>
      <c r="E938" s="165"/>
      <c r="H938" s="166"/>
      <c r="I938" s="166"/>
    </row>
    <row r="939" spans="3:9" ht="15.75" customHeight="1" x14ac:dyDescent="0.25">
      <c r="C939" s="164"/>
      <c r="D939" s="164"/>
      <c r="E939" s="165"/>
      <c r="H939" s="166"/>
      <c r="I939" s="166"/>
    </row>
    <row r="940" spans="3:9" ht="15.75" customHeight="1" x14ac:dyDescent="0.25">
      <c r="C940" s="164"/>
      <c r="D940" s="164"/>
      <c r="E940" s="165"/>
      <c r="H940" s="166"/>
      <c r="I940" s="166"/>
    </row>
    <row r="941" spans="3:9" ht="15.75" customHeight="1" x14ac:dyDescent="0.25">
      <c r="C941" s="164"/>
      <c r="D941" s="164"/>
      <c r="E941" s="165"/>
      <c r="H941" s="166"/>
      <c r="I941" s="166"/>
    </row>
    <row r="942" spans="3:9" ht="15.75" customHeight="1" x14ac:dyDescent="0.25">
      <c r="C942" s="164"/>
      <c r="D942" s="164"/>
      <c r="E942" s="165"/>
      <c r="H942" s="166"/>
      <c r="I942" s="166"/>
    </row>
    <row r="943" spans="3:9" ht="15.75" customHeight="1" x14ac:dyDescent="0.25">
      <c r="C943" s="164"/>
      <c r="D943" s="164"/>
      <c r="E943" s="165"/>
      <c r="H943" s="166"/>
      <c r="I943" s="166"/>
    </row>
    <row r="944" spans="3:9" ht="15.75" customHeight="1" x14ac:dyDescent="0.25">
      <c r="C944" s="164"/>
      <c r="D944" s="164"/>
      <c r="E944" s="165"/>
      <c r="H944" s="166"/>
      <c r="I944" s="166"/>
    </row>
    <row r="945" spans="3:9" ht="15.75" customHeight="1" x14ac:dyDescent="0.25">
      <c r="C945" s="164"/>
      <c r="D945" s="164"/>
      <c r="E945" s="165"/>
      <c r="H945" s="166"/>
      <c r="I945" s="166"/>
    </row>
    <row r="946" spans="3:9" ht="15.75" customHeight="1" x14ac:dyDescent="0.25">
      <c r="C946" s="164"/>
      <c r="D946" s="164"/>
      <c r="E946" s="165"/>
      <c r="H946" s="166"/>
      <c r="I946" s="166"/>
    </row>
    <row r="947" spans="3:9" ht="15.75" customHeight="1" x14ac:dyDescent="0.25">
      <c r="C947" s="164"/>
      <c r="D947" s="164"/>
      <c r="E947" s="165"/>
      <c r="H947" s="166"/>
      <c r="I947" s="166"/>
    </row>
    <row r="948" spans="3:9" ht="15.75" customHeight="1" x14ac:dyDescent="0.25">
      <c r="C948" s="164"/>
      <c r="D948" s="164"/>
      <c r="E948" s="165"/>
      <c r="H948" s="166"/>
      <c r="I948" s="166"/>
    </row>
    <row r="949" spans="3:9" ht="15.75" customHeight="1" x14ac:dyDescent="0.25">
      <c r="C949" s="164"/>
      <c r="D949" s="164"/>
      <c r="E949" s="165"/>
      <c r="H949" s="166"/>
      <c r="I949" s="166"/>
    </row>
    <row r="950" spans="3:9" ht="15.75" customHeight="1" x14ac:dyDescent="0.25">
      <c r="C950" s="164"/>
      <c r="D950" s="164"/>
      <c r="E950" s="165"/>
      <c r="H950" s="166"/>
      <c r="I950" s="166"/>
    </row>
    <row r="951" spans="3:9" ht="15.75" customHeight="1" x14ac:dyDescent="0.25">
      <c r="C951" s="164"/>
      <c r="D951" s="164"/>
      <c r="E951" s="165"/>
      <c r="H951" s="166"/>
      <c r="I951" s="166"/>
    </row>
    <row r="952" spans="3:9" ht="15.75" customHeight="1" x14ac:dyDescent="0.25">
      <c r="C952" s="164"/>
      <c r="D952" s="164"/>
      <c r="E952" s="165"/>
      <c r="H952" s="166"/>
      <c r="I952" s="166"/>
    </row>
    <row r="953" spans="3:9" ht="15.75" customHeight="1" x14ac:dyDescent="0.25">
      <c r="C953" s="164"/>
      <c r="D953" s="164"/>
      <c r="E953" s="165"/>
      <c r="H953" s="166"/>
      <c r="I953" s="166"/>
    </row>
    <row r="954" spans="3:9" ht="15.75" customHeight="1" x14ac:dyDescent="0.25">
      <c r="C954" s="164"/>
      <c r="D954" s="164"/>
      <c r="E954" s="165"/>
      <c r="H954" s="166"/>
      <c r="I954" s="166"/>
    </row>
    <row r="955" spans="3:9" ht="15.75" customHeight="1" x14ac:dyDescent="0.25">
      <c r="C955" s="164"/>
      <c r="D955" s="164"/>
      <c r="E955" s="165"/>
      <c r="H955" s="166"/>
      <c r="I955" s="166"/>
    </row>
    <row r="956" spans="3:9" ht="15.75" customHeight="1" x14ac:dyDescent="0.25">
      <c r="C956" s="164"/>
      <c r="D956" s="164"/>
      <c r="E956" s="165"/>
      <c r="H956" s="166"/>
      <c r="I956" s="166"/>
    </row>
    <row r="957" spans="3:9" ht="15.75" customHeight="1" x14ac:dyDescent="0.25">
      <c r="C957" s="164"/>
      <c r="D957" s="164"/>
      <c r="E957" s="165"/>
      <c r="H957" s="166"/>
      <c r="I957" s="166"/>
    </row>
    <row r="958" spans="3:9" ht="15.75" customHeight="1" x14ac:dyDescent="0.25">
      <c r="C958" s="164"/>
      <c r="D958" s="164"/>
      <c r="E958" s="165"/>
      <c r="H958" s="166"/>
      <c r="I958" s="166"/>
    </row>
    <row r="959" spans="3:9" ht="15.75" customHeight="1" x14ac:dyDescent="0.25">
      <c r="C959" s="164"/>
      <c r="D959" s="164"/>
      <c r="E959" s="165"/>
      <c r="H959" s="166"/>
      <c r="I959" s="166"/>
    </row>
    <row r="960" spans="3:9" ht="15.75" customHeight="1" x14ac:dyDescent="0.25">
      <c r="C960" s="164"/>
      <c r="D960" s="164"/>
      <c r="E960" s="165"/>
      <c r="H960" s="166"/>
      <c r="I960" s="166"/>
    </row>
    <row r="961" spans="3:9" ht="15.75" customHeight="1" x14ac:dyDescent="0.25">
      <c r="C961" s="164"/>
      <c r="D961" s="164"/>
      <c r="E961" s="165"/>
      <c r="H961" s="166"/>
      <c r="I961" s="166"/>
    </row>
    <row r="962" spans="3:9" ht="15.75" customHeight="1" x14ac:dyDescent="0.25">
      <c r="C962" s="164"/>
      <c r="D962" s="164"/>
      <c r="E962" s="165"/>
      <c r="H962" s="166"/>
      <c r="I962" s="166"/>
    </row>
    <row r="963" spans="3:9" ht="15.75" customHeight="1" x14ac:dyDescent="0.25">
      <c r="C963" s="164"/>
      <c r="D963" s="164"/>
      <c r="E963" s="165"/>
      <c r="H963" s="166"/>
      <c r="I963" s="166"/>
    </row>
    <row r="964" spans="3:9" ht="15.75" customHeight="1" x14ac:dyDescent="0.25">
      <c r="C964" s="164"/>
      <c r="D964" s="164"/>
      <c r="E964" s="165"/>
      <c r="H964" s="166"/>
      <c r="I964" s="166"/>
    </row>
    <row r="965" spans="3:9" ht="15.75" customHeight="1" x14ac:dyDescent="0.25">
      <c r="C965" s="164"/>
      <c r="D965" s="164"/>
      <c r="E965" s="165"/>
      <c r="H965" s="166"/>
      <c r="I965" s="166"/>
    </row>
    <row r="966" spans="3:9" ht="15.75" customHeight="1" x14ac:dyDescent="0.25">
      <c r="C966" s="164"/>
      <c r="D966" s="164"/>
      <c r="E966" s="165"/>
      <c r="H966" s="166"/>
      <c r="I966" s="166"/>
    </row>
    <row r="967" spans="3:9" ht="15.75" customHeight="1" x14ac:dyDescent="0.25">
      <c r="C967" s="164"/>
      <c r="D967" s="164"/>
      <c r="E967" s="165"/>
      <c r="H967" s="166"/>
      <c r="I967" s="166"/>
    </row>
    <row r="968" spans="3:9" ht="15.75" customHeight="1" x14ac:dyDescent="0.25">
      <c r="C968" s="164"/>
      <c r="D968" s="164"/>
      <c r="E968" s="165"/>
      <c r="H968" s="166"/>
      <c r="I968" s="166"/>
    </row>
    <row r="969" spans="3:9" ht="15.75" customHeight="1" x14ac:dyDescent="0.25">
      <c r="C969" s="164"/>
      <c r="D969" s="164"/>
      <c r="E969" s="165"/>
      <c r="H969" s="166"/>
      <c r="I969" s="166"/>
    </row>
  </sheetData>
  <mergeCells count="3">
    <mergeCell ref="A1:H1"/>
    <mergeCell ref="L6:M6"/>
    <mergeCell ref="O6:P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AFF7C-0292-D74F-AF19-421F7C63E0B8}">
  <dimension ref="A1:W1017"/>
  <sheetViews>
    <sheetView topLeftCell="F1" workbookViewId="0">
      <selection activeCell="L25" sqref="L25"/>
    </sheetView>
  </sheetViews>
  <sheetFormatPr defaultColWidth="19.25" defaultRowHeight="12.75" x14ac:dyDescent="0.2"/>
  <cols>
    <col min="1" max="1" width="11.25" style="5" hidden="1" customWidth="1"/>
    <col min="2" max="3" width="0" style="5" hidden="1" customWidth="1"/>
    <col min="4" max="4" width="18.25" style="5" hidden="1" customWidth="1"/>
    <col min="5" max="5" width="0" style="5" hidden="1" customWidth="1"/>
    <col min="6" max="6" width="9.75" style="5" bestFit="1" customWidth="1"/>
    <col min="7" max="7" width="41.75" style="5" bestFit="1" customWidth="1"/>
    <col min="8" max="9" width="14.25" style="6" customWidth="1"/>
    <col min="10" max="10" width="13.25" style="6" customWidth="1"/>
    <col min="11" max="15" width="19.25" style="5"/>
    <col min="16" max="17" width="19.25" style="7"/>
    <col min="18" max="16384" width="19.25" style="5"/>
  </cols>
  <sheetData>
    <row r="1" spans="1:18" s="38" customFormat="1" ht="25.5" x14ac:dyDescent="0.35">
      <c r="A1" s="295" t="s">
        <v>105</v>
      </c>
      <c r="B1" s="295"/>
      <c r="C1" s="295"/>
      <c r="D1" s="295"/>
      <c r="E1" s="295"/>
      <c r="F1" s="295"/>
      <c r="G1" s="295"/>
      <c r="H1" s="295"/>
      <c r="I1" s="295"/>
      <c r="J1" s="295"/>
      <c r="P1" s="40"/>
      <c r="Q1" s="40"/>
    </row>
    <row r="2" spans="1:18" s="38" customFormat="1" ht="14.25" x14ac:dyDescent="0.2">
      <c r="H2" s="39"/>
      <c r="I2" s="39"/>
      <c r="J2" s="42"/>
      <c r="P2" s="40"/>
      <c r="Q2" s="40"/>
    </row>
    <row r="3" spans="1:18" s="181" customFormat="1" ht="15.75" x14ac:dyDescent="0.25">
      <c r="A3" s="179"/>
      <c r="B3" s="180"/>
      <c r="C3" s="298" t="s">
        <v>34</v>
      </c>
      <c r="D3" s="299"/>
      <c r="E3" s="300"/>
      <c r="F3" s="191"/>
      <c r="G3" s="191"/>
      <c r="H3" s="301" t="s">
        <v>34</v>
      </c>
      <c r="I3" s="302"/>
      <c r="J3" s="302"/>
      <c r="P3" s="182"/>
      <c r="Q3" s="182"/>
    </row>
    <row r="4" spans="1:18" s="186" customFormat="1" ht="15.75" x14ac:dyDescent="0.25">
      <c r="A4" s="183"/>
      <c r="B4" s="184" t="s">
        <v>37</v>
      </c>
      <c r="C4" s="184" t="s">
        <v>38</v>
      </c>
      <c r="D4" s="184" t="s">
        <v>39</v>
      </c>
      <c r="E4" s="185" t="s">
        <v>40</v>
      </c>
      <c r="F4" s="192" t="s">
        <v>36</v>
      </c>
      <c r="G4" s="192" t="s">
        <v>37</v>
      </c>
      <c r="H4" s="170" t="s">
        <v>56</v>
      </c>
      <c r="I4" s="170" t="s">
        <v>57</v>
      </c>
      <c r="J4" s="170" t="s">
        <v>42</v>
      </c>
      <c r="P4" s="187"/>
      <c r="Q4" s="187"/>
    </row>
    <row r="5" spans="1:18" s="38" customFormat="1" ht="15.75" x14ac:dyDescent="0.25">
      <c r="A5" s="43"/>
      <c r="B5" s="44"/>
      <c r="C5" s="44"/>
      <c r="D5" s="44"/>
      <c r="E5" s="45"/>
      <c r="F5" s="193"/>
      <c r="G5" s="193"/>
      <c r="H5" s="170" t="s">
        <v>55</v>
      </c>
      <c r="I5" s="170" t="s">
        <v>58</v>
      </c>
      <c r="J5" s="170"/>
      <c r="N5" s="46"/>
      <c r="P5" s="40"/>
      <c r="Q5" s="40"/>
      <c r="R5" s="40"/>
    </row>
    <row r="6" spans="1:18" s="38" customFormat="1" ht="15" hidden="1" x14ac:dyDescent="0.25">
      <c r="A6" s="47"/>
      <c r="B6" s="44" t="s">
        <v>43</v>
      </c>
      <c r="C6" s="48"/>
      <c r="D6" s="48"/>
      <c r="E6" s="49">
        <f>E5-C6+D6</f>
        <v>0</v>
      </c>
      <c r="F6" s="194">
        <v>45653</v>
      </c>
      <c r="G6" s="193" t="s">
        <v>44</v>
      </c>
      <c r="H6" s="195"/>
      <c r="I6" s="195">
        <v>2387</v>
      </c>
      <c r="J6" s="196">
        <f t="shared" ref="J6:J13" si="0">J5-I6+H6</f>
        <v>-2387</v>
      </c>
      <c r="N6" s="46"/>
      <c r="P6" s="40"/>
      <c r="Q6" s="40"/>
      <c r="R6" s="40"/>
    </row>
    <row r="7" spans="1:18" s="38" customFormat="1" ht="15" hidden="1" x14ac:dyDescent="0.25">
      <c r="A7" s="43"/>
      <c r="B7" s="44"/>
      <c r="C7" s="48"/>
      <c r="D7" s="48"/>
      <c r="E7" s="49" t="e">
        <f>#REF!-C7+D7</f>
        <v>#REF!</v>
      </c>
      <c r="F7" s="193"/>
      <c r="G7" s="193"/>
      <c r="H7" s="195"/>
      <c r="I7" s="195"/>
      <c r="J7" s="196">
        <f t="shared" si="0"/>
        <v>-2387</v>
      </c>
      <c r="N7" s="46"/>
      <c r="P7" s="40"/>
      <c r="Q7" s="40"/>
      <c r="R7" s="40"/>
    </row>
    <row r="8" spans="1:18" s="38" customFormat="1" ht="15" hidden="1" x14ac:dyDescent="0.25">
      <c r="A8" s="47"/>
      <c r="B8" s="44"/>
      <c r="C8" s="48"/>
      <c r="D8" s="48"/>
      <c r="E8" s="49" t="e">
        <f>E7-C8+D8</f>
        <v>#REF!</v>
      </c>
      <c r="F8" s="194">
        <v>45667</v>
      </c>
      <c r="G8" s="193" t="s">
        <v>45</v>
      </c>
      <c r="H8" s="195">
        <v>1735</v>
      </c>
      <c r="I8" s="195"/>
      <c r="J8" s="196">
        <f t="shared" si="0"/>
        <v>-652</v>
      </c>
      <c r="N8" s="46"/>
      <c r="P8" s="40"/>
      <c r="Q8" s="40"/>
      <c r="R8" s="40"/>
    </row>
    <row r="9" spans="1:18" s="38" customFormat="1" ht="15" hidden="1" x14ac:dyDescent="0.25">
      <c r="A9" s="47"/>
      <c r="B9" s="44" t="s">
        <v>46</v>
      </c>
      <c r="C9" s="48">
        <v>22000</v>
      </c>
      <c r="D9" s="48"/>
      <c r="E9" s="49" t="e">
        <f>#REF!-C9+D9</f>
        <v>#REF!</v>
      </c>
      <c r="F9" s="194"/>
      <c r="G9" s="193" t="s">
        <v>47</v>
      </c>
      <c r="H9" s="195">
        <v>1260</v>
      </c>
      <c r="I9" s="195"/>
      <c r="J9" s="196">
        <f t="shared" si="0"/>
        <v>608</v>
      </c>
      <c r="N9" s="46"/>
      <c r="P9" s="40"/>
      <c r="Q9" s="40"/>
      <c r="R9" s="40"/>
    </row>
    <row r="10" spans="1:18" s="38" customFormat="1" ht="15" hidden="1" x14ac:dyDescent="0.25">
      <c r="A10" s="47"/>
      <c r="B10" s="44" t="s">
        <v>48</v>
      </c>
      <c r="C10" s="48">
        <v>42320</v>
      </c>
      <c r="D10" s="48"/>
      <c r="E10" s="49" t="e">
        <f t="shared" ref="E10:E13" si="1">E9-C10+D10</f>
        <v>#REF!</v>
      </c>
      <c r="F10" s="194"/>
      <c r="G10" s="193" t="s">
        <v>49</v>
      </c>
      <c r="H10" s="195">
        <v>367</v>
      </c>
      <c r="I10" s="195"/>
      <c r="J10" s="196">
        <f t="shared" si="0"/>
        <v>975</v>
      </c>
      <c r="N10" s="46"/>
      <c r="P10" s="40"/>
      <c r="Q10" s="40"/>
      <c r="R10" s="40"/>
    </row>
    <row r="11" spans="1:18" s="38" customFormat="1" ht="15" hidden="1" x14ac:dyDescent="0.25">
      <c r="A11" s="47"/>
      <c r="B11" s="44" t="s">
        <v>50</v>
      </c>
      <c r="C11" s="48">
        <f>14400+1200+2000</f>
        <v>17600</v>
      </c>
      <c r="D11" s="48"/>
      <c r="E11" s="49" t="e">
        <f t="shared" si="1"/>
        <v>#REF!</v>
      </c>
      <c r="F11" s="194"/>
      <c r="G11" s="193" t="s">
        <v>51</v>
      </c>
      <c r="H11" s="195">
        <f>5434-3192</f>
        <v>2242</v>
      </c>
      <c r="I11" s="195"/>
      <c r="J11" s="196">
        <f t="shared" si="0"/>
        <v>3217</v>
      </c>
      <c r="N11" s="46"/>
      <c r="P11" s="40"/>
      <c r="Q11" s="40"/>
      <c r="R11" s="40"/>
    </row>
    <row r="12" spans="1:18" s="38" customFormat="1" ht="30" hidden="1" x14ac:dyDescent="0.25">
      <c r="A12" s="47"/>
      <c r="B12" s="44" t="s">
        <v>52</v>
      </c>
      <c r="C12" s="48">
        <v>2500</v>
      </c>
      <c r="D12" s="48"/>
      <c r="E12" s="49" t="e">
        <f t="shared" si="1"/>
        <v>#REF!</v>
      </c>
      <c r="F12" s="194"/>
      <c r="G12" s="197" t="s">
        <v>53</v>
      </c>
      <c r="H12" s="195">
        <v>100</v>
      </c>
      <c r="I12" s="195"/>
      <c r="J12" s="196">
        <f t="shared" si="0"/>
        <v>3317</v>
      </c>
      <c r="N12" s="303"/>
      <c r="O12" s="303"/>
      <c r="P12" s="303"/>
      <c r="Q12" s="303"/>
    </row>
    <row r="13" spans="1:18" s="38" customFormat="1" ht="15" hidden="1" x14ac:dyDescent="0.25">
      <c r="A13" s="47"/>
      <c r="B13" s="44" t="s">
        <v>54</v>
      </c>
      <c r="C13" s="48">
        <v>2350</v>
      </c>
      <c r="D13" s="48"/>
      <c r="E13" s="49" t="e">
        <f t="shared" si="1"/>
        <v>#REF!</v>
      </c>
      <c r="F13" s="193"/>
      <c r="G13" s="193"/>
      <c r="H13" s="195"/>
      <c r="I13" s="195"/>
      <c r="J13" s="196">
        <f t="shared" si="0"/>
        <v>3317</v>
      </c>
      <c r="P13" s="40"/>
      <c r="Q13" s="40"/>
    </row>
    <row r="14" spans="1:18" s="218" customFormat="1" ht="15" x14ac:dyDescent="0.25">
      <c r="A14" s="47"/>
      <c r="B14" s="44"/>
      <c r="C14" s="48"/>
      <c r="D14" s="48"/>
      <c r="E14" s="49"/>
      <c r="F14" s="277">
        <v>45979</v>
      </c>
      <c r="G14" s="278" t="s">
        <v>113</v>
      </c>
      <c r="H14" s="279">
        <f>10000*3.9</f>
        <v>39000</v>
      </c>
      <c r="I14" s="279">
        <v>0</v>
      </c>
      <c r="J14" s="280">
        <f>+H14-I14</f>
        <v>39000</v>
      </c>
      <c r="K14" s="217"/>
      <c r="L14" s="41"/>
      <c r="P14" s="219"/>
      <c r="Q14" s="219"/>
    </row>
    <row r="15" spans="1:18" s="38" customFormat="1" ht="15" x14ac:dyDescent="0.25">
      <c r="A15" s="47"/>
      <c r="B15" s="44"/>
      <c r="C15" s="50"/>
      <c r="D15" s="50"/>
      <c r="E15" s="49"/>
      <c r="F15" s="277">
        <v>45980</v>
      </c>
      <c r="G15" s="278" t="s">
        <v>114</v>
      </c>
      <c r="H15" s="281">
        <f>10000*3.8</f>
        <v>38000</v>
      </c>
      <c r="I15" s="281"/>
      <c r="J15" s="282">
        <f t="shared" ref="J15:J25" si="2">J14-I15+H15</f>
        <v>77000</v>
      </c>
      <c r="O15" s="40"/>
      <c r="P15" s="51"/>
      <c r="Q15" s="40"/>
    </row>
    <row r="16" spans="1:18" s="38" customFormat="1" ht="15" x14ac:dyDescent="0.25">
      <c r="A16" s="47"/>
      <c r="B16" s="44"/>
      <c r="C16" s="50"/>
      <c r="D16" s="48"/>
      <c r="E16" s="49"/>
      <c r="F16" s="277">
        <v>45994</v>
      </c>
      <c r="G16" s="278" t="s">
        <v>115</v>
      </c>
      <c r="H16" s="281"/>
      <c r="I16" s="281">
        <v>21500</v>
      </c>
      <c r="J16" s="282">
        <f t="shared" si="2"/>
        <v>55500</v>
      </c>
      <c r="P16" s="40"/>
      <c r="Q16" s="40"/>
    </row>
    <row r="17" spans="1:23" s="38" customFormat="1" ht="15.75" customHeight="1" x14ac:dyDescent="0.25">
      <c r="A17" s="47"/>
      <c r="B17" s="52"/>
      <c r="C17" s="50"/>
      <c r="D17" s="48"/>
      <c r="E17" s="49"/>
      <c r="F17" s="277">
        <v>45994</v>
      </c>
      <c r="G17" s="278" t="s">
        <v>116</v>
      </c>
      <c r="H17" s="281"/>
      <c r="I17" s="281">
        <v>1500</v>
      </c>
      <c r="J17" s="282">
        <f t="shared" si="2"/>
        <v>54000</v>
      </c>
      <c r="K17" s="228"/>
      <c r="L17" s="229"/>
      <c r="M17" s="53"/>
      <c r="P17" s="40"/>
      <c r="Q17" s="40"/>
    </row>
    <row r="18" spans="1:23" s="38" customFormat="1" ht="15" x14ac:dyDescent="0.25">
      <c r="A18" s="47"/>
      <c r="B18" s="52"/>
      <c r="C18" s="50"/>
      <c r="D18" s="48"/>
      <c r="E18" s="49"/>
      <c r="F18" s="277">
        <v>45995</v>
      </c>
      <c r="G18" s="278" t="s">
        <v>117</v>
      </c>
      <c r="H18" s="281"/>
      <c r="I18" s="281">
        <v>4900</v>
      </c>
      <c r="J18" s="282">
        <f t="shared" si="2"/>
        <v>49100</v>
      </c>
      <c r="K18" s="231"/>
      <c r="L18" s="232"/>
      <c r="M18" s="54"/>
      <c r="P18" s="40"/>
      <c r="Q18" s="40"/>
    </row>
    <row r="19" spans="1:23" s="38" customFormat="1" ht="15" x14ac:dyDescent="0.25">
      <c r="A19" s="47"/>
      <c r="B19" s="52"/>
      <c r="C19" s="50"/>
      <c r="D19" s="50"/>
      <c r="E19" s="49"/>
      <c r="F19" s="277">
        <v>45996</v>
      </c>
      <c r="G19" s="278" t="s">
        <v>118</v>
      </c>
      <c r="H19" s="281"/>
      <c r="I19" s="281">
        <v>4000</v>
      </c>
      <c r="J19" s="282">
        <f t="shared" si="2"/>
        <v>45100</v>
      </c>
      <c r="K19" s="230"/>
      <c r="L19" s="230"/>
      <c r="M19" s="55"/>
      <c r="P19" s="56"/>
      <c r="Q19" s="40"/>
    </row>
    <row r="20" spans="1:23" s="38" customFormat="1" ht="15" x14ac:dyDescent="0.25">
      <c r="A20" s="47"/>
      <c r="B20" s="52"/>
      <c r="C20" s="50"/>
      <c r="D20" s="48"/>
      <c r="E20" s="49"/>
      <c r="F20" s="277">
        <v>46003</v>
      </c>
      <c r="G20" s="278" t="s">
        <v>119</v>
      </c>
      <c r="H20" s="281"/>
      <c r="I20" s="281">
        <v>5000</v>
      </c>
      <c r="J20" s="282">
        <f t="shared" si="2"/>
        <v>40100</v>
      </c>
      <c r="K20" s="220"/>
      <c r="L20" s="220"/>
      <c r="M20" s="53"/>
      <c r="P20" s="40"/>
      <c r="Q20" s="40"/>
    </row>
    <row r="21" spans="1:23" s="38" customFormat="1" ht="15" x14ac:dyDescent="0.25">
      <c r="A21" s="47"/>
      <c r="B21" s="52"/>
      <c r="C21" s="50"/>
      <c r="D21" s="48"/>
      <c r="E21" s="57"/>
      <c r="F21" s="277">
        <v>46010</v>
      </c>
      <c r="G21" s="278" t="s">
        <v>120</v>
      </c>
      <c r="H21" s="281"/>
      <c r="I21" s="281">
        <v>11871.58</v>
      </c>
      <c r="J21" s="282">
        <f t="shared" si="2"/>
        <v>28228.42</v>
      </c>
      <c r="K21" s="220"/>
      <c r="L21" s="221"/>
      <c r="M21" s="53"/>
      <c r="N21" s="46"/>
      <c r="P21" s="40"/>
      <c r="Q21" s="40"/>
      <c r="S21" s="58"/>
      <c r="T21" s="58"/>
      <c r="U21" s="58"/>
      <c r="V21" s="58"/>
      <c r="W21" s="58"/>
    </row>
    <row r="22" spans="1:23" s="38" customFormat="1" ht="15.75" customHeight="1" x14ac:dyDescent="0.25">
      <c r="A22" s="47"/>
      <c r="B22" s="52"/>
      <c r="C22" s="50"/>
      <c r="D22" s="48"/>
      <c r="E22" s="49"/>
      <c r="F22" s="277">
        <v>46005</v>
      </c>
      <c r="G22" s="278" t="s">
        <v>119</v>
      </c>
      <c r="H22" s="281"/>
      <c r="I22" s="281">
        <v>13550</v>
      </c>
      <c r="J22" s="282">
        <f t="shared" si="2"/>
        <v>14678.419999999998</v>
      </c>
      <c r="K22" s="220"/>
      <c r="L22" s="221"/>
      <c r="M22" s="53"/>
      <c r="P22" s="40"/>
      <c r="Q22" s="40"/>
    </row>
    <row r="23" spans="1:23" s="38" customFormat="1" ht="15.75" customHeight="1" x14ac:dyDescent="0.25">
      <c r="A23" s="47"/>
      <c r="B23" s="52"/>
      <c r="C23" s="50"/>
      <c r="D23" s="48"/>
      <c r="E23" s="49"/>
      <c r="F23" s="277">
        <v>46013</v>
      </c>
      <c r="G23" s="278" t="s">
        <v>121</v>
      </c>
      <c r="H23" s="283"/>
      <c r="I23" s="284">
        <v>2700</v>
      </c>
      <c r="J23" s="282">
        <f t="shared" si="2"/>
        <v>11978.419999999998</v>
      </c>
      <c r="K23" s="220"/>
      <c r="L23" s="221"/>
      <c r="M23" s="53"/>
      <c r="P23" s="40"/>
      <c r="Q23" s="40"/>
    </row>
    <row r="24" spans="1:23" s="38" customFormat="1" ht="15.75" customHeight="1" x14ac:dyDescent="0.25">
      <c r="A24" s="47"/>
      <c r="B24" s="44"/>
      <c r="C24" s="50"/>
      <c r="D24" s="48"/>
      <c r="E24" s="49"/>
      <c r="F24" s="285">
        <v>46006</v>
      </c>
      <c r="G24" s="286" t="s">
        <v>122</v>
      </c>
      <c r="H24" s="283"/>
      <c r="I24" s="284">
        <v>10200</v>
      </c>
      <c r="J24" s="282">
        <f t="shared" si="2"/>
        <v>1778.4199999999983</v>
      </c>
      <c r="K24" s="220"/>
      <c r="L24" s="221"/>
      <c r="M24" s="53"/>
      <c r="P24" s="40"/>
      <c r="Q24" s="40"/>
    </row>
    <row r="25" spans="1:23" s="38" customFormat="1" ht="15.75" customHeight="1" x14ac:dyDescent="0.25">
      <c r="A25" s="59"/>
      <c r="B25" s="60"/>
      <c r="C25" s="60"/>
      <c r="D25" s="60"/>
      <c r="E25" s="61"/>
      <c r="F25" s="285">
        <v>46038</v>
      </c>
      <c r="G25" s="286" t="s">
        <v>123</v>
      </c>
      <c r="H25" s="283"/>
      <c r="I25" s="284">
        <v>500</v>
      </c>
      <c r="J25" s="282">
        <f t="shared" si="2"/>
        <v>1278.4199999999983</v>
      </c>
      <c r="K25" s="220"/>
      <c r="L25" s="221"/>
      <c r="M25" s="53"/>
      <c r="P25" s="40"/>
      <c r="Q25" s="40"/>
    </row>
    <row r="26" spans="1:23" s="38" customFormat="1" ht="15.75" customHeight="1" x14ac:dyDescent="0.25">
      <c r="A26" s="47"/>
      <c r="B26" s="44"/>
      <c r="C26" s="48"/>
      <c r="D26" s="48"/>
      <c r="E26" s="49"/>
      <c r="F26" s="193"/>
      <c r="G26" s="198"/>
      <c r="H26" s="195"/>
      <c r="I26" s="195"/>
      <c r="J26" s="196"/>
      <c r="K26" s="220"/>
      <c r="L26" s="221"/>
      <c r="M26" s="53"/>
      <c r="P26" s="40"/>
      <c r="Q26" s="40"/>
    </row>
    <row r="27" spans="1:23" s="38" customFormat="1" ht="15.75" customHeight="1" x14ac:dyDescent="0.25">
      <c r="C27" s="48"/>
      <c r="D27" s="48"/>
      <c r="E27" s="49"/>
      <c r="F27" s="193"/>
      <c r="G27" s="198"/>
      <c r="H27" s="195"/>
      <c r="I27" s="195"/>
      <c r="J27" s="196"/>
      <c r="K27" s="113"/>
      <c r="L27" s="222"/>
      <c r="M27" s="53"/>
      <c r="P27" s="40"/>
      <c r="Q27" s="40"/>
    </row>
    <row r="28" spans="1:23" s="38" customFormat="1" ht="15.75" customHeight="1" x14ac:dyDescent="0.25">
      <c r="A28" s="47"/>
      <c r="B28" s="44"/>
      <c r="C28" s="48"/>
      <c r="D28" s="48"/>
      <c r="E28" s="49"/>
      <c r="F28" s="193"/>
      <c r="G28" s="198"/>
      <c r="H28" s="195"/>
      <c r="I28" s="195"/>
      <c r="J28" s="196"/>
      <c r="K28" s="223"/>
      <c r="L28" s="224"/>
      <c r="P28" s="40"/>
      <c r="Q28" s="40"/>
    </row>
    <row r="29" spans="1:23" s="38" customFormat="1" ht="15.75" customHeight="1" x14ac:dyDescent="0.25">
      <c r="A29" s="47"/>
      <c r="B29" s="44"/>
      <c r="C29" s="48"/>
      <c r="D29" s="48"/>
      <c r="E29" s="49"/>
      <c r="F29" s="199"/>
      <c r="G29" s="193"/>
      <c r="H29" s="195"/>
      <c r="I29" s="195"/>
      <c r="J29" s="196"/>
      <c r="K29" s="223"/>
      <c r="L29" s="224"/>
      <c r="P29" s="40"/>
      <c r="Q29" s="40"/>
    </row>
    <row r="30" spans="1:23" s="38" customFormat="1" ht="15.75" customHeight="1" x14ac:dyDescent="0.25">
      <c r="A30" s="47"/>
      <c r="B30" s="44"/>
      <c r="C30" s="48"/>
      <c r="D30" s="48"/>
      <c r="E30" s="49"/>
      <c r="F30" s="199"/>
      <c r="G30" s="193"/>
      <c r="H30" s="195"/>
      <c r="I30" s="195"/>
      <c r="J30" s="196"/>
      <c r="K30" s="223"/>
      <c r="L30" s="224"/>
      <c r="P30" s="40"/>
      <c r="Q30" s="40"/>
    </row>
    <row r="31" spans="1:23" s="38" customFormat="1" ht="15.75" customHeight="1" x14ac:dyDescent="0.25">
      <c r="A31" s="47"/>
      <c r="B31" s="44"/>
      <c r="C31" s="48"/>
      <c r="D31" s="48"/>
      <c r="E31" s="49"/>
      <c r="F31" s="199"/>
      <c r="G31" s="198"/>
      <c r="H31" s="195"/>
      <c r="I31" s="195"/>
      <c r="J31" s="196"/>
      <c r="K31" s="223"/>
      <c r="L31" s="224"/>
      <c r="P31" s="40"/>
      <c r="Q31" s="40"/>
    </row>
    <row r="32" spans="1:23" s="38" customFormat="1" ht="15.75" customHeight="1" x14ac:dyDescent="0.25">
      <c r="A32" s="47"/>
      <c r="B32" s="44"/>
      <c r="C32" s="48"/>
      <c r="D32" s="48"/>
      <c r="E32" s="49"/>
      <c r="F32" s="199"/>
      <c r="G32" s="193"/>
      <c r="H32" s="195"/>
      <c r="I32" s="195"/>
      <c r="J32" s="196"/>
      <c r="K32" s="223"/>
      <c r="L32" s="224"/>
      <c r="P32" s="40"/>
      <c r="Q32" s="40"/>
    </row>
    <row r="33" spans="1:17" s="38" customFormat="1" ht="15.75" customHeight="1" x14ac:dyDescent="0.25">
      <c r="A33" s="47"/>
      <c r="B33" s="44"/>
      <c r="C33" s="48"/>
      <c r="D33" s="48"/>
      <c r="E33" s="49"/>
      <c r="F33" s="199"/>
      <c r="G33" s="193"/>
      <c r="H33" s="195"/>
      <c r="I33" s="195"/>
      <c r="J33" s="196"/>
      <c r="K33" s="223"/>
      <c r="L33" s="224"/>
      <c r="P33" s="40"/>
      <c r="Q33" s="40"/>
    </row>
    <row r="34" spans="1:17" s="38" customFormat="1" ht="15.75" customHeight="1" x14ac:dyDescent="0.25">
      <c r="A34" s="47"/>
      <c r="B34" s="44"/>
      <c r="C34" s="48"/>
      <c r="D34" s="48"/>
      <c r="E34" s="49"/>
      <c r="F34" s="199"/>
      <c r="G34" s="193"/>
      <c r="H34" s="195"/>
      <c r="I34" s="195"/>
      <c r="J34" s="196"/>
      <c r="K34" s="223"/>
      <c r="L34" s="224"/>
      <c r="P34" s="40"/>
      <c r="Q34" s="40"/>
    </row>
    <row r="35" spans="1:17" s="38" customFormat="1" ht="15.75" customHeight="1" x14ac:dyDescent="0.25">
      <c r="A35" s="47"/>
      <c r="B35" s="44"/>
      <c r="C35" s="48"/>
      <c r="D35" s="48"/>
      <c r="E35" s="49"/>
      <c r="F35" s="199"/>
      <c r="G35" s="193"/>
      <c r="H35" s="195"/>
      <c r="I35" s="195"/>
      <c r="J35" s="196"/>
      <c r="K35" s="223"/>
      <c r="L35" s="224"/>
      <c r="P35" s="40"/>
      <c r="Q35" s="40"/>
    </row>
    <row r="36" spans="1:17" s="38" customFormat="1" ht="15.75" customHeight="1" x14ac:dyDescent="0.25">
      <c r="A36" s="47"/>
      <c r="B36" s="44"/>
      <c r="C36" s="48"/>
      <c r="D36" s="48"/>
      <c r="E36" s="49"/>
      <c r="F36" s="199"/>
      <c r="G36" s="193"/>
      <c r="H36" s="195"/>
      <c r="I36" s="195"/>
      <c r="J36" s="196"/>
      <c r="K36" s="223"/>
      <c r="L36" s="224"/>
      <c r="P36" s="40"/>
      <c r="Q36" s="40"/>
    </row>
    <row r="37" spans="1:17" s="38" customFormat="1" ht="15.75" customHeight="1" x14ac:dyDescent="0.25">
      <c r="A37" s="47"/>
      <c r="B37" s="44"/>
      <c r="C37" s="48"/>
      <c r="D37" s="48"/>
      <c r="E37" s="49"/>
      <c r="F37" s="199"/>
      <c r="G37" s="193"/>
      <c r="H37" s="195"/>
      <c r="I37" s="195"/>
      <c r="J37" s="196"/>
      <c r="K37" s="223"/>
      <c r="L37" s="224"/>
      <c r="P37" s="40"/>
      <c r="Q37" s="40"/>
    </row>
    <row r="38" spans="1:17" s="38" customFormat="1" ht="15.75" customHeight="1" x14ac:dyDescent="0.25">
      <c r="A38" s="47"/>
      <c r="B38" s="44"/>
      <c r="C38" s="48"/>
      <c r="D38" s="48"/>
      <c r="E38" s="49"/>
      <c r="F38" s="199"/>
      <c r="G38" s="193"/>
      <c r="H38" s="195"/>
      <c r="I38" s="195"/>
      <c r="J38" s="196"/>
      <c r="K38" s="223"/>
      <c r="L38" s="224"/>
      <c r="P38" s="40"/>
      <c r="Q38" s="40"/>
    </row>
    <row r="39" spans="1:17" s="38" customFormat="1" ht="15.75" customHeight="1" x14ac:dyDescent="0.25">
      <c r="A39" s="47"/>
      <c r="B39" s="44"/>
      <c r="C39" s="48"/>
      <c r="D39" s="48"/>
      <c r="E39" s="49"/>
      <c r="F39" s="199"/>
      <c r="G39" s="193"/>
      <c r="H39" s="195"/>
      <c r="I39" s="195"/>
      <c r="J39" s="196"/>
      <c r="K39" s="223"/>
      <c r="L39" s="224"/>
      <c r="P39" s="40"/>
      <c r="Q39" s="40"/>
    </row>
    <row r="40" spans="1:17" s="38" customFormat="1" ht="15.75" customHeight="1" x14ac:dyDescent="0.25">
      <c r="A40" s="47"/>
      <c r="B40" s="44"/>
      <c r="C40" s="48"/>
      <c r="D40" s="48"/>
      <c r="E40" s="49"/>
      <c r="F40" s="199"/>
      <c r="G40" s="193"/>
      <c r="H40" s="195"/>
      <c r="I40" s="195"/>
      <c r="J40" s="196"/>
      <c r="K40" s="223"/>
      <c r="L40" s="224"/>
      <c r="P40" s="40"/>
      <c r="Q40" s="40"/>
    </row>
    <row r="41" spans="1:17" s="38" customFormat="1" ht="15.75" customHeight="1" x14ac:dyDescent="0.25">
      <c r="A41" s="47"/>
      <c r="B41" s="44"/>
      <c r="C41" s="48"/>
      <c r="D41" s="48"/>
      <c r="E41" s="49"/>
      <c r="F41" s="199"/>
      <c r="G41" s="193"/>
      <c r="H41" s="195"/>
      <c r="I41" s="195"/>
      <c r="J41" s="196"/>
      <c r="K41" s="223"/>
      <c r="L41" s="224"/>
      <c r="P41" s="40"/>
      <c r="Q41" s="40"/>
    </row>
    <row r="42" spans="1:17" s="38" customFormat="1" ht="15.75" customHeight="1" x14ac:dyDescent="0.25">
      <c r="A42" s="47"/>
      <c r="B42" s="44"/>
      <c r="C42" s="48"/>
      <c r="D42" s="48"/>
      <c r="E42" s="49"/>
      <c r="F42" s="199"/>
      <c r="G42" s="193"/>
      <c r="H42" s="195"/>
      <c r="I42" s="195"/>
      <c r="J42" s="196"/>
      <c r="K42" s="223"/>
      <c r="L42" s="224"/>
      <c r="P42" s="40"/>
      <c r="Q42" s="40"/>
    </row>
    <row r="43" spans="1:17" s="38" customFormat="1" ht="15.75" customHeight="1" x14ac:dyDescent="0.25">
      <c r="A43" s="47"/>
      <c r="B43" s="44"/>
      <c r="C43" s="48"/>
      <c r="D43" s="48"/>
      <c r="E43" s="49"/>
      <c r="F43" s="199"/>
      <c r="G43" s="193"/>
      <c r="H43" s="195"/>
      <c r="I43" s="195"/>
      <c r="J43" s="196"/>
      <c r="K43" s="223"/>
      <c r="L43" s="224"/>
      <c r="P43" s="40"/>
      <c r="Q43" s="40"/>
    </row>
    <row r="44" spans="1:17" s="38" customFormat="1" ht="15.75" customHeight="1" x14ac:dyDescent="0.25">
      <c r="A44" s="47"/>
      <c r="B44" s="44"/>
      <c r="C44" s="48"/>
      <c r="D44" s="48"/>
      <c r="E44" s="49"/>
      <c r="F44" s="199"/>
      <c r="G44" s="193"/>
      <c r="H44" s="195"/>
      <c r="I44" s="195"/>
      <c r="J44" s="196"/>
      <c r="K44" s="223"/>
      <c r="L44" s="224"/>
      <c r="P44" s="40"/>
      <c r="Q44" s="40"/>
    </row>
    <row r="45" spans="1:17" s="38" customFormat="1" ht="15.75" customHeight="1" x14ac:dyDescent="0.25">
      <c r="A45" s="47"/>
      <c r="B45" s="44"/>
      <c r="C45" s="48"/>
      <c r="D45" s="48"/>
      <c r="E45" s="49"/>
      <c r="F45" s="199"/>
      <c r="G45" s="193"/>
      <c r="H45" s="195"/>
      <c r="I45" s="195"/>
      <c r="J45" s="196"/>
      <c r="K45" s="223"/>
      <c r="L45" s="224"/>
      <c r="P45" s="40"/>
      <c r="Q45" s="40"/>
    </row>
    <row r="46" spans="1:17" s="38" customFormat="1" ht="15.75" customHeight="1" x14ac:dyDescent="0.25">
      <c r="A46" s="47"/>
      <c r="B46" s="44"/>
      <c r="C46" s="48"/>
      <c r="D46" s="48"/>
      <c r="E46" s="49"/>
      <c r="F46" s="199"/>
      <c r="G46" s="193"/>
      <c r="H46" s="195"/>
      <c r="I46" s="195"/>
      <c r="J46" s="196"/>
      <c r="K46" s="223"/>
      <c r="L46" s="224"/>
      <c r="P46" s="40"/>
      <c r="Q46" s="40"/>
    </row>
    <row r="47" spans="1:17" s="38" customFormat="1" ht="15.75" customHeight="1" x14ac:dyDescent="0.25">
      <c r="A47" s="47"/>
      <c r="B47" s="44"/>
      <c r="C47" s="48"/>
      <c r="D47" s="48"/>
      <c r="E47" s="49"/>
      <c r="F47" s="199"/>
      <c r="G47" s="193"/>
      <c r="H47" s="195"/>
      <c r="I47" s="195"/>
      <c r="J47" s="196"/>
      <c r="K47" s="223"/>
      <c r="L47" s="224"/>
      <c r="P47" s="40"/>
      <c r="Q47" s="40"/>
    </row>
    <row r="48" spans="1:17" s="38" customFormat="1" ht="15.75" customHeight="1" x14ac:dyDescent="0.25">
      <c r="A48" s="47"/>
      <c r="B48" s="44"/>
      <c r="C48" s="48"/>
      <c r="D48" s="48"/>
      <c r="E48" s="49"/>
      <c r="F48" s="199"/>
      <c r="G48" s="193"/>
      <c r="H48" s="195"/>
      <c r="I48" s="195"/>
      <c r="J48" s="196"/>
      <c r="K48" s="223"/>
      <c r="L48" s="224"/>
      <c r="P48" s="40"/>
      <c r="Q48" s="40"/>
    </row>
    <row r="49" spans="1:17" s="38" customFormat="1" ht="15.75" customHeight="1" x14ac:dyDescent="0.25">
      <c r="A49" s="47"/>
      <c r="B49" s="44"/>
      <c r="C49" s="48"/>
      <c r="D49" s="48"/>
      <c r="E49" s="49"/>
      <c r="F49" s="199"/>
      <c r="G49" s="193"/>
      <c r="H49" s="195"/>
      <c r="I49" s="195"/>
      <c r="J49" s="196"/>
      <c r="K49" s="223"/>
      <c r="L49" s="224"/>
      <c r="P49" s="40"/>
      <c r="Q49" s="40"/>
    </row>
    <row r="50" spans="1:17" s="38" customFormat="1" ht="15.75" customHeight="1" x14ac:dyDescent="0.25">
      <c r="A50" s="47"/>
      <c r="B50" s="44"/>
      <c r="C50" s="48"/>
      <c r="D50" s="48"/>
      <c r="E50" s="49"/>
      <c r="F50" s="199"/>
      <c r="G50" s="193"/>
      <c r="H50" s="195"/>
      <c r="I50" s="195"/>
      <c r="J50" s="196"/>
      <c r="K50" s="223"/>
      <c r="L50" s="224"/>
      <c r="P50" s="40"/>
      <c r="Q50" s="40"/>
    </row>
    <row r="51" spans="1:17" s="181" customFormat="1" ht="15.75" customHeight="1" x14ac:dyDescent="0.25">
      <c r="A51" s="211"/>
      <c r="B51" s="212"/>
      <c r="C51" s="213"/>
      <c r="D51" s="213"/>
      <c r="E51" s="214">
        <f>E29-C51+D51</f>
        <v>0</v>
      </c>
      <c r="F51" s="191" t="s">
        <v>41</v>
      </c>
      <c r="G51" s="215"/>
      <c r="H51" s="216">
        <f>SUM(H15:H49)</f>
        <v>38000</v>
      </c>
      <c r="I51" s="216">
        <f>SUM(I15:I49)</f>
        <v>75721.58</v>
      </c>
      <c r="J51" s="216"/>
      <c r="K51" s="225"/>
      <c r="L51" s="226"/>
      <c r="P51" s="182"/>
      <c r="Q51" s="182"/>
    </row>
    <row r="52" spans="1:17" ht="15.75" customHeight="1" x14ac:dyDescent="0.25">
      <c r="J52" s="8"/>
      <c r="K52" s="227"/>
      <c r="L52" s="227"/>
    </row>
    <row r="53" spans="1:17" ht="15.75" customHeight="1" x14ac:dyDescent="0.25">
      <c r="J53" s="8"/>
    </row>
    <row r="54" spans="1:17" ht="15.75" customHeight="1" x14ac:dyDescent="0.25">
      <c r="J54" s="8"/>
    </row>
    <row r="55" spans="1:17" ht="15.75" customHeight="1" x14ac:dyDescent="0.25">
      <c r="J55" s="8"/>
    </row>
    <row r="56" spans="1:17" ht="15.75" customHeight="1" x14ac:dyDescent="0.25">
      <c r="J56" s="8"/>
    </row>
    <row r="57" spans="1:17" ht="15.75" customHeight="1" x14ac:dyDescent="0.25">
      <c r="J57" s="8"/>
    </row>
    <row r="58" spans="1:17" ht="15.75" customHeight="1" x14ac:dyDescent="0.25">
      <c r="J58" s="8"/>
    </row>
    <row r="59" spans="1:17" ht="15.75" customHeight="1" x14ac:dyDescent="0.25">
      <c r="J59" s="8"/>
    </row>
    <row r="60" spans="1:17" ht="15.75" customHeight="1" x14ac:dyDescent="0.25">
      <c r="J60" s="8"/>
    </row>
    <row r="61" spans="1:17" ht="15.75" customHeight="1" x14ac:dyDescent="0.25">
      <c r="J61" s="8"/>
    </row>
    <row r="62" spans="1:17" ht="15.75" customHeight="1" x14ac:dyDescent="0.25">
      <c r="J62" s="8"/>
    </row>
    <row r="63" spans="1:17" ht="15.75" customHeight="1" x14ac:dyDescent="0.25">
      <c r="J63" s="8"/>
    </row>
    <row r="64" spans="1:17" ht="15.75" customHeight="1" x14ac:dyDescent="0.25">
      <c r="J64" s="8"/>
    </row>
    <row r="65" spans="10:10" ht="15.75" customHeight="1" x14ac:dyDescent="0.25">
      <c r="J65" s="8"/>
    </row>
    <row r="66" spans="10:10" ht="15.75" customHeight="1" x14ac:dyDescent="0.25">
      <c r="J66" s="8"/>
    </row>
    <row r="67" spans="10:10" ht="15.75" customHeight="1" x14ac:dyDescent="0.25">
      <c r="J67" s="8"/>
    </row>
    <row r="68" spans="10:10" ht="15.75" customHeight="1" x14ac:dyDescent="0.25">
      <c r="J68" s="8"/>
    </row>
    <row r="69" spans="10:10" ht="15.75" customHeight="1" x14ac:dyDescent="0.25">
      <c r="J69" s="8"/>
    </row>
    <row r="70" spans="10:10" ht="15.75" customHeight="1" x14ac:dyDescent="0.25">
      <c r="J70" s="8"/>
    </row>
    <row r="71" spans="10:10" ht="15.75" customHeight="1" x14ac:dyDescent="0.25">
      <c r="J71" s="8"/>
    </row>
    <row r="72" spans="10:10" ht="15.75" customHeight="1" x14ac:dyDescent="0.25">
      <c r="J72" s="8"/>
    </row>
    <row r="73" spans="10:10" ht="15.75" customHeight="1" x14ac:dyDescent="0.25">
      <c r="J73" s="8"/>
    </row>
    <row r="74" spans="10:10" ht="15.75" customHeight="1" x14ac:dyDescent="0.25">
      <c r="J74" s="8"/>
    </row>
    <row r="75" spans="10:10" ht="15.75" customHeight="1" x14ac:dyDescent="0.25">
      <c r="J75" s="8"/>
    </row>
    <row r="76" spans="10:10" ht="15.75" customHeight="1" x14ac:dyDescent="0.25">
      <c r="J76" s="8"/>
    </row>
    <row r="77" spans="10:10" ht="15.75" customHeight="1" x14ac:dyDescent="0.25">
      <c r="J77" s="8"/>
    </row>
    <row r="78" spans="10:10" ht="15.75" customHeight="1" x14ac:dyDescent="0.25">
      <c r="J78" s="8"/>
    </row>
    <row r="79" spans="10:10" ht="15.75" customHeight="1" x14ac:dyDescent="0.25">
      <c r="J79" s="8"/>
    </row>
    <row r="80" spans="10:10" ht="15.75" customHeight="1" x14ac:dyDescent="0.25">
      <c r="J80" s="8"/>
    </row>
    <row r="81" spans="10:10" ht="15.75" customHeight="1" x14ac:dyDescent="0.25">
      <c r="J81" s="8"/>
    </row>
    <row r="82" spans="10:10" ht="15.75" customHeight="1" x14ac:dyDescent="0.25">
      <c r="J82" s="8"/>
    </row>
    <row r="83" spans="10:10" ht="15.75" customHeight="1" x14ac:dyDescent="0.25">
      <c r="J83" s="8"/>
    </row>
    <row r="84" spans="10:10" ht="15.75" customHeight="1" x14ac:dyDescent="0.25">
      <c r="J84" s="8"/>
    </row>
    <row r="85" spans="10:10" ht="15.75" customHeight="1" x14ac:dyDescent="0.25">
      <c r="J85" s="8"/>
    </row>
    <row r="86" spans="10:10" ht="15.75" customHeight="1" x14ac:dyDescent="0.25">
      <c r="J86" s="8"/>
    </row>
    <row r="87" spans="10:10" ht="15.75" customHeight="1" x14ac:dyDescent="0.25">
      <c r="J87" s="8"/>
    </row>
    <row r="88" spans="10:10" ht="15.75" customHeight="1" x14ac:dyDescent="0.25">
      <c r="J88" s="8"/>
    </row>
    <row r="89" spans="10:10" ht="15.75" customHeight="1" x14ac:dyDescent="0.25">
      <c r="J89" s="8"/>
    </row>
    <row r="90" spans="10:10" ht="15.75" customHeight="1" x14ac:dyDescent="0.25">
      <c r="J90" s="8"/>
    </row>
    <row r="91" spans="10:10" ht="15.75" customHeight="1" x14ac:dyDescent="0.25">
      <c r="J91" s="8"/>
    </row>
    <row r="92" spans="10:10" ht="15.75" customHeight="1" x14ac:dyDescent="0.25">
      <c r="J92" s="8"/>
    </row>
    <row r="93" spans="10:10" ht="15.75" customHeight="1" x14ac:dyDescent="0.25">
      <c r="J93" s="8"/>
    </row>
    <row r="94" spans="10:10" ht="15.75" customHeight="1" x14ac:dyDescent="0.25">
      <c r="J94" s="8"/>
    </row>
    <row r="95" spans="10:10" ht="15.75" customHeight="1" x14ac:dyDescent="0.25">
      <c r="J95" s="8"/>
    </row>
    <row r="96" spans="10:10" ht="15.75" customHeight="1" x14ac:dyDescent="0.25">
      <c r="J96" s="8"/>
    </row>
    <row r="97" spans="10:10" ht="15.75" customHeight="1" x14ac:dyDescent="0.25">
      <c r="J97" s="8"/>
    </row>
    <row r="98" spans="10:10" ht="15.75" customHeight="1" x14ac:dyDescent="0.25">
      <c r="J98" s="8"/>
    </row>
    <row r="99" spans="10:10" ht="15.75" customHeight="1" x14ac:dyDescent="0.25">
      <c r="J99" s="8"/>
    </row>
    <row r="100" spans="10:10" ht="15.75" customHeight="1" x14ac:dyDescent="0.25">
      <c r="J100" s="8"/>
    </row>
    <row r="101" spans="10:10" ht="15.75" customHeight="1" x14ac:dyDescent="0.25">
      <c r="J101" s="8"/>
    </row>
    <row r="102" spans="10:10" ht="15.75" customHeight="1" x14ac:dyDescent="0.25">
      <c r="J102" s="8"/>
    </row>
    <row r="103" spans="10:10" ht="15.75" customHeight="1" x14ac:dyDescent="0.25">
      <c r="J103" s="8"/>
    </row>
    <row r="104" spans="10:10" ht="15.75" customHeight="1" x14ac:dyDescent="0.25">
      <c r="J104" s="8"/>
    </row>
    <row r="105" spans="10:10" ht="15.75" customHeight="1" x14ac:dyDescent="0.25">
      <c r="J105" s="8"/>
    </row>
    <row r="106" spans="10:10" ht="15.75" customHeight="1" x14ac:dyDescent="0.25">
      <c r="J106" s="8"/>
    </row>
    <row r="107" spans="10:10" ht="15.75" customHeight="1" x14ac:dyDescent="0.25">
      <c r="J107" s="8"/>
    </row>
    <row r="108" spans="10:10" ht="15.75" customHeight="1" x14ac:dyDescent="0.25">
      <c r="J108" s="8"/>
    </row>
    <row r="109" spans="10:10" ht="15.75" customHeight="1" x14ac:dyDescent="0.25">
      <c r="J109" s="8"/>
    </row>
    <row r="110" spans="10:10" ht="15.75" customHeight="1" x14ac:dyDescent="0.25">
      <c r="J110" s="8"/>
    </row>
    <row r="111" spans="10:10" ht="15.75" customHeight="1" x14ac:dyDescent="0.25">
      <c r="J111" s="8"/>
    </row>
    <row r="112" spans="10:10" ht="15.75" customHeight="1" x14ac:dyDescent="0.25">
      <c r="J112" s="8"/>
    </row>
    <row r="113" spans="10:10" ht="15.75" customHeight="1" x14ac:dyDescent="0.25">
      <c r="J113" s="8"/>
    </row>
    <row r="114" spans="10:10" ht="15.75" customHeight="1" x14ac:dyDescent="0.25">
      <c r="J114" s="8"/>
    </row>
    <row r="115" spans="10:10" ht="15.75" customHeight="1" x14ac:dyDescent="0.25">
      <c r="J115" s="8"/>
    </row>
    <row r="116" spans="10:10" ht="15.75" customHeight="1" x14ac:dyDescent="0.25">
      <c r="J116" s="8"/>
    </row>
    <row r="117" spans="10:10" ht="15.75" customHeight="1" x14ac:dyDescent="0.25">
      <c r="J117" s="8"/>
    </row>
    <row r="118" spans="10:10" ht="15.75" customHeight="1" x14ac:dyDescent="0.25">
      <c r="J118" s="8"/>
    </row>
    <row r="119" spans="10:10" ht="15.75" customHeight="1" x14ac:dyDescent="0.25">
      <c r="J119" s="8"/>
    </row>
    <row r="120" spans="10:10" ht="15.75" customHeight="1" x14ac:dyDescent="0.25">
      <c r="J120" s="8"/>
    </row>
    <row r="121" spans="10:10" ht="15.75" customHeight="1" x14ac:dyDescent="0.25">
      <c r="J121" s="8"/>
    </row>
    <row r="122" spans="10:10" ht="15.75" customHeight="1" x14ac:dyDescent="0.25">
      <c r="J122" s="8"/>
    </row>
    <row r="123" spans="10:10" ht="15.75" customHeight="1" x14ac:dyDescent="0.25">
      <c r="J123" s="8"/>
    </row>
    <row r="124" spans="10:10" ht="15.75" customHeight="1" x14ac:dyDescent="0.25">
      <c r="J124" s="8"/>
    </row>
    <row r="125" spans="10:10" ht="15.75" customHeight="1" x14ac:dyDescent="0.25">
      <c r="J125" s="8"/>
    </row>
    <row r="126" spans="10:10" ht="15.75" customHeight="1" x14ac:dyDescent="0.25">
      <c r="J126" s="8"/>
    </row>
    <row r="127" spans="10:10" ht="15.75" customHeight="1" x14ac:dyDescent="0.25">
      <c r="J127" s="8"/>
    </row>
    <row r="128" spans="10:10" ht="15.75" customHeight="1" x14ac:dyDescent="0.25">
      <c r="J128" s="8"/>
    </row>
    <row r="129" spans="10:10" ht="15.75" customHeight="1" x14ac:dyDescent="0.25">
      <c r="J129" s="8"/>
    </row>
    <row r="130" spans="10:10" ht="15.75" customHeight="1" x14ac:dyDescent="0.25">
      <c r="J130" s="8"/>
    </row>
    <row r="131" spans="10:10" ht="15.75" customHeight="1" x14ac:dyDescent="0.25">
      <c r="J131" s="8"/>
    </row>
    <row r="132" spans="10:10" ht="15.75" customHeight="1" x14ac:dyDescent="0.25">
      <c r="J132" s="8"/>
    </row>
    <row r="133" spans="10:10" ht="15.75" customHeight="1" x14ac:dyDescent="0.25">
      <c r="J133" s="8"/>
    </row>
    <row r="134" spans="10:10" ht="15.75" customHeight="1" x14ac:dyDescent="0.25">
      <c r="J134" s="8"/>
    </row>
    <row r="135" spans="10:10" ht="15.75" customHeight="1" x14ac:dyDescent="0.25">
      <c r="J135" s="8"/>
    </row>
    <row r="136" spans="10:10" ht="15.75" customHeight="1" x14ac:dyDescent="0.25">
      <c r="J136" s="8"/>
    </row>
    <row r="137" spans="10:10" ht="15.75" customHeight="1" x14ac:dyDescent="0.25">
      <c r="J137" s="8"/>
    </row>
    <row r="138" spans="10:10" ht="15.75" customHeight="1" x14ac:dyDescent="0.25">
      <c r="J138" s="8"/>
    </row>
    <row r="139" spans="10:10" ht="15.75" customHeight="1" x14ac:dyDescent="0.25">
      <c r="J139" s="8"/>
    </row>
    <row r="140" spans="10:10" ht="15.75" customHeight="1" x14ac:dyDescent="0.25">
      <c r="J140" s="8"/>
    </row>
    <row r="141" spans="10:10" ht="15.75" customHeight="1" x14ac:dyDescent="0.25">
      <c r="J141" s="8"/>
    </row>
    <row r="142" spans="10:10" ht="15.75" customHeight="1" x14ac:dyDescent="0.25">
      <c r="J142" s="8"/>
    </row>
    <row r="143" spans="10:10" ht="15.75" customHeight="1" x14ac:dyDescent="0.25">
      <c r="J143" s="8"/>
    </row>
    <row r="144" spans="10:10" ht="15.75" customHeight="1" x14ac:dyDescent="0.25">
      <c r="J144" s="8"/>
    </row>
    <row r="145" spans="10:10" ht="15.75" customHeight="1" x14ac:dyDescent="0.25">
      <c r="J145" s="8"/>
    </row>
    <row r="146" spans="10:10" ht="15.75" customHeight="1" x14ac:dyDescent="0.25">
      <c r="J146" s="8"/>
    </row>
    <row r="147" spans="10:10" ht="15.75" customHeight="1" x14ac:dyDescent="0.25">
      <c r="J147" s="8"/>
    </row>
    <row r="148" spans="10:10" ht="15.75" customHeight="1" x14ac:dyDescent="0.25">
      <c r="J148" s="8"/>
    </row>
    <row r="149" spans="10:10" ht="15.75" customHeight="1" x14ac:dyDescent="0.25">
      <c r="J149" s="8"/>
    </row>
    <row r="150" spans="10:10" ht="15.75" customHeight="1" x14ac:dyDescent="0.25">
      <c r="J150" s="8"/>
    </row>
    <row r="151" spans="10:10" ht="15.75" customHeight="1" x14ac:dyDescent="0.25">
      <c r="J151" s="8"/>
    </row>
    <row r="152" spans="10:10" ht="15.75" customHeight="1" x14ac:dyDescent="0.25">
      <c r="J152" s="8"/>
    </row>
    <row r="153" spans="10:10" ht="15.75" customHeight="1" x14ac:dyDescent="0.25">
      <c r="J153" s="8"/>
    </row>
    <row r="154" spans="10:10" ht="15.75" customHeight="1" x14ac:dyDescent="0.25">
      <c r="J154" s="8"/>
    </row>
    <row r="155" spans="10:10" ht="15.75" customHeight="1" x14ac:dyDescent="0.25">
      <c r="J155" s="8"/>
    </row>
    <row r="156" spans="10:10" ht="15.75" customHeight="1" x14ac:dyDescent="0.25">
      <c r="J156" s="8"/>
    </row>
    <row r="157" spans="10:10" ht="15.75" customHeight="1" x14ac:dyDescent="0.25">
      <c r="J157" s="8"/>
    </row>
    <row r="158" spans="10:10" ht="15.75" customHeight="1" x14ac:dyDescent="0.25">
      <c r="J158" s="8"/>
    </row>
    <row r="159" spans="10:10" ht="15.75" customHeight="1" x14ac:dyDescent="0.25">
      <c r="J159" s="8"/>
    </row>
    <row r="160" spans="10:10" ht="15.75" customHeight="1" x14ac:dyDescent="0.25">
      <c r="J160" s="8"/>
    </row>
    <row r="161" spans="10:10" ht="15.75" customHeight="1" x14ac:dyDescent="0.25">
      <c r="J161" s="8"/>
    </row>
    <row r="162" spans="10:10" ht="15.75" customHeight="1" x14ac:dyDescent="0.25">
      <c r="J162" s="8"/>
    </row>
    <row r="163" spans="10:10" ht="15.75" customHeight="1" x14ac:dyDescent="0.25">
      <c r="J163" s="8"/>
    </row>
    <row r="164" spans="10:10" ht="15.75" customHeight="1" x14ac:dyDescent="0.25">
      <c r="J164" s="8"/>
    </row>
    <row r="165" spans="10:10" ht="15.75" customHeight="1" x14ac:dyDescent="0.25">
      <c r="J165" s="8"/>
    </row>
    <row r="166" spans="10:10" ht="15.75" customHeight="1" x14ac:dyDescent="0.25">
      <c r="J166" s="8"/>
    </row>
    <row r="167" spans="10:10" ht="15.75" customHeight="1" x14ac:dyDescent="0.25">
      <c r="J167" s="8"/>
    </row>
    <row r="168" spans="10:10" ht="15.75" customHeight="1" x14ac:dyDescent="0.25">
      <c r="J168" s="8"/>
    </row>
    <row r="169" spans="10:10" ht="15.75" customHeight="1" x14ac:dyDescent="0.25">
      <c r="J169" s="8"/>
    </row>
    <row r="170" spans="10:10" ht="15.75" customHeight="1" x14ac:dyDescent="0.25">
      <c r="J170" s="8"/>
    </row>
    <row r="171" spans="10:10" ht="15.75" customHeight="1" x14ac:dyDescent="0.25">
      <c r="J171" s="8"/>
    </row>
    <row r="172" spans="10:10" ht="15.75" customHeight="1" x14ac:dyDescent="0.25">
      <c r="J172" s="8"/>
    </row>
    <row r="173" spans="10:10" ht="15.75" customHeight="1" x14ac:dyDescent="0.25">
      <c r="J173" s="8"/>
    </row>
    <row r="174" spans="10:10" ht="15.75" customHeight="1" x14ac:dyDescent="0.25">
      <c r="J174" s="8"/>
    </row>
    <row r="175" spans="10:10" ht="15.75" customHeight="1" x14ac:dyDescent="0.25">
      <c r="J175" s="8"/>
    </row>
    <row r="176" spans="10:10" ht="15.75" customHeight="1" x14ac:dyDescent="0.25">
      <c r="J176" s="8"/>
    </row>
    <row r="177" spans="10:10" ht="15.75" customHeight="1" x14ac:dyDescent="0.25">
      <c r="J177" s="8"/>
    </row>
    <row r="178" spans="10:10" ht="15.75" customHeight="1" x14ac:dyDescent="0.25">
      <c r="J178" s="8"/>
    </row>
    <row r="179" spans="10:10" ht="15.75" customHeight="1" x14ac:dyDescent="0.25">
      <c r="J179" s="8"/>
    </row>
    <row r="180" spans="10:10" ht="15.75" customHeight="1" x14ac:dyDescent="0.25">
      <c r="J180" s="8"/>
    </row>
    <row r="181" spans="10:10" ht="15.75" customHeight="1" x14ac:dyDescent="0.25">
      <c r="J181" s="8"/>
    </row>
    <row r="182" spans="10:10" ht="15.75" customHeight="1" x14ac:dyDescent="0.25">
      <c r="J182" s="8"/>
    </row>
    <row r="183" spans="10:10" ht="15.75" customHeight="1" x14ac:dyDescent="0.25">
      <c r="J183" s="8"/>
    </row>
    <row r="184" spans="10:10" ht="15.75" customHeight="1" x14ac:dyDescent="0.25">
      <c r="J184" s="8"/>
    </row>
    <row r="185" spans="10:10" ht="15.75" customHeight="1" x14ac:dyDescent="0.25">
      <c r="J185" s="8"/>
    </row>
    <row r="186" spans="10:10" ht="15.75" customHeight="1" x14ac:dyDescent="0.25">
      <c r="J186" s="8"/>
    </row>
    <row r="187" spans="10:10" ht="15.75" customHeight="1" x14ac:dyDescent="0.25">
      <c r="J187" s="8"/>
    </row>
    <row r="188" spans="10:10" ht="15.75" customHeight="1" x14ac:dyDescent="0.25">
      <c r="J188" s="8"/>
    </row>
    <row r="189" spans="10:10" ht="15.75" customHeight="1" x14ac:dyDescent="0.25">
      <c r="J189" s="8"/>
    </row>
    <row r="190" spans="10:10" ht="15.75" customHeight="1" x14ac:dyDescent="0.25">
      <c r="J190" s="8"/>
    </row>
    <row r="191" spans="10:10" ht="15.75" customHeight="1" x14ac:dyDescent="0.25">
      <c r="J191" s="8"/>
    </row>
    <row r="192" spans="10:10" ht="15.75" customHeight="1" x14ac:dyDescent="0.25">
      <c r="J192" s="8"/>
    </row>
    <row r="193" spans="10:10" ht="15.75" customHeight="1" x14ac:dyDescent="0.25">
      <c r="J193" s="8"/>
    </row>
    <row r="194" spans="10:10" ht="15.75" customHeight="1" x14ac:dyDescent="0.25">
      <c r="J194" s="8"/>
    </row>
    <row r="195" spans="10:10" ht="15.75" customHeight="1" x14ac:dyDescent="0.25">
      <c r="J195" s="8"/>
    </row>
    <row r="196" spans="10:10" ht="15.75" customHeight="1" x14ac:dyDescent="0.25">
      <c r="J196" s="8"/>
    </row>
    <row r="197" spans="10:10" ht="15.75" customHeight="1" x14ac:dyDescent="0.25">
      <c r="J197" s="8"/>
    </row>
    <row r="198" spans="10:10" ht="15.75" customHeight="1" x14ac:dyDescent="0.25">
      <c r="J198" s="8"/>
    </row>
    <row r="199" spans="10:10" ht="15.75" customHeight="1" x14ac:dyDescent="0.25">
      <c r="J199" s="8"/>
    </row>
    <row r="200" spans="10:10" ht="15.75" customHeight="1" x14ac:dyDescent="0.25">
      <c r="J200" s="8"/>
    </row>
    <row r="201" spans="10:10" ht="15.75" customHeight="1" x14ac:dyDescent="0.25">
      <c r="J201" s="8"/>
    </row>
    <row r="202" spans="10:10" ht="15.75" customHeight="1" x14ac:dyDescent="0.25">
      <c r="J202" s="8"/>
    </row>
    <row r="203" spans="10:10" ht="15.75" customHeight="1" x14ac:dyDescent="0.25">
      <c r="J203" s="8"/>
    </row>
    <row r="204" spans="10:10" ht="15.75" customHeight="1" x14ac:dyDescent="0.25">
      <c r="J204" s="8"/>
    </row>
    <row r="205" spans="10:10" ht="15.75" customHeight="1" x14ac:dyDescent="0.25">
      <c r="J205" s="8"/>
    </row>
    <row r="206" spans="10:10" ht="15.75" customHeight="1" x14ac:dyDescent="0.25">
      <c r="J206" s="8"/>
    </row>
    <row r="207" spans="10:10" ht="15.75" customHeight="1" x14ac:dyDescent="0.25">
      <c r="J207" s="8"/>
    </row>
    <row r="208" spans="10:10" ht="15.75" customHeight="1" x14ac:dyDescent="0.25">
      <c r="J208" s="8"/>
    </row>
    <row r="209" spans="10:10" ht="15.75" customHeight="1" x14ac:dyDescent="0.25">
      <c r="J209" s="8"/>
    </row>
    <row r="210" spans="10:10" ht="15.75" customHeight="1" x14ac:dyDescent="0.25">
      <c r="J210" s="8"/>
    </row>
    <row r="211" spans="10:10" ht="15.75" customHeight="1" x14ac:dyDescent="0.25">
      <c r="J211" s="8"/>
    </row>
    <row r="212" spans="10:10" ht="15.75" customHeight="1" x14ac:dyDescent="0.25">
      <c r="J212" s="8"/>
    </row>
    <row r="213" spans="10:10" ht="15.75" customHeight="1" x14ac:dyDescent="0.25">
      <c r="J213" s="8"/>
    </row>
    <row r="214" spans="10:10" ht="15.75" customHeight="1" x14ac:dyDescent="0.25">
      <c r="J214" s="8"/>
    </row>
    <row r="215" spans="10:10" ht="15.75" customHeight="1" x14ac:dyDescent="0.25">
      <c r="J215" s="8"/>
    </row>
    <row r="216" spans="10:10" ht="15.75" customHeight="1" x14ac:dyDescent="0.25">
      <c r="J216" s="8"/>
    </row>
    <row r="217" spans="10:10" ht="15.75" customHeight="1" x14ac:dyDescent="0.25">
      <c r="J217" s="8"/>
    </row>
    <row r="218" spans="10:10" ht="15.75" customHeight="1" x14ac:dyDescent="0.25">
      <c r="J218" s="8"/>
    </row>
    <row r="219" spans="10:10" ht="15.75" customHeight="1" x14ac:dyDescent="0.25">
      <c r="J219" s="8"/>
    </row>
    <row r="220" spans="10:10" ht="15.75" customHeight="1" x14ac:dyDescent="0.25">
      <c r="J220" s="8"/>
    </row>
    <row r="221" spans="10:10" ht="15.75" customHeight="1" x14ac:dyDescent="0.25">
      <c r="J221" s="8"/>
    </row>
    <row r="222" spans="10:10" ht="15.75" customHeight="1" x14ac:dyDescent="0.25">
      <c r="J222" s="8"/>
    </row>
    <row r="223" spans="10:10" ht="15.75" customHeight="1" x14ac:dyDescent="0.25">
      <c r="J223" s="8"/>
    </row>
    <row r="224" spans="10:10" ht="15.75" customHeight="1" x14ac:dyDescent="0.25">
      <c r="J224" s="8"/>
    </row>
    <row r="225" spans="10:10" ht="15.75" customHeight="1" x14ac:dyDescent="0.25">
      <c r="J225" s="8"/>
    </row>
    <row r="226" spans="10:10" ht="15.75" customHeight="1" x14ac:dyDescent="0.25">
      <c r="J226" s="8"/>
    </row>
    <row r="227" spans="10:10" ht="15.75" customHeight="1" x14ac:dyDescent="0.25">
      <c r="J227" s="8"/>
    </row>
    <row r="228" spans="10:10" ht="15.75" customHeight="1" x14ac:dyDescent="0.25">
      <c r="J228" s="8"/>
    </row>
    <row r="229" spans="10:10" ht="15.75" customHeight="1" x14ac:dyDescent="0.25">
      <c r="J229" s="8"/>
    </row>
    <row r="230" spans="10:10" ht="15.75" customHeight="1" x14ac:dyDescent="0.25">
      <c r="J230" s="8"/>
    </row>
    <row r="231" spans="10:10" ht="15.75" customHeight="1" x14ac:dyDescent="0.25">
      <c r="J231" s="8"/>
    </row>
    <row r="232" spans="10:10" ht="15.75" customHeight="1" x14ac:dyDescent="0.25">
      <c r="J232" s="8"/>
    </row>
    <row r="233" spans="10:10" ht="15.75" customHeight="1" x14ac:dyDescent="0.25">
      <c r="J233" s="8"/>
    </row>
    <row r="234" spans="10:10" ht="15.75" customHeight="1" x14ac:dyDescent="0.25">
      <c r="J234" s="8"/>
    </row>
    <row r="235" spans="10:10" ht="15.75" customHeight="1" x14ac:dyDescent="0.25">
      <c r="J235" s="8"/>
    </row>
    <row r="236" spans="10:10" ht="15.75" customHeight="1" x14ac:dyDescent="0.25">
      <c r="J236" s="8"/>
    </row>
    <row r="237" spans="10:10" ht="15.75" customHeight="1" x14ac:dyDescent="0.25">
      <c r="J237" s="8"/>
    </row>
    <row r="238" spans="10:10" ht="15.75" customHeight="1" x14ac:dyDescent="0.25">
      <c r="J238" s="8"/>
    </row>
    <row r="239" spans="10:10" ht="15.75" customHeight="1" x14ac:dyDescent="0.25">
      <c r="J239" s="8"/>
    </row>
    <row r="240" spans="10:10" ht="15.75" customHeight="1" x14ac:dyDescent="0.25">
      <c r="J240" s="8"/>
    </row>
    <row r="241" spans="10:10" ht="15.75" customHeight="1" x14ac:dyDescent="0.25">
      <c r="J241" s="8"/>
    </row>
    <row r="242" spans="10:10" ht="15.75" customHeight="1" x14ac:dyDescent="0.25">
      <c r="J242" s="8"/>
    </row>
    <row r="243" spans="10:10" ht="15.75" customHeight="1" x14ac:dyDescent="0.25">
      <c r="J243" s="8"/>
    </row>
    <row r="244" spans="10:10" ht="15.75" customHeight="1" x14ac:dyDescent="0.25">
      <c r="J244" s="8"/>
    </row>
    <row r="245" spans="10:10" ht="15.75" customHeight="1" x14ac:dyDescent="0.25">
      <c r="J245" s="8"/>
    </row>
    <row r="246" spans="10:10" ht="15.75" customHeight="1" x14ac:dyDescent="0.25">
      <c r="J246" s="8"/>
    </row>
    <row r="247" spans="10:10" ht="15.75" customHeight="1" x14ac:dyDescent="0.25">
      <c r="J247" s="8"/>
    </row>
    <row r="248" spans="10:10" ht="15.75" customHeight="1" x14ac:dyDescent="0.25">
      <c r="J248" s="8"/>
    </row>
    <row r="249" spans="10:10" ht="15.75" customHeight="1" x14ac:dyDescent="0.25">
      <c r="J249" s="8"/>
    </row>
    <row r="250" spans="10:10" ht="15.75" customHeight="1" x14ac:dyDescent="0.25">
      <c r="J250" s="8"/>
    </row>
    <row r="251" spans="10:10" ht="15.75" customHeight="1" x14ac:dyDescent="0.25">
      <c r="J251" s="8"/>
    </row>
    <row r="252" spans="10:10" ht="15.75" customHeight="1" x14ac:dyDescent="0.25">
      <c r="J252" s="8"/>
    </row>
    <row r="253" spans="10:10" ht="15.75" customHeight="1" x14ac:dyDescent="0.25">
      <c r="J253" s="8"/>
    </row>
    <row r="254" spans="10:10" ht="15.75" customHeight="1" x14ac:dyDescent="0.25">
      <c r="J254" s="8"/>
    </row>
    <row r="255" spans="10:10" ht="15.75" customHeight="1" x14ac:dyDescent="0.25">
      <c r="J255" s="8"/>
    </row>
    <row r="256" spans="10:10" ht="15.75" customHeight="1" x14ac:dyDescent="0.25">
      <c r="J256" s="8"/>
    </row>
    <row r="257" spans="10:10" ht="15.75" customHeight="1" x14ac:dyDescent="0.25">
      <c r="J257" s="8"/>
    </row>
    <row r="258" spans="10:10" ht="15.75" customHeight="1" x14ac:dyDescent="0.25">
      <c r="J258" s="8"/>
    </row>
    <row r="259" spans="10:10" ht="15.75" customHeight="1" x14ac:dyDescent="0.25">
      <c r="J259" s="8"/>
    </row>
    <row r="260" spans="10:10" ht="15.75" customHeight="1" x14ac:dyDescent="0.25">
      <c r="J260" s="8"/>
    </row>
    <row r="261" spans="10:10" ht="15.75" customHeight="1" x14ac:dyDescent="0.25">
      <c r="J261" s="8"/>
    </row>
    <row r="262" spans="10:10" ht="15.75" customHeight="1" x14ac:dyDescent="0.25">
      <c r="J262" s="8"/>
    </row>
    <row r="263" spans="10:10" ht="15.75" customHeight="1" x14ac:dyDescent="0.25">
      <c r="J263" s="8"/>
    </row>
    <row r="264" spans="10:10" ht="15.75" customHeight="1" x14ac:dyDescent="0.25">
      <c r="J264" s="8"/>
    </row>
    <row r="265" spans="10:10" ht="15.75" customHeight="1" x14ac:dyDescent="0.25">
      <c r="J265" s="8"/>
    </row>
    <row r="266" spans="10:10" ht="15.75" customHeight="1" x14ac:dyDescent="0.25">
      <c r="J266" s="8"/>
    </row>
    <row r="267" spans="10:10" ht="15.75" customHeight="1" x14ac:dyDescent="0.25">
      <c r="J267" s="8"/>
    </row>
    <row r="268" spans="10:10" ht="15.75" customHeight="1" x14ac:dyDescent="0.25">
      <c r="J268" s="8"/>
    </row>
    <row r="269" spans="10:10" ht="15.75" customHeight="1" x14ac:dyDescent="0.25">
      <c r="J269" s="8"/>
    </row>
    <row r="270" spans="10:10" ht="15.75" customHeight="1" x14ac:dyDescent="0.25">
      <c r="J270" s="8"/>
    </row>
    <row r="271" spans="10:10" ht="15.75" customHeight="1" x14ac:dyDescent="0.25">
      <c r="J271" s="8"/>
    </row>
    <row r="272" spans="10:10" ht="15.75" customHeight="1" x14ac:dyDescent="0.25">
      <c r="J272" s="8"/>
    </row>
    <row r="273" spans="10:10" ht="15.75" customHeight="1" x14ac:dyDescent="0.25">
      <c r="J273" s="8"/>
    </row>
    <row r="274" spans="10:10" ht="15.75" customHeight="1" x14ac:dyDescent="0.25">
      <c r="J274" s="8"/>
    </row>
    <row r="275" spans="10:10" ht="15.75" customHeight="1" x14ac:dyDescent="0.25">
      <c r="J275" s="8"/>
    </row>
    <row r="276" spans="10:10" ht="15.75" customHeight="1" x14ac:dyDescent="0.25">
      <c r="J276" s="8"/>
    </row>
    <row r="277" spans="10:10" ht="15.75" customHeight="1" x14ac:dyDescent="0.25">
      <c r="J277" s="8"/>
    </row>
    <row r="278" spans="10:10" ht="15.75" customHeight="1" x14ac:dyDescent="0.25">
      <c r="J278" s="8"/>
    </row>
    <row r="279" spans="10:10" ht="15.75" customHeight="1" x14ac:dyDescent="0.25">
      <c r="J279" s="8"/>
    </row>
    <row r="280" spans="10:10" ht="15.75" customHeight="1" x14ac:dyDescent="0.25">
      <c r="J280" s="8"/>
    </row>
    <row r="281" spans="10:10" ht="15.75" customHeight="1" x14ac:dyDescent="0.25">
      <c r="J281" s="8"/>
    </row>
    <row r="282" spans="10:10" ht="15.75" customHeight="1" x14ac:dyDescent="0.25">
      <c r="J282" s="8"/>
    </row>
    <row r="283" spans="10:10" ht="15.75" customHeight="1" x14ac:dyDescent="0.25">
      <c r="J283" s="8"/>
    </row>
    <row r="284" spans="10:10" ht="15.75" customHeight="1" x14ac:dyDescent="0.25">
      <c r="J284" s="8"/>
    </row>
    <row r="285" spans="10:10" ht="15.75" customHeight="1" x14ac:dyDescent="0.25">
      <c r="J285" s="8"/>
    </row>
    <row r="286" spans="10:10" ht="15.75" customHeight="1" x14ac:dyDescent="0.25">
      <c r="J286" s="8"/>
    </row>
    <row r="287" spans="10:10" ht="15.75" customHeight="1" x14ac:dyDescent="0.25">
      <c r="J287" s="8"/>
    </row>
    <row r="288" spans="10:10" ht="15.75" customHeight="1" x14ac:dyDescent="0.25">
      <c r="J288" s="8"/>
    </row>
    <row r="289" spans="10:10" ht="15.75" customHeight="1" x14ac:dyDescent="0.25">
      <c r="J289" s="8"/>
    </row>
    <row r="290" spans="10:10" ht="15.75" customHeight="1" x14ac:dyDescent="0.25">
      <c r="J290" s="8"/>
    </row>
    <row r="291" spans="10:10" ht="15.75" customHeight="1" x14ac:dyDescent="0.25">
      <c r="J291" s="8"/>
    </row>
    <row r="292" spans="10:10" ht="15.75" customHeight="1" x14ac:dyDescent="0.25">
      <c r="J292" s="8"/>
    </row>
    <row r="293" spans="10:10" ht="15.75" customHeight="1" x14ac:dyDescent="0.25">
      <c r="J293" s="8"/>
    </row>
    <row r="294" spans="10:10" ht="15.75" customHeight="1" x14ac:dyDescent="0.25">
      <c r="J294" s="8"/>
    </row>
    <row r="295" spans="10:10" ht="15.75" customHeight="1" x14ac:dyDescent="0.25">
      <c r="J295" s="8"/>
    </row>
    <row r="296" spans="10:10" ht="15.75" customHeight="1" x14ac:dyDescent="0.25">
      <c r="J296" s="8"/>
    </row>
    <row r="297" spans="10:10" ht="15.75" customHeight="1" x14ac:dyDescent="0.25">
      <c r="J297" s="8"/>
    </row>
    <row r="298" spans="10:10" ht="15.75" customHeight="1" x14ac:dyDescent="0.25">
      <c r="J298" s="8"/>
    </row>
    <row r="299" spans="10:10" ht="15.75" customHeight="1" x14ac:dyDescent="0.25">
      <c r="J299" s="8"/>
    </row>
    <row r="300" spans="10:10" ht="15.75" customHeight="1" x14ac:dyDescent="0.25">
      <c r="J300" s="8"/>
    </row>
    <row r="301" spans="10:10" ht="15.75" customHeight="1" x14ac:dyDescent="0.25">
      <c r="J301" s="8"/>
    </row>
    <row r="302" spans="10:10" ht="15.75" customHeight="1" x14ac:dyDescent="0.25">
      <c r="J302" s="8"/>
    </row>
    <row r="303" spans="10:10" ht="15.75" customHeight="1" x14ac:dyDescent="0.25">
      <c r="J303" s="8"/>
    </row>
    <row r="304" spans="10:10" ht="15.75" customHeight="1" x14ac:dyDescent="0.25">
      <c r="J304" s="8"/>
    </row>
    <row r="305" spans="10:10" ht="15.75" customHeight="1" x14ac:dyDescent="0.25">
      <c r="J305" s="8"/>
    </row>
    <row r="306" spans="10:10" ht="15.75" customHeight="1" x14ac:dyDescent="0.25">
      <c r="J306" s="8"/>
    </row>
    <row r="307" spans="10:10" ht="15.75" customHeight="1" x14ac:dyDescent="0.25">
      <c r="J307" s="8"/>
    </row>
    <row r="308" spans="10:10" ht="15.75" customHeight="1" x14ac:dyDescent="0.25">
      <c r="J308" s="8"/>
    </row>
    <row r="309" spans="10:10" ht="15.75" customHeight="1" x14ac:dyDescent="0.25">
      <c r="J309" s="8"/>
    </row>
    <row r="310" spans="10:10" ht="15.75" customHeight="1" x14ac:dyDescent="0.25">
      <c r="J310" s="8"/>
    </row>
    <row r="311" spans="10:10" ht="15.75" customHeight="1" x14ac:dyDescent="0.25">
      <c r="J311" s="8"/>
    </row>
    <row r="312" spans="10:10" ht="15.75" customHeight="1" x14ac:dyDescent="0.25">
      <c r="J312" s="8"/>
    </row>
    <row r="313" spans="10:10" ht="15.75" customHeight="1" x14ac:dyDescent="0.25">
      <c r="J313" s="8"/>
    </row>
    <row r="314" spans="10:10" ht="15.75" customHeight="1" x14ac:dyDescent="0.25">
      <c r="J314" s="8"/>
    </row>
    <row r="315" spans="10:10" ht="15.75" customHeight="1" x14ac:dyDescent="0.25">
      <c r="J315" s="8"/>
    </row>
    <row r="316" spans="10:10" ht="15.75" customHeight="1" x14ac:dyDescent="0.25">
      <c r="J316" s="8"/>
    </row>
    <row r="317" spans="10:10" ht="15.75" customHeight="1" x14ac:dyDescent="0.25">
      <c r="J317" s="8"/>
    </row>
    <row r="318" spans="10:10" ht="15.75" customHeight="1" x14ac:dyDescent="0.25">
      <c r="J318" s="8"/>
    </row>
    <row r="319" spans="10:10" ht="15.75" customHeight="1" x14ac:dyDescent="0.25">
      <c r="J319" s="8"/>
    </row>
    <row r="320" spans="10:10" ht="15.75" customHeight="1" x14ac:dyDescent="0.25">
      <c r="J320" s="8"/>
    </row>
    <row r="321" spans="10:10" ht="15.75" customHeight="1" x14ac:dyDescent="0.25">
      <c r="J321" s="8"/>
    </row>
    <row r="322" spans="10:10" ht="15.75" customHeight="1" x14ac:dyDescent="0.25">
      <c r="J322" s="8"/>
    </row>
    <row r="323" spans="10:10" ht="15.75" customHeight="1" x14ac:dyDescent="0.25">
      <c r="J323" s="8"/>
    </row>
    <row r="324" spans="10:10" ht="15.75" customHeight="1" x14ac:dyDescent="0.25">
      <c r="J324" s="8"/>
    </row>
    <row r="325" spans="10:10" ht="15.75" customHeight="1" x14ac:dyDescent="0.25">
      <c r="J325" s="8"/>
    </row>
    <row r="326" spans="10:10" ht="15.75" customHeight="1" x14ac:dyDescent="0.25">
      <c r="J326" s="8"/>
    </row>
    <row r="327" spans="10:10" ht="15.75" customHeight="1" x14ac:dyDescent="0.25">
      <c r="J327" s="8"/>
    </row>
    <row r="328" spans="10:10" ht="15.75" customHeight="1" x14ac:dyDescent="0.25">
      <c r="J328" s="8"/>
    </row>
    <row r="329" spans="10:10" ht="15.75" customHeight="1" x14ac:dyDescent="0.25">
      <c r="J329" s="8"/>
    </row>
    <row r="330" spans="10:10" ht="15.75" customHeight="1" x14ac:dyDescent="0.25">
      <c r="J330" s="8"/>
    </row>
    <row r="331" spans="10:10" ht="15.75" customHeight="1" x14ac:dyDescent="0.25">
      <c r="J331" s="8"/>
    </row>
    <row r="332" spans="10:10" ht="15.75" customHeight="1" x14ac:dyDescent="0.25">
      <c r="J332" s="8"/>
    </row>
    <row r="333" spans="10:10" ht="15.75" customHeight="1" x14ac:dyDescent="0.25">
      <c r="J333" s="8"/>
    </row>
    <row r="334" spans="10:10" ht="15.75" customHeight="1" x14ac:dyDescent="0.25">
      <c r="J334" s="8"/>
    </row>
    <row r="335" spans="10:10" ht="15.75" customHeight="1" x14ac:dyDescent="0.25">
      <c r="J335" s="8"/>
    </row>
    <row r="336" spans="10:10" ht="15.75" customHeight="1" x14ac:dyDescent="0.25">
      <c r="J336" s="8"/>
    </row>
    <row r="337" spans="10:10" ht="15.75" customHeight="1" x14ac:dyDescent="0.25">
      <c r="J337" s="8"/>
    </row>
    <row r="338" spans="10:10" ht="15.75" customHeight="1" x14ac:dyDescent="0.25">
      <c r="J338" s="8"/>
    </row>
    <row r="339" spans="10:10" ht="15.75" customHeight="1" x14ac:dyDescent="0.25">
      <c r="J339" s="8"/>
    </row>
    <row r="340" spans="10:10" ht="15.75" customHeight="1" x14ac:dyDescent="0.25">
      <c r="J340" s="8"/>
    </row>
    <row r="341" spans="10:10" ht="15.75" customHeight="1" x14ac:dyDescent="0.25">
      <c r="J341" s="8"/>
    </row>
    <row r="342" spans="10:10" ht="15.75" customHeight="1" x14ac:dyDescent="0.25">
      <c r="J342" s="8"/>
    </row>
    <row r="343" spans="10:10" ht="15.75" customHeight="1" x14ac:dyDescent="0.25">
      <c r="J343" s="8"/>
    </row>
    <row r="344" spans="10:10" ht="15.75" customHeight="1" x14ac:dyDescent="0.25">
      <c r="J344" s="8"/>
    </row>
    <row r="345" spans="10:10" ht="15.75" customHeight="1" x14ac:dyDescent="0.25">
      <c r="J345" s="8"/>
    </row>
    <row r="346" spans="10:10" ht="15.75" customHeight="1" x14ac:dyDescent="0.25">
      <c r="J346" s="8"/>
    </row>
    <row r="347" spans="10:10" ht="15.75" customHeight="1" x14ac:dyDescent="0.25">
      <c r="J347" s="8"/>
    </row>
    <row r="348" spans="10:10" ht="15.75" customHeight="1" x14ac:dyDescent="0.25">
      <c r="J348" s="8"/>
    </row>
    <row r="349" spans="10:10" ht="15.75" customHeight="1" x14ac:dyDescent="0.25">
      <c r="J349" s="8"/>
    </row>
    <row r="350" spans="10:10" ht="15.75" customHeight="1" x14ac:dyDescent="0.25">
      <c r="J350" s="8"/>
    </row>
    <row r="351" spans="10:10" ht="15.75" customHeight="1" x14ac:dyDescent="0.25">
      <c r="J351" s="8"/>
    </row>
    <row r="352" spans="10:10" ht="15.75" customHeight="1" x14ac:dyDescent="0.25">
      <c r="J352" s="8"/>
    </row>
    <row r="353" spans="10:10" ht="15.75" customHeight="1" x14ac:dyDescent="0.25">
      <c r="J353" s="8"/>
    </row>
    <row r="354" spans="10:10" ht="15.75" customHeight="1" x14ac:dyDescent="0.25">
      <c r="J354" s="8"/>
    </row>
    <row r="355" spans="10:10" ht="15.75" customHeight="1" x14ac:dyDescent="0.25">
      <c r="J355" s="8"/>
    </row>
    <row r="356" spans="10:10" ht="15.75" customHeight="1" x14ac:dyDescent="0.25">
      <c r="J356" s="8"/>
    </row>
    <row r="357" spans="10:10" ht="15.75" customHeight="1" x14ac:dyDescent="0.25">
      <c r="J357" s="8"/>
    </row>
    <row r="358" spans="10:10" ht="15.75" customHeight="1" x14ac:dyDescent="0.25">
      <c r="J358" s="8"/>
    </row>
    <row r="359" spans="10:10" ht="15.75" customHeight="1" x14ac:dyDescent="0.25">
      <c r="J359" s="8"/>
    </row>
    <row r="360" spans="10:10" ht="15.75" customHeight="1" x14ac:dyDescent="0.25">
      <c r="J360" s="8"/>
    </row>
    <row r="361" spans="10:10" ht="15.75" customHeight="1" x14ac:dyDescent="0.25">
      <c r="J361" s="8"/>
    </row>
    <row r="362" spans="10:10" ht="15.75" customHeight="1" x14ac:dyDescent="0.25">
      <c r="J362" s="8"/>
    </row>
    <row r="363" spans="10:10" ht="15.75" customHeight="1" x14ac:dyDescent="0.25">
      <c r="J363" s="8"/>
    </row>
    <row r="364" spans="10:10" ht="15.75" customHeight="1" x14ac:dyDescent="0.25">
      <c r="J364" s="8"/>
    </row>
    <row r="365" spans="10:10" ht="15.75" customHeight="1" x14ac:dyDescent="0.25">
      <c r="J365" s="8"/>
    </row>
    <row r="366" spans="10:10" ht="15.75" customHeight="1" x14ac:dyDescent="0.25">
      <c r="J366" s="8"/>
    </row>
    <row r="367" spans="10:10" ht="15.75" customHeight="1" x14ac:dyDescent="0.25">
      <c r="J367" s="8"/>
    </row>
    <row r="368" spans="10:10" ht="15.75" customHeight="1" x14ac:dyDescent="0.25">
      <c r="J368" s="8"/>
    </row>
    <row r="369" spans="10:10" ht="15.75" customHeight="1" x14ac:dyDescent="0.25">
      <c r="J369" s="8"/>
    </row>
    <row r="370" spans="10:10" ht="15.75" customHeight="1" x14ac:dyDescent="0.25">
      <c r="J370" s="8"/>
    </row>
    <row r="371" spans="10:10" ht="15.75" customHeight="1" x14ac:dyDescent="0.25">
      <c r="J371" s="8"/>
    </row>
    <row r="372" spans="10:10" ht="15.75" customHeight="1" x14ac:dyDescent="0.25">
      <c r="J372" s="8"/>
    </row>
    <row r="373" spans="10:10" ht="15.75" customHeight="1" x14ac:dyDescent="0.25">
      <c r="J373" s="8"/>
    </row>
    <row r="374" spans="10:10" ht="15.75" customHeight="1" x14ac:dyDescent="0.25">
      <c r="J374" s="8"/>
    </row>
    <row r="375" spans="10:10" ht="15.75" customHeight="1" x14ac:dyDescent="0.25">
      <c r="J375" s="8"/>
    </row>
    <row r="376" spans="10:10" ht="15.75" customHeight="1" x14ac:dyDescent="0.25">
      <c r="J376" s="8"/>
    </row>
    <row r="377" spans="10:10" ht="15.75" customHeight="1" x14ac:dyDescent="0.25">
      <c r="J377" s="8"/>
    </row>
    <row r="378" spans="10:10" ht="15.75" customHeight="1" x14ac:dyDescent="0.25">
      <c r="J378" s="8"/>
    </row>
    <row r="379" spans="10:10" ht="15.75" customHeight="1" x14ac:dyDescent="0.25">
      <c r="J379" s="8"/>
    </row>
    <row r="380" spans="10:10" ht="15.75" customHeight="1" x14ac:dyDescent="0.25">
      <c r="J380" s="8"/>
    </row>
    <row r="381" spans="10:10" ht="15.75" customHeight="1" x14ac:dyDescent="0.25">
      <c r="J381" s="8"/>
    </row>
    <row r="382" spans="10:10" ht="15.75" customHeight="1" x14ac:dyDescent="0.25">
      <c r="J382" s="8"/>
    </row>
    <row r="383" spans="10:10" ht="15.75" customHeight="1" x14ac:dyDescent="0.25">
      <c r="J383" s="8"/>
    </row>
    <row r="384" spans="10:10" ht="15.75" customHeight="1" x14ac:dyDescent="0.25">
      <c r="J384" s="8"/>
    </row>
    <row r="385" spans="10:10" ht="15.75" customHeight="1" x14ac:dyDescent="0.25">
      <c r="J385" s="8"/>
    </row>
    <row r="386" spans="10:10" ht="15.75" customHeight="1" x14ac:dyDescent="0.25">
      <c r="J386" s="8"/>
    </row>
    <row r="387" spans="10:10" ht="15.75" customHeight="1" x14ac:dyDescent="0.25">
      <c r="J387" s="8"/>
    </row>
    <row r="388" spans="10:10" ht="15.75" customHeight="1" x14ac:dyDescent="0.25">
      <c r="J388" s="8"/>
    </row>
    <row r="389" spans="10:10" ht="15.75" customHeight="1" x14ac:dyDescent="0.25">
      <c r="J389" s="8"/>
    </row>
    <row r="390" spans="10:10" ht="15.75" customHeight="1" x14ac:dyDescent="0.25">
      <c r="J390" s="8"/>
    </row>
    <row r="391" spans="10:10" ht="15.75" customHeight="1" x14ac:dyDescent="0.25">
      <c r="J391" s="8"/>
    </row>
    <row r="392" spans="10:10" ht="15.75" customHeight="1" x14ac:dyDescent="0.25">
      <c r="J392" s="8"/>
    </row>
    <row r="393" spans="10:10" ht="15.75" customHeight="1" x14ac:dyDescent="0.25">
      <c r="J393" s="8"/>
    </row>
    <row r="394" spans="10:10" ht="15.75" customHeight="1" x14ac:dyDescent="0.25">
      <c r="J394" s="8"/>
    </row>
    <row r="395" spans="10:10" ht="15.75" customHeight="1" x14ac:dyDescent="0.25">
      <c r="J395" s="8"/>
    </row>
    <row r="396" spans="10:10" ht="15.75" customHeight="1" x14ac:dyDescent="0.25">
      <c r="J396" s="8"/>
    </row>
    <row r="397" spans="10:10" ht="15.75" customHeight="1" x14ac:dyDescent="0.25">
      <c r="J397" s="8"/>
    </row>
    <row r="398" spans="10:10" ht="15.75" customHeight="1" x14ac:dyDescent="0.25">
      <c r="J398" s="8"/>
    </row>
    <row r="399" spans="10:10" ht="15.75" customHeight="1" x14ac:dyDescent="0.25">
      <c r="J399" s="8"/>
    </row>
    <row r="400" spans="10:10" ht="15.75" customHeight="1" x14ac:dyDescent="0.25">
      <c r="J400" s="8"/>
    </row>
    <row r="401" spans="10:10" ht="15.75" customHeight="1" x14ac:dyDescent="0.25">
      <c r="J401" s="8"/>
    </row>
    <row r="402" spans="10:10" ht="15.75" customHeight="1" x14ac:dyDescent="0.25">
      <c r="J402" s="8"/>
    </row>
    <row r="403" spans="10:10" ht="15.75" customHeight="1" x14ac:dyDescent="0.25">
      <c r="J403" s="8"/>
    </row>
    <row r="404" spans="10:10" ht="15.75" customHeight="1" x14ac:dyDescent="0.25">
      <c r="J404" s="8"/>
    </row>
    <row r="405" spans="10:10" ht="15.75" customHeight="1" x14ac:dyDescent="0.25">
      <c r="J405" s="8"/>
    </row>
    <row r="406" spans="10:10" ht="15.75" customHeight="1" x14ac:dyDescent="0.25">
      <c r="J406" s="8"/>
    </row>
    <row r="407" spans="10:10" ht="15.75" customHeight="1" x14ac:dyDescent="0.25">
      <c r="J407" s="8"/>
    </row>
    <row r="408" spans="10:10" ht="15.75" customHeight="1" x14ac:dyDescent="0.25">
      <c r="J408" s="8"/>
    </row>
    <row r="409" spans="10:10" ht="15.75" customHeight="1" x14ac:dyDescent="0.25">
      <c r="J409" s="8"/>
    </row>
    <row r="410" spans="10:10" ht="15.75" customHeight="1" x14ac:dyDescent="0.25">
      <c r="J410" s="8"/>
    </row>
    <row r="411" spans="10:10" ht="15.75" customHeight="1" x14ac:dyDescent="0.25">
      <c r="J411" s="8"/>
    </row>
    <row r="412" spans="10:10" ht="15.75" customHeight="1" x14ac:dyDescent="0.25">
      <c r="J412" s="8"/>
    </row>
    <row r="413" spans="10:10" ht="15.75" customHeight="1" x14ac:dyDescent="0.25">
      <c r="J413" s="8"/>
    </row>
    <row r="414" spans="10:10" ht="15.75" customHeight="1" x14ac:dyDescent="0.25">
      <c r="J414" s="8"/>
    </row>
    <row r="415" spans="10:10" ht="15.75" customHeight="1" x14ac:dyDescent="0.25">
      <c r="J415" s="8"/>
    </row>
    <row r="416" spans="10:10" ht="15.75" customHeight="1" x14ac:dyDescent="0.25">
      <c r="J416" s="8"/>
    </row>
    <row r="417" spans="10:10" ht="15.75" customHeight="1" x14ac:dyDescent="0.25">
      <c r="J417" s="8"/>
    </row>
    <row r="418" spans="10:10" ht="15.75" customHeight="1" x14ac:dyDescent="0.25">
      <c r="J418" s="8"/>
    </row>
    <row r="419" spans="10:10" ht="15.75" customHeight="1" x14ac:dyDescent="0.25">
      <c r="J419" s="8"/>
    </row>
    <row r="420" spans="10:10" ht="15.75" customHeight="1" x14ac:dyDescent="0.25">
      <c r="J420" s="8"/>
    </row>
    <row r="421" spans="10:10" ht="15.75" customHeight="1" x14ac:dyDescent="0.25">
      <c r="J421" s="8"/>
    </row>
    <row r="422" spans="10:10" ht="15.75" customHeight="1" x14ac:dyDescent="0.25">
      <c r="J422" s="8"/>
    </row>
    <row r="423" spans="10:10" ht="15.75" customHeight="1" x14ac:dyDescent="0.25">
      <c r="J423" s="8"/>
    </row>
    <row r="424" spans="10:10" ht="15.75" customHeight="1" x14ac:dyDescent="0.25">
      <c r="J424" s="8"/>
    </row>
    <row r="425" spans="10:10" ht="15.75" customHeight="1" x14ac:dyDescent="0.25">
      <c r="J425" s="8"/>
    </row>
    <row r="426" spans="10:10" ht="15.75" customHeight="1" x14ac:dyDescent="0.25">
      <c r="J426" s="8"/>
    </row>
    <row r="427" spans="10:10" ht="15.75" customHeight="1" x14ac:dyDescent="0.25">
      <c r="J427" s="8"/>
    </row>
    <row r="428" spans="10:10" ht="15.75" customHeight="1" x14ac:dyDescent="0.25">
      <c r="J428" s="8"/>
    </row>
    <row r="429" spans="10:10" ht="15.75" customHeight="1" x14ac:dyDescent="0.25">
      <c r="J429" s="8"/>
    </row>
    <row r="430" spans="10:10" ht="15.75" customHeight="1" x14ac:dyDescent="0.25">
      <c r="J430" s="8"/>
    </row>
    <row r="431" spans="10:10" ht="15.75" customHeight="1" x14ac:dyDescent="0.25">
      <c r="J431" s="8"/>
    </row>
    <row r="432" spans="10:10" ht="15.75" customHeight="1" x14ac:dyDescent="0.25">
      <c r="J432" s="8"/>
    </row>
    <row r="433" spans="10:10" ht="15.75" customHeight="1" x14ac:dyDescent="0.25">
      <c r="J433" s="8"/>
    </row>
    <row r="434" spans="10:10" ht="15.75" customHeight="1" x14ac:dyDescent="0.25">
      <c r="J434" s="8"/>
    </row>
    <row r="435" spans="10:10" ht="15.75" customHeight="1" x14ac:dyDescent="0.25">
      <c r="J435" s="8"/>
    </row>
    <row r="436" spans="10:10" ht="15.75" customHeight="1" x14ac:dyDescent="0.25">
      <c r="J436" s="8"/>
    </row>
    <row r="437" spans="10:10" ht="15.75" customHeight="1" x14ac:dyDescent="0.25">
      <c r="J437" s="8"/>
    </row>
    <row r="438" spans="10:10" ht="15.75" customHeight="1" x14ac:dyDescent="0.25">
      <c r="J438" s="8"/>
    </row>
    <row r="439" spans="10:10" ht="15.75" customHeight="1" x14ac:dyDescent="0.25">
      <c r="J439" s="8"/>
    </row>
    <row r="440" spans="10:10" ht="15.75" customHeight="1" x14ac:dyDescent="0.25">
      <c r="J440" s="8"/>
    </row>
    <row r="441" spans="10:10" ht="15.75" customHeight="1" x14ac:dyDescent="0.25">
      <c r="J441" s="8"/>
    </row>
    <row r="442" spans="10:10" ht="15.75" customHeight="1" x14ac:dyDescent="0.25">
      <c r="J442" s="8"/>
    </row>
    <row r="443" spans="10:10" ht="15.75" customHeight="1" x14ac:dyDescent="0.25">
      <c r="J443" s="8"/>
    </row>
    <row r="444" spans="10:10" ht="15.75" customHeight="1" x14ac:dyDescent="0.25">
      <c r="J444" s="8"/>
    </row>
    <row r="445" spans="10:10" ht="15.75" customHeight="1" x14ac:dyDescent="0.25">
      <c r="J445" s="8"/>
    </row>
    <row r="446" spans="10:10" ht="15.75" customHeight="1" x14ac:dyDescent="0.25">
      <c r="J446" s="8"/>
    </row>
    <row r="447" spans="10:10" ht="15.75" customHeight="1" x14ac:dyDescent="0.25">
      <c r="J447" s="8"/>
    </row>
    <row r="448" spans="10:10" ht="15.75" customHeight="1" x14ac:dyDescent="0.25">
      <c r="J448" s="8"/>
    </row>
    <row r="449" spans="10:10" ht="15.75" customHeight="1" x14ac:dyDescent="0.25">
      <c r="J449" s="8"/>
    </row>
    <row r="450" spans="10:10" ht="15.75" customHeight="1" x14ac:dyDescent="0.25">
      <c r="J450" s="8"/>
    </row>
    <row r="451" spans="10:10" ht="15.75" customHeight="1" x14ac:dyDescent="0.25">
      <c r="J451" s="8"/>
    </row>
    <row r="452" spans="10:10" ht="15.75" customHeight="1" x14ac:dyDescent="0.25">
      <c r="J452" s="8"/>
    </row>
    <row r="453" spans="10:10" ht="15.75" customHeight="1" x14ac:dyDescent="0.25">
      <c r="J453" s="8"/>
    </row>
    <row r="454" spans="10:10" ht="15.75" customHeight="1" x14ac:dyDescent="0.25">
      <c r="J454" s="8"/>
    </row>
    <row r="455" spans="10:10" ht="15.75" customHeight="1" x14ac:dyDescent="0.25">
      <c r="J455" s="8"/>
    </row>
    <row r="456" spans="10:10" ht="15.75" customHeight="1" x14ac:dyDescent="0.25">
      <c r="J456" s="8"/>
    </row>
    <row r="457" spans="10:10" ht="15.75" customHeight="1" x14ac:dyDescent="0.25">
      <c r="J457" s="8"/>
    </row>
    <row r="458" spans="10:10" ht="15.75" customHeight="1" x14ac:dyDescent="0.25">
      <c r="J458" s="8"/>
    </row>
    <row r="459" spans="10:10" ht="15.75" customHeight="1" x14ac:dyDescent="0.25">
      <c r="J459" s="8"/>
    </row>
    <row r="460" spans="10:10" ht="15.75" customHeight="1" x14ac:dyDescent="0.25">
      <c r="J460" s="8"/>
    </row>
    <row r="461" spans="10:10" ht="15.75" customHeight="1" x14ac:dyDescent="0.25">
      <c r="J461" s="8"/>
    </row>
    <row r="462" spans="10:10" ht="15.75" customHeight="1" x14ac:dyDescent="0.25">
      <c r="J462" s="8"/>
    </row>
    <row r="463" spans="10:10" ht="15.75" customHeight="1" x14ac:dyDescent="0.25">
      <c r="J463" s="8"/>
    </row>
    <row r="464" spans="10:10" ht="15.75" customHeight="1" x14ac:dyDescent="0.25">
      <c r="J464" s="8"/>
    </row>
    <row r="465" spans="10:10" ht="15.75" customHeight="1" x14ac:dyDescent="0.25">
      <c r="J465" s="8"/>
    </row>
    <row r="466" spans="10:10" ht="15.75" customHeight="1" x14ac:dyDescent="0.25">
      <c r="J466" s="8"/>
    </row>
    <row r="467" spans="10:10" ht="15.75" customHeight="1" x14ac:dyDescent="0.25">
      <c r="J467" s="8"/>
    </row>
    <row r="468" spans="10:10" ht="15.75" customHeight="1" x14ac:dyDescent="0.25">
      <c r="J468" s="8"/>
    </row>
    <row r="469" spans="10:10" ht="15.75" customHeight="1" x14ac:dyDescent="0.25">
      <c r="J469" s="8"/>
    </row>
    <row r="470" spans="10:10" ht="15.75" customHeight="1" x14ac:dyDescent="0.25">
      <c r="J470" s="8"/>
    </row>
    <row r="471" spans="10:10" ht="15.75" customHeight="1" x14ac:dyDescent="0.25">
      <c r="J471" s="8"/>
    </row>
    <row r="472" spans="10:10" ht="15.75" customHeight="1" x14ac:dyDescent="0.25">
      <c r="J472" s="8"/>
    </row>
    <row r="473" spans="10:10" ht="15.75" customHeight="1" x14ac:dyDescent="0.25">
      <c r="J473" s="8"/>
    </row>
    <row r="474" spans="10:10" ht="15.75" customHeight="1" x14ac:dyDescent="0.25">
      <c r="J474" s="8"/>
    </row>
    <row r="475" spans="10:10" ht="15.75" customHeight="1" x14ac:dyDescent="0.25">
      <c r="J475" s="8"/>
    </row>
    <row r="476" spans="10:10" ht="15.75" customHeight="1" x14ac:dyDescent="0.25">
      <c r="J476" s="8"/>
    </row>
    <row r="477" spans="10:10" ht="15.75" customHeight="1" x14ac:dyDescent="0.25">
      <c r="J477" s="8"/>
    </row>
    <row r="478" spans="10:10" ht="15.75" customHeight="1" x14ac:dyDescent="0.25">
      <c r="J478" s="8"/>
    </row>
    <row r="479" spans="10:10" ht="15.75" customHeight="1" x14ac:dyDescent="0.25">
      <c r="J479" s="8"/>
    </row>
    <row r="480" spans="10:10" ht="15.75" customHeight="1" x14ac:dyDescent="0.25">
      <c r="J480" s="8"/>
    </row>
    <row r="481" spans="10:10" ht="15.75" customHeight="1" x14ac:dyDescent="0.25">
      <c r="J481" s="8"/>
    </row>
    <row r="482" spans="10:10" ht="15.75" customHeight="1" x14ac:dyDescent="0.25">
      <c r="J482" s="8"/>
    </row>
    <row r="483" spans="10:10" ht="15.75" customHeight="1" x14ac:dyDescent="0.25">
      <c r="J483" s="8"/>
    </row>
    <row r="484" spans="10:10" ht="15.75" customHeight="1" x14ac:dyDescent="0.25">
      <c r="J484" s="8"/>
    </row>
    <row r="485" spans="10:10" ht="15.75" customHeight="1" x14ac:dyDescent="0.25">
      <c r="J485" s="8"/>
    </row>
    <row r="486" spans="10:10" ht="15.75" customHeight="1" x14ac:dyDescent="0.25">
      <c r="J486" s="8"/>
    </row>
    <row r="487" spans="10:10" ht="15.75" customHeight="1" x14ac:dyDescent="0.25">
      <c r="J487" s="8"/>
    </row>
    <row r="488" spans="10:10" ht="15.75" customHeight="1" x14ac:dyDescent="0.25">
      <c r="J488" s="8"/>
    </row>
    <row r="489" spans="10:10" ht="15.75" customHeight="1" x14ac:dyDescent="0.25">
      <c r="J489" s="8"/>
    </row>
    <row r="490" spans="10:10" ht="15.75" customHeight="1" x14ac:dyDescent="0.25">
      <c r="J490" s="8"/>
    </row>
    <row r="491" spans="10:10" ht="15.75" customHeight="1" x14ac:dyDescent="0.25">
      <c r="J491" s="8"/>
    </row>
    <row r="492" spans="10:10" ht="15.75" customHeight="1" x14ac:dyDescent="0.25">
      <c r="J492" s="8"/>
    </row>
    <row r="493" spans="10:10" ht="15.75" customHeight="1" x14ac:dyDescent="0.25">
      <c r="J493" s="8"/>
    </row>
    <row r="494" spans="10:10" ht="15.75" customHeight="1" x14ac:dyDescent="0.25">
      <c r="J494" s="8"/>
    </row>
    <row r="495" spans="10:10" ht="15.75" customHeight="1" x14ac:dyDescent="0.25">
      <c r="J495" s="8"/>
    </row>
    <row r="496" spans="10:10" ht="15.75" customHeight="1" x14ac:dyDescent="0.25">
      <c r="J496" s="8"/>
    </row>
    <row r="497" spans="10:10" ht="15.75" customHeight="1" x14ac:dyDescent="0.25">
      <c r="J497" s="8"/>
    </row>
    <row r="498" spans="10:10" ht="15.75" customHeight="1" x14ac:dyDescent="0.25">
      <c r="J498" s="8"/>
    </row>
    <row r="499" spans="10:10" ht="15.75" customHeight="1" x14ac:dyDescent="0.25">
      <c r="J499" s="8"/>
    </row>
    <row r="500" spans="10:10" ht="15.75" customHeight="1" x14ac:dyDescent="0.25">
      <c r="J500" s="8"/>
    </row>
    <row r="501" spans="10:10" ht="15.75" customHeight="1" x14ac:dyDescent="0.25">
      <c r="J501" s="8"/>
    </row>
    <row r="502" spans="10:10" ht="15.75" customHeight="1" x14ac:dyDescent="0.25">
      <c r="J502" s="8"/>
    </row>
    <row r="503" spans="10:10" ht="15.75" customHeight="1" x14ac:dyDescent="0.25">
      <c r="J503" s="8"/>
    </row>
    <row r="504" spans="10:10" ht="15.75" customHeight="1" x14ac:dyDescent="0.25">
      <c r="J504" s="8"/>
    </row>
    <row r="505" spans="10:10" ht="15.75" customHeight="1" x14ac:dyDescent="0.25">
      <c r="J505" s="8"/>
    </row>
    <row r="506" spans="10:10" ht="15.75" customHeight="1" x14ac:dyDescent="0.25">
      <c r="J506" s="8"/>
    </row>
    <row r="507" spans="10:10" ht="15.75" customHeight="1" x14ac:dyDescent="0.25">
      <c r="J507" s="8"/>
    </row>
    <row r="508" spans="10:10" ht="15.75" customHeight="1" x14ac:dyDescent="0.25">
      <c r="J508" s="8"/>
    </row>
    <row r="509" spans="10:10" ht="15.75" customHeight="1" x14ac:dyDescent="0.25">
      <c r="J509" s="8"/>
    </row>
    <row r="510" spans="10:10" ht="15.75" customHeight="1" x14ac:dyDescent="0.25">
      <c r="J510" s="8"/>
    </row>
    <row r="511" spans="10:10" ht="15.75" customHeight="1" x14ac:dyDescent="0.25">
      <c r="J511" s="8"/>
    </row>
    <row r="512" spans="10:10" ht="15.75" customHeight="1" x14ac:dyDescent="0.25">
      <c r="J512" s="8"/>
    </row>
    <row r="513" spans="10:10" ht="15.75" customHeight="1" x14ac:dyDescent="0.25">
      <c r="J513" s="8"/>
    </row>
    <row r="514" spans="10:10" ht="15.75" customHeight="1" x14ac:dyDescent="0.25">
      <c r="J514" s="8"/>
    </row>
    <row r="515" spans="10:10" ht="15.75" customHeight="1" x14ac:dyDescent="0.25">
      <c r="J515" s="8"/>
    </row>
    <row r="516" spans="10:10" ht="15.75" customHeight="1" x14ac:dyDescent="0.25">
      <c r="J516" s="8"/>
    </row>
    <row r="517" spans="10:10" ht="15.75" customHeight="1" x14ac:dyDescent="0.25">
      <c r="J517" s="8"/>
    </row>
    <row r="518" spans="10:10" ht="15.75" customHeight="1" x14ac:dyDescent="0.25">
      <c r="J518" s="8"/>
    </row>
    <row r="519" spans="10:10" ht="15.75" customHeight="1" x14ac:dyDescent="0.25">
      <c r="J519" s="8"/>
    </row>
    <row r="520" spans="10:10" ht="15.75" customHeight="1" x14ac:dyDescent="0.25">
      <c r="J520" s="8"/>
    </row>
    <row r="521" spans="10:10" ht="15.75" customHeight="1" x14ac:dyDescent="0.25">
      <c r="J521" s="8"/>
    </row>
    <row r="522" spans="10:10" ht="15.75" customHeight="1" x14ac:dyDescent="0.25">
      <c r="J522" s="8"/>
    </row>
    <row r="523" spans="10:10" ht="15.75" customHeight="1" x14ac:dyDescent="0.25">
      <c r="J523" s="8"/>
    </row>
    <row r="524" spans="10:10" ht="15.75" customHeight="1" x14ac:dyDescent="0.25">
      <c r="J524" s="8"/>
    </row>
    <row r="525" spans="10:10" ht="15.75" customHeight="1" x14ac:dyDescent="0.25">
      <c r="J525" s="8"/>
    </row>
    <row r="526" spans="10:10" ht="15.75" customHeight="1" x14ac:dyDescent="0.25">
      <c r="J526" s="8"/>
    </row>
    <row r="527" spans="10:10" ht="15.75" customHeight="1" x14ac:dyDescent="0.25">
      <c r="J527" s="8"/>
    </row>
    <row r="528" spans="10:10" ht="15.75" customHeight="1" x14ac:dyDescent="0.25">
      <c r="J528" s="8"/>
    </row>
    <row r="529" spans="10:10" ht="15.75" customHeight="1" x14ac:dyDescent="0.25">
      <c r="J529" s="8"/>
    </row>
    <row r="530" spans="10:10" ht="15.75" customHeight="1" x14ac:dyDescent="0.25">
      <c r="J530" s="8"/>
    </row>
    <row r="531" spans="10:10" ht="15.75" customHeight="1" x14ac:dyDescent="0.25">
      <c r="J531" s="8"/>
    </row>
    <row r="532" spans="10:10" ht="15.75" customHeight="1" x14ac:dyDescent="0.25">
      <c r="J532" s="8"/>
    </row>
    <row r="533" spans="10:10" ht="15.75" customHeight="1" x14ac:dyDescent="0.25">
      <c r="J533" s="8"/>
    </row>
    <row r="534" spans="10:10" ht="15.75" customHeight="1" x14ac:dyDescent="0.25">
      <c r="J534" s="8"/>
    </row>
    <row r="535" spans="10:10" ht="15.75" customHeight="1" x14ac:dyDescent="0.25">
      <c r="J535" s="8"/>
    </row>
    <row r="536" spans="10:10" ht="15.75" customHeight="1" x14ac:dyDescent="0.25">
      <c r="J536" s="8"/>
    </row>
    <row r="537" spans="10:10" ht="15.75" customHeight="1" x14ac:dyDescent="0.25">
      <c r="J537" s="8"/>
    </row>
    <row r="538" spans="10:10" ht="15.75" customHeight="1" x14ac:dyDescent="0.25">
      <c r="J538" s="8"/>
    </row>
    <row r="539" spans="10:10" ht="15.75" customHeight="1" x14ac:dyDescent="0.25">
      <c r="J539" s="8"/>
    </row>
    <row r="540" spans="10:10" ht="15.75" customHeight="1" x14ac:dyDescent="0.25">
      <c r="J540" s="8"/>
    </row>
    <row r="541" spans="10:10" ht="15.75" customHeight="1" x14ac:dyDescent="0.25">
      <c r="J541" s="8"/>
    </row>
    <row r="542" spans="10:10" ht="15.75" customHeight="1" x14ac:dyDescent="0.25">
      <c r="J542" s="8"/>
    </row>
    <row r="543" spans="10:10" ht="15.75" customHeight="1" x14ac:dyDescent="0.25">
      <c r="J543" s="8"/>
    </row>
    <row r="544" spans="10:10" ht="15.75" customHeight="1" x14ac:dyDescent="0.25">
      <c r="J544" s="8"/>
    </row>
    <row r="545" spans="10:10" ht="15.75" customHeight="1" x14ac:dyDescent="0.25">
      <c r="J545" s="8"/>
    </row>
    <row r="546" spans="10:10" ht="15.75" customHeight="1" x14ac:dyDescent="0.25">
      <c r="J546" s="8"/>
    </row>
    <row r="547" spans="10:10" ht="15.75" customHeight="1" x14ac:dyDescent="0.25">
      <c r="J547" s="8"/>
    </row>
    <row r="548" spans="10:10" ht="15.75" customHeight="1" x14ac:dyDescent="0.25">
      <c r="J548" s="8"/>
    </row>
    <row r="549" spans="10:10" ht="15.75" customHeight="1" x14ac:dyDescent="0.25">
      <c r="J549" s="8"/>
    </row>
    <row r="550" spans="10:10" ht="15.75" customHeight="1" x14ac:dyDescent="0.25">
      <c r="J550" s="8"/>
    </row>
    <row r="551" spans="10:10" ht="15.75" customHeight="1" x14ac:dyDescent="0.25">
      <c r="J551" s="8"/>
    </row>
    <row r="552" spans="10:10" ht="15.75" customHeight="1" x14ac:dyDescent="0.25">
      <c r="J552" s="8"/>
    </row>
    <row r="553" spans="10:10" ht="15.75" customHeight="1" x14ac:dyDescent="0.25">
      <c r="J553" s="8"/>
    </row>
    <row r="554" spans="10:10" ht="15.75" customHeight="1" x14ac:dyDescent="0.25">
      <c r="J554" s="8"/>
    </row>
    <row r="555" spans="10:10" ht="15.75" customHeight="1" x14ac:dyDescent="0.25">
      <c r="J555" s="8"/>
    </row>
    <row r="556" spans="10:10" ht="15.75" customHeight="1" x14ac:dyDescent="0.25">
      <c r="J556" s="8"/>
    </row>
    <row r="557" spans="10:10" ht="15.75" customHeight="1" x14ac:dyDescent="0.25">
      <c r="J557" s="8"/>
    </row>
    <row r="558" spans="10:10" ht="15.75" customHeight="1" x14ac:dyDescent="0.25">
      <c r="J558" s="8"/>
    </row>
    <row r="559" spans="10:10" ht="15.75" customHeight="1" x14ac:dyDescent="0.25">
      <c r="J559" s="8"/>
    </row>
    <row r="560" spans="10:10" ht="15.75" customHeight="1" x14ac:dyDescent="0.25">
      <c r="J560" s="8"/>
    </row>
    <row r="561" spans="10:10" ht="15.75" customHeight="1" x14ac:dyDescent="0.25">
      <c r="J561" s="8"/>
    </row>
    <row r="562" spans="10:10" ht="15.75" customHeight="1" x14ac:dyDescent="0.25">
      <c r="J562" s="8"/>
    </row>
    <row r="563" spans="10:10" ht="15.75" customHeight="1" x14ac:dyDescent="0.25">
      <c r="J563" s="8"/>
    </row>
    <row r="564" spans="10:10" ht="15.75" customHeight="1" x14ac:dyDescent="0.25">
      <c r="J564" s="8"/>
    </row>
    <row r="565" spans="10:10" ht="15.75" customHeight="1" x14ac:dyDescent="0.25">
      <c r="J565" s="8"/>
    </row>
    <row r="566" spans="10:10" ht="15.75" customHeight="1" x14ac:dyDescent="0.25">
      <c r="J566" s="8"/>
    </row>
    <row r="567" spans="10:10" ht="15.75" customHeight="1" x14ac:dyDescent="0.25">
      <c r="J567" s="8"/>
    </row>
    <row r="568" spans="10:10" ht="15.75" customHeight="1" x14ac:dyDescent="0.25">
      <c r="J568" s="8"/>
    </row>
    <row r="569" spans="10:10" ht="15.75" customHeight="1" x14ac:dyDescent="0.25">
      <c r="J569" s="8"/>
    </row>
    <row r="570" spans="10:10" ht="15.75" customHeight="1" x14ac:dyDescent="0.25">
      <c r="J570" s="8"/>
    </row>
    <row r="571" spans="10:10" ht="15.75" customHeight="1" x14ac:dyDescent="0.25">
      <c r="J571" s="8"/>
    </row>
    <row r="572" spans="10:10" ht="15.75" customHeight="1" x14ac:dyDescent="0.25">
      <c r="J572" s="8"/>
    </row>
    <row r="573" spans="10:10" ht="15.75" customHeight="1" x14ac:dyDescent="0.25">
      <c r="J573" s="8"/>
    </row>
    <row r="574" spans="10:10" ht="15.75" customHeight="1" x14ac:dyDescent="0.25">
      <c r="J574" s="8"/>
    </row>
    <row r="575" spans="10:10" ht="15.75" customHeight="1" x14ac:dyDescent="0.25">
      <c r="J575" s="8"/>
    </row>
    <row r="576" spans="10:10" ht="15.75" customHeight="1" x14ac:dyDescent="0.25">
      <c r="J576" s="8"/>
    </row>
    <row r="577" spans="10:10" ht="15.75" customHeight="1" x14ac:dyDescent="0.25">
      <c r="J577" s="8"/>
    </row>
    <row r="578" spans="10:10" ht="15.75" customHeight="1" x14ac:dyDescent="0.25">
      <c r="J578" s="8"/>
    </row>
    <row r="579" spans="10:10" ht="15.75" customHeight="1" x14ac:dyDescent="0.25">
      <c r="J579" s="8"/>
    </row>
    <row r="580" spans="10:10" ht="15.75" customHeight="1" x14ac:dyDescent="0.25">
      <c r="J580" s="8"/>
    </row>
    <row r="581" spans="10:10" ht="15.75" customHeight="1" x14ac:dyDescent="0.25">
      <c r="J581" s="8"/>
    </row>
    <row r="582" spans="10:10" ht="15.75" customHeight="1" x14ac:dyDescent="0.25">
      <c r="J582" s="8"/>
    </row>
    <row r="583" spans="10:10" ht="15.75" customHeight="1" x14ac:dyDescent="0.25">
      <c r="J583" s="8"/>
    </row>
    <row r="584" spans="10:10" ht="15.75" customHeight="1" x14ac:dyDescent="0.25">
      <c r="J584" s="8"/>
    </row>
    <row r="585" spans="10:10" ht="15.75" customHeight="1" x14ac:dyDescent="0.25">
      <c r="J585" s="8"/>
    </row>
    <row r="586" spans="10:10" ht="15.75" customHeight="1" x14ac:dyDescent="0.25">
      <c r="J586" s="8"/>
    </row>
    <row r="587" spans="10:10" ht="15.75" customHeight="1" x14ac:dyDescent="0.25">
      <c r="J587" s="8"/>
    </row>
    <row r="588" spans="10:10" ht="15.75" customHeight="1" x14ac:dyDescent="0.25">
      <c r="J588" s="8"/>
    </row>
    <row r="589" spans="10:10" ht="15.75" customHeight="1" x14ac:dyDescent="0.25">
      <c r="J589" s="8"/>
    </row>
    <row r="590" spans="10:10" ht="15.75" customHeight="1" x14ac:dyDescent="0.25">
      <c r="J590" s="8"/>
    </row>
    <row r="591" spans="10:10" ht="15.75" customHeight="1" x14ac:dyDescent="0.25">
      <c r="J591" s="8"/>
    </row>
    <row r="592" spans="10:10" ht="15.75" customHeight="1" x14ac:dyDescent="0.25">
      <c r="J592" s="8"/>
    </row>
    <row r="593" spans="10:10" ht="15.75" customHeight="1" x14ac:dyDescent="0.25">
      <c r="J593" s="8"/>
    </row>
    <row r="594" spans="10:10" ht="15.75" customHeight="1" x14ac:dyDescent="0.25">
      <c r="J594" s="8"/>
    </row>
    <row r="595" spans="10:10" ht="15.75" customHeight="1" x14ac:dyDescent="0.25">
      <c r="J595" s="8"/>
    </row>
    <row r="596" spans="10:10" ht="15.75" customHeight="1" x14ac:dyDescent="0.25">
      <c r="J596" s="8"/>
    </row>
    <row r="597" spans="10:10" ht="15.75" customHeight="1" x14ac:dyDescent="0.25">
      <c r="J597" s="8"/>
    </row>
    <row r="598" spans="10:10" ht="15.75" customHeight="1" x14ac:dyDescent="0.25">
      <c r="J598" s="8"/>
    </row>
    <row r="599" spans="10:10" ht="15.75" customHeight="1" x14ac:dyDescent="0.25">
      <c r="J599" s="8"/>
    </row>
    <row r="600" spans="10:10" ht="15.75" customHeight="1" x14ac:dyDescent="0.25">
      <c r="J600" s="8"/>
    </row>
    <row r="601" spans="10:10" ht="15.75" customHeight="1" x14ac:dyDescent="0.25">
      <c r="J601" s="8"/>
    </row>
    <row r="602" spans="10:10" ht="15.75" customHeight="1" x14ac:dyDescent="0.25">
      <c r="J602" s="8"/>
    </row>
    <row r="603" spans="10:10" ht="15.75" customHeight="1" x14ac:dyDescent="0.25">
      <c r="J603" s="8"/>
    </row>
    <row r="604" spans="10:10" ht="15.75" customHeight="1" x14ac:dyDescent="0.25">
      <c r="J604" s="8"/>
    </row>
    <row r="605" spans="10:10" ht="15.75" customHeight="1" x14ac:dyDescent="0.25">
      <c r="J605" s="8"/>
    </row>
    <row r="606" spans="10:10" ht="15.75" customHeight="1" x14ac:dyDescent="0.25">
      <c r="J606" s="8"/>
    </row>
    <row r="607" spans="10:10" ht="15.75" customHeight="1" x14ac:dyDescent="0.25">
      <c r="J607" s="8"/>
    </row>
    <row r="608" spans="10:10" ht="15.75" customHeight="1" x14ac:dyDescent="0.25">
      <c r="J608" s="8"/>
    </row>
    <row r="609" spans="10:10" ht="15.75" customHeight="1" x14ac:dyDescent="0.25">
      <c r="J609" s="8"/>
    </row>
    <row r="610" spans="10:10" ht="15.75" customHeight="1" x14ac:dyDescent="0.25">
      <c r="J610" s="8"/>
    </row>
    <row r="611" spans="10:10" ht="15.75" customHeight="1" x14ac:dyDescent="0.25">
      <c r="J611" s="8"/>
    </row>
    <row r="612" spans="10:10" ht="15.75" customHeight="1" x14ac:dyDescent="0.25">
      <c r="J612" s="8"/>
    </row>
    <row r="613" spans="10:10" ht="15.75" customHeight="1" x14ac:dyDescent="0.25">
      <c r="J613" s="8"/>
    </row>
    <row r="614" spans="10:10" ht="15.75" customHeight="1" x14ac:dyDescent="0.25">
      <c r="J614" s="8"/>
    </row>
    <row r="615" spans="10:10" ht="15.75" customHeight="1" x14ac:dyDescent="0.25">
      <c r="J615" s="8"/>
    </row>
    <row r="616" spans="10:10" ht="15.75" customHeight="1" x14ac:dyDescent="0.25">
      <c r="J616" s="8"/>
    </row>
    <row r="617" spans="10:10" ht="15.75" customHeight="1" x14ac:dyDescent="0.25">
      <c r="J617" s="8"/>
    </row>
    <row r="618" spans="10:10" ht="15.75" customHeight="1" x14ac:dyDescent="0.25">
      <c r="J618" s="8"/>
    </row>
    <row r="619" spans="10:10" ht="15.75" customHeight="1" x14ac:dyDescent="0.25">
      <c r="J619" s="8"/>
    </row>
    <row r="620" spans="10:10" ht="15.75" customHeight="1" x14ac:dyDescent="0.25">
      <c r="J620" s="8"/>
    </row>
    <row r="621" spans="10:10" ht="15.75" customHeight="1" x14ac:dyDescent="0.25">
      <c r="J621" s="8"/>
    </row>
    <row r="622" spans="10:10" ht="15.75" customHeight="1" x14ac:dyDescent="0.25">
      <c r="J622" s="8"/>
    </row>
    <row r="623" spans="10:10" ht="15.75" customHeight="1" x14ac:dyDescent="0.25">
      <c r="J623" s="8"/>
    </row>
    <row r="624" spans="10:10" ht="15.75" customHeight="1" x14ac:dyDescent="0.25">
      <c r="J624" s="8"/>
    </row>
    <row r="625" spans="10:10" ht="15.75" customHeight="1" x14ac:dyDescent="0.25">
      <c r="J625" s="8"/>
    </row>
    <row r="626" spans="10:10" ht="15.75" customHeight="1" x14ac:dyDescent="0.25">
      <c r="J626" s="8"/>
    </row>
    <row r="627" spans="10:10" ht="15.75" customHeight="1" x14ac:dyDescent="0.25">
      <c r="J627" s="8"/>
    </row>
    <row r="628" spans="10:10" ht="15.75" customHeight="1" x14ac:dyDescent="0.25">
      <c r="J628" s="8"/>
    </row>
    <row r="629" spans="10:10" ht="15.75" customHeight="1" x14ac:dyDescent="0.25">
      <c r="J629" s="8"/>
    </row>
    <row r="630" spans="10:10" ht="15.75" customHeight="1" x14ac:dyDescent="0.25">
      <c r="J630" s="8"/>
    </row>
    <row r="631" spans="10:10" ht="15.75" customHeight="1" x14ac:dyDescent="0.25">
      <c r="J631" s="8"/>
    </row>
    <row r="632" spans="10:10" ht="15.75" customHeight="1" x14ac:dyDescent="0.25">
      <c r="J632" s="8"/>
    </row>
    <row r="633" spans="10:10" ht="15.75" customHeight="1" x14ac:dyDescent="0.25">
      <c r="J633" s="8"/>
    </row>
    <row r="634" spans="10:10" ht="15.75" customHeight="1" x14ac:dyDescent="0.25">
      <c r="J634" s="8"/>
    </row>
    <row r="635" spans="10:10" ht="15.75" customHeight="1" x14ac:dyDescent="0.25">
      <c r="J635" s="8"/>
    </row>
    <row r="636" spans="10:10" ht="15.75" customHeight="1" x14ac:dyDescent="0.25">
      <c r="J636" s="8"/>
    </row>
    <row r="637" spans="10:10" ht="15.75" customHeight="1" x14ac:dyDescent="0.25">
      <c r="J637" s="8"/>
    </row>
    <row r="638" spans="10:10" ht="15.75" customHeight="1" x14ac:dyDescent="0.25">
      <c r="J638" s="8"/>
    </row>
    <row r="639" spans="10:10" ht="15.75" customHeight="1" x14ac:dyDescent="0.25">
      <c r="J639" s="8"/>
    </row>
    <row r="640" spans="10:10" ht="15.75" customHeight="1" x14ac:dyDescent="0.25">
      <c r="J640" s="8"/>
    </row>
    <row r="641" spans="10:10" ht="15.75" customHeight="1" x14ac:dyDescent="0.25">
      <c r="J641" s="8"/>
    </row>
    <row r="642" spans="10:10" ht="15.75" customHeight="1" x14ac:dyDescent="0.25">
      <c r="J642" s="8"/>
    </row>
    <row r="643" spans="10:10" ht="15.75" customHeight="1" x14ac:dyDescent="0.25">
      <c r="J643" s="8"/>
    </row>
    <row r="644" spans="10:10" ht="15.75" customHeight="1" x14ac:dyDescent="0.25">
      <c r="J644" s="8"/>
    </row>
    <row r="645" spans="10:10" ht="15.75" customHeight="1" x14ac:dyDescent="0.25">
      <c r="J645" s="8"/>
    </row>
    <row r="646" spans="10:10" ht="15.75" customHeight="1" x14ac:dyDescent="0.25">
      <c r="J646" s="8"/>
    </row>
    <row r="647" spans="10:10" ht="15.75" customHeight="1" x14ac:dyDescent="0.25">
      <c r="J647" s="8"/>
    </row>
    <row r="648" spans="10:10" ht="15.75" customHeight="1" x14ac:dyDescent="0.25">
      <c r="J648" s="8"/>
    </row>
    <row r="649" spans="10:10" ht="15.75" customHeight="1" x14ac:dyDescent="0.25">
      <c r="J649" s="8"/>
    </row>
    <row r="650" spans="10:10" ht="15.75" customHeight="1" x14ac:dyDescent="0.25">
      <c r="J650" s="8"/>
    </row>
    <row r="651" spans="10:10" ht="15.75" customHeight="1" x14ac:dyDescent="0.25">
      <c r="J651" s="8"/>
    </row>
    <row r="652" spans="10:10" ht="15.75" customHeight="1" x14ac:dyDescent="0.25">
      <c r="J652" s="8"/>
    </row>
    <row r="653" spans="10:10" ht="15.75" customHeight="1" x14ac:dyDescent="0.25">
      <c r="J653" s="8"/>
    </row>
    <row r="654" spans="10:10" ht="15.75" customHeight="1" x14ac:dyDescent="0.25">
      <c r="J654" s="8"/>
    </row>
    <row r="655" spans="10:10" ht="15.75" customHeight="1" x14ac:dyDescent="0.25">
      <c r="J655" s="8"/>
    </row>
    <row r="656" spans="10:10" ht="15.75" customHeight="1" x14ac:dyDescent="0.25">
      <c r="J656" s="8"/>
    </row>
    <row r="657" spans="10:10" ht="15.75" customHeight="1" x14ac:dyDescent="0.25">
      <c r="J657" s="8"/>
    </row>
    <row r="658" spans="10:10" ht="15.75" customHeight="1" x14ac:dyDescent="0.25">
      <c r="J658" s="8"/>
    </row>
    <row r="659" spans="10:10" ht="15.75" customHeight="1" x14ac:dyDescent="0.25">
      <c r="J659" s="8"/>
    </row>
    <row r="660" spans="10:10" ht="15.75" customHeight="1" x14ac:dyDescent="0.25">
      <c r="J660" s="8"/>
    </row>
    <row r="661" spans="10:10" ht="15.75" customHeight="1" x14ac:dyDescent="0.25">
      <c r="J661" s="8"/>
    </row>
    <row r="662" spans="10:10" ht="15.75" customHeight="1" x14ac:dyDescent="0.25">
      <c r="J662" s="8"/>
    </row>
    <row r="663" spans="10:10" ht="15.75" customHeight="1" x14ac:dyDescent="0.25">
      <c r="J663" s="8"/>
    </row>
    <row r="664" spans="10:10" ht="15.75" customHeight="1" x14ac:dyDescent="0.25">
      <c r="J664" s="8"/>
    </row>
    <row r="665" spans="10:10" ht="15.75" customHeight="1" x14ac:dyDescent="0.25">
      <c r="J665" s="8"/>
    </row>
    <row r="666" spans="10:10" ht="15.75" customHeight="1" x14ac:dyDescent="0.25">
      <c r="J666" s="8"/>
    </row>
    <row r="667" spans="10:10" ht="15.75" customHeight="1" x14ac:dyDescent="0.25">
      <c r="J667" s="8"/>
    </row>
    <row r="668" spans="10:10" ht="15.75" customHeight="1" x14ac:dyDescent="0.25">
      <c r="J668" s="8"/>
    </row>
    <row r="669" spans="10:10" ht="15.75" customHeight="1" x14ac:dyDescent="0.25">
      <c r="J669" s="8"/>
    </row>
    <row r="670" spans="10:10" ht="15.75" customHeight="1" x14ac:dyDescent="0.25">
      <c r="J670" s="8"/>
    </row>
    <row r="671" spans="10:10" ht="15.75" customHeight="1" x14ac:dyDescent="0.25">
      <c r="J671" s="8"/>
    </row>
    <row r="672" spans="10:10" ht="15.75" customHeight="1" x14ac:dyDescent="0.25">
      <c r="J672" s="8"/>
    </row>
    <row r="673" spans="10:10" ht="15.75" customHeight="1" x14ac:dyDescent="0.25">
      <c r="J673" s="8"/>
    </row>
    <row r="674" spans="10:10" ht="15.75" customHeight="1" x14ac:dyDescent="0.25">
      <c r="J674" s="8"/>
    </row>
    <row r="675" spans="10:10" ht="15.75" customHeight="1" x14ac:dyDescent="0.25">
      <c r="J675" s="8"/>
    </row>
    <row r="676" spans="10:10" ht="15.75" customHeight="1" x14ac:dyDescent="0.25">
      <c r="J676" s="8"/>
    </row>
    <row r="677" spans="10:10" ht="15.75" customHeight="1" x14ac:dyDescent="0.25">
      <c r="J677" s="8"/>
    </row>
    <row r="678" spans="10:10" ht="15.75" customHeight="1" x14ac:dyDescent="0.25">
      <c r="J678" s="8"/>
    </row>
    <row r="679" spans="10:10" ht="15.75" customHeight="1" x14ac:dyDescent="0.25">
      <c r="J679" s="8"/>
    </row>
    <row r="680" spans="10:10" ht="15.75" customHeight="1" x14ac:dyDescent="0.25">
      <c r="J680" s="8"/>
    </row>
    <row r="681" spans="10:10" ht="15.75" customHeight="1" x14ac:dyDescent="0.25">
      <c r="J681" s="8"/>
    </row>
    <row r="682" spans="10:10" ht="15.75" customHeight="1" x14ac:dyDescent="0.25">
      <c r="J682" s="8"/>
    </row>
    <row r="683" spans="10:10" ht="15.75" customHeight="1" x14ac:dyDescent="0.25">
      <c r="J683" s="8"/>
    </row>
    <row r="684" spans="10:10" ht="15.75" customHeight="1" x14ac:dyDescent="0.25">
      <c r="J684" s="8"/>
    </row>
    <row r="685" spans="10:10" ht="15.75" customHeight="1" x14ac:dyDescent="0.25">
      <c r="J685" s="8"/>
    </row>
    <row r="686" spans="10:10" ht="15.75" customHeight="1" x14ac:dyDescent="0.25">
      <c r="J686" s="8"/>
    </row>
    <row r="687" spans="10:10" ht="15.75" customHeight="1" x14ac:dyDescent="0.25">
      <c r="J687" s="8"/>
    </row>
    <row r="688" spans="10:10" ht="15.75" customHeight="1" x14ac:dyDescent="0.25">
      <c r="J688" s="8"/>
    </row>
    <row r="689" spans="10:10" ht="15.75" customHeight="1" x14ac:dyDescent="0.25">
      <c r="J689" s="8"/>
    </row>
    <row r="690" spans="10:10" ht="15.75" customHeight="1" x14ac:dyDescent="0.25">
      <c r="J690" s="8"/>
    </row>
    <row r="691" spans="10:10" ht="15.75" customHeight="1" x14ac:dyDescent="0.25">
      <c r="J691" s="8"/>
    </row>
    <row r="692" spans="10:10" ht="15.75" customHeight="1" x14ac:dyDescent="0.25">
      <c r="J692" s="8"/>
    </row>
    <row r="693" spans="10:10" ht="15.75" customHeight="1" x14ac:dyDescent="0.25">
      <c r="J693" s="8"/>
    </row>
    <row r="694" spans="10:10" ht="15.75" customHeight="1" x14ac:dyDescent="0.25">
      <c r="J694" s="8"/>
    </row>
    <row r="695" spans="10:10" ht="15.75" customHeight="1" x14ac:dyDescent="0.25">
      <c r="J695" s="8"/>
    </row>
    <row r="696" spans="10:10" ht="15.75" customHeight="1" x14ac:dyDescent="0.25">
      <c r="J696" s="8"/>
    </row>
    <row r="697" spans="10:10" ht="15.75" customHeight="1" x14ac:dyDescent="0.25">
      <c r="J697" s="8"/>
    </row>
    <row r="698" spans="10:10" ht="15.75" customHeight="1" x14ac:dyDescent="0.25">
      <c r="J698" s="8"/>
    </row>
    <row r="699" spans="10:10" ht="15.75" customHeight="1" x14ac:dyDescent="0.25">
      <c r="J699" s="8"/>
    </row>
    <row r="700" spans="10:10" ht="15.75" customHeight="1" x14ac:dyDescent="0.25">
      <c r="J700" s="8"/>
    </row>
    <row r="701" spans="10:10" ht="15.75" customHeight="1" x14ac:dyDescent="0.25">
      <c r="J701" s="8"/>
    </row>
    <row r="702" spans="10:10" ht="15.75" customHeight="1" x14ac:dyDescent="0.25">
      <c r="J702" s="8"/>
    </row>
    <row r="703" spans="10:10" ht="15.75" customHeight="1" x14ac:dyDescent="0.25">
      <c r="J703" s="8"/>
    </row>
    <row r="704" spans="10:10" ht="15.75" customHeight="1" x14ac:dyDescent="0.25">
      <c r="J704" s="8"/>
    </row>
    <row r="705" spans="10:10" ht="15.75" customHeight="1" x14ac:dyDescent="0.25">
      <c r="J705" s="8"/>
    </row>
    <row r="706" spans="10:10" ht="15.75" customHeight="1" x14ac:dyDescent="0.25">
      <c r="J706" s="8"/>
    </row>
    <row r="707" spans="10:10" ht="15.75" customHeight="1" x14ac:dyDescent="0.25">
      <c r="J707" s="8"/>
    </row>
    <row r="708" spans="10:10" ht="15.75" customHeight="1" x14ac:dyDescent="0.25">
      <c r="J708" s="8"/>
    </row>
    <row r="709" spans="10:10" ht="15.75" customHeight="1" x14ac:dyDescent="0.25">
      <c r="J709" s="8"/>
    </row>
    <row r="710" spans="10:10" ht="15.75" customHeight="1" x14ac:dyDescent="0.25">
      <c r="J710" s="8"/>
    </row>
    <row r="711" spans="10:10" ht="15.75" customHeight="1" x14ac:dyDescent="0.25">
      <c r="J711" s="8"/>
    </row>
    <row r="712" spans="10:10" ht="15.75" customHeight="1" x14ac:dyDescent="0.25">
      <c r="J712" s="8"/>
    </row>
    <row r="713" spans="10:10" ht="15.75" customHeight="1" x14ac:dyDescent="0.25">
      <c r="J713" s="8"/>
    </row>
    <row r="714" spans="10:10" ht="15.75" customHeight="1" x14ac:dyDescent="0.25">
      <c r="J714" s="8"/>
    </row>
    <row r="715" spans="10:10" ht="15.75" customHeight="1" x14ac:dyDescent="0.25">
      <c r="J715" s="8"/>
    </row>
    <row r="716" spans="10:10" ht="15.75" customHeight="1" x14ac:dyDescent="0.25">
      <c r="J716" s="8"/>
    </row>
    <row r="717" spans="10:10" ht="15.75" customHeight="1" x14ac:dyDescent="0.25">
      <c r="J717" s="8"/>
    </row>
    <row r="718" spans="10:10" ht="15.75" customHeight="1" x14ac:dyDescent="0.25">
      <c r="J718" s="8"/>
    </row>
    <row r="719" spans="10:10" ht="15.75" customHeight="1" x14ac:dyDescent="0.25">
      <c r="J719" s="8"/>
    </row>
    <row r="720" spans="10:10" ht="15.75" customHeight="1" x14ac:dyDescent="0.25">
      <c r="J720" s="8"/>
    </row>
    <row r="721" spans="10:10" ht="15.75" customHeight="1" x14ac:dyDescent="0.25">
      <c r="J721" s="8"/>
    </row>
    <row r="722" spans="10:10" ht="15.75" customHeight="1" x14ac:dyDescent="0.25">
      <c r="J722" s="8"/>
    </row>
    <row r="723" spans="10:10" ht="15.75" customHeight="1" x14ac:dyDescent="0.25">
      <c r="J723" s="8"/>
    </row>
    <row r="724" spans="10:10" ht="15.75" customHeight="1" x14ac:dyDescent="0.25">
      <c r="J724" s="8"/>
    </row>
    <row r="725" spans="10:10" ht="15.75" customHeight="1" x14ac:dyDescent="0.25">
      <c r="J725" s="8"/>
    </row>
    <row r="726" spans="10:10" ht="15.75" customHeight="1" x14ac:dyDescent="0.25">
      <c r="J726" s="8"/>
    </row>
    <row r="727" spans="10:10" ht="15.75" customHeight="1" x14ac:dyDescent="0.25">
      <c r="J727" s="8"/>
    </row>
    <row r="728" spans="10:10" ht="15.75" customHeight="1" x14ac:dyDescent="0.25">
      <c r="J728" s="8"/>
    </row>
    <row r="729" spans="10:10" ht="15.75" customHeight="1" x14ac:dyDescent="0.25">
      <c r="J729" s="8"/>
    </row>
    <row r="730" spans="10:10" ht="15.75" customHeight="1" x14ac:dyDescent="0.25">
      <c r="J730" s="8"/>
    </row>
    <row r="731" spans="10:10" ht="15.75" customHeight="1" x14ac:dyDescent="0.25">
      <c r="J731" s="8"/>
    </row>
    <row r="732" spans="10:10" ht="15.75" customHeight="1" x14ac:dyDescent="0.25">
      <c r="J732" s="8"/>
    </row>
    <row r="733" spans="10:10" ht="15.75" customHeight="1" x14ac:dyDescent="0.25">
      <c r="J733" s="8"/>
    </row>
    <row r="734" spans="10:10" ht="15.75" customHeight="1" x14ac:dyDescent="0.25">
      <c r="J734" s="8"/>
    </row>
    <row r="735" spans="10:10" ht="15.75" customHeight="1" x14ac:dyDescent="0.25">
      <c r="J735" s="8"/>
    </row>
    <row r="736" spans="10:10" ht="15.75" customHeight="1" x14ac:dyDescent="0.25">
      <c r="J736" s="8"/>
    </row>
    <row r="737" spans="10:10" ht="15.75" customHeight="1" x14ac:dyDescent="0.25">
      <c r="J737" s="8"/>
    </row>
    <row r="738" spans="10:10" ht="15.75" customHeight="1" x14ac:dyDescent="0.25">
      <c r="J738" s="8"/>
    </row>
    <row r="739" spans="10:10" ht="15.75" customHeight="1" x14ac:dyDescent="0.25">
      <c r="J739" s="8"/>
    </row>
    <row r="740" spans="10:10" ht="15.75" customHeight="1" x14ac:dyDescent="0.25">
      <c r="J740" s="8"/>
    </row>
    <row r="741" spans="10:10" ht="15.75" customHeight="1" x14ac:dyDescent="0.25">
      <c r="J741" s="8"/>
    </row>
    <row r="742" spans="10:10" ht="15.75" customHeight="1" x14ac:dyDescent="0.25">
      <c r="J742" s="8"/>
    </row>
    <row r="743" spans="10:10" ht="15.75" customHeight="1" x14ac:dyDescent="0.25">
      <c r="J743" s="8"/>
    </row>
    <row r="744" spans="10:10" ht="15.75" customHeight="1" x14ac:dyDescent="0.25">
      <c r="J744" s="8"/>
    </row>
    <row r="745" spans="10:10" ht="15.75" customHeight="1" x14ac:dyDescent="0.25">
      <c r="J745" s="8"/>
    </row>
    <row r="746" spans="10:10" ht="15.75" customHeight="1" x14ac:dyDescent="0.25">
      <c r="J746" s="8"/>
    </row>
    <row r="747" spans="10:10" ht="15.75" customHeight="1" x14ac:dyDescent="0.25">
      <c r="J747" s="8"/>
    </row>
    <row r="748" spans="10:10" ht="15.75" customHeight="1" x14ac:dyDescent="0.25">
      <c r="J748" s="8"/>
    </row>
    <row r="749" spans="10:10" ht="15.75" customHeight="1" x14ac:dyDescent="0.25">
      <c r="J749" s="8"/>
    </row>
    <row r="750" spans="10:10" ht="15.75" customHeight="1" x14ac:dyDescent="0.25">
      <c r="J750" s="8"/>
    </row>
    <row r="751" spans="10:10" ht="15.75" customHeight="1" x14ac:dyDescent="0.25">
      <c r="J751" s="8"/>
    </row>
    <row r="752" spans="10:10" ht="15.75" customHeight="1" x14ac:dyDescent="0.25">
      <c r="J752" s="8"/>
    </row>
    <row r="753" spans="10:10" ht="15.75" customHeight="1" x14ac:dyDescent="0.25">
      <c r="J753" s="8"/>
    </row>
    <row r="754" spans="10:10" ht="15.75" customHeight="1" x14ac:dyDescent="0.25">
      <c r="J754" s="8"/>
    </row>
    <row r="755" spans="10:10" ht="15.75" customHeight="1" x14ac:dyDescent="0.25">
      <c r="J755" s="8"/>
    </row>
    <row r="756" spans="10:10" ht="15.75" customHeight="1" x14ac:dyDescent="0.25">
      <c r="J756" s="8"/>
    </row>
    <row r="757" spans="10:10" ht="15.75" customHeight="1" x14ac:dyDescent="0.25">
      <c r="J757" s="8"/>
    </row>
    <row r="758" spans="10:10" ht="15.75" customHeight="1" x14ac:dyDescent="0.25">
      <c r="J758" s="8"/>
    </row>
    <row r="759" spans="10:10" ht="15.75" customHeight="1" x14ac:dyDescent="0.25">
      <c r="J759" s="8"/>
    </row>
    <row r="760" spans="10:10" ht="15.75" customHeight="1" x14ac:dyDescent="0.25">
      <c r="J760" s="8"/>
    </row>
    <row r="761" spans="10:10" ht="15.75" customHeight="1" x14ac:dyDescent="0.25">
      <c r="J761" s="8"/>
    </row>
    <row r="762" spans="10:10" ht="15.75" customHeight="1" x14ac:dyDescent="0.25">
      <c r="J762" s="8"/>
    </row>
    <row r="763" spans="10:10" ht="15.75" customHeight="1" x14ac:dyDescent="0.25">
      <c r="J763" s="8"/>
    </row>
    <row r="764" spans="10:10" ht="15.75" customHeight="1" x14ac:dyDescent="0.25">
      <c r="J764" s="8"/>
    </row>
    <row r="765" spans="10:10" ht="15.75" customHeight="1" x14ac:dyDescent="0.25">
      <c r="J765" s="8"/>
    </row>
    <row r="766" spans="10:10" ht="15.75" customHeight="1" x14ac:dyDescent="0.25">
      <c r="J766" s="8"/>
    </row>
    <row r="767" spans="10:10" ht="15.75" customHeight="1" x14ac:dyDescent="0.25">
      <c r="J767" s="8"/>
    </row>
    <row r="768" spans="10:10" ht="15.75" customHeight="1" x14ac:dyDescent="0.25">
      <c r="J768" s="8"/>
    </row>
    <row r="769" spans="10:10" ht="15.75" customHeight="1" x14ac:dyDescent="0.25">
      <c r="J769" s="8"/>
    </row>
    <row r="770" spans="10:10" ht="15.75" customHeight="1" x14ac:dyDescent="0.25">
      <c r="J770" s="8"/>
    </row>
    <row r="771" spans="10:10" ht="15.75" customHeight="1" x14ac:dyDescent="0.25">
      <c r="J771" s="8"/>
    </row>
    <row r="772" spans="10:10" ht="15.75" customHeight="1" x14ac:dyDescent="0.25">
      <c r="J772" s="8"/>
    </row>
    <row r="773" spans="10:10" ht="15.75" customHeight="1" x14ac:dyDescent="0.25">
      <c r="J773" s="8"/>
    </row>
    <row r="774" spans="10:10" ht="15.75" customHeight="1" x14ac:dyDescent="0.25">
      <c r="J774" s="8"/>
    </row>
    <row r="775" spans="10:10" ht="15.75" customHeight="1" x14ac:dyDescent="0.25">
      <c r="J775" s="8"/>
    </row>
    <row r="776" spans="10:10" ht="15.75" customHeight="1" x14ac:dyDescent="0.25">
      <c r="J776" s="8"/>
    </row>
    <row r="777" spans="10:10" ht="15.75" customHeight="1" x14ac:dyDescent="0.25">
      <c r="J777" s="8"/>
    </row>
    <row r="778" spans="10:10" ht="15.75" customHeight="1" x14ac:dyDescent="0.25">
      <c r="J778" s="8"/>
    </row>
    <row r="779" spans="10:10" ht="15.75" customHeight="1" x14ac:dyDescent="0.25">
      <c r="J779" s="8"/>
    </row>
    <row r="780" spans="10:10" ht="15.75" customHeight="1" x14ac:dyDescent="0.25">
      <c r="J780" s="8"/>
    </row>
    <row r="781" spans="10:10" ht="15.75" customHeight="1" x14ac:dyDescent="0.25">
      <c r="J781" s="8"/>
    </row>
    <row r="782" spans="10:10" ht="15.75" customHeight="1" x14ac:dyDescent="0.25">
      <c r="J782" s="8"/>
    </row>
    <row r="783" spans="10:10" ht="15.75" customHeight="1" x14ac:dyDescent="0.25">
      <c r="J783" s="8"/>
    </row>
    <row r="784" spans="10:10" ht="15.75" customHeight="1" x14ac:dyDescent="0.25">
      <c r="J784" s="8"/>
    </row>
    <row r="785" spans="10:10" ht="15.75" customHeight="1" x14ac:dyDescent="0.25">
      <c r="J785" s="8"/>
    </row>
    <row r="786" spans="10:10" ht="15.75" customHeight="1" x14ac:dyDescent="0.25">
      <c r="J786" s="8"/>
    </row>
    <row r="787" spans="10:10" ht="15.75" customHeight="1" x14ac:dyDescent="0.25">
      <c r="J787" s="8"/>
    </row>
    <row r="788" spans="10:10" ht="15.75" customHeight="1" x14ac:dyDescent="0.25">
      <c r="J788" s="8"/>
    </row>
    <row r="789" spans="10:10" ht="15.75" customHeight="1" x14ac:dyDescent="0.25">
      <c r="J789" s="8"/>
    </row>
    <row r="790" spans="10:10" ht="15.75" customHeight="1" x14ac:dyDescent="0.25">
      <c r="J790" s="8"/>
    </row>
    <row r="791" spans="10:10" ht="15.75" customHeight="1" x14ac:dyDescent="0.25">
      <c r="J791" s="8"/>
    </row>
    <row r="792" spans="10:10" ht="15.75" customHeight="1" x14ac:dyDescent="0.25">
      <c r="J792" s="8"/>
    </row>
    <row r="793" spans="10:10" ht="15.75" customHeight="1" x14ac:dyDescent="0.25">
      <c r="J793" s="8"/>
    </row>
    <row r="794" spans="10:10" ht="15.75" customHeight="1" x14ac:dyDescent="0.25">
      <c r="J794" s="8"/>
    </row>
    <row r="795" spans="10:10" ht="15.75" customHeight="1" x14ac:dyDescent="0.25">
      <c r="J795" s="8"/>
    </row>
    <row r="796" spans="10:10" ht="15.75" customHeight="1" x14ac:dyDescent="0.25">
      <c r="J796" s="8"/>
    </row>
    <row r="797" spans="10:10" ht="15.75" customHeight="1" x14ac:dyDescent="0.25">
      <c r="J797" s="8"/>
    </row>
    <row r="798" spans="10:10" ht="15.75" customHeight="1" x14ac:dyDescent="0.25">
      <c r="J798" s="8"/>
    </row>
    <row r="799" spans="10:10" ht="15.75" customHeight="1" x14ac:dyDescent="0.25">
      <c r="J799" s="8"/>
    </row>
    <row r="800" spans="10:10" ht="15.75" customHeight="1" x14ac:dyDescent="0.25">
      <c r="J800" s="8"/>
    </row>
    <row r="801" spans="10:10" ht="15.75" customHeight="1" x14ac:dyDescent="0.25">
      <c r="J801" s="8"/>
    </row>
    <row r="802" spans="10:10" ht="15.75" customHeight="1" x14ac:dyDescent="0.25">
      <c r="J802" s="8"/>
    </row>
    <row r="803" spans="10:10" ht="15.75" customHeight="1" x14ac:dyDescent="0.25">
      <c r="J803" s="8"/>
    </row>
    <row r="804" spans="10:10" ht="15.75" customHeight="1" x14ac:dyDescent="0.25">
      <c r="J804" s="8"/>
    </row>
    <row r="805" spans="10:10" ht="15.75" customHeight="1" x14ac:dyDescent="0.25">
      <c r="J805" s="8"/>
    </row>
    <row r="806" spans="10:10" ht="15.75" customHeight="1" x14ac:dyDescent="0.25">
      <c r="J806" s="8"/>
    </row>
    <row r="807" spans="10:10" ht="15.75" customHeight="1" x14ac:dyDescent="0.25">
      <c r="J807" s="8"/>
    </row>
    <row r="808" spans="10:10" ht="15.75" customHeight="1" x14ac:dyDescent="0.25">
      <c r="J808" s="8"/>
    </row>
    <row r="809" spans="10:10" ht="15.75" customHeight="1" x14ac:dyDescent="0.25">
      <c r="J809" s="8"/>
    </row>
    <row r="810" spans="10:10" ht="15.75" customHeight="1" x14ac:dyDescent="0.25">
      <c r="J810" s="8"/>
    </row>
    <row r="811" spans="10:10" ht="15.75" customHeight="1" x14ac:dyDescent="0.25">
      <c r="J811" s="8"/>
    </row>
    <row r="812" spans="10:10" ht="15.75" customHeight="1" x14ac:dyDescent="0.25">
      <c r="J812" s="8"/>
    </row>
    <row r="813" spans="10:10" ht="15.75" customHeight="1" x14ac:dyDescent="0.25">
      <c r="J813" s="8"/>
    </row>
    <row r="814" spans="10:10" ht="15.75" customHeight="1" x14ac:dyDescent="0.25">
      <c r="J814" s="8"/>
    </row>
    <row r="815" spans="10:10" ht="15.75" customHeight="1" x14ac:dyDescent="0.25">
      <c r="J815" s="8"/>
    </row>
    <row r="816" spans="10:10" ht="15.75" customHeight="1" x14ac:dyDescent="0.25">
      <c r="J816" s="8"/>
    </row>
    <row r="817" spans="10:10" ht="15.75" customHeight="1" x14ac:dyDescent="0.25">
      <c r="J817" s="8"/>
    </row>
    <row r="818" spans="10:10" ht="15.75" customHeight="1" x14ac:dyDescent="0.25">
      <c r="J818" s="8"/>
    </row>
    <row r="819" spans="10:10" ht="15.75" customHeight="1" x14ac:dyDescent="0.25">
      <c r="J819" s="8"/>
    </row>
    <row r="820" spans="10:10" ht="15.75" customHeight="1" x14ac:dyDescent="0.25">
      <c r="J820" s="8"/>
    </row>
    <row r="821" spans="10:10" ht="15.75" customHeight="1" x14ac:dyDescent="0.25">
      <c r="J821" s="8"/>
    </row>
    <row r="822" spans="10:10" ht="15.75" customHeight="1" x14ac:dyDescent="0.25">
      <c r="J822" s="8"/>
    </row>
    <row r="823" spans="10:10" ht="15.75" customHeight="1" x14ac:dyDescent="0.25">
      <c r="J823" s="8"/>
    </row>
    <row r="824" spans="10:10" ht="15.75" customHeight="1" x14ac:dyDescent="0.25">
      <c r="J824" s="8"/>
    </row>
    <row r="825" spans="10:10" ht="15.75" customHeight="1" x14ac:dyDescent="0.25">
      <c r="J825" s="8"/>
    </row>
    <row r="826" spans="10:10" ht="15.75" customHeight="1" x14ac:dyDescent="0.25">
      <c r="J826" s="8"/>
    </row>
    <row r="827" spans="10:10" ht="15.75" customHeight="1" x14ac:dyDescent="0.25">
      <c r="J827" s="8"/>
    </row>
    <row r="828" spans="10:10" ht="15.75" customHeight="1" x14ac:dyDescent="0.25">
      <c r="J828" s="8"/>
    </row>
    <row r="829" spans="10:10" ht="15.75" customHeight="1" x14ac:dyDescent="0.25">
      <c r="J829" s="8"/>
    </row>
    <row r="830" spans="10:10" ht="15.75" customHeight="1" x14ac:dyDescent="0.25">
      <c r="J830" s="8"/>
    </row>
    <row r="831" spans="10:10" ht="15.75" customHeight="1" x14ac:dyDescent="0.25">
      <c r="J831" s="8"/>
    </row>
    <row r="832" spans="10:10" ht="15.75" customHeight="1" x14ac:dyDescent="0.25">
      <c r="J832" s="8"/>
    </row>
    <row r="833" spans="10:10" ht="15.75" customHeight="1" x14ac:dyDescent="0.25">
      <c r="J833" s="8"/>
    </row>
    <row r="834" spans="10:10" ht="15.75" customHeight="1" x14ac:dyDescent="0.25">
      <c r="J834" s="8"/>
    </row>
    <row r="835" spans="10:10" ht="15.75" customHeight="1" x14ac:dyDescent="0.25">
      <c r="J835" s="8"/>
    </row>
    <row r="836" spans="10:10" ht="15.75" customHeight="1" x14ac:dyDescent="0.25">
      <c r="J836" s="8"/>
    </row>
    <row r="837" spans="10:10" ht="15.75" customHeight="1" x14ac:dyDescent="0.25">
      <c r="J837" s="8"/>
    </row>
    <row r="838" spans="10:10" ht="15.75" customHeight="1" x14ac:dyDescent="0.25">
      <c r="J838" s="8"/>
    </row>
    <row r="839" spans="10:10" ht="15.75" customHeight="1" x14ac:dyDescent="0.25">
      <c r="J839" s="8"/>
    </row>
    <row r="840" spans="10:10" ht="15.75" customHeight="1" x14ac:dyDescent="0.25">
      <c r="J840" s="8"/>
    </row>
    <row r="841" spans="10:10" ht="15.75" customHeight="1" x14ac:dyDescent="0.25">
      <c r="J841" s="8"/>
    </row>
    <row r="842" spans="10:10" ht="15.75" customHeight="1" x14ac:dyDescent="0.25">
      <c r="J842" s="8"/>
    </row>
    <row r="843" spans="10:10" ht="15.75" customHeight="1" x14ac:dyDescent="0.25">
      <c r="J843" s="8"/>
    </row>
    <row r="844" spans="10:10" ht="15.75" customHeight="1" x14ac:dyDescent="0.25">
      <c r="J844" s="8"/>
    </row>
    <row r="845" spans="10:10" ht="15.75" customHeight="1" x14ac:dyDescent="0.25">
      <c r="J845" s="8"/>
    </row>
    <row r="846" spans="10:10" ht="15.75" customHeight="1" x14ac:dyDescent="0.25">
      <c r="J846" s="8"/>
    </row>
    <row r="847" spans="10:10" ht="15.75" customHeight="1" x14ac:dyDescent="0.25">
      <c r="J847" s="8"/>
    </row>
    <row r="848" spans="10:10" ht="15.75" customHeight="1" x14ac:dyDescent="0.25">
      <c r="J848" s="8"/>
    </row>
    <row r="849" spans="10:10" ht="15.75" customHeight="1" x14ac:dyDescent="0.25">
      <c r="J849" s="8"/>
    </row>
    <row r="850" spans="10:10" ht="15.75" customHeight="1" x14ac:dyDescent="0.25">
      <c r="J850" s="8"/>
    </row>
    <row r="851" spans="10:10" ht="15.75" customHeight="1" x14ac:dyDescent="0.25">
      <c r="J851" s="8"/>
    </row>
    <row r="852" spans="10:10" ht="15.75" customHeight="1" x14ac:dyDescent="0.25">
      <c r="J852" s="8"/>
    </row>
    <row r="853" spans="10:10" ht="15.75" customHeight="1" x14ac:dyDescent="0.25">
      <c r="J853" s="8"/>
    </row>
    <row r="854" spans="10:10" ht="15.75" customHeight="1" x14ac:dyDescent="0.25">
      <c r="J854" s="8"/>
    </row>
    <row r="855" spans="10:10" ht="15.75" customHeight="1" x14ac:dyDescent="0.25">
      <c r="J855" s="8"/>
    </row>
    <row r="856" spans="10:10" ht="15.75" customHeight="1" x14ac:dyDescent="0.25">
      <c r="J856" s="8"/>
    </row>
    <row r="857" spans="10:10" ht="15.75" customHeight="1" x14ac:dyDescent="0.25">
      <c r="J857" s="8"/>
    </row>
    <row r="858" spans="10:10" ht="15.75" customHeight="1" x14ac:dyDescent="0.25">
      <c r="J858" s="8"/>
    </row>
    <row r="859" spans="10:10" ht="15.75" customHeight="1" x14ac:dyDescent="0.25">
      <c r="J859" s="8"/>
    </row>
    <row r="860" spans="10:10" ht="15.75" customHeight="1" x14ac:dyDescent="0.25">
      <c r="J860" s="8"/>
    </row>
    <row r="861" spans="10:10" ht="15.75" customHeight="1" x14ac:dyDescent="0.25">
      <c r="J861" s="8"/>
    </row>
    <row r="862" spans="10:10" ht="15.75" customHeight="1" x14ac:dyDescent="0.25">
      <c r="J862" s="8"/>
    </row>
    <row r="863" spans="10:10" ht="15.75" customHeight="1" x14ac:dyDescent="0.25">
      <c r="J863" s="8"/>
    </row>
    <row r="864" spans="10:10" ht="15.75" customHeight="1" x14ac:dyDescent="0.25">
      <c r="J864" s="8"/>
    </row>
    <row r="865" spans="10:10" ht="15.75" customHeight="1" x14ac:dyDescent="0.25">
      <c r="J865" s="8"/>
    </row>
    <row r="866" spans="10:10" ht="15.75" customHeight="1" x14ac:dyDescent="0.25">
      <c r="J866" s="8"/>
    </row>
    <row r="867" spans="10:10" ht="15.75" customHeight="1" x14ac:dyDescent="0.25">
      <c r="J867" s="8"/>
    </row>
    <row r="868" spans="10:10" ht="15.75" customHeight="1" x14ac:dyDescent="0.25">
      <c r="J868" s="8"/>
    </row>
    <row r="869" spans="10:10" ht="15.75" customHeight="1" x14ac:dyDescent="0.25">
      <c r="J869" s="8"/>
    </row>
    <row r="870" spans="10:10" ht="15.75" customHeight="1" x14ac:dyDescent="0.25">
      <c r="J870" s="8"/>
    </row>
    <row r="871" spans="10:10" ht="15.75" customHeight="1" x14ac:dyDescent="0.25">
      <c r="J871" s="8"/>
    </row>
    <row r="872" spans="10:10" ht="15.75" customHeight="1" x14ac:dyDescent="0.25">
      <c r="J872" s="8"/>
    </row>
    <row r="873" spans="10:10" ht="15.75" customHeight="1" x14ac:dyDescent="0.25">
      <c r="J873" s="8"/>
    </row>
    <row r="874" spans="10:10" ht="15.75" customHeight="1" x14ac:dyDescent="0.25">
      <c r="J874" s="8"/>
    </row>
    <row r="875" spans="10:10" ht="15.75" customHeight="1" x14ac:dyDescent="0.25">
      <c r="J875" s="8"/>
    </row>
    <row r="876" spans="10:10" ht="15.75" customHeight="1" x14ac:dyDescent="0.25">
      <c r="J876" s="8"/>
    </row>
    <row r="877" spans="10:10" ht="15.75" customHeight="1" x14ac:dyDescent="0.25">
      <c r="J877" s="8"/>
    </row>
    <row r="878" spans="10:10" ht="15.75" customHeight="1" x14ac:dyDescent="0.25">
      <c r="J878" s="8"/>
    </row>
    <row r="879" spans="10:10" ht="15.75" customHeight="1" x14ac:dyDescent="0.25">
      <c r="J879" s="8"/>
    </row>
    <row r="880" spans="10:10" ht="15.75" customHeight="1" x14ac:dyDescent="0.25">
      <c r="J880" s="8"/>
    </row>
    <row r="881" spans="10:10" ht="15.75" customHeight="1" x14ac:dyDescent="0.25">
      <c r="J881" s="8"/>
    </row>
    <row r="882" spans="10:10" ht="15.75" customHeight="1" x14ac:dyDescent="0.25">
      <c r="J882" s="8"/>
    </row>
    <row r="883" spans="10:10" ht="15.75" customHeight="1" x14ac:dyDescent="0.25">
      <c r="J883" s="8"/>
    </row>
    <row r="884" spans="10:10" ht="15.75" customHeight="1" x14ac:dyDescent="0.25">
      <c r="J884" s="8"/>
    </row>
    <row r="885" spans="10:10" ht="15.75" customHeight="1" x14ac:dyDescent="0.25">
      <c r="J885" s="8"/>
    </row>
    <row r="886" spans="10:10" ht="15.75" customHeight="1" x14ac:dyDescent="0.25">
      <c r="J886" s="8"/>
    </row>
    <row r="887" spans="10:10" ht="15.75" customHeight="1" x14ac:dyDescent="0.25">
      <c r="J887" s="8"/>
    </row>
    <row r="888" spans="10:10" ht="15.75" customHeight="1" x14ac:dyDescent="0.25">
      <c r="J888" s="8"/>
    </row>
    <row r="889" spans="10:10" ht="15.75" customHeight="1" x14ac:dyDescent="0.25">
      <c r="J889" s="8"/>
    </row>
    <row r="890" spans="10:10" ht="15.75" customHeight="1" x14ac:dyDescent="0.25">
      <c r="J890" s="8"/>
    </row>
    <row r="891" spans="10:10" ht="15.75" customHeight="1" x14ac:dyDescent="0.25">
      <c r="J891" s="8"/>
    </row>
    <row r="892" spans="10:10" ht="15.75" customHeight="1" x14ac:dyDescent="0.25">
      <c r="J892" s="8"/>
    </row>
    <row r="893" spans="10:10" ht="15.75" customHeight="1" x14ac:dyDescent="0.25">
      <c r="J893" s="8"/>
    </row>
    <row r="894" spans="10:10" ht="15.75" customHeight="1" x14ac:dyDescent="0.25">
      <c r="J894" s="8"/>
    </row>
    <row r="895" spans="10:10" ht="15.75" customHeight="1" x14ac:dyDescent="0.25">
      <c r="J895" s="8"/>
    </row>
    <row r="896" spans="10:10" ht="15.75" customHeight="1" x14ac:dyDescent="0.25">
      <c r="J896" s="8"/>
    </row>
    <row r="897" spans="10:10" ht="15.75" customHeight="1" x14ac:dyDescent="0.25">
      <c r="J897" s="8"/>
    </row>
    <row r="898" spans="10:10" ht="15.75" customHeight="1" x14ac:dyDescent="0.25">
      <c r="J898" s="8"/>
    </row>
    <row r="899" spans="10:10" ht="15.75" customHeight="1" x14ac:dyDescent="0.25">
      <c r="J899" s="8"/>
    </row>
    <row r="900" spans="10:10" ht="15.75" customHeight="1" x14ac:dyDescent="0.25">
      <c r="J900" s="8"/>
    </row>
    <row r="901" spans="10:10" ht="15.75" customHeight="1" x14ac:dyDescent="0.25">
      <c r="J901" s="8"/>
    </row>
    <row r="902" spans="10:10" ht="15.75" customHeight="1" x14ac:dyDescent="0.25">
      <c r="J902" s="8"/>
    </row>
    <row r="903" spans="10:10" ht="15.75" customHeight="1" x14ac:dyDescent="0.25">
      <c r="J903" s="8"/>
    </row>
    <row r="904" spans="10:10" ht="15.75" customHeight="1" x14ac:dyDescent="0.25">
      <c r="J904" s="8"/>
    </row>
    <row r="905" spans="10:10" ht="15.75" customHeight="1" x14ac:dyDescent="0.25">
      <c r="J905" s="8"/>
    </row>
    <row r="906" spans="10:10" ht="15.75" customHeight="1" x14ac:dyDescent="0.25">
      <c r="J906" s="8"/>
    </row>
    <row r="907" spans="10:10" ht="15.75" customHeight="1" x14ac:dyDescent="0.25">
      <c r="J907" s="8"/>
    </row>
    <row r="908" spans="10:10" ht="15.75" customHeight="1" x14ac:dyDescent="0.25">
      <c r="J908" s="8"/>
    </row>
    <row r="909" spans="10:10" ht="15.75" customHeight="1" x14ac:dyDescent="0.25">
      <c r="J909" s="8"/>
    </row>
    <row r="910" spans="10:10" ht="15.75" customHeight="1" x14ac:dyDescent="0.25">
      <c r="J910" s="8"/>
    </row>
    <row r="911" spans="10:10" ht="15.75" customHeight="1" x14ac:dyDescent="0.25">
      <c r="J911" s="8"/>
    </row>
    <row r="912" spans="10:10" ht="15.75" customHeight="1" x14ac:dyDescent="0.25">
      <c r="J912" s="8"/>
    </row>
    <row r="913" spans="10:10" ht="15.75" customHeight="1" x14ac:dyDescent="0.25">
      <c r="J913" s="8"/>
    </row>
    <row r="914" spans="10:10" ht="15.75" customHeight="1" x14ac:dyDescent="0.25">
      <c r="J914" s="8"/>
    </row>
    <row r="915" spans="10:10" ht="15.75" customHeight="1" x14ac:dyDescent="0.25">
      <c r="J915" s="8"/>
    </row>
    <row r="916" spans="10:10" ht="15.75" customHeight="1" x14ac:dyDescent="0.25">
      <c r="J916" s="8"/>
    </row>
    <row r="917" spans="10:10" ht="15.75" customHeight="1" x14ac:dyDescent="0.25">
      <c r="J917" s="8"/>
    </row>
    <row r="918" spans="10:10" ht="15.75" customHeight="1" x14ac:dyDescent="0.25">
      <c r="J918" s="8"/>
    </row>
    <row r="919" spans="10:10" ht="15.75" customHeight="1" x14ac:dyDescent="0.25">
      <c r="J919" s="8"/>
    </row>
    <row r="920" spans="10:10" ht="15.75" customHeight="1" x14ac:dyDescent="0.25">
      <c r="J920" s="8"/>
    </row>
    <row r="921" spans="10:10" ht="15.75" customHeight="1" x14ac:dyDescent="0.25">
      <c r="J921" s="8"/>
    </row>
    <row r="922" spans="10:10" ht="15.75" customHeight="1" x14ac:dyDescent="0.25">
      <c r="J922" s="8"/>
    </row>
    <row r="923" spans="10:10" ht="15.75" customHeight="1" x14ac:dyDescent="0.25">
      <c r="J923" s="8"/>
    </row>
    <row r="924" spans="10:10" ht="15.75" customHeight="1" x14ac:dyDescent="0.25">
      <c r="J924" s="8"/>
    </row>
    <row r="925" spans="10:10" ht="15.75" customHeight="1" x14ac:dyDescent="0.25">
      <c r="J925" s="8"/>
    </row>
    <row r="926" spans="10:10" ht="15.75" customHeight="1" x14ac:dyDescent="0.25">
      <c r="J926" s="8"/>
    </row>
    <row r="927" spans="10:10" ht="15.75" customHeight="1" x14ac:dyDescent="0.25">
      <c r="J927" s="8"/>
    </row>
    <row r="928" spans="10:10" ht="15.75" customHeight="1" x14ac:dyDescent="0.25">
      <c r="J928" s="8"/>
    </row>
    <row r="929" spans="10:10" ht="15.75" customHeight="1" x14ac:dyDescent="0.25">
      <c r="J929" s="8"/>
    </row>
    <row r="930" spans="10:10" ht="15.75" customHeight="1" x14ac:dyDescent="0.25">
      <c r="J930" s="8"/>
    </row>
    <row r="931" spans="10:10" ht="15.75" customHeight="1" x14ac:dyDescent="0.25">
      <c r="J931" s="8"/>
    </row>
    <row r="932" spans="10:10" ht="15.75" customHeight="1" x14ac:dyDescent="0.25">
      <c r="J932" s="8"/>
    </row>
    <row r="933" spans="10:10" ht="15.75" customHeight="1" x14ac:dyDescent="0.25">
      <c r="J933" s="8"/>
    </row>
    <row r="934" spans="10:10" ht="15.75" customHeight="1" x14ac:dyDescent="0.25">
      <c r="J934" s="8"/>
    </row>
    <row r="935" spans="10:10" ht="15.75" customHeight="1" x14ac:dyDescent="0.25">
      <c r="J935" s="8"/>
    </row>
    <row r="936" spans="10:10" ht="15.75" customHeight="1" x14ac:dyDescent="0.25">
      <c r="J936" s="8"/>
    </row>
    <row r="937" spans="10:10" ht="15.75" customHeight="1" x14ac:dyDescent="0.25">
      <c r="J937" s="8"/>
    </row>
    <row r="938" spans="10:10" ht="15.75" customHeight="1" x14ac:dyDescent="0.25">
      <c r="J938" s="8"/>
    </row>
    <row r="939" spans="10:10" ht="15.75" customHeight="1" x14ac:dyDescent="0.25">
      <c r="J939" s="8"/>
    </row>
    <row r="940" spans="10:10" ht="15.75" customHeight="1" x14ac:dyDescent="0.25">
      <c r="J940" s="8"/>
    </row>
    <row r="941" spans="10:10" ht="15.75" customHeight="1" x14ac:dyDescent="0.25">
      <c r="J941" s="8"/>
    </row>
    <row r="942" spans="10:10" ht="15.75" customHeight="1" x14ac:dyDescent="0.25">
      <c r="J942" s="8"/>
    </row>
    <row r="943" spans="10:10" ht="15.75" customHeight="1" x14ac:dyDescent="0.25">
      <c r="J943" s="8"/>
    </row>
    <row r="944" spans="10:10" ht="15.75" customHeight="1" x14ac:dyDescent="0.25">
      <c r="J944" s="8"/>
    </row>
    <row r="945" spans="10:10" ht="15.75" customHeight="1" x14ac:dyDescent="0.25">
      <c r="J945" s="8"/>
    </row>
    <row r="946" spans="10:10" ht="15.75" customHeight="1" x14ac:dyDescent="0.25">
      <c r="J946" s="8"/>
    </row>
    <row r="947" spans="10:10" ht="15.75" customHeight="1" x14ac:dyDescent="0.25">
      <c r="J947" s="8"/>
    </row>
    <row r="948" spans="10:10" ht="15.75" customHeight="1" x14ac:dyDescent="0.25">
      <c r="J948" s="8"/>
    </row>
    <row r="949" spans="10:10" ht="15.75" customHeight="1" x14ac:dyDescent="0.25">
      <c r="J949" s="8"/>
    </row>
    <row r="950" spans="10:10" ht="15.75" customHeight="1" x14ac:dyDescent="0.25">
      <c r="J950" s="8"/>
    </row>
    <row r="951" spans="10:10" ht="15.75" customHeight="1" x14ac:dyDescent="0.25">
      <c r="J951" s="8"/>
    </row>
    <row r="952" spans="10:10" ht="15.75" customHeight="1" x14ac:dyDescent="0.25">
      <c r="J952" s="8"/>
    </row>
    <row r="953" spans="10:10" ht="15.75" customHeight="1" x14ac:dyDescent="0.25">
      <c r="J953" s="8"/>
    </row>
    <row r="954" spans="10:10" ht="15.75" customHeight="1" x14ac:dyDescent="0.25">
      <c r="J954" s="8"/>
    </row>
    <row r="955" spans="10:10" ht="15.75" customHeight="1" x14ac:dyDescent="0.25">
      <c r="J955" s="8"/>
    </row>
    <row r="956" spans="10:10" ht="15.75" customHeight="1" x14ac:dyDescent="0.25">
      <c r="J956" s="8"/>
    </row>
    <row r="957" spans="10:10" ht="15.75" customHeight="1" x14ac:dyDescent="0.25">
      <c r="J957" s="8"/>
    </row>
    <row r="958" spans="10:10" ht="15.75" customHeight="1" x14ac:dyDescent="0.25">
      <c r="J958" s="8"/>
    </row>
    <row r="959" spans="10:10" ht="15.75" customHeight="1" x14ac:dyDescent="0.25">
      <c r="J959" s="8"/>
    </row>
    <row r="960" spans="10:10" ht="15.75" customHeight="1" x14ac:dyDescent="0.25">
      <c r="J960" s="8"/>
    </row>
    <row r="961" spans="10:10" ht="15.75" customHeight="1" x14ac:dyDescent="0.25">
      <c r="J961" s="8"/>
    </row>
    <row r="962" spans="10:10" ht="15.75" customHeight="1" x14ac:dyDescent="0.25">
      <c r="J962" s="8"/>
    </row>
    <row r="963" spans="10:10" ht="15.75" customHeight="1" x14ac:dyDescent="0.25">
      <c r="J963" s="8"/>
    </row>
    <row r="964" spans="10:10" ht="15.75" customHeight="1" x14ac:dyDescent="0.25">
      <c r="J964" s="8"/>
    </row>
    <row r="965" spans="10:10" ht="15.75" customHeight="1" x14ac:dyDescent="0.25">
      <c r="J965" s="8"/>
    </row>
    <row r="966" spans="10:10" ht="15.75" customHeight="1" x14ac:dyDescent="0.25">
      <c r="J966" s="8"/>
    </row>
    <row r="967" spans="10:10" ht="15.75" customHeight="1" x14ac:dyDescent="0.25">
      <c r="J967" s="8"/>
    </row>
    <row r="968" spans="10:10" ht="15.75" customHeight="1" x14ac:dyDescent="0.25">
      <c r="J968" s="8"/>
    </row>
    <row r="969" spans="10:10" ht="15.75" customHeight="1" x14ac:dyDescent="0.25">
      <c r="J969" s="8"/>
    </row>
    <row r="970" spans="10:10" ht="15.75" customHeight="1" x14ac:dyDescent="0.25">
      <c r="J970" s="8"/>
    </row>
    <row r="971" spans="10:10" ht="15.75" customHeight="1" x14ac:dyDescent="0.25">
      <c r="J971" s="8"/>
    </row>
    <row r="972" spans="10:10" ht="15.75" customHeight="1" x14ac:dyDescent="0.25">
      <c r="J972" s="8"/>
    </row>
    <row r="973" spans="10:10" ht="15.75" customHeight="1" x14ac:dyDescent="0.25">
      <c r="J973" s="8"/>
    </row>
    <row r="974" spans="10:10" ht="15.75" customHeight="1" x14ac:dyDescent="0.25">
      <c r="J974" s="8"/>
    </row>
    <row r="975" spans="10:10" ht="15.75" customHeight="1" x14ac:dyDescent="0.25">
      <c r="J975" s="8"/>
    </row>
    <row r="976" spans="10:10" ht="15.75" customHeight="1" x14ac:dyDescent="0.25">
      <c r="J976" s="8"/>
    </row>
    <row r="977" spans="10:10" ht="15.75" customHeight="1" x14ac:dyDescent="0.25">
      <c r="J977" s="8"/>
    </row>
    <row r="978" spans="10:10" ht="15.75" customHeight="1" x14ac:dyDescent="0.25">
      <c r="J978" s="8"/>
    </row>
    <row r="979" spans="10:10" ht="15.75" customHeight="1" x14ac:dyDescent="0.25">
      <c r="J979" s="8"/>
    </row>
    <row r="980" spans="10:10" ht="15.75" customHeight="1" x14ac:dyDescent="0.25">
      <c r="J980" s="8"/>
    </row>
    <row r="981" spans="10:10" ht="15.75" customHeight="1" x14ac:dyDescent="0.25">
      <c r="J981" s="8"/>
    </row>
    <row r="982" spans="10:10" ht="15.75" customHeight="1" x14ac:dyDescent="0.25">
      <c r="J982" s="8"/>
    </row>
    <row r="983" spans="10:10" ht="15.75" customHeight="1" x14ac:dyDescent="0.25">
      <c r="J983" s="8"/>
    </row>
    <row r="984" spans="10:10" ht="15.75" customHeight="1" x14ac:dyDescent="0.25">
      <c r="J984" s="8"/>
    </row>
    <row r="985" spans="10:10" ht="15.75" customHeight="1" x14ac:dyDescent="0.25">
      <c r="J985" s="8"/>
    </row>
    <row r="986" spans="10:10" ht="15.75" customHeight="1" x14ac:dyDescent="0.25">
      <c r="J986" s="8"/>
    </row>
    <row r="987" spans="10:10" ht="15.75" customHeight="1" x14ac:dyDescent="0.25">
      <c r="J987" s="8"/>
    </row>
    <row r="988" spans="10:10" ht="15.75" customHeight="1" x14ac:dyDescent="0.25">
      <c r="J988" s="8"/>
    </row>
    <row r="989" spans="10:10" ht="15.75" customHeight="1" x14ac:dyDescent="0.25">
      <c r="J989" s="8"/>
    </row>
    <row r="990" spans="10:10" ht="15.75" customHeight="1" x14ac:dyDescent="0.25">
      <c r="J990" s="8"/>
    </row>
    <row r="991" spans="10:10" ht="15.75" customHeight="1" x14ac:dyDescent="0.25">
      <c r="J991" s="8"/>
    </row>
    <row r="992" spans="10:10" ht="15.75" customHeight="1" x14ac:dyDescent="0.25">
      <c r="J992" s="8"/>
    </row>
    <row r="993" spans="10:10" ht="15.75" customHeight="1" x14ac:dyDescent="0.25">
      <c r="J993" s="8"/>
    </row>
    <row r="994" spans="10:10" ht="15.75" customHeight="1" x14ac:dyDescent="0.25">
      <c r="J994" s="8"/>
    </row>
    <row r="995" spans="10:10" ht="15.75" customHeight="1" x14ac:dyDescent="0.25">
      <c r="J995" s="8"/>
    </row>
    <row r="996" spans="10:10" ht="15.75" customHeight="1" x14ac:dyDescent="0.25">
      <c r="J996" s="8"/>
    </row>
    <row r="997" spans="10:10" ht="15" customHeight="1" x14ac:dyDescent="0.2"/>
    <row r="998" spans="10:10" ht="15" customHeight="1" x14ac:dyDescent="0.2"/>
    <row r="999" spans="10:10" ht="15" customHeight="1" x14ac:dyDescent="0.2"/>
    <row r="1000" spans="10:10" ht="15" customHeight="1" x14ac:dyDescent="0.2"/>
    <row r="1001" spans="10:10" ht="15" customHeight="1" x14ac:dyDescent="0.2"/>
    <row r="1002" spans="10:10" ht="15" customHeight="1" x14ac:dyDescent="0.2"/>
    <row r="1003" spans="10:10" ht="15" customHeight="1" x14ac:dyDescent="0.2"/>
    <row r="1004" spans="10:10" ht="15" customHeight="1" x14ac:dyDescent="0.2"/>
    <row r="1005" spans="10:10" ht="15" customHeight="1" x14ac:dyDescent="0.2"/>
    <row r="1006" spans="10:10" ht="15" customHeight="1" x14ac:dyDescent="0.2"/>
    <row r="1007" spans="10:10" ht="15" customHeight="1" x14ac:dyDescent="0.2"/>
    <row r="1008" spans="10:10" ht="15" customHeight="1" x14ac:dyDescent="0.2"/>
    <row r="1009" ht="15" customHeight="1" x14ac:dyDescent="0.2"/>
    <row r="1010" ht="15" customHeight="1" x14ac:dyDescent="0.2"/>
    <row r="1011" ht="15" customHeight="1" x14ac:dyDescent="0.2"/>
    <row r="1012" ht="15" customHeight="1" x14ac:dyDescent="0.2"/>
    <row r="1013" ht="15" customHeight="1" x14ac:dyDescent="0.2"/>
    <row r="1014" ht="15" customHeight="1" x14ac:dyDescent="0.2"/>
    <row r="1015" ht="15" customHeight="1" x14ac:dyDescent="0.2"/>
    <row r="1016" ht="15" customHeight="1" x14ac:dyDescent="0.2"/>
    <row r="1017" ht="15" customHeight="1" x14ac:dyDescent="0.2"/>
  </sheetData>
  <mergeCells count="4">
    <mergeCell ref="A1:J1"/>
    <mergeCell ref="C3:E3"/>
    <mergeCell ref="H3:J3"/>
    <mergeCell ref="N12:Q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LANDCO</vt:lpstr>
      <vt:lpstr>COCO SUMMARY</vt:lpstr>
      <vt:lpstr>COCO INCOME</vt:lpstr>
      <vt:lpstr>COCO EXPENSES</vt:lpstr>
      <vt:lpstr>NEGU</vt:lpstr>
      <vt:lpstr>WARRENS PERSONAL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Cohen</dc:creator>
  <cp:lastModifiedBy>Chris Schnell</cp:lastModifiedBy>
  <dcterms:created xsi:type="dcterms:W3CDTF">2025-09-16T09:10:03Z</dcterms:created>
  <dcterms:modified xsi:type="dcterms:W3CDTF">2026-05-05T10:31:08Z</dcterms:modified>
</cp:coreProperties>
</file>