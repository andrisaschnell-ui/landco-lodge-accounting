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nt\Dropbox\Andrisa\Landco\Accounts 2026\Landco Accounts 2026\"/>
    </mc:Choice>
  </mc:AlternateContent>
  <xr:revisionPtr revIDLastSave="0" documentId="13_ncr:1_{F1872273-1547-49FA-8DBC-C361BCFB91E5}" xr6:coauthVersionLast="47" xr6:coauthVersionMax="47" xr10:uidLastSave="{00000000-0000-0000-0000-000000000000}"/>
  <bookViews>
    <workbookView xWindow="-108" yWindow="-108" windowWidth="23256" windowHeight="12576" xr2:uid="{F3609D60-10FC-43F6-AD53-5F58C9B47967}"/>
  </bookViews>
  <sheets>
    <sheet name="EXPENSES SHARED 202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Print_Area" localSheetId="0">'EXPENSES SHARED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M5" i="1"/>
  <c r="L5" i="1"/>
  <c r="K5" i="1"/>
  <c r="J5" i="1"/>
  <c r="I5" i="1"/>
  <c r="H5" i="1"/>
  <c r="G5" i="1"/>
  <c r="F5" i="1"/>
  <c r="E5" i="1"/>
  <c r="D5" i="1"/>
  <c r="C5" i="1"/>
  <c r="K19" i="1" l="1"/>
  <c r="G19" i="1"/>
  <c r="E19" i="1"/>
  <c r="L18" i="1"/>
  <c r="J18" i="1"/>
  <c r="H18" i="1"/>
  <c r="E17" i="1"/>
  <c r="O17" i="1" s="1"/>
  <c r="E14" i="1"/>
  <c r="O13" i="1"/>
  <c r="K12" i="1"/>
  <c r="F12" i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N8" i="1"/>
  <c r="M8" i="1"/>
  <c r="L8" i="1"/>
  <c r="K8" i="1"/>
  <c r="J8" i="1"/>
  <c r="I8" i="1"/>
  <c r="H8" i="1"/>
  <c r="G8" i="1"/>
  <c r="F8" i="1"/>
  <c r="E8" i="1"/>
  <c r="D8" i="1"/>
  <c r="N7" i="1"/>
  <c r="M7" i="1"/>
  <c r="L7" i="1"/>
  <c r="K7" i="1"/>
  <c r="J7" i="1"/>
  <c r="I7" i="1"/>
  <c r="H7" i="1"/>
  <c r="G7" i="1"/>
  <c r="F7" i="1"/>
  <c r="N6" i="1"/>
  <c r="M6" i="1"/>
  <c r="L6" i="1"/>
  <c r="K6" i="1"/>
  <c r="J6" i="1"/>
  <c r="I6" i="1"/>
  <c r="H6" i="1"/>
  <c r="G6" i="1"/>
  <c r="F6" i="1"/>
  <c r="D6" i="1"/>
  <c r="O4" i="1"/>
  <c r="J20" i="1" l="1"/>
  <c r="O14" i="1"/>
  <c r="I20" i="1"/>
  <c r="G20" i="1"/>
  <c r="K20" i="1"/>
  <c r="O7" i="1"/>
  <c r="N20" i="1"/>
  <c r="H20" i="1"/>
  <c r="M20" i="1"/>
  <c r="E20" i="1"/>
  <c r="F20" i="1"/>
  <c r="D20" i="1"/>
  <c r="O18" i="1"/>
  <c r="O8" i="1"/>
  <c r="O9" i="1"/>
  <c r="O12" i="1"/>
  <c r="O15" i="1"/>
  <c r="C20" i="1"/>
  <c r="O19" i="1"/>
  <c r="L20" i="1"/>
  <c r="O10" i="1"/>
  <c r="O5" i="1"/>
  <c r="O11" i="1"/>
  <c r="O6" i="1"/>
  <c r="O16" i="1"/>
  <c r="O3" i="1"/>
  <c r="O20" i="1" l="1"/>
  <c r="P20" i="1" s="1"/>
  <c r="Q20" i="1" s="1"/>
  <c r="R20" i="1" s="1"/>
</calcChain>
</file>

<file path=xl/sharedStrings.xml><?xml version="1.0" encoding="utf-8"?>
<sst xmlns="http://schemas.openxmlformats.org/spreadsheetml/2006/main" count="34" uniqueCount="33">
  <si>
    <t>LANDCO EXPENSES FOR 2025</t>
  </si>
  <si>
    <t>AVERAGE SHARED EXPENSES PER MONTH $3600</t>
  </si>
  <si>
    <t>SHARED EXPENSES</t>
  </si>
  <si>
    <t>JAN</t>
  </si>
  <si>
    <t>FEB</t>
  </si>
  <si>
    <t>MARCH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</si>
  <si>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</si>
  <si>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</si>
  <si>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</si>
  <si>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</si>
  <si>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</si>
  <si>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</si>
  <si>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</si>
  <si>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</si>
  <si>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</si>
  <si>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</si>
  <si>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SHARED SALARIES</t>
  </si>
  <si>
    <t>CASUAL WORKERS AND FOOD ALLOWANCE</t>
  </si>
  <si>
    <t>OFFICE AND BANK CHARGES</t>
  </si>
  <si>
    <t>ADMIN CHARGES (BDO &amp; ANDRISA ENS )</t>
  </si>
  <si>
    <t>GAS AND ELECTRISITY</t>
  </si>
  <si>
    <t>HOUSE KEEPING</t>
  </si>
  <si>
    <t>MAINTENANCE GENERAL</t>
  </si>
  <si>
    <t>MAINTENANCE GARDEN &amp; POOL</t>
  </si>
  <si>
    <t>MAINTENANCE &amp; EXPENSES VEHICLES</t>
  </si>
  <si>
    <t>POOL FENCE</t>
  </si>
  <si>
    <t>INSURANCE &amp; LICENSE</t>
  </si>
  <si>
    <t>DIESEL AND PETROL</t>
  </si>
  <si>
    <t>SMALL TOOLS</t>
  </si>
  <si>
    <t>WC</t>
  </si>
  <si>
    <t>IRPC</t>
  </si>
  <si>
    <t>MARINTINE &amp; MUNICIPAL TAXES IPRA &amp;TAE</t>
  </si>
  <si>
    <t>ANDRISA DIRE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</si>
</sst>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[$$-409]#,##0.00"/>
    <numFmt numFmtId="166" formatCode="_-* #,##0.00_-;\-* #,##0.00_-;_-* \-??_-;_-@"/>
  </numFmts>
  <fonts count="12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b/>
      <u/>
      <sz val="1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Gill Sans MT"/>
      <family val="2"/>
      <charset val="1"/>
    </font>
    <font>
      <b/>
      <sz val="11"/>
      <color rgb="FF000000"/>
      <name val="Gill Sans MT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charset val="1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Gill Sans M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4" fillId="0" borderId="0" xfId="0" applyNumberFormat="1" applyFont="1"/>
    <xf numFmtId="4" fontId="4" fillId="0" borderId="0" xfId="0" applyNumberFormat="1" applyFont="1"/>
    <xf numFmtId="0" fontId="5" fillId="0" borderId="0" xfId="0" applyFont="1"/>
    <xf numFmtId="0" fontId="4" fillId="0" borderId="0" xfId="0" applyFont="1"/>
    <xf numFmtId="166" fontId="3" fillId="0" borderId="1" xfId="0" applyNumberFormat="1" applyFont="1" applyBorder="1" applyAlignment="1">
      <alignment horizontal="center"/>
    </xf>
    <xf numFmtId="0" fontId="6" fillId="2" borderId="1" xfId="0" applyFont="1" applyFill="1" applyBorder="1"/>
    <xf numFmtId="165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8" fillId="2" borderId="1" xfId="0" applyFont="1" applyFill="1" applyBorder="1"/>
    <xf numFmtId="4" fontId="8" fillId="0" borderId="1" xfId="0" applyNumberFormat="1" applyFont="1" applyBorder="1" applyAlignment="1">
      <alignment horizontal="right"/>
    </xf>
    <xf numFmtId="4" fontId="0" fillId="3" borderId="1" xfId="0" applyNumberFormat="1" applyFill="1" applyBorder="1" applyAlignment="1">
      <alignment horizontal="right"/>
    </xf>
    <xf numFmtId="4" fontId="0" fillId="2" borderId="1" xfId="0" applyNumberFormat="1" applyFill="1" applyBorder="1"/>
    <xf numFmtId="4" fontId="0" fillId="0" borderId="1" xfId="0" applyNumberForma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4" fontId="8" fillId="0" borderId="1" xfId="0" applyNumberFormat="1" applyFont="1" applyBorder="1"/>
    <xf numFmtId="4" fontId="10" fillId="3" borderId="1" xfId="0" applyNumberFormat="1" applyFont="1" applyFill="1" applyBorder="1" applyAlignment="1">
      <alignment horizontal="right"/>
    </xf>
    <xf numFmtId="4" fontId="0" fillId="0" borderId="1" xfId="0" applyNumberFormat="1" applyBorder="1" applyAlignment="1">
      <alignment horizontal="center"/>
    </xf>
    <xf numFmtId="4" fontId="10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4" fontId="10" fillId="0" borderId="1" xfId="0" applyNumberFormat="1" applyFont="1" applyBorder="1" applyAlignment="1">
      <alignment horizontal="right"/>
    </xf>
    <xf numFmtId="4" fontId="8" fillId="3" borderId="1" xfId="0" applyNumberFormat="1" applyFont="1" applyFill="1" applyBorder="1"/>
    <xf numFmtId="4" fontId="10" fillId="4" borderId="1" xfId="0" applyNumberFormat="1" applyFont="1" applyFill="1" applyBorder="1" applyAlignment="1">
      <alignment horizontal="right"/>
    </xf>
    <xf numFmtId="4" fontId="0" fillId="0" borderId="0" xfId="0" applyNumberFormat="1"/>
    <xf numFmtId="0" fontId="8" fillId="2" borderId="1" xfId="0" applyFont="1" applyFill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center" vertical="center"/>
    </xf>
    <xf numFmtId="4" fontId="10" fillId="2" borderId="2" xfId="0" applyNumberFormat="1" applyFont="1" applyFill="1" applyBorder="1" applyAlignment="1">
      <alignment horizontal="right"/>
    </xf>
    <xf numFmtId="4" fontId="10" fillId="4" borderId="2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wrapText="1"/>
    </xf>
    <xf numFmtId="4" fontId="8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left"/>
    </xf>
    <xf numFmtId="4" fontId="9" fillId="0" borderId="1" xfId="0" applyNumberFormat="1" applyFont="1" applyBorder="1"/>
    <xf numFmtId="165" fontId="0" fillId="0" borderId="0" xfId="0" applyNumberFormat="1"/>
    <xf numFmtId="0" fontId="11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4" fontId="8" fillId="0" borderId="0" xfId="0" applyNumberFormat="1" applyFont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0" fontId="8" fillId="0" borderId="0" xfId="0" applyFont="1"/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</cellXfs>
  <cellStyles count="2">
    <cellStyle name="Normal" xfId="0" builtinId="0"/>
    <cellStyle name="Normal 2 3 3" xfId="1" xr:uid="{A2B9B73A-93D8-43C2-8B49-C5ECA51F1B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1%20Jan%2025%20LC%20Petty%20Cash\LC%20MONTH%20END%20JAN%202025.xlsx" TargetMode="External"/><Relationship Id="rId1" Type="http://schemas.openxmlformats.org/officeDocument/2006/relationships/externalLinkPath" Target="/Users/Clint/Dropbox/Andrisa/Landco/Accounts%202025/Landco%20Accounts/01%20Jan%2025%20LC%20Petty%20Cash/LC%20MONTH%20END%20JA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3%20March%2025%20LC%20Petty%20Cash\03%20LC%20MARCH%20MONTH%20END%202025.xlsx" TargetMode="External"/><Relationship Id="rId1" Type="http://schemas.openxmlformats.org/officeDocument/2006/relationships/externalLinkPath" Target="/Users/Clint/Dropbox/Andrisa/Landco/Accounts%202025/Landco%20Accounts/03%20March%2025%20LC%20Petty%20Cash/03%20LC%20MARCH%20MONTH%20END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4%20April%2025%20LC%20Petty%20Cash\04%20LC%20APRIL%20MONTH%20END%202025.xlsx" TargetMode="External"/><Relationship Id="rId1" Type="http://schemas.openxmlformats.org/officeDocument/2006/relationships/externalLinkPath" Target="/Users/Clint/Dropbox/Andrisa/Landco/Accounts%202025/Landco%20Accounts/04%20April%2025%20LC%20Petty%20Cash/04%20LC%20APRIL%20MONTH%20END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5%20May%2025%20LC%20Petty%20Cash\05%20LC%20MAY%20MONTH%20END%202025.xlsx" TargetMode="External"/><Relationship Id="rId1" Type="http://schemas.openxmlformats.org/officeDocument/2006/relationships/externalLinkPath" Target="/Users/Clint/Dropbox/Andrisa/Landco/Accounts%202025/Landco%20Accounts/05%20May%2025%20LC%20Petty%20Cash/05%20LC%20MAY%20MONTH%20END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6%20June%2025%20LC%20Petty%20Cash\06%20LC%20JUNE%20MONTH%20END%202025.xlsx" TargetMode="External"/><Relationship Id="rId1" Type="http://schemas.openxmlformats.org/officeDocument/2006/relationships/externalLinkPath" Target="/Users/Clint/Dropbox/Andrisa/Landco/Accounts%202025/Landco%20Accounts/06%20June%2025%20LC%20Petty%20Cash/06%20LC%20JUNE%20MONTH%20END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7%20July%2025%20LC%20Petty%20Cash\07%20JULY%20MONTH%20END%202025.xlsx" TargetMode="External"/><Relationship Id="rId1" Type="http://schemas.openxmlformats.org/officeDocument/2006/relationships/externalLinkPath" Target="/Users/Clint/Dropbox/Andrisa/Landco/Accounts%202025/Landco%20Accounts/07%20July%2025%20LC%20Petty%20Cash/07%20JULY%20MONTH%20END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8%20Aug%2025%20LC%20Petty%20Cash\08%20Aug%20MONTH%20END%202025.xlsx" TargetMode="External"/><Relationship Id="rId1" Type="http://schemas.openxmlformats.org/officeDocument/2006/relationships/externalLinkPath" Target="/Users/Clint/Dropbox/Andrisa/Landco/Accounts%202025/Landco%20Accounts/08%20Aug%2025%20LC%20Petty%20Cash/08%20Aug%20MONTH%20END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9%20Sept%2025%20LC%20Petty%20Cash\09%20Sept%20MONTH%20END%202025.xlsx" TargetMode="External"/><Relationship Id="rId1" Type="http://schemas.openxmlformats.org/officeDocument/2006/relationships/externalLinkPath" Target="/Users/Clint/Dropbox/Andrisa/Landco/Accounts%202025/Landco%20Accounts/09%20Sept%2025%20LC%20Petty%20Cash/09%20Sept%20MONTH%20END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10%20Oct%2025%20LC%20Petty%20Cash\10%20Oct%20MONTH%20END%202025%20after%20burglary.xlsx" TargetMode="External"/><Relationship Id="rId1" Type="http://schemas.openxmlformats.org/officeDocument/2006/relationships/externalLinkPath" Target="/Users/Clint/Dropbox/Andrisa/Landco/Accounts%202025/Landco%20Accounts/10%20Oct%2025%20LC%20Petty%20Cash/10%20Oct%20MONTH%20END%202025%20after%20burglar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11%20Nov%2025%20LC%20Petty%20Cash\11%20NOV%20MONTH%20END%202025.xlsx" TargetMode="External"/><Relationship Id="rId1" Type="http://schemas.openxmlformats.org/officeDocument/2006/relationships/externalLinkPath" Target="/Users/Clint/Dropbox/Andrisa/Landco/Accounts%202025/Landco%20Accounts/11%20Nov%2025%20LC%20Petty%20Cash/11%20NOV%20MONTH%20END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12%20Dec%2025%20LC%20Petty%20Cash\12%20DEC%20MONTH%20END%202025.xlsx" TargetMode="External"/><Relationship Id="rId1" Type="http://schemas.openxmlformats.org/officeDocument/2006/relationships/externalLinkPath" Target="/Users/Clint/Dropbox/Andrisa/Landco/Accounts%202025/Landco%20Accounts/12%20Dec%2025%20LC%20Petty%20Cash/12%20DEC%20MONTH%20END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\Dropbox\Andrisa\Landco\Accounts%202025\Landco%20Accounts\02%20Feb%2025%20LC%20Petty%20Cash\02%20LC%20MONTH%20END%20FEB%202025.xlsx" TargetMode="External"/><Relationship Id="rId1" Type="http://schemas.openxmlformats.org/officeDocument/2006/relationships/externalLinkPath" Target="/Users/Clint/Dropbox/Andrisa/Landco/Accounts%202025/Landco%20Accounts/02%20Feb%2025%20LC%20Petty%20Cash/02%20LC%20MONTH%20END%20FEB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ON JAN"/>
      <sheetName val="INCOME JAN"/>
      <sheetName val="EXPENSES JAN "/>
      <sheetName val="SALARY RECON JAN"/>
    </sheetNames>
    <sheetDataSet>
      <sheetData sheetId="0"/>
      <sheetData sheetId="1"/>
      <sheetData sheetId="2">
        <row r="74">
          <cell r="E74">
            <v>37027.240000000005</v>
          </cell>
        </row>
        <row r="75">
          <cell r="E75">
            <v>32000</v>
          </cell>
        </row>
        <row r="77">
          <cell r="E77">
            <v>4830.5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 MARCH EXPENSES"/>
      <sheetName val="Folha de salarios"/>
      <sheetName val="SALARY RECON"/>
    </sheetNames>
    <sheetDataSet>
      <sheetData sheetId="0"/>
      <sheetData sheetId="1">
        <row r="11">
          <cell r="F11">
            <v>1699436.8975</v>
          </cell>
        </row>
      </sheetData>
      <sheetData sheetId="2">
        <row r="127">
          <cell r="E127">
            <v>291233.25</v>
          </cell>
        </row>
        <row r="132">
          <cell r="E132">
            <v>56897.979999999996</v>
          </cell>
        </row>
        <row r="133">
          <cell r="E133">
            <v>13774</v>
          </cell>
        </row>
        <row r="134">
          <cell r="E134">
            <v>5978.5</v>
          </cell>
        </row>
        <row r="135">
          <cell r="E135">
            <v>41950.44</v>
          </cell>
        </row>
        <row r="137">
          <cell r="E137">
            <v>228097.22</v>
          </cell>
        </row>
        <row r="139">
          <cell r="E139">
            <v>8650</v>
          </cell>
        </row>
        <row r="140">
          <cell r="E140">
            <v>73925.36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 APRIL EXPENSES"/>
    </sheetNames>
    <sheetDataSet>
      <sheetData sheetId="0"/>
      <sheetData sheetId="1">
        <row r="11">
          <cell r="J11">
            <v>1040182.7967999999</v>
          </cell>
        </row>
      </sheetData>
      <sheetData sheetId="2">
        <row r="121">
          <cell r="F121">
            <v>197748.5368</v>
          </cell>
        </row>
        <row r="123">
          <cell r="F123">
            <v>12223</v>
          </cell>
        </row>
        <row r="124">
          <cell r="F124">
            <v>184126.8</v>
          </cell>
        </row>
        <row r="125">
          <cell r="F125">
            <v>53496.84</v>
          </cell>
        </row>
        <row r="126">
          <cell r="F126">
            <v>9553</v>
          </cell>
        </row>
        <row r="127">
          <cell r="F127">
            <v>38278.71</v>
          </cell>
        </row>
        <row r="128">
          <cell r="F128">
            <v>14853.8</v>
          </cell>
        </row>
        <row r="131">
          <cell r="F131">
            <v>6500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MAY EXPENSES"/>
    </sheetNames>
    <sheetDataSet>
      <sheetData sheetId="0"/>
      <sheetData sheetId="1">
        <row r="11">
          <cell r="M11">
            <v>754999.81</v>
          </cell>
        </row>
      </sheetData>
      <sheetData sheetId="2">
        <row r="76">
          <cell r="F76">
            <v>182927.2</v>
          </cell>
        </row>
        <row r="78">
          <cell r="F78">
            <v>5872</v>
          </cell>
        </row>
        <row r="79">
          <cell r="F79">
            <v>187626.8</v>
          </cell>
        </row>
        <row r="80">
          <cell r="F80">
            <v>63348.409999999996</v>
          </cell>
        </row>
        <row r="81">
          <cell r="F81">
            <v>15833.4</v>
          </cell>
        </row>
        <row r="82">
          <cell r="F82">
            <v>5740</v>
          </cell>
        </row>
        <row r="86">
          <cell r="F86">
            <v>3810</v>
          </cell>
        </row>
        <row r="88">
          <cell r="F88">
            <v>33117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JUNE EXPENSES"/>
      <sheetName val="MONTHLY FOR THE YEAR"/>
    </sheetNames>
    <sheetDataSet>
      <sheetData sheetId="0"/>
      <sheetData sheetId="1">
        <row r="11">
          <cell r="E11">
            <v>745006.88749999995</v>
          </cell>
        </row>
      </sheetData>
      <sheetData sheetId="2">
        <row r="94">
          <cell r="F94">
            <v>158891.20000000001</v>
          </cell>
        </row>
        <row r="96">
          <cell r="F96">
            <v>6883.3274999999994</v>
          </cell>
        </row>
        <row r="97">
          <cell r="F97">
            <v>184126.8</v>
          </cell>
        </row>
        <row r="98">
          <cell r="F98">
            <v>47282.07</v>
          </cell>
        </row>
        <row r="99">
          <cell r="F99">
            <v>1300</v>
          </cell>
        </row>
        <row r="100">
          <cell r="F100">
            <v>23763</v>
          </cell>
        </row>
        <row r="106">
          <cell r="F106">
            <v>1870.15</v>
          </cell>
        </row>
        <row r="109">
          <cell r="F109">
            <v>18950.349999999999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JULY EXPENSES"/>
      <sheetName val="MONTHLY FOR THE YEAR"/>
    </sheetNames>
    <sheetDataSet>
      <sheetData sheetId="0"/>
      <sheetData sheetId="1">
        <row r="12">
          <cell r="E12">
            <v>1532264.3199999998</v>
          </cell>
        </row>
      </sheetData>
      <sheetData sheetId="2">
        <row r="107">
          <cell r="F107">
            <v>228063.2</v>
          </cell>
        </row>
        <row r="109">
          <cell r="F109">
            <v>82011</v>
          </cell>
        </row>
        <row r="110">
          <cell r="F110">
            <v>184126.8</v>
          </cell>
        </row>
        <row r="111">
          <cell r="F111">
            <v>54626.19</v>
          </cell>
        </row>
        <row r="112">
          <cell r="F112">
            <v>11920</v>
          </cell>
        </row>
        <row r="113">
          <cell r="F113">
            <v>5145</v>
          </cell>
        </row>
        <row r="119">
          <cell r="F119">
            <v>1100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AUG EXPENSES"/>
      <sheetName val="MONTHLY FOR THE YEAR"/>
    </sheetNames>
    <sheetDataSet>
      <sheetData sheetId="0"/>
      <sheetData sheetId="1">
        <row r="12">
          <cell r="E12">
            <v>872203.84999999986</v>
          </cell>
        </row>
      </sheetData>
      <sheetData sheetId="2">
        <row r="102">
          <cell r="E102">
            <v>227147.2</v>
          </cell>
        </row>
        <row r="104">
          <cell r="E104">
            <v>13902</v>
          </cell>
        </row>
        <row r="105">
          <cell r="E105">
            <v>184126.8</v>
          </cell>
        </row>
        <row r="106">
          <cell r="E106">
            <v>56971.56</v>
          </cell>
        </row>
        <row r="107">
          <cell r="E107">
            <v>39234.400000000001</v>
          </cell>
        </row>
        <row r="108">
          <cell r="E108">
            <v>12901.6</v>
          </cell>
        </row>
        <row r="113">
          <cell r="E113">
            <v>12445</v>
          </cell>
        </row>
        <row r="116">
          <cell r="E116">
            <v>18950.349999999999</v>
          </cell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SEPT EXPENSES"/>
      <sheetName val="SEPT EXPENSES HOUSE"/>
      <sheetName val="Sheet1"/>
      <sheetName val="MONTHLY FOR THE YEAR"/>
    </sheetNames>
    <sheetDataSet>
      <sheetData sheetId="0"/>
      <sheetData sheetId="1">
        <row r="10">
          <cell r="E10">
            <v>1154795.74</v>
          </cell>
        </row>
      </sheetData>
      <sheetData sheetId="2">
        <row r="90">
          <cell r="T90">
            <v>148041.5</v>
          </cell>
        </row>
        <row r="96">
          <cell r="E96">
            <v>9571</v>
          </cell>
        </row>
        <row r="97">
          <cell r="E97">
            <v>184126.8</v>
          </cell>
        </row>
        <row r="98">
          <cell r="E98">
            <v>70243.100000000006</v>
          </cell>
        </row>
        <row r="99">
          <cell r="E99">
            <v>3760.3900000000003</v>
          </cell>
        </row>
        <row r="100">
          <cell r="E100">
            <v>29773.25</v>
          </cell>
        </row>
        <row r="102">
          <cell r="E102">
            <v>986</v>
          </cell>
        </row>
        <row r="105">
          <cell r="E105">
            <v>4371.76</v>
          </cell>
        </row>
      </sheetData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OCT EXPENSES"/>
      <sheetName val="OCT EXPENSES HOUSE"/>
      <sheetName val="MONTHLY FOR THE YEAR"/>
    </sheetNames>
    <sheetDataSet>
      <sheetData sheetId="0"/>
      <sheetData sheetId="1"/>
      <sheetData sheetId="2">
        <row r="95">
          <cell r="J95">
            <v>184691.8</v>
          </cell>
        </row>
        <row r="101">
          <cell r="E101">
            <v>9170.33</v>
          </cell>
        </row>
        <row r="103">
          <cell r="E103">
            <v>56884.99</v>
          </cell>
        </row>
        <row r="104">
          <cell r="E104">
            <v>29783</v>
          </cell>
        </row>
        <row r="105">
          <cell r="E105">
            <v>9070</v>
          </cell>
        </row>
        <row r="110">
          <cell r="E110">
            <v>550</v>
          </cell>
        </row>
        <row r="113">
          <cell r="E113">
            <v>18952.71</v>
          </cell>
        </row>
      </sheetData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NOV EXPENSES"/>
      <sheetName val="NOV EXPENSES HOUSE"/>
      <sheetName val="Sheet1"/>
      <sheetName val="MONTHLY FOR THE YEAR"/>
    </sheetNames>
    <sheetDataSet>
      <sheetData sheetId="0"/>
      <sheetData sheetId="1">
        <row r="9">
          <cell r="E9">
            <v>1008033.01795</v>
          </cell>
        </row>
      </sheetData>
      <sheetData sheetId="2">
        <row r="95">
          <cell r="E95">
            <v>246765.84</v>
          </cell>
        </row>
        <row r="97">
          <cell r="E97">
            <v>4729</v>
          </cell>
        </row>
        <row r="98">
          <cell r="E98">
            <v>184126.8</v>
          </cell>
        </row>
        <row r="99">
          <cell r="E99">
            <v>65799.37</v>
          </cell>
        </row>
        <row r="100">
          <cell r="E100">
            <v>1652</v>
          </cell>
        </row>
        <row r="101">
          <cell r="E101">
            <v>21616.667000000001</v>
          </cell>
        </row>
        <row r="106">
          <cell r="E106">
            <v>6015</v>
          </cell>
        </row>
      </sheetData>
      <sheetData sheetId="3">
        <row r="23">
          <cell r="M23">
            <v>34786.959999999999</v>
          </cell>
        </row>
      </sheetData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"/>
      <sheetName val="RECON"/>
      <sheetName val=" EXPENSES"/>
      <sheetName val=" EXPENSES HOUSE"/>
      <sheetName val="MONTHLY FOR THE YEAR"/>
      <sheetName val="EXPENSES SHARED 2025"/>
    </sheetNames>
    <sheetDataSet>
      <sheetData sheetId="0"/>
      <sheetData sheetId="1"/>
      <sheetData sheetId="2"/>
      <sheetData sheetId="3">
        <row r="4">
          <cell r="O4">
            <v>381532.96000000008</v>
          </cell>
        </row>
        <row r="6">
          <cell r="O6">
            <v>8939.33</v>
          </cell>
        </row>
        <row r="7">
          <cell r="O7">
            <v>184397.8</v>
          </cell>
        </row>
        <row r="8">
          <cell r="O8">
            <v>58615.62</v>
          </cell>
        </row>
        <row r="9">
          <cell r="O9">
            <v>7342.38</v>
          </cell>
        </row>
        <row r="10">
          <cell r="O10">
            <v>30361</v>
          </cell>
        </row>
        <row r="16">
          <cell r="O16">
            <v>9985</v>
          </cell>
        </row>
      </sheetData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ON (2)"/>
      <sheetName val="INCOME FEB"/>
      <sheetName val="RECON"/>
      <sheetName val="SHARED EXPENSES"/>
      <sheetName val="Folha de salarios"/>
      <sheetName val="SALARY RECON"/>
    </sheetNames>
    <sheetDataSet>
      <sheetData sheetId="0"/>
      <sheetData sheetId="1"/>
      <sheetData sheetId="2">
        <row r="11">
          <cell r="F11">
            <v>1319317.9367000002</v>
          </cell>
        </row>
      </sheetData>
      <sheetData sheetId="3">
        <row r="110">
          <cell r="F110">
            <v>91200</v>
          </cell>
        </row>
        <row r="113">
          <cell r="F113">
            <v>19525</v>
          </cell>
        </row>
        <row r="115">
          <cell r="F115">
            <v>64617.380000000005</v>
          </cell>
        </row>
        <row r="116">
          <cell r="F116">
            <v>27946.940000000002</v>
          </cell>
        </row>
        <row r="120">
          <cell r="F120">
            <v>3530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107F-E39F-42BA-8A19-896943B689F7}">
  <dimension ref="A1:AU518"/>
  <sheetViews>
    <sheetView tabSelected="1"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F23" sqref="F23"/>
    </sheetView>
  </sheetViews>
  <sheetFormatPr defaultColWidth="14.44140625" defaultRowHeight="18" x14ac:dyDescent="0.5"/>
  <cols>
    <col min="1" max="1" width="4.6640625" style="7" customWidth="1"/>
    <col min="2" max="2" width="37.21875" style="46" customWidth="1"/>
    <col min="3" max="3" width="15.77734375" style="47" customWidth="1"/>
    <col min="4" max="4" width="15.77734375" style="4" customWidth="1"/>
    <col min="5" max="5" width="15.77734375" style="5" customWidth="1"/>
    <col min="6" max="15" width="15.77734375" style="7" customWidth="1"/>
    <col min="16" max="16384" width="14.44140625" style="7"/>
  </cols>
  <sheetData>
    <row r="1" spans="1:47" ht="24" x14ac:dyDescent="0.5">
      <c r="A1" s="1" t="s">
        <v>0</v>
      </c>
      <c r="B1" s="2"/>
      <c r="C1" s="3"/>
      <c r="F1" s="6" t="s">
        <v>1</v>
      </c>
    </row>
    <row r="2" spans="1:47" ht="66.599999999999994" customHeight="1" x14ac:dyDescent="0.5">
      <c r="A2" s="8"/>
      <c r="B2" s="9" t="s">
        <v>2</v>
      </c>
      <c r="C2" s="10" t="s">
        <v>3</v>
      </c>
      <c r="D2" s="10" t="s">
        <v>4</v>
      </c>
      <c r="E2" s="11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2" t="s">
        <v>15</v>
      </c>
    </row>
    <row r="3" spans="1:47" ht="19.95" customHeight="1" x14ac:dyDescent="0.5">
      <c r="A3" s="8"/>
      <c r="B3" s="13" t="s">
        <v>16</v>
      </c>
      <c r="C3" s="14">
        <v>350000</v>
      </c>
      <c r="D3" s="14">
        <v>350000</v>
      </c>
      <c r="E3" s="14">
        <v>350000</v>
      </c>
      <c r="F3" s="14">
        <v>350000</v>
      </c>
      <c r="G3" s="14">
        <v>350000</v>
      </c>
      <c r="H3" s="14">
        <v>350000</v>
      </c>
      <c r="I3" s="14">
        <v>350000</v>
      </c>
      <c r="J3" s="14">
        <v>350000</v>
      </c>
      <c r="K3" s="14">
        <v>350000</v>
      </c>
      <c r="L3" s="14">
        <v>350000</v>
      </c>
      <c r="M3" s="14">
        <v>350000</v>
      </c>
      <c r="N3" s="14">
        <v>350000</v>
      </c>
      <c r="O3" s="19">
        <f>SUM(C3:N3)</f>
        <v>4200000</v>
      </c>
    </row>
    <row r="4" spans="1:47" ht="19.95" customHeight="1" x14ac:dyDescent="0.5">
      <c r="A4" s="8"/>
      <c r="B4" s="13" t="s">
        <v>32</v>
      </c>
      <c r="C4" s="14">
        <v>105000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9">
        <f t="shared" ref="O4:O20" si="0">SUM(C4:N4)</f>
        <v>105000</v>
      </c>
    </row>
    <row r="5" spans="1:47" ht="19.95" customHeight="1" x14ac:dyDescent="0.5">
      <c r="A5" s="8"/>
      <c r="B5" s="13" t="s">
        <v>17</v>
      </c>
      <c r="C5" s="20">
        <f>21000+12000</f>
        <v>33000</v>
      </c>
      <c r="D5" s="20">
        <f t="shared" ref="D5:N5" si="1">21000+12000</f>
        <v>33000</v>
      </c>
      <c r="E5" s="20">
        <f t="shared" si="1"/>
        <v>33000</v>
      </c>
      <c r="F5" s="20">
        <f t="shared" si="1"/>
        <v>33000</v>
      </c>
      <c r="G5" s="20">
        <f t="shared" si="1"/>
        <v>33000</v>
      </c>
      <c r="H5" s="20">
        <f t="shared" si="1"/>
        <v>33000</v>
      </c>
      <c r="I5" s="20">
        <f t="shared" si="1"/>
        <v>33000</v>
      </c>
      <c r="J5" s="20">
        <f t="shared" si="1"/>
        <v>33000</v>
      </c>
      <c r="K5" s="20">
        <f t="shared" si="1"/>
        <v>33000</v>
      </c>
      <c r="L5" s="20">
        <f t="shared" si="1"/>
        <v>33000</v>
      </c>
      <c r="M5" s="20">
        <f t="shared" si="1"/>
        <v>33000</v>
      </c>
      <c r="N5" s="20">
        <f t="shared" si="1"/>
        <v>33000</v>
      </c>
      <c r="O5" s="19">
        <f t="shared" si="0"/>
        <v>396000</v>
      </c>
    </row>
    <row r="6" spans="1:47" ht="19.95" customHeight="1" x14ac:dyDescent="0.5">
      <c r="A6" s="21"/>
      <c r="B6" s="13" t="s">
        <v>18</v>
      </c>
      <c r="C6" s="22">
        <v>10000</v>
      </c>
      <c r="D6" s="15">
        <f>+'[12]SHARED EXPENSES'!$F$113</f>
        <v>19525</v>
      </c>
      <c r="E6" s="16">
        <v>8025</v>
      </c>
      <c r="F6" s="17">
        <f>+'[3] APRIL EXPENSES'!$F$123</f>
        <v>12223</v>
      </c>
      <c r="G6" s="22">
        <f>+'[4]MAY EXPENSES'!$F$78</f>
        <v>5872</v>
      </c>
      <c r="H6" s="19">
        <f>+'[5]JUNE EXPENSES'!$F$96</f>
        <v>6883.3274999999994</v>
      </c>
      <c r="I6" s="19">
        <f>+'[6]JULY EXPENSES'!$F$109</f>
        <v>82011</v>
      </c>
      <c r="J6" s="19">
        <f>+'[7]AUG EXPENSES'!$E$104</f>
        <v>13902</v>
      </c>
      <c r="K6" s="19">
        <f>+'[8]SEPT EXPENSES'!$E$96</f>
        <v>9571</v>
      </c>
      <c r="L6" s="19">
        <f>+'[9]OCT EXPENSES'!$E$101</f>
        <v>9170.33</v>
      </c>
      <c r="M6" s="19">
        <f>+'[10]NOV EXPENSES'!$E$97</f>
        <v>4729</v>
      </c>
      <c r="N6" s="19">
        <f>+'[11] EXPENSES HOUSE'!O6</f>
        <v>8939.33</v>
      </c>
      <c r="O6" s="19">
        <f t="shared" si="0"/>
        <v>190850.98749999999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ht="19.95" customHeight="1" x14ac:dyDescent="0.5">
      <c r="A7" s="23"/>
      <c r="B7" s="13" t="s">
        <v>19</v>
      </c>
      <c r="C7" s="24">
        <v>184126.8</v>
      </c>
      <c r="D7" s="24">
        <v>184126.8</v>
      </c>
      <c r="E7" s="16">
        <v>184126.8</v>
      </c>
      <c r="F7" s="17">
        <f>+'[3] APRIL EXPENSES'!$F$124</f>
        <v>184126.8</v>
      </c>
      <c r="G7" s="24">
        <f>+'[4]MAY EXPENSES'!$F$79</f>
        <v>187626.8</v>
      </c>
      <c r="H7" s="19">
        <f>+'[5]JUNE EXPENSES'!$F$97</f>
        <v>184126.8</v>
      </c>
      <c r="I7" s="19">
        <f>+'[6]JULY EXPENSES'!$F$110</f>
        <v>184126.8</v>
      </c>
      <c r="J7" s="19">
        <f>+'[7]AUG EXPENSES'!$E$105</f>
        <v>184126.8</v>
      </c>
      <c r="K7" s="19">
        <f>+'[8]SEPT EXPENSES'!$E$97</f>
        <v>184126.8</v>
      </c>
      <c r="L7" s="19">
        <f>+'[9]OCT EXPENSES'!$J$95</f>
        <v>184691.8</v>
      </c>
      <c r="M7" s="19">
        <f>+'[10]NOV EXPENSES'!$E$98</f>
        <v>184126.8</v>
      </c>
      <c r="N7" s="19">
        <f>+'[11] EXPENSES HOUSE'!O7</f>
        <v>184397.8</v>
      </c>
      <c r="O7" s="19">
        <f t="shared" si="0"/>
        <v>2213857.6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ht="19.95" customHeight="1" x14ac:dyDescent="0.5">
      <c r="A8" s="23"/>
      <c r="B8" s="13" t="s">
        <v>20</v>
      </c>
      <c r="C8" s="22">
        <v>77850</v>
      </c>
      <c r="D8" s="25">
        <f>+'[12]SHARED EXPENSES'!$F$115</f>
        <v>64617.380000000005</v>
      </c>
      <c r="E8" s="16">
        <f>+'[2] MARCH EXPENSES'!$E$132</f>
        <v>56897.979999999996</v>
      </c>
      <c r="F8" s="17">
        <f>+'[3] APRIL EXPENSES'!$F$125</f>
        <v>53496.84</v>
      </c>
      <c r="G8" s="22">
        <f>+'[4]MAY EXPENSES'!$F$80</f>
        <v>63348.409999999996</v>
      </c>
      <c r="H8" s="19">
        <f>+'[5]JUNE EXPENSES'!$F$98</f>
        <v>47282.07</v>
      </c>
      <c r="I8" s="19">
        <f>+'[6]JULY EXPENSES'!$F$111</f>
        <v>54626.19</v>
      </c>
      <c r="J8" s="19">
        <f>+'[7]AUG EXPENSES'!$E$106</f>
        <v>56971.56</v>
      </c>
      <c r="K8" s="19">
        <f>+'[8]SEPT EXPENSES'!$E$98</f>
        <v>70243.100000000006</v>
      </c>
      <c r="L8" s="19">
        <f>+'[9]OCT EXPENSES'!$E$103</f>
        <v>56884.99</v>
      </c>
      <c r="M8" s="19">
        <f>+'[10]NOV EXPENSES'!$E$99</f>
        <v>65799.37</v>
      </c>
      <c r="N8" s="19">
        <f>+'[11] EXPENSES HOUSE'!O8</f>
        <v>58615.62</v>
      </c>
      <c r="O8" s="19">
        <f t="shared" si="0"/>
        <v>726633.51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ht="19.95" customHeight="1" x14ac:dyDescent="0.5">
      <c r="A9" s="23"/>
      <c r="B9" s="13" t="s">
        <v>21</v>
      </c>
      <c r="C9" s="26">
        <f>+'[1]EXPENSES JAN '!$E$77</f>
        <v>4830.5</v>
      </c>
      <c r="D9" s="25">
        <f>+'[12]SHARED EXPENSES'!$F$120</f>
        <v>3530</v>
      </c>
      <c r="E9" s="16">
        <f>+'[2] MARCH EXPENSES'!$E$139</f>
        <v>8650</v>
      </c>
      <c r="F9" s="17">
        <f>+'[3] APRIL EXPENSES'!$F$131</f>
        <v>6500</v>
      </c>
      <c r="G9" s="26">
        <f>+'[4]MAY EXPENSES'!$F$86</f>
        <v>3810</v>
      </c>
      <c r="H9" s="19">
        <f>+'[5]JUNE EXPENSES'!$F$106</f>
        <v>1870.15</v>
      </c>
      <c r="I9" s="19">
        <f>+'[6]JULY EXPENSES'!$F$119</f>
        <v>1100</v>
      </c>
      <c r="J9" s="19">
        <f>+'[7]AUG EXPENSES'!$E$113</f>
        <v>12445</v>
      </c>
      <c r="K9" s="19">
        <f>+'[8]SEPT EXPENSES'!$E$105</f>
        <v>4371.76</v>
      </c>
      <c r="L9" s="19">
        <f>+'[9]OCT EXPENSES'!$E$110</f>
        <v>550</v>
      </c>
      <c r="M9" s="19">
        <f>+'[10]NOV EXPENSES'!$E$106</f>
        <v>6015</v>
      </c>
      <c r="N9" s="19">
        <f>+'[11] EXPENSES HOUSE'!O16</f>
        <v>9985</v>
      </c>
      <c r="O9" s="19">
        <f t="shared" si="0"/>
        <v>63657.41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ht="19.95" customHeight="1" x14ac:dyDescent="0.5">
      <c r="A10" s="23"/>
      <c r="B10" s="28" t="s">
        <v>22</v>
      </c>
      <c r="C10" s="22">
        <f>+'[1]EXPENSES JAN '!$E$75</f>
        <v>32000</v>
      </c>
      <c r="D10" s="25"/>
      <c r="E10" s="16">
        <f>+'[2] MARCH EXPENSES'!$E$133</f>
        <v>13774</v>
      </c>
      <c r="F10" s="17">
        <f>+'[3] APRIL EXPENSES'!$F$126</f>
        <v>9553</v>
      </c>
      <c r="G10" s="22">
        <f>+'[4]MAY EXPENSES'!$F$81</f>
        <v>15833.4</v>
      </c>
      <c r="H10" s="19">
        <f>+'[5]JUNE EXPENSES'!$F$99</f>
        <v>1300</v>
      </c>
      <c r="I10" s="19">
        <f>+'[6]JULY EXPENSES'!$F$112</f>
        <v>11920</v>
      </c>
      <c r="J10" s="19">
        <f>+'[7]AUG EXPENSES'!$E$107</f>
        <v>39234.400000000001</v>
      </c>
      <c r="K10" s="19">
        <f>+'[8]SEPT EXPENSES'!$E$99</f>
        <v>3760.3900000000003</v>
      </c>
      <c r="L10" s="19">
        <f>+'[9]OCT EXPENSES'!$E$104</f>
        <v>29783</v>
      </c>
      <c r="M10" s="19">
        <f>+'[10]NOV EXPENSES'!$E$100</f>
        <v>1652</v>
      </c>
      <c r="N10" s="19">
        <f>+'[11] EXPENSES HOUSE'!O9</f>
        <v>7342.38</v>
      </c>
      <c r="O10" s="19">
        <f t="shared" si="0"/>
        <v>166152.57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19.95" customHeight="1" x14ac:dyDescent="0.5">
      <c r="A11" s="23"/>
      <c r="B11" s="13" t="s">
        <v>23</v>
      </c>
      <c r="C11" s="24">
        <f>+'[1]EXPENSES JAN '!$E$74</f>
        <v>37027.240000000005</v>
      </c>
      <c r="D11" s="25">
        <f>+'[12]SHARED EXPENSES'!$F$116</f>
        <v>27946.940000000002</v>
      </c>
      <c r="E11" s="16">
        <f>+'[2] MARCH EXPENSES'!$E$134</f>
        <v>5978.5</v>
      </c>
      <c r="F11" s="17">
        <f>+'[3] APRIL EXPENSES'!$F$127</f>
        <v>38278.71</v>
      </c>
      <c r="G11" s="24">
        <f>+'[4]MAY EXPENSES'!$F$82</f>
        <v>5740</v>
      </c>
      <c r="H11" s="19">
        <f>+'[5]JUNE EXPENSES'!$F$100</f>
        <v>23763</v>
      </c>
      <c r="I11" s="19">
        <f>+'[6]JULY EXPENSES'!$F$113</f>
        <v>5145</v>
      </c>
      <c r="J11" s="19">
        <f>+'[7]AUG EXPENSES'!$E$108</f>
        <v>12901.6</v>
      </c>
      <c r="K11" s="19">
        <f>+'[8]SEPT EXPENSES'!$E$100</f>
        <v>29773.25</v>
      </c>
      <c r="L11" s="19">
        <f>+'[9]OCT EXPENSES'!$E$105</f>
        <v>9070</v>
      </c>
      <c r="M11" s="19">
        <f>+'[10]NOV EXPENSES'!$E$101</f>
        <v>21616.667000000001</v>
      </c>
      <c r="N11" s="19">
        <f>+'[11] EXPENSES HOUSE'!O10</f>
        <v>30361</v>
      </c>
      <c r="O11" s="19">
        <f t="shared" si="0"/>
        <v>247601.90700000001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ht="19.95" customHeight="1" x14ac:dyDescent="0.5">
      <c r="A12" s="23"/>
      <c r="B12" s="13" t="s">
        <v>24</v>
      </c>
      <c r="C12" s="24"/>
      <c r="D12" s="19">
        <v>33319.9</v>
      </c>
      <c r="E12" s="16"/>
      <c r="F12" s="17">
        <f>+'[3] APRIL EXPENSES'!$F$128</f>
        <v>14853.8</v>
      </c>
      <c r="G12" s="24"/>
      <c r="H12" s="19">
        <v>9400</v>
      </c>
      <c r="I12" s="19"/>
      <c r="J12" s="19"/>
      <c r="K12" s="19">
        <f>+'[8]SEPT EXPENSES'!$E$102</f>
        <v>986</v>
      </c>
      <c r="L12" s="19"/>
      <c r="M12" s="19"/>
      <c r="N12" s="19"/>
      <c r="O12" s="19">
        <f t="shared" si="0"/>
        <v>58559.7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ht="19.95" customHeight="1" x14ac:dyDescent="0.5">
      <c r="A13" s="23"/>
      <c r="B13" s="13" t="s">
        <v>25</v>
      </c>
      <c r="C13" s="24"/>
      <c r="D13" s="19"/>
      <c r="E13" s="16"/>
      <c r="F13" s="17"/>
      <c r="G13" s="24"/>
      <c r="H13" s="19"/>
      <c r="I13" s="19"/>
      <c r="J13" s="19"/>
      <c r="K13" s="19"/>
      <c r="L13" s="19"/>
      <c r="M13" s="19"/>
      <c r="N13" s="19"/>
      <c r="O13" s="19">
        <f t="shared" si="0"/>
        <v>0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ht="19.95" customHeight="1" x14ac:dyDescent="0.5">
      <c r="A14" s="23"/>
      <c r="B14" s="13" t="s">
        <v>26</v>
      </c>
      <c r="C14" s="24"/>
      <c r="D14" s="19"/>
      <c r="E14" s="16">
        <f>+'[2] MARCH EXPENSES'!$E$137</f>
        <v>228097.22</v>
      </c>
      <c r="F14" s="17"/>
      <c r="G14" s="24"/>
      <c r="H14" s="19"/>
      <c r="I14" s="19"/>
      <c r="J14" s="19"/>
      <c r="K14" s="19"/>
      <c r="L14" s="19"/>
      <c r="M14" s="19"/>
      <c r="N14" s="19"/>
      <c r="O14" s="19">
        <f t="shared" si="0"/>
        <v>228097.22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ht="19.95" customHeight="1" x14ac:dyDescent="0.5">
      <c r="A15" s="23"/>
      <c r="B15" s="13" t="s">
        <v>27</v>
      </c>
      <c r="C15" s="24"/>
      <c r="D15" s="19">
        <v>18000</v>
      </c>
      <c r="E15" s="19">
        <v>18000</v>
      </c>
      <c r="F15" s="19">
        <v>18000</v>
      </c>
      <c r="G15" s="19">
        <v>18000</v>
      </c>
      <c r="H15" s="19">
        <v>18000</v>
      </c>
      <c r="I15" s="19">
        <v>18000</v>
      </c>
      <c r="J15" s="19">
        <v>18000</v>
      </c>
      <c r="K15" s="19">
        <v>18000</v>
      </c>
      <c r="L15" s="19">
        <v>18000</v>
      </c>
      <c r="M15" s="19">
        <v>18000</v>
      </c>
      <c r="N15" s="19">
        <v>18000</v>
      </c>
      <c r="O15" s="19">
        <f t="shared" si="0"/>
        <v>198000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ht="19.95" customHeight="1" x14ac:dyDescent="0.5">
      <c r="A16" s="23"/>
      <c r="B16" s="13" t="s">
        <v>28</v>
      </c>
      <c r="C16" s="22">
        <v>2000</v>
      </c>
      <c r="D16" s="22">
        <v>2000</v>
      </c>
      <c r="E16" s="22">
        <v>2000</v>
      </c>
      <c r="F16" s="22">
        <v>2000</v>
      </c>
      <c r="G16" s="22">
        <v>2000</v>
      </c>
      <c r="H16" s="22">
        <v>2000</v>
      </c>
      <c r="I16" s="22">
        <v>2000</v>
      </c>
      <c r="J16" s="22">
        <v>2000</v>
      </c>
      <c r="K16" s="22">
        <v>2000</v>
      </c>
      <c r="L16" s="22">
        <v>2000</v>
      </c>
      <c r="M16" s="22">
        <v>2000</v>
      </c>
      <c r="N16" s="22">
        <v>2000</v>
      </c>
      <c r="O16" s="19">
        <f t="shared" si="0"/>
        <v>24000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ht="19.95" customHeight="1" x14ac:dyDescent="0.5">
      <c r="A17" s="23"/>
      <c r="B17" s="13" t="s">
        <v>29</v>
      </c>
      <c r="C17" s="30"/>
      <c r="D17" s="19"/>
      <c r="E17" s="17">
        <f>+'[2] MARCH EXPENSES'!$E$135</f>
        <v>41950.44</v>
      </c>
      <c r="F17" s="29"/>
      <c r="G17" s="22"/>
      <c r="H17" s="19"/>
      <c r="I17" s="19"/>
      <c r="J17" s="19"/>
      <c r="K17" s="19"/>
      <c r="L17" s="19"/>
      <c r="M17" s="19"/>
      <c r="N17" s="19"/>
      <c r="O17" s="19">
        <f t="shared" si="0"/>
        <v>41950.44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ht="19.95" customHeight="1" x14ac:dyDescent="0.5">
      <c r="A18" s="23"/>
      <c r="B18" s="13" t="s">
        <v>30</v>
      </c>
      <c r="C18" s="31"/>
      <c r="D18" s="19"/>
      <c r="E18" s="19"/>
      <c r="F18" s="19"/>
      <c r="G18" s="26"/>
      <c r="H18" s="19">
        <f>+'[5]JUNE EXPENSES'!$F$109</f>
        <v>18950.349999999999</v>
      </c>
      <c r="I18" s="19"/>
      <c r="J18" s="19">
        <f>+'[7]AUG EXPENSES'!$E$116</f>
        <v>18950.349999999999</v>
      </c>
      <c r="K18" s="19"/>
      <c r="L18" s="19">
        <f>+'[9]OCT EXPENSES'!$E$113</f>
        <v>18952.71</v>
      </c>
      <c r="M18" s="19"/>
      <c r="N18" s="19"/>
      <c r="O18" s="19">
        <f t="shared" si="0"/>
        <v>56853.409999999996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ht="19.95" customHeight="1" x14ac:dyDescent="0.5">
      <c r="A19" s="23"/>
      <c r="B19" s="32" t="s">
        <v>31</v>
      </c>
      <c r="C19" s="22"/>
      <c r="D19" s="19"/>
      <c r="E19" s="19">
        <f>+'[2] MARCH EXPENSES'!$E$140</f>
        <v>73925.36</v>
      </c>
      <c r="F19" s="33">
        <v>22000</v>
      </c>
      <c r="G19" s="26">
        <f>+'[4]MAY EXPENSES'!$F$88</f>
        <v>33117</v>
      </c>
      <c r="H19" s="19"/>
      <c r="I19" s="19"/>
      <c r="J19" s="19"/>
      <c r="K19" s="19">
        <f>+'[8]SEPT EXPENSES'!$T$90</f>
        <v>148041.5</v>
      </c>
      <c r="L19" s="19"/>
      <c r="M19" s="19"/>
      <c r="N19" s="19"/>
      <c r="O19" s="19">
        <f t="shared" si="0"/>
        <v>277083.86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ht="19.95" customHeight="1" x14ac:dyDescent="0.5">
      <c r="A20" s="23"/>
      <c r="B20" s="34" t="s">
        <v>2</v>
      </c>
      <c r="C20" s="18">
        <f>SUM(C3:C19)</f>
        <v>835834.54</v>
      </c>
      <c r="D20" s="18">
        <f>SUM(D3:D19)</f>
        <v>736066.02000000014</v>
      </c>
      <c r="E20" s="18">
        <f>SUM(E3:E19)</f>
        <v>1024425.2999999999</v>
      </c>
      <c r="F20" s="18">
        <f>SUM(F3:F19)</f>
        <v>744032.15</v>
      </c>
      <c r="G20" s="18">
        <f>SUM(G3:G19)</f>
        <v>718347.6100000001</v>
      </c>
      <c r="H20" s="18">
        <f>SUM(H3:H19)</f>
        <v>696575.69749999989</v>
      </c>
      <c r="I20" s="18">
        <f>SUM(I3:I19)</f>
        <v>741928.99</v>
      </c>
      <c r="J20" s="18">
        <f>SUM(J3:J19)</f>
        <v>741531.71000000008</v>
      </c>
      <c r="K20" s="18">
        <f>SUM(K3:K19)</f>
        <v>853873.8</v>
      </c>
      <c r="L20" s="18">
        <f>SUM(L3:L19)</f>
        <v>712102.83</v>
      </c>
      <c r="M20" s="18">
        <f>SUM(M3:M19)</f>
        <v>686938.83700000006</v>
      </c>
      <c r="N20" s="18">
        <f>SUM(N3:N19)</f>
        <v>702641.13</v>
      </c>
      <c r="O20" s="35">
        <f t="shared" si="0"/>
        <v>9194298.6145000011</v>
      </c>
      <c r="P20" s="27">
        <f>+O20/12</f>
        <v>766191.55120833346</v>
      </c>
      <c r="Q20" s="27">
        <f>+P20/4</f>
        <v>191547.88780208337</v>
      </c>
      <c r="R20" s="36">
        <f>+Q20/63.25</f>
        <v>3028.4251035902507</v>
      </c>
      <c r="S20" s="27"/>
      <c r="T20" s="27"/>
      <c r="U20" s="27"/>
      <c r="V20" s="27"/>
      <c r="W20" s="27"/>
      <c r="X20" s="27"/>
      <c r="Y20" s="27"/>
      <c r="Z20" s="27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ht="19.95" customHeight="1" x14ac:dyDescent="0.5">
      <c r="A21" s="37"/>
      <c r="B21" s="38"/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47" ht="19.95" customHeight="1" x14ac:dyDescent="0.5">
      <c r="A22" s="37"/>
      <c r="B22" s="38"/>
      <c r="C22" s="41"/>
      <c r="D22" s="42"/>
      <c r="E22" s="40"/>
      <c r="F22" s="43"/>
      <c r="G22" s="43"/>
      <c r="H22" s="43"/>
      <c r="I22" s="43"/>
      <c r="J22" s="43"/>
      <c r="K22" s="43"/>
      <c r="L22" s="43"/>
      <c r="M22" s="43"/>
      <c r="N22" s="43"/>
      <c r="O22" s="43"/>
    </row>
    <row r="23" spans="1:47" ht="19.95" customHeight="1" x14ac:dyDescent="0.5">
      <c r="A23" s="37"/>
      <c r="B23" s="44"/>
      <c r="C23" s="45"/>
    </row>
    <row r="24" spans="1:47" ht="19.95" customHeight="1" x14ac:dyDescent="0.5">
      <c r="A24" s="37"/>
      <c r="B24" s="44"/>
      <c r="C24" s="45"/>
    </row>
    <row r="25" spans="1:47" ht="19.95" customHeight="1" x14ac:dyDescent="0.5">
      <c r="A25" s="37"/>
      <c r="B25" s="44"/>
      <c r="C25" s="45"/>
    </row>
    <row r="26" spans="1:47" ht="19.95" customHeight="1" x14ac:dyDescent="0.5">
      <c r="A26" s="37"/>
      <c r="B26" s="44"/>
      <c r="C26" s="45"/>
    </row>
    <row r="27" spans="1:47" ht="19.95" customHeight="1" x14ac:dyDescent="0.5">
      <c r="A27" s="37"/>
      <c r="B27" s="44"/>
      <c r="C27" s="45"/>
    </row>
    <row r="28" spans="1:47" ht="19.95" customHeight="1" x14ac:dyDescent="0.5">
      <c r="A28" s="37"/>
      <c r="B28" s="44"/>
      <c r="C28" s="45"/>
    </row>
    <row r="29" spans="1:47" ht="19.95" customHeight="1" x14ac:dyDescent="0.5">
      <c r="A29" s="37"/>
      <c r="B29" s="44"/>
      <c r="C29" s="45"/>
    </row>
    <row r="30" spans="1:47" ht="19.95" customHeight="1" x14ac:dyDescent="0.5">
      <c r="A30" s="37"/>
      <c r="B30" s="44"/>
      <c r="C30" s="45"/>
    </row>
    <row r="31" spans="1:47" ht="19.95" customHeight="1" x14ac:dyDescent="0.5">
      <c r="A31" s="37"/>
      <c r="B31" s="44"/>
      <c r="C31" s="45"/>
    </row>
    <row r="32" spans="1:47" ht="19.95" customHeight="1" x14ac:dyDescent="0.5">
      <c r="A32" s="37"/>
      <c r="B32" s="44"/>
      <c r="C32" s="45"/>
    </row>
    <row r="33" spans="1:3" ht="19.95" customHeight="1" x14ac:dyDescent="0.5">
      <c r="A33" s="37"/>
      <c r="B33" s="44"/>
      <c r="C33" s="45"/>
    </row>
    <row r="34" spans="1:3" ht="19.95" customHeight="1" x14ac:dyDescent="0.5">
      <c r="A34" s="37"/>
      <c r="B34" s="44"/>
      <c r="C34" s="45"/>
    </row>
    <row r="35" spans="1:3" ht="19.95" customHeight="1" x14ac:dyDescent="0.5">
      <c r="A35" s="37"/>
      <c r="B35" s="44"/>
      <c r="C35" s="45"/>
    </row>
    <row r="36" spans="1:3" ht="19.95" customHeight="1" x14ac:dyDescent="0.5">
      <c r="A36" s="37"/>
      <c r="B36" s="44"/>
      <c r="C36" s="45"/>
    </row>
    <row r="37" spans="1:3" ht="19.95" customHeight="1" x14ac:dyDescent="0.5">
      <c r="A37" s="37"/>
      <c r="B37" s="44"/>
      <c r="C37" s="45"/>
    </row>
    <row r="38" spans="1:3" ht="19.95" customHeight="1" x14ac:dyDescent="0.5">
      <c r="A38" s="37"/>
      <c r="B38" s="44"/>
      <c r="C38" s="45"/>
    </row>
    <row r="39" spans="1:3" ht="19.95" customHeight="1" x14ac:dyDescent="0.5">
      <c r="A39" s="37"/>
      <c r="B39" s="44"/>
      <c r="C39" s="45"/>
    </row>
    <row r="40" spans="1:3" ht="19.95" customHeight="1" x14ac:dyDescent="0.5">
      <c r="A40" s="37"/>
      <c r="B40" s="44"/>
      <c r="C40" s="45"/>
    </row>
    <row r="41" spans="1:3" ht="19.95" customHeight="1" x14ac:dyDescent="0.5">
      <c r="A41" s="37"/>
      <c r="B41" s="44"/>
      <c r="C41" s="45"/>
    </row>
    <row r="42" spans="1:3" ht="19.95" customHeight="1" x14ac:dyDescent="0.5">
      <c r="A42" s="37"/>
      <c r="B42" s="44"/>
      <c r="C42" s="45"/>
    </row>
    <row r="43" spans="1:3" ht="19.95" customHeight="1" x14ac:dyDescent="0.5">
      <c r="A43" s="37"/>
      <c r="B43" s="44"/>
      <c r="C43" s="45"/>
    </row>
    <row r="44" spans="1:3" ht="19.95" customHeight="1" x14ac:dyDescent="0.5">
      <c r="A44" s="37"/>
      <c r="B44" s="44"/>
      <c r="C44" s="45"/>
    </row>
    <row r="45" spans="1:3" ht="19.95" customHeight="1" x14ac:dyDescent="0.5">
      <c r="A45" s="37"/>
      <c r="B45" s="44"/>
      <c r="C45" s="45"/>
    </row>
    <row r="46" spans="1:3" ht="19.95" customHeight="1" x14ac:dyDescent="0.5">
      <c r="A46" s="37"/>
      <c r="B46" s="44"/>
      <c r="C46" s="45"/>
    </row>
    <row r="47" spans="1:3" ht="19.95" customHeight="1" x14ac:dyDescent="0.5">
      <c r="A47" s="37"/>
      <c r="B47" s="44"/>
      <c r="C47" s="45"/>
    </row>
    <row r="48" spans="1:3" ht="19.95" customHeight="1" x14ac:dyDescent="0.5">
      <c r="A48" s="37"/>
      <c r="B48" s="44"/>
      <c r="C48" s="45"/>
    </row>
    <row r="49" spans="1:3" ht="19.95" customHeight="1" x14ac:dyDescent="0.5">
      <c r="A49" s="37"/>
      <c r="B49" s="44"/>
      <c r="C49" s="45"/>
    </row>
    <row r="50" spans="1:3" ht="19.95" customHeight="1" x14ac:dyDescent="0.5">
      <c r="A50" s="37"/>
      <c r="B50" s="44"/>
      <c r="C50" s="45"/>
    </row>
    <row r="51" spans="1:3" ht="19.95" customHeight="1" x14ac:dyDescent="0.5">
      <c r="A51" s="37"/>
      <c r="B51" s="44"/>
      <c r="C51" s="45"/>
    </row>
    <row r="52" spans="1:3" ht="19.95" customHeight="1" x14ac:dyDescent="0.5">
      <c r="A52" s="37"/>
      <c r="B52" s="44"/>
      <c r="C52" s="45"/>
    </row>
    <row r="53" spans="1:3" ht="19.95" customHeight="1" x14ac:dyDescent="0.5">
      <c r="A53" s="37"/>
      <c r="B53" s="44"/>
      <c r="C53" s="45"/>
    </row>
    <row r="54" spans="1:3" ht="19.95" customHeight="1" x14ac:dyDescent="0.5">
      <c r="A54" s="37"/>
      <c r="B54" s="44"/>
      <c r="C54" s="45"/>
    </row>
    <row r="55" spans="1:3" ht="19.95" customHeight="1" x14ac:dyDescent="0.5">
      <c r="A55" s="37"/>
      <c r="B55" s="44"/>
      <c r="C55" s="45"/>
    </row>
    <row r="56" spans="1:3" ht="19.95" customHeight="1" x14ac:dyDescent="0.5">
      <c r="A56" s="37"/>
      <c r="B56" s="44"/>
      <c r="C56" s="45"/>
    </row>
    <row r="57" spans="1:3" ht="19.95" customHeight="1" x14ac:dyDescent="0.5">
      <c r="A57" s="37"/>
      <c r="B57" s="44"/>
      <c r="C57" s="45"/>
    </row>
    <row r="58" spans="1:3" ht="19.95" customHeight="1" x14ac:dyDescent="0.5">
      <c r="A58" s="37"/>
      <c r="B58" s="44"/>
      <c r="C58" s="45"/>
    </row>
    <row r="59" spans="1:3" ht="19.95" customHeight="1" x14ac:dyDescent="0.5">
      <c r="A59" s="37"/>
      <c r="B59" s="44"/>
      <c r="C59" s="45"/>
    </row>
    <row r="60" spans="1:3" ht="19.95" customHeight="1" x14ac:dyDescent="0.5">
      <c r="A60" s="37"/>
      <c r="B60" s="44"/>
      <c r="C60" s="45"/>
    </row>
    <row r="61" spans="1:3" ht="19.95" customHeight="1" x14ac:dyDescent="0.5">
      <c r="A61" s="37"/>
      <c r="B61" s="44"/>
      <c r="C61" s="45"/>
    </row>
    <row r="62" spans="1:3" ht="19.95" customHeight="1" x14ac:dyDescent="0.5">
      <c r="A62" s="37"/>
      <c r="B62" s="44"/>
      <c r="C62" s="45"/>
    </row>
    <row r="63" spans="1:3" ht="19.95" customHeight="1" x14ac:dyDescent="0.5">
      <c r="A63" s="37"/>
      <c r="B63" s="44"/>
      <c r="C63" s="45"/>
    </row>
    <row r="64" spans="1:3" ht="19.95" customHeight="1" x14ac:dyDescent="0.5">
      <c r="A64" s="37"/>
      <c r="B64" s="44"/>
      <c r="C64" s="45"/>
    </row>
    <row r="65" spans="1:3" ht="19.95" customHeight="1" x14ac:dyDescent="0.5">
      <c r="A65" s="37"/>
      <c r="B65" s="44"/>
      <c r="C65" s="45"/>
    </row>
    <row r="66" spans="1:3" ht="19.95" customHeight="1" x14ac:dyDescent="0.5">
      <c r="A66" s="37"/>
      <c r="B66" s="44"/>
      <c r="C66" s="45"/>
    </row>
    <row r="67" spans="1:3" ht="19.95" customHeight="1" x14ac:dyDescent="0.5">
      <c r="A67" s="37"/>
      <c r="B67" s="44"/>
      <c r="C67" s="45"/>
    </row>
    <row r="68" spans="1:3" ht="19.95" customHeight="1" x14ac:dyDescent="0.5">
      <c r="A68" s="37"/>
      <c r="B68" s="44"/>
      <c r="C68" s="45"/>
    </row>
    <row r="69" spans="1:3" ht="19.95" customHeight="1" x14ac:dyDescent="0.5">
      <c r="A69" s="37"/>
      <c r="B69" s="44"/>
      <c r="C69" s="45"/>
    </row>
    <row r="70" spans="1:3" ht="19.95" customHeight="1" x14ac:dyDescent="0.5">
      <c r="A70" s="37"/>
      <c r="B70" s="44"/>
      <c r="C70" s="45"/>
    </row>
    <row r="71" spans="1:3" ht="19.95" customHeight="1" x14ac:dyDescent="0.5">
      <c r="A71" s="37"/>
      <c r="B71" s="44"/>
      <c r="C71" s="45"/>
    </row>
    <row r="72" spans="1:3" ht="19.95" customHeight="1" x14ac:dyDescent="0.5">
      <c r="A72" s="37"/>
      <c r="B72" s="44"/>
      <c r="C72" s="45"/>
    </row>
    <row r="73" spans="1:3" ht="19.95" customHeight="1" x14ac:dyDescent="0.5">
      <c r="A73" s="37"/>
      <c r="B73" s="44"/>
      <c r="C73" s="45"/>
    </row>
    <row r="74" spans="1:3" ht="19.95" customHeight="1" x14ac:dyDescent="0.5">
      <c r="A74" s="37"/>
      <c r="B74" s="44"/>
      <c r="C74" s="45"/>
    </row>
    <row r="75" spans="1:3" ht="19.95" customHeight="1" x14ac:dyDescent="0.5">
      <c r="A75" s="37"/>
      <c r="B75" s="44"/>
      <c r="C75" s="45"/>
    </row>
    <row r="76" spans="1:3" ht="19.95" customHeight="1" x14ac:dyDescent="0.5">
      <c r="A76" s="37"/>
      <c r="B76" s="44"/>
      <c r="C76" s="45"/>
    </row>
    <row r="77" spans="1:3" ht="19.95" customHeight="1" x14ac:dyDescent="0.5">
      <c r="A77" s="37"/>
      <c r="B77" s="44"/>
      <c r="C77" s="45"/>
    </row>
    <row r="78" spans="1:3" ht="19.95" customHeight="1" x14ac:dyDescent="0.5">
      <c r="A78" s="37"/>
      <c r="B78" s="44"/>
      <c r="C78" s="45"/>
    </row>
    <row r="79" spans="1:3" ht="19.95" customHeight="1" x14ac:dyDescent="0.5">
      <c r="A79" s="37"/>
      <c r="B79" s="44"/>
      <c r="C79" s="45"/>
    </row>
    <row r="80" spans="1:3" ht="19.95" customHeight="1" x14ac:dyDescent="0.5">
      <c r="A80" s="37"/>
      <c r="B80" s="44"/>
      <c r="C80" s="45"/>
    </row>
    <row r="81" spans="1:3" ht="19.95" customHeight="1" x14ac:dyDescent="0.5">
      <c r="A81" s="37"/>
      <c r="B81" s="44"/>
      <c r="C81" s="45"/>
    </row>
    <row r="82" spans="1:3" ht="19.95" customHeight="1" x14ac:dyDescent="0.5">
      <c r="A82" s="37"/>
      <c r="B82" s="44"/>
      <c r="C82" s="45"/>
    </row>
    <row r="83" spans="1:3" ht="19.95" customHeight="1" x14ac:dyDescent="0.5">
      <c r="A83" s="37"/>
      <c r="B83" s="44"/>
      <c r="C83" s="45"/>
    </row>
    <row r="84" spans="1:3" ht="19.95" customHeight="1" x14ac:dyDescent="0.5">
      <c r="A84" s="37"/>
      <c r="B84" s="44"/>
      <c r="C84" s="45"/>
    </row>
    <row r="85" spans="1:3" ht="19.95" customHeight="1" x14ac:dyDescent="0.5">
      <c r="A85" s="37"/>
      <c r="B85" s="44"/>
      <c r="C85" s="45"/>
    </row>
    <row r="86" spans="1:3" ht="19.95" customHeight="1" x14ac:dyDescent="0.5">
      <c r="A86" s="37"/>
      <c r="B86" s="44"/>
      <c r="C86" s="45"/>
    </row>
    <row r="87" spans="1:3" ht="19.95" customHeight="1" x14ac:dyDescent="0.5">
      <c r="A87" s="37"/>
      <c r="B87" s="44"/>
      <c r="C87" s="45"/>
    </row>
    <row r="88" spans="1:3" ht="19.95" customHeight="1" x14ac:dyDescent="0.5">
      <c r="A88" s="37"/>
      <c r="B88" s="44"/>
      <c r="C88" s="45"/>
    </row>
    <row r="89" spans="1:3" ht="19.95" customHeight="1" x14ac:dyDescent="0.5">
      <c r="A89" s="37"/>
      <c r="B89" s="44"/>
      <c r="C89" s="45"/>
    </row>
    <row r="90" spans="1:3" ht="19.95" customHeight="1" x14ac:dyDescent="0.5">
      <c r="A90" s="37"/>
      <c r="B90" s="44"/>
      <c r="C90" s="45"/>
    </row>
    <row r="91" spans="1:3" ht="19.95" customHeight="1" x14ac:dyDescent="0.5">
      <c r="A91" s="37"/>
      <c r="B91" s="44"/>
      <c r="C91" s="45"/>
    </row>
    <row r="92" spans="1:3" ht="19.95" customHeight="1" x14ac:dyDescent="0.5">
      <c r="A92" s="37"/>
      <c r="B92" s="44"/>
      <c r="C92" s="45"/>
    </row>
    <row r="93" spans="1:3" ht="19.95" customHeight="1" x14ac:dyDescent="0.5">
      <c r="A93" s="37"/>
      <c r="B93" s="44"/>
      <c r="C93" s="45"/>
    </row>
    <row r="94" spans="1:3" ht="15.75" customHeight="1" x14ac:dyDescent="0.5">
      <c r="A94" s="37"/>
      <c r="B94" s="44"/>
      <c r="C94" s="45"/>
    </row>
    <row r="95" spans="1:3" ht="15.75" customHeight="1" x14ac:dyDescent="0.5">
      <c r="A95" s="37"/>
      <c r="B95" s="44"/>
      <c r="C95" s="45"/>
    </row>
    <row r="96" spans="1:3" ht="15.75" customHeight="1" x14ac:dyDescent="0.5">
      <c r="A96" s="37"/>
      <c r="B96" s="44"/>
      <c r="C96" s="45"/>
    </row>
    <row r="97" spans="1:3" ht="15.75" customHeight="1" x14ac:dyDescent="0.5">
      <c r="A97" s="37"/>
      <c r="B97" s="44"/>
      <c r="C97" s="45"/>
    </row>
    <row r="98" spans="1:3" ht="15.75" customHeight="1" x14ac:dyDescent="0.5">
      <c r="A98" s="37"/>
      <c r="B98" s="44"/>
      <c r="C98" s="45"/>
    </row>
    <row r="99" spans="1:3" ht="15.75" customHeight="1" x14ac:dyDescent="0.5">
      <c r="A99" s="37"/>
      <c r="B99" s="44"/>
      <c r="C99" s="45"/>
    </row>
    <row r="100" spans="1:3" ht="15.75" customHeight="1" x14ac:dyDescent="0.5">
      <c r="A100" s="37"/>
      <c r="B100" s="44"/>
      <c r="C100" s="45"/>
    </row>
    <row r="101" spans="1:3" ht="15.75" customHeight="1" x14ac:dyDescent="0.5">
      <c r="A101" s="37"/>
      <c r="B101" s="44"/>
      <c r="C101" s="45"/>
    </row>
    <row r="102" spans="1:3" ht="15.75" customHeight="1" x14ac:dyDescent="0.5">
      <c r="A102" s="37"/>
      <c r="B102" s="44"/>
      <c r="C102" s="45"/>
    </row>
    <row r="103" spans="1:3" ht="15.75" customHeight="1" x14ac:dyDescent="0.5">
      <c r="A103" s="37"/>
      <c r="B103" s="44"/>
      <c r="C103" s="45"/>
    </row>
    <row r="104" spans="1:3" ht="15.75" customHeight="1" x14ac:dyDescent="0.5">
      <c r="A104" s="37"/>
      <c r="B104" s="44"/>
      <c r="C104" s="45"/>
    </row>
    <row r="105" spans="1:3" ht="15.75" customHeight="1" x14ac:dyDescent="0.5">
      <c r="A105" s="37"/>
      <c r="B105" s="44"/>
      <c r="C105" s="45"/>
    </row>
    <row r="106" spans="1:3" ht="15.75" customHeight="1" x14ac:dyDescent="0.5">
      <c r="A106" s="37"/>
      <c r="B106" s="44"/>
      <c r="C106" s="45"/>
    </row>
    <row r="107" spans="1:3" ht="15.75" customHeight="1" x14ac:dyDescent="0.5">
      <c r="A107" s="37"/>
      <c r="B107" s="44"/>
      <c r="C107" s="45"/>
    </row>
    <row r="108" spans="1:3" ht="15.75" customHeight="1" x14ac:dyDescent="0.5">
      <c r="A108" s="37"/>
      <c r="B108" s="44"/>
      <c r="C108" s="45"/>
    </row>
    <row r="109" spans="1:3" ht="15.75" customHeight="1" x14ac:dyDescent="0.5">
      <c r="A109" s="37"/>
      <c r="B109" s="44"/>
      <c r="C109" s="45"/>
    </row>
    <row r="110" spans="1:3" ht="15.75" customHeight="1" x14ac:dyDescent="0.5">
      <c r="A110" s="37"/>
      <c r="B110" s="44"/>
      <c r="C110" s="45"/>
    </row>
    <row r="111" spans="1:3" ht="15.75" customHeight="1" x14ac:dyDescent="0.5">
      <c r="A111" s="37"/>
      <c r="B111" s="44"/>
      <c r="C111" s="45"/>
    </row>
    <row r="112" spans="1:3" ht="15.75" customHeight="1" x14ac:dyDescent="0.5">
      <c r="A112" s="37"/>
      <c r="B112" s="44"/>
      <c r="C112" s="45"/>
    </row>
    <row r="113" spans="1:3" ht="15.75" customHeight="1" x14ac:dyDescent="0.5">
      <c r="A113" s="37"/>
      <c r="B113" s="44"/>
      <c r="C113" s="45"/>
    </row>
    <row r="114" spans="1:3" ht="15.75" customHeight="1" x14ac:dyDescent="0.5">
      <c r="A114" s="37"/>
      <c r="B114" s="44"/>
      <c r="C114" s="45"/>
    </row>
    <row r="115" spans="1:3" ht="15.75" customHeight="1" x14ac:dyDescent="0.5">
      <c r="A115" s="37"/>
      <c r="B115" s="44"/>
      <c r="C115" s="45"/>
    </row>
    <row r="116" spans="1:3" ht="15.75" customHeight="1" x14ac:dyDescent="0.5">
      <c r="A116" s="37"/>
      <c r="B116" s="44"/>
      <c r="C116" s="45"/>
    </row>
    <row r="117" spans="1:3" ht="15.75" customHeight="1" x14ac:dyDescent="0.5">
      <c r="A117" s="37"/>
      <c r="B117" s="44"/>
      <c r="C117" s="45"/>
    </row>
    <row r="118" spans="1:3" ht="15.75" customHeight="1" x14ac:dyDescent="0.5">
      <c r="A118" s="37"/>
      <c r="B118" s="44"/>
      <c r="C118" s="45"/>
    </row>
    <row r="119" spans="1:3" ht="15.75" customHeight="1" x14ac:dyDescent="0.5">
      <c r="A119" s="37"/>
      <c r="B119" s="44"/>
      <c r="C119" s="45"/>
    </row>
    <row r="120" spans="1:3" ht="15.75" customHeight="1" x14ac:dyDescent="0.5">
      <c r="A120" s="37"/>
      <c r="B120" s="44"/>
      <c r="C120" s="45"/>
    </row>
    <row r="121" spans="1:3" ht="15.75" customHeight="1" x14ac:dyDescent="0.5">
      <c r="A121" s="37"/>
      <c r="B121" s="44"/>
      <c r="C121" s="45"/>
    </row>
    <row r="122" spans="1:3" ht="15.75" customHeight="1" x14ac:dyDescent="0.5">
      <c r="A122" s="37"/>
      <c r="B122" s="44"/>
      <c r="C122" s="45"/>
    </row>
    <row r="123" spans="1:3" ht="15.75" customHeight="1" x14ac:dyDescent="0.5">
      <c r="A123" s="37"/>
      <c r="B123" s="44"/>
      <c r="C123" s="45"/>
    </row>
    <row r="124" spans="1:3" ht="15.75" customHeight="1" x14ac:dyDescent="0.5">
      <c r="A124" s="37"/>
      <c r="B124" s="44"/>
      <c r="C124" s="45"/>
    </row>
    <row r="125" spans="1:3" ht="15.75" customHeight="1" x14ac:dyDescent="0.5">
      <c r="A125" s="37"/>
      <c r="B125" s="44"/>
      <c r="C125" s="45"/>
    </row>
    <row r="126" spans="1:3" ht="15.75" customHeight="1" x14ac:dyDescent="0.5">
      <c r="A126" s="37"/>
      <c r="B126" s="44"/>
      <c r="C126" s="45"/>
    </row>
    <row r="127" spans="1:3" ht="15.75" customHeight="1" x14ac:dyDescent="0.5">
      <c r="A127" s="37"/>
      <c r="B127" s="44"/>
      <c r="C127" s="45"/>
    </row>
    <row r="128" spans="1:3" ht="15.75" customHeight="1" x14ac:dyDescent="0.5">
      <c r="A128" s="37"/>
      <c r="B128" s="44"/>
      <c r="C128" s="45"/>
    </row>
    <row r="129" spans="1:3" ht="15.75" customHeight="1" x14ac:dyDescent="0.5">
      <c r="A129" s="37"/>
      <c r="B129" s="44"/>
      <c r="C129" s="45"/>
    </row>
    <row r="130" spans="1:3" ht="15.75" customHeight="1" x14ac:dyDescent="0.5">
      <c r="A130" s="37"/>
      <c r="B130" s="44"/>
      <c r="C130" s="45"/>
    </row>
    <row r="131" spans="1:3" ht="15.75" customHeight="1" x14ac:dyDescent="0.5">
      <c r="A131" s="37"/>
      <c r="B131" s="44"/>
      <c r="C131" s="45"/>
    </row>
    <row r="132" spans="1:3" ht="15.75" customHeight="1" x14ac:dyDescent="0.5">
      <c r="A132" s="37"/>
      <c r="B132" s="44"/>
      <c r="C132" s="45"/>
    </row>
    <row r="133" spans="1:3" ht="15.75" customHeight="1" x14ac:dyDescent="0.5">
      <c r="A133" s="37"/>
      <c r="B133" s="44"/>
      <c r="C133" s="45"/>
    </row>
    <row r="134" spans="1:3" ht="15.75" customHeight="1" x14ac:dyDescent="0.5">
      <c r="A134" s="37"/>
      <c r="B134" s="44"/>
      <c r="C134" s="45"/>
    </row>
    <row r="135" spans="1:3" ht="15.75" customHeight="1" x14ac:dyDescent="0.5">
      <c r="A135" s="37"/>
      <c r="B135" s="44"/>
      <c r="C135" s="45"/>
    </row>
    <row r="136" spans="1:3" ht="15.75" customHeight="1" x14ac:dyDescent="0.5">
      <c r="A136" s="37"/>
      <c r="B136" s="44"/>
      <c r="C136" s="45"/>
    </row>
    <row r="137" spans="1:3" ht="15.75" customHeight="1" x14ac:dyDescent="0.5">
      <c r="A137" s="37"/>
      <c r="B137" s="44"/>
      <c r="C137" s="45"/>
    </row>
    <row r="138" spans="1:3" ht="15.75" customHeight="1" x14ac:dyDescent="0.5">
      <c r="A138" s="37"/>
      <c r="B138" s="44"/>
      <c r="C138" s="45"/>
    </row>
    <row r="139" spans="1:3" ht="15.75" customHeight="1" x14ac:dyDescent="0.5">
      <c r="A139" s="37"/>
      <c r="B139" s="44"/>
      <c r="C139" s="45"/>
    </row>
    <row r="140" spans="1:3" ht="15.75" customHeight="1" x14ac:dyDescent="0.5">
      <c r="A140" s="37"/>
      <c r="B140" s="44"/>
      <c r="C140" s="45"/>
    </row>
    <row r="141" spans="1:3" ht="15.75" customHeight="1" x14ac:dyDescent="0.5">
      <c r="A141" s="37"/>
      <c r="B141" s="44"/>
      <c r="C141" s="45"/>
    </row>
    <row r="142" spans="1:3" ht="15.75" customHeight="1" x14ac:dyDescent="0.5">
      <c r="A142" s="37"/>
      <c r="B142" s="44"/>
      <c r="C142" s="45"/>
    </row>
    <row r="143" spans="1:3" ht="15.75" customHeight="1" x14ac:dyDescent="0.5">
      <c r="A143" s="37"/>
      <c r="B143" s="44"/>
      <c r="C143" s="45"/>
    </row>
    <row r="144" spans="1:3" ht="15.75" customHeight="1" x14ac:dyDescent="0.5">
      <c r="A144" s="37"/>
      <c r="B144" s="44"/>
      <c r="C144" s="45"/>
    </row>
    <row r="145" spans="1:3" ht="15.75" customHeight="1" x14ac:dyDescent="0.5">
      <c r="A145" s="37"/>
      <c r="B145" s="44"/>
      <c r="C145" s="45"/>
    </row>
    <row r="146" spans="1:3" ht="15.75" customHeight="1" x14ac:dyDescent="0.5">
      <c r="A146" s="37"/>
      <c r="B146" s="44"/>
      <c r="C146" s="45"/>
    </row>
    <row r="147" spans="1:3" ht="15.75" customHeight="1" x14ac:dyDescent="0.5">
      <c r="A147" s="37"/>
      <c r="B147" s="44"/>
      <c r="C147" s="45"/>
    </row>
    <row r="148" spans="1:3" ht="15.75" customHeight="1" x14ac:dyDescent="0.5">
      <c r="A148" s="37"/>
      <c r="B148" s="44"/>
      <c r="C148" s="45"/>
    </row>
    <row r="149" spans="1:3" ht="15.75" customHeight="1" x14ac:dyDescent="0.5">
      <c r="A149" s="37"/>
      <c r="B149" s="44"/>
      <c r="C149" s="45"/>
    </row>
    <row r="150" spans="1:3" ht="15.75" customHeight="1" x14ac:dyDescent="0.5">
      <c r="A150" s="37"/>
      <c r="B150" s="44"/>
      <c r="C150" s="45"/>
    </row>
    <row r="151" spans="1:3" ht="15.75" customHeight="1" x14ac:dyDescent="0.5">
      <c r="A151" s="37"/>
      <c r="B151" s="44"/>
      <c r="C151" s="45"/>
    </row>
    <row r="152" spans="1:3" ht="15.75" customHeight="1" x14ac:dyDescent="0.5">
      <c r="A152" s="37"/>
      <c r="B152" s="44"/>
      <c r="C152" s="45"/>
    </row>
    <row r="153" spans="1:3" ht="15.75" customHeight="1" x14ac:dyDescent="0.5">
      <c r="A153" s="37"/>
      <c r="B153" s="44"/>
      <c r="C153" s="45"/>
    </row>
    <row r="154" spans="1:3" ht="15.75" customHeight="1" x14ac:dyDescent="0.5">
      <c r="A154" s="37"/>
      <c r="B154" s="44"/>
      <c r="C154" s="45"/>
    </row>
    <row r="155" spans="1:3" ht="15.75" customHeight="1" x14ac:dyDescent="0.5">
      <c r="A155" s="37"/>
      <c r="B155" s="44"/>
      <c r="C155" s="45"/>
    </row>
    <row r="156" spans="1:3" ht="15.75" customHeight="1" x14ac:dyDescent="0.5">
      <c r="A156" s="37"/>
      <c r="B156" s="44"/>
      <c r="C156" s="45"/>
    </row>
    <row r="157" spans="1:3" ht="15.75" customHeight="1" x14ac:dyDescent="0.5">
      <c r="A157" s="37"/>
      <c r="B157" s="44"/>
      <c r="C157" s="45"/>
    </row>
    <row r="158" spans="1:3" ht="15.75" customHeight="1" x14ac:dyDescent="0.5">
      <c r="A158" s="37"/>
      <c r="B158" s="44"/>
      <c r="C158" s="45"/>
    </row>
    <row r="159" spans="1:3" ht="15.75" customHeight="1" x14ac:dyDescent="0.5">
      <c r="A159" s="37"/>
      <c r="B159" s="44"/>
      <c r="C159" s="45"/>
    </row>
    <row r="160" spans="1:3" ht="15.75" customHeight="1" x14ac:dyDescent="0.5">
      <c r="A160" s="37"/>
      <c r="B160" s="44"/>
      <c r="C160" s="45"/>
    </row>
    <row r="161" spans="1:3" ht="15.75" customHeight="1" x14ac:dyDescent="0.5">
      <c r="A161" s="37"/>
      <c r="B161" s="44"/>
      <c r="C161" s="45"/>
    </row>
    <row r="162" spans="1:3" ht="15.75" customHeight="1" x14ac:dyDescent="0.5">
      <c r="A162" s="37"/>
      <c r="B162" s="44"/>
      <c r="C162" s="45"/>
    </row>
    <row r="163" spans="1:3" ht="15.75" customHeight="1" x14ac:dyDescent="0.5">
      <c r="A163" s="37"/>
      <c r="B163" s="44"/>
      <c r="C163" s="45"/>
    </row>
    <row r="164" spans="1:3" ht="15.75" customHeight="1" x14ac:dyDescent="0.5">
      <c r="A164" s="37"/>
      <c r="B164" s="44"/>
      <c r="C164" s="45"/>
    </row>
    <row r="165" spans="1:3" ht="15.75" customHeight="1" x14ac:dyDescent="0.5">
      <c r="A165" s="37"/>
      <c r="B165" s="44"/>
      <c r="C165" s="45"/>
    </row>
    <row r="166" spans="1:3" ht="15.75" customHeight="1" x14ac:dyDescent="0.5">
      <c r="A166" s="37"/>
      <c r="B166" s="44"/>
      <c r="C166" s="45"/>
    </row>
    <row r="167" spans="1:3" ht="15.75" customHeight="1" x14ac:dyDescent="0.5">
      <c r="A167" s="37"/>
      <c r="B167" s="44"/>
      <c r="C167" s="45"/>
    </row>
    <row r="168" spans="1:3" ht="15.75" customHeight="1" x14ac:dyDescent="0.5">
      <c r="A168" s="37"/>
      <c r="B168" s="44"/>
      <c r="C168" s="45"/>
    </row>
    <row r="169" spans="1:3" ht="15.75" customHeight="1" x14ac:dyDescent="0.5">
      <c r="A169" s="37"/>
      <c r="B169" s="44"/>
      <c r="C169" s="45"/>
    </row>
    <row r="170" spans="1:3" ht="15.75" customHeight="1" x14ac:dyDescent="0.5">
      <c r="A170" s="37"/>
      <c r="B170" s="44"/>
      <c r="C170" s="45"/>
    </row>
    <row r="171" spans="1:3" ht="15.75" customHeight="1" x14ac:dyDescent="0.5">
      <c r="A171" s="37"/>
      <c r="B171" s="44"/>
      <c r="C171" s="45"/>
    </row>
    <row r="172" spans="1:3" ht="15.75" customHeight="1" x14ac:dyDescent="0.5">
      <c r="A172" s="37"/>
      <c r="B172" s="44"/>
      <c r="C172" s="45"/>
    </row>
    <row r="173" spans="1:3" ht="15.75" customHeight="1" x14ac:dyDescent="0.5">
      <c r="A173" s="37"/>
      <c r="B173" s="44"/>
      <c r="C173" s="45"/>
    </row>
    <row r="174" spans="1:3" ht="15.75" customHeight="1" x14ac:dyDescent="0.5">
      <c r="A174" s="37"/>
      <c r="B174" s="44"/>
      <c r="C174" s="45"/>
    </row>
    <row r="175" spans="1:3" ht="15.75" customHeight="1" x14ac:dyDescent="0.5">
      <c r="A175" s="37"/>
      <c r="B175" s="44"/>
      <c r="C175" s="45"/>
    </row>
    <row r="176" spans="1:3" ht="15.75" customHeight="1" x14ac:dyDescent="0.5">
      <c r="A176" s="37"/>
      <c r="B176" s="44"/>
      <c r="C176" s="45"/>
    </row>
    <row r="177" spans="1:3" ht="15.75" customHeight="1" x14ac:dyDescent="0.5">
      <c r="A177" s="37"/>
      <c r="B177" s="44"/>
      <c r="C177" s="45"/>
    </row>
    <row r="178" spans="1:3" ht="15.75" customHeight="1" x14ac:dyDescent="0.5">
      <c r="A178" s="37"/>
      <c r="B178" s="44"/>
      <c r="C178" s="45"/>
    </row>
    <row r="179" spans="1:3" ht="15.75" customHeight="1" x14ac:dyDescent="0.5">
      <c r="A179" s="37"/>
      <c r="B179" s="44"/>
      <c r="C179" s="45"/>
    </row>
    <row r="180" spans="1:3" ht="15.75" customHeight="1" x14ac:dyDescent="0.5">
      <c r="A180" s="37"/>
      <c r="B180" s="44"/>
      <c r="C180" s="45"/>
    </row>
    <row r="181" spans="1:3" ht="15.75" customHeight="1" x14ac:dyDescent="0.5">
      <c r="A181" s="37"/>
      <c r="B181" s="44"/>
      <c r="C181" s="45"/>
    </row>
    <row r="182" spans="1:3" ht="15.75" customHeight="1" x14ac:dyDescent="0.5">
      <c r="A182" s="37"/>
      <c r="B182" s="44"/>
      <c r="C182" s="45"/>
    </row>
    <row r="183" spans="1:3" ht="15.75" customHeight="1" x14ac:dyDescent="0.5">
      <c r="A183" s="37"/>
      <c r="B183" s="44"/>
      <c r="C183" s="45"/>
    </row>
    <row r="184" spans="1:3" ht="15.75" customHeight="1" x14ac:dyDescent="0.5">
      <c r="A184" s="37"/>
      <c r="B184" s="44"/>
      <c r="C184" s="45"/>
    </row>
    <row r="185" spans="1:3" ht="15.75" customHeight="1" x14ac:dyDescent="0.5">
      <c r="A185" s="37"/>
      <c r="B185" s="44"/>
      <c r="C185" s="45"/>
    </row>
    <row r="186" spans="1:3" ht="15.75" customHeight="1" x14ac:dyDescent="0.5">
      <c r="A186" s="37"/>
      <c r="B186" s="44"/>
      <c r="C186" s="45"/>
    </row>
    <row r="187" spans="1:3" ht="15.75" customHeight="1" x14ac:dyDescent="0.5">
      <c r="A187" s="37"/>
      <c r="B187" s="44"/>
      <c r="C187" s="45"/>
    </row>
    <row r="188" spans="1:3" ht="15.75" customHeight="1" x14ac:dyDescent="0.5">
      <c r="A188" s="37"/>
      <c r="B188" s="44"/>
      <c r="C188" s="45"/>
    </row>
    <row r="189" spans="1:3" ht="15.75" customHeight="1" x14ac:dyDescent="0.5">
      <c r="A189" s="37"/>
      <c r="B189" s="44"/>
      <c r="C189" s="45"/>
    </row>
    <row r="190" spans="1:3" ht="15.75" customHeight="1" x14ac:dyDescent="0.5">
      <c r="A190" s="37"/>
      <c r="B190" s="44"/>
      <c r="C190" s="45"/>
    </row>
    <row r="191" spans="1:3" ht="15.75" customHeight="1" x14ac:dyDescent="0.5">
      <c r="A191" s="37"/>
      <c r="B191" s="44"/>
      <c r="C191" s="45"/>
    </row>
    <row r="192" spans="1:3" ht="15.75" customHeight="1" x14ac:dyDescent="0.5">
      <c r="A192" s="37"/>
      <c r="B192" s="44"/>
      <c r="C192" s="45"/>
    </row>
    <row r="193" spans="1:3" ht="15.75" customHeight="1" x14ac:dyDescent="0.5">
      <c r="A193" s="37"/>
      <c r="B193" s="44"/>
      <c r="C193" s="45"/>
    </row>
    <row r="194" spans="1:3" ht="15.75" customHeight="1" x14ac:dyDescent="0.5">
      <c r="A194" s="37"/>
      <c r="B194" s="44"/>
      <c r="C194" s="45"/>
    </row>
    <row r="195" spans="1:3" ht="15.75" customHeight="1" x14ac:dyDescent="0.5">
      <c r="A195" s="37"/>
      <c r="B195" s="44"/>
      <c r="C195" s="45"/>
    </row>
    <row r="196" spans="1:3" ht="15.75" customHeight="1" x14ac:dyDescent="0.5">
      <c r="A196" s="37"/>
      <c r="B196" s="44"/>
      <c r="C196" s="45"/>
    </row>
    <row r="197" spans="1:3" ht="15.75" customHeight="1" x14ac:dyDescent="0.5">
      <c r="A197" s="37"/>
      <c r="B197" s="44"/>
      <c r="C197" s="45"/>
    </row>
    <row r="198" spans="1:3" ht="15.75" customHeight="1" x14ac:dyDescent="0.5">
      <c r="A198" s="37"/>
      <c r="B198" s="44"/>
      <c r="C198" s="45"/>
    </row>
    <row r="199" spans="1:3" ht="15.75" customHeight="1" x14ac:dyDescent="0.5">
      <c r="A199" s="37"/>
      <c r="B199" s="44"/>
      <c r="C199" s="45"/>
    </row>
    <row r="200" spans="1:3" ht="15.75" customHeight="1" x14ac:dyDescent="0.5">
      <c r="A200" s="37"/>
      <c r="B200" s="44"/>
      <c r="C200" s="45"/>
    </row>
    <row r="201" spans="1:3" ht="15.75" customHeight="1" x14ac:dyDescent="0.5">
      <c r="A201" s="37"/>
      <c r="B201" s="44"/>
      <c r="C201" s="45"/>
    </row>
    <row r="202" spans="1:3" ht="15.75" customHeight="1" x14ac:dyDescent="0.5">
      <c r="A202" s="37"/>
      <c r="B202" s="44"/>
      <c r="C202" s="45"/>
    </row>
    <row r="203" spans="1:3" ht="15.75" customHeight="1" x14ac:dyDescent="0.5">
      <c r="A203" s="37"/>
      <c r="B203" s="44"/>
      <c r="C203" s="45"/>
    </row>
    <row r="204" spans="1:3" ht="15.75" customHeight="1" x14ac:dyDescent="0.5">
      <c r="A204" s="37"/>
      <c r="B204" s="44"/>
      <c r="C204" s="45"/>
    </row>
    <row r="205" spans="1:3" ht="15.75" customHeight="1" x14ac:dyDescent="0.5">
      <c r="A205" s="37"/>
      <c r="B205" s="44"/>
      <c r="C205" s="45"/>
    </row>
    <row r="206" spans="1:3" ht="15.75" customHeight="1" x14ac:dyDescent="0.5">
      <c r="A206" s="37"/>
      <c r="B206" s="44"/>
      <c r="C206" s="45"/>
    </row>
    <row r="207" spans="1:3" ht="15.75" customHeight="1" x14ac:dyDescent="0.5">
      <c r="A207" s="37"/>
      <c r="B207" s="44"/>
      <c r="C207" s="45"/>
    </row>
    <row r="208" spans="1:3" ht="15.75" customHeight="1" x14ac:dyDescent="0.5">
      <c r="A208" s="37"/>
      <c r="B208" s="44"/>
      <c r="C208" s="45"/>
    </row>
    <row r="209" spans="1:3" ht="15.75" customHeight="1" x14ac:dyDescent="0.5">
      <c r="A209" s="37"/>
      <c r="B209" s="44"/>
      <c r="C209" s="45"/>
    </row>
    <row r="210" spans="1:3" ht="15.75" customHeight="1" x14ac:dyDescent="0.5">
      <c r="A210" s="37"/>
      <c r="B210" s="44"/>
      <c r="C210" s="45"/>
    </row>
    <row r="211" spans="1:3" ht="15.75" customHeight="1" x14ac:dyDescent="0.5">
      <c r="A211" s="37"/>
      <c r="B211" s="44"/>
      <c r="C211" s="45"/>
    </row>
    <row r="212" spans="1:3" ht="15.75" customHeight="1" x14ac:dyDescent="0.5">
      <c r="A212" s="37"/>
      <c r="B212" s="44"/>
      <c r="C212" s="45"/>
    </row>
    <row r="213" spans="1:3" ht="15.75" customHeight="1" x14ac:dyDescent="0.5">
      <c r="A213" s="37"/>
      <c r="B213" s="44"/>
      <c r="C213" s="45"/>
    </row>
    <row r="214" spans="1:3" ht="15.75" customHeight="1" x14ac:dyDescent="0.5">
      <c r="A214" s="37"/>
      <c r="B214" s="44"/>
      <c r="C214" s="45"/>
    </row>
    <row r="215" spans="1:3" ht="15.75" customHeight="1" x14ac:dyDescent="0.5">
      <c r="A215" s="37"/>
      <c r="B215" s="44"/>
      <c r="C215" s="45"/>
    </row>
    <row r="216" spans="1:3" ht="15.75" customHeight="1" x14ac:dyDescent="0.5">
      <c r="A216" s="37"/>
      <c r="B216" s="44"/>
      <c r="C216" s="45"/>
    </row>
    <row r="217" spans="1:3" ht="15.75" customHeight="1" x14ac:dyDescent="0.5">
      <c r="A217" s="37"/>
      <c r="B217" s="44"/>
      <c r="C217" s="45"/>
    </row>
    <row r="218" spans="1:3" ht="15.75" customHeight="1" x14ac:dyDescent="0.5">
      <c r="A218" s="37"/>
      <c r="B218" s="44"/>
      <c r="C218" s="45"/>
    </row>
    <row r="219" spans="1:3" ht="15.75" customHeight="1" x14ac:dyDescent="0.5">
      <c r="A219" s="37"/>
      <c r="B219" s="44"/>
      <c r="C219" s="45"/>
    </row>
    <row r="220" spans="1:3" ht="15.75" customHeight="1" x14ac:dyDescent="0.5">
      <c r="A220" s="37"/>
      <c r="B220" s="44"/>
      <c r="C220" s="45"/>
    </row>
    <row r="221" spans="1:3" ht="15.75" customHeight="1" x14ac:dyDescent="0.5">
      <c r="A221" s="37"/>
      <c r="B221" s="44"/>
      <c r="C221" s="45"/>
    </row>
    <row r="222" spans="1:3" ht="15.75" customHeight="1" x14ac:dyDescent="0.5">
      <c r="A222" s="37"/>
      <c r="B222" s="44"/>
      <c r="C222" s="45"/>
    </row>
    <row r="223" spans="1:3" ht="15.75" customHeight="1" x14ac:dyDescent="0.5">
      <c r="A223" s="37"/>
      <c r="B223" s="44"/>
      <c r="C223" s="45"/>
    </row>
    <row r="224" spans="1:3" ht="15.75" customHeight="1" x14ac:dyDescent="0.5">
      <c r="A224" s="37"/>
      <c r="B224" s="44"/>
      <c r="C224" s="45"/>
    </row>
    <row r="225" spans="1:3" ht="15.75" customHeight="1" x14ac:dyDescent="0.5">
      <c r="A225" s="37"/>
      <c r="B225" s="44"/>
      <c r="C225" s="45"/>
    </row>
    <row r="226" spans="1:3" ht="15.75" customHeight="1" x14ac:dyDescent="0.5">
      <c r="A226" s="37"/>
      <c r="B226" s="44"/>
      <c r="C226" s="45"/>
    </row>
    <row r="227" spans="1:3" ht="15.75" customHeight="1" x14ac:dyDescent="0.5">
      <c r="A227" s="37"/>
      <c r="B227" s="44"/>
      <c r="C227" s="45"/>
    </row>
    <row r="228" spans="1:3" ht="15.75" customHeight="1" x14ac:dyDescent="0.5">
      <c r="A228" s="37"/>
      <c r="B228" s="44"/>
      <c r="C228" s="45"/>
    </row>
    <row r="229" spans="1:3" ht="15.75" customHeight="1" x14ac:dyDescent="0.5">
      <c r="A229" s="37"/>
      <c r="B229" s="44"/>
      <c r="C229" s="45"/>
    </row>
    <row r="230" spans="1:3" ht="15.75" customHeight="1" x14ac:dyDescent="0.5">
      <c r="A230" s="37"/>
      <c r="B230" s="44"/>
      <c r="C230" s="45"/>
    </row>
    <row r="231" spans="1:3" ht="15.75" customHeight="1" x14ac:dyDescent="0.5">
      <c r="A231" s="37"/>
      <c r="B231" s="44"/>
      <c r="C231" s="45"/>
    </row>
    <row r="232" spans="1:3" ht="15.75" customHeight="1" x14ac:dyDescent="0.5">
      <c r="A232" s="37"/>
      <c r="B232" s="44"/>
      <c r="C232" s="45"/>
    </row>
    <row r="233" spans="1:3" ht="15.75" customHeight="1" x14ac:dyDescent="0.5">
      <c r="A233" s="37"/>
      <c r="B233" s="44"/>
      <c r="C233" s="45"/>
    </row>
    <row r="234" spans="1:3" ht="15.75" customHeight="1" x14ac:dyDescent="0.5">
      <c r="A234" s="37"/>
      <c r="B234" s="44"/>
      <c r="C234" s="45"/>
    </row>
    <row r="235" spans="1:3" ht="15.75" customHeight="1" x14ac:dyDescent="0.5">
      <c r="A235" s="37"/>
      <c r="B235" s="44"/>
      <c r="C235" s="45"/>
    </row>
    <row r="236" spans="1:3" ht="15.75" customHeight="1" x14ac:dyDescent="0.5">
      <c r="A236" s="37"/>
      <c r="B236" s="44"/>
      <c r="C236" s="45"/>
    </row>
    <row r="237" spans="1:3" ht="15.75" customHeight="1" x14ac:dyDescent="0.5">
      <c r="A237" s="37"/>
      <c r="B237" s="44"/>
      <c r="C237" s="45"/>
    </row>
    <row r="238" spans="1:3" ht="15.75" customHeight="1" x14ac:dyDescent="0.5">
      <c r="A238" s="37"/>
      <c r="B238" s="44"/>
      <c r="C238" s="45"/>
    </row>
    <row r="239" spans="1:3" ht="15.75" customHeight="1" x14ac:dyDescent="0.5">
      <c r="A239" s="37"/>
      <c r="B239" s="44"/>
      <c r="C239" s="45"/>
    </row>
    <row r="240" spans="1:3" ht="15.75" customHeight="1" x14ac:dyDescent="0.5">
      <c r="A240" s="37"/>
      <c r="B240" s="44"/>
      <c r="C240" s="45"/>
    </row>
    <row r="241" spans="1:3" ht="15.75" customHeight="1" x14ac:dyDescent="0.5">
      <c r="A241" s="37"/>
      <c r="B241" s="44"/>
      <c r="C241" s="45"/>
    </row>
    <row r="242" spans="1:3" ht="15.75" customHeight="1" x14ac:dyDescent="0.5">
      <c r="A242" s="37"/>
      <c r="B242" s="44"/>
      <c r="C242" s="45"/>
    </row>
    <row r="243" spans="1:3" ht="15.75" customHeight="1" x14ac:dyDescent="0.5">
      <c r="A243" s="37"/>
      <c r="B243" s="44"/>
      <c r="C243" s="45"/>
    </row>
    <row r="244" spans="1:3" ht="15.75" customHeight="1" x14ac:dyDescent="0.5">
      <c r="A244" s="37"/>
      <c r="B244" s="44"/>
      <c r="C244" s="45"/>
    </row>
    <row r="245" spans="1:3" ht="15.75" customHeight="1" x14ac:dyDescent="0.5">
      <c r="A245" s="37"/>
      <c r="B245" s="44"/>
      <c r="C245" s="45"/>
    </row>
    <row r="246" spans="1:3" ht="15.75" customHeight="1" x14ac:dyDescent="0.5">
      <c r="A246" s="37"/>
      <c r="B246" s="44"/>
      <c r="C246" s="45"/>
    </row>
    <row r="247" spans="1:3" ht="15.75" customHeight="1" x14ac:dyDescent="0.5">
      <c r="A247" s="37"/>
      <c r="B247" s="44"/>
      <c r="C247" s="45"/>
    </row>
    <row r="248" spans="1:3" ht="15.75" customHeight="1" x14ac:dyDescent="0.5">
      <c r="A248" s="37"/>
      <c r="B248" s="44"/>
      <c r="C248" s="45"/>
    </row>
    <row r="249" spans="1:3" ht="15.75" customHeight="1" x14ac:dyDescent="0.5">
      <c r="A249" s="37"/>
      <c r="B249" s="44"/>
      <c r="C249" s="45"/>
    </row>
    <row r="250" spans="1:3" ht="15.75" customHeight="1" x14ac:dyDescent="0.5">
      <c r="A250" s="37"/>
      <c r="B250" s="44"/>
      <c r="C250" s="45"/>
    </row>
    <row r="251" spans="1:3" ht="15.75" customHeight="1" x14ac:dyDescent="0.5">
      <c r="A251" s="37"/>
      <c r="B251" s="44"/>
      <c r="C251" s="45"/>
    </row>
    <row r="252" spans="1:3" ht="15.75" customHeight="1" x14ac:dyDescent="0.5">
      <c r="A252" s="37"/>
      <c r="B252" s="44"/>
      <c r="C252" s="45"/>
    </row>
    <row r="253" spans="1:3" ht="15.75" customHeight="1" x14ac:dyDescent="0.5">
      <c r="A253" s="37"/>
      <c r="B253" s="44"/>
      <c r="C253" s="45"/>
    </row>
    <row r="254" spans="1:3" ht="15.75" customHeight="1" x14ac:dyDescent="0.5">
      <c r="A254" s="37"/>
      <c r="B254" s="44"/>
      <c r="C254" s="45"/>
    </row>
    <row r="255" spans="1:3" ht="15.75" customHeight="1" x14ac:dyDescent="0.5">
      <c r="A255" s="37"/>
      <c r="B255" s="44"/>
      <c r="C255" s="45"/>
    </row>
    <row r="256" spans="1:3" ht="15.75" customHeight="1" x14ac:dyDescent="0.5">
      <c r="A256" s="37"/>
      <c r="B256" s="44"/>
      <c r="C256" s="45"/>
    </row>
    <row r="257" spans="1:3" ht="15.75" customHeight="1" x14ac:dyDescent="0.5">
      <c r="A257" s="37"/>
      <c r="B257" s="44"/>
      <c r="C257" s="45"/>
    </row>
    <row r="258" spans="1:3" ht="15.75" customHeight="1" x14ac:dyDescent="0.5">
      <c r="A258" s="37"/>
      <c r="B258" s="44"/>
      <c r="C258" s="45"/>
    </row>
    <row r="259" spans="1:3" ht="15.75" customHeight="1" x14ac:dyDescent="0.5">
      <c r="A259" s="37"/>
      <c r="B259" s="44"/>
      <c r="C259" s="45"/>
    </row>
    <row r="260" spans="1:3" ht="15.75" customHeight="1" x14ac:dyDescent="0.5">
      <c r="A260" s="37"/>
      <c r="B260" s="44"/>
      <c r="C260" s="45"/>
    </row>
    <row r="261" spans="1:3" ht="15.75" customHeight="1" x14ac:dyDescent="0.5">
      <c r="A261" s="37"/>
      <c r="B261" s="44"/>
      <c r="C261" s="45"/>
    </row>
    <row r="262" spans="1:3" ht="15.75" customHeight="1" x14ac:dyDescent="0.5">
      <c r="A262" s="37"/>
      <c r="B262" s="44"/>
      <c r="C262" s="45"/>
    </row>
    <row r="263" spans="1:3" ht="15.75" customHeight="1" x14ac:dyDescent="0.5">
      <c r="A263" s="37"/>
      <c r="B263" s="44"/>
      <c r="C263" s="45"/>
    </row>
    <row r="264" spans="1:3" ht="15.75" customHeight="1" x14ac:dyDescent="0.5">
      <c r="A264" s="37"/>
      <c r="B264" s="44"/>
      <c r="C264" s="45"/>
    </row>
    <row r="265" spans="1:3" ht="15.75" customHeight="1" x14ac:dyDescent="0.5">
      <c r="A265" s="37"/>
      <c r="B265" s="44"/>
      <c r="C265" s="45"/>
    </row>
    <row r="266" spans="1:3" ht="15.75" customHeight="1" x14ac:dyDescent="0.5">
      <c r="A266" s="37"/>
      <c r="B266" s="44"/>
      <c r="C266" s="45"/>
    </row>
    <row r="267" spans="1:3" ht="15.75" customHeight="1" x14ac:dyDescent="0.5">
      <c r="A267" s="37"/>
      <c r="B267" s="44"/>
      <c r="C267" s="45"/>
    </row>
    <row r="268" spans="1:3" ht="15.75" customHeight="1" x14ac:dyDescent="0.5">
      <c r="A268" s="37"/>
      <c r="B268" s="44"/>
      <c r="C268" s="45"/>
    </row>
    <row r="269" spans="1:3" ht="15.75" customHeight="1" x14ac:dyDescent="0.5">
      <c r="A269" s="37"/>
      <c r="B269" s="44"/>
      <c r="C269" s="45"/>
    </row>
    <row r="270" spans="1:3" ht="15.75" customHeight="1" x14ac:dyDescent="0.5">
      <c r="A270" s="37"/>
      <c r="B270" s="44"/>
      <c r="C270" s="45"/>
    </row>
    <row r="271" spans="1:3" ht="15.75" customHeight="1" x14ac:dyDescent="0.5">
      <c r="A271" s="37"/>
      <c r="B271" s="44"/>
      <c r="C271" s="45"/>
    </row>
    <row r="272" spans="1:3" ht="15.75" customHeight="1" x14ac:dyDescent="0.5">
      <c r="A272" s="37"/>
      <c r="B272" s="44"/>
      <c r="C272" s="45"/>
    </row>
    <row r="273" spans="1:3" ht="15.75" customHeight="1" x14ac:dyDescent="0.5">
      <c r="A273" s="37"/>
      <c r="B273" s="44"/>
      <c r="C273" s="45"/>
    </row>
    <row r="274" spans="1:3" ht="15.75" customHeight="1" x14ac:dyDescent="0.5">
      <c r="A274" s="37"/>
      <c r="B274" s="44"/>
      <c r="C274" s="45"/>
    </row>
    <row r="275" spans="1:3" ht="15.75" customHeight="1" x14ac:dyDescent="0.5">
      <c r="A275" s="37"/>
      <c r="B275" s="44"/>
      <c r="C275" s="45"/>
    </row>
    <row r="276" spans="1:3" ht="15.75" customHeight="1" x14ac:dyDescent="0.5">
      <c r="A276" s="37"/>
      <c r="B276" s="44"/>
      <c r="C276" s="45"/>
    </row>
    <row r="277" spans="1:3" ht="15.75" customHeight="1" x14ac:dyDescent="0.5">
      <c r="A277" s="37"/>
      <c r="B277" s="44"/>
      <c r="C277" s="45"/>
    </row>
    <row r="278" spans="1:3" ht="15.75" customHeight="1" x14ac:dyDescent="0.5">
      <c r="A278" s="37"/>
      <c r="B278" s="44"/>
      <c r="C278" s="45"/>
    </row>
    <row r="279" spans="1:3" ht="15.75" customHeight="1" x14ac:dyDescent="0.5">
      <c r="A279" s="37"/>
      <c r="B279" s="44"/>
      <c r="C279" s="45"/>
    </row>
    <row r="280" spans="1:3" ht="15.75" customHeight="1" x14ac:dyDescent="0.5">
      <c r="A280" s="37"/>
      <c r="B280" s="44"/>
      <c r="C280" s="45"/>
    </row>
    <row r="281" spans="1:3" ht="15.75" customHeight="1" x14ac:dyDescent="0.5">
      <c r="A281" s="37"/>
      <c r="B281" s="44"/>
      <c r="C281" s="45"/>
    </row>
    <row r="282" spans="1:3" ht="15.75" customHeight="1" x14ac:dyDescent="0.5">
      <c r="A282" s="37"/>
      <c r="B282" s="44"/>
      <c r="C282" s="45"/>
    </row>
    <row r="283" spans="1:3" ht="15.75" customHeight="1" x14ac:dyDescent="0.5">
      <c r="A283" s="37"/>
      <c r="B283" s="44"/>
      <c r="C283" s="45"/>
    </row>
    <row r="284" spans="1:3" ht="15.75" customHeight="1" x14ac:dyDescent="0.5">
      <c r="A284" s="37"/>
      <c r="B284" s="44"/>
      <c r="C284" s="45"/>
    </row>
    <row r="285" spans="1:3" ht="15.75" customHeight="1" x14ac:dyDescent="0.5">
      <c r="A285" s="37"/>
      <c r="B285" s="44"/>
      <c r="C285" s="45"/>
    </row>
    <row r="286" spans="1:3" ht="15.75" customHeight="1" x14ac:dyDescent="0.5">
      <c r="A286" s="37"/>
      <c r="B286" s="44"/>
      <c r="C286" s="45"/>
    </row>
    <row r="287" spans="1:3" ht="15.75" customHeight="1" x14ac:dyDescent="0.5">
      <c r="A287" s="37"/>
      <c r="B287" s="44"/>
      <c r="C287" s="45"/>
    </row>
    <row r="288" spans="1:3" ht="15.75" customHeight="1" x14ac:dyDescent="0.5">
      <c r="A288" s="37"/>
      <c r="B288" s="44"/>
      <c r="C288" s="45"/>
    </row>
    <row r="289" spans="1:3" ht="15.75" customHeight="1" x14ac:dyDescent="0.5">
      <c r="A289" s="37"/>
      <c r="B289" s="44"/>
      <c r="C289" s="45"/>
    </row>
    <row r="290" spans="1:3" ht="15.75" customHeight="1" x14ac:dyDescent="0.5">
      <c r="A290" s="37"/>
      <c r="B290" s="44"/>
      <c r="C290" s="45"/>
    </row>
    <row r="291" spans="1:3" ht="15.75" customHeight="1" x14ac:dyDescent="0.5">
      <c r="A291" s="37"/>
      <c r="B291" s="44"/>
      <c r="C291" s="45"/>
    </row>
    <row r="292" spans="1:3" ht="15.75" customHeight="1" x14ac:dyDescent="0.5">
      <c r="A292" s="37"/>
      <c r="B292" s="44"/>
      <c r="C292" s="45"/>
    </row>
    <row r="293" spans="1:3" ht="15.75" customHeight="1" x14ac:dyDescent="0.5">
      <c r="A293" s="37"/>
      <c r="B293" s="44"/>
      <c r="C293" s="45"/>
    </row>
    <row r="294" spans="1:3" ht="15.75" customHeight="1" x14ac:dyDescent="0.5">
      <c r="A294" s="37"/>
      <c r="B294" s="44"/>
      <c r="C294" s="45"/>
    </row>
    <row r="295" spans="1:3" ht="15.75" customHeight="1" x14ac:dyDescent="0.5">
      <c r="A295" s="37"/>
      <c r="B295" s="44"/>
      <c r="C295" s="45"/>
    </row>
    <row r="296" spans="1:3" ht="15.75" customHeight="1" x14ac:dyDescent="0.5">
      <c r="A296" s="37"/>
      <c r="B296" s="44"/>
      <c r="C296" s="45"/>
    </row>
    <row r="297" spans="1:3" ht="15.75" customHeight="1" x14ac:dyDescent="0.5">
      <c r="A297" s="37"/>
      <c r="B297" s="44"/>
      <c r="C297" s="45"/>
    </row>
    <row r="298" spans="1:3" ht="15.75" customHeight="1" x14ac:dyDescent="0.5">
      <c r="A298" s="37"/>
      <c r="B298" s="44"/>
      <c r="C298" s="45"/>
    </row>
    <row r="299" spans="1:3" ht="15.75" customHeight="1" x14ac:dyDescent="0.5">
      <c r="A299" s="37"/>
      <c r="B299" s="44"/>
      <c r="C299" s="45"/>
    </row>
    <row r="300" spans="1:3" ht="15.75" customHeight="1" x14ac:dyDescent="0.5">
      <c r="A300" s="37"/>
      <c r="B300" s="44"/>
      <c r="C300" s="45"/>
    </row>
    <row r="301" spans="1:3" ht="15.75" customHeight="1" x14ac:dyDescent="0.5">
      <c r="A301" s="37"/>
      <c r="B301" s="44"/>
      <c r="C301" s="45"/>
    </row>
    <row r="302" spans="1:3" ht="15.75" customHeight="1" x14ac:dyDescent="0.5">
      <c r="A302" s="37"/>
      <c r="B302" s="44"/>
      <c r="C302" s="45"/>
    </row>
    <row r="303" spans="1:3" ht="15.75" customHeight="1" x14ac:dyDescent="0.5">
      <c r="A303" s="37"/>
      <c r="B303" s="44"/>
      <c r="C303" s="45"/>
    </row>
    <row r="304" spans="1:3" ht="15.75" customHeight="1" x14ac:dyDescent="0.5">
      <c r="A304" s="37"/>
      <c r="B304" s="44"/>
      <c r="C304" s="45"/>
    </row>
    <row r="305" spans="1:3" ht="15.75" customHeight="1" x14ac:dyDescent="0.5">
      <c r="A305" s="37"/>
      <c r="B305" s="44"/>
      <c r="C305" s="45"/>
    </row>
    <row r="306" spans="1:3" ht="15.75" customHeight="1" x14ac:dyDescent="0.5">
      <c r="A306" s="37"/>
      <c r="B306" s="44"/>
      <c r="C306" s="45"/>
    </row>
    <row r="307" spans="1:3" ht="15.75" customHeight="1" x14ac:dyDescent="0.5">
      <c r="A307" s="37"/>
      <c r="B307" s="44"/>
      <c r="C307" s="45"/>
    </row>
    <row r="308" spans="1:3" ht="15.75" customHeight="1" x14ac:dyDescent="0.5">
      <c r="A308" s="37"/>
      <c r="B308" s="44"/>
      <c r="C308" s="45"/>
    </row>
    <row r="309" spans="1:3" ht="15.75" customHeight="1" x14ac:dyDescent="0.5">
      <c r="A309" s="37"/>
      <c r="B309" s="44"/>
      <c r="C309" s="45"/>
    </row>
    <row r="310" spans="1:3" ht="15.75" customHeight="1" x14ac:dyDescent="0.5">
      <c r="A310" s="37"/>
      <c r="B310" s="44"/>
      <c r="C310" s="45"/>
    </row>
    <row r="311" spans="1:3" ht="15.75" customHeight="1" x14ac:dyDescent="0.5">
      <c r="A311" s="37"/>
      <c r="B311" s="44"/>
      <c r="C311" s="45"/>
    </row>
    <row r="312" spans="1:3" ht="15.75" customHeight="1" x14ac:dyDescent="0.5">
      <c r="A312" s="37"/>
      <c r="B312" s="44"/>
      <c r="C312" s="45"/>
    </row>
    <row r="313" spans="1:3" ht="15.75" customHeight="1" x14ac:dyDescent="0.5">
      <c r="A313" s="37"/>
      <c r="B313" s="44"/>
      <c r="C313" s="45"/>
    </row>
    <row r="314" spans="1:3" ht="15.75" customHeight="1" x14ac:dyDescent="0.5">
      <c r="A314" s="37"/>
      <c r="B314" s="44"/>
      <c r="C314" s="45"/>
    </row>
    <row r="315" spans="1:3" ht="15.75" customHeight="1" x14ac:dyDescent="0.5">
      <c r="A315" s="37"/>
      <c r="B315" s="44"/>
      <c r="C315" s="45"/>
    </row>
    <row r="316" spans="1:3" ht="15.75" customHeight="1" x14ac:dyDescent="0.5">
      <c r="A316" s="37"/>
      <c r="B316" s="44"/>
      <c r="C316" s="45"/>
    </row>
    <row r="317" spans="1:3" ht="15.75" customHeight="1" x14ac:dyDescent="0.5">
      <c r="A317" s="37"/>
      <c r="B317" s="44"/>
      <c r="C317" s="45"/>
    </row>
    <row r="318" spans="1:3" ht="15.75" customHeight="1" x14ac:dyDescent="0.5">
      <c r="A318" s="37"/>
      <c r="B318" s="44"/>
      <c r="C318" s="45"/>
    </row>
    <row r="319" spans="1:3" ht="15.75" customHeight="1" x14ac:dyDescent="0.5">
      <c r="A319" s="37"/>
      <c r="B319" s="44"/>
      <c r="C319" s="45"/>
    </row>
    <row r="320" spans="1:3" ht="15.75" customHeight="1" x14ac:dyDescent="0.5">
      <c r="A320" s="37"/>
      <c r="B320" s="44"/>
      <c r="C320" s="45"/>
    </row>
    <row r="321" spans="1:3" ht="15.75" customHeight="1" x14ac:dyDescent="0.5">
      <c r="A321" s="37"/>
      <c r="B321" s="44"/>
      <c r="C321" s="45"/>
    </row>
    <row r="322" spans="1:3" ht="15.75" customHeight="1" x14ac:dyDescent="0.5">
      <c r="A322" s="37"/>
      <c r="B322" s="44"/>
      <c r="C322" s="45"/>
    </row>
    <row r="323" spans="1:3" ht="15.75" customHeight="1" x14ac:dyDescent="0.5">
      <c r="A323" s="37"/>
      <c r="B323" s="44"/>
      <c r="C323" s="45"/>
    </row>
    <row r="324" spans="1:3" ht="15.75" customHeight="1" x14ac:dyDescent="0.5">
      <c r="A324" s="37"/>
      <c r="B324" s="44"/>
      <c r="C324" s="45"/>
    </row>
    <row r="325" spans="1:3" ht="15.75" customHeight="1" x14ac:dyDescent="0.5">
      <c r="A325" s="37"/>
      <c r="B325" s="44"/>
      <c r="C325" s="45"/>
    </row>
    <row r="326" spans="1:3" ht="15.75" customHeight="1" x14ac:dyDescent="0.5">
      <c r="A326" s="37"/>
      <c r="B326" s="44"/>
      <c r="C326" s="45"/>
    </row>
    <row r="327" spans="1:3" ht="15.75" customHeight="1" x14ac:dyDescent="0.5">
      <c r="A327" s="37"/>
      <c r="B327" s="44"/>
      <c r="C327" s="45"/>
    </row>
    <row r="328" spans="1:3" ht="15.75" customHeight="1" x14ac:dyDescent="0.5">
      <c r="A328" s="37"/>
      <c r="B328" s="44"/>
      <c r="C328" s="45"/>
    </row>
    <row r="329" spans="1:3" ht="15.75" customHeight="1" x14ac:dyDescent="0.5">
      <c r="A329" s="37"/>
      <c r="B329" s="44"/>
      <c r="C329" s="45"/>
    </row>
    <row r="330" spans="1:3" ht="15.75" customHeight="1" x14ac:dyDescent="0.5">
      <c r="A330" s="37"/>
      <c r="B330" s="44"/>
      <c r="C330" s="45"/>
    </row>
    <row r="331" spans="1:3" ht="15.75" customHeight="1" x14ac:dyDescent="0.5">
      <c r="A331" s="37"/>
      <c r="B331" s="44"/>
      <c r="C331" s="45"/>
    </row>
    <row r="332" spans="1:3" ht="15.75" customHeight="1" x14ac:dyDescent="0.5">
      <c r="A332" s="37"/>
      <c r="B332" s="44"/>
      <c r="C332" s="45"/>
    </row>
    <row r="333" spans="1:3" ht="15.75" customHeight="1" x14ac:dyDescent="0.5">
      <c r="A333" s="37"/>
      <c r="B333" s="44"/>
      <c r="C333" s="45"/>
    </row>
    <row r="334" spans="1:3" ht="15.75" customHeight="1" x14ac:dyDescent="0.5">
      <c r="A334" s="37"/>
      <c r="B334" s="44"/>
      <c r="C334" s="45"/>
    </row>
    <row r="335" spans="1:3" ht="15.75" customHeight="1" x14ac:dyDescent="0.5">
      <c r="A335" s="37"/>
      <c r="B335" s="44"/>
      <c r="C335" s="45"/>
    </row>
    <row r="336" spans="1:3" ht="15.75" customHeight="1" x14ac:dyDescent="0.5">
      <c r="A336" s="37"/>
      <c r="B336" s="44"/>
      <c r="C336" s="45"/>
    </row>
    <row r="337" spans="1:3" ht="15.75" customHeight="1" x14ac:dyDescent="0.5">
      <c r="A337" s="37"/>
      <c r="B337" s="44"/>
      <c r="C337" s="45"/>
    </row>
    <row r="338" spans="1:3" ht="15.75" customHeight="1" x14ac:dyDescent="0.5">
      <c r="A338" s="37"/>
      <c r="B338" s="44"/>
      <c r="C338" s="45"/>
    </row>
    <row r="339" spans="1:3" ht="15.75" customHeight="1" x14ac:dyDescent="0.5">
      <c r="A339" s="37"/>
      <c r="B339" s="44"/>
      <c r="C339" s="45"/>
    </row>
    <row r="340" spans="1:3" ht="15.75" customHeight="1" x14ac:dyDescent="0.5">
      <c r="A340" s="37"/>
      <c r="B340" s="44"/>
      <c r="C340" s="45"/>
    </row>
    <row r="341" spans="1:3" ht="15.75" customHeight="1" x14ac:dyDescent="0.5">
      <c r="A341" s="37"/>
      <c r="B341" s="44"/>
      <c r="C341" s="45"/>
    </row>
    <row r="342" spans="1:3" ht="15.75" customHeight="1" x14ac:dyDescent="0.5">
      <c r="A342" s="37"/>
      <c r="B342" s="44"/>
      <c r="C342" s="45"/>
    </row>
    <row r="343" spans="1:3" ht="15.75" customHeight="1" x14ac:dyDescent="0.5">
      <c r="A343" s="37"/>
      <c r="B343" s="44"/>
      <c r="C343" s="45"/>
    </row>
    <row r="344" spans="1:3" ht="15.75" customHeight="1" x14ac:dyDescent="0.5">
      <c r="A344" s="37"/>
      <c r="B344" s="44"/>
      <c r="C344" s="45"/>
    </row>
    <row r="345" spans="1:3" ht="15.75" customHeight="1" x14ac:dyDescent="0.5">
      <c r="A345" s="37"/>
      <c r="B345" s="44"/>
      <c r="C345" s="45"/>
    </row>
    <row r="346" spans="1:3" ht="15.75" customHeight="1" x14ac:dyDescent="0.5">
      <c r="A346" s="37"/>
      <c r="B346" s="44"/>
      <c r="C346" s="45"/>
    </row>
    <row r="347" spans="1:3" ht="15.75" customHeight="1" x14ac:dyDescent="0.5">
      <c r="A347" s="37"/>
      <c r="B347" s="44"/>
      <c r="C347" s="45"/>
    </row>
    <row r="348" spans="1:3" ht="15.75" customHeight="1" x14ac:dyDescent="0.5">
      <c r="A348" s="37"/>
      <c r="B348" s="44"/>
      <c r="C348" s="45"/>
    </row>
    <row r="349" spans="1:3" ht="15.75" customHeight="1" x14ac:dyDescent="0.5">
      <c r="A349" s="37"/>
      <c r="B349" s="44"/>
      <c r="C349" s="45"/>
    </row>
    <row r="350" spans="1:3" ht="15.75" customHeight="1" x14ac:dyDescent="0.5">
      <c r="A350" s="37"/>
      <c r="B350" s="44"/>
      <c r="C350" s="45"/>
    </row>
    <row r="351" spans="1:3" ht="15.75" customHeight="1" x14ac:dyDescent="0.5">
      <c r="A351" s="37"/>
      <c r="B351" s="44"/>
      <c r="C351" s="45"/>
    </row>
    <row r="352" spans="1:3" ht="15.75" customHeight="1" x14ac:dyDescent="0.5">
      <c r="A352" s="37"/>
      <c r="B352" s="44"/>
      <c r="C352" s="45"/>
    </row>
    <row r="353" spans="1:3" ht="15.75" customHeight="1" x14ac:dyDescent="0.5">
      <c r="A353" s="37"/>
      <c r="B353" s="44"/>
      <c r="C353" s="45"/>
    </row>
    <row r="354" spans="1:3" ht="15.75" customHeight="1" x14ac:dyDescent="0.5">
      <c r="A354" s="37"/>
      <c r="B354" s="44"/>
      <c r="C354" s="45"/>
    </row>
    <row r="355" spans="1:3" ht="15.75" customHeight="1" x14ac:dyDescent="0.5">
      <c r="A355" s="37"/>
      <c r="B355" s="44"/>
      <c r="C355" s="45"/>
    </row>
    <row r="356" spans="1:3" ht="15.75" customHeight="1" x14ac:dyDescent="0.5">
      <c r="A356" s="37"/>
      <c r="B356" s="44"/>
      <c r="C356" s="45"/>
    </row>
    <row r="357" spans="1:3" ht="15.75" customHeight="1" x14ac:dyDescent="0.5">
      <c r="A357" s="37"/>
      <c r="B357" s="44"/>
      <c r="C357" s="45"/>
    </row>
    <row r="358" spans="1:3" ht="15.75" customHeight="1" x14ac:dyDescent="0.5">
      <c r="A358" s="37"/>
      <c r="B358" s="44"/>
      <c r="C358" s="45"/>
    </row>
    <row r="359" spans="1:3" ht="15.75" customHeight="1" x14ac:dyDescent="0.5">
      <c r="A359" s="37"/>
      <c r="B359" s="44"/>
      <c r="C359" s="45"/>
    </row>
    <row r="360" spans="1:3" ht="15.75" customHeight="1" x14ac:dyDescent="0.5">
      <c r="A360" s="37"/>
      <c r="B360" s="44"/>
      <c r="C360" s="45"/>
    </row>
    <row r="361" spans="1:3" ht="15.75" customHeight="1" x14ac:dyDescent="0.5">
      <c r="A361" s="37"/>
      <c r="B361" s="44"/>
      <c r="C361" s="45"/>
    </row>
    <row r="362" spans="1:3" ht="15.75" customHeight="1" x14ac:dyDescent="0.5">
      <c r="A362" s="37"/>
      <c r="B362" s="44"/>
      <c r="C362" s="45"/>
    </row>
    <row r="363" spans="1:3" ht="15.75" customHeight="1" x14ac:dyDescent="0.5">
      <c r="A363" s="37"/>
      <c r="B363" s="44"/>
      <c r="C363" s="45"/>
    </row>
    <row r="364" spans="1:3" ht="15.75" customHeight="1" x14ac:dyDescent="0.5">
      <c r="A364" s="37"/>
      <c r="B364" s="44"/>
      <c r="C364" s="45"/>
    </row>
    <row r="365" spans="1:3" ht="15.75" customHeight="1" x14ac:dyDescent="0.5">
      <c r="A365" s="37"/>
      <c r="B365" s="44"/>
      <c r="C365" s="45"/>
    </row>
    <row r="366" spans="1:3" ht="15.75" customHeight="1" x14ac:dyDescent="0.5">
      <c r="A366" s="37"/>
      <c r="B366" s="44"/>
      <c r="C366" s="45"/>
    </row>
    <row r="367" spans="1:3" ht="15.75" customHeight="1" x14ac:dyDescent="0.5">
      <c r="A367" s="37"/>
      <c r="B367" s="44"/>
      <c r="C367" s="45"/>
    </row>
    <row r="368" spans="1:3" ht="15.75" customHeight="1" x14ac:dyDescent="0.5">
      <c r="A368" s="37"/>
      <c r="B368" s="44"/>
      <c r="C368" s="45"/>
    </row>
    <row r="369" spans="1:3" ht="15.75" customHeight="1" x14ac:dyDescent="0.5">
      <c r="A369" s="37"/>
      <c r="B369" s="44"/>
      <c r="C369" s="45"/>
    </row>
    <row r="370" spans="1:3" ht="15.75" customHeight="1" x14ac:dyDescent="0.5">
      <c r="A370" s="37"/>
      <c r="B370" s="44"/>
      <c r="C370" s="45"/>
    </row>
    <row r="371" spans="1:3" ht="15.75" customHeight="1" x14ac:dyDescent="0.5">
      <c r="A371" s="37"/>
      <c r="B371" s="44"/>
      <c r="C371" s="45"/>
    </row>
    <row r="372" spans="1:3" ht="15.75" customHeight="1" x14ac:dyDescent="0.5">
      <c r="A372" s="37"/>
      <c r="B372" s="44"/>
      <c r="C372" s="45"/>
    </row>
    <row r="373" spans="1:3" ht="15.75" customHeight="1" x14ac:dyDescent="0.5">
      <c r="A373" s="37"/>
      <c r="B373" s="44"/>
      <c r="C373" s="45"/>
    </row>
    <row r="374" spans="1:3" ht="15.75" customHeight="1" x14ac:dyDescent="0.5">
      <c r="A374" s="37"/>
      <c r="B374" s="44"/>
      <c r="C374" s="45"/>
    </row>
    <row r="375" spans="1:3" ht="15.75" customHeight="1" x14ac:dyDescent="0.5">
      <c r="A375" s="37"/>
      <c r="B375" s="44"/>
      <c r="C375" s="45"/>
    </row>
    <row r="376" spans="1:3" ht="15.75" customHeight="1" x14ac:dyDescent="0.5">
      <c r="A376" s="37"/>
      <c r="B376" s="44"/>
      <c r="C376" s="45"/>
    </row>
    <row r="377" spans="1:3" ht="15.75" customHeight="1" x14ac:dyDescent="0.5">
      <c r="A377" s="37"/>
      <c r="B377" s="44"/>
      <c r="C377" s="45"/>
    </row>
    <row r="378" spans="1:3" ht="15.75" customHeight="1" x14ac:dyDescent="0.5">
      <c r="A378" s="37"/>
      <c r="B378" s="44"/>
      <c r="C378" s="45"/>
    </row>
    <row r="379" spans="1:3" ht="15.75" customHeight="1" x14ac:dyDescent="0.5">
      <c r="A379" s="37"/>
      <c r="B379" s="44"/>
      <c r="C379" s="45"/>
    </row>
    <row r="380" spans="1:3" ht="15.75" customHeight="1" x14ac:dyDescent="0.5">
      <c r="A380" s="37"/>
      <c r="B380" s="44"/>
      <c r="C380" s="45"/>
    </row>
    <row r="381" spans="1:3" ht="15.75" customHeight="1" x14ac:dyDescent="0.5">
      <c r="A381" s="37"/>
      <c r="B381" s="44"/>
      <c r="C381" s="45"/>
    </row>
    <row r="382" spans="1:3" ht="15.75" customHeight="1" x14ac:dyDescent="0.5">
      <c r="A382" s="37"/>
      <c r="B382" s="44"/>
      <c r="C382" s="45"/>
    </row>
    <row r="383" spans="1:3" ht="15.75" customHeight="1" x14ac:dyDescent="0.5">
      <c r="A383" s="37"/>
      <c r="B383" s="44"/>
      <c r="C383" s="45"/>
    </row>
    <row r="384" spans="1:3" ht="15.75" customHeight="1" x14ac:dyDescent="0.5">
      <c r="A384" s="37"/>
      <c r="B384" s="44"/>
      <c r="C384" s="45"/>
    </row>
    <row r="385" spans="1:3" ht="15.75" customHeight="1" x14ac:dyDescent="0.5">
      <c r="A385" s="37"/>
      <c r="B385" s="44"/>
      <c r="C385" s="45"/>
    </row>
    <row r="386" spans="1:3" ht="15.75" customHeight="1" x14ac:dyDescent="0.5">
      <c r="A386" s="37"/>
      <c r="B386" s="44"/>
      <c r="C386" s="45"/>
    </row>
    <row r="387" spans="1:3" ht="15.75" customHeight="1" x14ac:dyDescent="0.5">
      <c r="A387" s="37"/>
      <c r="B387" s="44"/>
      <c r="C387" s="45"/>
    </row>
    <row r="388" spans="1:3" ht="15.75" customHeight="1" x14ac:dyDescent="0.5">
      <c r="A388" s="37"/>
      <c r="B388" s="44"/>
      <c r="C388" s="45"/>
    </row>
    <row r="389" spans="1:3" ht="15.75" customHeight="1" x14ac:dyDescent="0.5">
      <c r="A389" s="37"/>
      <c r="B389" s="44"/>
      <c r="C389" s="45"/>
    </row>
    <row r="390" spans="1:3" ht="15.75" customHeight="1" x14ac:dyDescent="0.5">
      <c r="A390" s="37"/>
      <c r="B390" s="44"/>
      <c r="C390" s="45"/>
    </row>
    <row r="391" spans="1:3" ht="15.75" customHeight="1" x14ac:dyDescent="0.5">
      <c r="A391" s="37"/>
      <c r="B391" s="44"/>
      <c r="C391" s="45"/>
    </row>
    <row r="392" spans="1:3" ht="15.75" customHeight="1" x14ac:dyDescent="0.5">
      <c r="A392" s="37"/>
      <c r="B392" s="44"/>
      <c r="C392" s="45"/>
    </row>
    <row r="393" spans="1:3" ht="15.75" customHeight="1" x14ac:dyDescent="0.5">
      <c r="A393" s="37"/>
      <c r="B393" s="44"/>
      <c r="C393" s="45"/>
    </row>
    <row r="394" spans="1:3" ht="15.75" customHeight="1" x14ac:dyDescent="0.5">
      <c r="A394" s="37"/>
      <c r="B394" s="44"/>
      <c r="C394" s="45"/>
    </row>
    <row r="395" spans="1:3" ht="15.75" customHeight="1" x14ac:dyDescent="0.5">
      <c r="A395" s="37"/>
      <c r="B395" s="44"/>
      <c r="C395" s="45"/>
    </row>
    <row r="396" spans="1:3" ht="15.75" customHeight="1" x14ac:dyDescent="0.5">
      <c r="A396" s="37"/>
      <c r="B396" s="44"/>
      <c r="C396" s="45"/>
    </row>
    <row r="397" spans="1:3" ht="15.75" customHeight="1" x14ac:dyDescent="0.5">
      <c r="A397" s="37"/>
      <c r="B397" s="44"/>
      <c r="C397" s="45"/>
    </row>
    <row r="398" spans="1:3" ht="15.75" customHeight="1" x14ac:dyDescent="0.5">
      <c r="A398" s="37"/>
      <c r="B398" s="44"/>
      <c r="C398" s="45"/>
    </row>
    <row r="399" spans="1:3" ht="15.75" customHeight="1" x14ac:dyDescent="0.5">
      <c r="A399" s="37"/>
      <c r="B399" s="44"/>
      <c r="C399" s="45"/>
    </row>
    <row r="400" spans="1:3" ht="15.75" customHeight="1" x14ac:dyDescent="0.5">
      <c r="A400" s="37"/>
      <c r="B400" s="44"/>
      <c r="C400" s="45"/>
    </row>
    <row r="401" spans="1:3" ht="15.75" customHeight="1" x14ac:dyDescent="0.5">
      <c r="A401" s="37"/>
      <c r="B401" s="44"/>
      <c r="C401" s="45"/>
    </row>
    <row r="402" spans="1:3" ht="15.75" customHeight="1" x14ac:dyDescent="0.5">
      <c r="A402" s="37"/>
      <c r="B402" s="44"/>
      <c r="C402" s="45"/>
    </row>
    <row r="403" spans="1:3" ht="15.75" customHeight="1" x14ac:dyDescent="0.5">
      <c r="A403" s="37"/>
      <c r="B403" s="44"/>
      <c r="C403" s="45"/>
    </row>
    <row r="404" spans="1:3" ht="15.75" customHeight="1" x14ac:dyDescent="0.5">
      <c r="A404" s="37"/>
      <c r="B404" s="44"/>
      <c r="C404" s="45"/>
    </row>
    <row r="405" spans="1:3" ht="15.75" customHeight="1" x14ac:dyDescent="0.5">
      <c r="A405" s="37"/>
      <c r="B405" s="44"/>
      <c r="C405" s="45"/>
    </row>
    <row r="406" spans="1:3" ht="15.75" customHeight="1" x14ac:dyDescent="0.5">
      <c r="A406" s="37"/>
      <c r="B406" s="44"/>
      <c r="C406" s="45"/>
    </row>
    <row r="407" spans="1:3" ht="15.75" customHeight="1" x14ac:dyDescent="0.5">
      <c r="A407" s="37"/>
      <c r="B407" s="44"/>
      <c r="C407" s="45"/>
    </row>
    <row r="408" spans="1:3" ht="15.75" customHeight="1" x14ac:dyDescent="0.5">
      <c r="A408" s="37"/>
      <c r="B408" s="44"/>
      <c r="C408" s="45"/>
    </row>
    <row r="409" spans="1:3" ht="15.75" customHeight="1" x14ac:dyDescent="0.5">
      <c r="A409" s="37"/>
      <c r="B409" s="44"/>
      <c r="C409" s="45"/>
    </row>
    <row r="410" spans="1:3" ht="15.75" customHeight="1" x14ac:dyDescent="0.5">
      <c r="A410" s="37"/>
      <c r="B410" s="44"/>
      <c r="C410" s="45"/>
    </row>
    <row r="411" spans="1:3" ht="15.75" customHeight="1" x14ac:dyDescent="0.5">
      <c r="A411" s="37"/>
      <c r="B411" s="44"/>
      <c r="C411" s="45"/>
    </row>
    <row r="412" spans="1:3" ht="15.75" customHeight="1" x14ac:dyDescent="0.5">
      <c r="A412" s="37"/>
      <c r="B412" s="44"/>
      <c r="C412" s="45"/>
    </row>
    <row r="413" spans="1:3" ht="15.75" customHeight="1" x14ac:dyDescent="0.5">
      <c r="A413" s="37"/>
      <c r="B413" s="44"/>
      <c r="C413" s="45"/>
    </row>
    <row r="414" spans="1:3" ht="15.75" customHeight="1" x14ac:dyDescent="0.5">
      <c r="A414" s="37"/>
      <c r="B414" s="44"/>
      <c r="C414" s="45"/>
    </row>
    <row r="415" spans="1:3" ht="15.75" customHeight="1" x14ac:dyDescent="0.5">
      <c r="A415" s="37"/>
      <c r="B415" s="44"/>
      <c r="C415" s="45"/>
    </row>
    <row r="416" spans="1:3" ht="15.75" customHeight="1" x14ac:dyDescent="0.5">
      <c r="A416" s="37"/>
      <c r="B416" s="44"/>
      <c r="C416" s="45"/>
    </row>
    <row r="417" spans="1:3" ht="15.75" customHeight="1" x14ac:dyDescent="0.5">
      <c r="A417" s="37"/>
      <c r="B417" s="44"/>
      <c r="C417" s="45"/>
    </row>
    <row r="418" spans="1:3" ht="15.75" customHeight="1" x14ac:dyDescent="0.5">
      <c r="A418" s="37"/>
      <c r="B418" s="44"/>
      <c r="C418" s="45"/>
    </row>
    <row r="419" spans="1:3" ht="15.75" customHeight="1" x14ac:dyDescent="0.5">
      <c r="A419" s="37"/>
      <c r="B419" s="44"/>
      <c r="C419" s="45"/>
    </row>
    <row r="420" spans="1:3" ht="15.75" customHeight="1" x14ac:dyDescent="0.5">
      <c r="A420" s="37"/>
      <c r="B420" s="44"/>
      <c r="C420" s="45"/>
    </row>
    <row r="421" spans="1:3" ht="15.75" customHeight="1" x14ac:dyDescent="0.5">
      <c r="A421" s="37"/>
      <c r="B421" s="44"/>
      <c r="C421" s="45"/>
    </row>
    <row r="422" spans="1:3" ht="15.75" customHeight="1" x14ac:dyDescent="0.5">
      <c r="A422" s="37"/>
      <c r="B422" s="44"/>
      <c r="C422" s="45"/>
    </row>
    <row r="423" spans="1:3" ht="15.75" customHeight="1" x14ac:dyDescent="0.5">
      <c r="A423" s="37"/>
      <c r="B423" s="44"/>
      <c r="C423" s="45"/>
    </row>
    <row r="424" spans="1:3" ht="15.75" customHeight="1" x14ac:dyDescent="0.5">
      <c r="A424" s="37"/>
      <c r="B424" s="44"/>
      <c r="C424" s="45"/>
    </row>
    <row r="425" spans="1:3" ht="15.75" customHeight="1" x14ac:dyDescent="0.5">
      <c r="A425" s="37"/>
      <c r="B425" s="44"/>
      <c r="C425" s="45"/>
    </row>
    <row r="426" spans="1:3" ht="15.75" customHeight="1" x14ac:dyDescent="0.5">
      <c r="A426" s="37"/>
      <c r="B426" s="44"/>
      <c r="C426" s="45"/>
    </row>
    <row r="427" spans="1:3" ht="15.75" customHeight="1" x14ac:dyDescent="0.5">
      <c r="A427" s="37"/>
      <c r="B427" s="44"/>
      <c r="C427" s="45"/>
    </row>
    <row r="428" spans="1:3" ht="15.75" customHeight="1" x14ac:dyDescent="0.5">
      <c r="A428" s="37"/>
      <c r="B428" s="44"/>
      <c r="C428" s="45"/>
    </row>
    <row r="429" spans="1:3" ht="15.75" customHeight="1" x14ac:dyDescent="0.5">
      <c r="A429" s="37"/>
      <c r="B429" s="44"/>
      <c r="C429" s="45"/>
    </row>
    <row r="430" spans="1:3" ht="15.75" customHeight="1" x14ac:dyDescent="0.5">
      <c r="A430" s="37"/>
      <c r="B430" s="44"/>
      <c r="C430" s="45"/>
    </row>
    <row r="431" spans="1:3" ht="15.75" customHeight="1" x14ac:dyDescent="0.5">
      <c r="A431" s="37"/>
      <c r="B431" s="44"/>
      <c r="C431" s="45"/>
    </row>
    <row r="432" spans="1:3" ht="15.75" customHeight="1" x14ac:dyDescent="0.5">
      <c r="A432" s="37"/>
      <c r="B432" s="44"/>
      <c r="C432" s="45"/>
    </row>
    <row r="433" spans="1:3" ht="15.75" customHeight="1" x14ac:dyDescent="0.5">
      <c r="A433" s="37"/>
      <c r="B433" s="44"/>
      <c r="C433" s="45"/>
    </row>
    <row r="434" spans="1:3" ht="15.75" customHeight="1" x14ac:dyDescent="0.5">
      <c r="A434" s="37"/>
      <c r="B434" s="44"/>
      <c r="C434" s="45"/>
    </row>
    <row r="435" spans="1:3" ht="15.75" customHeight="1" x14ac:dyDescent="0.5">
      <c r="A435" s="37"/>
      <c r="B435" s="44"/>
      <c r="C435" s="45"/>
    </row>
    <row r="436" spans="1:3" ht="15.75" customHeight="1" x14ac:dyDescent="0.5">
      <c r="A436" s="37"/>
      <c r="B436" s="44"/>
      <c r="C436" s="45"/>
    </row>
    <row r="437" spans="1:3" ht="15.75" customHeight="1" x14ac:dyDescent="0.5">
      <c r="A437" s="37"/>
      <c r="B437" s="44"/>
      <c r="C437" s="45"/>
    </row>
    <row r="438" spans="1:3" ht="15.75" customHeight="1" x14ac:dyDescent="0.5">
      <c r="A438" s="37"/>
      <c r="B438" s="44"/>
      <c r="C438" s="45"/>
    </row>
    <row r="439" spans="1:3" ht="15.75" customHeight="1" x14ac:dyDescent="0.5">
      <c r="A439" s="37"/>
      <c r="B439" s="44"/>
      <c r="C439" s="45"/>
    </row>
    <row r="440" spans="1:3" ht="15.75" customHeight="1" x14ac:dyDescent="0.5">
      <c r="A440" s="37"/>
      <c r="B440" s="44"/>
      <c r="C440" s="45"/>
    </row>
    <row r="441" spans="1:3" ht="15.75" customHeight="1" x14ac:dyDescent="0.5">
      <c r="A441" s="37"/>
      <c r="B441" s="44"/>
      <c r="C441" s="45"/>
    </row>
    <row r="442" spans="1:3" ht="15.75" customHeight="1" x14ac:dyDescent="0.5">
      <c r="A442" s="37"/>
      <c r="B442" s="44"/>
      <c r="C442" s="45"/>
    </row>
    <row r="443" spans="1:3" ht="15.75" customHeight="1" x14ac:dyDescent="0.5">
      <c r="A443" s="37"/>
      <c r="B443" s="44"/>
      <c r="C443" s="45"/>
    </row>
    <row r="444" spans="1:3" ht="15.75" customHeight="1" x14ac:dyDescent="0.5">
      <c r="A444" s="37"/>
      <c r="B444" s="44"/>
      <c r="C444" s="45"/>
    </row>
    <row r="445" spans="1:3" ht="15.75" customHeight="1" x14ac:dyDescent="0.5">
      <c r="A445" s="37"/>
      <c r="B445" s="44"/>
      <c r="C445" s="45"/>
    </row>
    <row r="446" spans="1:3" ht="15.75" customHeight="1" x14ac:dyDescent="0.5">
      <c r="A446" s="37"/>
      <c r="B446" s="44"/>
      <c r="C446" s="45"/>
    </row>
    <row r="447" spans="1:3" ht="15.75" customHeight="1" x14ac:dyDescent="0.5">
      <c r="A447" s="37"/>
      <c r="B447" s="44"/>
      <c r="C447" s="45"/>
    </row>
    <row r="448" spans="1:3" ht="15.75" customHeight="1" x14ac:dyDescent="0.5">
      <c r="A448" s="37"/>
      <c r="B448" s="44"/>
      <c r="C448" s="45"/>
    </row>
    <row r="449" spans="1:3" ht="15.75" customHeight="1" x14ac:dyDescent="0.5">
      <c r="A449" s="37"/>
      <c r="B449" s="44"/>
      <c r="C449" s="45"/>
    </row>
    <row r="450" spans="1:3" ht="15.75" customHeight="1" x14ac:dyDescent="0.5">
      <c r="A450" s="37"/>
      <c r="B450" s="44"/>
      <c r="C450" s="45"/>
    </row>
    <row r="451" spans="1:3" ht="15.75" customHeight="1" x14ac:dyDescent="0.5">
      <c r="A451" s="37"/>
      <c r="B451" s="44"/>
      <c r="C451" s="45"/>
    </row>
    <row r="452" spans="1:3" ht="15.75" customHeight="1" x14ac:dyDescent="0.5">
      <c r="A452" s="37"/>
      <c r="B452" s="44"/>
      <c r="C452" s="45"/>
    </row>
    <row r="453" spans="1:3" ht="15.75" customHeight="1" x14ac:dyDescent="0.5">
      <c r="A453" s="37"/>
      <c r="B453" s="44"/>
      <c r="C453" s="45"/>
    </row>
    <row r="454" spans="1:3" ht="15.75" customHeight="1" x14ac:dyDescent="0.5">
      <c r="A454" s="37"/>
      <c r="B454" s="44"/>
      <c r="C454" s="45"/>
    </row>
    <row r="455" spans="1:3" ht="15.75" customHeight="1" x14ac:dyDescent="0.5">
      <c r="A455" s="37"/>
      <c r="B455" s="44"/>
      <c r="C455" s="45"/>
    </row>
    <row r="456" spans="1:3" ht="15.75" customHeight="1" x14ac:dyDescent="0.5">
      <c r="A456" s="37"/>
      <c r="B456" s="44"/>
      <c r="C456" s="45"/>
    </row>
    <row r="457" spans="1:3" ht="15.75" customHeight="1" x14ac:dyDescent="0.5">
      <c r="A457" s="37"/>
      <c r="B457" s="44"/>
      <c r="C457" s="45"/>
    </row>
    <row r="458" spans="1:3" ht="15.75" customHeight="1" x14ac:dyDescent="0.5">
      <c r="A458" s="37"/>
      <c r="B458" s="44"/>
      <c r="C458" s="45"/>
    </row>
    <row r="459" spans="1:3" ht="15.75" customHeight="1" x14ac:dyDescent="0.5">
      <c r="A459" s="37"/>
      <c r="B459" s="44"/>
      <c r="C459" s="45"/>
    </row>
    <row r="460" spans="1:3" ht="15.75" customHeight="1" x14ac:dyDescent="0.5">
      <c r="A460" s="37"/>
      <c r="B460" s="44"/>
      <c r="C460" s="45"/>
    </row>
    <row r="461" spans="1:3" ht="15.75" customHeight="1" x14ac:dyDescent="0.5">
      <c r="A461" s="37"/>
      <c r="B461" s="44"/>
      <c r="C461" s="45"/>
    </row>
    <row r="462" spans="1:3" ht="15.75" customHeight="1" x14ac:dyDescent="0.5">
      <c r="A462" s="37"/>
      <c r="B462" s="44"/>
      <c r="C462" s="45"/>
    </row>
    <row r="463" spans="1:3" ht="15.75" customHeight="1" x14ac:dyDescent="0.5">
      <c r="A463" s="37"/>
      <c r="B463" s="44"/>
      <c r="C463" s="45"/>
    </row>
    <row r="464" spans="1:3" ht="15.75" customHeight="1" x14ac:dyDescent="0.5">
      <c r="A464" s="37"/>
      <c r="B464" s="44"/>
      <c r="C464" s="45"/>
    </row>
    <row r="465" spans="1:3" ht="15.75" customHeight="1" x14ac:dyDescent="0.5">
      <c r="A465" s="37"/>
      <c r="B465" s="44"/>
      <c r="C465" s="45"/>
    </row>
    <row r="466" spans="1:3" ht="15.75" customHeight="1" x14ac:dyDescent="0.5">
      <c r="A466" s="37"/>
      <c r="B466" s="44"/>
      <c r="C466" s="45"/>
    </row>
    <row r="467" spans="1:3" ht="15.75" customHeight="1" x14ac:dyDescent="0.5">
      <c r="A467" s="37"/>
      <c r="B467" s="44"/>
      <c r="C467" s="45"/>
    </row>
    <row r="468" spans="1:3" ht="15.75" customHeight="1" x14ac:dyDescent="0.5">
      <c r="A468" s="37"/>
      <c r="B468" s="44"/>
      <c r="C468" s="45"/>
    </row>
    <row r="469" spans="1:3" ht="15.75" customHeight="1" x14ac:dyDescent="0.5">
      <c r="A469" s="37"/>
      <c r="B469" s="44"/>
      <c r="C469" s="45"/>
    </row>
    <row r="470" spans="1:3" ht="15.75" customHeight="1" x14ac:dyDescent="0.5">
      <c r="A470" s="37"/>
      <c r="B470" s="44"/>
      <c r="C470" s="45"/>
    </row>
    <row r="471" spans="1:3" ht="15.75" customHeight="1" x14ac:dyDescent="0.5">
      <c r="A471" s="37"/>
      <c r="B471" s="44"/>
      <c r="C471" s="45"/>
    </row>
    <row r="472" spans="1:3" ht="15.75" customHeight="1" x14ac:dyDescent="0.5">
      <c r="A472" s="37"/>
      <c r="B472" s="44"/>
      <c r="C472" s="45"/>
    </row>
    <row r="473" spans="1:3" ht="15.75" customHeight="1" x14ac:dyDescent="0.5">
      <c r="A473" s="37"/>
      <c r="B473" s="44"/>
      <c r="C473" s="45"/>
    </row>
    <row r="474" spans="1:3" ht="15.75" customHeight="1" x14ac:dyDescent="0.5">
      <c r="A474" s="37"/>
      <c r="B474" s="44"/>
      <c r="C474" s="45"/>
    </row>
    <row r="475" spans="1:3" ht="15.75" customHeight="1" x14ac:dyDescent="0.5">
      <c r="A475" s="37"/>
      <c r="B475" s="44"/>
      <c r="C475" s="45"/>
    </row>
    <row r="476" spans="1:3" ht="15.75" customHeight="1" x14ac:dyDescent="0.5">
      <c r="A476" s="37"/>
      <c r="B476" s="44"/>
      <c r="C476" s="45"/>
    </row>
    <row r="477" spans="1:3" ht="15.75" customHeight="1" x14ac:dyDescent="0.5">
      <c r="A477" s="37"/>
      <c r="B477" s="44"/>
      <c r="C477" s="45"/>
    </row>
    <row r="478" spans="1:3" ht="15.75" customHeight="1" x14ac:dyDescent="0.5">
      <c r="A478" s="37"/>
      <c r="B478" s="44"/>
      <c r="C478" s="45"/>
    </row>
    <row r="479" spans="1:3" ht="15.75" customHeight="1" x14ac:dyDescent="0.5">
      <c r="A479" s="37"/>
      <c r="B479" s="44"/>
      <c r="C479" s="45"/>
    </row>
    <row r="480" spans="1:3" ht="15.75" customHeight="1" x14ac:dyDescent="0.5">
      <c r="A480" s="37"/>
      <c r="B480" s="44"/>
      <c r="C480" s="45"/>
    </row>
    <row r="481" spans="1:3" ht="15.75" customHeight="1" x14ac:dyDescent="0.5">
      <c r="A481" s="37"/>
      <c r="B481" s="44"/>
      <c r="C481" s="45"/>
    </row>
    <row r="482" spans="1:3" ht="15.75" customHeight="1" x14ac:dyDescent="0.5">
      <c r="A482" s="37"/>
      <c r="B482" s="44"/>
      <c r="C482" s="45"/>
    </row>
    <row r="483" spans="1:3" ht="15.75" customHeight="1" x14ac:dyDescent="0.5">
      <c r="A483" s="37"/>
      <c r="B483" s="44"/>
      <c r="C483" s="45"/>
    </row>
    <row r="484" spans="1:3" ht="15.75" customHeight="1" x14ac:dyDescent="0.5">
      <c r="A484" s="37"/>
      <c r="B484" s="44"/>
      <c r="C484" s="45"/>
    </row>
    <row r="485" spans="1:3" ht="15.75" customHeight="1" x14ac:dyDescent="0.5">
      <c r="A485" s="37"/>
      <c r="B485" s="44"/>
      <c r="C485" s="45"/>
    </row>
    <row r="486" spans="1:3" ht="15.75" customHeight="1" x14ac:dyDescent="0.5">
      <c r="A486" s="37"/>
      <c r="B486" s="44"/>
      <c r="C486" s="45"/>
    </row>
    <row r="487" spans="1:3" ht="15.75" customHeight="1" x14ac:dyDescent="0.5">
      <c r="A487" s="37"/>
      <c r="B487" s="44"/>
      <c r="C487" s="45"/>
    </row>
    <row r="488" spans="1:3" ht="15.75" customHeight="1" x14ac:dyDescent="0.5">
      <c r="A488" s="37"/>
      <c r="B488" s="44"/>
      <c r="C488" s="45"/>
    </row>
    <row r="489" spans="1:3" ht="15.75" customHeight="1" x14ac:dyDescent="0.5">
      <c r="A489" s="37"/>
      <c r="B489" s="44"/>
      <c r="C489" s="45"/>
    </row>
    <row r="490" spans="1:3" ht="15.75" customHeight="1" x14ac:dyDescent="0.5">
      <c r="A490" s="37"/>
      <c r="B490" s="44"/>
      <c r="C490" s="45"/>
    </row>
    <row r="491" spans="1:3" ht="15.75" customHeight="1" x14ac:dyDescent="0.5">
      <c r="A491" s="37"/>
      <c r="B491" s="44"/>
      <c r="C491" s="45"/>
    </row>
    <row r="492" spans="1:3" ht="15.75" customHeight="1" x14ac:dyDescent="0.5">
      <c r="A492" s="37"/>
      <c r="B492" s="44"/>
      <c r="C492" s="45"/>
    </row>
    <row r="493" spans="1:3" ht="15.75" customHeight="1" x14ac:dyDescent="0.5">
      <c r="A493" s="37"/>
      <c r="B493" s="44"/>
      <c r="C493" s="45"/>
    </row>
    <row r="494" spans="1:3" ht="15.75" customHeight="1" x14ac:dyDescent="0.5">
      <c r="A494" s="37"/>
      <c r="B494" s="44"/>
      <c r="C494" s="45"/>
    </row>
    <row r="495" spans="1:3" ht="15.75" customHeight="1" x14ac:dyDescent="0.5">
      <c r="A495" s="37"/>
      <c r="B495" s="44"/>
      <c r="C495" s="45"/>
    </row>
    <row r="496" spans="1:3" ht="15.75" customHeight="1" x14ac:dyDescent="0.5">
      <c r="A496" s="37"/>
      <c r="B496" s="44"/>
      <c r="C496" s="45"/>
    </row>
    <row r="497" spans="1:3" ht="15.75" customHeight="1" x14ac:dyDescent="0.5">
      <c r="A497" s="37"/>
      <c r="B497" s="44"/>
      <c r="C497" s="45"/>
    </row>
    <row r="498" spans="1:3" ht="15.75" customHeight="1" x14ac:dyDescent="0.5">
      <c r="A498" s="37"/>
      <c r="B498" s="44"/>
      <c r="C498" s="45"/>
    </row>
    <row r="499" spans="1:3" ht="15.75" customHeight="1" x14ac:dyDescent="0.5">
      <c r="A499" s="37"/>
      <c r="B499" s="44"/>
      <c r="C499" s="45"/>
    </row>
    <row r="500" spans="1:3" ht="15.75" customHeight="1" x14ac:dyDescent="0.5">
      <c r="A500" s="37"/>
      <c r="B500" s="44"/>
      <c r="C500" s="45"/>
    </row>
    <row r="501" spans="1:3" ht="15.75" customHeight="1" x14ac:dyDescent="0.5">
      <c r="A501" s="37"/>
      <c r="B501" s="44"/>
      <c r="C501" s="45"/>
    </row>
    <row r="502" spans="1:3" ht="15.75" customHeight="1" x14ac:dyDescent="0.5">
      <c r="A502" s="37"/>
      <c r="B502" s="44"/>
      <c r="C502" s="45"/>
    </row>
    <row r="503" spans="1:3" ht="15.75" customHeight="1" x14ac:dyDescent="0.5">
      <c r="A503" s="37"/>
      <c r="B503" s="44"/>
      <c r="C503" s="45"/>
    </row>
    <row r="504" spans="1:3" ht="15.75" customHeight="1" x14ac:dyDescent="0.5">
      <c r="A504" s="37"/>
      <c r="B504" s="44"/>
      <c r="C504" s="45"/>
    </row>
    <row r="505" spans="1:3" ht="15.75" customHeight="1" x14ac:dyDescent="0.5">
      <c r="A505" s="37"/>
      <c r="B505" s="44"/>
      <c r="C505" s="45"/>
    </row>
    <row r="506" spans="1:3" ht="15.75" customHeight="1" x14ac:dyDescent="0.5">
      <c r="A506" s="37"/>
      <c r="B506" s="44"/>
      <c r="C506" s="45"/>
    </row>
    <row r="507" spans="1:3" ht="15.75" customHeight="1" x14ac:dyDescent="0.5">
      <c r="A507" s="37"/>
      <c r="B507" s="44"/>
      <c r="C507" s="45"/>
    </row>
    <row r="508" spans="1:3" ht="15.75" customHeight="1" x14ac:dyDescent="0.5">
      <c r="A508" s="37"/>
      <c r="B508" s="44"/>
      <c r="C508" s="45"/>
    </row>
    <row r="509" spans="1:3" ht="15.75" customHeight="1" x14ac:dyDescent="0.5">
      <c r="A509" s="37"/>
      <c r="B509" s="44"/>
      <c r="C509" s="45"/>
    </row>
    <row r="510" spans="1:3" ht="15.75" customHeight="1" x14ac:dyDescent="0.5">
      <c r="A510" s="37"/>
      <c r="B510" s="44"/>
      <c r="C510" s="45"/>
    </row>
    <row r="511" spans="1:3" ht="15.75" customHeight="1" x14ac:dyDescent="0.5">
      <c r="A511" s="37"/>
      <c r="B511" s="44"/>
      <c r="C511" s="45"/>
    </row>
    <row r="512" spans="1:3" ht="15.75" customHeight="1" x14ac:dyDescent="0.5">
      <c r="A512" s="37"/>
      <c r="B512" s="44"/>
      <c r="C512" s="45"/>
    </row>
    <row r="513" spans="1:3" ht="15.75" customHeight="1" x14ac:dyDescent="0.5">
      <c r="A513" s="37"/>
      <c r="B513" s="44"/>
      <c r="C513" s="45"/>
    </row>
    <row r="514" spans="1:3" ht="15.75" customHeight="1" x14ac:dyDescent="0.5">
      <c r="A514" s="37"/>
      <c r="B514" s="44"/>
      <c r="C514" s="45"/>
    </row>
    <row r="515" spans="1:3" ht="15.75" customHeight="1" x14ac:dyDescent="0.5">
      <c r="A515" s="37"/>
      <c r="B515" s="44"/>
      <c r="C515" s="45"/>
    </row>
    <row r="516" spans="1:3" ht="15.75" customHeight="1" x14ac:dyDescent="0.5">
      <c r="A516" s="37"/>
      <c r="B516" s="44"/>
      <c r="C516" s="45"/>
    </row>
    <row r="517" spans="1:3" ht="15.75" customHeight="1" x14ac:dyDescent="0.5">
      <c r="A517" s="37"/>
      <c r="B517" s="44"/>
      <c r="C517" s="45"/>
    </row>
    <row r="518" spans="1:3" ht="15.75" customHeight="1" x14ac:dyDescent="0.5">
      <c r="A518" s="37"/>
      <c r="B518" s="44"/>
      <c r="C518" s="45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SHARED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Veale</dc:creator>
  <cp:lastModifiedBy>Clinton Veale</cp:lastModifiedBy>
  <dcterms:created xsi:type="dcterms:W3CDTF">2026-01-11T09:22:52Z</dcterms:created>
  <dcterms:modified xsi:type="dcterms:W3CDTF">2026-01-17T17:00:38Z</dcterms:modified>
</cp:coreProperties>
</file>