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1 JAN ACCOUNTS\"/>
    </mc:Choice>
  </mc:AlternateContent>
  <xr:revisionPtr revIDLastSave="0" documentId="13_ncr:1_{F7EF9DC6-E290-4F82-AA1B-48530F59B7EA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RSDFuel (2)" sheetId="42" r:id="rId1"/>
    <sheet name="PARKS FEES" sheetId="41" r:id="rId2"/>
    <sheet name="LANDCO US$ CASH" sheetId="20" r:id="rId3"/>
    <sheet name="LANDCO MET CASH" sheetId="4" r:id="rId4"/>
    <sheet name="BEBE PC" sheetId="40" r:id="rId5"/>
    <sheet name="NEGU &amp; TACKLE" sheetId="8" r:id="rId6"/>
    <sheet name="Warren Cohen " sheetId="24" r:id="rId7"/>
    <sheet name="Alex &amp; Kevin" sheetId="19" r:id="rId8"/>
    <sheet name="Ablution" sheetId="38" r:id="rId9"/>
    <sheet name="Alex Room" sheetId="23" r:id="rId10"/>
    <sheet name="KrakenFuel" sheetId="27" r:id="rId11"/>
    <sheet name="RSDFuel" sheetId="39" r:id="rId12"/>
    <sheet name="Money received" sheetId="28" r:id="rId13"/>
    <sheet name="Warren Stead" sheetId="16" r:id="rId14"/>
    <sheet name="Brendon" sheetId="18" r:id="rId15"/>
    <sheet name="Robin Bouckaert" sheetId="13" r:id="rId16"/>
    <sheet name="Sheet1" sheetId="25" r:id="rId17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4" hidden="1">'BEBE PC'!$A$9:$O$34</definedName>
    <definedName name="_xlnm._FilterDatabase" localSheetId="3" hidden="1">'LANDCO MET CASH'!$A$14:$O$61</definedName>
    <definedName name="_xlnm._FilterDatabase" localSheetId="2" hidden="1">'LANDCO US$ CASH'!$A$16:$N$23</definedName>
    <definedName name="_xlnm.Print_Area" localSheetId="8">Ablution!$A$1:$F$61</definedName>
    <definedName name="_xlnm.Print_Area" localSheetId="7">'Alex &amp; Kevin'!$A$25:$H$39</definedName>
    <definedName name="_xlnm.Print_Area" localSheetId="9">'Alex Room'!$A$1:$L$33</definedName>
    <definedName name="_xlnm.Print_Area" localSheetId="4">'BEBE PC'!$A$6:$F$16</definedName>
    <definedName name="_xlnm.Print_Area" localSheetId="10">KrakenFuel!$A$1:$E$22</definedName>
    <definedName name="_xlnm.Print_Area" localSheetId="3">'LANDCO MET CASH'!$A$1:$F$43</definedName>
    <definedName name="_xlnm.Print_Area" localSheetId="12">'Money received'!$C$2:$D$47</definedName>
    <definedName name="_xlnm.Print_Area" localSheetId="5">'NEGU &amp; TACKLE'!$A$12:$H$16</definedName>
    <definedName name="_xlnm.Print_Area" localSheetId="1">'PARKS FEES'!#REF!</definedName>
    <definedName name="_xlnm.Print_Area" localSheetId="11">RSDFuel!$B$2:$E$41</definedName>
    <definedName name="_xlnm.Print_Area" localSheetId="0">'RSDFuel (2)'!$B$2:$E$41</definedName>
    <definedName name="_xlnm.Print_Area" localSheetId="6">'Warren Cohen 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9" l="1"/>
  <c r="E20" i="4"/>
  <c r="F24" i="4" l="1"/>
  <c r="F23" i="4" l="1"/>
  <c r="F19" i="8" l="1"/>
  <c r="F5" i="20"/>
  <c r="B9" i="4"/>
  <c r="B10" i="4"/>
  <c r="E20" i="20"/>
  <c r="F22" i="4"/>
  <c r="F5" i="4"/>
  <c r="E17" i="24" l="1"/>
  <c r="O5" i="16"/>
  <c r="I24" i="19"/>
  <c r="I25" i="19" s="1"/>
  <c r="C36" i="19" l="1"/>
  <c r="C35" i="19"/>
  <c r="C34" i="19"/>
  <c r="C33" i="19"/>
  <c r="H28" i="19" l="1"/>
  <c r="H32" i="19"/>
  <c r="H31" i="19"/>
  <c r="C31" i="19" l="1"/>
  <c r="C30" i="19"/>
  <c r="C29" i="19"/>
  <c r="C27" i="19"/>
  <c r="H27" i="19" l="1"/>
  <c r="H30" i="19"/>
  <c r="E20" i="27"/>
  <c r="C20" i="27"/>
  <c r="E19" i="8"/>
  <c r="F27" i="23"/>
  <c r="F20" i="27" l="1"/>
  <c r="A12" i="4" l="1"/>
  <c r="C3" i="40" l="1"/>
  <c r="F15" i="40" l="1"/>
  <c r="F11" i="40"/>
  <c r="D66" i="42" l="1"/>
  <c r="C66" i="42"/>
  <c r="E66" i="42" s="1"/>
  <c r="F9" i="42"/>
  <c r="C9" i="42"/>
  <c r="E6" i="42"/>
  <c r="E7" i="42" s="1"/>
  <c r="E8" i="42" s="1"/>
  <c r="E9" i="42" s="1"/>
  <c r="E10" i="42" s="1"/>
  <c r="E11" i="42" s="1"/>
  <c r="E12" i="42" s="1"/>
  <c r="B1" i="42"/>
  <c r="E2" i="42" l="1"/>
  <c r="D18" i="27" l="1"/>
  <c r="F17" i="8" l="1"/>
  <c r="E18" i="8" l="1"/>
  <c r="E17" i="8"/>
  <c r="H22" i="19" l="1"/>
  <c r="E16" i="24" l="1"/>
  <c r="E26" i="23"/>
  <c r="H17" i="8"/>
  <c r="H18" i="8" l="1"/>
  <c r="J20" i="8"/>
  <c r="G15" i="19"/>
  <c r="H12" i="19" l="1"/>
  <c r="G11" i="19"/>
  <c r="E10" i="24" l="1"/>
  <c r="E11" i="24" s="1"/>
  <c r="E12" i="24" s="1"/>
  <c r="E13" i="24" s="1"/>
  <c r="E14" i="24" s="1"/>
  <c r="E15" i="24" s="1"/>
  <c r="E74" i="4" l="1"/>
  <c r="C9" i="39"/>
  <c r="F74" i="4" l="1"/>
  <c r="G24" i="23"/>
  <c r="I22" i="41"/>
  <c r="I21" i="41"/>
  <c r="C6" i="41" l="1"/>
  <c r="I5" i="41"/>
  <c r="I6" i="41" s="1"/>
  <c r="I7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C5" i="41"/>
  <c r="F4" i="41"/>
  <c r="F5" i="41" s="1"/>
  <c r="F6" i="41" s="1"/>
  <c r="F7" i="41" s="1"/>
  <c r="F8" i="41" s="1"/>
  <c r="F9" i="41" s="1"/>
  <c r="F10" i="41" s="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1" i="41"/>
  <c r="I23" i="41" l="1"/>
  <c r="I24" i="41" s="1"/>
  <c r="I25" i="41" s="1"/>
  <c r="F23" i="23" l="1"/>
  <c r="H23" i="23" s="1"/>
  <c r="F32" i="23" l="1"/>
  <c r="G74" i="4"/>
  <c r="H74" i="4"/>
  <c r="I74" i="4"/>
  <c r="J74" i="4"/>
  <c r="K74" i="4"/>
  <c r="L74" i="4"/>
  <c r="M74" i="4"/>
  <c r="N74" i="4"/>
  <c r="B12" i="4" l="1"/>
  <c r="E47" i="40" l="1"/>
  <c r="C4" i="40" s="1"/>
  <c r="N47" i="40"/>
  <c r="M47" i="40"/>
  <c r="L47" i="40"/>
  <c r="K47" i="40"/>
  <c r="J47" i="40"/>
  <c r="I47" i="40"/>
  <c r="H47" i="40"/>
  <c r="G47" i="40"/>
  <c r="O46" i="40"/>
  <c r="O45" i="40"/>
  <c r="O44" i="40"/>
  <c r="O43" i="40"/>
  <c r="O42" i="40"/>
  <c r="O41" i="40"/>
  <c r="O40" i="40"/>
  <c r="F47" i="40" l="1"/>
  <c r="C5" i="40" s="1"/>
  <c r="C6" i="40" s="1"/>
  <c r="O47" i="40"/>
  <c r="D66" i="39"/>
  <c r="C66" i="39"/>
  <c r="F9" i="39"/>
  <c r="E6" i="39"/>
  <c r="E7" i="39" s="1"/>
  <c r="E8" i="39" s="1"/>
  <c r="E9" i="39" s="1"/>
  <c r="E10" i="39" s="1"/>
  <c r="E11" i="39" s="1"/>
  <c r="E12" i="39" s="1"/>
  <c r="E1" i="39"/>
  <c r="E43" i="38"/>
  <c r="E66" i="39" l="1"/>
  <c r="E2" i="39"/>
  <c r="I4" i="38"/>
  <c r="G46" i="38"/>
  <c r="D16" i="28"/>
  <c r="G44" i="38"/>
  <c r="G45" i="38"/>
  <c r="F59" i="38" l="1"/>
  <c r="I9" i="38" s="1"/>
  <c r="E59" i="38"/>
  <c r="F5" i="38" s="1"/>
  <c r="F8" i="38" s="1"/>
  <c r="J12" i="38"/>
  <c r="J59" i="38" s="1"/>
  <c r="K12" i="38"/>
  <c r="K59" i="38" s="1"/>
  <c r="G42" i="38"/>
  <c r="G41" i="38"/>
  <c r="G40" i="38"/>
  <c r="G39" i="38"/>
  <c r="G38" i="38"/>
  <c r="G37" i="38"/>
  <c r="F36" i="38"/>
  <c r="G36" i="38" s="1"/>
  <c r="H35" i="38"/>
  <c r="G33" i="38"/>
  <c r="G29" i="38"/>
  <c r="F28" i="38"/>
  <c r="M26" i="38"/>
  <c r="F25" i="38"/>
  <c r="N25" i="38" s="1"/>
  <c r="G24" i="38"/>
  <c r="G23" i="38"/>
  <c r="M22" i="38"/>
  <c r="M21" i="38"/>
  <c r="H20" i="38"/>
  <c r="H12" i="38" s="1"/>
  <c r="H59" i="38" s="1"/>
  <c r="M18" i="38"/>
  <c r="M17" i="38"/>
  <c r="F16" i="38"/>
  <c r="F15" i="38"/>
  <c r="G14" i="38"/>
  <c r="L12" i="38"/>
  <c r="L59" i="38" s="1"/>
  <c r="I12" i="38"/>
  <c r="I59" i="38" s="1"/>
  <c r="K7" i="38"/>
  <c r="I5" i="38"/>
  <c r="J1" i="38"/>
  <c r="G28" i="38" l="1"/>
  <c r="K4" i="38"/>
  <c r="K9" i="38" s="1"/>
  <c r="F9" i="38"/>
  <c r="I6" i="38"/>
  <c r="K6" i="38" s="1"/>
  <c r="K5" i="38"/>
  <c r="M12" i="38"/>
  <c r="M59" i="38" s="1"/>
  <c r="G15" i="38"/>
  <c r="G12" i="38" s="1"/>
  <c r="G59" i="38" s="1"/>
  <c r="N12" i="38"/>
  <c r="N59" i="38" s="1"/>
  <c r="O12" i="38"/>
  <c r="O59" i="38" s="1"/>
  <c r="F10" i="38" l="1"/>
  <c r="I8" i="38"/>
  <c r="J3" i="38" s="1"/>
  <c r="R8" i="28" l="1"/>
  <c r="R9" i="28"/>
  <c r="R10" i="28"/>
  <c r="R11" i="28"/>
  <c r="K8" i="28"/>
  <c r="L4" i="28"/>
  <c r="K14" i="28" l="1"/>
  <c r="K4" i="28" s="1"/>
  <c r="F14" i="28"/>
  <c r="F4" i="28" s="1"/>
  <c r="J4" i="28"/>
  <c r="R16" i="28"/>
  <c r="R14" i="28" l="1"/>
  <c r="I6" i="19" l="1"/>
  <c r="R12" i="28" l="1"/>
  <c r="R7" i="28"/>
  <c r="G4" i="28"/>
  <c r="M4" i="28"/>
  <c r="N4" i="28"/>
  <c r="O4" i="28"/>
  <c r="P4" i="28"/>
  <c r="E4" i="28"/>
  <c r="D13" i="28"/>
  <c r="H13" i="28" s="1"/>
  <c r="R13" i="28" s="1"/>
  <c r="H4" i="28" l="1"/>
  <c r="D9" i="28" l="1"/>
  <c r="D15" i="28" l="1"/>
  <c r="I11" i="28"/>
  <c r="I10" i="28"/>
  <c r="Q15" i="28" l="1"/>
  <c r="R15" i="28" s="1"/>
  <c r="I4" i="28"/>
  <c r="R4" i="28" l="1"/>
  <c r="Q4" i="28"/>
  <c r="C1" i="28" l="1"/>
  <c r="L20" i="23"/>
  <c r="L12" i="23" s="1"/>
  <c r="K19" i="23"/>
  <c r="C7" i="24" l="1"/>
  <c r="B2" i="27"/>
  <c r="D67" i="27"/>
  <c r="E7" i="27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C67" i="27"/>
  <c r="G7" i="19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E67" i="27" l="1"/>
  <c r="E3" i="27"/>
  <c r="C6" i="24"/>
  <c r="E6" i="24" s="1"/>
  <c r="K13" i="23" l="1"/>
  <c r="F9" i="23"/>
  <c r="F25" i="8"/>
  <c r="C25" i="8"/>
  <c r="I5" i="19" l="1"/>
  <c r="R11" i="20" l="1"/>
  <c r="R10" i="20"/>
  <c r="R9" i="20"/>
  <c r="R8" i="20"/>
  <c r="R7" i="20"/>
  <c r="R6" i="20"/>
  <c r="R5" i="20"/>
  <c r="B1" i="24" l="1"/>
  <c r="I12" i="23" l="1"/>
  <c r="E7" i="24" l="1"/>
  <c r="E8" i="24" s="1"/>
  <c r="E9" i="24" s="1"/>
  <c r="D68" i="24" l="1"/>
  <c r="C68" i="24"/>
  <c r="E2" i="24" l="1"/>
  <c r="E68" i="24"/>
  <c r="H12" i="23" l="1"/>
  <c r="K12" i="23" l="1"/>
  <c r="J12" i="23"/>
  <c r="E32" i="23" l="1"/>
  <c r="F5" i="23" s="1"/>
  <c r="F8" i="23" s="1"/>
  <c r="F5" i="19"/>
  <c r="F6" i="19" s="1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E51" i="19"/>
  <c r="F49" i="19" l="1"/>
  <c r="F50" i="19" s="1"/>
  <c r="F10" i="23"/>
  <c r="G12" i="23" l="1"/>
  <c r="G51" i="19" l="1"/>
  <c r="H51" i="19"/>
  <c r="D51" i="19" l="1"/>
  <c r="N44" i="20" l="1"/>
  <c r="M44" i="20"/>
  <c r="L44" i="20"/>
  <c r="K44" i="20"/>
  <c r="J44" i="20"/>
  <c r="I44" i="20"/>
  <c r="H44" i="20"/>
  <c r="G44" i="20"/>
  <c r="N43" i="20"/>
  <c r="M43" i="20"/>
  <c r="L43" i="20"/>
  <c r="K43" i="20"/>
  <c r="J43" i="20"/>
  <c r="I43" i="20"/>
  <c r="H43" i="20"/>
  <c r="G43" i="20"/>
  <c r="N42" i="20"/>
  <c r="M42" i="20"/>
  <c r="L42" i="20"/>
  <c r="K42" i="20"/>
  <c r="J42" i="20"/>
  <c r="I42" i="20"/>
  <c r="H42" i="20"/>
  <c r="G42" i="20"/>
  <c r="N41" i="20"/>
  <c r="M41" i="20"/>
  <c r="L41" i="20"/>
  <c r="K41" i="20"/>
  <c r="J41" i="20"/>
  <c r="I41" i="20"/>
  <c r="H41" i="20"/>
  <c r="G41" i="20"/>
  <c r="N40" i="20"/>
  <c r="M40" i="20"/>
  <c r="L40" i="20"/>
  <c r="K40" i="20"/>
  <c r="J40" i="20"/>
  <c r="I40" i="20"/>
  <c r="H40" i="20"/>
  <c r="G40" i="20"/>
  <c r="N39" i="20"/>
  <c r="M39" i="20"/>
  <c r="L39" i="20"/>
  <c r="K39" i="20"/>
  <c r="J39" i="20"/>
  <c r="I39" i="20"/>
  <c r="H39" i="20"/>
  <c r="G39" i="20"/>
  <c r="N38" i="20"/>
  <c r="M38" i="20"/>
  <c r="L38" i="20"/>
  <c r="K38" i="20"/>
  <c r="J38" i="20"/>
  <c r="I38" i="20"/>
  <c r="H38" i="20"/>
  <c r="G38" i="20"/>
  <c r="N37" i="20"/>
  <c r="M37" i="20"/>
  <c r="L37" i="20"/>
  <c r="K37" i="20"/>
  <c r="J37" i="20"/>
  <c r="I37" i="20"/>
  <c r="H37" i="20"/>
  <c r="G37" i="20"/>
  <c r="N36" i="20"/>
  <c r="M36" i="20"/>
  <c r="L36" i="20"/>
  <c r="K36" i="20"/>
  <c r="J36" i="20"/>
  <c r="I36" i="20"/>
  <c r="H36" i="20"/>
  <c r="G36" i="20"/>
  <c r="N35" i="20"/>
  <c r="M35" i="20"/>
  <c r="L35" i="20"/>
  <c r="K35" i="20"/>
  <c r="J35" i="20"/>
  <c r="I35" i="20"/>
  <c r="H35" i="20"/>
  <c r="G35" i="20"/>
  <c r="N34" i="20"/>
  <c r="M34" i="20"/>
  <c r="L34" i="20"/>
  <c r="K34" i="20"/>
  <c r="J34" i="20"/>
  <c r="I34" i="20"/>
  <c r="H34" i="20"/>
  <c r="G34" i="20"/>
  <c r="N33" i="20"/>
  <c r="M33" i="20"/>
  <c r="L33" i="20"/>
  <c r="K33" i="20"/>
  <c r="J33" i="20"/>
  <c r="I33" i="20"/>
  <c r="H33" i="20"/>
  <c r="G33" i="20"/>
  <c r="N32" i="20"/>
  <c r="M32" i="20"/>
  <c r="L32" i="20"/>
  <c r="K32" i="20"/>
  <c r="J32" i="20"/>
  <c r="I32" i="20"/>
  <c r="H32" i="20"/>
  <c r="G32" i="20"/>
  <c r="N31" i="20"/>
  <c r="M31" i="20"/>
  <c r="L31" i="20"/>
  <c r="K31" i="20"/>
  <c r="J31" i="20"/>
  <c r="I31" i="20"/>
  <c r="H31" i="20"/>
  <c r="G31" i="20"/>
  <c r="N30" i="20"/>
  <c r="M30" i="20"/>
  <c r="L30" i="20"/>
  <c r="K30" i="20"/>
  <c r="J30" i="20"/>
  <c r="I30" i="20"/>
  <c r="H30" i="20"/>
  <c r="G30" i="20"/>
  <c r="N29" i="20"/>
  <c r="M29" i="20"/>
  <c r="L29" i="20"/>
  <c r="K29" i="20"/>
  <c r="J29" i="20"/>
  <c r="I29" i="20"/>
  <c r="H29" i="20"/>
  <c r="G29" i="20"/>
  <c r="N28" i="20"/>
  <c r="N46" i="20" s="1"/>
  <c r="N8" i="20" s="1"/>
  <c r="M28" i="20"/>
  <c r="M46" i="20" s="1"/>
  <c r="N6" i="20" s="1"/>
  <c r="N7" i="20" s="1"/>
  <c r="L28" i="20"/>
  <c r="L46" i="20" s="1"/>
  <c r="L8" i="20" s="1"/>
  <c r="K28" i="20"/>
  <c r="J28" i="20"/>
  <c r="I28" i="20"/>
  <c r="H28" i="20"/>
  <c r="H46" i="20" s="1"/>
  <c r="G28" i="20"/>
  <c r="F46" i="20"/>
  <c r="F8" i="20" s="1"/>
  <c r="E46" i="20"/>
  <c r="F6" i="20" s="1"/>
  <c r="F7" i="20" s="1"/>
  <c r="N9" i="20" l="1"/>
  <c r="G46" i="20"/>
  <c r="H6" i="20" s="1"/>
  <c r="H7" i="20" s="1"/>
  <c r="K46" i="20"/>
  <c r="L6" i="20" s="1"/>
  <c r="L7" i="20" s="1"/>
  <c r="L9" i="20" s="1"/>
  <c r="I46" i="20"/>
  <c r="J6" i="20" s="1"/>
  <c r="J7" i="20" s="1"/>
  <c r="J9" i="20" s="1"/>
  <c r="J46" i="20"/>
  <c r="J8" i="20" s="1"/>
  <c r="F9" i="20"/>
  <c r="E48" i="20"/>
  <c r="E49" i="20" s="1"/>
  <c r="H8" i="20"/>
  <c r="F48" i="20" l="1"/>
  <c r="F49" i="20" s="1"/>
  <c r="D12" i="20"/>
  <c r="H9" i="20"/>
  <c r="D25" i="8" l="1"/>
  <c r="I51" i="19"/>
  <c r="I2" i="19" s="1"/>
  <c r="J6" i="13"/>
  <c r="J11" i="13"/>
  <c r="J10" i="13"/>
  <c r="J9" i="13"/>
  <c r="J8" i="13"/>
  <c r="J7" i="13"/>
  <c r="L17" i="13"/>
  <c r="J4" i="13" l="1"/>
  <c r="E68" i="18" l="1"/>
  <c r="E69" i="18" s="1"/>
  <c r="N67" i="18"/>
  <c r="J67" i="18"/>
  <c r="K67" i="18"/>
  <c r="E24" i="18"/>
  <c r="F23" i="18"/>
  <c r="F21" i="18"/>
  <c r="F22" i="18" s="1"/>
  <c r="O22" i="18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M67" i="18"/>
  <c r="O18" i="18"/>
  <c r="O19" i="18" s="1"/>
  <c r="O20" i="18" s="1"/>
  <c r="L18" i="18"/>
  <c r="F18" i="18"/>
  <c r="O10" i="18"/>
  <c r="J10" i="18"/>
  <c r="O9" i="18"/>
  <c r="J9" i="18"/>
  <c r="O8" i="18"/>
  <c r="J8" i="18"/>
  <c r="O7" i="18"/>
  <c r="J7" i="18"/>
  <c r="O6" i="18"/>
  <c r="J6" i="18"/>
  <c r="O5" i="18"/>
  <c r="J5" i="18"/>
  <c r="F1" i="18"/>
  <c r="M56" i="16"/>
  <c r="E57" i="16"/>
  <c r="E58" i="16" s="1"/>
  <c r="J56" i="16"/>
  <c r="K56" i="16"/>
  <c r="N56" i="16"/>
  <c r="F1" i="16"/>
  <c r="L56" i="16" l="1"/>
  <c r="F24" i="18"/>
  <c r="F25" i="18" s="1"/>
  <c r="F26" i="18" s="1"/>
  <c r="F27" i="18" s="1"/>
  <c r="F28" i="18" s="1"/>
  <c r="F29" i="18" s="1"/>
  <c r="F30" i="18" s="1"/>
  <c r="F31" i="18" s="1"/>
  <c r="F32" i="18" s="1"/>
  <c r="O56" i="16"/>
  <c r="O2" i="16" s="1"/>
  <c r="J3" i="18"/>
  <c r="J2" i="18" s="1"/>
  <c r="O3" i="18"/>
  <c r="O67" i="18"/>
  <c r="O1" i="18" s="1"/>
  <c r="L67" i="18"/>
  <c r="L1" i="18" s="1"/>
  <c r="J2" i="16" l="1"/>
  <c r="O2" i="18"/>
  <c r="F8" i="4" l="1"/>
  <c r="H10" i="8" l="1"/>
  <c r="C10" i="8"/>
  <c r="H9" i="8"/>
  <c r="C9" i="8"/>
  <c r="H8" i="8"/>
  <c r="C8" i="8"/>
  <c r="H7" i="8"/>
  <c r="C7" i="8"/>
  <c r="H6" i="8"/>
  <c r="C6" i="8"/>
  <c r="H5" i="8"/>
  <c r="C5" i="8"/>
  <c r="H4" i="8"/>
  <c r="C4" i="8"/>
  <c r="H3" i="8"/>
  <c r="C3" i="8"/>
  <c r="C2" i="8" l="1"/>
  <c r="H2" i="8"/>
  <c r="E50" i="13" l="1"/>
  <c r="E51" i="13" s="1"/>
  <c r="E27" i="13"/>
  <c r="D23" i="13"/>
  <c r="F21" i="13"/>
  <c r="F22" i="13" s="1"/>
  <c r="F23" i="13" s="1"/>
  <c r="F24" i="13" s="1"/>
  <c r="F25" i="13" s="1"/>
  <c r="F26" i="13" s="1"/>
  <c r="F18" i="13"/>
  <c r="F20" i="13" s="1"/>
  <c r="L18" i="13"/>
  <c r="F17" i="13"/>
  <c r="L19" i="13" l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F27" i="13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7" i="13" s="1"/>
  <c r="F13" i="13" s="1"/>
  <c r="L13" i="13" l="1"/>
  <c r="J3" i="13"/>
  <c r="J5" i="13" s="1"/>
  <c r="E25" i="8" l="1"/>
  <c r="F6" i="4"/>
  <c r="G25" i="8" l="1"/>
  <c r="H25" i="8" s="1"/>
  <c r="N8" i="4"/>
  <c r="J8" i="4"/>
  <c r="L6" i="4"/>
  <c r="L7" i="4" s="1"/>
  <c r="H6" i="4"/>
  <c r="H7" i="4" s="1"/>
  <c r="L8" i="4"/>
  <c r="N6" i="4"/>
  <c r="N7" i="4" s="1"/>
  <c r="J6" i="4"/>
  <c r="J7" i="4" s="1"/>
  <c r="O67" i="4"/>
  <c r="O68" i="4"/>
  <c r="O69" i="4"/>
  <c r="O70" i="4"/>
  <c r="O71" i="4"/>
  <c r="O72" i="4"/>
  <c r="O73" i="4"/>
  <c r="N9" i="4" l="1"/>
  <c r="J9" i="4"/>
  <c r="L9" i="4"/>
  <c r="H8" i="4"/>
  <c r="O74" i="4"/>
  <c r="H14" i="8" l="1"/>
  <c r="E14" i="8"/>
  <c r="H9" i="4"/>
  <c r="F51" i="19" l="1"/>
  <c r="D2" i="19" s="1"/>
  <c r="F7" i="4" l="1"/>
  <c r="F9" i="4" s="1"/>
  <c r="I26" i="19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B5" authorId="0" shapeId="0" xr:uid="{2A5535D7-3968-49BD-AF66-67D655087154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  <comment ref="Q5" authorId="0" shapeId="0" xr:uid="{E50BA91B-923C-4F16-8476-85519456D08B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H9" authorId="0" shapeId="0" xr:uid="{82B13232-66E4-4E41-BE7E-9D8AE7DA8270}">
      <text>
        <r>
          <rPr>
            <b/>
            <sz val="9"/>
            <color indexed="81"/>
            <rFont val="Tahoma"/>
            <family val="2"/>
          </rPr>
          <t>Alex W/U</t>
        </r>
        <r>
          <rPr>
            <sz val="9"/>
            <color indexed="81"/>
            <rFont val="Tahoma"/>
            <family val="2"/>
          </rPr>
          <t xml:space="preserve">
Also please may you arrange with Andrissa to get the upholstery work paid directly to Elana Erasmus. Total 42 420mt.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I4" authorId="0" shapeId="0" xr:uid="{04C624B4-1DD4-4478-B000-4E08D25ACEDB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60000 for mens toilet
16000 womens and walkway 
4800 casuals roof</t>
        </r>
      </text>
    </comment>
    <comment ref="I5" authorId="0" shapeId="0" xr:uid="{97756A59-E4BC-4F84-9F69-E01BBDB155A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Quote 15000 
additiona  4000
womens toilet 6000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F13" authorId="0" shapeId="0" xr:uid="{EC1F761A-DD35-4840-A0E8-F1819277A577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CKC4I0S7BIW Confirmed. 6,100.00MT sent and the fee was 0.00MT to 842595754 - JULIO on 12/11/25 </t>
        </r>
      </text>
    </comment>
    <comment ref="F14" authorId="0" shapeId="0" xr:uid="{636FD158-B8F5-40F7-8E67-A773DF6E1FFD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CKE5I1FUR2H Confirmed. 5,500.00MT sent and the fee was 0.00MT to 842595754 - JULIO on 14/11/25 at e is 20,908.57MT</t>
        </r>
      </text>
    </comment>
    <comment ref="F15" authorId="0" shapeId="0" xr:uid="{C2E6FB0E-4F75-4BF5-B132-12727FAAF0C8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CKE6I1M4D80 Confirmed. 5,500.00MT sent and the fee was 0.00MT to 842595754 - JULIO on 14/11/25 at 2:48 PM.</t>
        </r>
      </text>
    </comment>
  </commentList>
</comments>
</file>

<file path=xl/sharedStrings.xml><?xml version="1.0" encoding="utf-8"?>
<sst xmlns="http://schemas.openxmlformats.org/spreadsheetml/2006/main" count="708" uniqueCount="297">
  <si>
    <t>MZN</t>
  </si>
  <si>
    <t>DATE</t>
  </si>
  <si>
    <t>SUPPLIER</t>
  </si>
  <si>
    <t>DETAILS</t>
  </si>
  <si>
    <t>BAL</t>
  </si>
  <si>
    <t>H1</t>
  </si>
  <si>
    <t>H2</t>
  </si>
  <si>
    <t>H3</t>
  </si>
  <si>
    <t>H4</t>
  </si>
  <si>
    <t>BALANCE CHECK TRACY</t>
  </si>
  <si>
    <t>SUMMARY OF INCOME AND EXPENSES</t>
  </si>
  <si>
    <t>Mtn</t>
  </si>
  <si>
    <t>MTn</t>
  </si>
  <si>
    <t>Cash in tin</t>
  </si>
  <si>
    <t>SUMMARY</t>
  </si>
  <si>
    <t>Balance b/f</t>
  </si>
  <si>
    <t>Receipts</t>
  </si>
  <si>
    <t>Total</t>
  </si>
  <si>
    <t>Payments</t>
  </si>
  <si>
    <t>Balance c/f</t>
  </si>
  <si>
    <t>PAJERO  MMJ2360</t>
  </si>
  <si>
    <t>NEGU</t>
  </si>
  <si>
    <t>ROCK STEADY</t>
  </si>
  <si>
    <t>UNDERCOVER</t>
  </si>
  <si>
    <t>ALL RCTS &amp; PAYM</t>
  </si>
  <si>
    <t>Taffy</t>
  </si>
  <si>
    <t>Warren Stead</t>
  </si>
  <si>
    <t>Kevin/Alex</t>
  </si>
  <si>
    <t xml:space="preserve"> (Cohen/Earle/Brundle)</t>
  </si>
  <si>
    <t>CRUISE MMR0998</t>
  </si>
  <si>
    <t>DESCRIPTION OF GOODS</t>
  </si>
  <si>
    <t>House</t>
  </si>
  <si>
    <t>RECEIPTS</t>
  </si>
  <si>
    <t>PAYMENTS</t>
  </si>
  <si>
    <t>RCTS</t>
  </si>
  <si>
    <t>KRAKEN</t>
  </si>
  <si>
    <t>CURRENT BALANCE US$</t>
  </si>
  <si>
    <t>CURRENT BALANCE MZN</t>
  </si>
  <si>
    <t>US$</t>
  </si>
  <si>
    <t>DR/OUT</t>
  </si>
  <si>
    <t>CR/IN</t>
  </si>
  <si>
    <t>DR</t>
  </si>
  <si>
    <t>CR</t>
  </si>
  <si>
    <t>ALEX</t>
  </si>
  <si>
    <t>NEGU - US$</t>
  </si>
  <si>
    <t>KEVIN STEAD - MZN</t>
  </si>
  <si>
    <t>Kevin &amp; Alex Personal Cash</t>
  </si>
  <si>
    <t>OPENING BALANCE</t>
  </si>
  <si>
    <t>CASH IN TIN</t>
  </si>
  <si>
    <t>CHANGE US$ FOR MET</t>
  </si>
  <si>
    <t>CASH IN HAND</t>
  </si>
  <si>
    <t>CASH IN HAND 1,365 met</t>
  </si>
  <si>
    <t>CURRENT BALANCE</t>
  </si>
  <si>
    <t>Warren Cohen Personal envelope</t>
  </si>
  <si>
    <t>SEAFOOD ADELINO</t>
  </si>
  <si>
    <t>460LT BOAT FUEL</t>
  </si>
  <si>
    <t>PARKS FEES</t>
  </si>
  <si>
    <t>SKIPPERS</t>
  </si>
  <si>
    <t>GROCERIES</t>
  </si>
  <si>
    <t>CURRENT BALANCE MET</t>
  </si>
  <si>
    <t>Robin H1</t>
  </si>
  <si>
    <t>CASH RECEIVED</t>
  </si>
  <si>
    <t>DIFF</t>
  </si>
  <si>
    <t>METICAIS</t>
  </si>
  <si>
    <t>Warren Stead Personal Cash</t>
  </si>
  <si>
    <t>BEBE LULA</t>
  </si>
  <si>
    <t>PAID LULA</t>
  </si>
  <si>
    <t>CASH ANGELA $3000</t>
  </si>
  <si>
    <t>PAID BILL PETROL, TIPPS AND NEGU</t>
  </si>
  <si>
    <t>TRANSFER TO TAFY'S ACCOUNT (2400 FOR APRIL RENT 4550 LEFT FOR DEC)</t>
  </si>
  <si>
    <t xml:space="preserve"> </t>
  </si>
  <si>
    <t>Casuals</t>
  </si>
  <si>
    <t>Payment</t>
  </si>
  <si>
    <t>Labour</t>
  </si>
  <si>
    <t>Sand</t>
  </si>
  <si>
    <t>Stone</t>
  </si>
  <si>
    <t>Cement</t>
  </si>
  <si>
    <t>Transport</t>
  </si>
  <si>
    <t>Equipment</t>
  </si>
  <si>
    <t>Bricks</t>
  </si>
  <si>
    <t>Steel</t>
  </si>
  <si>
    <t>Bones</t>
  </si>
  <si>
    <t>Eusebio</t>
  </si>
  <si>
    <t>Total for building</t>
  </si>
  <si>
    <t>Cash payments</t>
  </si>
  <si>
    <t>Spend</t>
  </si>
  <si>
    <t>Over</t>
  </si>
  <si>
    <t>Bank payments</t>
  </si>
  <si>
    <t>BEBE</t>
  </si>
  <si>
    <t>LANDCO PETTY CASH</t>
  </si>
  <si>
    <t>FUEL</t>
  </si>
  <si>
    <t>Painter</t>
  </si>
  <si>
    <t>JULIO</t>
  </si>
  <si>
    <t>TRANSPORT CEMENT, SAND AND BRICKS</t>
  </si>
  <si>
    <t>SAND AND STONE</t>
  </si>
  <si>
    <t>Received from Monique trf to BCI</t>
  </si>
  <si>
    <t>BALANCE</t>
  </si>
  <si>
    <t>Transfer Monique Andrisa MPESA and Emola</t>
  </si>
  <si>
    <t>Transfer Alex Tackel room</t>
  </si>
  <si>
    <t>ALEX TO MONIQUE</t>
  </si>
  <si>
    <t>RECEIVED</t>
  </si>
  <si>
    <t>CHEQUE Landco</t>
  </si>
  <si>
    <t>KEVIN PAID FUEL</t>
  </si>
  <si>
    <t>ALEX PAID FUEL</t>
  </si>
  <si>
    <t>FUEL 800 LITERS @ 88,96</t>
  </si>
  <si>
    <t>DOOR AND FRAME</t>
  </si>
  <si>
    <t>Received from Crewbase trf to BCI</t>
  </si>
  <si>
    <t>TRANSPORT BRICKS</t>
  </si>
  <si>
    <t>FOOD BUILDERS ONE MONTH</t>
  </si>
  <si>
    <t>Allowance</t>
  </si>
  <si>
    <t>BCI</t>
  </si>
  <si>
    <t>Emola</t>
  </si>
  <si>
    <t>Mpesa</t>
  </si>
  <si>
    <t>Andrisa</t>
  </si>
  <si>
    <t>Chris</t>
  </si>
  <si>
    <t>COHEN</t>
  </si>
  <si>
    <t>TAFY</t>
  </si>
  <si>
    <t>RECEIVED ALEX FOR TAFY</t>
  </si>
  <si>
    <t>VENUS</t>
  </si>
  <si>
    <t>ALEX KRAKEN R8820,50</t>
  </si>
  <si>
    <t>Received from Monique R26500 @3,9</t>
  </si>
  <si>
    <t>Received from Monique R57000@3,9</t>
  </si>
  <si>
    <t>ALEX ROOM</t>
  </si>
  <si>
    <t xml:space="preserve">WARREN </t>
  </si>
  <si>
    <t>RECEIVED $1375 FOR BURGULARY</t>
  </si>
  <si>
    <t>LANDCO BANK</t>
  </si>
  <si>
    <t>TOTAL</t>
  </si>
  <si>
    <t xml:space="preserve">Burglary </t>
  </si>
  <si>
    <t>STARLINK</t>
  </si>
  <si>
    <t>BRENDON</t>
  </si>
  <si>
    <t>RECEIVED $1050 FOR BILL</t>
  </si>
  <si>
    <t>PARKS &amp; SKIPPERS</t>
  </si>
  <si>
    <t>KEVIN</t>
  </si>
  <si>
    <t>RECEIVED BILL KEVIN</t>
  </si>
  <si>
    <t>SHORT 1500</t>
  </si>
  <si>
    <t>Quotes</t>
  </si>
  <si>
    <t>Paid</t>
  </si>
  <si>
    <t>Plumbing</t>
  </si>
  <si>
    <t>PC LC</t>
  </si>
  <si>
    <t>Dep</t>
  </si>
  <si>
    <t>Transfer from LC</t>
  </si>
  <si>
    <t>Cash</t>
  </si>
  <si>
    <t>Agostinho fondation</t>
  </si>
  <si>
    <t>2nd day fondation 4 casuals</t>
  </si>
  <si>
    <t>Paulo</t>
  </si>
  <si>
    <t>3/4 stone plus white sand  Emola 871010806</t>
  </si>
  <si>
    <t>Transport cement and steel from Construa to Landco</t>
  </si>
  <si>
    <t>Julio</t>
  </si>
  <si>
    <t>Transport 420 bricks from Vilcon</t>
  </si>
  <si>
    <t>One sand</t>
  </si>
  <si>
    <t>Transport cement an pipe from VEW</t>
  </si>
  <si>
    <t>Aneceto</t>
  </si>
  <si>
    <t>Transport 200 Blocks from Vilcon</t>
  </si>
  <si>
    <t>Bonze</t>
  </si>
  <si>
    <t>Labor 855732984 1st week</t>
  </si>
  <si>
    <t>1st Drawing plumbing +258 86 589 7307</t>
  </si>
  <si>
    <t>Sambiries and coconut wood for shatering</t>
  </si>
  <si>
    <t>Transport 20 cement and pickup sambiries</t>
  </si>
  <si>
    <t>MPesa</t>
  </si>
  <si>
    <t>2 * 3/4 stone plus 2 *white sand  842595754</t>
  </si>
  <si>
    <t>Casuals for concrete mix 7*600</t>
  </si>
  <si>
    <t>Labour up to roof</t>
  </si>
  <si>
    <t>LC</t>
  </si>
  <si>
    <t>TRF</t>
  </si>
  <si>
    <t>TRANSFER FROM LC</t>
  </si>
  <si>
    <t>1 *white sand  842595754</t>
  </si>
  <si>
    <t>Labor 855732984 plaster Rita Huo</t>
  </si>
  <si>
    <t>CASH</t>
  </si>
  <si>
    <t>DRAWING</t>
  </si>
  <si>
    <t>RIVERSAND AND TRANSPORT FLOOR</t>
  </si>
  <si>
    <t xml:space="preserve">ROOF OF WOMENS TOILET, CLEANING AND CUTTING BRANCHES </t>
  </si>
  <si>
    <t>Labor roof womens toilet</t>
  </si>
  <si>
    <t>Abilio Painter</t>
  </si>
  <si>
    <t>EMola</t>
  </si>
  <si>
    <t>Paint 1st payment</t>
  </si>
  <si>
    <t>Euzebio</t>
  </si>
  <si>
    <t>2nd Payment Plumber</t>
  </si>
  <si>
    <t>Womens toilet</t>
  </si>
  <si>
    <t>Electricient Amblution Cristiano Kuda</t>
  </si>
  <si>
    <t>Jose Plans Ablution</t>
  </si>
  <si>
    <t>Jose</t>
  </si>
  <si>
    <t>Kuda</t>
  </si>
  <si>
    <t>Transfer</t>
  </si>
  <si>
    <t>FOR WARREN RSD $530</t>
  </si>
  <si>
    <t>Womens toilet last</t>
  </si>
  <si>
    <t>DEPOSIT WARREN BILL</t>
  </si>
  <si>
    <t xml:space="preserve">DEPOSIT BRENDON FUEL BILL </t>
  </si>
  <si>
    <t xml:space="preserve">CELL ALLOWANCE </t>
  </si>
  <si>
    <t>RUBBISH</t>
  </si>
  <si>
    <t>RSD</t>
  </si>
  <si>
    <t>ANDRISA</t>
  </si>
  <si>
    <t>BALANCE AFTER BURGULARY 140925,90</t>
  </si>
  <si>
    <t>REPLACE BY: WARREN STEAD</t>
  </si>
  <si>
    <t>PETTY CASH</t>
  </si>
  <si>
    <t>Last payment for male toilet</t>
  </si>
  <si>
    <t>TRANSPORT BRICKS AND WOOD AND DISC</t>
  </si>
  <si>
    <t>RIVER AND WHITE SAND</t>
  </si>
  <si>
    <t>ALEX TO MONIQUE R26500 = 103350</t>
  </si>
  <si>
    <t xml:space="preserve">PARKS FEES </t>
  </si>
  <si>
    <t>DOLLARS</t>
  </si>
  <si>
    <t>$ SWAPPED TO PAY PARKS</t>
  </si>
  <si>
    <t>BUDGIE AND FRIENDS</t>
  </si>
  <si>
    <t>Brendon</t>
  </si>
  <si>
    <t>Rob</t>
  </si>
  <si>
    <t>Spar Cash</t>
  </si>
  <si>
    <t>Adelino Sea food (Monis) BCI</t>
  </si>
  <si>
    <t>CaterKing Veggies</t>
  </si>
  <si>
    <t>BONZE</t>
  </si>
  <si>
    <t>Labor 855732984 1st PAYMENT</t>
  </si>
  <si>
    <t>IYANA WIRE</t>
  </si>
  <si>
    <t xml:space="preserve">ELECTRICIEN </t>
  </si>
  <si>
    <t>PAINTER</t>
  </si>
  <si>
    <t>KUDA</t>
  </si>
  <si>
    <t>ALEX TO MONIQUE R6000 = 23400</t>
  </si>
  <si>
    <t>Monique</t>
  </si>
  <si>
    <t>DEP</t>
  </si>
  <si>
    <t>Bread</t>
  </si>
  <si>
    <t>Adelino Sea food (Monis) Cash and Mpesa</t>
  </si>
  <si>
    <t>Handling cash</t>
  </si>
  <si>
    <t>Cashews 4 Cash</t>
  </si>
  <si>
    <t>RECEIVED FROM WARREN COHEN RENT UNDERCOVER</t>
  </si>
  <si>
    <t>TRANSFER $900 TO METS @ 69</t>
  </si>
  <si>
    <t>BUY 2 CELL PHONES</t>
  </si>
  <si>
    <t>Xmas cake</t>
  </si>
  <si>
    <t>FUEL 1000 LITERS @ 88,96</t>
  </si>
  <si>
    <t>BUILDER BONZE ANDRISA BIM 25000 x 2</t>
  </si>
  <si>
    <t>RECEIVED ALEX</t>
  </si>
  <si>
    <t>TRANSFER $500 TO METS @ 69</t>
  </si>
  <si>
    <t>RECEIVED SHAREHOLDERS REPAY BURGULARY</t>
  </si>
  <si>
    <t>Spar 1st night</t>
  </si>
  <si>
    <t>Seafood Adelino</t>
  </si>
  <si>
    <t>Parks 15/12 doc 2362</t>
  </si>
  <si>
    <t xml:space="preserve">CaterKing Gammon </t>
  </si>
  <si>
    <t>REVERSE PAYMENT TO MONIQUE FROM LANDCO TO ENVELOPE ALEX</t>
  </si>
  <si>
    <t>PAY H3 PART OF BURGULARY</t>
  </si>
  <si>
    <t>RECEIVED FROM H1 FOR RENT UNDERCOVER</t>
  </si>
  <si>
    <t>PAY 2 SIM CARDS AND DATA AND FEE GP AND MACARATA</t>
  </si>
  <si>
    <t>TRANSFER TO EMOLA AND MPESA</t>
  </si>
  <si>
    <t>Envelope or Warren account</t>
  </si>
  <si>
    <t>RECEIVED SHARRON</t>
  </si>
  <si>
    <t xml:space="preserve">LOST IN BURGULARY PART OF PETTY CASH LOAN </t>
  </si>
  <si>
    <t>TRANSFER TO LC PETTY CASH</t>
  </si>
  <si>
    <t xml:space="preserve"> WARREN PAID FUEL $1150</t>
  </si>
  <si>
    <t>DEPOSIT BRENDON FUEL BILL $960</t>
  </si>
  <si>
    <t>KRAKEN FUEL</t>
  </si>
  <si>
    <t>KRAKEN PEDRO</t>
  </si>
  <si>
    <t>ISOLATOR</t>
  </si>
  <si>
    <t>LV</t>
  </si>
  <si>
    <t>SKIPPERS FOOD AND TRNSPORT UNDERCOVER</t>
  </si>
  <si>
    <t>CHARCOLE</t>
  </si>
  <si>
    <t>HANGERS AMBLUTION</t>
  </si>
  <si>
    <t>FISH LISENCE</t>
  </si>
  <si>
    <t>FISH BAITE</t>
  </si>
  <si>
    <t>RADX TRANSPORT</t>
  </si>
  <si>
    <t>H&amp;L TRANSPORT CLEANING KRAKEN RDS</t>
  </si>
  <si>
    <t xml:space="preserve">EMILY </t>
  </si>
  <si>
    <t>MATIAS</t>
  </si>
  <si>
    <t>DEAN PAYMENT</t>
  </si>
  <si>
    <t>RECEVED ROBIN FOR HOUSE1 $3000</t>
  </si>
  <si>
    <t>ABILIO</t>
  </si>
  <si>
    <t>WELDER</t>
  </si>
  <si>
    <t>TRANSPORT STEEL</t>
  </si>
  <si>
    <t>Nasil</t>
  </si>
  <si>
    <t>GP</t>
  </si>
  <si>
    <t>RSD FUEL ACCOUNT</t>
  </si>
  <si>
    <t>ROBIN USE OF NEGU IN DEC</t>
  </si>
  <si>
    <t>ROBIN FUEL 395 LITERS @ 88.96</t>
  </si>
  <si>
    <t>DERITO AIRPORT</t>
  </si>
  <si>
    <t>MARCO BEBE GIMO</t>
  </si>
  <si>
    <t>ROCINA</t>
  </si>
  <si>
    <t>ARMINDO QUETANE HOU Guard</t>
  </si>
  <si>
    <t>ANSELMO LUCAS HUO Guard</t>
  </si>
  <si>
    <t>CISTORA JOAO TANGUNE Laundery</t>
  </si>
  <si>
    <t>PARK FEE</t>
  </si>
  <si>
    <t>PEDRO 13 DAYS BOAT</t>
  </si>
  <si>
    <t>ALEX TIP PLUS SALARY 7500</t>
  </si>
  <si>
    <t>ALMEDIA 10 Days boat</t>
  </si>
  <si>
    <t xml:space="preserve">Aminosse 1 day boat plus gen </t>
  </si>
  <si>
    <t>TIGER Garden 1 day boat plus gen</t>
  </si>
  <si>
    <t>PENGA Guard</t>
  </si>
  <si>
    <t>WARREN PAID AT TOTAL</t>
  </si>
  <si>
    <t>EUZEBIO</t>
  </si>
  <si>
    <t>MONEY FOR OPERATION</t>
  </si>
  <si>
    <t>STARLINK Mpesa Payment Andrisa</t>
  </si>
  <si>
    <t>Over from Overtime paid to workers</t>
  </si>
  <si>
    <t>Pay GB Welder door and windows burglar bars</t>
  </si>
  <si>
    <t>Pay Pedro for 2 days on boat during Dec holiday</t>
  </si>
  <si>
    <t>FOOD FOR WORKERS</t>
  </si>
  <si>
    <t>CASUAL GUARD FOR JANUARY</t>
  </si>
  <si>
    <t>RAYMONDO FOR ACCOMMODATION 9 DAY @1500</t>
  </si>
  <si>
    <t>CHRIS</t>
  </si>
  <si>
    <t>CHRIS MONTHLY JANUARY</t>
  </si>
  <si>
    <t>RECEIVED TAFY 13500-1375 FOR CONTRIBUTION TO BURGARY</t>
  </si>
  <si>
    <t>STARLINK FOR JAN</t>
  </si>
  <si>
    <t>Shortfall on Ronny money from Warren</t>
  </si>
  <si>
    <t>TRANSFER FROM DOLLAR ACCOUNT $12125@ 67</t>
  </si>
  <si>
    <t>BEBE LEAVE ONE WEEK DOUG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</si>
</sst>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-* #,##0_-;\-* #,##0_-;_-* &quot;-&quot;??_-;_-@"/>
    <numFmt numFmtId="167" formatCode="_-* #,##0.00_-;\-* #,##0.00_-;_-* &quot;-&quot;??_-;_-@"/>
    <numFmt numFmtId="168" formatCode="\$\ #,##0.00"/>
    <numFmt numFmtId="169" formatCode="&quot;$&quot;#,##0.00"/>
    <numFmt numFmtId="170" formatCode="[$-409]d\-mmm\-yyyy;@"/>
    <numFmt numFmtId="171" formatCode="[$-409]d\-mmm;@"/>
    <numFmt numFmtId="172" formatCode="m/d;@"/>
    <numFmt numFmtId="173" formatCode="[$-1C09]General"/>
    <numFmt numFmtId="174" formatCode="[$-1C09]dd\-mmm\-yy"/>
    <numFmt numFmtId="175" formatCode="[$MZN]\ #,##0.00"/>
    <numFmt numFmtId="176" formatCode="0.0"/>
  </numFmts>
  <fonts count="8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i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</font>
    <font>
      <i/>
      <sz val="10"/>
      <name val="Calibri"/>
      <family val="2"/>
    </font>
    <font>
      <sz val="10"/>
      <name val="Calibri"/>
      <family val="2"/>
      <charset val="1"/>
    </font>
    <font>
      <sz val="10"/>
      <name val="Calibri"/>
      <family val="2"/>
    </font>
    <font>
      <i/>
      <sz val="10"/>
      <color rgb="FF0033CC"/>
      <name val="Calibri"/>
      <family val="2"/>
    </font>
    <font>
      <sz val="9"/>
      <name val="Calibri"/>
      <family val="2"/>
    </font>
    <font>
      <sz val="10"/>
      <color theme="1"/>
      <name val="Abadi Extra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CC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rgb="FF000000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</borders>
  <cellStyleXfs count="26">
    <xf numFmtId="0" fontId="0" fillId="0" borderId="0"/>
    <xf numFmtId="43" fontId="43" fillId="0" borderId="0" applyFont="0" applyFill="0" applyBorder="0" applyAlignment="0" applyProtection="0"/>
    <xf numFmtId="0" fontId="22" fillId="0" borderId="22"/>
    <xf numFmtId="43" fontId="22" fillId="0" borderId="22" applyFont="0" applyFill="0" applyBorder="0" applyAlignment="0" applyProtection="0"/>
    <xf numFmtId="0" fontId="21" fillId="0" borderId="22"/>
    <xf numFmtId="0" fontId="20" fillId="0" borderId="22"/>
    <xf numFmtId="43" fontId="20" fillId="0" borderId="22" applyFont="0" applyFill="0" applyBorder="0" applyAlignment="0" applyProtection="0"/>
    <xf numFmtId="0" fontId="19" fillId="0" borderId="22"/>
    <xf numFmtId="0" fontId="18" fillId="0" borderId="22"/>
    <xf numFmtId="0" fontId="17" fillId="0" borderId="22"/>
    <xf numFmtId="43" fontId="17" fillId="0" borderId="22" applyFont="0" applyFill="0" applyBorder="0" applyAlignment="0" applyProtection="0"/>
    <xf numFmtId="0" fontId="59" fillId="0" borderId="22"/>
    <xf numFmtId="0" fontId="16" fillId="0" borderId="22"/>
    <xf numFmtId="0" fontId="15" fillId="0" borderId="22"/>
    <xf numFmtId="0" fontId="60" fillId="0" borderId="22"/>
    <xf numFmtId="43" fontId="15" fillId="0" borderId="22" applyFont="0" applyFill="0" applyBorder="0" applyAlignment="0" applyProtection="0"/>
    <xf numFmtId="0" fontId="61" fillId="0" borderId="22"/>
    <xf numFmtId="0" fontId="14" fillId="0" borderId="22"/>
    <xf numFmtId="43" fontId="14" fillId="0" borderId="22" applyFont="0" applyFill="0" applyBorder="0" applyAlignment="0" applyProtection="0"/>
    <xf numFmtId="0" fontId="13" fillId="0" borderId="22"/>
    <xf numFmtId="0" fontId="13" fillId="0" borderId="22"/>
    <xf numFmtId="43" fontId="13" fillId="0" borderId="22" applyFont="0" applyFill="0" applyBorder="0" applyAlignment="0" applyProtection="0"/>
    <xf numFmtId="173" fontId="66" fillId="0" borderId="22" applyBorder="0" applyProtection="0"/>
    <xf numFmtId="0" fontId="6" fillId="0" borderId="22"/>
    <xf numFmtId="0" fontId="6" fillId="0" borderId="22"/>
    <xf numFmtId="0" fontId="5" fillId="0" borderId="22"/>
  </cellStyleXfs>
  <cellXfs count="920">
    <xf numFmtId="0" fontId="0" fillId="0" borderId="0" xfId="0"/>
    <xf numFmtId="0" fontId="23" fillId="0" borderId="0" xfId="0" applyFont="1"/>
    <xf numFmtId="0" fontId="24" fillId="0" borderId="0" xfId="0" applyFont="1" applyAlignment="1">
      <alignment horizontal="right"/>
    </xf>
    <xf numFmtId="166" fontId="24" fillId="0" borderId="0" xfId="0" applyNumberFormat="1" applyFont="1"/>
    <xf numFmtId="0" fontId="24" fillId="0" borderId="0" xfId="0" applyFont="1"/>
    <xf numFmtId="0" fontId="25" fillId="0" borderId="1" xfId="0" applyFont="1" applyBorder="1"/>
    <xf numFmtId="0" fontId="25" fillId="0" borderId="2" xfId="0" applyFont="1" applyBorder="1"/>
    <xf numFmtId="0" fontId="25" fillId="0" borderId="3" xfId="0" applyFont="1" applyBorder="1"/>
    <xf numFmtId="0" fontId="25" fillId="0" borderId="7" xfId="0" applyFont="1" applyBorder="1"/>
    <xf numFmtId="0" fontId="25" fillId="0" borderId="8" xfId="0" applyFont="1" applyBorder="1"/>
    <xf numFmtId="0" fontId="25" fillId="0" borderId="9" xfId="0" applyFont="1" applyBorder="1"/>
    <xf numFmtId="0" fontId="25" fillId="0" borderId="10" xfId="0" applyFont="1" applyBorder="1"/>
    <xf numFmtId="0" fontId="25" fillId="0" borderId="11" xfId="0" applyFont="1" applyBorder="1"/>
    <xf numFmtId="0" fontId="27" fillId="0" borderId="0" xfId="0" applyFont="1"/>
    <xf numFmtId="15" fontId="25" fillId="0" borderId="7" xfId="0" applyNumberFormat="1" applyFont="1" applyBorder="1"/>
    <xf numFmtId="4" fontId="27" fillId="0" borderId="0" xfId="0" applyNumberFormat="1" applyFont="1"/>
    <xf numFmtId="0" fontId="25" fillId="0" borderId="15" xfId="0" applyFont="1" applyBorder="1"/>
    <xf numFmtId="0" fontId="25" fillId="0" borderId="19" xfId="0" applyFont="1" applyBorder="1"/>
    <xf numFmtId="0" fontId="25" fillId="0" borderId="0" xfId="0" applyFont="1" applyAlignment="1">
      <alignment vertical="center"/>
    </xf>
    <xf numFmtId="167" fontId="25" fillId="0" borderId="9" xfId="0" applyNumberFormat="1" applyFont="1" applyBorder="1"/>
    <xf numFmtId="167" fontId="25" fillId="0" borderId="0" xfId="0" applyNumberFormat="1" applyFont="1"/>
    <xf numFmtId="0" fontId="24" fillId="0" borderId="10" xfId="0" applyFont="1" applyBorder="1"/>
    <xf numFmtId="15" fontId="23" fillId="0" borderId="0" xfId="0" applyNumberFormat="1" applyFont="1"/>
    <xf numFmtId="166" fontId="28" fillId="0" borderId="0" xfId="0" applyNumberFormat="1" applyFont="1"/>
    <xf numFmtId="15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17" fontId="29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3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4" fontId="31" fillId="0" borderId="0" xfId="0" applyNumberFormat="1" applyFont="1" applyAlignment="1">
      <alignment horizontal="right" vertical="center"/>
    </xf>
    <xf numFmtId="4" fontId="31" fillId="0" borderId="0" xfId="0" applyNumberFormat="1" applyFont="1" applyAlignment="1">
      <alignment horizontal="left" vertical="center"/>
    </xf>
    <xf numFmtId="4" fontId="29" fillId="0" borderId="0" xfId="0" applyNumberFormat="1" applyFont="1" applyAlignment="1">
      <alignment vertical="center"/>
    </xf>
    <xf numFmtId="4" fontId="29" fillId="0" borderId="0" xfId="0" applyNumberFormat="1" applyFont="1" applyAlignment="1">
      <alignment horizontal="left" vertical="center"/>
    </xf>
    <xf numFmtId="4" fontId="29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30" fillId="0" borderId="21" xfId="0" applyNumberFormat="1" applyFont="1" applyBorder="1" applyAlignment="1">
      <alignment horizontal="right" vertical="center"/>
    </xf>
    <xf numFmtId="4" fontId="30" fillId="0" borderId="21" xfId="0" applyNumberFormat="1" applyFont="1" applyBorder="1" applyAlignment="1">
      <alignment vertical="center"/>
    </xf>
    <xf numFmtId="4" fontId="29" fillId="0" borderId="21" xfId="0" applyNumberFormat="1" applyFont="1" applyBorder="1" applyAlignment="1">
      <alignment horizontal="right" vertical="center"/>
    </xf>
    <xf numFmtId="4" fontId="29" fillId="0" borderId="21" xfId="0" applyNumberFormat="1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4" fontId="30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29" fillId="0" borderId="35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/>
    </xf>
    <xf numFmtId="167" fontId="29" fillId="0" borderId="32" xfId="0" applyNumberFormat="1" applyFont="1" applyBorder="1" applyAlignment="1">
      <alignment horizontal="center" vertical="center"/>
    </xf>
    <xf numFmtId="4" fontId="29" fillId="0" borderId="33" xfId="0" applyNumberFormat="1" applyFont="1" applyBorder="1" applyAlignment="1">
      <alignment horizontal="right" vertical="center"/>
    </xf>
    <xf numFmtId="167" fontId="29" fillId="2" borderId="32" xfId="0" applyNumberFormat="1" applyFont="1" applyFill="1" applyBorder="1" applyAlignment="1">
      <alignment horizontal="center" vertical="center"/>
    </xf>
    <xf numFmtId="167" fontId="29" fillId="2" borderId="33" xfId="0" applyNumberFormat="1" applyFont="1" applyFill="1" applyBorder="1" applyAlignment="1">
      <alignment horizontal="center" vertical="center"/>
    </xf>
    <xf numFmtId="167" fontId="29" fillId="4" borderId="32" xfId="0" applyNumberFormat="1" applyFont="1" applyFill="1" applyBorder="1" applyAlignment="1">
      <alignment horizontal="center" vertical="center"/>
    </xf>
    <xf numFmtId="167" fontId="29" fillId="4" borderId="33" xfId="0" applyNumberFormat="1" applyFont="1" applyFill="1" applyBorder="1" applyAlignment="1">
      <alignment horizontal="center" vertical="center"/>
    </xf>
    <xf numFmtId="167" fontId="29" fillId="5" borderId="32" xfId="0" applyNumberFormat="1" applyFont="1" applyFill="1" applyBorder="1" applyAlignment="1">
      <alignment horizontal="center" vertical="center"/>
    </xf>
    <xf numFmtId="167" fontId="29" fillId="5" borderId="33" xfId="0" applyNumberFormat="1" applyFont="1" applyFill="1" applyBorder="1" applyAlignment="1">
      <alignment horizontal="center" vertical="center"/>
    </xf>
    <xf numFmtId="167" fontId="29" fillId="6" borderId="32" xfId="0" applyNumberFormat="1" applyFont="1" applyFill="1" applyBorder="1" applyAlignment="1">
      <alignment horizontal="center" vertical="center"/>
    </xf>
    <xf numFmtId="167" fontId="29" fillId="6" borderId="33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vertical="center"/>
    </xf>
    <xf numFmtId="0" fontId="29" fillId="0" borderId="39" xfId="0" applyFont="1" applyBorder="1" applyAlignment="1">
      <alignment horizontal="center" vertical="center"/>
    </xf>
    <xf numFmtId="15" fontId="25" fillId="0" borderId="0" xfId="0" applyNumberFormat="1" applyFont="1"/>
    <xf numFmtId="4" fontId="25" fillId="0" borderId="9" xfId="0" applyNumberFormat="1" applyFont="1" applyBorder="1"/>
    <xf numFmtId="4" fontId="25" fillId="0" borderId="10" xfId="0" applyNumberFormat="1" applyFont="1" applyBorder="1"/>
    <xf numFmtId="4" fontId="25" fillId="0" borderId="11" xfId="0" applyNumberFormat="1" applyFont="1" applyBorder="1"/>
    <xf numFmtId="166" fontId="25" fillId="0" borderId="10" xfId="0" applyNumberFormat="1" applyFont="1" applyBorder="1"/>
    <xf numFmtId="166" fontId="25" fillId="0" borderId="9" xfId="0" applyNumberFormat="1" applyFont="1" applyBorder="1"/>
    <xf numFmtId="4" fontId="25" fillId="0" borderId="16" xfId="0" applyNumberFormat="1" applyFont="1" applyBorder="1"/>
    <xf numFmtId="0" fontId="25" fillId="0" borderId="14" xfId="0" applyFont="1" applyBorder="1"/>
    <xf numFmtId="1" fontId="25" fillId="0" borderId="15" xfId="0" applyNumberFormat="1" applyFont="1" applyBorder="1"/>
    <xf numFmtId="0" fontId="25" fillId="0" borderId="16" xfId="0" applyFont="1" applyBorder="1"/>
    <xf numFmtId="0" fontId="39" fillId="2" borderId="22" xfId="0" applyFont="1" applyFill="1" applyBorder="1"/>
    <xf numFmtId="0" fontId="25" fillId="0" borderId="4" xfId="0" applyFont="1" applyBorder="1"/>
    <xf numFmtId="166" fontId="24" fillId="0" borderId="10" xfId="0" applyNumberFormat="1" applyFont="1" applyBorder="1"/>
    <xf numFmtId="166" fontId="25" fillId="0" borderId="0" xfId="0" applyNumberFormat="1" applyFont="1"/>
    <xf numFmtId="0" fontId="23" fillId="0" borderId="9" xfId="0" applyFont="1" applyBorder="1"/>
    <xf numFmtId="166" fontId="23" fillId="0" borderId="10" xfId="0" applyNumberFormat="1" applyFont="1" applyBorder="1"/>
    <xf numFmtId="166" fontId="25" fillId="0" borderId="15" xfId="0" applyNumberFormat="1" applyFont="1" applyBorder="1"/>
    <xf numFmtId="166" fontId="24" fillId="0" borderId="16" xfId="0" applyNumberFormat="1" applyFont="1" applyBorder="1"/>
    <xf numFmtId="169" fontId="24" fillId="0" borderId="0" xfId="0" applyNumberFormat="1" applyFont="1"/>
    <xf numFmtId="169" fontId="27" fillId="0" borderId="0" xfId="0" applyNumberFormat="1" applyFont="1"/>
    <xf numFmtId="169" fontId="25" fillId="0" borderId="7" xfId="0" applyNumberFormat="1" applyFont="1" applyBorder="1"/>
    <xf numFmtId="169" fontId="25" fillId="0" borderId="9" xfId="0" applyNumberFormat="1" applyFont="1" applyBorder="1"/>
    <xf numFmtId="169" fontId="24" fillId="0" borderId="10" xfId="0" applyNumberFormat="1" applyFont="1" applyBorder="1"/>
    <xf numFmtId="167" fontId="25" fillId="0" borderId="0" xfId="0" applyNumberFormat="1" applyFont="1" applyAlignment="1">
      <alignment vertical="center"/>
    </xf>
    <xf numFmtId="16" fontId="25" fillId="0" borderId="7" xfId="0" applyNumberFormat="1" applyFont="1" applyBorder="1"/>
    <xf numFmtId="169" fontId="24" fillId="7" borderId="10" xfId="0" applyNumberFormat="1" applyFont="1" applyFill="1" applyBorder="1" applyAlignment="1">
      <alignment vertical="center"/>
    </xf>
    <xf numFmtId="169" fontId="25" fillId="0" borderId="15" xfId="0" applyNumberFormat="1" applyFont="1" applyBorder="1"/>
    <xf numFmtId="0" fontId="25" fillId="2" borderId="22" xfId="0" applyFont="1" applyFill="1" applyBorder="1"/>
    <xf numFmtId="0" fontId="23" fillId="2" borderId="22" xfId="0" applyFont="1" applyFill="1" applyBorder="1"/>
    <xf numFmtId="0" fontId="23" fillId="2" borderId="22" xfId="0" applyFont="1" applyFill="1" applyBorder="1" applyAlignment="1">
      <alignment horizontal="right"/>
    </xf>
    <xf numFmtId="166" fontId="23" fillId="2" borderId="22" xfId="0" applyNumberFormat="1" applyFont="1" applyFill="1" applyBorder="1"/>
    <xf numFmtId="169" fontId="39" fillId="0" borderId="0" xfId="0" applyNumberFormat="1" applyFont="1"/>
    <xf numFmtId="169" fontId="24" fillId="0" borderId="0" xfId="0" applyNumberFormat="1" applyFont="1" applyAlignment="1">
      <alignment horizontal="right"/>
    </xf>
    <xf numFmtId="169" fontId="41" fillId="0" borderId="0" xfId="0" applyNumberFormat="1" applyFont="1"/>
    <xf numFmtId="15" fontId="25" fillId="0" borderId="8" xfId="0" applyNumberFormat="1" applyFont="1" applyBorder="1"/>
    <xf numFmtId="169" fontId="33" fillId="0" borderId="0" xfId="0" applyNumberFormat="1" applyFont="1" applyAlignment="1">
      <alignment vertical="center"/>
    </xf>
    <xf numFmtId="0" fontId="25" fillId="0" borderId="9" xfId="0" applyFont="1" applyBorder="1" applyAlignment="1">
      <alignment horizontal="left" vertical="center"/>
    </xf>
    <xf numFmtId="166" fontId="25" fillId="0" borderId="10" xfId="0" applyNumberFormat="1" applyFont="1" applyBorder="1" applyAlignment="1">
      <alignment vertical="center"/>
    </xf>
    <xf numFmtId="15" fontId="23" fillId="2" borderId="7" xfId="0" applyNumberFormat="1" applyFont="1" applyFill="1" applyBorder="1"/>
    <xf numFmtId="0" fontId="23" fillId="2" borderId="9" xfId="0" applyFont="1" applyFill="1" applyBorder="1"/>
    <xf numFmtId="166" fontId="23" fillId="2" borderId="9" xfId="0" applyNumberFormat="1" applyFont="1" applyFill="1" applyBorder="1"/>
    <xf numFmtId="166" fontId="23" fillId="2" borderId="10" xfId="0" applyNumberFormat="1" applyFont="1" applyFill="1" applyBorder="1"/>
    <xf numFmtId="0" fontId="25" fillId="0" borderId="43" xfId="0" applyFont="1" applyBorder="1"/>
    <xf numFmtId="166" fontId="25" fillId="0" borderId="16" xfId="0" applyNumberFormat="1" applyFont="1" applyBorder="1"/>
    <xf numFmtId="167" fontId="23" fillId="0" borderId="9" xfId="0" applyNumberFormat="1" applyFont="1" applyBorder="1"/>
    <xf numFmtId="0" fontId="42" fillId="0" borderId="0" xfId="0" applyFont="1"/>
    <xf numFmtId="0" fontId="25" fillId="0" borderId="20" xfId="0" applyFont="1" applyBorder="1"/>
    <xf numFmtId="0" fontId="25" fillId="0" borderId="44" xfId="0" applyFont="1" applyBorder="1"/>
    <xf numFmtId="0" fontId="25" fillId="0" borderId="45" xfId="0" applyFont="1" applyBorder="1"/>
    <xf numFmtId="0" fontId="0" fillId="0" borderId="22" xfId="0" applyBorder="1"/>
    <xf numFmtId="169" fontId="44" fillId="0" borderId="0" xfId="0" applyNumberFormat="1" applyFont="1" applyAlignment="1">
      <alignment horizontal="right"/>
    </xf>
    <xf numFmtId="43" fontId="25" fillId="0" borderId="9" xfId="1" applyFont="1" applyBorder="1"/>
    <xf numFmtId="43" fontId="24" fillId="0" borderId="10" xfId="1" applyFont="1" applyBorder="1"/>
    <xf numFmtId="43" fontId="23" fillId="0" borderId="10" xfId="1" applyFont="1" applyBorder="1"/>
    <xf numFmtId="0" fontId="25" fillId="0" borderId="42" xfId="0" applyFont="1" applyBorder="1"/>
    <xf numFmtId="0" fontId="25" fillId="0" borderId="48" xfId="0" applyFont="1" applyBorder="1"/>
    <xf numFmtId="0" fontId="25" fillId="0" borderId="49" xfId="0" applyFont="1" applyBorder="1"/>
    <xf numFmtId="0" fontId="0" fillId="0" borderId="47" xfId="0" applyBorder="1"/>
    <xf numFmtId="0" fontId="26" fillId="0" borderId="11" xfId="0" applyFont="1" applyBorder="1"/>
    <xf numFmtId="0" fontId="46" fillId="0" borderId="0" xfId="0" applyFont="1"/>
    <xf numFmtId="0" fontId="26" fillId="0" borderId="9" xfId="0" applyFont="1" applyBorder="1"/>
    <xf numFmtId="0" fontId="25" fillId="8" borderId="9" xfId="0" applyFont="1" applyFill="1" applyBorder="1"/>
    <xf numFmtId="4" fontId="33" fillId="0" borderId="0" xfId="0" applyNumberFormat="1" applyFont="1" applyAlignment="1">
      <alignment vertical="center"/>
    </xf>
    <xf numFmtId="166" fontId="25" fillId="0" borderId="11" xfId="0" applyNumberFormat="1" applyFont="1" applyBorder="1"/>
    <xf numFmtId="166" fontId="25" fillId="0" borderId="12" xfId="0" applyNumberFormat="1" applyFont="1" applyBorder="1"/>
    <xf numFmtId="0" fontId="23" fillId="0" borderId="11" xfId="0" applyFont="1" applyBorder="1"/>
    <xf numFmtId="169" fontId="25" fillId="0" borderId="11" xfId="0" applyNumberFormat="1" applyFont="1" applyBorder="1"/>
    <xf numFmtId="169" fontId="23" fillId="0" borderId="12" xfId="0" applyNumberFormat="1" applyFont="1" applyBorder="1"/>
    <xf numFmtId="43" fontId="25" fillId="0" borderId="11" xfId="1" applyFont="1" applyBorder="1"/>
    <xf numFmtId="169" fontId="41" fillId="0" borderId="47" xfId="0" applyNumberFormat="1" applyFont="1" applyBorder="1"/>
    <xf numFmtId="169" fontId="24" fillId="0" borderId="47" xfId="0" applyNumberFormat="1" applyFont="1" applyBorder="1"/>
    <xf numFmtId="43" fontId="25" fillId="0" borderId="20" xfId="1" applyFont="1" applyBorder="1"/>
    <xf numFmtId="4" fontId="41" fillId="0" borderId="47" xfId="0" applyNumberFormat="1" applyFont="1" applyBorder="1"/>
    <xf numFmtId="4" fontId="24" fillId="0" borderId="53" xfId="0" applyNumberFormat="1" applyFont="1" applyBorder="1"/>
    <xf numFmtId="4" fontId="24" fillId="0" borderId="0" xfId="0" applyNumberFormat="1" applyFont="1"/>
    <xf numFmtId="0" fontId="0" fillId="0" borderId="0" xfId="0" applyAlignment="1">
      <alignment horizontal="center"/>
    </xf>
    <xf numFmtId="16" fontId="25" fillId="0" borderId="44" xfId="0" applyNumberFormat="1" applyFont="1" applyBorder="1"/>
    <xf numFmtId="4" fontId="0" fillId="0" borderId="0" xfId="0" applyNumberForma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169" fontId="26" fillId="0" borderId="9" xfId="0" applyNumberFormat="1" applyFont="1" applyBorder="1"/>
    <xf numFmtId="169" fontId="49" fillId="0" borderId="10" xfId="0" applyNumberFormat="1" applyFont="1" applyBorder="1"/>
    <xf numFmtId="169" fontId="26" fillId="0" borderId="11" xfId="0" applyNumberFormat="1" applyFont="1" applyBorder="1"/>
    <xf numFmtId="169" fontId="25" fillId="0" borderId="4" xfId="0" applyNumberFormat="1" applyFont="1" applyBorder="1" applyAlignment="1">
      <alignment horizontal="center" wrapText="1"/>
    </xf>
    <xf numFmtId="169" fontId="25" fillId="0" borderId="5" xfId="0" applyNumberFormat="1" applyFont="1" applyBorder="1" applyAlignment="1">
      <alignment horizontal="center" wrapText="1"/>
    </xf>
    <xf numFmtId="0" fontId="30" fillId="0" borderId="5" xfId="0" applyFont="1" applyBorder="1" applyAlignment="1">
      <alignment horizontal="center" vertical="center"/>
    </xf>
    <xf numFmtId="169" fontId="33" fillId="0" borderId="5" xfId="0" applyNumberFormat="1" applyFont="1" applyBorder="1" applyAlignment="1">
      <alignment vertical="center"/>
    </xf>
    <xf numFmtId="15" fontId="25" fillId="0" borderId="20" xfId="0" applyNumberFormat="1" applyFont="1" applyBorder="1"/>
    <xf numFmtId="0" fontId="5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" fontId="53" fillId="0" borderId="0" xfId="0" applyNumberFormat="1" applyFont="1"/>
    <xf numFmtId="0" fontId="25" fillId="0" borderId="17" xfId="0" applyFont="1" applyBorder="1" applyAlignment="1">
      <alignment horizontal="center"/>
    </xf>
    <xf numFmtId="0" fontId="26" fillId="0" borderId="5" xfId="0" applyFont="1" applyBorder="1"/>
    <xf numFmtId="0" fontId="26" fillId="0" borderId="6" xfId="0" applyFont="1" applyBorder="1"/>
    <xf numFmtId="169" fontId="40" fillId="0" borderId="41" xfId="0" applyNumberFormat="1" applyFont="1" applyBorder="1" applyAlignment="1">
      <alignment horizontal="center"/>
    </xf>
    <xf numFmtId="0" fontId="0" fillId="0" borderId="3" xfId="0" applyBorder="1"/>
    <xf numFmtId="0" fontId="24" fillId="0" borderId="4" xfId="0" applyFont="1" applyBorder="1"/>
    <xf numFmtId="0" fontId="25" fillId="8" borderId="42" xfId="0" applyFont="1" applyFill="1" applyBorder="1"/>
    <xf numFmtId="0" fontId="25" fillId="8" borderId="20" xfId="0" applyFont="1" applyFill="1" applyBorder="1"/>
    <xf numFmtId="0" fontId="0" fillId="8" borderId="9" xfId="0" applyFill="1" applyBorder="1"/>
    <xf numFmtId="0" fontId="0" fillId="0" borderId="14" xfId="0" applyBorder="1"/>
    <xf numFmtId="0" fontId="25" fillId="0" borderId="4" xfId="0" applyFont="1" applyBorder="1" applyAlignment="1">
      <alignment horizontal="center"/>
    </xf>
    <xf numFmtId="170" fontId="39" fillId="0" borderId="0" xfId="0" applyNumberFormat="1" applyFont="1"/>
    <xf numFmtId="170" fontId="0" fillId="0" borderId="0" xfId="0" applyNumberFormat="1"/>
    <xf numFmtId="170" fontId="25" fillId="0" borderId="1" xfId="0" applyNumberFormat="1" applyFont="1" applyBorder="1"/>
    <xf numFmtId="170" fontId="25" fillId="0" borderId="7" xfId="0" applyNumberFormat="1" applyFont="1" applyBorder="1"/>
    <xf numFmtId="170" fontId="25" fillId="0" borderId="14" xfId="0" applyNumberFormat="1" applyFont="1" applyBorder="1"/>
    <xf numFmtId="0" fontId="44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9" fontId="44" fillId="0" borderId="0" xfId="0" applyNumberFormat="1" applyFont="1"/>
    <xf numFmtId="169" fontId="52" fillId="0" borderId="0" xfId="0" applyNumberFormat="1" applyFont="1" applyAlignment="1">
      <alignment vertical="center"/>
    </xf>
    <xf numFmtId="15" fontId="55" fillId="0" borderId="0" xfId="0" applyNumberFormat="1" applyFont="1"/>
    <xf numFmtId="169" fontId="56" fillId="0" borderId="0" xfId="0" applyNumberFormat="1" applyFont="1" applyAlignment="1">
      <alignment vertical="center"/>
    </xf>
    <xf numFmtId="169" fontId="39" fillId="0" borderId="22" xfId="9" applyNumberFormat="1" applyFont="1"/>
    <xf numFmtId="0" fontId="17" fillId="0" borderId="22" xfId="9"/>
    <xf numFmtId="169" fontId="24" fillId="0" borderId="22" xfId="9" applyNumberFormat="1" applyFont="1"/>
    <xf numFmtId="169" fontId="44" fillId="0" borderId="22" xfId="9" applyNumberFormat="1" applyFont="1" applyAlignment="1">
      <alignment horizontal="right"/>
    </xf>
    <xf numFmtId="169" fontId="44" fillId="0" borderId="22" xfId="9" applyNumberFormat="1" applyFont="1"/>
    <xf numFmtId="0" fontId="55" fillId="0" borderId="22" xfId="9" applyFont="1"/>
    <xf numFmtId="0" fontId="25" fillId="0" borderId="1" xfId="9" applyFont="1" applyBorder="1"/>
    <xf numFmtId="0" fontId="25" fillId="0" borderId="3" xfId="9" applyFont="1" applyBorder="1"/>
    <xf numFmtId="169" fontId="25" fillId="0" borderId="5" xfId="9" applyNumberFormat="1" applyFont="1" applyBorder="1" applyAlignment="1">
      <alignment horizontal="center" wrapText="1"/>
    </xf>
    <xf numFmtId="169" fontId="25" fillId="0" borderId="4" xfId="9" applyNumberFormat="1" applyFont="1" applyBorder="1" applyAlignment="1">
      <alignment horizontal="center" wrapText="1"/>
    </xf>
    <xf numFmtId="0" fontId="30" fillId="0" borderId="5" xfId="9" applyFont="1" applyBorder="1" applyAlignment="1">
      <alignment horizontal="center" vertical="center"/>
    </xf>
    <xf numFmtId="169" fontId="33" fillId="0" borderId="5" xfId="9" applyNumberFormat="1" applyFont="1" applyBorder="1" applyAlignment="1">
      <alignment vertical="center"/>
    </xf>
    <xf numFmtId="0" fontId="25" fillId="0" borderId="7" xfId="9" applyFont="1" applyBorder="1"/>
    <xf numFmtId="0" fontId="25" fillId="0" borderId="9" xfId="9" applyFont="1" applyBorder="1"/>
    <xf numFmtId="169" fontId="25" fillId="0" borderId="9" xfId="9" applyNumberFormat="1" applyFont="1" applyBorder="1"/>
    <xf numFmtId="169" fontId="24" fillId="0" borderId="10" xfId="9" applyNumberFormat="1" applyFont="1" applyBorder="1"/>
    <xf numFmtId="15" fontId="25" fillId="0" borderId="7" xfId="9" applyNumberFormat="1" applyFont="1" applyBorder="1"/>
    <xf numFmtId="43" fontId="25" fillId="0" borderId="9" xfId="10" applyFont="1" applyBorder="1"/>
    <xf numFmtId="43" fontId="24" fillId="0" borderId="10" xfId="10" applyFont="1" applyBorder="1"/>
    <xf numFmtId="0" fontId="26" fillId="0" borderId="9" xfId="9" applyFont="1" applyBorder="1"/>
    <xf numFmtId="169" fontId="26" fillId="0" borderId="9" xfId="9" applyNumberFormat="1" applyFont="1" applyBorder="1"/>
    <xf numFmtId="43" fontId="49" fillId="0" borderId="10" xfId="10" applyFont="1" applyBorder="1"/>
    <xf numFmtId="16" fontId="25" fillId="0" borderId="44" xfId="9" applyNumberFormat="1" applyFont="1" applyBorder="1"/>
    <xf numFmtId="0" fontId="26" fillId="0" borderId="11" xfId="9" applyFont="1" applyBorder="1"/>
    <xf numFmtId="169" fontId="26" fillId="0" borderId="11" xfId="9" applyNumberFormat="1" applyFont="1" applyBorder="1"/>
    <xf numFmtId="169" fontId="25" fillId="0" borderId="11" xfId="9" applyNumberFormat="1" applyFont="1" applyBorder="1"/>
    <xf numFmtId="4" fontId="25" fillId="0" borderId="11" xfId="9" applyNumberFormat="1" applyFont="1" applyBorder="1"/>
    <xf numFmtId="0" fontId="25" fillId="0" borderId="11" xfId="9" applyFont="1" applyBorder="1"/>
    <xf numFmtId="43" fontId="25" fillId="0" borderId="11" xfId="10" applyFont="1" applyBorder="1"/>
    <xf numFmtId="43" fontId="26" fillId="0" borderId="11" xfId="10" applyFont="1" applyBorder="1"/>
    <xf numFmtId="0" fontId="17" fillId="0" borderId="47" xfId="9" applyBorder="1"/>
    <xf numFmtId="0" fontId="26" fillId="0" borderId="49" xfId="9" applyFont="1" applyBorder="1"/>
    <xf numFmtId="169" fontId="17" fillId="0" borderId="22" xfId="9" applyNumberFormat="1"/>
    <xf numFmtId="4" fontId="0" fillId="0" borderId="3" xfId="0" applyNumberFormat="1" applyBorder="1"/>
    <xf numFmtId="4" fontId="24" fillId="0" borderId="13" xfId="0" applyNumberFormat="1" applyFont="1" applyBorder="1"/>
    <xf numFmtId="4" fontId="25" fillId="0" borderId="18" xfId="0" applyNumberFormat="1" applyFont="1" applyBorder="1"/>
    <xf numFmtId="4" fontId="26" fillId="0" borderId="5" xfId="0" applyNumberFormat="1" applyFont="1" applyBorder="1"/>
    <xf numFmtId="4" fontId="40" fillId="0" borderId="4" xfId="0" applyNumberFormat="1" applyFont="1" applyBorder="1" applyAlignment="1">
      <alignment horizontal="center"/>
    </xf>
    <xf numFmtId="4" fontId="26" fillId="0" borderId="6" xfId="0" applyNumberFormat="1" applyFont="1" applyBorder="1"/>
    <xf numFmtId="4" fontId="24" fillId="0" borderId="10" xfId="0" applyNumberFormat="1" applyFont="1" applyBorder="1"/>
    <xf numFmtId="0" fontId="55" fillId="0" borderId="0" xfId="0" applyFont="1"/>
    <xf numFmtId="4" fontId="57" fillId="0" borderId="0" xfId="0" applyNumberFormat="1" applyFont="1"/>
    <xf numFmtId="169" fontId="58" fillId="0" borderId="0" xfId="0" applyNumberFormat="1" applyFont="1"/>
    <xf numFmtId="1" fontId="26" fillId="9" borderId="9" xfId="0" applyNumberFormat="1" applyFont="1" applyFill="1" applyBorder="1"/>
    <xf numFmtId="15" fontId="29" fillId="0" borderId="22" xfId="11" applyNumberFormat="1" applyFont="1" applyAlignment="1">
      <alignment horizontal="center" vertical="center"/>
    </xf>
    <xf numFmtId="0" fontId="29" fillId="0" borderId="22" xfId="11" applyFont="1" applyAlignment="1">
      <alignment vertical="center"/>
    </xf>
    <xf numFmtId="17" fontId="29" fillId="0" borderId="22" xfId="11" applyNumberFormat="1" applyFont="1" applyAlignment="1">
      <alignment horizontal="left" vertical="center"/>
    </xf>
    <xf numFmtId="0" fontId="29" fillId="0" borderId="22" xfId="11" applyFont="1" applyAlignment="1">
      <alignment horizontal="right"/>
    </xf>
    <xf numFmtId="164" fontId="29" fillId="0" borderId="22" xfId="11" applyNumberFormat="1" applyFont="1" applyAlignment="1">
      <alignment horizontal="center" vertical="center"/>
    </xf>
    <xf numFmtId="4" fontId="29" fillId="0" borderId="22" xfId="11" applyNumberFormat="1" applyFont="1" applyAlignment="1">
      <alignment horizontal="right" vertical="center"/>
    </xf>
    <xf numFmtId="3" fontId="30" fillId="0" borderId="22" xfId="11" applyNumberFormat="1" applyFont="1" applyAlignment="1">
      <alignment vertical="center"/>
    </xf>
    <xf numFmtId="0" fontId="30" fillId="0" borderId="22" xfId="11" applyFont="1" applyAlignment="1">
      <alignment vertical="center"/>
    </xf>
    <xf numFmtId="0" fontId="59" fillId="0" borderId="22" xfId="11"/>
    <xf numFmtId="15" fontId="30" fillId="0" borderId="22" xfId="11" applyNumberFormat="1" applyFont="1" applyAlignment="1">
      <alignment horizontal="center" vertical="center"/>
    </xf>
    <xf numFmtId="4" fontId="31" fillId="0" borderId="22" xfId="11" applyNumberFormat="1" applyFont="1" applyAlignment="1">
      <alignment horizontal="right" vertical="center"/>
    </xf>
    <xf numFmtId="4" fontId="31" fillId="0" borderId="22" xfId="11" applyNumberFormat="1" applyFont="1" applyAlignment="1">
      <alignment horizontal="left" vertical="center"/>
    </xf>
    <xf numFmtId="4" fontId="29" fillId="0" borderId="22" xfId="11" applyNumberFormat="1" applyFont="1" applyAlignment="1">
      <alignment vertical="center"/>
    </xf>
    <xf numFmtId="4" fontId="29" fillId="0" borderId="22" xfId="11" applyNumberFormat="1" applyFont="1" applyAlignment="1">
      <alignment horizontal="left" vertical="center"/>
    </xf>
    <xf numFmtId="0" fontId="32" fillId="0" borderId="22" xfId="11" applyFont="1" applyAlignment="1">
      <alignment horizontal="center" vertical="center"/>
    </xf>
    <xf numFmtId="4" fontId="29" fillId="0" borderId="22" xfId="11" applyNumberFormat="1" applyFont="1" applyAlignment="1">
      <alignment horizontal="center" vertical="center"/>
    </xf>
    <xf numFmtId="0" fontId="33" fillId="0" borderId="22" xfId="11" applyFont="1" applyAlignment="1">
      <alignment horizontal="center" vertical="center"/>
    </xf>
    <xf numFmtId="0" fontId="33" fillId="0" borderId="22" xfId="11" applyFont="1" applyAlignment="1">
      <alignment vertical="center"/>
    </xf>
    <xf numFmtId="4" fontId="30" fillId="0" borderId="22" xfId="11" applyNumberFormat="1" applyFont="1" applyAlignment="1">
      <alignment horizontal="center" vertical="center"/>
    </xf>
    <xf numFmtId="4" fontId="30" fillId="0" borderId="21" xfId="11" applyNumberFormat="1" applyFont="1" applyBorder="1" applyAlignment="1">
      <alignment horizontal="right" vertical="center"/>
    </xf>
    <xf numFmtId="4" fontId="30" fillId="0" borderId="21" xfId="11" applyNumberFormat="1" applyFont="1" applyBorder="1" applyAlignment="1">
      <alignment vertical="center"/>
    </xf>
    <xf numFmtId="4" fontId="29" fillId="0" borderId="21" xfId="11" applyNumberFormat="1" applyFont="1" applyBorder="1" applyAlignment="1">
      <alignment horizontal="right" vertical="center"/>
    </xf>
    <xf numFmtId="4" fontId="29" fillId="0" borderId="21" xfId="11" applyNumberFormat="1" applyFont="1" applyBorder="1" applyAlignment="1">
      <alignment vertical="center"/>
    </xf>
    <xf numFmtId="0" fontId="30" fillId="0" borderId="22" xfId="11" applyFont="1" applyAlignment="1">
      <alignment horizontal="right"/>
    </xf>
    <xf numFmtId="0" fontId="30" fillId="0" borderId="22" xfId="11" applyFont="1" applyAlignment="1">
      <alignment horizontal="center" vertical="center"/>
    </xf>
    <xf numFmtId="4" fontId="30" fillId="0" borderId="22" xfId="11" applyNumberFormat="1" applyFont="1" applyAlignment="1">
      <alignment horizontal="right" vertical="center"/>
    </xf>
    <xf numFmtId="15" fontId="34" fillId="0" borderId="22" xfId="11" applyNumberFormat="1" applyFont="1" applyAlignment="1">
      <alignment horizontal="center" vertical="center"/>
    </xf>
    <xf numFmtId="0" fontId="34" fillId="0" borderId="22" xfId="11" applyFont="1" applyAlignment="1">
      <alignment horizontal="center" vertical="center"/>
    </xf>
    <xf numFmtId="166" fontId="35" fillId="2" borderId="22" xfId="11" applyNumberFormat="1" applyFont="1" applyFill="1" applyAlignment="1">
      <alignment vertical="center"/>
    </xf>
    <xf numFmtId="4" fontId="36" fillId="3" borderId="22" xfId="11" applyNumberFormat="1" applyFont="1" applyFill="1" applyAlignment="1">
      <alignment horizontal="right"/>
    </xf>
    <xf numFmtId="168" fontId="36" fillId="3" borderId="22" xfId="11" applyNumberFormat="1" applyFont="1" applyFill="1" applyAlignment="1">
      <alignment horizontal="right"/>
    </xf>
    <xf numFmtId="4" fontId="37" fillId="0" borderId="22" xfId="11" applyNumberFormat="1" applyFont="1" applyAlignment="1">
      <alignment horizontal="right" vertical="center"/>
    </xf>
    <xf numFmtId="0" fontId="37" fillId="0" borderId="22" xfId="11" applyFont="1" applyAlignment="1">
      <alignment vertical="center"/>
    </xf>
    <xf numFmtId="0" fontId="30" fillId="0" borderId="22" xfId="11" applyFont="1" applyAlignment="1">
      <alignment horizontal="left" vertical="center"/>
    </xf>
    <xf numFmtId="4" fontId="30" fillId="0" borderId="22" xfId="11" applyNumberFormat="1" applyFont="1" applyAlignment="1">
      <alignment horizontal="right"/>
    </xf>
    <xf numFmtId="4" fontId="29" fillId="5" borderId="32" xfId="11" applyNumberFormat="1" applyFont="1" applyFill="1" applyBorder="1" applyAlignment="1">
      <alignment vertical="center"/>
    </xf>
    <xf numFmtId="4" fontId="29" fillId="5" borderId="33" xfId="11" applyNumberFormat="1" applyFont="1" applyFill="1" applyBorder="1" applyAlignment="1">
      <alignment vertical="center"/>
    </xf>
    <xf numFmtId="15" fontId="29" fillId="0" borderId="34" xfId="11" applyNumberFormat="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/>
    </xf>
    <xf numFmtId="167" fontId="29" fillId="0" borderId="32" xfId="11" applyNumberFormat="1" applyFont="1" applyBorder="1" applyAlignment="1">
      <alignment horizontal="center" vertical="center"/>
    </xf>
    <xf numFmtId="4" fontId="29" fillId="0" borderId="33" xfId="11" applyNumberFormat="1" applyFont="1" applyBorder="1" applyAlignment="1">
      <alignment horizontal="right" vertical="center"/>
    </xf>
    <xf numFmtId="167" fontId="29" fillId="2" borderId="32" xfId="11" applyNumberFormat="1" applyFont="1" applyFill="1" applyBorder="1" applyAlignment="1">
      <alignment horizontal="center" vertical="center"/>
    </xf>
    <xf numFmtId="167" fontId="29" fillId="2" borderId="33" xfId="11" applyNumberFormat="1" applyFont="1" applyFill="1" applyBorder="1" applyAlignment="1">
      <alignment horizontal="center" vertical="center"/>
    </xf>
    <xf numFmtId="167" fontId="29" fillId="4" borderId="32" xfId="11" applyNumberFormat="1" applyFont="1" applyFill="1" applyBorder="1" applyAlignment="1">
      <alignment horizontal="center" vertical="center"/>
    </xf>
    <xf numFmtId="167" fontId="29" fillId="4" borderId="33" xfId="11" applyNumberFormat="1" applyFont="1" applyFill="1" applyBorder="1" applyAlignment="1">
      <alignment horizontal="center" vertical="center"/>
    </xf>
    <xf numFmtId="167" fontId="29" fillId="5" borderId="32" xfId="11" applyNumberFormat="1" applyFont="1" applyFill="1" applyBorder="1" applyAlignment="1">
      <alignment horizontal="center" vertical="center"/>
    </xf>
    <xf numFmtId="167" fontId="29" fillId="5" borderId="33" xfId="11" applyNumberFormat="1" applyFont="1" applyFill="1" applyBorder="1" applyAlignment="1">
      <alignment horizontal="center" vertical="center"/>
    </xf>
    <xf numFmtId="167" fontId="29" fillId="6" borderId="32" xfId="11" applyNumberFormat="1" applyFont="1" applyFill="1" applyBorder="1" applyAlignment="1">
      <alignment horizontal="center" vertical="center"/>
    </xf>
    <xf numFmtId="167" fontId="29" fillId="6" borderId="33" xfId="11" applyNumberFormat="1" applyFont="1" applyFill="1" applyBorder="1" applyAlignment="1">
      <alignment horizontal="center" vertical="center"/>
    </xf>
    <xf numFmtId="15" fontId="26" fillId="8" borderId="32" xfId="11" applyNumberFormat="1" applyFont="1" applyFill="1" applyBorder="1" applyAlignment="1">
      <alignment horizontal="right"/>
    </xf>
    <xf numFmtId="0" fontId="26" fillId="8" borderId="9" xfId="11" applyFont="1" applyFill="1" applyBorder="1"/>
    <xf numFmtId="0" fontId="48" fillId="0" borderId="32" xfId="11" applyFont="1" applyBorder="1" applyAlignment="1">
      <alignment horizontal="center"/>
    </xf>
    <xf numFmtId="167" fontId="48" fillId="0" borderId="32" xfId="11" applyNumberFormat="1" applyFont="1" applyBorder="1" applyAlignment="1">
      <alignment horizontal="center"/>
    </xf>
    <xf numFmtId="167" fontId="48" fillId="0" borderId="33" xfId="11" applyNumberFormat="1" applyFont="1" applyBorder="1" applyAlignment="1">
      <alignment horizontal="center"/>
    </xf>
    <xf numFmtId="167" fontId="26" fillId="2" borderId="32" xfId="11" applyNumberFormat="1" applyFont="1" applyFill="1" applyBorder="1"/>
    <xf numFmtId="167" fontId="26" fillId="2" borderId="33" xfId="11" applyNumberFormat="1" applyFont="1" applyFill="1" applyBorder="1"/>
    <xf numFmtId="167" fontId="26" fillId="4" borderId="32" xfId="11" applyNumberFormat="1" applyFont="1" applyFill="1" applyBorder="1"/>
    <xf numFmtId="167" fontId="26" fillId="4" borderId="33" xfId="11" applyNumberFormat="1" applyFont="1" applyFill="1" applyBorder="1"/>
    <xf numFmtId="167" fontId="26" fillId="5" borderId="32" xfId="11" applyNumberFormat="1" applyFont="1" applyFill="1" applyBorder="1"/>
    <xf numFmtId="167" fontId="26" fillId="5" borderId="33" xfId="11" applyNumberFormat="1" applyFont="1" applyFill="1" applyBorder="1"/>
    <xf numFmtId="167" fontId="26" fillId="6" borderId="32" xfId="11" applyNumberFormat="1" applyFont="1" applyFill="1" applyBorder="1"/>
    <xf numFmtId="167" fontId="25" fillId="6" borderId="33" xfId="11" applyNumberFormat="1" applyFont="1" applyFill="1" applyBorder="1"/>
    <xf numFmtId="43" fontId="30" fillId="0" borderId="22" xfId="11" applyNumberFormat="1" applyFont="1" applyAlignment="1">
      <alignment vertical="center"/>
    </xf>
    <xf numFmtId="15" fontId="26" fillId="0" borderId="32" xfId="11" applyNumberFormat="1" applyFont="1" applyBorder="1"/>
    <xf numFmtId="0" fontId="26" fillId="0" borderId="9" xfId="11" applyFont="1" applyBorder="1"/>
    <xf numFmtId="15" fontId="26" fillId="0" borderId="32" xfId="12" applyNumberFormat="1" applyFont="1" applyBorder="1"/>
    <xf numFmtId="0" fontId="26" fillId="0" borderId="9" xfId="12" applyFont="1" applyBorder="1"/>
    <xf numFmtId="15" fontId="25" fillId="2" borderId="32" xfId="11" applyNumberFormat="1" applyFont="1" applyFill="1" applyBorder="1"/>
    <xf numFmtId="0" fontId="25" fillId="0" borderId="9" xfId="11" applyFont="1" applyBorder="1"/>
    <xf numFmtId="0" fontId="30" fillId="0" borderId="32" xfId="11" applyFont="1" applyBorder="1" applyAlignment="1">
      <alignment horizontal="center"/>
    </xf>
    <xf numFmtId="167" fontId="30" fillId="0" borderId="32" xfId="11" applyNumberFormat="1" applyFont="1" applyBorder="1" applyAlignment="1">
      <alignment horizontal="center"/>
    </xf>
    <xf numFmtId="167" fontId="30" fillId="0" borderId="33" xfId="11" applyNumberFormat="1" applyFont="1" applyBorder="1" applyAlignment="1">
      <alignment horizontal="center"/>
    </xf>
    <xf numFmtId="167" fontId="25" fillId="2" borderId="32" xfId="11" applyNumberFormat="1" applyFont="1" applyFill="1" applyBorder="1"/>
    <xf numFmtId="167" fontId="25" fillId="2" borderId="33" xfId="11" applyNumberFormat="1" applyFont="1" applyFill="1" applyBorder="1"/>
    <xf numFmtId="167" fontId="25" fillId="4" borderId="32" xfId="11" applyNumberFormat="1" applyFont="1" applyFill="1" applyBorder="1"/>
    <xf numFmtId="167" fontId="25" fillId="4" borderId="33" xfId="11" applyNumberFormat="1" applyFont="1" applyFill="1" applyBorder="1"/>
    <xf numFmtId="167" fontId="25" fillId="5" borderId="32" xfId="11" applyNumberFormat="1" applyFont="1" applyFill="1" applyBorder="1"/>
    <xf numFmtId="167" fontId="25" fillId="5" borderId="33" xfId="11" applyNumberFormat="1" applyFont="1" applyFill="1" applyBorder="1"/>
    <xf numFmtId="167" fontId="25" fillId="6" borderId="32" xfId="11" applyNumberFormat="1" applyFont="1" applyFill="1" applyBorder="1"/>
    <xf numFmtId="15" fontId="25" fillId="0" borderId="32" xfId="11" applyNumberFormat="1" applyFont="1" applyBorder="1"/>
    <xf numFmtId="0" fontId="25" fillId="0" borderId="32" xfId="11" applyFont="1" applyBorder="1" applyAlignment="1">
      <alignment horizontal="center"/>
    </xf>
    <xf numFmtId="15" fontId="30" fillId="0" borderId="32" xfId="11" applyNumberFormat="1" applyFont="1" applyBorder="1" applyAlignment="1">
      <alignment horizontal="center" vertical="center"/>
    </xf>
    <xf numFmtId="0" fontId="30" fillId="0" borderId="9" xfId="11" applyFont="1" applyBorder="1" applyAlignment="1">
      <alignment vertical="center"/>
    </xf>
    <xf numFmtId="0" fontId="30" fillId="0" borderId="9" xfId="11" applyFont="1" applyBorder="1" applyAlignment="1">
      <alignment horizontal="left" vertical="center"/>
    </xf>
    <xf numFmtId="0" fontId="30" fillId="0" borderId="32" xfId="11" applyFont="1" applyBorder="1" applyAlignment="1">
      <alignment horizontal="right"/>
    </xf>
    <xf numFmtId="0" fontId="30" fillId="0" borderId="33" xfId="11" applyFont="1" applyBorder="1" applyAlignment="1">
      <alignment horizontal="right"/>
    </xf>
    <xf numFmtId="4" fontId="30" fillId="0" borderId="32" xfId="11" applyNumberFormat="1" applyFont="1" applyBorder="1" applyAlignment="1">
      <alignment vertical="center"/>
    </xf>
    <xf numFmtId="4" fontId="30" fillId="0" borderId="33" xfId="11" applyNumberFormat="1" applyFont="1" applyBorder="1" applyAlignment="1">
      <alignment horizontal="right" vertical="center"/>
    </xf>
    <xf numFmtId="4" fontId="30" fillId="2" borderId="32" xfId="11" applyNumberFormat="1" applyFont="1" applyFill="1" applyBorder="1" applyAlignment="1">
      <alignment vertical="center"/>
    </xf>
    <xf numFmtId="4" fontId="30" fillId="2" borderId="33" xfId="11" applyNumberFormat="1" applyFont="1" applyFill="1" applyBorder="1" applyAlignment="1">
      <alignment vertical="center"/>
    </xf>
    <xf numFmtId="4" fontId="30" fillId="4" borderId="32" xfId="11" applyNumberFormat="1" applyFont="1" applyFill="1" applyBorder="1" applyAlignment="1">
      <alignment vertical="center"/>
    </xf>
    <xf numFmtId="4" fontId="30" fillId="4" borderId="33" xfId="11" applyNumberFormat="1" applyFont="1" applyFill="1" applyBorder="1" applyAlignment="1">
      <alignment vertical="center"/>
    </xf>
    <xf numFmtId="4" fontId="30" fillId="5" borderId="32" xfId="11" applyNumberFormat="1" applyFont="1" applyFill="1" applyBorder="1" applyAlignment="1">
      <alignment vertical="center"/>
    </xf>
    <xf numFmtId="4" fontId="30" fillId="5" borderId="33" xfId="11" applyNumberFormat="1" applyFont="1" applyFill="1" applyBorder="1" applyAlignment="1">
      <alignment vertical="center"/>
    </xf>
    <xf numFmtId="4" fontId="30" fillId="6" borderId="32" xfId="11" applyNumberFormat="1" applyFont="1" applyFill="1" applyBorder="1" applyAlignment="1">
      <alignment vertical="center"/>
    </xf>
    <xf numFmtId="4" fontId="30" fillId="6" borderId="33" xfId="11" applyNumberFormat="1" applyFont="1" applyFill="1" applyBorder="1" applyAlignment="1">
      <alignment vertical="center"/>
    </xf>
    <xf numFmtId="15" fontId="30" fillId="0" borderId="36" xfId="11" applyNumberFormat="1" applyFont="1" applyBorder="1" applyAlignment="1">
      <alignment horizontal="center" vertical="center"/>
    </xf>
    <xf numFmtId="0" fontId="30" fillId="0" borderId="37" xfId="11" applyFont="1" applyBorder="1" applyAlignment="1">
      <alignment vertical="center"/>
    </xf>
    <xf numFmtId="0" fontId="30" fillId="0" borderId="37" xfId="11" applyFont="1" applyBorder="1" applyAlignment="1">
      <alignment horizontal="left" vertical="center"/>
    </xf>
    <xf numFmtId="0" fontId="25" fillId="0" borderId="36" xfId="11" applyFont="1" applyBorder="1" applyAlignment="1">
      <alignment horizontal="center"/>
    </xf>
    <xf numFmtId="4" fontId="29" fillId="0" borderId="36" xfId="11" applyNumberFormat="1" applyFont="1" applyBorder="1" applyAlignment="1">
      <alignment vertical="center"/>
    </xf>
    <xf numFmtId="4" fontId="29" fillId="0" borderId="38" xfId="11" applyNumberFormat="1" applyFont="1" applyBorder="1" applyAlignment="1">
      <alignment horizontal="right" vertical="center"/>
    </xf>
    <xf numFmtId="4" fontId="29" fillId="2" borderId="36" xfId="11" applyNumberFormat="1" applyFont="1" applyFill="1" applyBorder="1" applyAlignment="1">
      <alignment vertical="center"/>
    </xf>
    <xf numFmtId="4" fontId="29" fillId="2" borderId="38" xfId="11" applyNumberFormat="1" applyFont="1" applyFill="1" applyBorder="1" applyAlignment="1">
      <alignment vertical="center"/>
    </xf>
    <xf numFmtId="4" fontId="29" fillId="4" borderId="36" xfId="11" applyNumberFormat="1" applyFont="1" applyFill="1" applyBorder="1" applyAlignment="1">
      <alignment vertical="center"/>
    </xf>
    <xf numFmtId="4" fontId="29" fillId="4" borderId="38" xfId="11" applyNumberFormat="1" applyFont="1" applyFill="1" applyBorder="1" applyAlignment="1">
      <alignment vertical="center"/>
    </xf>
    <xf numFmtId="4" fontId="29" fillId="5" borderId="36" xfId="11" applyNumberFormat="1" applyFont="1" applyFill="1" applyBorder="1" applyAlignment="1">
      <alignment vertical="center"/>
    </xf>
    <xf numFmtId="4" fontId="29" fillId="5" borderId="38" xfId="11" applyNumberFormat="1" applyFont="1" applyFill="1" applyBorder="1" applyAlignment="1">
      <alignment vertical="center"/>
    </xf>
    <xf numFmtId="4" fontId="29" fillId="6" borderId="36" xfId="11" applyNumberFormat="1" applyFont="1" applyFill="1" applyBorder="1" applyAlignment="1">
      <alignment vertical="center"/>
    </xf>
    <xf numFmtId="4" fontId="29" fillId="6" borderId="38" xfId="11" applyNumberFormat="1" applyFont="1" applyFill="1" applyBorder="1" applyAlignment="1">
      <alignment vertical="center"/>
    </xf>
    <xf numFmtId="49" fontId="30" fillId="0" borderId="22" xfId="11" applyNumberFormat="1" applyFont="1" applyAlignment="1">
      <alignment horizontal="center" vertical="center"/>
    </xf>
    <xf numFmtId="4" fontId="30" fillId="0" borderId="22" xfId="11" applyNumberFormat="1" applyFont="1" applyAlignment="1">
      <alignment vertical="center"/>
    </xf>
    <xf numFmtId="167" fontId="30" fillId="0" borderId="22" xfId="11" applyNumberFormat="1" applyFont="1" applyAlignment="1">
      <alignment horizontal="center" vertical="center"/>
    </xf>
    <xf numFmtId="167" fontId="30" fillId="0" borderId="22" xfId="11" applyNumberFormat="1" applyFont="1" applyAlignment="1">
      <alignment horizontal="right" vertical="center"/>
    </xf>
    <xf numFmtId="4" fontId="38" fillId="0" borderId="22" xfId="11" applyNumberFormat="1" applyFont="1" applyAlignment="1">
      <alignment horizontal="right" vertical="center"/>
    </xf>
    <xf numFmtId="16" fontId="25" fillId="0" borderId="22" xfId="9" applyNumberFormat="1" applyFont="1"/>
    <xf numFmtId="43" fontId="26" fillId="0" borderId="9" xfId="10" applyFont="1" applyBorder="1"/>
    <xf numFmtId="43" fontId="26" fillId="0" borderId="44" xfId="10" applyFont="1" applyBorder="1"/>
    <xf numFmtId="43" fontId="26" fillId="0" borderId="7" xfId="10" applyFont="1" applyBorder="1"/>
    <xf numFmtId="0" fontId="30" fillId="0" borderId="52" xfId="11" applyFont="1" applyBorder="1" applyAlignment="1">
      <alignment horizontal="left" vertical="center"/>
    </xf>
    <xf numFmtId="171" fontId="29" fillId="0" borderId="0" xfId="0" applyNumberFormat="1" applyFont="1" applyAlignment="1">
      <alignment horizontal="center" vertical="center"/>
    </xf>
    <xf numFmtId="171" fontId="30" fillId="0" borderId="0" xfId="0" applyNumberFormat="1" applyFont="1" applyAlignment="1">
      <alignment horizontal="center" vertical="center"/>
    </xf>
    <xf numFmtId="171" fontId="29" fillId="0" borderId="34" xfId="0" applyNumberFormat="1" applyFont="1" applyBorder="1" applyAlignment="1">
      <alignment horizontal="center" vertical="center"/>
    </xf>
    <xf numFmtId="171" fontId="0" fillId="0" borderId="0" xfId="0" applyNumberFormat="1"/>
    <xf numFmtId="43" fontId="26" fillId="0" borderId="57" xfId="10" applyFont="1" applyBorder="1"/>
    <xf numFmtId="4" fontId="17" fillId="0" borderId="9" xfId="9" applyNumberFormat="1" applyBorder="1"/>
    <xf numFmtId="43" fontId="26" fillId="0" borderId="56" xfId="10" applyFont="1" applyBorder="1"/>
    <xf numFmtId="169" fontId="47" fillId="0" borderId="58" xfId="9" applyNumberFormat="1" applyFont="1" applyBorder="1"/>
    <xf numFmtId="169" fontId="47" fillId="0" borderId="59" xfId="9" applyNumberFormat="1" applyFont="1" applyBorder="1"/>
    <xf numFmtId="4" fontId="47" fillId="0" borderId="59" xfId="9" applyNumberFormat="1" applyFont="1" applyBorder="1"/>
    <xf numFmtId="4" fontId="47" fillId="0" borderId="60" xfId="9" applyNumberFormat="1" applyFont="1" applyBorder="1"/>
    <xf numFmtId="166" fontId="0" fillId="0" borderId="0" xfId="0" applyNumberFormat="1"/>
    <xf numFmtId="171" fontId="30" fillId="0" borderId="22" xfId="16" applyNumberFormat="1" applyFont="1" applyAlignment="1">
      <alignment horizontal="center" vertical="center"/>
    </xf>
    <xf numFmtId="0" fontId="30" fillId="0" borderId="22" xfId="16" applyFont="1" applyAlignment="1">
      <alignment vertical="center"/>
    </xf>
    <xf numFmtId="15" fontId="29" fillId="0" borderId="22" xfId="16" applyNumberFormat="1" applyFont="1" applyAlignment="1">
      <alignment horizontal="center" vertical="center"/>
    </xf>
    <xf numFmtId="4" fontId="31" fillId="0" borderId="22" xfId="16" applyNumberFormat="1" applyFont="1" applyAlignment="1">
      <alignment horizontal="right" vertical="center"/>
    </xf>
    <xf numFmtId="0" fontId="61" fillId="0" borderId="22" xfId="16"/>
    <xf numFmtId="171" fontId="29" fillId="0" borderId="22" xfId="16" applyNumberFormat="1" applyFont="1" applyAlignment="1">
      <alignment horizontal="center" vertical="center"/>
    </xf>
    <xf numFmtId="0" fontId="29" fillId="0" borderId="22" xfId="16" applyFont="1" applyAlignment="1">
      <alignment vertical="center"/>
    </xf>
    <xf numFmtId="171" fontId="32" fillId="0" borderId="22" xfId="16" applyNumberFormat="1" applyFont="1" applyAlignment="1">
      <alignment horizontal="center" vertical="center"/>
    </xf>
    <xf numFmtId="4" fontId="29" fillId="0" borderId="22" xfId="16" applyNumberFormat="1" applyFont="1" applyAlignment="1">
      <alignment horizontal="center" vertical="center"/>
    </xf>
    <xf numFmtId="4" fontId="29" fillId="0" borderId="22" xfId="16" applyNumberFormat="1" applyFont="1" applyAlignment="1">
      <alignment horizontal="right" vertical="center"/>
    </xf>
    <xf numFmtId="1" fontId="33" fillId="0" borderId="22" xfId="16" applyNumberFormat="1" applyFont="1" applyAlignment="1">
      <alignment horizontal="center" vertical="center"/>
    </xf>
    <xf numFmtId="0" fontId="33" fillId="0" borderId="22" xfId="16" applyFont="1" applyAlignment="1">
      <alignment horizontal="center" vertical="center"/>
    </xf>
    <xf numFmtId="0" fontId="33" fillId="0" borderId="22" xfId="16" applyFont="1" applyAlignment="1">
      <alignment vertical="center"/>
    </xf>
    <xf numFmtId="4" fontId="30" fillId="0" borderId="22" xfId="16" applyNumberFormat="1" applyFont="1" applyAlignment="1">
      <alignment horizontal="center" vertical="center"/>
    </xf>
    <xf numFmtId="4" fontId="30" fillId="0" borderId="21" xfId="16" applyNumberFormat="1" applyFont="1" applyBorder="1" applyAlignment="1">
      <alignment horizontal="right" vertical="center"/>
    </xf>
    <xf numFmtId="0" fontId="30" fillId="0" borderId="22" xfId="16" applyFont="1" applyAlignment="1">
      <alignment horizontal="center" vertical="center"/>
    </xf>
    <xf numFmtId="4" fontId="30" fillId="0" borderId="22" xfId="16" applyNumberFormat="1" applyFont="1" applyAlignment="1">
      <alignment horizontal="right" vertical="center"/>
    </xf>
    <xf numFmtId="0" fontId="25" fillId="0" borderId="9" xfId="16" applyFont="1" applyBorder="1"/>
    <xf numFmtId="167" fontId="25" fillId="8" borderId="20" xfId="16" applyNumberFormat="1" applyFont="1" applyFill="1" applyBorder="1" applyAlignment="1">
      <alignment horizontal="center"/>
    </xf>
    <xf numFmtId="167" fontId="25" fillId="8" borderId="33" xfId="16" applyNumberFormat="1" applyFont="1" applyFill="1" applyBorder="1" applyAlignment="1">
      <alignment horizontal="center"/>
    </xf>
    <xf numFmtId="0" fontId="25" fillId="0" borderId="9" xfId="16" applyFont="1" applyBorder="1" applyAlignment="1">
      <alignment horizontal="left" vertical="center" wrapText="1"/>
    </xf>
    <xf numFmtId="167" fontId="25" fillId="8" borderId="61" xfId="16" applyNumberFormat="1" applyFont="1" applyFill="1" applyBorder="1" applyAlignment="1">
      <alignment horizontal="center"/>
    </xf>
    <xf numFmtId="171" fontId="25" fillId="0" borderId="9" xfId="17" applyNumberFormat="1" applyFont="1" applyBorder="1"/>
    <xf numFmtId="171" fontId="25" fillId="0" borderId="9" xfId="16" applyNumberFormat="1" applyFont="1" applyBorder="1" applyAlignment="1">
      <alignment horizontal="right"/>
    </xf>
    <xf numFmtId="0" fontId="25" fillId="0" borderId="9" xfId="16" applyFont="1" applyBorder="1" applyAlignment="1">
      <alignment horizontal="left"/>
    </xf>
    <xf numFmtId="167" fontId="25" fillId="8" borderId="45" xfId="16" applyNumberFormat="1" applyFont="1" applyFill="1" applyBorder="1" applyAlignment="1">
      <alignment horizontal="center"/>
    </xf>
    <xf numFmtId="0" fontId="25" fillId="0" borderId="9" xfId="16" applyFont="1" applyBorder="1" applyAlignment="1">
      <alignment horizontal="left" wrapText="1"/>
    </xf>
    <xf numFmtId="171" fontId="61" fillId="0" borderId="22" xfId="16" applyNumberFormat="1"/>
    <xf numFmtId="4" fontId="61" fillId="0" borderId="22" xfId="16" applyNumberFormat="1"/>
    <xf numFmtId="0" fontId="25" fillId="0" borderId="9" xfId="16" applyFont="1" applyBorder="1" applyAlignment="1">
      <alignment vertical="center" wrapText="1"/>
    </xf>
    <xf numFmtId="0" fontId="52" fillId="0" borderId="22" xfId="16" applyFont="1" applyAlignment="1">
      <alignment horizontal="center" vertical="center"/>
    </xf>
    <xf numFmtId="0" fontId="52" fillId="0" borderId="22" xfId="16" applyFont="1" applyAlignment="1">
      <alignment horizontal="center"/>
    </xf>
    <xf numFmtId="4" fontId="52" fillId="0" borderId="22" xfId="16" applyNumberFormat="1" applyFont="1" applyAlignment="1">
      <alignment vertical="center"/>
    </xf>
    <xf numFmtId="0" fontId="63" fillId="0" borderId="0" xfId="0" applyFont="1"/>
    <xf numFmtId="0" fontId="13" fillId="0" borderId="22" xfId="19"/>
    <xf numFmtId="0" fontId="13" fillId="0" borderId="22" xfId="20"/>
    <xf numFmtId="0" fontId="24" fillId="0" borderId="22" xfId="19" applyFont="1"/>
    <xf numFmtId="0" fontId="25" fillId="0" borderId="3" xfId="19" applyFont="1" applyBorder="1"/>
    <xf numFmtId="0" fontId="25" fillId="0" borderId="9" xfId="19" applyFont="1" applyBorder="1"/>
    <xf numFmtId="166" fontId="25" fillId="0" borderId="9" xfId="19" applyNumberFormat="1" applyFont="1" applyBorder="1"/>
    <xf numFmtId="0" fontId="25" fillId="0" borderId="9" xfId="19" applyFont="1" applyBorder="1" applyAlignment="1">
      <alignment wrapText="1"/>
    </xf>
    <xf numFmtId="166" fontId="25" fillId="0" borderId="22" xfId="19" applyNumberFormat="1" applyFont="1"/>
    <xf numFmtId="166" fontId="28" fillId="0" borderId="22" xfId="19" applyNumberFormat="1" applyFont="1"/>
    <xf numFmtId="15" fontId="23" fillId="0" borderId="22" xfId="19" applyNumberFormat="1" applyFont="1"/>
    <xf numFmtId="0" fontId="23" fillId="0" borderId="22" xfId="19" applyFont="1"/>
    <xf numFmtId="0" fontId="26" fillId="0" borderId="9" xfId="19" applyFont="1" applyBorder="1"/>
    <xf numFmtId="0" fontId="42" fillId="0" borderId="22" xfId="19" applyFont="1"/>
    <xf numFmtId="0" fontId="25" fillId="0" borderId="22" xfId="20" applyFont="1"/>
    <xf numFmtId="0" fontId="25" fillId="8" borderId="22" xfId="20" applyFont="1" applyFill="1"/>
    <xf numFmtId="167" fontId="25" fillId="0" borderId="22" xfId="19" applyNumberFormat="1" applyFont="1"/>
    <xf numFmtId="166" fontId="25" fillId="0" borderId="22" xfId="20" applyNumberFormat="1" applyFont="1"/>
    <xf numFmtId="0" fontId="24" fillId="0" borderId="22" xfId="20" applyFont="1"/>
    <xf numFmtId="167" fontId="25" fillId="0" borderId="22" xfId="19" applyNumberFormat="1" applyFont="1" applyAlignment="1">
      <alignment vertical="center"/>
    </xf>
    <xf numFmtId="0" fontId="13" fillId="8" borderId="22" xfId="20" applyFill="1"/>
    <xf numFmtId="0" fontId="13" fillId="8" borderId="22" xfId="19" applyFill="1"/>
    <xf numFmtId="16" fontId="25" fillId="0" borderId="7" xfId="19" applyNumberFormat="1" applyFont="1" applyBorder="1"/>
    <xf numFmtId="0" fontId="23" fillId="0" borderId="9" xfId="19" applyFont="1" applyBorder="1"/>
    <xf numFmtId="0" fontId="25" fillId="0" borderId="15" xfId="19" applyFont="1" applyBorder="1"/>
    <xf numFmtId="0" fontId="25" fillId="0" borderId="42" xfId="16" applyFont="1" applyBorder="1" applyAlignment="1">
      <alignment horizontal="left" vertical="center" wrapText="1"/>
    </xf>
    <xf numFmtId="4" fontId="12" fillId="0" borderId="22" xfId="16" applyNumberFormat="1" applyFont="1"/>
    <xf numFmtId="167" fontId="25" fillId="8" borderId="9" xfId="16" applyNumberFormat="1" applyFont="1" applyFill="1" applyBorder="1" applyAlignment="1">
      <alignment horizontal="center"/>
    </xf>
    <xf numFmtId="43" fontId="13" fillId="0" borderId="22" xfId="19" applyNumberFormat="1"/>
    <xf numFmtId="165" fontId="13" fillId="0" borderId="22" xfId="19" applyNumberFormat="1"/>
    <xf numFmtId="171" fontId="30" fillId="0" borderId="37" xfId="16" applyNumberFormat="1" applyFont="1" applyBorder="1" applyAlignment="1">
      <alignment horizontal="center"/>
    </xf>
    <xf numFmtId="0" fontId="30" fillId="0" borderId="37" xfId="16" applyFont="1" applyBorder="1"/>
    <xf numFmtId="0" fontId="30" fillId="0" borderId="37" xfId="16" applyFont="1" applyBorder="1" applyAlignment="1">
      <alignment horizontal="left"/>
    </xf>
    <xf numFmtId="4" fontId="29" fillId="0" borderId="62" xfId="16" applyNumberFormat="1" applyFont="1" applyBorder="1"/>
    <xf numFmtId="4" fontId="29" fillId="0" borderId="38" xfId="16" applyNumberFormat="1" applyFont="1" applyBorder="1" applyAlignment="1">
      <alignment horizontal="right"/>
    </xf>
    <xf numFmtId="4" fontId="11" fillId="0" borderId="22" xfId="16" applyNumberFormat="1" applyFont="1"/>
    <xf numFmtId="4" fontId="51" fillId="0" borderId="22" xfId="16" applyNumberFormat="1" applyFont="1"/>
    <xf numFmtId="0" fontId="45" fillId="0" borderId="42" xfId="0" applyFont="1" applyBorder="1" applyAlignment="1">
      <alignment horizontal="left" wrapText="1"/>
    </xf>
    <xf numFmtId="4" fontId="29" fillId="0" borderId="64" xfId="16" applyNumberFormat="1" applyFont="1" applyBorder="1" applyAlignment="1">
      <alignment horizontal="right"/>
    </xf>
    <xf numFmtId="4" fontId="29" fillId="0" borderId="65" xfId="16" applyNumberFormat="1" applyFont="1" applyBorder="1" applyAlignment="1">
      <alignment horizontal="right" vertical="center"/>
    </xf>
    <xf numFmtId="4" fontId="61" fillId="0" borderId="9" xfId="16" applyNumberFormat="1" applyBorder="1"/>
    <xf numFmtId="4" fontId="61" fillId="0" borderId="32" xfId="16" applyNumberFormat="1" applyBorder="1"/>
    <xf numFmtId="17" fontId="65" fillId="0" borderId="0" xfId="0" applyNumberFormat="1" applyFont="1" applyAlignment="1">
      <alignment vertical="center"/>
    </xf>
    <xf numFmtId="4" fontId="30" fillId="0" borderId="0" xfId="0" applyNumberFormat="1" applyFont="1" applyAlignment="1">
      <alignment horizontal="left" vertical="center"/>
    </xf>
    <xf numFmtId="174" fontId="66" fillId="0" borderId="22" xfId="22" applyNumberFormat="1" applyBorder="1" applyAlignment="1" applyProtection="1">
      <alignment horizontal="right"/>
    </xf>
    <xf numFmtId="0" fontId="25" fillId="8" borderId="9" xfId="19" applyFont="1" applyFill="1" applyBorder="1"/>
    <xf numFmtId="171" fontId="57" fillId="0" borderId="50" xfId="0" applyNumberFormat="1" applyFont="1" applyBorder="1" applyAlignment="1">
      <alignment horizontal="right"/>
    </xf>
    <xf numFmtId="0" fontId="57" fillId="0" borderId="51" xfId="0" applyFont="1" applyBorder="1" applyAlignment="1">
      <alignment horizontal="left"/>
    </xf>
    <xf numFmtId="0" fontId="57" fillId="0" borderId="42" xfId="0" applyFont="1" applyBorder="1" applyAlignment="1">
      <alignment horizontal="left"/>
    </xf>
    <xf numFmtId="0" fontId="57" fillId="0" borderId="50" xfId="0" applyFont="1" applyBorder="1" applyAlignment="1">
      <alignment horizontal="center"/>
    </xf>
    <xf numFmtId="167" fontId="57" fillId="0" borderId="32" xfId="0" applyNumberFormat="1" applyFont="1" applyBorder="1" applyAlignment="1">
      <alignment horizontal="left" vertical="center"/>
    </xf>
    <xf numFmtId="167" fontId="69" fillId="0" borderId="33" xfId="0" applyNumberFormat="1" applyFont="1" applyBorder="1" applyAlignment="1">
      <alignment horizontal="center"/>
    </xf>
    <xf numFmtId="167" fontId="70" fillId="2" borderId="32" xfId="0" applyNumberFormat="1" applyFont="1" applyFill="1" applyBorder="1" applyAlignment="1">
      <alignment horizontal="center" vertical="center"/>
    </xf>
    <xf numFmtId="167" fontId="70" fillId="2" borderId="33" xfId="0" applyNumberFormat="1" applyFont="1" applyFill="1" applyBorder="1" applyAlignment="1">
      <alignment horizontal="center" vertical="center"/>
    </xf>
    <xf numFmtId="167" fontId="70" fillId="4" borderId="32" xfId="0" applyNumberFormat="1" applyFont="1" applyFill="1" applyBorder="1" applyAlignment="1">
      <alignment horizontal="center" vertical="center"/>
    </xf>
    <xf numFmtId="167" fontId="57" fillId="4" borderId="33" xfId="0" applyNumberFormat="1" applyFont="1" applyFill="1" applyBorder="1" applyAlignment="1">
      <alignment horizontal="center" vertical="center"/>
    </xf>
    <xf numFmtId="167" fontId="70" fillId="5" borderId="32" xfId="0" applyNumberFormat="1" applyFont="1" applyFill="1" applyBorder="1" applyAlignment="1">
      <alignment horizontal="center" vertical="center"/>
    </xf>
    <xf numFmtId="167" fontId="70" fillId="5" borderId="33" xfId="0" applyNumberFormat="1" applyFont="1" applyFill="1" applyBorder="1" applyAlignment="1">
      <alignment horizontal="center" vertical="center"/>
    </xf>
    <xf numFmtId="167" fontId="70" fillId="6" borderId="32" xfId="0" applyNumberFormat="1" applyFont="1" applyFill="1" applyBorder="1" applyAlignment="1">
      <alignment horizontal="center" vertical="center"/>
    </xf>
    <xf numFmtId="167" fontId="70" fillId="6" borderId="33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10" fillId="0" borderId="0" xfId="0" applyFont="1"/>
    <xf numFmtId="0" fontId="10" fillId="0" borderId="9" xfId="0" applyFont="1" applyBorder="1"/>
    <xf numFmtId="0" fontId="10" fillId="0" borderId="42" xfId="0" applyFont="1" applyBorder="1"/>
    <xf numFmtId="167" fontId="57" fillId="0" borderId="32" xfId="0" applyNumberFormat="1" applyFont="1" applyBorder="1" applyAlignment="1">
      <alignment horizontal="center"/>
    </xf>
    <xf numFmtId="167" fontId="57" fillId="0" borderId="33" xfId="0" applyNumberFormat="1" applyFont="1" applyBorder="1" applyAlignment="1">
      <alignment horizontal="center"/>
    </xf>
    <xf numFmtId="167" fontId="10" fillId="2" borderId="32" xfId="0" applyNumberFormat="1" applyFont="1" applyFill="1" applyBorder="1"/>
    <xf numFmtId="167" fontId="10" fillId="2" borderId="33" xfId="0" applyNumberFormat="1" applyFont="1" applyFill="1" applyBorder="1"/>
    <xf numFmtId="167" fontId="10" fillId="4" borderId="32" xfId="0" applyNumberFormat="1" applyFont="1" applyFill="1" applyBorder="1"/>
    <xf numFmtId="167" fontId="10" fillId="4" borderId="33" xfId="0" applyNumberFormat="1" applyFont="1" applyFill="1" applyBorder="1"/>
    <xf numFmtId="167" fontId="10" fillId="5" borderId="32" xfId="0" applyNumberFormat="1" applyFont="1" applyFill="1" applyBorder="1"/>
    <xf numFmtId="167" fontId="10" fillId="5" borderId="33" xfId="0" applyNumberFormat="1" applyFont="1" applyFill="1" applyBorder="1"/>
    <xf numFmtId="167" fontId="10" fillId="6" borderId="32" xfId="0" applyNumberFormat="1" applyFont="1" applyFill="1" applyBorder="1"/>
    <xf numFmtId="167" fontId="10" fillId="6" borderId="33" xfId="0" applyNumberFormat="1" applyFont="1" applyFill="1" applyBorder="1"/>
    <xf numFmtId="167" fontId="57" fillId="0" borderId="0" xfId="0" applyNumberFormat="1" applyFont="1" applyAlignment="1">
      <alignment vertical="center"/>
    </xf>
    <xf numFmtId="0" fontId="10" fillId="0" borderId="32" xfId="0" applyFont="1" applyBorder="1" applyAlignment="1">
      <alignment horizontal="center"/>
    </xf>
    <xf numFmtId="167" fontId="70" fillId="0" borderId="32" xfId="0" applyNumberFormat="1" applyFont="1" applyBorder="1" applyAlignment="1">
      <alignment horizontal="center"/>
    </xf>
    <xf numFmtId="0" fontId="71" fillId="0" borderId="42" xfId="0" applyFont="1" applyBorder="1" applyAlignment="1">
      <alignment horizontal="left" vertical="center" wrapText="1"/>
    </xf>
    <xf numFmtId="171" fontId="47" fillId="8" borderId="32" xfId="0" applyNumberFormat="1" applyFont="1" applyFill="1" applyBorder="1" applyAlignment="1">
      <alignment horizontal="right"/>
    </xf>
    <xf numFmtId="0" fontId="69" fillId="8" borderId="42" xfId="0" applyFont="1" applyFill="1" applyBorder="1" applyAlignment="1">
      <alignment horizontal="left" vertical="center" wrapText="1"/>
    </xf>
    <xf numFmtId="167" fontId="69" fillId="0" borderId="32" xfId="0" applyNumberFormat="1" applyFont="1" applyBorder="1" applyAlignment="1">
      <alignment horizontal="center"/>
    </xf>
    <xf numFmtId="167" fontId="47" fillId="2" borderId="32" xfId="0" applyNumberFormat="1" applyFont="1" applyFill="1" applyBorder="1"/>
    <xf numFmtId="167" fontId="47" fillId="2" borderId="33" xfId="0" applyNumberFormat="1" applyFont="1" applyFill="1" applyBorder="1"/>
    <xf numFmtId="167" fontId="47" fillId="4" borderId="32" xfId="0" applyNumberFormat="1" applyFont="1" applyFill="1" applyBorder="1"/>
    <xf numFmtId="167" fontId="47" fillId="4" borderId="33" xfId="0" applyNumberFormat="1" applyFont="1" applyFill="1" applyBorder="1"/>
    <xf numFmtId="167" fontId="47" fillId="5" borderId="32" xfId="0" applyNumberFormat="1" applyFont="1" applyFill="1" applyBorder="1"/>
    <xf numFmtId="167" fontId="47" fillId="5" borderId="33" xfId="0" applyNumberFormat="1" applyFont="1" applyFill="1" applyBorder="1"/>
    <xf numFmtId="167" fontId="47" fillId="6" borderId="32" xfId="0" applyNumberFormat="1" applyFont="1" applyFill="1" applyBorder="1"/>
    <xf numFmtId="43" fontId="57" fillId="0" borderId="0" xfId="0" applyNumberFormat="1" applyFont="1" applyAlignment="1">
      <alignment vertical="center"/>
    </xf>
    <xf numFmtId="0" fontId="69" fillId="0" borderId="32" xfId="0" applyFont="1" applyBorder="1" applyAlignment="1">
      <alignment horizontal="center"/>
    </xf>
    <xf numFmtId="0" fontId="69" fillId="0" borderId="9" xfId="0" applyFont="1" applyBorder="1" applyAlignment="1">
      <alignment horizontal="left" vertical="center"/>
    </xf>
    <xf numFmtId="0" fontId="72" fillId="0" borderId="42" xfId="0" applyFont="1" applyBorder="1" applyAlignment="1">
      <alignment horizontal="left" vertical="center" wrapText="1"/>
    </xf>
    <xf numFmtId="167" fontId="47" fillId="6" borderId="33" xfId="0" applyNumberFormat="1" applyFont="1" applyFill="1" applyBorder="1"/>
    <xf numFmtId="167" fontId="69" fillId="0" borderId="0" xfId="0" applyNumberFormat="1" applyFont="1" applyAlignment="1">
      <alignment vertical="center"/>
    </xf>
    <xf numFmtId="0" fontId="69" fillId="0" borderId="0" xfId="0" applyFont="1" applyAlignment="1">
      <alignment vertical="center"/>
    </xf>
    <xf numFmtId="167" fontId="69" fillId="8" borderId="32" xfId="0" applyNumberFormat="1" applyFont="1" applyFill="1" applyBorder="1" applyAlignment="1">
      <alignment horizontal="center"/>
    </xf>
    <xf numFmtId="171" fontId="57" fillId="0" borderId="32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vertical="center"/>
    </xf>
    <xf numFmtId="0" fontId="69" fillId="0" borderId="42" xfId="0" applyFont="1" applyBorder="1" applyAlignment="1">
      <alignment horizontal="left" vertical="center" wrapText="1"/>
    </xf>
    <xf numFmtId="0" fontId="69" fillId="0" borderId="42" xfId="0" applyFont="1" applyBorder="1" applyAlignment="1">
      <alignment horizontal="left" vertical="center"/>
    </xf>
    <xf numFmtId="171" fontId="10" fillId="0" borderId="32" xfId="0" applyNumberFormat="1" applyFont="1" applyBorder="1"/>
    <xf numFmtId="15" fontId="47" fillId="0" borderId="9" xfId="0" applyNumberFormat="1" applyFont="1" applyBorder="1"/>
    <xf numFmtId="0" fontId="47" fillId="0" borderId="9" xfId="0" applyFont="1" applyBorder="1"/>
    <xf numFmtId="167" fontId="72" fillId="0" borderId="42" xfId="0" applyNumberFormat="1" applyFont="1" applyBorder="1" applyAlignment="1">
      <alignment horizontal="left" vertical="center" wrapText="1"/>
    </xf>
    <xf numFmtId="43" fontId="72" fillId="0" borderId="42" xfId="0" applyNumberFormat="1" applyFont="1" applyBorder="1" applyAlignment="1">
      <alignment horizontal="left" vertical="center" wrapText="1"/>
    </xf>
    <xf numFmtId="0" fontId="47" fillId="0" borderId="32" xfId="0" applyFont="1" applyBorder="1" applyAlignment="1">
      <alignment horizontal="center"/>
    </xf>
    <xf numFmtId="167" fontId="69" fillId="8" borderId="33" xfId="0" applyNumberFormat="1" applyFont="1" applyFill="1" applyBorder="1" applyAlignment="1">
      <alignment horizontal="center"/>
    </xf>
    <xf numFmtId="0" fontId="57" fillId="0" borderId="9" xfId="0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0" borderId="32" xfId="0" applyFont="1" applyBorder="1" applyAlignment="1">
      <alignment horizontal="center"/>
    </xf>
    <xf numFmtId="171" fontId="46" fillId="0" borderId="32" xfId="0" applyNumberFormat="1" applyFont="1" applyBorder="1"/>
    <xf numFmtId="0" fontId="73" fillId="0" borderId="42" xfId="0" applyFont="1" applyBorder="1" applyAlignment="1">
      <alignment horizontal="left" vertical="center" wrapText="1"/>
    </xf>
    <xf numFmtId="167" fontId="57" fillId="8" borderId="33" xfId="0" applyNumberFormat="1" applyFont="1" applyFill="1" applyBorder="1" applyAlignment="1">
      <alignment horizontal="center"/>
    </xf>
    <xf numFmtId="0" fontId="10" fillId="0" borderId="19" xfId="0" applyFont="1" applyBorder="1"/>
    <xf numFmtId="171" fontId="57" fillId="0" borderId="36" xfId="0" applyNumberFormat="1" applyFont="1" applyBorder="1" applyAlignment="1">
      <alignment horizontal="center" vertical="center"/>
    </xf>
    <xf numFmtId="0" fontId="57" fillId="0" borderId="37" xfId="0" applyFont="1" applyBorder="1" applyAlignment="1">
      <alignment vertical="center"/>
    </xf>
    <xf numFmtId="0" fontId="57" fillId="0" borderId="40" xfId="0" applyFont="1" applyBorder="1" applyAlignment="1">
      <alignment horizontal="left" vertical="center"/>
    </xf>
    <xf numFmtId="0" fontId="57" fillId="0" borderId="36" xfId="0" applyFont="1" applyBorder="1" applyAlignment="1">
      <alignment horizontal="center"/>
    </xf>
    <xf numFmtId="4" fontId="70" fillId="0" borderId="36" xfId="0" applyNumberFormat="1" applyFont="1" applyBorder="1" applyAlignment="1">
      <alignment vertical="center"/>
    </xf>
    <xf numFmtId="4" fontId="70" fillId="2" borderId="36" xfId="0" applyNumberFormat="1" applyFont="1" applyFill="1" applyBorder="1" applyAlignment="1">
      <alignment vertical="center"/>
    </xf>
    <xf numFmtId="4" fontId="70" fillId="2" borderId="38" xfId="0" applyNumberFormat="1" applyFont="1" applyFill="1" applyBorder="1" applyAlignment="1">
      <alignment vertical="center"/>
    </xf>
    <xf numFmtId="4" fontId="70" fillId="4" borderId="36" xfId="0" applyNumberFormat="1" applyFont="1" applyFill="1" applyBorder="1" applyAlignment="1">
      <alignment vertical="center"/>
    </xf>
    <xf numFmtId="4" fontId="70" fillId="4" borderId="38" xfId="0" applyNumberFormat="1" applyFont="1" applyFill="1" applyBorder="1" applyAlignment="1">
      <alignment vertical="center"/>
    </xf>
    <xf numFmtId="4" fontId="70" fillId="5" borderId="36" xfId="0" applyNumberFormat="1" applyFont="1" applyFill="1" applyBorder="1" applyAlignment="1">
      <alignment vertical="center"/>
    </xf>
    <xf numFmtId="4" fontId="70" fillId="6" borderId="36" xfId="0" applyNumberFormat="1" applyFont="1" applyFill="1" applyBorder="1" applyAlignment="1">
      <alignment vertical="center"/>
    </xf>
    <xf numFmtId="4" fontId="70" fillId="6" borderId="38" xfId="0" applyNumberFormat="1" applyFont="1" applyFill="1" applyBorder="1" applyAlignment="1">
      <alignment vertical="center"/>
    </xf>
    <xf numFmtId="171" fontId="57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vertical="center"/>
    </xf>
    <xf numFmtId="4" fontId="57" fillId="0" borderId="0" xfId="0" applyNumberFormat="1" applyFont="1" applyAlignment="1">
      <alignment horizontal="right" vertical="center"/>
    </xf>
    <xf numFmtId="49" fontId="57" fillId="0" borderId="0" xfId="0" applyNumberFormat="1" applyFont="1" applyAlignment="1">
      <alignment horizontal="center" vertical="center"/>
    </xf>
    <xf numFmtId="4" fontId="57" fillId="0" borderId="0" xfId="0" applyNumberFormat="1" applyFont="1" applyAlignment="1">
      <alignment vertical="center"/>
    </xf>
    <xf numFmtId="0" fontId="57" fillId="0" borderId="9" xfId="0" applyFont="1" applyBorder="1"/>
    <xf numFmtId="0" fontId="57" fillId="0" borderId="42" xfId="0" applyFont="1" applyBorder="1"/>
    <xf numFmtId="0" fontId="57" fillId="0" borderId="42" xfId="0" applyFont="1" applyBorder="1" applyAlignment="1">
      <alignment horizontal="left" wrapText="1"/>
    </xf>
    <xf numFmtId="167" fontId="57" fillId="2" borderId="32" xfId="0" applyNumberFormat="1" applyFont="1" applyFill="1" applyBorder="1"/>
    <xf numFmtId="167" fontId="57" fillId="2" borderId="33" xfId="0" applyNumberFormat="1" applyFont="1" applyFill="1" applyBorder="1"/>
    <xf numFmtId="167" fontId="57" fillId="4" borderId="32" xfId="0" applyNumberFormat="1" applyFont="1" applyFill="1" applyBorder="1"/>
    <xf numFmtId="167" fontId="57" fillId="4" borderId="33" xfId="0" applyNumberFormat="1" applyFont="1" applyFill="1" applyBorder="1"/>
    <xf numFmtId="167" fontId="57" fillId="5" borderId="32" xfId="0" applyNumberFormat="1" applyFont="1" applyFill="1" applyBorder="1"/>
    <xf numFmtId="167" fontId="57" fillId="5" borderId="33" xfId="0" applyNumberFormat="1" applyFont="1" applyFill="1" applyBorder="1"/>
    <xf numFmtId="167" fontId="57" fillId="6" borderId="32" xfId="0" applyNumberFormat="1" applyFont="1" applyFill="1" applyBorder="1"/>
    <xf numFmtId="167" fontId="57" fillId="6" borderId="33" xfId="0" applyNumberFormat="1" applyFont="1" applyFill="1" applyBorder="1"/>
    <xf numFmtId="43" fontId="57" fillId="0" borderId="11" xfId="1" applyFont="1" applyBorder="1"/>
    <xf numFmtId="0" fontId="69" fillId="8" borderId="9" xfId="0" applyFont="1" applyFill="1" applyBorder="1"/>
    <xf numFmtId="167" fontId="69" fillId="2" borderId="32" xfId="0" applyNumberFormat="1" applyFont="1" applyFill="1" applyBorder="1"/>
    <xf numFmtId="167" fontId="69" fillId="2" borderId="33" xfId="0" applyNumberFormat="1" applyFont="1" applyFill="1" applyBorder="1"/>
    <xf numFmtId="167" fontId="69" fillId="4" borderId="32" xfId="0" applyNumberFormat="1" applyFont="1" applyFill="1" applyBorder="1"/>
    <xf numFmtId="167" fontId="69" fillId="4" borderId="33" xfId="0" applyNumberFormat="1" applyFont="1" applyFill="1" applyBorder="1"/>
    <xf numFmtId="167" fontId="69" fillId="5" borderId="32" xfId="0" applyNumberFormat="1" applyFont="1" applyFill="1" applyBorder="1"/>
    <xf numFmtId="167" fontId="69" fillId="5" borderId="33" xfId="0" applyNumberFormat="1" applyFont="1" applyFill="1" applyBorder="1"/>
    <xf numFmtId="167" fontId="69" fillId="6" borderId="32" xfId="0" applyNumberFormat="1" applyFont="1" applyFill="1" applyBorder="1"/>
    <xf numFmtId="4" fontId="9" fillId="0" borderId="22" xfId="16" applyNumberFormat="1" applyFont="1"/>
    <xf numFmtId="4" fontId="8" fillId="0" borderId="22" xfId="16" applyNumberFormat="1" applyFont="1"/>
    <xf numFmtId="169" fontId="25" fillId="0" borderId="45" xfId="0" applyNumberFormat="1" applyFont="1" applyBorder="1"/>
    <xf numFmtId="175" fontId="13" fillId="0" borderId="22" xfId="20" applyNumberFormat="1"/>
    <xf numFmtId="175" fontId="44" fillId="0" borderId="22" xfId="20" applyNumberFormat="1" applyFont="1" applyAlignment="1">
      <alignment horizontal="right"/>
    </xf>
    <xf numFmtId="175" fontId="24" fillId="0" borderId="22" xfId="20" applyNumberFormat="1" applyFont="1"/>
    <xf numFmtId="175" fontId="25" fillId="0" borderId="9" xfId="20" applyNumberFormat="1" applyFont="1" applyBorder="1"/>
    <xf numFmtId="175" fontId="24" fillId="0" borderId="10" xfId="20" applyNumberFormat="1" applyFont="1" applyBorder="1"/>
    <xf numFmtId="175" fontId="25" fillId="0" borderId="9" xfId="21" applyNumberFormat="1" applyFont="1" applyBorder="1"/>
    <xf numFmtId="175" fontId="24" fillId="0" borderId="10" xfId="21" applyNumberFormat="1" applyFont="1" applyBorder="1"/>
    <xf numFmtId="175" fontId="25" fillId="0" borderId="11" xfId="20" applyNumberFormat="1" applyFont="1" applyBorder="1"/>
    <xf numFmtId="175" fontId="26" fillId="0" borderId="10" xfId="21" applyNumberFormat="1" applyFont="1" applyBorder="1"/>
    <xf numFmtId="175" fontId="25" fillId="0" borderId="20" xfId="21" applyNumberFormat="1" applyFont="1" applyBorder="1"/>
    <xf numFmtId="175" fontId="25" fillId="0" borderId="11" xfId="21" applyNumberFormat="1" applyFont="1" applyBorder="1"/>
    <xf numFmtId="175" fontId="25" fillId="8" borderId="11" xfId="21" applyNumberFormat="1" applyFont="1" applyFill="1" applyBorder="1"/>
    <xf numFmtId="175" fontId="26" fillId="8" borderId="10" xfId="21" applyNumberFormat="1" applyFont="1" applyFill="1" applyBorder="1"/>
    <xf numFmtId="175" fontId="25" fillId="0" borderId="15" xfId="21" applyNumberFormat="1" applyFont="1" applyBorder="1"/>
    <xf numFmtId="175" fontId="25" fillId="0" borderId="14" xfId="21" applyNumberFormat="1" applyFont="1" applyBorder="1"/>
    <xf numFmtId="175" fontId="25" fillId="0" borderId="48" xfId="21" applyNumberFormat="1" applyFont="1" applyBorder="1"/>
    <xf numFmtId="175" fontId="23" fillId="0" borderId="54" xfId="21" applyNumberFormat="1" applyFont="1" applyBorder="1"/>
    <xf numFmtId="175" fontId="23" fillId="0" borderId="10" xfId="21" applyNumberFormat="1" applyFont="1" applyBorder="1"/>
    <xf numFmtId="171" fontId="25" fillId="0" borderId="51" xfId="17" applyNumberFormat="1" applyFont="1" applyBorder="1"/>
    <xf numFmtId="0" fontId="25" fillId="0" borderId="51" xfId="16" applyFont="1" applyBorder="1"/>
    <xf numFmtId="0" fontId="25" fillId="0" borderId="51" xfId="16" applyFont="1" applyBorder="1" applyAlignment="1">
      <alignment horizontal="left" vertical="center" wrapText="1"/>
    </xf>
    <xf numFmtId="167" fontId="25" fillId="8" borderId="68" xfId="16" applyNumberFormat="1" applyFont="1" applyFill="1" applyBorder="1" applyAlignment="1">
      <alignment horizontal="center"/>
    </xf>
    <xf numFmtId="167" fontId="25" fillId="8" borderId="69" xfId="16" applyNumberFormat="1" applyFont="1" applyFill="1" applyBorder="1" applyAlignment="1">
      <alignment horizontal="center"/>
    </xf>
    <xf numFmtId="4" fontId="61" fillId="0" borderId="50" xfId="16" applyNumberFormat="1" applyBorder="1"/>
    <xf numFmtId="4" fontId="61" fillId="0" borderId="51" xfId="16" applyNumberFormat="1" applyBorder="1"/>
    <xf numFmtId="171" fontId="29" fillId="0" borderId="35" xfId="0" applyNumberFormat="1" applyFont="1" applyBorder="1" applyAlignment="1">
      <alignment horizontal="center" vertical="center"/>
    </xf>
    <xf numFmtId="167" fontId="29" fillId="0" borderId="70" xfId="0" applyNumberFormat="1" applyFont="1" applyBorder="1" applyAlignment="1">
      <alignment horizontal="center" vertical="center"/>
    </xf>
    <xf numFmtId="4" fontId="29" fillId="0" borderId="71" xfId="0" applyNumberFormat="1" applyFont="1" applyBorder="1" applyAlignment="1">
      <alignment horizontal="right" vertical="center"/>
    </xf>
    <xf numFmtId="4" fontId="46" fillId="0" borderId="26" xfId="16" applyNumberFormat="1" applyFont="1" applyBorder="1"/>
    <xf numFmtId="4" fontId="46" fillId="0" borderId="72" xfId="16" applyNumberFormat="1" applyFont="1" applyBorder="1"/>
    <xf numFmtId="171" fontId="29" fillId="0" borderId="37" xfId="0" applyNumberFormat="1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167" fontId="29" fillId="0" borderId="62" xfId="0" applyNumberFormat="1" applyFont="1" applyBorder="1" applyAlignment="1">
      <alignment horizontal="center" vertical="center"/>
    </xf>
    <xf numFmtId="4" fontId="29" fillId="0" borderId="38" xfId="0" applyNumberFormat="1" applyFont="1" applyBorder="1" applyAlignment="1">
      <alignment horizontal="right" vertical="center"/>
    </xf>
    <xf numFmtId="4" fontId="46" fillId="0" borderId="36" xfId="16" applyNumberFormat="1" applyFont="1" applyBorder="1"/>
    <xf numFmtId="4" fontId="46" fillId="0" borderId="37" xfId="16" applyNumberFormat="1" applyFont="1" applyBorder="1"/>
    <xf numFmtId="16" fontId="13" fillId="0" borderId="22" xfId="19" applyNumberFormat="1"/>
    <xf numFmtId="16" fontId="7" fillId="0" borderId="22" xfId="19" applyNumberFormat="1" applyFont="1"/>
    <xf numFmtId="16" fontId="13" fillId="0" borderId="9" xfId="19" applyNumberFormat="1" applyBorder="1"/>
    <xf numFmtId="4" fontId="13" fillId="0" borderId="22" xfId="19" applyNumberFormat="1"/>
    <xf numFmtId="16" fontId="13" fillId="0" borderId="3" xfId="19" applyNumberFormat="1" applyBorder="1"/>
    <xf numFmtId="0" fontId="0" fillId="0" borderId="9" xfId="0" applyBorder="1"/>
    <xf numFmtId="4" fontId="13" fillId="0" borderId="22" xfId="20" applyNumberFormat="1"/>
    <xf numFmtId="4" fontId="24" fillId="0" borderId="22" xfId="20" applyNumberFormat="1" applyFont="1"/>
    <xf numFmtId="16" fontId="25" fillId="0" borderId="20" xfId="19" applyNumberFormat="1" applyFont="1" applyBorder="1"/>
    <xf numFmtId="16" fontId="13" fillId="0" borderId="11" xfId="19" applyNumberFormat="1" applyBorder="1"/>
    <xf numFmtId="4" fontId="13" fillId="0" borderId="6" xfId="20" applyNumberFormat="1" applyBorder="1" applyAlignment="1">
      <alignment horizontal="center"/>
    </xf>
    <xf numFmtId="4" fontId="13" fillId="0" borderId="73" xfId="20" applyNumberFormat="1" applyBorder="1" applyAlignment="1">
      <alignment horizontal="center"/>
    </xf>
    <xf numFmtId="4" fontId="6" fillId="0" borderId="22" xfId="19" applyNumberFormat="1" applyFont="1"/>
    <xf numFmtId="4" fontId="25" fillId="0" borderId="22" xfId="20" applyNumberFormat="1" applyFont="1"/>
    <xf numFmtId="4" fontId="24" fillId="0" borderId="46" xfId="20" applyNumberFormat="1" applyFont="1" applyBorder="1"/>
    <xf numFmtId="4" fontId="13" fillId="0" borderId="46" xfId="19" applyNumberFormat="1" applyBorder="1"/>
    <xf numFmtId="4" fontId="25" fillId="0" borderId="46" xfId="19" applyNumberFormat="1" applyFont="1" applyBorder="1"/>
    <xf numFmtId="4" fontId="28" fillId="0" borderId="46" xfId="19" applyNumberFormat="1" applyFont="1" applyBorder="1"/>
    <xf numFmtId="4" fontId="23" fillId="0" borderId="46" xfId="19" applyNumberFormat="1" applyFont="1" applyBorder="1"/>
    <xf numFmtId="4" fontId="42" fillId="0" borderId="46" xfId="19" applyNumberFormat="1" applyFont="1" applyBorder="1"/>
    <xf numFmtId="4" fontId="25" fillId="0" borderId="46" xfId="20" applyNumberFormat="1" applyFont="1" applyBorder="1"/>
    <xf numFmtId="4" fontId="25" fillId="8" borderId="46" xfId="20" applyNumberFormat="1" applyFont="1" applyFill="1" applyBorder="1"/>
    <xf numFmtId="4" fontId="25" fillId="0" borderId="46" xfId="19" applyNumberFormat="1" applyFont="1" applyBorder="1" applyAlignment="1">
      <alignment vertical="center"/>
    </xf>
    <xf numFmtId="4" fontId="13" fillId="0" borderId="46" xfId="20" applyNumberFormat="1" applyBorder="1"/>
    <xf numFmtId="4" fontId="13" fillId="8" borderId="46" xfId="20" applyNumberFormat="1" applyFill="1" applyBorder="1"/>
    <xf numFmtId="4" fontId="13" fillId="8" borderId="46" xfId="19" applyNumberFormat="1" applyFill="1" applyBorder="1"/>
    <xf numFmtId="0" fontId="25" fillId="0" borderId="42" xfId="19" applyFont="1" applyBorder="1"/>
    <xf numFmtId="0" fontId="25" fillId="0" borderId="42" xfId="19" applyFont="1" applyBorder="1" applyAlignment="1">
      <alignment wrapText="1"/>
    </xf>
    <xf numFmtId="166" fontId="25" fillId="0" borderId="42" xfId="19" applyNumberFormat="1" applyFont="1" applyBorder="1"/>
    <xf numFmtId="0" fontId="26" fillId="0" borderId="42" xfId="19" applyFont="1" applyBorder="1"/>
    <xf numFmtId="0" fontId="25" fillId="8" borderId="42" xfId="19" applyFont="1" applyFill="1" applyBorder="1"/>
    <xf numFmtId="0" fontId="23" fillId="0" borderId="42" xfId="19" applyFont="1" applyBorder="1"/>
    <xf numFmtId="0" fontId="25" fillId="0" borderId="76" xfId="19" applyFont="1" applyBorder="1"/>
    <xf numFmtId="4" fontId="24" fillId="0" borderId="77" xfId="20" applyNumberFormat="1" applyFont="1" applyBorder="1"/>
    <xf numFmtId="4" fontId="24" fillId="0" borderId="77" xfId="21" applyNumberFormat="1" applyFont="1" applyBorder="1"/>
    <xf numFmtId="4" fontId="26" fillId="0" borderId="77" xfId="21" applyNumberFormat="1" applyFont="1" applyBorder="1"/>
    <xf numFmtId="4" fontId="26" fillId="8" borderId="77" xfId="21" applyNumberFormat="1" applyFont="1" applyFill="1" applyBorder="1"/>
    <xf numFmtId="4" fontId="23" fillId="0" borderId="77" xfId="21" applyNumberFormat="1" applyFont="1" applyBorder="1"/>
    <xf numFmtId="4" fontId="24" fillId="0" borderId="12" xfId="20" applyNumberFormat="1" applyFont="1" applyBorder="1"/>
    <xf numFmtId="4" fontId="24" fillId="0" borderId="78" xfId="21" applyNumberFormat="1" applyFont="1" applyBorder="1"/>
    <xf numFmtId="4" fontId="26" fillId="0" borderId="78" xfId="21" applyNumberFormat="1" applyFont="1" applyBorder="1"/>
    <xf numFmtId="4" fontId="26" fillId="8" borderId="78" xfId="21" applyNumberFormat="1" applyFont="1" applyFill="1" applyBorder="1"/>
    <xf numFmtId="4" fontId="23" fillId="0" borderId="79" xfId="21" applyNumberFormat="1" applyFont="1" applyBorder="1"/>
    <xf numFmtId="4" fontId="23" fillId="0" borderId="78" xfId="21" applyNumberFormat="1" applyFont="1" applyBorder="1"/>
    <xf numFmtId="4" fontId="24" fillId="0" borderId="80" xfId="20" applyNumberFormat="1" applyFont="1" applyBorder="1"/>
    <xf numFmtId="4" fontId="24" fillId="0" borderId="81" xfId="20" applyNumberFormat="1" applyFont="1" applyBorder="1"/>
    <xf numFmtId="16" fontId="6" fillId="0" borderId="9" xfId="19" applyNumberFormat="1" applyFont="1" applyBorder="1"/>
    <xf numFmtId="4" fontId="24" fillId="0" borderId="75" xfId="20" applyNumberFormat="1" applyFont="1" applyBorder="1"/>
    <xf numFmtId="4" fontId="24" fillId="0" borderId="78" xfId="20" applyNumberFormat="1" applyFont="1" applyBorder="1"/>
    <xf numFmtId="16" fontId="6" fillId="0" borderId="22" xfId="19" applyNumberFormat="1" applyFont="1"/>
    <xf numFmtId="4" fontId="25" fillId="0" borderId="74" xfId="20" applyNumberFormat="1" applyFont="1" applyBorder="1"/>
    <xf numFmtId="4" fontId="25" fillId="0" borderId="77" xfId="20" applyNumberFormat="1" applyFont="1" applyBorder="1"/>
    <xf numFmtId="4" fontId="25" fillId="0" borderId="77" xfId="21" applyNumberFormat="1" applyFont="1" applyBorder="1"/>
    <xf numFmtId="4" fontId="13" fillId="0" borderId="73" xfId="20" applyNumberFormat="1" applyBorder="1" applyAlignment="1">
      <alignment horizontal="center" wrapText="1"/>
    </xf>
    <xf numFmtId="4" fontId="25" fillId="0" borderId="74" xfId="20" applyNumberFormat="1" applyFont="1" applyBorder="1" applyAlignment="1">
      <alignment wrapText="1"/>
    </xf>
    <xf numFmtId="4" fontId="25" fillId="0" borderId="22" xfId="20" applyNumberFormat="1" applyFont="1" applyAlignment="1">
      <alignment wrapText="1"/>
    </xf>
    <xf numFmtId="4" fontId="6" fillId="0" borderId="22" xfId="19" applyNumberFormat="1" applyFont="1" applyAlignment="1">
      <alignment wrapText="1"/>
    </xf>
    <xf numFmtId="4" fontId="6" fillId="0" borderId="75" xfId="19" applyNumberFormat="1" applyFont="1" applyBorder="1" applyAlignment="1">
      <alignment wrapText="1"/>
    </xf>
    <xf numFmtId="171" fontId="30" fillId="0" borderId="22" xfId="23" applyNumberFormat="1" applyFont="1" applyAlignment="1">
      <alignment horizontal="center" vertical="center"/>
    </xf>
    <xf numFmtId="0" fontId="30" fillId="0" borderId="22" xfId="23" applyFont="1" applyAlignment="1">
      <alignment vertical="center"/>
    </xf>
    <xf numFmtId="15" fontId="29" fillId="0" borderId="22" xfId="23" applyNumberFormat="1" applyFont="1" applyAlignment="1">
      <alignment horizontal="center" vertical="center"/>
    </xf>
    <xf numFmtId="4" fontId="31" fillId="0" borderId="22" xfId="23" applyNumberFormat="1" applyFont="1" applyAlignment="1">
      <alignment horizontal="right" vertical="center"/>
    </xf>
    <xf numFmtId="4" fontId="6" fillId="0" borderId="22" xfId="23" applyNumberFormat="1"/>
    <xf numFmtId="171" fontId="29" fillId="0" borderId="22" xfId="23" applyNumberFormat="1" applyFont="1" applyAlignment="1">
      <alignment horizontal="center" vertical="center"/>
    </xf>
    <xf numFmtId="0" fontId="29" fillId="0" borderId="22" xfId="23" applyFont="1" applyAlignment="1">
      <alignment vertical="center"/>
    </xf>
    <xf numFmtId="172" fontId="6" fillId="0" borderId="22" xfId="23" applyNumberFormat="1"/>
    <xf numFmtId="171" fontId="32" fillId="0" borderId="22" xfId="23" applyNumberFormat="1" applyFont="1" applyAlignment="1">
      <alignment horizontal="center" vertical="center"/>
    </xf>
    <xf numFmtId="4" fontId="29" fillId="0" borderId="22" xfId="23" applyNumberFormat="1" applyFont="1" applyAlignment="1">
      <alignment horizontal="center" vertical="center"/>
    </xf>
    <xf numFmtId="4" fontId="29" fillId="0" borderId="22" xfId="23" applyNumberFormat="1" applyFont="1" applyAlignment="1">
      <alignment horizontal="right" vertical="center"/>
    </xf>
    <xf numFmtId="1" fontId="33" fillId="0" borderId="22" xfId="23" applyNumberFormat="1" applyFont="1" applyAlignment="1">
      <alignment horizontal="center" vertical="center"/>
    </xf>
    <xf numFmtId="0" fontId="52" fillId="0" borderId="22" xfId="23" applyFont="1" applyAlignment="1">
      <alignment horizontal="center" vertical="center"/>
    </xf>
    <xf numFmtId="4" fontId="52" fillId="0" borderId="22" xfId="23" applyNumberFormat="1" applyFont="1" applyAlignment="1">
      <alignment vertical="center"/>
    </xf>
    <xf numFmtId="4" fontId="30" fillId="0" borderId="22" xfId="23" applyNumberFormat="1" applyFont="1" applyAlignment="1">
      <alignment horizontal="center" vertical="center"/>
    </xf>
    <xf numFmtId="4" fontId="30" fillId="0" borderId="21" xfId="23" applyNumberFormat="1" applyFont="1" applyBorder="1" applyAlignment="1">
      <alignment horizontal="right" vertical="center"/>
    </xf>
    <xf numFmtId="0" fontId="52" fillId="0" borderId="22" xfId="23" applyFont="1" applyAlignment="1">
      <alignment horizontal="center"/>
    </xf>
    <xf numFmtId="0" fontId="33" fillId="0" borderId="22" xfId="23" applyFont="1" applyAlignment="1">
      <alignment horizontal="center" vertical="center"/>
    </xf>
    <xf numFmtId="0" fontId="33" fillId="0" borderId="22" xfId="23" applyFont="1" applyAlignment="1">
      <alignment vertical="center"/>
    </xf>
    <xf numFmtId="4" fontId="29" fillId="0" borderId="21" xfId="23" applyNumberFormat="1" applyFont="1" applyBorder="1" applyAlignment="1">
      <alignment horizontal="right" vertical="center"/>
    </xf>
    <xf numFmtId="4" fontId="51" fillId="0" borderId="22" xfId="23" applyNumberFormat="1" applyFont="1"/>
    <xf numFmtId="171" fontId="29" fillId="0" borderId="9" xfId="23" applyNumberFormat="1" applyFont="1" applyBorder="1" applyAlignment="1">
      <alignment horizontal="center" vertical="center"/>
    </xf>
    <xf numFmtId="0" fontId="29" fillId="0" borderId="9" xfId="23" applyFont="1" applyBorder="1" applyAlignment="1">
      <alignment horizontal="center" vertical="center"/>
    </xf>
    <xf numFmtId="167" fontId="29" fillId="0" borderId="20" xfId="23" applyNumberFormat="1" applyFont="1" applyBorder="1" applyAlignment="1">
      <alignment horizontal="center" vertical="center"/>
    </xf>
    <xf numFmtId="4" fontId="29" fillId="0" borderId="33" xfId="23" applyNumberFormat="1" applyFont="1" applyBorder="1" applyAlignment="1">
      <alignment horizontal="right" vertical="center"/>
    </xf>
    <xf numFmtId="4" fontId="46" fillId="0" borderId="30" xfId="23" applyNumberFormat="1" applyFont="1" applyBorder="1"/>
    <xf numFmtId="4" fontId="46" fillId="0" borderId="82" xfId="23" applyNumberFormat="1" applyFont="1" applyBorder="1"/>
    <xf numFmtId="4" fontId="46" fillId="0" borderId="20" xfId="23" applyNumberFormat="1" applyFont="1" applyBorder="1"/>
    <xf numFmtId="4" fontId="46" fillId="0" borderId="32" xfId="23" applyNumberFormat="1" applyFont="1" applyBorder="1"/>
    <xf numFmtId="4" fontId="46" fillId="0" borderId="9" xfId="23" applyNumberFormat="1" applyFont="1" applyBorder="1"/>
    <xf numFmtId="4" fontId="6" fillId="0" borderId="9" xfId="23" applyNumberFormat="1" applyBorder="1"/>
    <xf numFmtId="171" fontId="25" fillId="0" borderId="9" xfId="24" applyNumberFormat="1" applyFont="1" applyBorder="1"/>
    <xf numFmtId="0" fontId="25" fillId="0" borderId="9" xfId="23" applyFont="1" applyBorder="1"/>
    <xf numFmtId="0" fontId="25" fillId="0" borderId="9" xfId="23" applyFont="1" applyBorder="1" applyAlignment="1">
      <alignment horizontal="left" vertical="center" wrapText="1"/>
    </xf>
    <xf numFmtId="167" fontId="25" fillId="8" borderId="20" xfId="23" applyNumberFormat="1" applyFont="1" applyFill="1" applyBorder="1" applyAlignment="1">
      <alignment horizontal="center"/>
    </xf>
    <xf numFmtId="167" fontId="25" fillId="8" borderId="33" xfId="23" applyNumberFormat="1" applyFont="1" applyFill="1" applyBorder="1" applyAlignment="1">
      <alignment horizontal="center"/>
    </xf>
    <xf numFmtId="4" fontId="6" fillId="0" borderId="32" xfId="23" applyNumberFormat="1" applyBorder="1"/>
    <xf numFmtId="171" fontId="25" fillId="0" borderId="9" xfId="23" applyNumberFormat="1" applyFont="1" applyBorder="1" applyAlignment="1">
      <alignment horizontal="right"/>
    </xf>
    <xf numFmtId="0" fontId="25" fillId="0" borderId="9" xfId="23" applyFont="1" applyBorder="1" applyAlignment="1">
      <alignment horizontal="left" wrapText="1"/>
    </xf>
    <xf numFmtId="0" fontId="25" fillId="0" borderId="9" xfId="23" applyFont="1" applyBorder="1" applyAlignment="1">
      <alignment horizontal="left"/>
    </xf>
    <xf numFmtId="167" fontId="25" fillId="8" borderId="45" xfId="23" applyNumberFormat="1" applyFont="1" applyFill="1" applyBorder="1" applyAlignment="1">
      <alignment horizontal="center"/>
    </xf>
    <xf numFmtId="167" fontId="25" fillId="8" borderId="61" xfId="23" applyNumberFormat="1" applyFont="1" applyFill="1" applyBorder="1" applyAlignment="1">
      <alignment horizontal="center"/>
    </xf>
    <xf numFmtId="0" fontId="25" fillId="0" borderId="9" xfId="23" applyFont="1" applyBorder="1" applyAlignment="1">
      <alignment vertical="center" wrapText="1"/>
    </xf>
    <xf numFmtId="0" fontId="25" fillId="11" borderId="9" xfId="23" applyFont="1" applyFill="1" applyBorder="1" applyAlignment="1">
      <alignment horizontal="left" wrapText="1"/>
    </xf>
    <xf numFmtId="0" fontId="25" fillId="0" borderId="42" xfId="23" applyFont="1" applyBorder="1" applyAlignment="1">
      <alignment horizontal="left" vertical="center"/>
    </xf>
    <xf numFmtId="167" fontId="25" fillId="8" borderId="9" xfId="23" applyNumberFormat="1" applyFont="1" applyFill="1" applyBorder="1" applyAlignment="1">
      <alignment horizontal="center"/>
    </xf>
    <xf numFmtId="167" fontId="25" fillId="12" borderId="33" xfId="23" applyNumberFormat="1" applyFont="1" applyFill="1" applyBorder="1" applyAlignment="1">
      <alignment horizontal="center"/>
    </xf>
    <xf numFmtId="0" fontId="25" fillId="0" borderId="42" xfId="23" applyFont="1" applyBorder="1" applyAlignment="1">
      <alignment horizontal="left" vertical="center" wrapText="1"/>
    </xf>
    <xf numFmtId="167" fontId="25" fillId="8" borderId="42" xfId="23" applyNumberFormat="1" applyFont="1" applyFill="1" applyBorder="1" applyAlignment="1">
      <alignment horizontal="center"/>
    </xf>
    <xf numFmtId="0" fontId="25" fillId="8" borderId="9" xfId="23" applyFont="1" applyFill="1" applyBorder="1" applyAlignment="1">
      <alignment horizontal="left" wrapText="1"/>
    </xf>
    <xf numFmtId="0" fontId="74" fillId="0" borderId="42" xfId="23" applyFont="1" applyBorder="1" applyAlignment="1">
      <alignment horizontal="left" vertical="center" wrapText="1"/>
    </xf>
    <xf numFmtId="0" fontId="25" fillId="12" borderId="9" xfId="23" applyFont="1" applyFill="1" applyBorder="1" applyAlignment="1">
      <alignment horizontal="left" wrapText="1"/>
    </xf>
    <xf numFmtId="167" fontId="25" fillId="0" borderId="45" xfId="23" applyNumberFormat="1" applyFont="1" applyBorder="1" applyAlignment="1">
      <alignment horizontal="center"/>
    </xf>
    <xf numFmtId="167" fontId="25" fillId="0" borderId="61" xfId="23" applyNumberFormat="1" applyFont="1" applyBorder="1" applyAlignment="1">
      <alignment horizontal="center"/>
    </xf>
    <xf numFmtId="0" fontId="25" fillId="0" borderId="42" xfId="23" applyFont="1" applyBorder="1" applyAlignment="1">
      <alignment horizontal="left" wrapText="1"/>
    </xf>
    <xf numFmtId="0" fontId="25" fillId="0" borderId="67" xfId="23" applyFont="1" applyBorder="1"/>
    <xf numFmtId="0" fontId="25" fillId="0" borderId="66" xfId="23" applyFont="1" applyBorder="1" applyAlignment="1">
      <alignment horizontal="left" wrapText="1"/>
    </xf>
    <xf numFmtId="171" fontId="30" fillId="0" borderId="37" xfId="23" applyNumberFormat="1" applyFont="1" applyBorder="1" applyAlignment="1">
      <alignment horizontal="center"/>
    </xf>
    <xf numFmtId="0" fontId="30" fillId="0" borderId="37" xfId="23" applyFont="1" applyBorder="1"/>
    <xf numFmtId="0" fontId="30" fillId="0" borderId="37" xfId="23" applyFont="1" applyBorder="1" applyAlignment="1">
      <alignment horizontal="left"/>
    </xf>
    <xf numFmtId="4" fontId="29" fillId="0" borderId="62" xfId="23" applyNumberFormat="1" applyFont="1" applyBorder="1"/>
    <xf numFmtId="4" fontId="29" fillId="0" borderId="38" xfId="23" applyNumberFormat="1" applyFont="1" applyBorder="1" applyAlignment="1">
      <alignment horizontal="right"/>
    </xf>
    <xf numFmtId="4" fontId="29" fillId="0" borderId="64" xfId="23" applyNumberFormat="1" applyFont="1" applyBorder="1" applyAlignment="1">
      <alignment horizontal="right"/>
    </xf>
    <xf numFmtId="4" fontId="29" fillId="0" borderId="65" xfId="23" applyNumberFormat="1" applyFont="1" applyBorder="1" applyAlignment="1">
      <alignment horizontal="right" vertical="center"/>
    </xf>
    <xf numFmtId="4" fontId="29" fillId="0" borderId="64" xfId="23" applyNumberFormat="1" applyFont="1" applyBorder="1" applyAlignment="1">
      <alignment horizontal="right" vertical="center"/>
    </xf>
    <xf numFmtId="0" fontId="30" fillId="0" borderId="22" xfId="23" applyFont="1" applyAlignment="1">
      <alignment horizontal="center" vertical="center"/>
    </xf>
    <xf numFmtId="4" fontId="30" fillId="0" borderId="22" xfId="23" applyNumberFormat="1" applyFont="1" applyAlignment="1">
      <alignment horizontal="right" vertical="center"/>
    </xf>
    <xf numFmtId="171" fontId="6" fillId="0" borderId="22" xfId="23" applyNumberFormat="1"/>
    <xf numFmtId="0" fontId="6" fillId="0" borderId="22" xfId="23"/>
    <xf numFmtId="0" fontId="25" fillId="0" borderId="22" xfId="23" applyFont="1" applyAlignment="1">
      <alignment horizontal="left" vertical="center" wrapText="1"/>
    </xf>
    <xf numFmtId="0" fontId="57" fillId="0" borderId="48" xfId="0" applyFont="1" applyBorder="1"/>
    <xf numFmtId="0" fontId="75" fillId="0" borderId="50" xfId="0" applyFont="1" applyBorder="1" applyAlignment="1">
      <alignment horizontal="center"/>
    </xf>
    <xf numFmtId="4" fontId="75" fillId="0" borderId="33" xfId="0" applyNumberFormat="1" applyFont="1" applyBorder="1" applyAlignment="1">
      <alignment horizontal="right"/>
    </xf>
    <xf numFmtId="0" fontId="75" fillId="0" borderId="51" xfId="0" applyFont="1" applyBorder="1" applyAlignment="1">
      <alignment horizontal="left"/>
    </xf>
    <xf numFmtId="0" fontId="75" fillId="0" borderId="52" xfId="0" applyFont="1" applyBorder="1" applyAlignment="1">
      <alignment horizontal="left"/>
    </xf>
    <xf numFmtId="4" fontId="57" fillId="0" borderId="0" xfId="0" applyNumberFormat="1" applyFont="1" applyAlignment="1">
      <alignment horizontal="center" vertical="center"/>
    </xf>
    <xf numFmtId="4" fontId="57" fillId="0" borderId="0" xfId="0" applyNumberFormat="1" applyFont="1" applyAlignment="1">
      <alignment horizontal="center"/>
    </xf>
    <xf numFmtId="4" fontId="76" fillId="0" borderId="0" xfId="0" applyNumberFormat="1" applyFont="1" applyAlignment="1">
      <alignment horizontal="center" vertical="center"/>
    </xf>
    <xf numFmtId="4" fontId="70" fillId="0" borderId="37" xfId="0" applyNumberFormat="1" applyFont="1" applyBorder="1" applyAlignment="1">
      <alignment vertical="center"/>
    </xf>
    <xf numFmtId="4" fontId="70" fillId="0" borderId="83" xfId="0" applyNumberFormat="1" applyFont="1" applyBorder="1" applyAlignment="1">
      <alignment vertical="center"/>
    </xf>
    <xf numFmtId="0" fontId="39" fillId="9" borderId="22" xfId="25" applyFont="1" applyFill="1"/>
    <xf numFmtId="0" fontId="24" fillId="0" borderId="22" xfId="25" applyFont="1"/>
    <xf numFmtId="0" fontId="24" fillId="0" borderId="22" xfId="25" applyFont="1" applyAlignment="1">
      <alignment horizontal="right"/>
    </xf>
    <xf numFmtId="166" fontId="24" fillId="0" borderId="22" xfId="25" applyNumberFormat="1" applyFont="1"/>
    <xf numFmtId="0" fontId="5" fillId="0" borderId="22" xfId="25"/>
    <xf numFmtId="166" fontId="23" fillId="0" borderId="22" xfId="25" applyNumberFormat="1" applyFont="1"/>
    <xf numFmtId="166" fontId="25" fillId="0" borderId="22" xfId="25" applyNumberFormat="1" applyFont="1"/>
    <xf numFmtId="0" fontId="25" fillId="0" borderId="7" xfId="25" applyFont="1" applyBorder="1"/>
    <xf numFmtId="0" fontId="25" fillId="0" borderId="9" xfId="25" applyFont="1" applyBorder="1"/>
    <xf numFmtId="0" fontId="77" fillId="0" borderId="22" xfId="25" applyFont="1"/>
    <xf numFmtId="0" fontId="25" fillId="0" borderId="14" xfId="25" applyFont="1" applyBorder="1"/>
    <xf numFmtId="0" fontId="25" fillId="0" borderId="15" xfId="25" applyFont="1" applyBorder="1"/>
    <xf numFmtId="0" fontId="25" fillId="0" borderId="44" xfId="25" applyFont="1" applyBorder="1"/>
    <xf numFmtId="0" fontId="25" fillId="0" borderId="11" xfId="25" applyFont="1" applyBorder="1"/>
    <xf numFmtId="0" fontId="25" fillId="0" borderId="4" xfId="25" applyFont="1" applyBorder="1" applyAlignment="1">
      <alignment horizontal="center"/>
    </xf>
    <xf numFmtId="0" fontId="25" fillId="0" borderId="42" xfId="25" applyFont="1" applyBorder="1"/>
    <xf numFmtId="4" fontId="25" fillId="0" borderId="50" xfId="25" applyNumberFormat="1" applyFont="1" applyBorder="1"/>
    <xf numFmtId="4" fontId="25" fillId="0" borderId="51" xfId="25" applyNumberFormat="1" applyFont="1" applyBorder="1"/>
    <xf numFmtId="0" fontId="24" fillId="0" borderId="90" xfId="25" applyFont="1" applyBorder="1"/>
    <xf numFmtId="4" fontId="25" fillId="0" borderId="91" xfId="25" applyNumberFormat="1" applyFont="1" applyBorder="1"/>
    <xf numFmtId="4" fontId="25" fillId="0" borderId="55" xfId="25" applyNumberFormat="1" applyFont="1" applyBorder="1"/>
    <xf numFmtId="0" fontId="24" fillId="0" borderId="92" xfId="25" applyFont="1" applyBorder="1"/>
    <xf numFmtId="0" fontId="25" fillId="0" borderId="32" xfId="25" applyFont="1" applyBorder="1"/>
    <xf numFmtId="166" fontId="24" fillId="0" borderId="93" xfId="25" applyNumberFormat="1" applyFont="1" applyBorder="1"/>
    <xf numFmtId="0" fontId="25" fillId="0" borderId="94" xfId="25" applyFont="1" applyBorder="1"/>
    <xf numFmtId="0" fontId="25" fillId="0" borderId="46" xfId="25" applyFont="1" applyBorder="1"/>
    <xf numFmtId="3" fontId="24" fillId="0" borderId="95" xfId="25" applyNumberFormat="1" applyFont="1" applyBorder="1" applyAlignment="1">
      <alignment vertical="center"/>
    </xf>
    <xf numFmtId="3" fontId="77" fillId="0" borderId="22" xfId="25" applyNumberFormat="1" applyFont="1" applyAlignment="1">
      <alignment vertical="center"/>
    </xf>
    <xf numFmtId="14" fontId="25" fillId="0" borderId="7" xfId="25" applyNumberFormat="1" applyFont="1" applyBorder="1" applyAlignment="1">
      <alignment horizontal="center" vertical="center"/>
    </xf>
    <xf numFmtId="0" fontId="25" fillId="0" borderId="9" xfId="25" applyFont="1" applyBorder="1" applyAlignment="1">
      <alignment vertical="center"/>
    </xf>
    <xf numFmtId="4" fontId="25" fillId="0" borderId="94" xfId="25" applyNumberFormat="1" applyFont="1" applyBorder="1" applyAlignment="1">
      <alignment vertical="center"/>
    </xf>
    <xf numFmtId="4" fontId="25" fillId="0" borderId="46" xfId="25" applyNumberFormat="1" applyFont="1" applyBorder="1" applyAlignment="1">
      <alignment vertical="center"/>
    </xf>
    <xf numFmtId="166" fontId="24" fillId="0" borderId="95" xfId="25" applyNumberFormat="1" applyFont="1" applyBorder="1"/>
    <xf numFmtId="166" fontId="77" fillId="0" borderId="22" xfId="25" applyNumberFormat="1" applyFont="1"/>
    <xf numFmtId="16" fontId="25" fillId="0" borderId="44" xfId="25" applyNumberFormat="1" applyFont="1" applyBorder="1"/>
    <xf numFmtId="0" fontId="25" fillId="0" borderId="56" xfId="25" applyFont="1" applyBorder="1"/>
    <xf numFmtId="166" fontId="25" fillId="0" borderId="96" xfId="25" applyNumberFormat="1" applyFont="1" applyBorder="1"/>
    <xf numFmtId="166" fontId="25" fillId="0" borderId="11" xfId="25" applyNumberFormat="1" applyFont="1" applyBorder="1"/>
    <xf numFmtId="166" fontId="24" fillId="8" borderId="56" xfId="25" applyNumberFormat="1" applyFont="1" applyFill="1" applyBorder="1"/>
    <xf numFmtId="166" fontId="25" fillId="0" borderId="97" xfId="25" applyNumberFormat="1" applyFont="1" applyBorder="1"/>
    <xf numFmtId="166" fontId="25" fillId="0" borderId="98" xfId="25" applyNumberFormat="1" applyFont="1" applyBorder="1"/>
    <xf numFmtId="0" fontId="25" fillId="0" borderId="76" xfId="25" applyFont="1" applyBorder="1"/>
    <xf numFmtId="166" fontId="25" fillId="0" borderId="36" xfId="25" applyNumberFormat="1" applyFont="1" applyBorder="1"/>
    <xf numFmtId="166" fontId="25" fillId="0" borderId="37" xfId="25" applyNumberFormat="1" applyFont="1" applyBorder="1"/>
    <xf numFmtId="166" fontId="25" fillId="0" borderId="99" xfId="25" applyNumberFormat="1" applyFont="1" applyBorder="1"/>
    <xf numFmtId="166" fontId="25" fillId="0" borderId="100" xfId="25" applyNumberFormat="1" applyFont="1" applyBorder="1"/>
    <xf numFmtId="0" fontId="57" fillId="0" borderId="28" xfId="0" applyFont="1" applyBorder="1" applyAlignment="1">
      <alignment horizontal="center"/>
    </xf>
    <xf numFmtId="167" fontId="57" fillId="0" borderId="31" xfId="0" applyNumberFormat="1" applyFont="1" applyBorder="1" applyAlignment="1">
      <alignment horizontal="center"/>
    </xf>
    <xf numFmtId="171" fontId="30" fillId="0" borderId="50" xfId="0" applyNumberFormat="1" applyFont="1" applyBorder="1" applyAlignment="1">
      <alignment horizontal="right"/>
    </xf>
    <xf numFmtId="167" fontId="75" fillId="0" borderId="32" xfId="0" applyNumberFormat="1" applyFont="1" applyBorder="1" applyAlignment="1">
      <alignment horizontal="left"/>
    </xf>
    <xf numFmtId="167" fontId="75" fillId="2" borderId="32" xfId="0" applyNumberFormat="1" applyFont="1" applyFill="1" applyBorder="1" applyAlignment="1">
      <alignment horizontal="left"/>
    </xf>
    <xf numFmtId="167" fontId="75" fillId="2" borderId="33" xfId="0" applyNumberFormat="1" applyFont="1" applyFill="1" applyBorder="1" applyAlignment="1">
      <alignment horizontal="left"/>
    </xf>
    <xf numFmtId="167" fontId="75" fillId="4" borderId="32" xfId="0" applyNumberFormat="1" applyFont="1" applyFill="1" applyBorder="1" applyAlignment="1">
      <alignment horizontal="left"/>
    </xf>
    <xf numFmtId="167" fontId="75" fillId="4" borderId="33" xfId="0" applyNumberFormat="1" applyFont="1" applyFill="1" applyBorder="1" applyAlignment="1">
      <alignment horizontal="left"/>
    </xf>
    <xf numFmtId="167" fontId="75" fillId="5" borderId="32" xfId="0" applyNumberFormat="1" applyFont="1" applyFill="1" applyBorder="1" applyAlignment="1">
      <alignment horizontal="left"/>
    </xf>
    <xf numFmtId="167" fontId="75" fillId="5" borderId="33" xfId="0" applyNumberFormat="1" applyFont="1" applyFill="1" applyBorder="1" applyAlignment="1">
      <alignment horizontal="left"/>
    </xf>
    <xf numFmtId="167" fontId="75" fillId="6" borderId="32" xfId="0" applyNumberFormat="1" applyFont="1" applyFill="1" applyBorder="1" applyAlignment="1">
      <alignment horizontal="left"/>
    </xf>
    <xf numFmtId="167" fontId="75" fillId="6" borderId="33" xfId="0" applyNumberFormat="1" applyFont="1" applyFill="1" applyBorder="1" applyAlignment="1">
      <alignment horizontal="left"/>
    </xf>
    <xf numFmtId="0" fontId="75" fillId="0" borderId="0" xfId="0" applyFont="1" applyAlignment="1">
      <alignment horizontal="left"/>
    </xf>
    <xf numFmtId="1" fontId="79" fillId="0" borderId="101" xfId="0" applyNumberFormat="1" applyFont="1" applyBorder="1" applyAlignment="1">
      <alignment horizontal="center" vertical="center"/>
    </xf>
    <xf numFmtId="175" fontId="79" fillId="0" borderId="101" xfId="0" applyNumberFormat="1" applyFont="1" applyBorder="1" applyAlignment="1">
      <alignment vertical="center"/>
    </xf>
    <xf numFmtId="16" fontId="80" fillId="0" borderId="101" xfId="0" applyNumberFormat="1" applyFont="1" applyBorder="1" applyAlignment="1">
      <alignment horizontal="left" vertical="center"/>
    </xf>
    <xf numFmtId="16" fontId="78" fillId="0" borderId="101" xfId="0" applyNumberFormat="1" applyFont="1" applyBorder="1" applyAlignment="1">
      <alignment horizontal="left" vertical="center"/>
    </xf>
    <xf numFmtId="1" fontId="80" fillId="0" borderId="101" xfId="0" applyNumberFormat="1" applyFont="1" applyBorder="1" applyAlignment="1">
      <alignment horizontal="center" vertical="center"/>
    </xf>
    <xf numFmtId="175" fontId="80" fillId="0" borderId="101" xfId="0" applyNumberFormat="1" applyFont="1" applyBorder="1" applyAlignment="1">
      <alignment vertical="center"/>
    </xf>
    <xf numFmtId="0" fontId="52" fillId="0" borderId="9" xfId="19" applyFont="1" applyBorder="1"/>
    <xf numFmtId="175" fontId="52" fillId="0" borderId="9" xfId="21" applyNumberFormat="1" applyFont="1" applyBorder="1"/>
    <xf numFmtId="175" fontId="44" fillId="0" borderId="10" xfId="21" applyNumberFormat="1" applyFont="1" applyBorder="1"/>
    <xf numFmtId="175" fontId="52" fillId="0" borderId="9" xfId="20" applyNumberFormat="1" applyFont="1" applyBorder="1"/>
    <xf numFmtId="175" fontId="44" fillId="0" borderId="10" xfId="20" applyNumberFormat="1" applyFont="1" applyBorder="1"/>
    <xf numFmtId="0" fontId="57" fillId="0" borderId="22" xfId="19" applyFont="1"/>
    <xf numFmtId="166" fontId="52" fillId="0" borderId="22" xfId="19" applyNumberFormat="1" applyFont="1"/>
    <xf numFmtId="166" fontId="55" fillId="0" borderId="22" xfId="19" applyNumberFormat="1" applyFont="1"/>
    <xf numFmtId="175" fontId="79" fillId="0" borderId="101" xfId="0" applyNumberFormat="1" applyFont="1" applyBorder="1" applyAlignment="1">
      <alignment horizontal="center"/>
    </xf>
    <xf numFmtId="0" fontId="79" fillId="0" borderId="101" xfId="0" applyFont="1" applyBorder="1" applyAlignment="1">
      <alignment horizontal="left"/>
    </xf>
    <xf numFmtId="0" fontId="79" fillId="0" borderId="22" xfId="0" applyFont="1" applyBorder="1" applyAlignment="1">
      <alignment horizontal="left"/>
    </xf>
    <xf numFmtId="175" fontId="79" fillId="0" borderId="22" xfId="0" applyNumberFormat="1" applyFont="1" applyBorder="1" applyAlignment="1">
      <alignment horizontal="center"/>
    </xf>
    <xf numFmtId="4" fontId="44" fillId="0" borderId="22" xfId="9" applyNumberFormat="1" applyFont="1"/>
    <xf numFmtId="0" fontId="46" fillId="0" borderId="22" xfId="9" applyFont="1"/>
    <xf numFmtId="1" fontId="44" fillId="0" borderId="22" xfId="9" applyNumberFormat="1" applyFont="1"/>
    <xf numFmtId="0" fontId="4" fillId="0" borderId="22" xfId="19" applyFont="1"/>
    <xf numFmtId="0" fontId="69" fillId="0" borderId="42" xfId="0" applyFont="1" applyBorder="1" applyAlignment="1">
      <alignment horizontal="left" wrapText="1"/>
    </xf>
    <xf numFmtId="0" fontId="69" fillId="8" borderId="42" xfId="0" applyFont="1" applyFill="1" applyBorder="1" applyAlignment="1">
      <alignment horizontal="left" wrapText="1"/>
    </xf>
    <xf numFmtId="0" fontId="72" fillId="0" borderId="42" xfId="0" applyFont="1" applyBorder="1" applyAlignment="1">
      <alignment horizontal="left" wrapText="1"/>
    </xf>
    <xf numFmtId="0" fontId="69" fillId="0" borderId="42" xfId="0" applyFont="1" applyBorder="1" applyAlignment="1">
      <alignment horizontal="left"/>
    </xf>
    <xf numFmtId="0" fontId="69" fillId="0" borderId="9" xfId="0" applyFont="1" applyBorder="1" applyAlignment="1">
      <alignment horizontal="left"/>
    </xf>
    <xf numFmtId="171" fontId="25" fillId="0" borderId="11" xfId="16" applyNumberFormat="1" applyFont="1" applyBorder="1" applyAlignment="1">
      <alignment horizontal="right"/>
    </xf>
    <xf numFmtId="0" fontId="25" fillId="0" borderId="11" xfId="16" applyFont="1" applyBorder="1" applyAlignment="1">
      <alignment horizontal="left" wrapText="1"/>
    </xf>
    <xf numFmtId="0" fontId="25" fillId="0" borderId="11" xfId="16" applyFont="1" applyBorder="1" applyAlignment="1">
      <alignment horizontal="left" vertical="center" wrapText="1"/>
    </xf>
    <xf numFmtId="4" fontId="61" fillId="0" borderId="63" xfId="16" applyNumberFormat="1" applyBorder="1"/>
    <xf numFmtId="4" fontId="61" fillId="0" borderId="48" xfId="16" applyNumberFormat="1" applyBorder="1"/>
    <xf numFmtId="4" fontId="61" fillId="0" borderId="102" xfId="16" applyNumberFormat="1" applyBorder="1"/>
    <xf numFmtId="0" fontId="52" fillId="0" borderId="22" xfId="9" applyFont="1" applyAlignment="1">
      <alignment horizontal="left"/>
    </xf>
    <xf numFmtId="175" fontId="13" fillId="0" borderId="22" xfId="19" applyNumberFormat="1"/>
    <xf numFmtId="0" fontId="25" fillId="0" borderId="5" xfId="9" applyFont="1" applyBorder="1"/>
    <xf numFmtId="0" fontId="26" fillId="0" borderId="103" xfId="9" applyFont="1" applyBorder="1"/>
    <xf numFmtId="0" fontId="80" fillId="0" borderId="46" xfId="0" applyFont="1" applyBorder="1" applyAlignment="1">
      <alignment vertical="center"/>
    </xf>
    <xf numFmtId="1" fontId="26" fillId="0" borderId="11" xfId="9" applyNumberFormat="1" applyFont="1" applyBorder="1"/>
    <xf numFmtId="1" fontId="26" fillId="0" borderId="45" xfId="9" applyNumberFormat="1" applyFont="1" applyBorder="1"/>
    <xf numFmtId="0" fontId="26" fillId="0" borderId="48" xfId="9" applyFont="1" applyBorder="1"/>
    <xf numFmtId="176" fontId="82" fillId="0" borderId="46" xfId="0" applyNumberFormat="1" applyFont="1" applyBorder="1" applyAlignment="1">
      <alignment vertical="center"/>
    </xf>
    <xf numFmtId="0" fontId="82" fillId="13" borderId="46" xfId="0" applyFont="1" applyFill="1" applyBorder="1" applyAlignment="1">
      <alignment vertical="center"/>
    </xf>
    <xf numFmtId="0" fontId="82" fillId="0" borderId="46" xfId="0" applyFont="1" applyBorder="1" applyAlignment="1">
      <alignment vertical="center"/>
    </xf>
    <xf numFmtId="0" fontId="3" fillId="0" borderId="22" xfId="9" applyFont="1"/>
    <xf numFmtId="43" fontId="17" fillId="0" borderId="22" xfId="9" applyNumberFormat="1"/>
    <xf numFmtId="175" fontId="0" fillId="0" borderId="0" xfId="0" applyNumberFormat="1"/>
    <xf numFmtId="175" fontId="58" fillId="0" borderId="0" xfId="0" applyNumberFormat="1" applyFont="1" applyAlignment="1">
      <alignment horizontal="right"/>
    </xf>
    <xf numFmtId="175" fontId="58" fillId="0" borderId="0" xfId="0" applyNumberFormat="1" applyFont="1"/>
    <xf numFmtId="175" fontId="30" fillId="0" borderId="5" xfId="0" applyNumberFormat="1" applyFont="1" applyBorder="1" applyAlignment="1">
      <alignment horizontal="center" vertical="center"/>
    </xf>
    <xf numFmtId="175" fontId="33" fillId="0" borderId="5" xfId="0" applyNumberFormat="1" applyFont="1" applyBorder="1" applyAlignment="1">
      <alignment vertical="center"/>
    </xf>
    <xf numFmtId="175" fontId="25" fillId="0" borderId="9" xfId="0" applyNumberFormat="1" applyFont="1" applyBorder="1"/>
    <xf numFmtId="175" fontId="24" fillId="0" borderId="10" xfId="0" applyNumberFormat="1" applyFont="1" applyBorder="1"/>
    <xf numFmtId="175" fontId="25" fillId="0" borderId="9" xfId="1" applyNumberFormat="1" applyFont="1" applyBorder="1"/>
    <xf numFmtId="175" fontId="24" fillId="0" borderId="10" xfId="1" applyNumberFormat="1" applyFont="1" applyBorder="1"/>
    <xf numFmtId="175" fontId="23" fillId="0" borderId="10" xfId="1" applyNumberFormat="1" applyFont="1" applyBorder="1"/>
    <xf numFmtId="175" fontId="25" fillId="0" borderId="11" xfId="0" applyNumberFormat="1" applyFont="1" applyBorder="1"/>
    <xf numFmtId="175" fontId="25" fillId="0" borderId="20" xfId="1" applyNumberFormat="1" applyFont="1" applyBorder="1"/>
    <xf numFmtId="175" fontId="25" fillId="0" borderId="11" xfId="1" applyNumberFormat="1" applyFont="1" applyBorder="1"/>
    <xf numFmtId="175" fontId="41" fillId="0" borderId="47" xfId="0" applyNumberFormat="1" applyFont="1" applyBorder="1"/>
    <xf numFmtId="175" fontId="24" fillId="0" borderId="53" xfId="0" applyNumberFormat="1" applyFont="1" applyBorder="1"/>
    <xf numFmtId="175" fontId="41" fillId="0" borderId="0" xfId="0" applyNumberFormat="1" applyFont="1"/>
    <xf numFmtId="175" fontId="24" fillId="0" borderId="0" xfId="0" applyNumberFormat="1" applyFont="1"/>
    <xf numFmtId="169" fontId="25" fillId="0" borderId="10" xfId="0" applyNumberFormat="1" applyFont="1" applyBorder="1"/>
    <xf numFmtId="175" fontId="49" fillId="0" borderId="10" xfId="21" applyNumberFormat="1" applyFont="1" applyBorder="1"/>
    <xf numFmtId="0" fontId="39" fillId="0" borderId="22" xfId="19" applyFont="1" applyAlignment="1">
      <alignment horizontal="right"/>
    </xf>
    <xf numFmtId="0" fontId="25" fillId="0" borderId="1" xfId="19" applyFont="1" applyBorder="1" applyAlignment="1">
      <alignment horizontal="right"/>
    </xf>
    <xf numFmtId="0" fontId="25" fillId="0" borderId="7" xfId="19" applyFont="1" applyBorder="1" applyAlignment="1">
      <alignment horizontal="right"/>
    </xf>
    <xf numFmtId="16" fontId="52" fillId="0" borderId="7" xfId="19" applyNumberFormat="1" applyFont="1" applyBorder="1" applyAlignment="1">
      <alignment horizontal="right"/>
    </xf>
    <xf numFmtId="0" fontId="78" fillId="0" borderId="101" xfId="0" applyFont="1" applyBorder="1" applyAlignment="1">
      <alignment horizontal="right" vertical="center" indent="1"/>
    </xf>
    <xf numFmtId="171" fontId="25" fillId="0" borderId="7" xfId="19" applyNumberFormat="1" applyFont="1" applyBorder="1" applyAlignment="1">
      <alignment horizontal="right"/>
    </xf>
    <xf numFmtId="16" fontId="25" fillId="0" borderId="7" xfId="19" applyNumberFormat="1" applyFont="1" applyBorder="1" applyAlignment="1">
      <alignment horizontal="right"/>
    </xf>
    <xf numFmtId="16" fontId="25" fillId="8" borderId="7" xfId="19" applyNumberFormat="1" applyFont="1" applyFill="1" applyBorder="1" applyAlignment="1">
      <alignment horizontal="right"/>
    </xf>
    <xf numFmtId="0" fontId="25" fillId="0" borderId="14" xfId="19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2" xfId="19" applyFont="1" applyAlignment="1">
      <alignment horizontal="right"/>
    </xf>
    <xf numFmtId="0" fontId="81" fillId="0" borderId="101" xfId="0" applyFont="1" applyBorder="1" applyAlignment="1">
      <alignment horizontal="right" vertical="center" indent="1"/>
    </xf>
    <xf numFmtId="16" fontId="80" fillId="0" borderId="101" xfId="0" applyNumberFormat="1" applyFont="1" applyBorder="1" applyAlignment="1">
      <alignment vertical="center"/>
    </xf>
    <xf numFmtId="0" fontId="83" fillId="0" borderId="52" xfId="11" applyFont="1" applyBorder="1" applyAlignment="1">
      <alignment horizontal="left"/>
    </xf>
    <xf numFmtId="0" fontId="1" fillId="0" borderId="0" xfId="0" applyFont="1"/>
    <xf numFmtId="175" fontId="26" fillId="0" borderId="41" xfId="20" applyNumberFormat="1" applyFont="1" applyBorder="1" applyAlignment="1">
      <alignment horizontal="center"/>
    </xf>
    <xf numFmtId="175" fontId="13" fillId="0" borderId="5" xfId="20" applyNumberFormat="1" applyBorder="1" applyAlignment="1">
      <alignment horizontal="center"/>
    </xf>
    <xf numFmtId="175" fontId="13" fillId="0" borderId="6" xfId="20" applyNumberFormat="1" applyBorder="1" applyAlignment="1">
      <alignment horizontal="center"/>
    </xf>
    <xf numFmtId="0" fontId="25" fillId="0" borderId="22" xfId="20" applyFont="1" applyAlignment="1">
      <alignment horizontal="center"/>
    </xf>
    <xf numFmtId="0" fontId="46" fillId="0" borderId="22" xfId="19" applyFont="1" applyAlignment="1">
      <alignment horizontal="center"/>
    </xf>
    <xf numFmtId="0" fontId="46" fillId="0" borderId="22" xfId="0" applyFont="1" applyBorder="1" applyAlignment="1">
      <alignment horizontal="center"/>
    </xf>
    <xf numFmtId="0" fontId="5" fillId="0" borderId="84" xfId="25" applyBorder="1" applyAlignment="1">
      <alignment horizontal="center"/>
    </xf>
    <xf numFmtId="0" fontId="5" fillId="0" borderId="85" xfId="25" applyBorder="1" applyAlignment="1">
      <alignment horizontal="center"/>
    </xf>
    <xf numFmtId="0" fontId="5" fillId="0" borderId="86" xfId="25" applyBorder="1" applyAlignment="1">
      <alignment horizontal="center"/>
    </xf>
    <xf numFmtId="0" fontId="26" fillId="0" borderId="87" xfId="25" applyFont="1" applyBorder="1" applyAlignment="1">
      <alignment horizontal="center"/>
    </xf>
    <xf numFmtId="0" fontId="5" fillId="0" borderId="88" xfId="25" applyBorder="1" applyAlignment="1">
      <alignment horizontal="center"/>
    </xf>
    <xf numFmtId="0" fontId="5" fillId="0" borderId="89" xfId="25" applyBorder="1" applyAlignment="1">
      <alignment horizontal="center"/>
    </xf>
    <xf numFmtId="0" fontId="30" fillId="0" borderId="23" xfId="11" applyFont="1" applyBorder="1" applyAlignment="1">
      <alignment horizontal="center" vertical="center"/>
    </xf>
    <xf numFmtId="0" fontId="26" fillId="0" borderId="23" xfId="11" applyFont="1" applyBorder="1"/>
    <xf numFmtId="4" fontId="29" fillId="0" borderId="24" xfId="11" applyNumberFormat="1" applyFont="1" applyBorder="1" applyAlignment="1">
      <alignment horizontal="center" vertical="center"/>
    </xf>
    <xf numFmtId="0" fontId="26" fillId="0" borderId="25" xfId="11" applyFont="1" applyBorder="1"/>
    <xf numFmtId="0" fontId="26" fillId="0" borderId="28" xfId="11" applyFont="1" applyBorder="1"/>
    <xf numFmtId="0" fontId="26" fillId="0" borderId="29" xfId="11" applyFont="1" applyBorder="1"/>
    <xf numFmtId="4" fontId="29" fillId="2" borderId="26" xfId="11" applyNumberFormat="1" applyFont="1" applyFill="1" applyBorder="1" applyAlignment="1">
      <alignment horizontal="center" vertical="center"/>
    </xf>
    <xf numFmtId="0" fontId="26" fillId="0" borderId="27" xfId="11" applyFont="1" applyBorder="1"/>
    <xf numFmtId="4" fontId="29" fillId="4" borderId="26" xfId="11" applyNumberFormat="1" applyFont="1" applyFill="1" applyBorder="1" applyAlignment="1">
      <alignment horizontal="center" vertical="center"/>
    </xf>
    <xf numFmtId="4" fontId="29" fillId="5" borderId="26" xfId="11" applyNumberFormat="1" applyFont="1" applyFill="1" applyBorder="1" applyAlignment="1">
      <alignment horizontal="center" vertical="center"/>
    </xf>
    <xf numFmtId="4" fontId="29" fillId="6" borderId="26" xfId="11" applyNumberFormat="1" applyFont="1" applyFill="1" applyBorder="1" applyAlignment="1">
      <alignment horizontal="center" vertical="center" wrapText="1"/>
    </xf>
    <xf numFmtId="4" fontId="29" fillId="2" borderId="30" xfId="11" applyNumberFormat="1" applyFont="1" applyFill="1" applyBorder="1" applyAlignment="1">
      <alignment horizontal="center" vertical="center"/>
    </xf>
    <xf numFmtId="0" fontId="26" fillId="0" borderId="31" xfId="11" applyFont="1" applyBorder="1"/>
    <xf numFmtId="4" fontId="29" fillId="4" borderId="30" xfId="11" applyNumberFormat="1" applyFont="1" applyFill="1" applyBorder="1" applyAlignment="1">
      <alignment horizontal="center" vertical="center"/>
    </xf>
    <xf numFmtId="4" fontId="29" fillId="6" borderId="30" xfId="11" applyNumberFormat="1" applyFont="1" applyFill="1" applyBorder="1" applyAlignment="1">
      <alignment horizontal="center" vertical="center"/>
    </xf>
    <xf numFmtId="4" fontId="36" fillId="10" borderId="22" xfId="0" applyNumberFormat="1" applyFont="1" applyFill="1" applyBorder="1" applyAlignment="1">
      <alignment horizontal="right"/>
    </xf>
    <xf numFmtId="0" fontId="0" fillId="8" borderId="0" xfId="0" applyFill="1" applyAlignment="1">
      <alignment horizontal="right"/>
    </xf>
    <xf numFmtId="0" fontId="30" fillId="0" borderId="23" xfId="0" applyFont="1" applyBorder="1" applyAlignment="1">
      <alignment horizontal="center" vertical="center"/>
    </xf>
    <xf numFmtId="0" fontId="26" fillId="0" borderId="23" xfId="0" applyFont="1" applyBorder="1"/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29" fillId="0" borderId="24" xfId="0" applyNumberFormat="1" applyFont="1" applyBorder="1" applyAlignment="1">
      <alignment horizontal="center" vertical="center"/>
    </xf>
    <xf numFmtId="0" fontId="26" fillId="0" borderId="25" xfId="0" applyFont="1" applyBorder="1"/>
    <xf numFmtId="0" fontId="26" fillId="0" borderId="28" xfId="0" applyFont="1" applyBorder="1"/>
    <xf numFmtId="0" fontId="26" fillId="0" borderId="29" xfId="0" applyFont="1" applyBorder="1"/>
    <xf numFmtId="4" fontId="29" fillId="2" borderId="26" xfId="0" applyNumberFormat="1" applyFont="1" applyFill="1" applyBorder="1" applyAlignment="1">
      <alignment horizontal="center" vertical="center"/>
    </xf>
    <xf numFmtId="0" fontId="26" fillId="0" borderId="27" xfId="0" applyFont="1" applyBorder="1"/>
    <xf numFmtId="4" fontId="29" fillId="4" borderId="26" xfId="0" applyNumberFormat="1" applyFont="1" applyFill="1" applyBorder="1" applyAlignment="1">
      <alignment horizontal="center" vertical="center"/>
    </xf>
    <xf numFmtId="4" fontId="29" fillId="6" borderId="30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4" fontId="29" fillId="5" borderId="26" xfId="0" applyNumberFormat="1" applyFont="1" applyFill="1" applyBorder="1" applyAlignment="1">
      <alignment horizontal="center" vertical="center"/>
    </xf>
    <xf numFmtId="4" fontId="29" fillId="6" borderId="26" xfId="0" applyNumberFormat="1" applyFont="1" applyFill="1" applyBorder="1" applyAlignment="1">
      <alignment horizontal="center" vertical="center" wrapText="1"/>
    </xf>
    <xf numFmtId="4" fontId="29" fillId="2" borderId="30" xfId="0" applyNumberFormat="1" applyFont="1" applyFill="1" applyBorder="1" applyAlignment="1">
      <alignment horizontal="center" vertical="center"/>
    </xf>
    <xf numFmtId="4" fontId="29" fillId="4" borderId="30" xfId="0" applyNumberFormat="1" applyFont="1" applyFill="1" applyBorder="1" applyAlignment="1">
      <alignment horizontal="center" vertical="center"/>
    </xf>
    <xf numFmtId="4" fontId="29" fillId="5" borderId="30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0" borderId="17" xfId="0" applyFont="1" applyBorder="1" applyAlignment="1">
      <alignment horizontal="center"/>
    </xf>
    <xf numFmtId="0" fontId="26" fillId="0" borderId="17" xfId="0" applyFont="1" applyBorder="1"/>
    <xf numFmtId="4" fontId="23" fillId="0" borderId="0" xfId="0" applyNumberFormat="1" applyFont="1" applyAlignment="1">
      <alignment horizontal="right"/>
    </xf>
    <xf numFmtId="4" fontId="0" fillId="0" borderId="0" xfId="0" applyNumberFormat="1"/>
    <xf numFmtId="169" fontId="23" fillId="0" borderId="0" xfId="0" applyNumberFormat="1" applyFont="1" applyAlignment="1">
      <alignment horizontal="right"/>
    </xf>
    <xf numFmtId="0" fontId="0" fillId="0" borderId="0" xfId="0"/>
    <xf numFmtId="0" fontId="26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69" fontId="44" fillId="0" borderId="22" xfId="9" applyNumberFormat="1" applyFont="1" applyAlignment="1">
      <alignment horizontal="left"/>
    </xf>
    <xf numFmtId="0" fontId="52" fillId="0" borderId="22" xfId="9" applyFont="1" applyAlignment="1">
      <alignment horizontal="left"/>
    </xf>
    <xf numFmtId="4" fontId="25" fillId="0" borderId="46" xfId="20" applyNumberFormat="1" applyFont="1" applyBorder="1" applyAlignment="1">
      <alignment horizontal="center"/>
    </xf>
    <xf numFmtId="0" fontId="25" fillId="0" borderId="4" xfId="0" applyFont="1" applyBorder="1" applyAlignment="1">
      <alignment horizontal="center" wrapText="1"/>
    </xf>
    <xf numFmtId="0" fontId="26" fillId="0" borderId="5" xfId="0" applyFont="1" applyBorder="1"/>
    <xf numFmtId="0" fontId="26" fillId="0" borderId="6" xfId="0" applyFont="1" applyBorder="1"/>
    <xf numFmtId="169" fontId="2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9" fontId="44" fillId="0" borderId="0" xfId="0" applyNumberFormat="1" applyFont="1" applyAlignment="1">
      <alignment horizontal="left"/>
    </xf>
    <xf numFmtId="0" fontId="52" fillId="0" borderId="0" xfId="0" applyFont="1" applyAlignment="1">
      <alignment horizontal="left"/>
    </xf>
  </cellXfs>
  <cellStyles count="26">
    <cellStyle name="Comma" xfId="1" builtinId="3"/>
    <cellStyle name="Comma 2" xfId="3" xr:uid="{18B5154E-0D45-4E66-97F5-32A613C2D6CC}"/>
    <cellStyle name="Comma 3" xfId="6" xr:uid="{A1713FAA-28E8-4665-B795-F6196C36DA30}"/>
    <cellStyle name="Comma 4" xfId="10" xr:uid="{0CB8D581-52A2-42D5-95F6-2137B682B61E}"/>
    <cellStyle name="Comma 5" xfId="15" xr:uid="{9E65E126-EDE3-4374-8FC4-CD20E48A8D79}"/>
    <cellStyle name="Comma 5 2" xfId="21" xr:uid="{ACEF8467-9AD6-41D8-95E8-6E6D15A1F12D}"/>
    <cellStyle name="Comma 6" xfId="18" xr:uid="{A1ADF743-D044-40FE-B6A4-D4BC87B4D2CA}"/>
    <cellStyle name="Excel Built-in Normal 2" xfId="22" xr:uid="{E1ADCF0D-1A6A-4AC2-830B-5E400C99AC67}"/>
    <cellStyle name="Normal" xfId="0" builtinId="0"/>
    <cellStyle name="Normal 10" xfId="25" xr:uid="{E607881E-3126-4D23-98B1-25092ADE8783}"/>
    <cellStyle name="Normal 14" xfId="7" xr:uid="{A027F105-37F0-46CB-A0D6-3E1587D8BCA1}"/>
    <cellStyle name="Normal 14 2" xfId="12" xr:uid="{21D09C3F-BCD5-420B-B5DB-8939AB6CA8BF}"/>
    <cellStyle name="Normal 2" xfId="2" xr:uid="{090FD46E-2A21-46D8-978A-3B40C32A26DD}"/>
    <cellStyle name="Normal 3" xfId="4" xr:uid="{DBC21B3A-3E30-44D2-88F7-06B09F30CF2D}"/>
    <cellStyle name="Normal 4" xfId="5" xr:uid="{6717AF49-EFAE-4DF5-BED5-4AFDB9F32C09}"/>
    <cellStyle name="Normal 5" xfId="8" xr:uid="{4182CFA0-6F79-4045-81F2-72FC3694F321}"/>
    <cellStyle name="Normal 5 2" xfId="13" xr:uid="{4530DB84-0131-49F5-8F4B-5E70DCCF2B39}"/>
    <cellStyle name="Normal 5 2 2" xfId="19" xr:uid="{0702EA5A-9A64-46AA-9023-23126462EF4C}"/>
    <cellStyle name="Normal 5 3" xfId="17" xr:uid="{17E9718E-E062-4A61-B40B-8A21F1874C7E}"/>
    <cellStyle name="Normal 5 3 2" xfId="24" xr:uid="{D9A48514-34AC-4BF9-8377-92380BBAC735}"/>
    <cellStyle name="Normal 6" xfId="9" xr:uid="{CB567F73-C1B3-437A-A8D9-D586C2D71727}"/>
    <cellStyle name="Normal 7" xfId="11" xr:uid="{82307BDB-C991-4139-A189-BF2437690F5B}"/>
    <cellStyle name="Normal 8" xfId="14" xr:uid="{1A809D3E-C93B-4A46-BA88-0FC9C2FC3B8D}"/>
    <cellStyle name="Normal 8 2" xfId="20" xr:uid="{A1FB433C-54FC-47BB-BA9B-364910C8B849}"/>
    <cellStyle name="Normal 9" xfId="16" xr:uid="{133A56CD-0C7F-43F8-84DB-0C1F6DB4A2A6}"/>
    <cellStyle name="Normal 9 2" xfId="23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Mola/Andrisa%20Emola%20Transactions%202025.xlsx" TargetMode="External"/><Relationship Id="rId2" Type="http://schemas.openxmlformats.org/officeDocument/2006/relationships/externalLinkPath" Target="file:///C:\Users\Andrisa\Dropbox\Andrisa\EMola\Andrisa%20Emola%20Transactions%202025.xlsx" TargetMode="External"/><Relationship Id="rId1" Type="http://schemas.openxmlformats.org/officeDocument/2006/relationships/externalLinkPath" Target="/Users/Andrisa/Dropbox/Andrisa/EMola/Andrisa%20Emola%20Transactions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Accounts%202025/Landco%20Accounts/10%20Oct%2025%20LC%20Petty%20Cash/10%20Oct%20MONTH%20END%202025%20after%20burglary.xlsx" TargetMode="External"/><Relationship Id="rId2" Type="http://schemas.openxmlformats.org/officeDocument/2006/relationships/externalLinkPath" Target="file:///C:\Users\Clint\Dropbox\Andrisa\Landco\Accounts%202025\Landco%20Accounts\10%20Oct%2025%20LC%20Petty%20Cash\10%20Oct%20MONTH%20END%202025%20after%20burglary.xlsx" TargetMode="External"/><Relationship Id="rId1" Type="http://schemas.openxmlformats.org/officeDocument/2006/relationships/externalLinkPath" Target="/Users/Clint/Dropbox/Andrisa/Landco/Accounts%202025/Landco%20Accounts/10%20Oct%2025%20LC%20Petty%20Cash/10%20Oct%20MONTH%20END%202025%20after%20burglar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lint/Dropbox/Andrisa/Landco/Trabalho/Workers%20Cell%20number/CELL%20NO%20OF%20WORKERS.xlsx" TargetMode="External"/><Relationship Id="rId2" Type="http://schemas.openxmlformats.org/officeDocument/2006/relationships/externalLinkPath" Target="file:///C:\Users\Clint\Dropbox\Andrisa\Landco\Trabalho\Workers%20Cell%20number\CELL%20NO%20OF%20WORKERS.xlsx" TargetMode="External"/><Relationship Id="rId1" Type="http://schemas.openxmlformats.org/officeDocument/2006/relationships/externalLinkPath" Target="/Users/Clint/Dropbox/Andrisa/Landco/Trabalho/Workers%20Cell%20number/CELL%20NO%20OF%20WORK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 refreshError="1"/>
      <sheetData sheetId="1" refreshError="1"/>
      <sheetData sheetId="2">
        <row r="9">
          <cell r="F9">
            <v>0</v>
          </cell>
        </row>
      </sheetData>
      <sheetData sheetId="3">
        <row r="9">
          <cell r="F9">
            <v>-143050.53749999992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81"/>
    </sheetNames>
    <sheetDataSet>
      <sheetData sheetId="0">
        <row r="50">
          <cell r="F50">
            <v>2220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OCT EXPENSES"/>
      <sheetName val="OCT EXPENSES HOUSE"/>
      <sheetName val="MONTHLY FOR THE YEAR"/>
    </sheetNames>
    <sheetDataSet>
      <sheetData sheetId="0"/>
      <sheetData sheetId="1">
        <row r="10">
          <cell r="E10">
            <v>1116593.46</v>
          </cell>
        </row>
      </sheetData>
      <sheetData sheetId="2">
        <row r="95">
          <cell r="J95">
            <v>184691.8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heet1"/>
      <sheetName val="Sindicate"/>
      <sheetName val="PaySlip"/>
      <sheetName val="Cell no"/>
    </sheetNames>
    <sheetDataSet>
      <sheetData sheetId="0"/>
      <sheetData sheetId="1"/>
      <sheetData sheetId="2"/>
      <sheetData sheetId="3"/>
      <sheetData sheetId="4">
        <row r="8">
          <cell r="E8">
            <v>845911293</v>
          </cell>
        </row>
        <row r="9">
          <cell r="E9">
            <v>842979613</v>
          </cell>
        </row>
        <row r="10">
          <cell r="E10">
            <v>853027429</v>
          </cell>
        </row>
        <row r="11">
          <cell r="E11">
            <v>862246051</v>
          </cell>
        </row>
        <row r="13">
          <cell r="E13">
            <v>862265991</v>
          </cell>
        </row>
        <row r="14">
          <cell r="E14">
            <v>851670852</v>
          </cell>
        </row>
        <row r="17">
          <cell r="E17">
            <v>866429715</v>
          </cell>
        </row>
        <row r="22">
          <cell r="E22">
            <v>848976998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8BD-0D42-4361-A704-2941ACBDDE1B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C9" sqref="C9"/>
    </sheetView>
  </sheetViews>
  <sheetFormatPr defaultColWidth="19.140625" defaultRowHeight="15" customHeight="1" x14ac:dyDescent="0.25"/>
  <cols>
    <col min="1" max="1" width="9.140625" style="577" customWidth="1"/>
    <col min="2" max="2" width="37.7109375" style="387" customWidth="1"/>
    <col min="3" max="3" width="14.28515625" style="541" customWidth="1"/>
    <col min="4" max="4" width="17.28515625" style="541" customWidth="1"/>
    <col min="5" max="5" width="16" style="541" customWidth="1"/>
    <col min="6" max="16384" width="19.140625" style="387"/>
  </cols>
  <sheetData>
    <row r="1" spans="1:8" ht="15" customHeight="1" x14ac:dyDescent="0.25">
      <c r="B1" s="430">
        <f ca="1">TODAY()</f>
        <v>46107</v>
      </c>
    </row>
    <row r="2" spans="1:8" x14ac:dyDescent="0.25">
      <c r="B2" s="389"/>
      <c r="C2" s="542" t="s">
        <v>59</v>
      </c>
      <c r="D2" s="543"/>
      <c r="E2" s="543">
        <f>+C66-D66</f>
        <v>8632</v>
      </c>
    </row>
    <row r="3" spans="1:8" x14ac:dyDescent="0.25">
      <c r="E3" s="543"/>
    </row>
    <row r="4" spans="1:8" x14ac:dyDescent="0.25">
      <c r="A4" s="581"/>
      <c r="B4" s="390"/>
      <c r="C4" s="854" t="s">
        <v>63</v>
      </c>
      <c r="D4" s="855"/>
      <c r="E4" s="856"/>
    </row>
    <row r="5" spans="1:8" ht="20.100000000000001" customHeight="1" x14ac:dyDescent="0.25">
      <c r="A5" s="578" t="s">
        <v>1</v>
      </c>
      <c r="B5" s="391" t="s">
        <v>3</v>
      </c>
      <c r="C5" s="544" t="s">
        <v>42</v>
      </c>
      <c r="D5" s="544" t="s">
        <v>41</v>
      </c>
      <c r="E5" s="545" t="s">
        <v>4</v>
      </c>
    </row>
    <row r="6" spans="1:8" ht="31.5" customHeight="1" x14ac:dyDescent="0.25">
      <c r="A6" s="579">
        <v>45965</v>
      </c>
      <c r="B6" s="391" t="s">
        <v>185</v>
      </c>
      <c r="C6" s="544">
        <v>58960</v>
      </c>
      <c r="D6" s="544">
        <v>0</v>
      </c>
      <c r="E6" s="545">
        <f>+C6-D6</f>
        <v>58960</v>
      </c>
    </row>
    <row r="7" spans="1:8" x14ac:dyDescent="0.25">
      <c r="A7" s="579">
        <v>45985</v>
      </c>
      <c r="B7" s="391" t="s">
        <v>104</v>
      </c>
      <c r="C7" s="546"/>
      <c r="D7" s="546">
        <v>71168</v>
      </c>
      <c r="E7" s="547">
        <f t="shared" ref="E7:E12" si="0">E6-D7+C7</f>
        <v>-12208</v>
      </c>
    </row>
    <row r="8" spans="1:8" x14ac:dyDescent="0.25">
      <c r="A8" s="579">
        <v>45991</v>
      </c>
      <c r="B8" s="391" t="s">
        <v>186</v>
      </c>
      <c r="C8" s="546">
        <v>42600</v>
      </c>
      <c r="D8" s="546"/>
      <c r="E8" s="547">
        <f t="shared" si="0"/>
        <v>30392</v>
      </c>
    </row>
    <row r="9" spans="1:8" x14ac:dyDescent="0.25">
      <c r="A9" s="579">
        <v>46007</v>
      </c>
      <c r="B9" s="391" t="s">
        <v>243</v>
      </c>
      <c r="C9" s="546">
        <f>960*70</f>
        <v>67200</v>
      </c>
      <c r="D9" s="546"/>
      <c r="E9" s="547">
        <f t="shared" si="0"/>
        <v>97592</v>
      </c>
      <c r="F9" s="580">
        <f>+D9/800</f>
        <v>0</v>
      </c>
    </row>
    <row r="10" spans="1:8" x14ac:dyDescent="0.25">
      <c r="A10" s="579">
        <v>46377</v>
      </c>
      <c r="B10" s="391" t="s">
        <v>224</v>
      </c>
      <c r="C10" s="546"/>
      <c r="D10" s="546">
        <v>88960</v>
      </c>
      <c r="E10" s="547">
        <f t="shared" si="0"/>
        <v>8632</v>
      </c>
    </row>
    <row r="11" spans="1:8" x14ac:dyDescent="0.25">
      <c r="A11" s="579"/>
      <c r="B11" s="391"/>
      <c r="C11" s="546"/>
      <c r="D11" s="546"/>
      <c r="E11" s="547">
        <f t="shared" si="0"/>
        <v>8632</v>
      </c>
    </row>
    <row r="12" spans="1:8" x14ac:dyDescent="0.25">
      <c r="A12" s="579"/>
      <c r="B12" s="391"/>
      <c r="C12" s="546"/>
      <c r="D12" s="546"/>
      <c r="E12" s="547">
        <f t="shared" si="0"/>
        <v>8632</v>
      </c>
    </row>
    <row r="13" spans="1:8" x14ac:dyDescent="0.25">
      <c r="A13" s="579"/>
      <c r="B13" s="393"/>
      <c r="C13" s="546"/>
      <c r="D13" s="546"/>
      <c r="E13" s="547"/>
      <c r="F13" s="394"/>
    </row>
    <row r="14" spans="1:8" x14ac:dyDescent="0.25">
      <c r="A14" s="579"/>
      <c r="B14" s="391"/>
      <c r="C14" s="546"/>
      <c r="D14" s="546"/>
      <c r="E14" s="547"/>
    </row>
    <row r="15" spans="1:8" ht="15.75" x14ac:dyDescent="0.25">
      <c r="A15" s="579"/>
      <c r="B15" s="393"/>
      <c r="C15" s="546"/>
      <c r="D15" s="546"/>
      <c r="E15" s="547"/>
      <c r="F15" s="395"/>
      <c r="G15" s="396"/>
      <c r="H15" s="397"/>
    </row>
    <row r="16" spans="1:8" x14ac:dyDescent="0.25">
      <c r="A16" s="579"/>
      <c r="B16" s="392"/>
      <c r="C16" s="546"/>
      <c r="D16" s="546"/>
      <c r="E16" s="547"/>
    </row>
    <row r="17" spans="1:9" x14ac:dyDescent="0.25">
      <c r="A17" s="579"/>
      <c r="B17" s="398"/>
      <c r="C17" s="546"/>
      <c r="D17" s="546"/>
      <c r="E17" s="547"/>
    </row>
    <row r="18" spans="1:9" ht="15.75" customHeight="1" x14ac:dyDescent="0.3">
      <c r="A18" s="579"/>
      <c r="B18" s="398"/>
      <c r="C18" s="546"/>
      <c r="D18" s="546"/>
      <c r="E18" s="547"/>
      <c r="F18" s="399"/>
      <c r="G18" s="400"/>
      <c r="H18" s="401"/>
      <c r="I18" s="400"/>
    </row>
    <row r="19" spans="1:9" x14ac:dyDescent="0.25">
      <c r="A19" s="579"/>
      <c r="B19" s="398"/>
      <c r="C19" s="546"/>
      <c r="D19" s="546"/>
      <c r="E19" s="547"/>
      <c r="F19" s="402"/>
      <c r="G19" s="857"/>
      <c r="H19" s="857"/>
      <c r="I19" s="403"/>
    </row>
    <row r="20" spans="1:9" x14ac:dyDescent="0.25">
      <c r="A20" s="579"/>
      <c r="B20" s="398"/>
      <c r="C20" s="546"/>
      <c r="D20" s="546"/>
      <c r="E20" s="547"/>
      <c r="F20" s="402"/>
      <c r="G20" s="400"/>
      <c r="H20" s="400"/>
      <c r="I20" s="404"/>
    </row>
    <row r="21" spans="1:9" x14ac:dyDescent="0.25">
      <c r="A21" s="579"/>
      <c r="B21" s="398"/>
      <c r="C21" s="546"/>
      <c r="D21" s="546"/>
      <c r="E21" s="547"/>
      <c r="F21" s="402"/>
      <c r="G21" s="400"/>
      <c r="H21" s="400"/>
      <c r="I21" s="400"/>
    </row>
    <row r="22" spans="1:9" x14ac:dyDescent="0.25">
      <c r="A22" s="579"/>
      <c r="B22" s="398"/>
      <c r="C22" s="546"/>
      <c r="D22" s="546"/>
      <c r="E22" s="547"/>
      <c r="F22" s="405"/>
      <c r="G22" s="400"/>
      <c r="H22" s="401"/>
      <c r="I22" s="400"/>
    </row>
    <row r="23" spans="1:9" ht="15.75" customHeight="1" x14ac:dyDescent="0.25">
      <c r="A23" s="579"/>
      <c r="B23" s="398"/>
      <c r="C23" s="546"/>
      <c r="D23" s="546"/>
      <c r="E23" s="547"/>
      <c r="F23" s="402"/>
      <c r="G23" s="400"/>
      <c r="H23" s="401"/>
      <c r="I23" s="400"/>
    </row>
    <row r="24" spans="1:9" ht="15.75" customHeight="1" x14ac:dyDescent="0.25">
      <c r="A24" s="579"/>
      <c r="B24" s="391"/>
      <c r="C24" s="546"/>
      <c r="D24" s="546"/>
      <c r="E24" s="547"/>
      <c r="G24" s="400"/>
      <c r="H24" s="401"/>
      <c r="I24" s="400"/>
    </row>
    <row r="25" spans="1:9" ht="15.75" customHeight="1" x14ac:dyDescent="0.25">
      <c r="A25" s="579"/>
      <c r="B25" s="391"/>
      <c r="C25" s="546"/>
      <c r="D25" s="546"/>
      <c r="E25" s="547"/>
      <c r="G25" s="400"/>
      <c r="H25" s="401"/>
      <c r="I25" s="400"/>
    </row>
    <row r="26" spans="1:9" ht="15.75" customHeight="1" x14ac:dyDescent="0.25">
      <c r="A26" s="579"/>
      <c r="B26" s="391"/>
      <c r="C26" s="546"/>
      <c r="D26" s="546"/>
      <c r="E26" s="547"/>
      <c r="G26" s="400"/>
      <c r="H26" s="401"/>
      <c r="I26" s="400"/>
    </row>
    <row r="27" spans="1:9" ht="15.75" customHeight="1" x14ac:dyDescent="0.25">
      <c r="A27" s="579"/>
      <c r="B27" s="398"/>
      <c r="C27" s="546"/>
      <c r="D27" s="546"/>
      <c r="E27" s="547"/>
      <c r="G27" s="400"/>
      <c r="H27" s="401"/>
      <c r="I27" s="400"/>
    </row>
    <row r="28" spans="1:9" ht="15.75" customHeight="1" x14ac:dyDescent="0.25">
      <c r="A28" s="579"/>
      <c r="B28" s="398"/>
      <c r="C28" s="546"/>
      <c r="D28" s="546"/>
      <c r="E28" s="547"/>
      <c r="G28" s="388"/>
      <c r="H28" s="406"/>
      <c r="I28" s="400"/>
    </row>
    <row r="29" spans="1:9" ht="15.75" customHeight="1" x14ac:dyDescent="0.25">
      <c r="A29" s="579"/>
      <c r="B29" s="398"/>
      <c r="C29" s="546"/>
      <c r="D29" s="546"/>
      <c r="E29" s="547"/>
      <c r="H29" s="407"/>
    </row>
    <row r="30" spans="1:9" ht="15.75" customHeight="1" x14ac:dyDescent="0.25">
      <c r="A30" s="579"/>
      <c r="B30" s="391"/>
      <c r="C30" s="546"/>
      <c r="D30" s="546"/>
      <c r="E30" s="547"/>
      <c r="H30" s="407"/>
    </row>
    <row r="31" spans="1:9" ht="15.75" customHeight="1" x14ac:dyDescent="0.25">
      <c r="A31" s="579"/>
      <c r="B31" s="391"/>
      <c r="C31" s="546"/>
      <c r="D31" s="546"/>
      <c r="E31" s="547"/>
      <c r="H31" s="407"/>
    </row>
    <row r="32" spans="1:9" ht="15.75" customHeight="1" x14ac:dyDescent="0.25">
      <c r="A32" s="579"/>
      <c r="B32" s="398"/>
      <c r="C32" s="548"/>
      <c r="D32" s="548"/>
      <c r="E32" s="549"/>
      <c r="H32" s="407"/>
    </row>
    <row r="33" spans="1:8" ht="15.75" customHeight="1" x14ac:dyDescent="0.25">
      <c r="A33" s="579"/>
      <c r="B33" s="391"/>
      <c r="C33" s="546"/>
      <c r="D33" s="550"/>
      <c r="E33" s="549"/>
      <c r="F33" s="394"/>
      <c r="H33" s="407"/>
    </row>
    <row r="34" spans="1:8" ht="15.75" customHeight="1" x14ac:dyDescent="0.25">
      <c r="A34" s="579"/>
      <c r="B34" s="391"/>
      <c r="C34" s="551"/>
      <c r="D34" s="551"/>
      <c r="E34" s="549"/>
      <c r="H34" s="407"/>
    </row>
    <row r="35" spans="1:8" ht="15.75" customHeight="1" x14ac:dyDescent="0.25">
      <c r="A35" s="579"/>
      <c r="B35" s="391"/>
      <c r="C35" s="551"/>
      <c r="D35" s="551"/>
      <c r="E35" s="549"/>
      <c r="H35" s="407"/>
    </row>
    <row r="36" spans="1:8" ht="15.75" customHeight="1" x14ac:dyDescent="0.25">
      <c r="A36" s="579"/>
      <c r="B36" s="391"/>
      <c r="C36" s="551"/>
      <c r="D36" s="551"/>
      <c r="E36" s="549"/>
      <c r="H36" s="407"/>
    </row>
    <row r="37" spans="1:8" ht="15.75" customHeight="1" x14ac:dyDescent="0.25">
      <c r="A37" s="579"/>
      <c r="B37" s="391"/>
      <c r="C37" s="551"/>
      <c r="D37" s="551"/>
      <c r="E37" s="549"/>
      <c r="H37" s="407"/>
    </row>
    <row r="38" spans="1:8" ht="15.75" customHeight="1" x14ac:dyDescent="0.25">
      <c r="A38" s="579"/>
      <c r="B38" s="391"/>
      <c r="C38" s="551"/>
      <c r="D38" s="551"/>
      <c r="E38" s="549"/>
      <c r="H38" s="407"/>
    </row>
    <row r="39" spans="1:8" ht="15.75" customHeight="1" x14ac:dyDescent="0.25">
      <c r="A39" s="579"/>
      <c r="B39" s="391"/>
      <c r="C39" s="551"/>
      <c r="D39" s="551"/>
      <c r="E39" s="549"/>
      <c r="H39" s="407"/>
    </row>
    <row r="40" spans="1:8" ht="15.75" customHeight="1" x14ac:dyDescent="0.25">
      <c r="A40" s="579"/>
      <c r="B40" s="391"/>
      <c r="C40" s="551"/>
      <c r="D40" s="551"/>
      <c r="E40" s="549"/>
      <c r="H40" s="407"/>
    </row>
    <row r="41" spans="1:8" ht="15.75" customHeight="1" x14ac:dyDescent="0.25">
      <c r="A41" s="579"/>
      <c r="B41" s="391"/>
      <c r="C41" s="551"/>
      <c r="D41" s="551"/>
      <c r="E41" s="549"/>
      <c r="H41" s="407"/>
    </row>
    <row r="42" spans="1:8" ht="15.75" customHeight="1" x14ac:dyDescent="0.25">
      <c r="A42" s="579"/>
      <c r="B42" s="391"/>
      <c r="C42" s="551"/>
      <c r="D42" s="551"/>
      <c r="E42" s="549"/>
      <c r="H42" s="407"/>
    </row>
    <row r="43" spans="1:8" ht="15.75" customHeight="1" x14ac:dyDescent="0.25">
      <c r="A43" s="579"/>
      <c r="B43" s="391"/>
      <c r="C43" s="551"/>
      <c r="D43" s="551"/>
      <c r="E43" s="549"/>
      <c r="F43" s="414"/>
      <c r="H43" s="407"/>
    </row>
    <row r="44" spans="1:8" ht="15.75" customHeight="1" x14ac:dyDescent="0.25">
      <c r="A44" s="579"/>
      <c r="B44" s="391"/>
      <c r="C44" s="551"/>
      <c r="D44" s="551"/>
      <c r="E44" s="549"/>
      <c r="F44" s="414"/>
      <c r="H44" s="407"/>
    </row>
    <row r="45" spans="1:8" ht="15.75" customHeight="1" x14ac:dyDescent="0.25">
      <c r="A45" s="579"/>
      <c r="B45" s="391"/>
      <c r="C45" s="551"/>
      <c r="D45" s="551"/>
      <c r="E45" s="549"/>
      <c r="F45" s="415"/>
      <c r="H45" s="407"/>
    </row>
    <row r="46" spans="1:8" ht="15.75" customHeight="1" x14ac:dyDescent="0.25">
      <c r="A46" s="579"/>
      <c r="B46" s="391"/>
      <c r="C46" s="551"/>
      <c r="D46" s="551"/>
      <c r="E46" s="549"/>
      <c r="H46" s="407"/>
    </row>
    <row r="47" spans="1:8" ht="15.75" customHeight="1" x14ac:dyDescent="0.25">
      <c r="A47" s="579"/>
      <c r="B47" s="391"/>
      <c r="C47" s="551"/>
      <c r="D47" s="551"/>
      <c r="E47" s="549"/>
      <c r="H47" s="407"/>
    </row>
    <row r="48" spans="1:8" ht="15.75" customHeight="1" x14ac:dyDescent="0.25">
      <c r="A48" s="579"/>
      <c r="B48" s="391"/>
      <c r="C48" s="551"/>
      <c r="D48" s="551"/>
      <c r="E48" s="549"/>
      <c r="H48" s="407"/>
    </row>
    <row r="49" spans="1:8" ht="15.75" customHeight="1" x14ac:dyDescent="0.25">
      <c r="A49" s="579"/>
      <c r="B49" s="391"/>
      <c r="C49" s="551"/>
      <c r="D49" s="551"/>
      <c r="E49" s="549"/>
      <c r="F49" s="414"/>
      <c r="H49" s="407"/>
    </row>
    <row r="50" spans="1:8" ht="15.75" customHeight="1" x14ac:dyDescent="0.25">
      <c r="A50" s="579"/>
      <c r="B50" s="391"/>
      <c r="C50" s="551"/>
      <c r="D50" s="551"/>
      <c r="E50" s="549"/>
      <c r="F50" s="414"/>
      <c r="H50" s="407"/>
    </row>
    <row r="51" spans="1:8" ht="15.75" customHeight="1" x14ac:dyDescent="0.25">
      <c r="A51" s="579"/>
      <c r="B51" s="391"/>
      <c r="C51" s="551"/>
      <c r="D51" s="551"/>
      <c r="E51" s="549"/>
      <c r="F51" s="415"/>
      <c r="H51" s="407"/>
    </row>
    <row r="52" spans="1:8" ht="15.75" customHeight="1" x14ac:dyDescent="0.25">
      <c r="A52" s="579"/>
      <c r="B52" s="391"/>
      <c r="C52" s="551"/>
      <c r="D52" s="551"/>
      <c r="E52" s="549"/>
      <c r="H52" s="407"/>
    </row>
    <row r="53" spans="1:8" ht="15.75" customHeight="1" x14ac:dyDescent="0.25">
      <c r="A53" s="579"/>
      <c r="B53" s="391"/>
      <c r="C53" s="551"/>
      <c r="D53" s="551"/>
      <c r="E53" s="549"/>
      <c r="H53" s="407"/>
    </row>
    <row r="54" spans="1:8" ht="15.75" customHeight="1" x14ac:dyDescent="0.25">
      <c r="A54" s="579"/>
      <c r="B54" s="391"/>
      <c r="C54" s="551"/>
      <c r="D54" s="551"/>
      <c r="E54" s="549"/>
      <c r="H54" s="407"/>
    </row>
    <row r="55" spans="1:8" ht="15.75" customHeight="1" x14ac:dyDescent="0.25">
      <c r="A55" s="579"/>
      <c r="B55" s="391"/>
      <c r="C55" s="551"/>
      <c r="D55" s="551"/>
      <c r="E55" s="549"/>
      <c r="H55" s="407"/>
    </row>
    <row r="56" spans="1:8" ht="15.75" customHeight="1" x14ac:dyDescent="0.25">
      <c r="A56" s="579"/>
      <c r="B56" s="391"/>
      <c r="C56" s="551"/>
      <c r="D56" s="551"/>
      <c r="E56" s="549"/>
      <c r="H56" s="407"/>
    </row>
    <row r="57" spans="1:8" ht="15.75" customHeight="1" x14ac:dyDescent="0.25">
      <c r="A57" s="579"/>
      <c r="B57" s="391"/>
      <c r="C57" s="551"/>
      <c r="D57" s="551"/>
      <c r="E57" s="549"/>
      <c r="H57" s="407"/>
    </row>
    <row r="58" spans="1:8" ht="15.75" customHeight="1" x14ac:dyDescent="0.25">
      <c r="A58" s="579"/>
      <c r="B58" s="391"/>
      <c r="C58" s="551"/>
      <c r="D58" s="551"/>
      <c r="E58" s="549"/>
      <c r="H58" s="407"/>
    </row>
    <row r="59" spans="1:8" ht="15.75" customHeight="1" x14ac:dyDescent="0.25">
      <c r="A59" s="579"/>
      <c r="B59" s="391"/>
      <c r="C59" s="551"/>
      <c r="D59" s="551"/>
      <c r="E59" s="549"/>
      <c r="H59" s="407"/>
    </row>
    <row r="60" spans="1:8" ht="15.75" customHeight="1" x14ac:dyDescent="0.25">
      <c r="A60" s="579"/>
      <c r="B60" s="431"/>
      <c r="C60" s="552"/>
      <c r="D60" s="552"/>
      <c r="E60" s="553"/>
      <c r="H60" s="407"/>
    </row>
    <row r="61" spans="1:8" ht="15.75" customHeight="1" x14ac:dyDescent="0.25">
      <c r="A61" s="579"/>
      <c r="B61" s="391"/>
      <c r="C61" s="551"/>
      <c r="D61" s="551"/>
      <c r="E61" s="549"/>
      <c r="H61" s="407"/>
    </row>
    <row r="62" spans="1:8" ht="15.75" customHeight="1" x14ac:dyDescent="0.25">
      <c r="A62" s="579"/>
      <c r="B62" s="391"/>
      <c r="C62" s="551"/>
      <c r="D62" s="551"/>
      <c r="E62" s="549"/>
      <c r="H62" s="407"/>
    </row>
    <row r="63" spans="1:8" ht="15.75" customHeight="1" x14ac:dyDescent="0.25">
      <c r="A63" s="579"/>
      <c r="B63" s="391"/>
      <c r="C63" s="551"/>
      <c r="D63" s="551"/>
      <c r="E63" s="549"/>
      <c r="H63" s="407"/>
    </row>
    <row r="64" spans="1:8" ht="15.75" customHeight="1" x14ac:dyDescent="0.25">
      <c r="A64" s="579"/>
      <c r="B64" s="391"/>
      <c r="C64" s="551"/>
      <c r="D64" s="551"/>
      <c r="E64" s="549"/>
      <c r="H64" s="407"/>
    </row>
    <row r="65" spans="1:8" ht="15.75" customHeight="1" x14ac:dyDescent="0.25">
      <c r="A65" s="579"/>
      <c r="B65" s="391"/>
      <c r="C65" s="551"/>
      <c r="D65" s="551"/>
      <c r="E65" s="549"/>
      <c r="H65" s="407"/>
    </row>
    <row r="66" spans="1:8" ht="15.75" customHeight="1" x14ac:dyDescent="0.25">
      <c r="A66" s="579"/>
      <c r="B66" s="409" t="s">
        <v>52</v>
      </c>
      <c r="C66" s="551">
        <f>SUM(C6:C65)</f>
        <v>168760</v>
      </c>
      <c r="D66" s="551">
        <f>SUM(D6:D65)</f>
        <v>160128</v>
      </c>
      <c r="E66" s="549">
        <f>+C66-D66</f>
        <v>8632</v>
      </c>
      <c r="F66" s="397"/>
      <c r="H66" s="407"/>
    </row>
    <row r="67" spans="1:8" ht="15.75" customHeight="1" x14ac:dyDescent="0.25">
      <c r="A67" s="579"/>
      <c r="B67" s="410"/>
      <c r="C67" s="554"/>
      <c r="D67" s="555"/>
      <c r="E67" s="549"/>
      <c r="G67" s="394"/>
      <c r="H67" s="407"/>
    </row>
    <row r="68" spans="1:8" ht="15.75" customHeight="1" x14ac:dyDescent="0.25">
      <c r="C68" s="556"/>
      <c r="D68" s="556"/>
      <c r="E68" s="557"/>
      <c r="H68" s="407"/>
    </row>
    <row r="69" spans="1:8" ht="15.75" customHeight="1" x14ac:dyDescent="0.25">
      <c r="C69" s="551"/>
      <c r="D69" s="551"/>
      <c r="E69" s="558"/>
      <c r="H69" s="407"/>
    </row>
    <row r="70" spans="1:8" ht="15.75" customHeight="1" x14ac:dyDescent="0.25">
      <c r="C70" s="551"/>
      <c r="D70" s="551"/>
      <c r="E70" s="558"/>
      <c r="H70" s="407"/>
    </row>
    <row r="71" spans="1:8" ht="15.75" customHeight="1" x14ac:dyDescent="0.25">
      <c r="C71" s="551"/>
      <c r="D71" s="551"/>
      <c r="E71" s="558"/>
      <c r="H71" s="407"/>
    </row>
    <row r="72" spans="1:8" ht="15.75" customHeight="1" x14ac:dyDescent="0.25">
      <c r="C72" s="551"/>
      <c r="D72" s="551"/>
      <c r="E72" s="558"/>
    </row>
    <row r="73" spans="1:8" ht="15.75" customHeight="1" x14ac:dyDescent="0.25">
      <c r="C73" s="551"/>
      <c r="D73" s="551"/>
      <c r="E73" s="558"/>
    </row>
    <row r="74" spans="1:8" ht="15.75" customHeight="1" x14ac:dyDescent="0.25">
      <c r="C74" s="551"/>
      <c r="D74" s="551"/>
      <c r="E74" s="558"/>
    </row>
    <row r="75" spans="1:8" ht="15.75" customHeight="1" x14ac:dyDescent="0.25">
      <c r="C75" s="551"/>
      <c r="D75" s="551"/>
      <c r="E75" s="558"/>
    </row>
    <row r="76" spans="1:8" ht="15.75" customHeight="1" x14ac:dyDescent="0.25">
      <c r="C76" s="551"/>
      <c r="D76" s="551"/>
      <c r="E76" s="558"/>
    </row>
    <row r="77" spans="1:8" ht="15.75" customHeight="1" x14ac:dyDescent="0.25">
      <c r="C77" s="551"/>
      <c r="D77" s="551"/>
      <c r="E77" s="558"/>
    </row>
    <row r="78" spans="1:8" ht="15.75" customHeight="1" x14ac:dyDescent="0.25">
      <c r="C78" s="551"/>
      <c r="D78" s="551"/>
      <c r="E78" s="558"/>
    </row>
    <row r="79" spans="1:8" ht="15.75" customHeight="1" x14ac:dyDescent="0.25">
      <c r="E79" s="543"/>
    </row>
    <row r="80" spans="1:8" ht="15.75" customHeight="1" x14ac:dyDescent="0.25">
      <c r="E80" s="543"/>
    </row>
    <row r="81" spans="5:5" ht="15.75" customHeight="1" x14ac:dyDescent="0.25">
      <c r="E81" s="543"/>
    </row>
    <row r="82" spans="5:5" ht="15.75" customHeight="1" x14ac:dyDescent="0.25">
      <c r="E82" s="543"/>
    </row>
    <row r="83" spans="5:5" ht="15.75" customHeight="1" x14ac:dyDescent="0.25">
      <c r="E83" s="543"/>
    </row>
    <row r="84" spans="5:5" ht="15.75" customHeight="1" x14ac:dyDescent="0.25">
      <c r="E84" s="543"/>
    </row>
    <row r="85" spans="5:5" ht="15.75" customHeight="1" x14ac:dyDescent="0.25">
      <c r="E85" s="543"/>
    </row>
    <row r="86" spans="5:5" ht="15.75" customHeight="1" x14ac:dyDescent="0.25">
      <c r="E86" s="543"/>
    </row>
    <row r="87" spans="5:5" ht="15.75" customHeight="1" x14ac:dyDescent="0.25">
      <c r="E87" s="543"/>
    </row>
    <row r="88" spans="5:5" ht="15.75" customHeight="1" x14ac:dyDescent="0.25">
      <c r="E88" s="543"/>
    </row>
    <row r="89" spans="5:5" ht="15.75" customHeight="1" x14ac:dyDescent="0.25">
      <c r="E89" s="543"/>
    </row>
    <row r="90" spans="5:5" ht="15.75" customHeight="1" x14ac:dyDescent="0.25">
      <c r="E90" s="543"/>
    </row>
    <row r="91" spans="5:5" ht="15.75" customHeight="1" x14ac:dyDescent="0.25">
      <c r="E91" s="543"/>
    </row>
    <row r="92" spans="5:5" ht="15.75" customHeight="1" x14ac:dyDescent="0.25">
      <c r="E92" s="543"/>
    </row>
    <row r="93" spans="5:5" ht="15.75" customHeight="1" x14ac:dyDescent="0.25">
      <c r="E93" s="543"/>
    </row>
    <row r="94" spans="5:5" ht="15.75" customHeight="1" x14ac:dyDescent="0.25">
      <c r="E94" s="543"/>
    </row>
    <row r="95" spans="5:5" ht="15.75" customHeight="1" x14ac:dyDescent="0.25">
      <c r="E95" s="543"/>
    </row>
    <row r="96" spans="5:5" ht="15.75" customHeight="1" x14ac:dyDescent="0.25">
      <c r="E96" s="543"/>
    </row>
    <row r="97" spans="5:5" ht="15.75" customHeight="1" x14ac:dyDescent="0.25">
      <c r="E97" s="543"/>
    </row>
    <row r="98" spans="5:5" ht="15.75" customHeight="1" x14ac:dyDescent="0.25">
      <c r="E98" s="543"/>
    </row>
    <row r="99" spans="5:5" ht="15.75" customHeight="1" x14ac:dyDescent="0.25">
      <c r="E99" s="543"/>
    </row>
    <row r="100" spans="5:5" ht="15.75" customHeight="1" x14ac:dyDescent="0.25">
      <c r="E100" s="543"/>
    </row>
    <row r="101" spans="5:5" ht="15.75" customHeight="1" x14ac:dyDescent="0.25">
      <c r="E101" s="543"/>
    </row>
    <row r="102" spans="5:5" ht="15.75" customHeight="1" x14ac:dyDescent="0.25">
      <c r="E102" s="543"/>
    </row>
    <row r="103" spans="5:5" ht="15.75" customHeight="1" x14ac:dyDescent="0.25">
      <c r="E103" s="543"/>
    </row>
    <row r="104" spans="5:5" ht="15.75" customHeight="1" x14ac:dyDescent="0.25">
      <c r="E104" s="543"/>
    </row>
    <row r="105" spans="5:5" ht="15.75" customHeight="1" x14ac:dyDescent="0.25">
      <c r="E105" s="543"/>
    </row>
    <row r="106" spans="5:5" ht="15.75" customHeight="1" x14ac:dyDescent="0.25">
      <c r="E106" s="543"/>
    </row>
    <row r="107" spans="5:5" ht="15.75" customHeight="1" x14ac:dyDescent="0.25">
      <c r="E107" s="543"/>
    </row>
    <row r="108" spans="5:5" ht="15.75" customHeight="1" x14ac:dyDescent="0.25">
      <c r="E108" s="543"/>
    </row>
    <row r="109" spans="5:5" ht="15.75" customHeight="1" x14ac:dyDescent="0.25">
      <c r="E109" s="543"/>
    </row>
    <row r="110" spans="5:5" ht="15.75" customHeight="1" x14ac:dyDescent="0.25">
      <c r="E110" s="543"/>
    </row>
    <row r="111" spans="5:5" ht="15.75" customHeight="1" x14ac:dyDescent="0.25">
      <c r="E111" s="543"/>
    </row>
    <row r="112" spans="5:5" ht="15.75" customHeight="1" x14ac:dyDescent="0.25">
      <c r="E112" s="543"/>
    </row>
    <row r="113" spans="5:5" ht="15.75" customHeight="1" x14ac:dyDescent="0.25">
      <c r="E113" s="543"/>
    </row>
    <row r="114" spans="5:5" ht="15.75" customHeight="1" x14ac:dyDescent="0.25">
      <c r="E114" s="543"/>
    </row>
    <row r="115" spans="5:5" ht="15.75" customHeight="1" x14ac:dyDescent="0.25">
      <c r="E115" s="543"/>
    </row>
    <row r="116" spans="5:5" ht="15.75" customHeight="1" x14ac:dyDescent="0.25">
      <c r="E116" s="543"/>
    </row>
    <row r="117" spans="5:5" ht="15.75" customHeight="1" x14ac:dyDescent="0.25">
      <c r="E117" s="543"/>
    </row>
    <row r="118" spans="5:5" ht="15.75" customHeight="1" x14ac:dyDescent="0.25">
      <c r="E118" s="543"/>
    </row>
    <row r="119" spans="5:5" ht="15.75" customHeight="1" x14ac:dyDescent="0.25">
      <c r="E119" s="543"/>
    </row>
    <row r="120" spans="5:5" ht="15.75" customHeight="1" x14ac:dyDescent="0.25">
      <c r="E120" s="543"/>
    </row>
    <row r="121" spans="5:5" ht="15.75" customHeight="1" x14ac:dyDescent="0.25">
      <c r="E121" s="543"/>
    </row>
    <row r="122" spans="5:5" ht="15.75" customHeight="1" x14ac:dyDescent="0.25">
      <c r="E122" s="543"/>
    </row>
    <row r="123" spans="5:5" ht="15.75" customHeight="1" x14ac:dyDescent="0.25">
      <c r="E123" s="543"/>
    </row>
    <row r="124" spans="5:5" ht="15.75" customHeight="1" x14ac:dyDescent="0.25">
      <c r="E124" s="543"/>
    </row>
    <row r="125" spans="5:5" ht="15.75" customHeight="1" x14ac:dyDescent="0.25">
      <c r="E125" s="543"/>
    </row>
    <row r="126" spans="5:5" ht="15.75" customHeight="1" x14ac:dyDescent="0.25">
      <c r="E126" s="543"/>
    </row>
    <row r="127" spans="5:5" ht="15.75" customHeight="1" x14ac:dyDescent="0.25">
      <c r="E127" s="543"/>
    </row>
    <row r="128" spans="5:5" ht="15.75" customHeight="1" x14ac:dyDescent="0.25">
      <c r="E128" s="543"/>
    </row>
    <row r="129" spans="5:5" ht="15.75" customHeight="1" x14ac:dyDescent="0.25">
      <c r="E129" s="543"/>
    </row>
    <row r="130" spans="5:5" ht="15.75" customHeight="1" x14ac:dyDescent="0.25">
      <c r="E130" s="543"/>
    </row>
    <row r="131" spans="5:5" ht="15.75" customHeight="1" x14ac:dyDescent="0.25">
      <c r="E131" s="543"/>
    </row>
    <row r="132" spans="5:5" ht="15.75" customHeight="1" x14ac:dyDescent="0.25">
      <c r="E132" s="543"/>
    </row>
    <row r="133" spans="5:5" ht="15.75" customHeight="1" x14ac:dyDescent="0.25">
      <c r="E133" s="543"/>
    </row>
    <row r="134" spans="5:5" ht="15.75" customHeight="1" x14ac:dyDescent="0.25">
      <c r="E134" s="543"/>
    </row>
    <row r="135" spans="5:5" ht="15.75" customHeight="1" x14ac:dyDescent="0.25">
      <c r="E135" s="543"/>
    </row>
    <row r="136" spans="5:5" ht="15.75" customHeight="1" x14ac:dyDescent="0.25">
      <c r="E136" s="543"/>
    </row>
    <row r="137" spans="5:5" ht="15.75" customHeight="1" x14ac:dyDescent="0.25">
      <c r="E137" s="543"/>
    </row>
    <row r="138" spans="5:5" ht="15.75" customHeight="1" x14ac:dyDescent="0.25">
      <c r="E138" s="543"/>
    </row>
    <row r="139" spans="5:5" ht="15.75" customHeight="1" x14ac:dyDescent="0.25">
      <c r="E139" s="543"/>
    </row>
    <row r="140" spans="5:5" ht="15.75" customHeight="1" x14ac:dyDescent="0.25">
      <c r="E140" s="543"/>
    </row>
    <row r="141" spans="5:5" ht="15.75" customHeight="1" x14ac:dyDescent="0.25">
      <c r="E141" s="543"/>
    </row>
    <row r="142" spans="5:5" ht="15.75" customHeight="1" x14ac:dyDescent="0.25">
      <c r="E142" s="543"/>
    </row>
    <row r="143" spans="5:5" ht="15.75" customHeight="1" x14ac:dyDescent="0.25">
      <c r="E143" s="543"/>
    </row>
    <row r="144" spans="5:5" ht="15.75" customHeight="1" x14ac:dyDescent="0.25">
      <c r="E144" s="543"/>
    </row>
    <row r="145" spans="5:5" ht="15.75" customHeight="1" x14ac:dyDescent="0.25">
      <c r="E145" s="543"/>
    </row>
    <row r="146" spans="5:5" ht="15.75" customHeight="1" x14ac:dyDescent="0.25">
      <c r="E146" s="543"/>
    </row>
    <row r="147" spans="5:5" ht="15.75" customHeight="1" x14ac:dyDescent="0.25">
      <c r="E147" s="543"/>
    </row>
    <row r="148" spans="5:5" ht="15.75" customHeight="1" x14ac:dyDescent="0.25">
      <c r="E148" s="543"/>
    </row>
    <row r="149" spans="5:5" ht="15.75" customHeight="1" x14ac:dyDescent="0.25">
      <c r="E149" s="543"/>
    </row>
    <row r="150" spans="5:5" ht="15.75" customHeight="1" x14ac:dyDescent="0.25">
      <c r="E150" s="543"/>
    </row>
    <row r="151" spans="5:5" ht="15.75" customHeight="1" x14ac:dyDescent="0.25">
      <c r="E151" s="543"/>
    </row>
    <row r="152" spans="5:5" ht="15.75" customHeight="1" x14ac:dyDescent="0.25">
      <c r="E152" s="543"/>
    </row>
    <row r="153" spans="5:5" ht="15.75" customHeight="1" x14ac:dyDescent="0.25">
      <c r="E153" s="543"/>
    </row>
    <row r="154" spans="5:5" ht="15.75" customHeight="1" x14ac:dyDescent="0.25">
      <c r="E154" s="543"/>
    </row>
    <row r="155" spans="5:5" ht="15.75" customHeight="1" x14ac:dyDescent="0.25">
      <c r="E155" s="543"/>
    </row>
    <row r="156" spans="5:5" ht="15.75" customHeight="1" x14ac:dyDescent="0.25">
      <c r="E156" s="543"/>
    </row>
    <row r="157" spans="5:5" ht="15.75" customHeight="1" x14ac:dyDescent="0.25">
      <c r="E157" s="543"/>
    </row>
    <row r="158" spans="5:5" ht="15.75" customHeight="1" x14ac:dyDescent="0.25">
      <c r="E158" s="543"/>
    </row>
    <row r="159" spans="5:5" ht="15.75" customHeight="1" x14ac:dyDescent="0.25">
      <c r="E159" s="543"/>
    </row>
    <row r="160" spans="5:5" ht="15.75" customHeight="1" x14ac:dyDescent="0.25">
      <c r="E160" s="543"/>
    </row>
    <row r="161" spans="5:5" ht="15.75" customHeight="1" x14ac:dyDescent="0.25">
      <c r="E161" s="543"/>
    </row>
    <row r="162" spans="5:5" ht="15.75" customHeight="1" x14ac:dyDescent="0.25">
      <c r="E162" s="543"/>
    </row>
    <row r="163" spans="5:5" ht="15.75" customHeight="1" x14ac:dyDescent="0.25">
      <c r="E163" s="543"/>
    </row>
    <row r="164" spans="5:5" ht="15.75" customHeight="1" x14ac:dyDescent="0.25">
      <c r="E164" s="543"/>
    </row>
    <row r="165" spans="5:5" ht="15.75" customHeight="1" x14ac:dyDescent="0.25">
      <c r="E165" s="543"/>
    </row>
    <row r="166" spans="5:5" ht="15.75" customHeight="1" x14ac:dyDescent="0.25">
      <c r="E166" s="543"/>
    </row>
    <row r="167" spans="5:5" ht="15.75" customHeight="1" x14ac:dyDescent="0.25">
      <c r="E167" s="543"/>
    </row>
    <row r="168" spans="5:5" ht="15.75" customHeight="1" x14ac:dyDescent="0.25">
      <c r="E168" s="543"/>
    </row>
    <row r="169" spans="5:5" ht="15.75" customHeight="1" x14ac:dyDescent="0.25">
      <c r="E169" s="543"/>
    </row>
    <row r="170" spans="5:5" ht="15.75" customHeight="1" x14ac:dyDescent="0.25">
      <c r="E170" s="543"/>
    </row>
    <row r="171" spans="5:5" ht="15.75" customHeight="1" x14ac:dyDescent="0.25">
      <c r="E171" s="543"/>
    </row>
    <row r="172" spans="5:5" ht="15.75" customHeight="1" x14ac:dyDescent="0.25">
      <c r="E172" s="543"/>
    </row>
    <row r="173" spans="5:5" ht="15.75" customHeight="1" x14ac:dyDescent="0.25">
      <c r="E173" s="543"/>
    </row>
    <row r="174" spans="5:5" ht="15.75" customHeight="1" x14ac:dyDescent="0.25">
      <c r="E174" s="543"/>
    </row>
    <row r="175" spans="5:5" ht="15.75" customHeight="1" x14ac:dyDescent="0.25">
      <c r="E175" s="543"/>
    </row>
    <row r="176" spans="5:5" ht="15.75" customHeight="1" x14ac:dyDescent="0.25">
      <c r="E176" s="543"/>
    </row>
    <row r="177" spans="5:5" ht="15.75" customHeight="1" x14ac:dyDescent="0.25">
      <c r="E177" s="543"/>
    </row>
    <row r="178" spans="5:5" ht="15.75" customHeight="1" x14ac:dyDescent="0.25">
      <c r="E178" s="543"/>
    </row>
    <row r="179" spans="5:5" ht="15.75" customHeight="1" x14ac:dyDescent="0.25">
      <c r="E179" s="543"/>
    </row>
    <row r="180" spans="5:5" ht="15.75" customHeight="1" x14ac:dyDescent="0.25">
      <c r="E180" s="543"/>
    </row>
    <row r="181" spans="5:5" ht="15.75" customHeight="1" x14ac:dyDescent="0.25">
      <c r="E181" s="543"/>
    </row>
    <row r="182" spans="5:5" ht="15.75" customHeight="1" x14ac:dyDescent="0.25">
      <c r="E182" s="543"/>
    </row>
    <row r="183" spans="5:5" ht="15.75" customHeight="1" x14ac:dyDescent="0.25">
      <c r="E183" s="543"/>
    </row>
    <row r="184" spans="5:5" ht="15.75" customHeight="1" x14ac:dyDescent="0.25">
      <c r="E184" s="543"/>
    </row>
    <row r="185" spans="5:5" ht="15.75" customHeight="1" x14ac:dyDescent="0.25">
      <c r="E185" s="543"/>
    </row>
    <row r="186" spans="5:5" ht="15.75" customHeight="1" x14ac:dyDescent="0.25">
      <c r="E186" s="543"/>
    </row>
    <row r="187" spans="5:5" ht="15.75" customHeight="1" x14ac:dyDescent="0.25">
      <c r="E187" s="543"/>
    </row>
    <row r="188" spans="5:5" ht="15.75" customHeight="1" x14ac:dyDescent="0.25">
      <c r="E188" s="543"/>
    </row>
    <row r="189" spans="5:5" ht="15.75" customHeight="1" x14ac:dyDescent="0.25">
      <c r="E189" s="543"/>
    </row>
    <row r="190" spans="5:5" ht="15.75" customHeight="1" x14ac:dyDescent="0.25">
      <c r="E190" s="543"/>
    </row>
    <row r="191" spans="5:5" ht="15.75" customHeight="1" x14ac:dyDescent="0.25">
      <c r="E191" s="543"/>
    </row>
    <row r="192" spans="5:5" ht="15.75" customHeight="1" x14ac:dyDescent="0.25">
      <c r="E192" s="543"/>
    </row>
    <row r="193" spans="5:5" ht="15.75" customHeight="1" x14ac:dyDescent="0.25">
      <c r="E193" s="543"/>
    </row>
    <row r="194" spans="5:5" ht="15.75" customHeight="1" x14ac:dyDescent="0.25">
      <c r="E194" s="543"/>
    </row>
    <row r="195" spans="5:5" ht="15.75" customHeight="1" x14ac:dyDescent="0.25">
      <c r="E195" s="543"/>
    </row>
    <row r="196" spans="5:5" ht="15.75" customHeight="1" x14ac:dyDescent="0.25">
      <c r="E196" s="543"/>
    </row>
    <row r="197" spans="5:5" ht="15.75" customHeight="1" x14ac:dyDescent="0.25">
      <c r="E197" s="543"/>
    </row>
    <row r="198" spans="5:5" ht="15.75" customHeight="1" x14ac:dyDescent="0.25">
      <c r="E198" s="543"/>
    </row>
    <row r="199" spans="5:5" ht="15.75" customHeight="1" x14ac:dyDescent="0.25">
      <c r="E199" s="543"/>
    </row>
    <row r="200" spans="5:5" ht="15.75" customHeight="1" x14ac:dyDescent="0.25">
      <c r="E200" s="543"/>
    </row>
    <row r="201" spans="5:5" ht="15.75" customHeight="1" x14ac:dyDescent="0.25">
      <c r="E201" s="543"/>
    </row>
    <row r="202" spans="5:5" ht="15.75" customHeight="1" x14ac:dyDescent="0.25">
      <c r="E202" s="543"/>
    </row>
    <row r="203" spans="5:5" ht="15.75" customHeight="1" x14ac:dyDescent="0.25">
      <c r="E203" s="543"/>
    </row>
    <row r="204" spans="5:5" ht="15.75" customHeight="1" x14ac:dyDescent="0.25">
      <c r="E204" s="543"/>
    </row>
    <row r="205" spans="5:5" ht="15.75" customHeight="1" x14ac:dyDescent="0.25">
      <c r="E205" s="543"/>
    </row>
    <row r="206" spans="5:5" ht="15.75" customHeight="1" x14ac:dyDescent="0.25">
      <c r="E206" s="543"/>
    </row>
    <row r="207" spans="5:5" ht="15.75" customHeight="1" x14ac:dyDescent="0.25">
      <c r="E207" s="543"/>
    </row>
    <row r="208" spans="5:5" ht="15.75" customHeight="1" x14ac:dyDescent="0.25">
      <c r="E208" s="543"/>
    </row>
    <row r="209" spans="5:5" ht="15.75" customHeight="1" x14ac:dyDescent="0.25">
      <c r="E209" s="543"/>
    </row>
    <row r="210" spans="5:5" ht="15.75" customHeight="1" x14ac:dyDescent="0.25">
      <c r="E210" s="543"/>
    </row>
    <row r="211" spans="5:5" ht="15.75" customHeight="1" x14ac:dyDescent="0.25">
      <c r="E211" s="543"/>
    </row>
    <row r="212" spans="5:5" ht="15.75" customHeight="1" x14ac:dyDescent="0.25">
      <c r="E212" s="543"/>
    </row>
    <row r="213" spans="5:5" ht="15.75" customHeight="1" x14ac:dyDescent="0.25">
      <c r="E213" s="543"/>
    </row>
    <row r="214" spans="5:5" ht="15.75" customHeight="1" x14ac:dyDescent="0.25">
      <c r="E214" s="543"/>
    </row>
    <row r="215" spans="5:5" ht="15.75" customHeight="1" x14ac:dyDescent="0.25">
      <c r="E215" s="543"/>
    </row>
    <row r="216" spans="5:5" ht="15.75" customHeight="1" x14ac:dyDescent="0.25">
      <c r="E216" s="543"/>
    </row>
    <row r="217" spans="5:5" ht="15.75" customHeight="1" x14ac:dyDescent="0.25">
      <c r="E217" s="543"/>
    </row>
    <row r="218" spans="5:5" ht="15.75" customHeight="1" x14ac:dyDescent="0.25">
      <c r="E218" s="543"/>
    </row>
    <row r="219" spans="5:5" ht="15.75" customHeight="1" x14ac:dyDescent="0.25">
      <c r="E219" s="543"/>
    </row>
    <row r="220" spans="5:5" ht="15.75" customHeight="1" x14ac:dyDescent="0.25">
      <c r="E220" s="543"/>
    </row>
    <row r="221" spans="5:5" ht="15.75" customHeight="1" x14ac:dyDescent="0.25">
      <c r="E221" s="543"/>
    </row>
    <row r="222" spans="5:5" ht="15.75" customHeight="1" x14ac:dyDescent="0.25">
      <c r="E222" s="543"/>
    </row>
    <row r="223" spans="5:5" ht="15.75" customHeight="1" x14ac:dyDescent="0.25">
      <c r="E223" s="543"/>
    </row>
    <row r="224" spans="5:5" ht="15.75" customHeight="1" x14ac:dyDescent="0.25">
      <c r="E224" s="543"/>
    </row>
    <row r="225" spans="5:5" ht="15.75" customHeight="1" x14ac:dyDescent="0.25">
      <c r="E225" s="543"/>
    </row>
    <row r="226" spans="5:5" ht="15.75" customHeight="1" x14ac:dyDescent="0.25">
      <c r="E226" s="543"/>
    </row>
    <row r="227" spans="5:5" ht="15.75" customHeight="1" x14ac:dyDescent="0.25">
      <c r="E227" s="543"/>
    </row>
    <row r="228" spans="5:5" ht="15.75" customHeight="1" x14ac:dyDescent="0.25">
      <c r="E228" s="543"/>
    </row>
    <row r="229" spans="5:5" ht="15.75" customHeight="1" x14ac:dyDescent="0.25">
      <c r="E229" s="543"/>
    </row>
    <row r="230" spans="5:5" ht="15.75" customHeight="1" x14ac:dyDescent="0.25">
      <c r="E230" s="543"/>
    </row>
    <row r="231" spans="5:5" ht="15.75" customHeight="1" x14ac:dyDescent="0.25">
      <c r="E231" s="543"/>
    </row>
    <row r="232" spans="5:5" ht="15.75" customHeight="1" x14ac:dyDescent="0.25">
      <c r="E232" s="543"/>
    </row>
    <row r="233" spans="5:5" ht="15.75" customHeight="1" x14ac:dyDescent="0.25">
      <c r="E233" s="543"/>
    </row>
    <row r="234" spans="5:5" ht="15.75" customHeight="1" x14ac:dyDescent="0.25">
      <c r="E234" s="543"/>
    </row>
    <row r="235" spans="5:5" ht="15.75" customHeight="1" x14ac:dyDescent="0.25">
      <c r="E235" s="543"/>
    </row>
    <row r="236" spans="5:5" ht="15.75" customHeight="1" x14ac:dyDescent="0.25">
      <c r="E236" s="543"/>
    </row>
    <row r="237" spans="5:5" ht="15.75" customHeight="1" x14ac:dyDescent="0.25">
      <c r="E237" s="543"/>
    </row>
    <row r="238" spans="5:5" ht="15.75" customHeight="1" x14ac:dyDescent="0.25">
      <c r="E238" s="543"/>
    </row>
    <row r="239" spans="5:5" ht="15.75" customHeight="1" x14ac:dyDescent="0.25">
      <c r="E239" s="543"/>
    </row>
    <row r="240" spans="5:5" ht="15.75" customHeight="1" x14ac:dyDescent="0.25">
      <c r="E240" s="543"/>
    </row>
    <row r="241" spans="5:5" ht="15.75" customHeight="1" x14ac:dyDescent="0.25">
      <c r="E241" s="543"/>
    </row>
    <row r="242" spans="5:5" ht="15.75" customHeight="1" x14ac:dyDescent="0.25">
      <c r="E242" s="543"/>
    </row>
    <row r="243" spans="5:5" ht="15.75" customHeight="1" x14ac:dyDescent="0.25">
      <c r="E243" s="543"/>
    </row>
    <row r="244" spans="5:5" ht="15.75" customHeight="1" x14ac:dyDescent="0.25">
      <c r="E244" s="543"/>
    </row>
    <row r="245" spans="5:5" ht="15.75" customHeight="1" x14ac:dyDescent="0.25">
      <c r="E245" s="543"/>
    </row>
    <row r="246" spans="5:5" ht="15.75" customHeight="1" x14ac:dyDescent="0.25">
      <c r="E246" s="543"/>
    </row>
    <row r="247" spans="5:5" ht="15.75" customHeight="1" x14ac:dyDescent="0.25">
      <c r="E247" s="543"/>
    </row>
    <row r="248" spans="5:5" ht="15.75" customHeight="1" x14ac:dyDescent="0.25">
      <c r="E248" s="543"/>
    </row>
    <row r="249" spans="5:5" ht="15.75" customHeight="1" x14ac:dyDescent="0.25">
      <c r="E249" s="543"/>
    </row>
    <row r="250" spans="5:5" ht="15.75" customHeight="1" x14ac:dyDescent="0.25">
      <c r="E250" s="543"/>
    </row>
    <row r="251" spans="5:5" ht="15.75" customHeight="1" x14ac:dyDescent="0.25">
      <c r="E251" s="543"/>
    </row>
    <row r="252" spans="5:5" ht="15.75" customHeight="1" x14ac:dyDescent="0.25">
      <c r="E252" s="543"/>
    </row>
    <row r="253" spans="5:5" ht="15.75" customHeight="1" x14ac:dyDescent="0.25">
      <c r="E253" s="543"/>
    </row>
    <row r="254" spans="5:5" ht="15.75" customHeight="1" x14ac:dyDescent="0.25">
      <c r="E254" s="543"/>
    </row>
    <row r="255" spans="5:5" ht="15.75" customHeight="1" x14ac:dyDescent="0.25">
      <c r="E255" s="543"/>
    </row>
    <row r="256" spans="5:5" ht="15.75" customHeight="1" x14ac:dyDescent="0.25">
      <c r="E256" s="543"/>
    </row>
    <row r="257" spans="5:5" ht="15.75" customHeight="1" x14ac:dyDescent="0.25">
      <c r="E257" s="543"/>
    </row>
    <row r="258" spans="5:5" ht="15.75" customHeight="1" x14ac:dyDescent="0.25">
      <c r="E258" s="543"/>
    </row>
    <row r="259" spans="5:5" ht="15.75" customHeight="1" x14ac:dyDescent="0.25">
      <c r="E259" s="543"/>
    </row>
    <row r="260" spans="5:5" ht="15.75" customHeight="1" x14ac:dyDescent="0.25">
      <c r="E260" s="543"/>
    </row>
    <row r="261" spans="5:5" ht="15.75" customHeight="1" x14ac:dyDescent="0.25">
      <c r="E261" s="543"/>
    </row>
    <row r="262" spans="5:5" ht="15.75" customHeight="1" x14ac:dyDescent="0.25">
      <c r="E262" s="543"/>
    </row>
    <row r="263" spans="5:5" ht="15.75" customHeight="1" x14ac:dyDescent="0.25">
      <c r="E263" s="543"/>
    </row>
    <row r="264" spans="5:5" ht="15.75" customHeight="1" x14ac:dyDescent="0.25">
      <c r="E264" s="543"/>
    </row>
    <row r="265" spans="5:5" ht="15.75" customHeight="1" x14ac:dyDescent="0.25">
      <c r="E265" s="543"/>
    </row>
    <row r="266" spans="5:5" ht="15.75" customHeight="1" x14ac:dyDescent="0.25">
      <c r="E266" s="543"/>
    </row>
    <row r="267" spans="5:5" ht="15.75" customHeight="1" x14ac:dyDescent="0.25">
      <c r="E267" s="543"/>
    </row>
    <row r="268" spans="5:5" ht="15.75" customHeight="1" x14ac:dyDescent="0.25">
      <c r="E268" s="543"/>
    </row>
    <row r="269" spans="5:5" ht="15.75" customHeight="1" x14ac:dyDescent="0.25">
      <c r="E269" s="543"/>
    </row>
    <row r="270" spans="5:5" ht="15.75" customHeight="1" x14ac:dyDescent="0.25">
      <c r="E270" s="543"/>
    </row>
    <row r="271" spans="5:5" ht="15.75" customHeight="1" x14ac:dyDescent="0.25">
      <c r="E271" s="543"/>
    </row>
    <row r="272" spans="5:5" ht="15.75" customHeight="1" x14ac:dyDescent="0.25">
      <c r="E272" s="543"/>
    </row>
    <row r="273" spans="5:5" ht="15.75" customHeight="1" x14ac:dyDescent="0.25">
      <c r="E273" s="543"/>
    </row>
    <row r="274" spans="5:5" ht="15.75" customHeight="1" x14ac:dyDescent="0.25">
      <c r="E274" s="543"/>
    </row>
    <row r="275" spans="5:5" ht="15.75" customHeight="1" x14ac:dyDescent="0.25">
      <c r="E275" s="543"/>
    </row>
    <row r="276" spans="5:5" ht="15.75" customHeight="1" x14ac:dyDescent="0.25">
      <c r="E276" s="543"/>
    </row>
    <row r="277" spans="5:5" ht="15.75" customHeight="1" x14ac:dyDescent="0.25">
      <c r="E277" s="543"/>
    </row>
    <row r="278" spans="5:5" ht="15.75" customHeight="1" x14ac:dyDescent="0.25">
      <c r="E278" s="543"/>
    </row>
    <row r="279" spans="5:5" ht="15.75" customHeight="1" x14ac:dyDescent="0.25">
      <c r="E279" s="543"/>
    </row>
    <row r="280" spans="5:5" ht="15.75" customHeight="1" x14ac:dyDescent="0.25">
      <c r="E280" s="543"/>
    </row>
    <row r="281" spans="5:5" ht="15.75" customHeight="1" x14ac:dyDescent="0.25">
      <c r="E281" s="543"/>
    </row>
    <row r="282" spans="5:5" ht="15.75" customHeight="1" x14ac:dyDescent="0.25">
      <c r="E282" s="543"/>
    </row>
    <row r="283" spans="5:5" ht="15.75" customHeight="1" x14ac:dyDescent="0.25">
      <c r="E283" s="543"/>
    </row>
    <row r="284" spans="5:5" ht="15.75" customHeight="1" x14ac:dyDescent="0.25">
      <c r="E284" s="543"/>
    </row>
    <row r="285" spans="5:5" ht="15.75" customHeight="1" x14ac:dyDescent="0.25">
      <c r="E285" s="543"/>
    </row>
    <row r="286" spans="5:5" ht="15.75" customHeight="1" x14ac:dyDescent="0.25">
      <c r="E286" s="543"/>
    </row>
    <row r="287" spans="5:5" ht="15.75" customHeight="1" x14ac:dyDescent="0.25">
      <c r="E287" s="543"/>
    </row>
    <row r="288" spans="5:5" ht="15.75" customHeight="1" x14ac:dyDescent="0.25">
      <c r="E288" s="543"/>
    </row>
    <row r="289" spans="5:5" ht="15.75" customHeight="1" x14ac:dyDescent="0.25">
      <c r="E289" s="543"/>
    </row>
    <row r="290" spans="5:5" ht="15.75" customHeight="1" x14ac:dyDescent="0.25">
      <c r="E290" s="543"/>
    </row>
    <row r="291" spans="5:5" ht="15.75" customHeight="1" x14ac:dyDescent="0.25">
      <c r="E291" s="543"/>
    </row>
    <row r="292" spans="5:5" ht="15.75" customHeight="1" x14ac:dyDescent="0.25">
      <c r="E292" s="543"/>
    </row>
    <row r="293" spans="5:5" ht="15.75" customHeight="1" x14ac:dyDescent="0.25">
      <c r="E293" s="543"/>
    </row>
    <row r="294" spans="5:5" ht="15.75" customHeight="1" x14ac:dyDescent="0.25">
      <c r="E294" s="543"/>
    </row>
    <row r="295" spans="5:5" ht="15.75" customHeight="1" x14ac:dyDescent="0.25">
      <c r="E295" s="543"/>
    </row>
    <row r="296" spans="5:5" ht="15.75" customHeight="1" x14ac:dyDescent="0.25">
      <c r="E296" s="543"/>
    </row>
    <row r="297" spans="5:5" ht="15.75" customHeight="1" x14ac:dyDescent="0.25">
      <c r="E297" s="543"/>
    </row>
    <row r="298" spans="5:5" ht="15.75" customHeight="1" x14ac:dyDescent="0.25">
      <c r="E298" s="543"/>
    </row>
    <row r="299" spans="5:5" ht="15.75" customHeight="1" x14ac:dyDescent="0.25">
      <c r="E299" s="543"/>
    </row>
    <row r="300" spans="5:5" ht="15.75" customHeight="1" x14ac:dyDescent="0.25">
      <c r="E300" s="543"/>
    </row>
    <row r="301" spans="5:5" ht="15.75" customHeight="1" x14ac:dyDescent="0.25">
      <c r="E301" s="543"/>
    </row>
    <row r="302" spans="5:5" ht="15.75" customHeight="1" x14ac:dyDescent="0.25">
      <c r="E302" s="543"/>
    </row>
    <row r="303" spans="5:5" ht="15.75" customHeight="1" x14ac:dyDescent="0.25">
      <c r="E303" s="543"/>
    </row>
    <row r="304" spans="5:5" ht="15.75" customHeight="1" x14ac:dyDescent="0.25">
      <c r="E304" s="543"/>
    </row>
    <row r="305" spans="5:5" ht="15.75" customHeight="1" x14ac:dyDescent="0.25">
      <c r="E305" s="543"/>
    </row>
    <row r="306" spans="5:5" ht="15.75" customHeight="1" x14ac:dyDescent="0.25">
      <c r="E306" s="543"/>
    </row>
    <row r="307" spans="5:5" ht="15.75" customHeight="1" x14ac:dyDescent="0.25">
      <c r="E307" s="543"/>
    </row>
    <row r="308" spans="5:5" ht="15.75" customHeight="1" x14ac:dyDescent="0.25">
      <c r="E308" s="543"/>
    </row>
    <row r="309" spans="5:5" ht="15.75" customHeight="1" x14ac:dyDescent="0.25">
      <c r="E309" s="543"/>
    </row>
    <row r="310" spans="5:5" ht="15.75" customHeight="1" x14ac:dyDescent="0.25">
      <c r="E310" s="543"/>
    </row>
    <row r="311" spans="5:5" ht="15.75" customHeight="1" x14ac:dyDescent="0.25">
      <c r="E311" s="543"/>
    </row>
    <row r="312" spans="5:5" ht="15.75" customHeight="1" x14ac:dyDescent="0.25">
      <c r="E312" s="543"/>
    </row>
    <row r="313" spans="5:5" ht="15.75" customHeight="1" x14ac:dyDescent="0.25">
      <c r="E313" s="543"/>
    </row>
    <row r="314" spans="5:5" ht="15.75" customHeight="1" x14ac:dyDescent="0.25">
      <c r="E314" s="543"/>
    </row>
    <row r="315" spans="5:5" ht="15.75" customHeight="1" x14ac:dyDescent="0.25">
      <c r="E315" s="543"/>
    </row>
    <row r="316" spans="5:5" ht="15.75" customHeight="1" x14ac:dyDescent="0.25">
      <c r="E316" s="543"/>
    </row>
    <row r="317" spans="5:5" ht="15.75" customHeight="1" x14ac:dyDescent="0.25">
      <c r="E317" s="543"/>
    </row>
    <row r="318" spans="5:5" ht="15.75" customHeight="1" x14ac:dyDescent="0.25">
      <c r="E318" s="543"/>
    </row>
    <row r="319" spans="5:5" ht="15.75" customHeight="1" x14ac:dyDescent="0.25">
      <c r="E319" s="543"/>
    </row>
    <row r="320" spans="5:5" ht="15.75" customHeight="1" x14ac:dyDescent="0.25">
      <c r="E320" s="543"/>
    </row>
    <row r="321" spans="5:5" ht="15.75" customHeight="1" x14ac:dyDescent="0.25">
      <c r="E321" s="543"/>
    </row>
    <row r="322" spans="5:5" ht="15.75" customHeight="1" x14ac:dyDescent="0.25">
      <c r="E322" s="543"/>
    </row>
    <row r="323" spans="5:5" ht="15.75" customHeight="1" x14ac:dyDescent="0.25">
      <c r="E323" s="543"/>
    </row>
    <row r="324" spans="5:5" ht="15.75" customHeight="1" x14ac:dyDescent="0.25">
      <c r="E324" s="543"/>
    </row>
    <row r="325" spans="5:5" ht="15.75" customHeight="1" x14ac:dyDescent="0.25">
      <c r="E325" s="543"/>
    </row>
    <row r="326" spans="5:5" ht="15.75" customHeight="1" x14ac:dyDescent="0.25">
      <c r="E326" s="543"/>
    </row>
    <row r="327" spans="5:5" ht="15.75" customHeight="1" x14ac:dyDescent="0.25">
      <c r="E327" s="543"/>
    </row>
    <row r="328" spans="5:5" ht="15.75" customHeight="1" x14ac:dyDescent="0.25">
      <c r="E328" s="543"/>
    </row>
    <row r="329" spans="5:5" ht="15.75" customHeight="1" x14ac:dyDescent="0.25">
      <c r="E329" s="543"/>
    </row>
    <row r="330" spans="5:5" ht="15.75" customHeight="1" x14ac:dyDescent="0.25">
      <c r="E330" s="543"/>
    </row>
    <row r="331" spans="5:5" ht="15.75" customHeight="1" x14ac:dyDescent="0.25">
      <c r="E331" s="543"/>
    </row>
    <row r="332" spans="5:5" ht="15.75" customHeight="1" x14ac:dyDescent="0.25">
      <c r="E332" s="543"/>
    </row>
    <row r="333" spans="5:5" ht="15.75" customHeight="1" x14ac:dyDescent="0.25">
      <c r="E333" s="543"/>
    </row>
    <row r="334" spans="5:5" ht="15.75" customHeight="1" x14ac:dyDescent="0.25">
      <c r="E334" s="543"/>
    </row>
    <row r="335" spans="5:5" ht="15.75" customHeight="1" x14ac:dyDescent="0.25">
      <c r="E335" s="543"/>
    </row>
    <row r="336" spans="5:5" ht="15.75" customHeight="1" x14ac:dyDescent="0.25">
      <c r="E336" s="543"/>
    </row>
    <row r="337" spans="5:5" ht="15.75" customHeight="1" x14ac:dyDescent="0.25">
      <c r="E337" s="543"/>
    </row>
    <row r="338" spans="5:5" ht="15.75" customHeight="1" x14ac:dyDescent="0.25">
      <c r="E338" s="543"/>
    </row>
    <row r="339" spans="5:5" ht="15.75" customHeight="1" x14ac:dyDescent="0.25">
      <c r="E339" s="543"/>
    </row>
    <row r="340" spans="5:5" ht="15.75" customHeight="1" x14ac:dyDescent="0.25">
      <c r="E340" s="543"/>
    </row>
    <row r="341" spans="5:5" ht="15.75" customHeight="1" x14ac:dyDescent="0.25">
      <c r="E341" s="543"/>
    </row>
    <row r="342" spans="5:5" ht="15.75" customHeight="1" x14ac:dyDescent="0.25">
      <c r="E342" s="543"/>
    </row>
    <row r="343" spans="5:5" ht="15.75" customHeight="1" x14ac:dyDescent="0.25">
      <c r="E343" s="543"/>
    </row>
    <row r="344" spans="5:5" ht="15.75" customHeight="1" x14ac:dyDescent="0.25">
      <c r="E344" s="543"/>
    </row>
    <row r="345" spans="5:5" ht="15.75" customHeight="1" x14ac:dyDescent="0.25">
      <c r="E345" s="543"/>
    </row>
    <row r="346" spans="5:5" ht="15.75" customHeight="1" x14ac:dyDescent="0.25">
      <c r="E346" s="543"/>
    </row>
    <row r="347" spans="5:5" ht="15.75" customHeight="1" x14ac:dyDescent="0.25">
      <c r="E347" s="543"/>
    </row>
    <row r="348" spans="5:5" ht="15.75" customHeight="1" x14ac:dyDescent="0.25">
      <c r="E348" s="543"/>
    </row>
    <row r="349" spans="5:5" ht="15.75" customHeight="1" x14ac:dyDescent="0.25">
      <c r="E349" s="543"/>
    </row>
    <row r="350" spans="5:5" ht="15.75" customHeight="1" x14ac:dyDescent="0.25">
      <c r="E350" s="543"/>
    </row>
    <row r="351" spans="5:5" ht="15.75" customHeight="1" x14ac:dyDescent="0.25">
      <c r="E351" s="543"/>
    </row>
    <row r="352" spans="5:5" ht="15.75" customHeight="1" x14ac:dyDescent="0.25">
      <c r="E352" s="543"/>
    </row>
    <row r="353" spans="5:5" ht="15.75" customHeight="1" x14ac:dyDescent="0.25">
      <c r="E353" s="543"/>
    </row>
    <row r="354" spans="5:5" ht="15.75" customHeight="1" x14ac:dyDescent="0.25">
      <c r="E354" s="543"/>
    </row>
    <row r="355" spans="5:5" ht="15.75" customHeight="1" x14ac:dyDescent="0.25">
      <c r="E355" s="543"/>
    </row>
    <row r="356" spans="5:5" ht="15.75" customHeight="1" x14ac:dyDescent="0.25">
      <c r="E356" s="543"/>
    </row>
    <row r="357" spans="5:5" ht="15.75" customHeight="1" x14ac:dyDescent="0.25">
      <c r="E357" s="543"/>
    </row>
    <row r="358" spans="5:5" ht="15.75" customHeight="1" x14ac:dyDescent="0.25">
      <c r="E358" s="543"/>
    </row>
    <row r="359" spans="5:5" ht="15.75" customHeight="1" x14ac:dyDescent="0.25">
      <c r="E359" s="543"/>
    </row>
    <row r="360" spans="5:5" ht="15.75" customHeight="1" x14ac:dyDescent="0.25">
      <c r="E360" s="543"/>
    </row>
    <row r="361" spans="5:5" ht="15.75" customHeight="1" x14ac:dyDescent="0.25">
      <c r="E361" s="543"/>
    </row>
    <row r="362" spans="5:5" ht="15.75" customHeight="1" x14ac:dyDescent="0.25">
      <c r="E362" s="543"/>
    </row>
    <row r="363" spans="5:5" ht="15.75" customHeight="1" x14ac:dyDescent="0.25">
      <c r="E363" s="543"/>
    </row>
    <row r="364" spans="5:5" ht="15.75" customHeight="1" x14ac:dyDescent="0.25">
      <c r="E364" s="543"/>
    </row>
    <row r="365" spans="5:5" ht="15.75" customHeight="1" x14ac:dyDescent="0.25">
      <c r="E365" s="543"/>
    </row>
    <row r="366" spans="5:5" ht="15.75" customHeight="1" x14ac:dyDescent="0.25">
      <c r="E366" s="543"/>
    </row>
    <row r="367" spans="5:5" ht="15.75" customHeight="1" x14ac:dyDescent="0.25">
      <c r="E367" s="543"/>
    </row>
    <row r="368" spans="5:5" ht="15.75" customHeight="1" x14ac:dyDescent="0.25">
      <c r="E368" s="543"/>
    </row>
    <row r="369" spans="5:5" ht="15.75" customHeight="1" x14ac:dyDescent="0.25">
      <c r="E369" s="543"/>
    </row>
    <row r="370" spans="5:5" ht="15.75" customHeight="1" x14ac:dyDescent="0.25">
      <c r="E370" s="543"/>
    </row>
    <row r="371" spans="5:5" ht="15.75" customHeight="1" x14ac:dyDescent="0.25">
      <c r="E371" s="543"/>
    </row>
    <row r="372" spans="5:5" ht="15.75" customHeight="1" x14ac:dyDescent="0.25">
      <c r="E372" s="543"/>
    </row>
    <row r="373" spans="5:5" ht="15.75" customHeight="1" x14ac:dyDescent="0.25">
      <c r="E373" s="543"/>
    </row>
    <row r="374" spans="5:5" ht="15.75" customHeight="1" x14ac:dyDescent="0.25">
      <c r="E374" s="543"/>
    </row>
    <row r="375" spans="5:5" ht="15.75" customHeight="1" x14ac:dyDescent="0.25">
      <c r="E375" s="543"/>
    </row>
    <row r="376" spans="5:5" ht="15.75" customHeight="1" x14ac:dyDescent="0.25">
      <c r="E376" s="543"/>
    </row>
    <row r="377" spans="5:5" ht="15.75" customHeight="1" x14ac:dyDescent="0.25">
      <c r="E377" s="543"/>
    </row>
    <row r="378" spans="5:5" ht="15.75" customHeight="1" x14ac:dyDescent="0.25">
      <c r="E378" s="543"/>
    </row>
    <row r="379" spans="5:5" ht="15.75" customHeight="1" x14ac:dyDescent="0.25">
      <c r="E379" s="543"/>
    </row>
    <row r="380" spans="5:5" ht="15.75" customHeight="1" x14ac:dyDescent="0.25">
      <c r="E380" s="543"/>
    </row>
    <row r="381" spans="5:5" ht="15.75" customHeight="1" x14ac:dyDescent="0.25">
      <c r="E381" s="543"/>
    </row>
    <row r="382" spans="5:5" ht="15.75" customHeight="1" x14ac:dyDescent="0.25">
      <c r="E382" s="543"/>
    </row>
    <row r="383" spans="5:5" ht="15.75" customHeight="1" x14ac:dyDescent="0.25">
      <c r="E383" s="543"/>
    </row>
    <row r="384" spans="5:5" ht="15.75" customHeight="1" x14ac:dyDescent="0.25">
      <c r="E384" s="543"/>
    </row>
    <row r="385" spans="5:5" ht="15.75" customHeight="1" x14ac:dyDescent="0.25">
      <c r="E385" s="543"/>
    </row>
    <row r="386" spans="5:5" ht="15.75" customHeight="1" x14ac:dyDescent="0.25">
      <c r="E386" s="543"/>
    </row>
    <row r="387" spans="5:5" ht="15.75" customHeight="1" x14ac:dyDescent="0.25">
      <c r="E387" s="543"/>
    </row>
    <row r="388" spans="5:5" ht="15.75" customHeight="1" x14ac:dyDescent="0.25">
      <c r="E388" s="543"/>
    </row>
    <row r="389" spans="5:5" ht="15.75" customHeight="1" x14ac:dyDescent="0.25">
      <c r="E389" s="543"/>
    </row>
    <row r="390" spans="5:5" ht="15.75" customHeight="1" x14ac:dyDescent="0.25">
      <c r="E390" s="543"/>
    </row>
    <row r="391" spans="5:5" ht="15.75" customHeight="1" x14ac:dyDescent="0.25">
      <c r="E391" s="543"/>
    </row>
    <row r="392" spans="5:5" ht="15.75" customHeight="1" x14ac:dyDescent="0.25">
      <c r="E392" s="543"/>
    </row>
    <row r="393" spans="5:5" ht="15.75" customHeight="1" x14ac:dyDescent="0.25">
      <c r="E393" s="543"/>
    </row>
    <row r="394" spans="5:5" ht="15.75" customHeight="1" x14ac:dyDescent="0.25">
      <c r="E394" s="543"/>
    </row>
    <row r="395" spans="5:5" ht="15.75" customHeight="1" x14ac:dyDescent="0.25">
      <c r="E395" s="543"/>
    </row>
    <row r="396" spans="5:5" ht="15.75" customHeight="1" x14ac:dyDescent="0.25">
      <c r="E396" s="543"/>
    </row>
    <row r="397" spans="5:5" ht="15.75" customHeight="1" x14ac:dyDescent="0.25">
      <c r="E397" s="543"/>
    </row>
    <row r="398" spans="5:5" ht="15.75" customHeight="1" x14ac:dyDescent="0.25">
      <c r="E398" s="543"/>
    </row>
    <row r="399" spans="5:5" ht="15.75" customHeight="1" x14ac:dyDescent="0.25">
      <c r="E399" s="543"/>
    </row>
    <row r="400" spans="5:5" ht="15.75" customHeight="1" x14ac:dyDescent="0.25">
      <c r="E400" s="543"/>
    </row>
    <row r="401" spans="5:5" ht="15.75" customHeight="1" x14ac:dyDescent="0.25">
      <c r="E401" s="543"/>
    </row>
    <row r="402" spans="5:5" ht="15.75" customHeight="1" x14ac:dyDescent="0.25">
      <c r="E402" s="543"/>
    </row>
    <row r="403" spans="5:5" ht="15.75" customHeight="1" x14ac:dyDescent="0.25">
      <c r="E403" s="543"/>
    </row>
    <row r="404" spans="5:5" ht="15.75" customHeight="1" x14ac:dyDescent="0.25">
      <c r="E404" s="543"/>
    </row>
    <row r="405" spans="5:5" ht="15.75" customHeight="1" x14ac:dyDescent="0.25">
      <c r="E405" s="543"/>
    </row>
    <row r="406" spans="5:5" ht="15.75" customHeight="1" x14ac:dyDescent="0.25">
      <c r="E406" s="543"/>
    </row>
    <row r="407" spans="5:5" ht="15.75" customHeight="1" x14ac:dyDescent="0.25">
      <c r="E407" s="543"/>
    </row>
    <row r="408" spans="5:5" ht="15.75" customHeight="1" x14ac:dyDescent="0.25">
      <c r="E408" s="543"/>
    </row>
    <row r="409" spans="5:5" ht="15.75" customHeight="1" x14ac:dyDescent="0.25">
      <c r="E409" s="543"/>
    </row>
    <row r="410" spans="5:5" ht="15.75" customHeight="1" x14ac:dyDescent="0.25">
      <c r="E410" s="543"/>
    </row>
    <row r="411" spans="5:5" ht="15.75" customHeight="1" x14ac:dyDescent="0.25">
      <c r="E411" s="543"/>
    </row>
    <row r="412" spans="5:5" ht="15.75" customHeight="1" x14ac:dyDescent="0.25">
      <c r="E412" s="543"/>
    </row>
    <row r="413" spans="5:5" ht="15.75" customHeight="1" x14ac:dyDescent="0.25">
      <c r="E413" s="543"/>
    </row>
    <row r="414" spans="5:5" ht="15.75" customHeight="1" x14ac:dyDescent="0.25">
      <c r="E414" s="543"/>
    </row>
    <row r="415" spans="5:5" ht="15.75" customHeight="1" x14ac:dyDescent="0.25">
      <c r="E415" s="543"/>
    </row>
    <row r="416" spans="5:5" ht="15.75" customHeight="1" x14ac:dyDescent="0.25">
      <c r="E416" s="543"/>
    </row>
    <row r="417" spans="5:5" ht="15.75" customHeight="1" x14ac:dyDescent="0.25">
      <c r="E417" s="543"/>
    </row>
    <row r="418" spans="5:5" ht="15.75" customHeight="1" x14ac:dyDescent="0.25">
      <c r="E418" s="543"/>
    </row>
    <row r="419" spans="5:5" ht="15.75" customHeight="1" x14ac:dyDescent="0.25">
      <c r="E419" s="543"/>
    </row>
    <row r="420" spans="5:5" ht="15.75" customHeight="1" x14ac:dyDescent="0.25">
      <c r="E420" s="543"/>
    </row>
    <row r="421" spans="5:5" ht="15.75" customHeight="1" x14ac:dyDescent="0.25">
      <c r="E421" s="543"/>
    </row>
    <row r="422" spans="5:5" ht="15.75" customHeight="1" x14ac:dyDescent="0.25">
      <c r="E422" s="543"/>
    </row>
    <row r="423" spans="5:5" ht="15.75" customHeight="1" x14ac:dyDescent="0.25">
      <c r="E423" s="543"/>
    </row>
    <row r="424" spans="5:5" ht="15.75" customHeight="1" x14ac:dyDescent="0.25">
      <c r="E424" s="543"/>
    </row>
    <row r="425" spans="5:5" ht="15.75" customHeight="1" x14ac:dyDescent="0.25">
      <c r="E425" s="543"/>
    </row>
    <row r="426" spans="5:5" ht="15.75" customHeight="1" x14ac:dyDescent="0.25">
      <c r="E426" s="543"/>
    </row>
    <row r="427" spans="5:5" ht="15.75" customHeight="1" x14ac:dyDescent="0.25">
      <c r="E427" s="543"/>
    </row>
    <row r="428" spans="5:5" ht="15.75" customHeight="1" x14ac:dyDescent="0.25">
      <c r="E428" s="543"/>
    </row>
    <row r="429" spans="5:5" ht="15.75" customHeight="1" x14ac:dyDescent="0.25">
      <c r="E429" s="543"/>
    </row>
    <row r="430" spans="5:5" ht="15.75" customHeight="1" x14ac:dyDescent="0.25">
      <c r="E430" s="543"/>
    </row>
    <row r="431" spans="5:5" ht="15.75" customHeight="1" x14ac:dyDescent="0.25">
      <c r="E431" s="543"/>
    </row>
    <row r="432" spans="5:5" ht="15.75" customHeight="1" x14ac:dyDescent="0.25">
      <c r="E432" s="543"/>
    </row>
    <row r="433" spans="5:5" ht="15.75" customHeight="1" x14ac:dyDescent="0.25">
      <c r="E433" s="543"/>
    </row>
    <row r="434" spans="5:5" ht="15.75" customHeight="1" x14ac:dyDescent="0.25">
      <c r="E434" s="543"/>
    </row>
    <row r="435" spans="5:5" ht="15.75" customHeight="1" x14ac:dyDescent="0.25">
      <c r="E435" s="543"/>
    </row>
    <row r="436" spans="5:5" ht="15.75" customHeight="1" x14ac:dyDescent="0.25">
      <c r="E436" s="543"/>
    </row>
    <row r="437" spans="5:5" ht="15.75" customHeight="1" x14ac:dyDescent="0.25">
      <c r="E437" s="543"/>
    </row>
    <row r="438" spans="5:5" ht="15.75" customHeight="1" x14ac:dyDescent="0.25">
      <c r="E438" s="543"/>
    </row>
    <row r="439" spans="5:5" ht="15.75" customHeight="1" x14ac:dyDescent="0.25">
      <c r="E439" s="543"/>
    </row>
    <row r="440" spans="5:5" ht="15.75" customHeight="1" x14ac:dyDescent="0.25">
      <c r="E440" s="543"/>
    </row>
    <row r="441" spans="5:5" ht="15.75" customHeight="1" x14ac:dyDescent="0.25">
      <c r="E441" s="543"/>
    </row>
    <row r="442" spans="5:5" ht="15.75" customHeight="1" x14ac:dyDescent="0.25">
      <c r="E442" s="543"/>
    </row>
    <row r="443" spans="5:5" ht="15.75" customHeight="1" x14ac:dyDescent="0.25">
      <c r="E443" s="543"/>
    </row>
    <row r="444" spans="5:5" ht="15.75" customHeight="1" x14ac:dyDescent="0.25">
      <c r="E444" s="543"/>
    </row>
    <row r="445" spans="5:5" ht="15.75" customHeight="1" x14ac:dyDescent="0.25">
      <c r="E445" s="543"/>
    </row>
    <row r="446" spans="5:5" ht="15.75" customHeight="1" x14ac:dyDescent="0.25">
      <c r="E446" s="543"/>
    </row>
    <row r="447" spans="5:5" ht="15.75" customHeight="1" x14ac:dyDescent="0.25">
      <c r="E447" s="543"/>
    </row>
    <row r="448" spans="5:5" ht="15.75" customHeight="1" x14ac:dyDescent="0.25">
      <c r="E448" s="543"/>
    </row>
    <row r="449" spans="5:5" ht="15.75" customHeight="1" x14ac:dyDescent="0.25">
      <c r="E449" s="543"/>
    </row>
    <row r="450" spans="5:5" ht="15.75" customHeight="1" x14ac:dyDescent="0.25">
      <c r="E450" s="543"/>
    </row>
    <row r="451" spans="5:5" ht="15.75" customHeight="1" x14ac:dyDescent="0.25">
      <c r="E451" s="543"/>
    </row>
    <row r="452" spans="5:5" ht="15.75" customHeight="1" x14ac:dyDescent="0.25">
      <c r="E452" s="543"/>
    </row>
    <row r="453" spans="5:5" ht="15.75" customHeight="1" x14ac:dyDescent="0.25">
      <c r="E453" s="543"/>
    </row>
    <row r="454" spans="5:5" ht="15.75" customHeight="1" x14ac:dyDescent="0.25">
      <c r="E454" s="543"/>
    </row>
    <row r="455" spans="5:5" ht="15.75" customHeight="1" x14ac:dyDescent="0.25">
      <c r="E455" s="543"/>
    </row>
    <row r="456" spans="5:5" ht="15.75" customHeight="1" x14ac:dyDescent="0.25">
      <c r="E456" s="543"/>
    </row>
    <row r="457" spans="5:5" ht="15.75" customHeight="1" x14ac:dyDescent="0.25">
      <c r="E457" s="543"/>
    </row>
    <row r="458" spans="5:5" ht="15.75" customHeight="1" x14ac:dyDescent="0.25">
      <c r="E458" s="543"/>
    </row>
    <row r="459" spans="5:5" ht="15.75" customHeight="1" x14ac:dyDescent="0.25">
      <c r="E459" s="543"/>
    </row>
    <row r="460" spans="5:5" ht="15.75" customHeight="1" x14ac:dyDescent="0.25">
      <c r="E460" s="543"/>
    </row>
    <row r="461" spans="5:5" ht="15.75" customHeight="1" x14ac:dyDescent="0.25">
      <c r="E461" s="543"/>
    </row>
    <row r="462" spans="5:5" ht="15.75" customHeight="1" x14ac:dyDescent="0.25">
      <c r="E462" s="543"/>
    </row>
    <row r="463" spans="5:5" ht="15.75" customHeight="1" x14ac:dyDescent="0.25">
      <c r="E463" s="543"/>
    </row>
    <row r="464" spans="5:5" ht="15.75" customHeight="1" x14ac:dyDescent="0.25">
      <c r="E464" s="543"/>
    </row>
    <row r="465" spans="5:5" ht="15.75" customHeight="1" x14ac:dyDescent="0.25">
      <c r="E465" s="543"/>
    </row>
    <row r="466" spans="5:5" ht="15.75" customHeight="1" x14ac:dyDescent="0.25">
      <c r="E466" s="543"/>
    </row>
    <row r="467" spans="5:5" ht="15.75" customHeight="1" x14ac:dyDescent="0.25">
      <c r="E467" s="543"/>
    </row>
    <row r="468" spans="5:5" ht="15.75" customHeight="1" x14ac:dyDescent="0.25">
      <c r="E468" s="543"/>
    </row>
    <row r="469" spans="5:5" ht="15.75" customHeight="1" x14ac:dyDescent="0.25">
      <c r="E469" s="543"/>
    </row>
    <row r="470" spans="5:5" ht="15.75" customHeight="1" x14ac:dyDescent="0.25">
      <c r="E470" s="543"/>
    </row>
    <row r="471" spans="5:5" ht="15.75" customHeight="1" x14ac:dyDescent="0.25">
      <c r="E471" s="543"/>
    </row>
    <row r="472" spans="5:5" ht="15.75" customHeight="1" x14ac:dyDescent="0.25">
      <c r="E472" s="543"/>
    </row>
    <row r="473" spans="5:5" ht="15.75" customHeight="1" x14ac:dyDescent="0.25">
      <c r="E473" s="543"/>
    </row>
    <row r="474" spans="5:5" ht="15.75" customHeight="1" x14ac:dyDescent="0.25">
      <c r="E474" s="543"/>
    </row>
    <row r="475" spans="5:5" ht="15.75" customHeight="1" x14ac:dyDescent="0.25">
      <c r="E475" s="543"/>
    </row>
    <row r="476" spans="5:5" ht="15.75" customHeight="1" x14ac:dyDescent="0.25">
      <c r="E476" s="543"/>
    </row>
    <row r="477" spans="5:5" ht="15.75" customHeight="1" x14ac:dyDescent="0.25">
      <c r="E477" s="543"/>
    </row>
    <row r="478" spans="5:5" ht="15.75" customHeight="1" x14ac:dyDescent="0.25">
      <c r="E478" s="543"/>
    </row>
    <row r="479" spans="5:5" ht="15.75" customHeight="1" x14ac:dyDescent="0.25">
      <c r="E479" s="543"/>
    </row>
    <row r="480" spans="5:5" ht="15.75" customHeight="1" x14ac:dyDescent="0.25">
      <c r="E480" s="543"/>
    </row>
    <row r="481" spans="5:5" ht="15.75" customHeight="1" x14ac:dyDescent="0.25">
      <c r="E481" s="543"/>
    </row>
    <row r="482" spans="5:5" ht="15.75" customHeight="1" x14ac:dyDescent="0.25">
      <c r="E482" s="543"/>
    </row>
    <row r="483" spans="5:5" ht="15.75" customHeight="1" x14ac:dyDescent="0.25">
      <c r="E483" s="543"/>
    </row>
    <row r="484" spans="5:5" ht="15.75" customHeight="1" x14ac:dyDescent="0.25">
      <c r="E484" s="543"/>
    </row>
    <row r="485" spans="5:5" ht="15.75" customHeight="1" x14ac:dyDescent="0.25">
      <c r="E485" s="543"/>
    </row>
    <row r="486" spans="5:5" ht="15.75" customHeight="1" x14ac:dyDescent="0.25">
      <c r="E486" s="543"/>
    </row>
    <row r="487" spans="5:5" ht="15.75" customHeight="1" x14ac:dyDescent="0.25">
      <c r="E487" s="543"/>
    </row>
    <row r="488" spans="5:5" ht="15.75" customHeight="1" x14ac:dyDescent="0.25">
      <c r="E488" s="543"/>
    </row>
    <row r="489" spans="5:5" ht="15.75" customHeight="1" x14ac:dyDescent="0.25">
      <c r="E489" s="543"/>
    </row>
    <row r="490" spans="5:5" ht="15.75" customHeight="1" x14ac:dyDescent="0.25">
      <c r="E490" s="543"/>
    </row>
    <row r="491" spans="5:5" ht="15.75" customHeight="1" x14ac:dyDescent="0.25">
      <c r="E491" s="543"/>
    </row>
    <row r="492" spans="5:5" ht="15.75" customHeight="1" x14ac:dyDescent="0.25">
      <c r="E492" s="543"/>
    </row>
    <row r="493" spans="5:5" ht="15.75" customHeight="1" x14ac:dyDescent="0.25">
      <c r="E493" s="543"/>
    </row>
    <row r="494" spans="5:5" ht="15.75" customHeight="1" x14ac:dyDescent="0.25">
      <c r="E494" s="543"/>
    </row>
    <row r="495" spans="5:5" ht="15.75" customHeight="1" x14ac:dyDescent="0.25">
      <c r="E495" s="543"/>
    </row>
    <row r="496" spans="5:5" ht="15.75" customHeight="1" x14ac:dyDescent="0.25">
      <c r="E496" s="543"/>
    </row>
    <row r="497" spans="5:5" ht="15.75" customHeight="1" x14ac:dyDescent="0.25">
      <c r="E497" s="543"/>
    </row>
    <row r="498" spans="5:5" ht="15.75" customHeight="1" x14ac:dyDescent="0.25">
      <c r="E498" s="543"/>
    </row>
    <row r="499" spans="5:5" ht="15.75" customHeight="1" x14ac:dyDescent="0.25">
      <c r="E499" s="543"/>
    </row>
    <row r="500" spans="5:5" ht="15.75" customHeight="1" x14ac:dyDescent="0.25">
      <c r="E500" s="543"/>
    </row>
    <row r="501" spans="5:5" ht="15.75" customHeight="1" x14ac:dyDescent="0.25">
      <c r="E501" s="543"/>
    </row>
    <row r="502" spans="5:5" ht="15.75" customHeight="1" x14ac:dyDescent="0.25">
      <c r="E502" s="543"/>
    </row>
    <row r="503" spans="5:5" ht="15.75" customHeight="1" x14ac:dyDescent="0.25">
      <c r="E503" s="543"/>
    </row>
    <row r="504" spans="5:5" ht="15.75" customHeight="1" x14ac:dyDescent="0.25">
      <c r="E504" s="543"/>
    </row>
    <row r="505" spans="5:5" ht="15.75" customHeight="1" x14ac:dyDescent="0.25">
      <c r="E505" s="543"/>
    </row>
    <row r="506" spans="5:5" ht="15.75" customHeight="1" x14ac:dyDescent="0.25">
      <c r="E506" s="543"/>
    </row>
    <row r="507" spans="5:5" ht="15.75" customHeight="1" x14ac:dyDescent="0.25">
      <c r="E507" s="543"/>
    </row>
    <row r="508" spans="5:5" ht="15.75" customHeight="1" x14ac:dyDescent="0.25">
      <c r="E508" s="543"/>
    </row>
    <row r="509" spans="5:5" ht="15.75" customHeight="1" x14ac:dyDescent="0.25">
      <c r="E509" s="543"/>
    </row>
    <row r="510" spans="5:5" ht="15.75" customHeight="1" x14ac:dyDescent="0.25">
      <c r="E510" s="543"/>
    </row>
    <row r="511" spans="5:5" ht="15.75" customHeight="1" x14ac:dyDescent="0.25">
      <c r="E511" s="543"/>
    </row>
    <row r="512" spans="5:5" ht="15.75" customHeight="1" x14ac:dyDescent="0.25">
      <c r="E512" s="543"/>
    </row>
    <row r="513" spans="5:5" ht="15.75" customHeight="1" x14ac:dyDescent="0.25">
      <c r="E513" s="543"/>
    </row>
    <row r="514" spans="5:5" ht="15.75" customHeight="1" x14ac:dyDescent="0.25">
      <c r="E514" s="543"/>
    </row>
    <row r="515" spans="5:5" ht="15.75" customHeight="1" x14ac:dyDescent="0.25">
      <c r="E515" s="543"/>
    </row>
    <row r="516" spans="5:5" ht="15.75" customHeight="1" x14ac:dyDescent="0.25">
      <c r="E516" s="543"/>
    </row>
    <row r="517" spans="5:5" ht="15.75" customHeight="1" x14ac:dyDescent="0.25">
      <c r="E517" s="543"/>
    </row>
    <row r="518" spans="5:5" ht="15.75" customHeight="1" x14ac:dyDescent="0.25">
      <c r="E518" s="543"/>
    </row>
    <row r="519" spans="5:5" ht="15.75" customHeight="1" x14ac:dyDescent="0.25">
      <c r="E519" s="543"/>
    </row>
    <row r="520" spans="5:5" ht="15.75" customHeight="1" x14ac:dyDescent="0.25">
      <c r="E520" s="543"/>
    </row>
    <row r="521" spans="5:5" ht="15.75" customHeight="1" x14ac:dyDescent="0.25">
      <c r="E521" s="543"/>
    </row>
    <row r="522" spans="5:5" ht="15.75" customHeight="1" x14ac:dyDescent="0.25">
      <c r="E522" s="543"/>
    </row>
    <row r="523" spans="5:5" ht="15.75" customHeight="1" x14ac:dyDescent="0.25">
      <c r="E523" s="543"/>
    </row>
    <row r="524" spans="5:5" ht="15.75" customHeight="1" x14ac:dyDescent="0.25">
      <c r="E524" s="543"/>
    </row>
    <row r="525" spans="5:5" ht="15.75" customHeight="1" x14ac:dyDescent="0.25">
      <c r="E525" s="543"/>
    </row>
    <row r="526" spans="5:5" ht="15.75" customHeight="1" x14ac:dyDescent="0.25">
      <c r="E526" s="543"/>
    </row>
    <row r="527" spans="5:5" ht="15.75" customHeight="1" x14ac:dyDescent="0.25">
      <c r="E527" s="543"/>
    </row>
    <row r="528" spans="5:5" ht="15.75" customHeight="1" x14ac:dyDescent="0.25">
      <c r="E528" s="543"/>
    </row>
    <row r="529" spans="5:5" ht="15.75" customHeight="1" x14ac:dyDescent="0.25">
      <c r="E529" s="543"/>
    </row>
    <row r="530" spans="5:5" ht="15.75" customHeight="1" x14ac:dyDescent="0.25">
      <c r="E530" s="543"/>
    </row>
    <row r="531" spans="5:5" ht="15.75" customHeight="1" x14ac:dyDescent="0.25">
      <c r="E531" s="543"/>
    </row>
    <row r="532" spans="5:5" ht="15.75" customHeight="1" x14ac:dyDescent="0.25">
      <c r="E532" s="543"/>
    </row>
    <row r="533" spans="5:5" ht="15.75" customHeight="1" x14ac:dyDescent="0.25">
      <c r="E533" s="543"/>
    </row>
    <row r="534" spans="5:5" ht="15.75" customHeight="1" x14ac:dyDescent="0.25">
      <c r="E534" s="543"/>
    </row>
    <row r="535" spans="5:5" ht="15.75" customHeight="1" x14ac:dyDescent="0.25">
      <c r="E535" s="543"/>
    </row>
    <row r="536" spans="5:5" ht="15.75" customHeight="1" x14ac:dyDescent="0.25">
      <c r="E536" s="543"/>
    </row>
    <row r="537" spans="5:5" ht="15.75" customHeight="1" x14ac:dyDescent="0.25">
      <c r="E537" s="543"/>
    </row>
    <row r="538" spans="5:5" ht="15.75" customHeight="1" x14ac:dyDescent="0.25">
      <c r="E538" s="543"/>
    </row>
    <row r="539" spans="5:5" ht="15.75" customHeight="1" x14ac:dyDescent="0.25">
      <c r="E539" s="543"/>
    </row>
    <row r="540" spans="5:5" ht="15.75" customHeight="1" x14ac:dyDescent="0.25">
      <c r="E540" s="543"/>
    </row>
    <row r="541" spans="5:5" ht="15.75" customHeight="1" x14ac:dyDescent="0.25">
      <c r="E541" s="543"/>
    </row>
    <row r="542" spans="5:5" ht="15.75" customHeight="1" x14ac:dyDescent="0.25">
      <c r="E542" s="543"/>
    </row>
    <row r="543" spans="5:5" ht="15.75" customHeight="1" x14ac:dyDescent="0.25">
      <c r="E543" s="543"/>
    </row>
    <row r="544" spans="5:5" ht="15.75" customHeight="1" x14ac:dyDescent="0.25">
      <c r="E544" s="543"/>
    </row>
    <row r="545" spans="5:5" ht="15.75" customHeight="1" x14ac:dyDescent="0.25">
      <c r="E545" s="543"/>
    </row>
    <row r="546" spans="5:5" ht="15.75" customHeight="1" x14ac:dyDescent="0.25">
      <c r="E546" s="543"/>
    </row>
    <row r="547" spans="5:5" ht="15.75" customHeight="1" x14ac:dyDescent="0.25">
      <c r="E547" s="543"/>
    </row>
    <row r="548" spans="5:5" ht="15.75" customHeight="1" x14ac:dyDescent="0.25">
      <c r="E548" s="543"/>
    </row>
    <row r="549" spans="5:5" ht="15.75" customHeight="1" x14ac:dyDescent="0.25">
      <c r="E549" s="543"/>
    </row>
    <row r="550" spans="5:5" ht="15.75" customHeight="1" x14ac:dyDescent="0.25">
      <c r="E550" s="543"/>
    </row>
    <row r="551" spans="5:5" ht="15.75" customHeight="1" x14ac:dyDescent="0.25">
      <c r="E551" s="543"/>
    </row>
    <row r="552" spans="5:5" ht="15.75" customHeight="1" x14ac:dyDescent="0.25">
      <c r="E552" s="543"/>
    </row>
    <row r="553" spans="5:5" ht="15.75" customHeight="1" x14ac:dyDescent="0.25">
      <c r="E553" s="543"/>
    </row>
    <row r="554" spans="5:5" ht="15.75" customHeight="1" x14ac:dyDescent="0.25">
      <c r="E554" s="543"/>
    </row>
    <row r="555" spans="5:5" ht="15.75" customHeight="1" x14ac:dyDescent="0.25">
      <c r="E555" s="543"/>
    </row>
    <row r="556" spans="5:5" ht="15.75" customHeight="1" x14ac:dyDescent="0.25">
      <c r="E556" s="543"/>
    </row>
    <row r="557" spans="5:5" ht="15.75" customHeight="1" x14ac:dyDescent="0.25">
      <c r="E557" s="543"/>
    </row>
    <row r="558" spans="5:5" ht="15.75" customHeight="1" x14ac:dyDescent="0.25">
      <c r="E558" s="543"/>
    </row>
    <row r="559" spans="5:5" ht="15.75" customHeight="1" x14ac:dyDescent="0.25">
      <c r="E559" s="543"/>
    </row>
    <row r="560" spans="5:5" ht="15.75" customHeight="1" x14ac:dyDescent="0.25">
      <c r="E560" s="543"/>
    </row>
    <row r="561" spans="5:5" ht="15.75" customHeight="1" x14ac:dyDescent="0.25">
      <c r="E561" s="543"/>
    </row>
    <row r="562" spans="5:5" ht="15.75" customHeight="1" x14ac:dyDescent="0.25">
      <c r="E562" s="543"/>
    </row>
    <row r="563" spans="5:5" ht="15.75" customHeight="1" x14ac:dyDescent="0.25">
      <c r="E563" s="543"/>
    </row>
    <row r="564" spans="5:5" ht="15.75" customHeight="1" x14ac:dyDescent="0.25">
      <c r="E564" s="543"/>
    </row>
    <row r="565" spans="5:5" ht="15.75" customHeight="1" x14ac:dyDescent="0.25">
      <c r="E565" s="543"/>
    </row>
    <row r="566" spans="5:5" ht="15.75" customHeight="1" x14ac:dyDescent="0.25">
      <c r="E566" s="543"/>
    </row>
    <row r="567" spans="5:5" ht="15.75" customHeight="1" x14ac:dyDescent="0.25">
      <c r="E567" s="543"/>
    </row>
    <row r="568" spans="5:5" ht="15.75" customHeight="1" x14ac:dyDescent="0.25">
      <c r="E568" s="543"/>
    </row>
    <row r="569" spans="5:5" ht="15.75" customHeight="1" x14ac:dyDescent="0.25">
      <c r="E569" s="543"/>
    </row>
    <row r="570" spans="5:5" ht="15.75" customHeight="1" x14ac:dyDescent="0.25">
      <c r="E570" s="543"/>
    </row>
    <row r="571" spans="5:5" ht="15.75" customHeight="1" x14ac:dyDescent="0.25">
      <c r="E571" s="543"/>
    </row>
    <row r="572" spans="5:5" ht="15.75" customHeight="1" x14ac:dyDescent="0.25">
      <c r="E572" s="543"/>
    </row>
    <row r="573" spans="5:5" ht="15.75" customHeight="1" x14ac:dyDescent="0.25">
      <c r="E573" s="543"/>
    </row>
    <row r="574" spans="5:5" ht="15.75" customHeight="1" x14ac:dyDescent="0.25">
      <c r="E574" s="543"/>
    </row>
    <row r="575" spans="5:5" ht="15.75" customHeight="1" x14ac:dyDescent="0.25">
      <c r="E575" s="543"/>
    </row>
    <row r="576" spans="5:5" ht="15.75" customHeight="1" x14ac:dyDescent="0.25">
      <c r="E576" s="543"/>
    </row>
    <row r="577" spans="5:5" ht="15.75" customHeight="1" x14ac:dyDescent="0.25">
      <c r="E577" s="543"/>
    </row>
    <row r="578" spans="5:5" ht="15.75" customHeight="1" x14ac:dyDescent="0.25">
      <c r="E578" s="543"/>
    </row>
    <row r="579" spans="5:5" ht="15.75" customHeight="1" x14ac:dyDescent="0.25">
      <c r="E579" s="543"/>
    </row>
    <row r="580" spans="5:5" ht="15.75" customHeight="1" x14ac:dyDescent="0.25">
      <c r="E580" s="543"/>
    </row>
    <row r="581" spans="5:5" ht="15.75" customHeight="1" x14ac:dyDescent="0.25">
      <c r="E581" s="543"/>
    </row>
    <row r="582" spans="5:5" ht="15.75" customHeight="1" x14ac:dyDescent="0.25">
      <c r="E582" s="543"/>
    </row>
    <row r="583" spans="5:5" ht="15.75" customHeight="1" x14ac:dyDescent="0.25">
      <c r="E583" s="543"/>
    </row>
    <row r="584" spans="5:5" ht="15.75" customHeight="1" x14ac:dyDescent="0.25">
      <c r="E584" s="543"/>
    </row>
    <row r="585" spans="5:5" ht="15.75" customHeight="1" x14ac:dyDescent="0.25">
      <c r="E585" s="543"/>
    </row>
    <row r="586" spans="5:5" ht="15.75" customHeight="1" x14ac:dyDescent="0.25">
      <c r="E586" s="543"/>
    </row>
    <row r="587" spans="5:5" ht="15.75" customHeight="1" x14ac:dyDescent="0.25">
      <c r="E587" s="543"/>
    </row>
    <row r="588" spans="5:5" ht="15.75" customHeight="1" x14ac:dyDescent="0.25">
      <c r="E588" s="543"/>
    </row>
    <row r="589" spans="5:5" ht="15.75" customHeight="1" x14ac:dyDescent="0.25">
      <c r="E589" s="543"/>
    </row>
    <row r="590" spans="5:5" ht="15.75" customHeight="1" x14ac:dyDescent="0.25">
      <c r="E590" s="543"/>
    </row>
    <row r="591" spans="5:5" ht="15.75" customHeight="1" x14ac:dyDescent="0.25">
      <c r="E591" s="543"/>
    </row>
    <row r="592" spans="5:5" ht="15.75" customHeight="1" x14ac:dyDescent="0.25">
      <c r="E592" s="543"/>
    </row>
    <row r="593" spans="5:5" ht="15.75" customHeight="1" x14ac:dyDescent="0.25">
      <c r="E593" s="543"/>
    </row>
    <row r="594" spans="5:5" ht="15.75" customHeight="1" x14ac:dyDescent="0.25">
      <c r="E594" s="543"/>
    </row>
    <row r="595" spans="5:5" ht="15.75" customHeight="1" x14ac:dyDescent="0.25">
      <c r="E595" s="543"/>
    </row>
    <row r="596" spans="5:5" ht="15.75" customHeight="1" x14ac:dyDescent="0.25">
      <c r="E596" s="543"/>
    </row>
    <row r="597" spans="5:5" ht="15.75" customHeight="1" x14ac:dyDescent="0.25">
      <c r="E597" s="543"/>
    </row>
    <row r="598" spans="5:5" ht="15.75" customHeight="1" x14ac:dyDescent="0.25">
      <c r="E598" s="543"/>
    </row>
    <row r="599" spans="5:5" ht="15.75" customHeight="1" x14ac:dyDescent="0.25">
      <c r="E599" s="543"/>
    </row>
    <row r="600" spans="5:5" ht="15.75" customHeight="1" x14ac:dyDescent="0.25">
      <c r="E600" s="543"/>
    </row>
    <row r="601" spans="5:5" ht="15.75" customHeight="1" x14ac:dyDescent="0.25">
      <c r="E601" s="543"/>
    </row>
    <row r="602" spans="5:5" ht="15.75" customHeight="1" x14ac:dyDescent="0.25">
      <c r="E602" s="543"/>
    </row>
    <row r="603" spans="5:5" ht="15.75" customHeight="1" x14ac:dyDescent="0.25">
      <c r="E603" s="543"/>
    </row>
    <row r="604" spans="5:5" ht="15.75" customHeight="1" x14ac:dyDescent="0.25">
      <c r="E604" s="543"/>
    </row>
    <row r="605" spans="5:5" ht="15.75" customHeight="1" x14ac:dyDescent="0.25">
      <c r="E605" s="543"/>
    </row>
    <row r="606" spans="5:5" ht="15.75" customHeight="1" x14ac:dyDescent="0.25">
      <c r="E606" s="543"/>
    </row>
    <row r="607" spans="5:5" ht="15.75" customHeight="1" x14ac:dyDescent="0.25">
      <c r="E607" s="543"/>
    </row>
    <row r="608" spans="5:5" ht="15.75" customHeight="1" x14ac:dyDescent="0.25">
      <c r="E608" s="543"/>
    </row>
    <row r="609" spans="5:5" ht="15.75" customHeight="1" x14ac:dyDescent="0.25">
      <c r="E609" s="543"/>
    </row>
    <row r="610" spans="5:5" ht="15.75" customHeight="1" x14ac:dyDescent="0.25">
      <c r="E610" s="543"/>
    </row>
    <row r="611" spans="5:5" ht="15.75" customHeight="1" x14ac:dyDescent="0.25">
      <c r="E611" s="543"/>
    </row>
    <row r="612" spans="5:5" ht="15.75" customHeight="1" x14ac:dyDescent="0.25">
      <c r="E612" s="543"/>
    </row>
    <row r="613" spans="5:5" ht="15.75" customHeight="1" x14ac:dyDescent="0.25">
      <c r="E613" s="543"/>
    </row>
    <row r="614" spans="5:5" ht="15.75" customHeight="1" x14ac:dyDescent="0.25">
      <c r="E614" s="543"/>
    </row>
    <row r="615" spans="5:5" ht="15.75" customHeight="1" x14ac:dyDescent="0.25">
      <c r="E615" s="543"/>
    </row>
    <row r="616" spans="5:5" ht="15.75" customHeight="1" x14ac:dyDescent="0.25">
      <c r="E616" s="543"/>
    </row>
    <row r="617" spans="5:5" ht="15.75" customHeight="1" x14ac:dyDescent="0.25">
      <c r="E617" s="543"/>
    </row>
    <row r="618" spans="5:5" ht="15.75" customHeight="1" x14ac:dyDescent="0.25">
      <c r="E618" s="543"/>
    </row>
    <row r="619" spans="5:5" ht="15.75" customHeight="1" x14ac:dyDescent="0.25">
      <c r="E619" s="543"/>
    </row>
    <row r="620" spans="5:5" ht="15.75" customHeight="1" x14ac:dyDescent="0.25">
      <c r="E620" s="543"/>
    </row>
    <row r="621" spans="5:5" ht="15.75" customHeight="1" x14ac:dyDescent="0.25">
      <c r="E621" s="543"/>
    </row>
    <row r="622" spans="5:5" ht="15.75" customHeight="1" x14ac:dyDescent="0.25">
      <c r="E622" s="543"/>
    </row>
    <row r="623" spans="5:5" ht="15.75" customHeight="1" x14ac:dyDescent="0.25">
      <c r="E623" s="543"/>
    </row>
    <row r="624" spans="5:5" ht="15.75" customHeight="1" x14ac:dyDescent="0.25">
      <c r="E624" s="543"/>
    </row>
    <row r="625" spans="5:5" ht="15.75" customHeight="1" x14ac:dyDescent="0.25">
      <c r="E625" s="543"/>
    </row>
    <row r="626" spans="5:5" ht="15.75" customHeight="1" x14ac:dyDescent="0.25">
      <c r="E626" s="543"/>
    </row>
    <row r="627" spans="5:5" ht="15.75" customHeight="1" x14ac:dyDescent="0.25">
      <c r="E627" s="543"/>
    </row>
    <row r="628" spans="5:5" ht="15.75" customHeight="1" x14ac:dyDescent="0.25">
      <c r="E628" s="543"/>
    </row>
    <row r="629" spans="5:5" ht="15.75" customHeight="1" x14ac:dyDescent="0.25">
      <c r="E629" s="543"/>
    </row>
    <row r="630" spans="5:5" ht="15.75" customHeight="1" x14ac:dyDescent="0.25">
      <c r="E630" s="543"/>
    </row>
    <row r="631" spans="5:5" ht="15.75" customHeight="1" x14ac:dyDescent="0.25">
      <c r="E631" s="543"/>
    </row>
    <row r="632" spans="5:5" ht="15.75" customHeight="1" x14ac:dyDescent="0.25">
      <c r="E632" s="543"/>
    </row>
    <row r="633" spans="5:5" ht="15.75" customHeight="1" x14ac:dyDescent="0.25">
      <c r="E633" s="543"/>
    </row>
    <row r="634" spans="5:5" ht="15.75" customHeight="1" x14ac:dyDescent="0.25">
      <c r="E634" s="543"/>
    </row>
    <row r="635" spans="5:5" ht="15.75" customHeight="1" x14ac:dyDescent="0.25">
      <c r="E635" s="543"/>
    </row>
    <row r="636" spans="5:5" ht="15.75" customHeight="1" x14ac:dyDescent="0.25">
      <c r="E636" s="543"/>
    </row>
    <row r="637" spans="5:5" ht="15.75" customHeight="1" x14ac:dyDescent="0.25">
      <c r="E637" s="543"/>
    </row>
    <row r="638" spans="5:5" ht="15.75" customHeight="1" x14ac:dyDescent="0.25">
      <c r="E638" s="543"/>
    </row>
    <row r="639" spans="5:5" ht="15.75" customHeight="1" x14ac:dyDescent="0.25">
      <c r="E639" s="543"/>
    </row>
    <row r="640" spans="5:5" ht="15.75" customHeight="1" x14ac:dyDescent="0.25">
      <c r="E640" s="543"/>
    </row>
    <row r="641" spans="5:5" ht="15.75" customHeight="1" x14ac:dyDescent="0.25">
      <c r="E641" s="543"/>
    </row>
    <row r="642" spans="5:5" ht="15.75" customHeight="1" x14ac:dyDescent="0.25">
      <c r="E642" s="543"/>
    </row>
    <row r="643" spans="5:5" ht="15.75" customHeight="1" x14ac:dyDescent="0.25">
      <c r="E643" s="543"/>
    </row>
    <row r="644" spans="5:5" ht="15.75" customHeight="1" x14ac:dyDescent="0.25">
      <c r="E644" s="543"/>
    </row>
    <row r="645" spans="5:5" ht="15.75" customHeight="1" x14ac:dyDescent="0.25">
      <c r="E645" s="543"/>
    </row>
    <row r="646" spans="5:5" ht="15.75" customHeight="1" x14ac:dyDescent="0.25">
      <c r="E646" s="543"/>
    </row>
    <row r="647" spans="5:5" ht="15.75" customHeight="1" x14ac:dyDescent="0.25">
      <c r="E647" s="543"/>
    </row>
    <row r="648" spans="5:5" ht="15.75" customHeight="1" x14ac:dyDescent="0.25">
      <c r="E648" s="543"/>
    </row>
    <row r="649" spans="5:5" ht="15.75" customHeight="1" x14ac:dyDescent="0.25">
      <c r="E649" s="543"/>
    </row>
    <row r="650" spans="5:5" ht="15.75" customHeight="1" x14ac:dyDescent="0.25">
      <c r="E650" s="543"/>
    </row>
    <row r="651" spans="5:5" ht="15.75" customHeight="1" x14ac:dyDescent="0.25">
      <c r="E651" s="543"/>
    </row>
    <row r="652" spans="5:5" ht="15.75" customHeight="1" x14ac:dyDescent="0.25">
      <c r="E652" s="543"/>
    </row>
    <row r="653" spans="5:5" ht="15.75" customHeight="1" x14ac:dyDescent="0.25">
      <c r="E653" s="543"/>
    </row>
    <row r="654" spans="5:5" ht="15.75" customHeight="1" x14ac:dyDescent="0.25">
      <c r="E654" s="543"/>
    </row>
    <row r="655" spans="5:5" ht="15.75" customHeight="1" x14ac:dyDescent="0.25">
      <c r="E655" s="543"/>
    </row>
    <row r="656" spans="5:5" ht="15.75" customHeight="1" x14ac:dyDescent="0.25">
      <c r="E656" s="543"/>
    </row>
    <row r="657" spans="5:5" ht="15.75" customHeight="1" x14ac:dyDescent="0.25">
      <c r="E657" s="543"/>
    </row>
    <row r="658" spans="5:5" ht="15.75" customHeight="1" x14ac:dyDescent="0.25">
      <c r="E658" s="543"/>
    </row>
    <row r="659" spans="5:5" ht="15.75" customHeight="1" x14ac:dyDescent="0.25">
      <c r="E659" s="543"/>
    </row>
    <row r="660" spans="5:5" ht="15.75" customHeight="1" x14ac:dyDescent="0.25">
      <c r="E660" s="543"/>
    </row>
    <row r="661" spans="5:5" ht="15.75" customHeight="1" x14ac:dyDescent="0.25">
      <c r="E661" s="543"/>
    </row>
    <row r="662" spans="5:5" ht="15.75" customHeight="1" x14ac:dyDescent="0.25">
      <c r="E662" s="543"/>
    </row>
    <row r="663" spans="5:5" ht="15.75" customHeight="1" x14ac:dyDescent="0.25">
      <c r="E663" s="543"/>
    </row>
    <row r="664" spans="5:5" ht="15.75" customHeight="1" x14ac:dyDescent="0.25">
      <c r="E664" s="543"/>
    </row>
    <row r="665" spans="5:5" ht="15.75" customHeight="1" x14ac:dyDescent="0.25">
      <c r="E665" s="543"/>
    </row>
    <row r="666" spans="5:5" ht="15.75" customHeight="1" x14ac:dyDescent="0.25">
      <c r="E666" s="543"/>
    </row>
    <row r="667" spans="5:5" ht="15.75" customHeight="1" x14ac:dyDescent="0.25">
      <c r="E667" s="543"/>
    </row>
    <row r="668" spans="5:5" ht="15.75" customHeight="1" x14ac:dyDescent="0.25">
      <c r="E668" s="543"/>
    </row>
    <row r="669" spans="5:5" ht="15.75" customHeight="1" x14ac:dyDescent="0.25">
      <c r="E669" s="543"/>
    </row>
    <row r="670" spans="5:5" ht="15.75" customHeight="1" x14ac:dyDescent="0.25">
      <c r="E670" s="543"/>
    </row>
    <row r="671" spans="5:5" ht="15.75" customHeight="1" x14ac:dyDescent="0.25">
      <c r="E671" s="543"/>
    </row>
    <row r="672" spans="5:5" ht="15.75" customHeight="1" x14ac:dyDescent="0.25">
      <c r="E672" s="543"/>
    </row>
    <row r="673" spans="5:5" ht="15.75" customHeight="1" x14ac:dyDescent="0.25">
      <c r="E673" s="543"/>
    </row>
    <row r="674" spans="5:5" ht="15.75" customHeight="1" x14ac:dyDescent="0.25">
      <c r="E674" s="543"/>
    </row>
    <row r="675" spans="5:5" ht="15.75" customHeight="1" x14ac:dyDescent="0.25">
      <c r="E675" s="543"/>
    </row>
    <row r="676" spans="5:5" ht="15.75" customHeight="1" x14ac:dyDescent="0.25">
      <c r="E676" s="543"/>
    </row>
    <row r="677" spans="5:5" ht="15.75" customHeight="1" x14ac:dyDescent="0.25">
      <c r="E677" s="543"/>
    </row>
    <row r="678" spans="5:5" ht="15.75" customHeight="1" x14ac:dyDescent="0.25">
      <c r="E678" s="543"/>
    </row>
    <row r="679" spans="5:5" ht="15.75" customHeight="1" x14ac:dyDescent="0.25">
      <c r="E679" s="543"/>
    </row>
    <row r="680" spans="5:5" ht="15.75" customHeight="1" x14ac:dyDescent="0.25">
      <c r="E680" s="543"/>
    </row>
    <row r="681" spans="5:5" ht="15.75" customHeight="1" x14ac:dyDescent="0.25">
      <c r="E681" s="543"/>
    </row>
    <row r="682" spans="5:5" ht="15.75" customHeight="1" x14ac:dyDescent="0.25">
      <c r="E682" s="543"/>
    </row>
    <row r="683" spans="5:5" ht="15.75" customHeight="1" x14ac:dyDescent="0.25">
      <c r="E683" s="543"/>
    </row>
    <row r="684" spans="5:5" ht="15.75" customHeight="1" x14ac:dyDescent="0.25">
      <c r="E684" s="543"/>
    </row>
    <row r="685" spans="5:5" ht="15.75" customHeight="1" x14ac:dyDescent="0.25">
      <c r="E685" s="543"/>
    </row>
    <row r="686" spans="5:5" ht="15.75" customHeight="1" x14ac:dyDescent="0.25">
      <c r="E686" s="543"/>
    </row>
    <row r="687" spans="5:5" ht="15.75" customHeight="1" x14ac:dyDescent="0.25">
      <c r="E687" s="543"/>
    </row>
    <row r="688" spans="5:5" ht="15.75" customHeight="1" x14ac:dyDescent="0.25">
      <c r="E688" s="543"/>
    </row>
    <row r="689" spans="5:5" ht="15.75" customHeight="1" x14ac:dyDescent="0.25">
      <c r="E689" s="543"/>
    </row>
    <row r="690" spans="5:5" ht="15.75" customHeight="1" x14ac:dyDescent="0.25">
      <c r="E690" s="543"/>
    </row>
    <row r="691" spans="5:5" ht="15.75" customHeight="1" x14ac:dyDescent="0.25">
      <c r="E691" s="543"/>
    </row>
    <row r="692" spans="5:5" ht="15.75" customHeight="1" x14ac:dyDescent="0.25">
      <c r="E692" s="543"/>
    </row>
    <row r="693" spans="5:5" ht="15.75" customHeight="1" x14ac:dyDescent="0.25">
      <c r="E693" s="543"/>
    </row>
    <row r="694" spans="5:5" ht="15.75" customHeight="1" x14ac:dyDescent="0.25">
      <c r="E694" s="543"/>
    </row>
    <row r="695" spans="5:5" ht="15.75" customHeight="1" x14ac:dyDescent="0.25">
      <c r="E695" s="543"/>
    </row>
    <row r="696" spans="5:5" ht="15.75" customHeight="1" x14ac:dyDescent="0.25">
      <c r="E696" s="543"/>
    </row>
    <row r="697" spans="5:5" ht="15.75" customHeight="1" x14ac:dyDescent="0.25">
      <c r="E697" s="543"/>
    </row>
    <row r="698" spans="5:5" ht="15.75" customHeight="1" x14ac:dyDescent="0.25">
      <c r="E698" s="543"/>
    </row>
    <row r="699" spans="5:5" ht="15.75" customHeight="1" x14ac:dyDescent="0.25">
      <c r="E699" s="543"/>
    </row>
    <row r="700" spans="5:5" ht="15.75" customHeight="1" x14ac:dyDescent="0.25">
      <c r="E700" s="543"/>
    </row>
    <row r="701" spans="5:5" ht="15.75" customHeight="1" x14ac:dyDescent="0.25">
      <c r="E701" s="543"/>
    </row>
    <row r="702" spans="5:5" ht="15.75" customHeight="1" x14ac:dyDescent="0.25">
      <c r="E702" s="543"/>
    </row>
    <row r="703" spans="5:5" ht="15.75" customHeight="1" x14ac:dyDescent="0.25">
      <c r="E703" s="543"/>
    </row>
    <row r="704" spans="5:5" ht="15.75" customHeight="1" x14ac:dyDescent="0.25">
      <c r="E704" s="543"/>
    </row>
    <row r="705" spans="5:5" ht="15.75" customHeight="1" x14ac:dyDescent="0.25">
      <c r="E705" s="543"/>
    </row>
    <row r="706" spans="5:5" ht="15.75" customHeight="1" x14ac:dyDescent="0.25">
      <c r="E706" s="543"/>
    </row>
    <row r="707" spans="5:5" ht="15.75" customHeight="1" x14ac:dyDescent="0.25">
      <c r="E707" s="543"/>
    </row>
    <row r="708" spans="5:5" ht="15.75" customHeight="1" x14ac:dyDescent="0.25">
      <c r="E708" s="543"/>
    </row>
    <row r="709" spans="5:5" ht="15.75" customHeight="1" x14ac:dyDescent="0.25">
      <c r="E709" s="543"/>
    </row>
    <row r="710" spans="5:5" ht="15.75" customHeight="1" x14ac:dyDescent="0.25">
      <c r="E710" s="543"/>
    </row>
    <row r="711" spans="5:5" ht="15.75" customHeight="1" x14ac:dyDescent="0.25">
      <c r="E711" s="543"/>
    </row>
    <row r="712" spans="5:5" ht="15.75" customHeight="1" x14ac:dyDescent="0.25">
      <c r="E712" s="543"/>
    </row>
    <row r="713" spans="5:5" ht="15.75" customHeight="1" x14ac:dyDescent="0.25">
      <c r="E713" s="543"/>
    </row>
    <row r="714" spans="5:5" ht="15.75" customHeight="1" x14ac:dyDescent="0.25">
      <c r="E714" s="543"/>
    </row>
    <row r="715" spans="5:5" ht="15.75" customHeight="1" x14ac:dyDescent="0.25">
      <c r="E715" s="543"/>
    </row>
    <row r="716" spans="5:5" ht="15.75" customHeight="1" x14ac:dyDescent="0.25">
      <c r="E716" s="543"/>
    </row>
    <row r="717" spans="5:5" ht="15.75" customHeight="1" x14ac:dyDescent="0.25">
      <c r="E717" s="543"/>
    </row>
    <row r="718" spans="5:5" ht="15.75" customHeight="1" x14ac:dyDescent="0.25">
      <c r="E718" s="543"/>
    </row>
    <row r="719" spans="5:5" ht="15.75" customHeight="1" x14ac:dyDescent="0.25">
      <c r="E719" s="543"/>
    </row>
    <row r="720" spans="5:5" ht="15.75" customHeight="1" x14ac:dyDescent="0.25">
      <c r="E720" s="543"/>
    </row>
    <row r="721" spans="5:5" ht="15.75" customHeight="1" x14ac:dyDescent="0.25">
      <c r="E721" s="543"/>
    </row>
    <row r="722" spans="5:5" ht="15.75" customHeight="1" x14ac:dyDescent="0.25">
      <c r="E722" s="543"/>
    </row>
    <row r="723" spans="5:5" ht="15.75" customHeight="1" x14ac:dyDescent="0.25">
      <c r="E723" s="543"/>
    </row>
    <row r="724" spans="5:5" ht="15.75" customHeight="1" x14ac:dyDescent="0.25">
      <c r="E724" s="543"/>
    </row>
    <row r="725" spans="5:5" ht="15.75" customHeight="1" x14ac:dyDescent="0.25">
      <c r="E725" s="543"/>
    </row>
    <row r="726" spans="5:5" ht="15.75" customHeight="1" x14ac:dyDescent="0.25">
      <c r="E726" s="543"/>
    </row>
    <row r="727" spans="5:5" ht="15.75" customHeight="1" x14ac:dyDescent="0.25">
      <c r="E727" s="543"/>
    </row>
    <row r="728" spans="5:5" ht="15.75" customHeight="1" x14ac:dyDescent="0.25">
      <c r="E728" s="543"/>
    </row>
    <row r="729" spans="5:5" ht="15.75" customHeight="1" x14ac:dyDescent="0.25">
      <c r="E729" s="543"/>
    </row>
    <row r="730" spans="5:5" ht="15.75" customHeight="1" x14ac:dyDescent="0.25">
      <c r="E730" s="543"/>
    </row>
    <row r="731" spans="5:5" ht="15.75" customHeight="1" x14ac:dyDescent="0.25">
      <c r="E731" s="543"/>
    </row>
    <row r="732" spans="5:5" ht="15.75" customHeight="1" x14ac:dyDescent="0.25">
      <c r="E732" s="543"/>
    </row>
    <row r="733" spans="5:5" ht="15.75" customHeight="1" x14ac:dyDescent="0.25">
      <c r="E733" s="543"/>
    </row>
    <row r="734" spans="5:5" ht="15.75" customHeight="1" x14ac:dyDescent="0.25">
      <c r="E734" s="543"/>
    </row>
    <row r="735" spans="5:5" ht="15.75" customHeight="1" x14ac:dyDescent="0.25">
      <c r="E735" s="543"/>
    </row>
    <row r="736" spans="5:5" ht="15.75" customHeight="1" x14ac:dyDescent="0.25">
      <c r="E736" s="543"/>
    </row>
    <row r="737" spans="5:5" ht="15.75" customHeight="1" x14ac:dyDescent="0.25">
      <c r="E737" s="543"/>
    </row>
    <row r="738" spans="5:5" ht="15.75" customHeight="1" x14ac:dyDescent="0.25">
      <c r="E738" s="543"/>
    </row>
    <row r="739" spans="5:5" ht="15.75" customHeight="1" x14ac:dyDescent="0.25">
      <c r="E739" s="543"/>
    </row>
    <row r="740" spans="5:5" ht="15.75" customHeight="1" x14ac:dyDescent="0.25">
      <c r="E740" s="543"/>
    </row>
    <row r="741" spans="5:5" ht="15.75" customHeight="1" x14ac:dyDescent="0.25">
      <c r="E741" s="543"/>
    </row>
    <row r="742" spans="5:5" ht="15.75" customHeight="1" x14ac:dyDescent="0.25">
      <c r="E742" s="543"/>
    </row>
    <row r="743" spans="5:5" ht="15.75" customHeight="1" x14ac:dyDescent="0.25">
      <c r="E743" s="543"/>
    </row>
    <row r="744" spans="5:5" ht="15.75" customHeight="1" x14ac:dyDescent="0.25">
      <c r="E744" s="543"/>
    </row>
    <row r="745" spans="5:5" ht="15.75" customHeight="1" x14ac:dyDescent="0.25">
      <c r="E745" s="543"/>
    </row>
    <row r="746" spans="5:5" ht="15.75" customHeight="1" x14ac:dyDescent="0.25">
      <c r="E746" s="543"/>
    </row>
    <row r="747" spans="5:5" ht="15.75" customHeight="1" x14ac:dyDescent="0.25">
      <c r="E747" s="543"/>
    </row>
    <row r="748" spans="5:5" ht="15.75" customHeight="1" x14ac:dyDescent="0.25">
      <c r="E748" s="543"/>
    </row>
    <row r="749" spans="5:5" ht="15.75" customHeight="1" x14ac:dyDescent="0.25">
      <c r="E749" s="543"/>
    </row>
    <row r="750" spans="5:5" ht="15.75" customHeight="1" x14ac:dyDescent="0.25">
      <c r="E750" s="543"/>
    </row>
    <row r="751" spans="5:5" ht="15.75" customHeight="1" x14ac:dyDescent="0.25">
      <c r="E751" s="543"/>
    </row>
    <row r="752" spans="5:5" ht="15.75" customHeight="1" x14ac:dyDescent="0.25">
      <c r="E752" s="543"/>
    </row>
    <row r="753" spans="5:5" ht="15.75" customHeight="1" x14ac:dyDescent="0.25">
      <c r="E753" s="543"/>
    </row>
    <row r="754" spans="5:5" ht="15.75" customHeight="1" x14ac:dyDescent="0.25">
      <c r="E754" s="543"/>
    </row>
    <row r="755" spans="5:5" ht="15.75" customHeight="1" x14ac:dyDescent="0.25">
      <c r="E755" s="543"/>
    </row>
    <row r="756" spans="5:5" ht="15.75" customHeight="1" x14ac:dyDescent="0.25">
      <c r="E756" s="543"/>
    </row>
    <row r="757" spans="5:5" ht="15.75" customHeight="1" x14ac:dyDescent="0.25">
      <c r="E757" s="543"/>
    </row>
    <row r="758" spans="5:5" ht="15.75" customHeight="1" x14ac:dyDescent="0.25">
      <c r="E758" s="543"/>
    </row>
    <row r="759" spans="5:5" ht="15.75" customHeight="1" x14ac:dyDescent="0.25">
      <c r="E759" s="543"/>
    </row>
    <row r="760" spans="5:5" ht="15.75" customHeight="1" x14ac:dyDescent="0.25">
      <c r="E760" s="543"/>
    </row>
    <row r="761" spans="5:5" ht="15.75" customHeight="1" x14ac:dyDescent="0.25">
      <c r="E761" s="543"/>
    </row>
    <row r="762" spans="5:5" ht="15.75" customHeight="1" x14ac:dyDescent="0.25">
      <c r="E762" s="543"/>
    </row>
    <row r="763" spans="5:5" ht="15.75" customHeight="1" x14ac:dyDescent="0.25">
      <c r="E763" s="543"/>
    </row>
    <row r="764" spans="5:5" ht="15.75" customHeight="1" x14ac:dyDescent="0.25">
      <c r="E764" s="543"/>
    </row>
    <row r="765" spans="5:5" ht="15.75" customHeight="1" x14ac:dyDescent="0.25">
      <c r="E765" s="543"/>
    </row>
    <row r="766" spans="5:5" ht="15.75" customHeight="1" x14ac:dyDescent="0.25">
      <c r="E766" s="543"/>
    </row>
    <row r="767" spans="5:5" ht="15.75" customHeight="1" x14ac:dyDescent="0.25">
      <c r="E767" s="543"/>
    </row>
    <row r="768" spans="5:5" ht="15.75" customHeight="1" x14ac:dyDescent="0.25">
      <c r="E768" s="543"/>
    </row>
    <row r="769" spans="5:5" ht="15.75" customHeight="1" x14ac:dyDescent="0.25">
      <c r="E769" s="543"/>
    </row>
    <row r="770" spans="5:5" ht="15.75" customHeight="1" x14ac:dyDescent="0.25">
      <c r="E770" s="543"/>
    </row>
    <row r="771" spans="5:5" ht="15.75" customHeight="1" x14ac:dyDescent="0.25">
      <c r="E771" s="543"/>
    </row>
    <row r="772" spans="5:5" ht="15.75" customHeight="1" x14ac:dyDescent="0.25">
      <c r="E772" s="543"/>
    </row>
    <row r="773" spans="5:5" ht="15.75" customHeight="1" x14ac:dyDescent="0.25">
      <c r="E773" s="543"/>
    </row>
    <row r="774" spans="5:5" ht="15.75" customHeight="1" x14ac:dyDescent="0.25">
      <c r="E774" s="543"/>
    </row>
    <row r="775" spans="5:5" ht="15.75" customHeight="1" x14ac:dyDescent="0.25">
      <c r="E775" s="543"/>
    </row>
    <row r="776" spans="5:5" ht="15.75" customHeight="1" x14ac:dyDescent="0.25">
      <c r="E776" s="543"/>
    </row>
    <row r="777" spans="5:5" ht="15.75" customHeight="1" x14ac:dyDescent="0.25">
      <c r="E777" s="543"/>
    </row>
    <row r="778" spans="5:5" ht="15.75" customHeight="1" x14ac:dyDescent="0.25">
      <c r="E778" s="543"/>
    </row>
    <row r="779" spans="5:5" ht="15.75" customHeight="1" x14ac:dyDescent="0.25">
      <c r="E779" s="543"/>
    </row>
    <row r="780" spans="5:5" ht="15.75" customHeight="1" x14ac:dyDescent="0.25">
      <c r="E780" s="543"/>
    </row>
    <row r="781" spans="5:5" ht="15.75" customHeight="1" x14ac:dyDescent="0.25">
      <c r="E781" s="543"/>
    </row>
    <row r="782" spans="5:5" ht="15.75" customHeight="1" x14ac:dyDescent="0.25">
      <c r="E782" s="543"/>
    </row>
    <row r="783" spans="5:5" ht="15.75" customHeight="1" x14ac:dyDescent="0.25">
      <c r="E783" s="543"/>
    </row>
    <row r="784" spans="5:5" ht="15.75" customHeight="1" x14ac:dyDescent="0.25">
      <c r="E784" s="543"/>
    </row>
    <row r="785" spans="5:5" ht="15.75" customHeight="1" x14ac:dyDescent="0.25">
      <c r="E785" s="543"/>
    </row>
    <row r="786" spans="5:5" ht="15.75" customHeight="1" x14ac:dyDescent="0.25">
      <c r="E786" s="543"/>
    </row>
    <row r="787" spans="5:5" ht="15.75" customHeight="1" x14ac:dyDescent="0.25">
      <c r="E787" s="543"/>
    </row>
    <row r="788" spans="5:5" ht="15.75" customHeight="1" x14ac:dyDescent="0.25">
      <c r="E788" s="543"/>
    </row>
    <row r="789" spans="5:5" ht="15.75" customHeight="1" x14ac:dyDescent="0.25">
      <c r="E789" s="543"/>
    </row>
    <row r="790" spans="5:5" ht="15.75" customHeight="1" x14ac:dyDescent="0.25">
      <c r="E790" s="543"/>
    </row>
    <row r="791" spans="5:5" ht="15.75" customHeight="1" x14ac:dyDescent="0.25">
      <c r="E791" s="543"/>
    </row>
    <row r="792" spans="5:5" ht="15.75" customHeight="1" x14ac:dyDescent="0.25">
      <c r="E792" s="543"/>
    </row>
    <row r="793" spans="5:5" ht="15.75" customHeight="1" x14ac:dyDescent="0.25">
      <c r="E793" s="543"/>
    </row>
    <row r="794" spans="5:5" ht="15.75" customHeight="1" x14ac:dyDescent="0.25">
      <c r="E794" s="543"/>
    </row>
    <row r="795" spans="5:5" ht="15.75" customHeight="1" x14ac:dyDescent="0.25">
      <c r="E795" s="543"/>
    </row>
    <row r="796" spans="5:5" ht="15.75" customHeight="1" x14ac:dyDescent="0.25">
      <c r="E796" s="543"/>
    </row>
    <row r="797" spans="5:5" ht="15.75" customHeight="1" x14ac:dyDescent="0.25">
      <c r="E797" s="543"/>
    </row>
    <row r="798" spans="5:5" ht="15.75" customHeight="1" x14ac:dyDescent="0.25">
      <c r="E798" s="543"/>
    </row>
    <row r="799" spans="5:5" ht="15.75" customHeight="1" x14ac:dyDescent="0.25">
      <c r="E799" s="543"/>
    </row>
    <row r="800" spans="5:5" ht="15.75" customHeight="1" x14ac:dyDescent="0.25">
      <c r="E800" s="543"/>
    </row>
    <row r="801" spans="5:5" ht="15.75" customHeight="1" x14ac:dyDescent="0.25">
      <c r="E801" s="543"/>
    </row>
    <row r="802" spans="5:5" ht="15.75" customHeight="1" x14ac:dyDescent="0.25">
      <c r="E802" s="543"/>
    </row>
    <row r="803" spans="5:5" ht="15.75" customHeight="1" x14ac:dyDescent="0.25">
      <c r="E803" s="543"/>
    </row>
    <row r="804" spans="5:5" ht="15.75" customHeight="1" x14ac:dyDescent="0.25">
      <c r="E804" s="543"/>
    </row>
    <row r="805" spans="5:5" ht="15.75" customHeight="1" x14ac:dyDescent="0.25">
      <c r="E805" s="543"/>
    </row>
    <row r="806" spans="5:5" ht="15.75" customHeight="1" x14ac:dyDescent="0.25">
      <c r="E806" s="543"/>
    </row>
    <row r="807" spans="5:5" ht="15.75" customHeight="1" x14ac:dyDescent="0.25">
      <c r="E807" s="543"/>
    </row>
    <row r="808" spans="5:5" ht="15.75" customHeight="1" x14ac:dyDescent="0.25">
      <c r="E808" s="543"/>
    </row>
    <row r="809" spans="5:5" ht="15.75" customHeight="1" x14ac:dyDescent="0.25">
      <c r="E809" s="543"/>
    </row>
    <row r="810" spans="5:5" ht="15.75" customHeight="1" x14ac:dyDescent="0.25">
      <c r="E810" s="543"/>
    </row>
    <row r="811" spans="5:5" ht="15.75" customHeight="1" x14ac:dyDescent="0.25">
      <c r="E811" s="543"/>
    </row>
    <row r="812" spans="5:5" ht="15.75" customHeight="1" x14ac:dyDescent="0.25">
      <c r="E812" s="543"/>
    </row>
    <row r="813" spans="5:5" ht="15.75" customHeight="1" x14ac:dyDescent="0.25">
      <c r="E813" s="543"/>
    </row>
    <row r="814" spans="5:5" ht="15.75" customHeight="1" x14ac:dyDescent="0.25">
      <c r="E814" s="543"/>
    </row>
    <row r="815" spans="5:5" ht="15.75" customHeight="1" x14ac:dyDescent="0.25">
      <c r="E815" s="543"/>
    </row>
    <row r="816" spans="5:5" ht="15.75" customHeight="1" x14ac:dyDescent="0.25">
      <c r="E816" s="543"/>
    </row>
    <row r="817" spans="5:5" ht="15.75" customHeight="1" x14ac:dyDescent="0.25">
      <c r="E817" s="543"/>
    </row>
    <row r="818" spans="5:5" ht="15.75" customHeight="1" x14ac:dyDescent="0.25">
      <c r="E818" s="543"/>
    </row>
    <row r="819" spans="5:5" ht="15.75" customHeight="1" x14ac:dyDescent="0.25">
      <c r="E819" s="543"/>
    </row>
    <row r="820" spans="5:5" ht="15.75" customHeight="1" x14ac:dyDescent="0.25">
      <c r="E820" s="543"/>
    </row>
    <row r="821" spans="5:5" ht="15.75" customHeight="1" x14ac:dyDescent="0.25">
      <c r="E821" s="543"/>
    </row>
    <row r="822" spans="5:5" ht="15.75" customHeight="1" x14ac:dyDescent="0.25">
      <c r="E822" s="543"/>
    </row>
    <row r="823" spans="5:5" ht="15.75" customHeight="1" x14ac:dyDescent="0.25">
      <c r="E823" s="543"/>
    </row>
    <row r="824" spans="5:5" ht="15.75" customHeight="1" x14ac:dyDescent="0.25">
      <c r="E824" s="543"/>
    </row>
    <row r="825" spans="5:5" ht="15.75" customHeight="1" x14ac:dyDescent="0.25">
      <c r="E825" s="543"/>
    </row>
    <row r="826" spans="5:5" ht="15.75" customHeight="1" x14ac:dyDescent="0.25">
      <c r="E826" s="543"/>
    </row>
    <row r="827" spans="5:5" ht="15.75" customHeight="1" x14ac:dyDescent="0.25">
      <c r="E827" s="543"/>
    </row>
    <row r="828" spans="5:5" ht="15.75" customHeight="1" x14ac:dyDescent="0.25">
      <c r="E828" s="543"/>
    </row>
    <row r="829" spans="5:5" ht="15.75" customHeight="1" x14ac:dyDescent="0.25">
      <c r="E829" s="543"/>
    </row>
    <row r="830" spans="5:5" ht="15.75" customHeight="1" x14ac:dyDescent="0.25">
      <c r="E830" s="543"/>
    </row>
    <row r="831" spans="5:5" ht="15.75" customHeight="1" x14ac:dyDescent="0.25">
      <c r="E831" s="543"/>
    </row>
    <row r="832" spans="5:5" ht="15.75" customHeight="1" x14ac:dyDescent="0.25">
      <c r="E832" s="543"/>
    </row>
    <row r="833" spans="5:5" ht="15.75" customHeight="1" x14ac:dyDescent="0.25">
      <c r="E833" s="543"/>
    </row>
    <row r="834" spans="5:5" ht="15.75" customHeight="1" x14ac:dyDescent="0.25">
      <c r="E834" s="543"/>
    </row>
    <row r="835" spans="5:5" ht="15.75" customHeight="1" x14ac:dyDescent="0.25">
      <c r="E835" s="543"/>
    </row>
    <row r="836" spans="5:5" ht="15.75" customHeight="1" x14ac:dyDescent="0.25">
      <c r="E836" s="543"/>
    </row>
    <row r="837" spans="5:5" ht="15.75" customHeight="1" x14ac:dyDescent="0.25">
      <c r="E837" s="543"/>
    </row>
    <row r="838" spans="5:5" ht="15.75" customHeight="1" x14ac:dyDescent="0.25">
      <c r="E838" s="543"/>
    </row>
    <row r="839" spans="5:5" ht="15.75" customHeight="1" x14ac:dyDescent="0.25">
      <c r="E839" s="543"/>
    </row>
    <row r="840" spans="5:5" ht="15.75" customHeight="1" x14ac:dyDescent="0.25">
      <c r="E840" s="543"/>
    </row>
    <row r="841" spans="5:5" ht="15.75" customHeight="1" x14ac:dyDescent="0.25">
      <c r="E841" s="543"/>
    </row>
    <row r="842" spans="5:5" ht="15.75" customHeight="1" x14ac:dyDescent="0.25">
      <c r="E842" s="543"/>
    </row>
    <row r="843" spans="5:5" ht="15.75" customHeight="1" x14ac:dyDescent="0.25">
      <c r="E843" s="543"/>
    </row>
    <row r="844" spans="5:5" ht="15.75" customHeight="1" x14ac:dyDescent="0.25">
      <c r="E844" s="543"/>
    </row>
    <row r="845" spans="5:5" ht="15.75" customHeight="1" x14ac:dyDescent="0.25">
      <c r="E845" s="543"/>
    </row>
    <row r="846" spans="5:5" ht="15.75" customHeight="1" x14ac:dyDescent="0.25">
      <c r="E846" s="543"/>
    </row>
    <row r="847" spans="5:5" ht="15.75" customHeight="1" x14ac:dyDescent="0.25">
      <c r="E847" s="543"/>
    </row>
    <row r="848" spans="5:5" ht="15.75" customHeight="1" x14ac:dyDescent="0.25">
      <c r="E848" s="543"/>
    </row>
    <row r="849" spans="5:5" ht="15.75" customHeight="1" x14ac:dyDescent="0.25">
      <c r="E849" s="543"/>
    </row>
    <row r="850" spans="5:5" ht="15.75" customHeight="1" x14ac:dyDescent="0.25">
      <c r="E850" s="543"/>
    </row>
    <row r="851" spans="5:5" ht="15.75" customHeight="1" x14ac:dyDescent="0.25">
      <c r="E851" s="543"/>
    </row>
    <row r="852" spans="5:5" ht="15.75" customHeight="1" x14ac:dyDescent="0.25">
      <c r="E852" s="543"/>
    </row>
    <row r="853" spans="5:5" ht="15.75" customHeight="1" x14ac:dyDescent="0.25">
      <c r="E853" s="543"/>
    </row>
    <row r="854" spans="5:5" ht="15.75" customHeight="1" x14ac:dyDescent="0.25">
      <c r="E854" s="543"/>
    </row>
    <row r="855" spans="5:5" ht="15.75" customHeight="1" x14ac:dyDescent="0.25">
      <c r="E855" s="543"/>
    </row>
    <row r="856" spans="5:5" ht="15.75" customHeight="1" x14ac:dyDescent="0.25">
      <c r="E856" s="543"/>
    </row>
    <row r="857" spans="5:5" ht="15.75" customHeight="1" x14ac:dyDescent="0.25">
      <c r="E857" s="543"/>
    </row>
    <row r="858" spans="5:5" ht="15.75" customHeight="1" x14ac:dyDescent="0.25">
      <c r="E858" s="543"/>
    </row>
    <row r="859" spans="5:5" ht="15.75" customHeight="1" x14ac:dyDescent="0.25">
      <c r="E859" s="543"/>
    </row>
    <row r="860" spans="5:5" ht="15.75" customHeight="1" x14ac:dyDescent="0.25">
      <c r="E860" s="543"/>
    </row>
    <row r="861" spans="5:5" ht="15.75" customHeight="1" x14ac:dyDescent="0.25">
      <c r="E861" s="543"/>
    </row>
    <row r="862" spans="5:5" ht="15.75" customHeight="1" x14ac:dyDescent="0.25">
      <c r="E862" s="543"/>
    </row>
    <row r="863" spans="5:5" ht="15.75" customHeight="1" x14ac:dyDescent="0.25">
      <c r="E863" s="543"/>
    </row>
    <row r="864" spans="5:5" ht="15.75" customHeight="1" x14ac:dyDescent="0.25">
      <c r="E864" s="543"/>
    </row>
    <row r="865" spans="5:5" ht="15.75" customHeight="1" x14ac:dyDescent="0.25">
      <c r="E865" s="543"/>
    </row>
    <row r="866" spans="5:5" ht="15.75" customHeight="1" x14ac:dyDescent="0.25">
      <c r="E866" s="543"/>
    </row>
    <row r="867" spans="5:5" ht="15.75" customHeight="1" x14ac:dyDescent="0.25">
      <c r="E867" s="543"/>
    </row>
    <row r="868" spans="5:5" ht="15.75" customHeight="1" x14ac:dyDescent="0.25">
      <c r="E868" s="543"/>
    </row>
    <row r="869" spans="5:5" ht="15.75" customHeight="1" x14ac:dyDescent="0.25">
      <c r="E869" s="543"/>
    </row>
    <row r="870" spans="5:5" ht="15.75" customHeight="1" x14ac:dyDescent="0.25">
      <c r="E870" s="543"/>
    </row>
    <row r="871" spans="5:5" ht="15.75" customHeight="1" x14ac:dyDescent="0.25">
      <c r="E871" s="543"/>
    </row>
    <row r="872" spans="5:5" ht="15.75" customHeight="1" x14ac:dyDescent="0.25">
      <c r="E872" s="543"/>
    </row>
    <row r="873" spans="5:5" ht="15.75" customHeight="1" x14ac:dyDescent="0.25">
      <c r="E873" s="543"/>
    </row>
    <row r="874" spans="5:5" ht="15.75" customHeight="1" x14ac:dyDescent="0.25">
      <c r="E874" s="543"/>
    </row>
    <row r="875" spans="5:5" ht="15.75" customHeight="1" x14ac:dyDescent="0.25">
      <c r="E875" s="543"/>
    </row>
    <row r="876" spans="5:5" ht="15.75" customHeight="1" x14ac:dyDescent="0.25">
      <c r="E876" s="543"/>
    </row>
    <row r="877" spans="5:5" ht="15.75" customHeight="1" x14ac:dyDescent="0.25">
      <c r="E877" s="543"/>
    </row>
    <row r="878" spans="5:5" ht="15.75" customHeight="1" x14ac:dyDescent="0.25">
      <c r="E878" s="543"/>
    </row>
    <row r="879" spans="5:5" ht="15.75" customHeight="1" x14ac:dyDescent="0.25">
      <c r="E879" s="543"/>
    </row>
    <row r="880" spans="5:5" ht="15.75" customHeight="1" x14ac:dyDescent="0.25">
      <c r="E880" s="543"/>
    </row>
    <row r="881" spans="5:5" ht="15.75" customHeight="1" x14ac:dyDescent="0.25">
      <c r="E881" s="543"/>
    </row>
    <row r="882" spans="5:5" ht="15.75" customHeight="1" x14ac:dyDescent="0.25">
      <c r="E882" s="543"/>
    </row>
    <row r="883" spans="5:5" ht="15.75" customHeight="1" x14ac:dyDescent="0.25">
      <c r="E883" s="543"/>
    </row>
    <row r="884" spans="5:5" ht="15.75" customHeight="1" x14ac:dyDescent="0.25">
      <c r="E884" s="543"/>
    </row>
    <row r="885" spans="5:5" ht="15.75" customHeight="1" x14ac:dyDescent="0.25">
      <c r="E885" s="543"/>
    </row>
    <row r="886" spans="5:5" ht="15.75" customHeight="1" x14ac:dyDescent="0.25">
      <c r="E886" s="543"/>
    </row>
    <row r="887" spans="5:5" ht="15.75" customHeight="1" x14ac:dyDescent="0.25">
      <c r="E887" s="543"/>
    </row>
    <row r="888" spans="5:5" ht="15.75" customHeight="1" x14ac:dyDescent="0.25">
      <c r="E888" s="543"/>
    </row>
    <row r="889" spans="5:5" ht="15.75" customHeight="1" x14ac:dyDescent="0.25">
      <c r="E889" s="543"/>
    </row>
    <row r="890" spans="5:5" ht="15.75" customHeight="1" x14ac:dyDescent="0.25">
      <c r="E890" s="543"/>
    </row>
    <row r="891" spans="5:5" ht="15.75" customHeight="1" x14ac:dyDescent="0.25">
      <c r="E891" s="543"/>
    </row>
    <row r="892" spans="5:5" ht="15.75" customHeight="1" x14ac:dyDescent="0.25">
      <c r="E892" s="543"/>
    </row>
    <row r="893" spans="5:5" ht="15.75" customHeight="1" x14ac:dyDescent="0.25">
      <c r="E893" s="543"/>
    </row>
    <row r="894" spans="5:5" ht="15.75" customHeight="1" x14ac:dyDescent="0.25">
      <c r="E894" s="543"/>
    </row>
    <row r="895" spans="5:5" ht="15.75" customHeight="1" x14ac:dyDescent="0.25">
      <c r="E895" s="543"/>
    </row>
    <row r="896" spans="5:5" ht="15.75" customHeight="1" x14ac:dyDescent="0.25">
      <c r="E896" s="543"/>
    </row>
    <row r="897" spans="5:5" ht="15.75" customHeight="1" x14ac:dyDescent="0.25">
      <c r="E897" s="543"/>
    </row>
    <row r="898" spans="5:5" ht="15.75" customHeight="1" x14ac:dyDescent="0.25">
      <c r="E898" s="543"/>
    </row>
    <row r="899" spans="5:5" ht="15.75" customHeight="1" x14ac:dyDescent="0.25">
      <c r="E899" s="543"/>
    </row>
    <row r="900" spans="5:5" ht="15.75" customHeight="1" x14ac:dyDescent="0.25">
      <c r="E900" s="543"/>
    </row>
    <row r="901" spans="5:5" ht="15.75" customHeight="1" x14ac:dyDescent="0.25">
      <c r="E901" s="543"/>
    </row>
    <row r="902" spans="5:5" ht="15.75" customHeight="1" x14ac:dyDescent="0.25">
      <c r="E902" s="543"/>
    </row>
    <row r="903" spans="5:5" ht="15.75" customHeight="1" x14ac:dyDescent="0.25">
      <c r="E903" s="543"/>
    </row>
    <row r="904" spans="5:5" ht="15.75" customHeight="1" x14ac:dyDescent="0.25">
      <c r="E904" s="543"/>
    </row>
    <row r="905" spans="5:5" ht="15.75" customHeight="1" x14ac:dyDescent="0.25">
      <c r="E905" s="543"/>
    </row>
    <row r="906" spans="5:5" ht="15.75" customHeight="1" x14ac:dyDescent="0.25">
      <c r="E906" s="543"/>
    </row>
    <row r="907" spans="5:5" ht="15.75" customHeight="1" x14ac:dyDescent="0.25">
      <c r="E907" s="543"/>
    </row>
    <row r="908" spans="5:5" ht="15.75" customHeight="1" x14ac:dyDescent="0.25">
      <c r="E908" s="543"/>
    </row>
    <row r="909" spans="5:5" ht="15.75" customHeight="1" x14ac:dyDescent="0.25">
      <c r="E909" s="543"/>
    </row>
    <row r="910" spans="5:5" ht="15.75" customHeight="1" x14ac:dyDescent="0.25">
      <c r="E910" s="543"/>
    </row>
    <row r="911" spans="5:5" ht="15.75" customHeight="1" x14ac:dyDescent="0.25">
      <c r="E911" s="543"/>
    </row>
    <row r="912" spans="5:5" ht="15.75" customHeight="1" x14ac:dyDescent="0.25">
      <c r="E912" s="543"/>
    </row>
    <row r="913" spans="5:5" ht="15.75" customHeight="1" x14ac:dyDescent="0.25">
      <c r="E913" s="543"/>
    </row>
    <row r="914" spans="5:5" ht="15.75" customHeight="1" x14ac:dyDescent="0.25">
      <c r="E914" s="543"/>
    </row>
    <row r="915" spans="5:5" ht="15.75" customHeight="1" x14ac:dyDescent="0.25">
      <c r="E915" s="543"/>
    </row>
    <row r="916" spans="5:5" ht="15.75" customHeight="1" x14ac:dyDescent="0.25">
      <c r="E916" s="543"/>
    </row>
    <row r="917" spans="5:5" ht="15.75" customHeight="1" x14ac:dyDescent="0.25">
      <c r="E917" s="543"/>
    </row>
    <row r="918" spans="5:5" ht="15.75" customHeight="1" x14ac:dyDescent="0.25">
      <c r="E918" s="543"/>
    </row>
    <row r="919" spans="5:5" ht="15.75" customHeight="1" x14ac:dyDescent="0.25">
      <c r="E919" s="543"/>
    </row>
    <row r="920" spans="5:5" ht="15.75" customHeight="1" x14ac:dyDescent="0.25">
      <c r="E920" s="543"/>
    </row>
    <row r="921" spans="5:5" ht="15.75" customHeight="1" x14ac:dyDescent="0.25">
      <c r="E921" s="543"/>
    </row>
    <row r="922" spans="5:5" ht="15.75" customHeight="1" x14ac:dyDescent="0.25">
      <c r="E922" s="543"/>
    </row>
    <row r="923" spans="5:5" ht="15.75" customHeight="1" x14ac:dyDescent="0.25">
      <c r="E923" s="543"/>
    </row>
    <row r="924" spans="5:5" ht="15.75" customHeight="1" x14ac:dyDescent="0.25">
      <c r="E924" s="543"/>
    </row>
    <row r="925" spans="5:5" ht="15.75" customHeight="1" x14ac:dyDescent="0.25">
      <c r="E925" s="543"/>
    </row>
    <row r="926" spans="5:5" ht="15.75" customHeight="1" x14ac:dyDescent="0.25">
      <c r="E926" s="543"/>
    </row>
    <row r="927" spans="5:5" ht="15.75" customHeight="1" x14ac:dyDescent="0.25">
      <c r="E927" s="543"/>
    </row>
    <row r="928" spans="5:5" ht="15.75" customHeight="1" x14ac:dyDescent="0.25">
      <c r="E928" s="543"/>
    </row>
    <row r="929" spans="5:5" ht="15.75" customHeight="1" x14ac:dyDescent="0.25">
      <c r="E929" s="543"/>
    </row>
    <row r="930" spans="5:5" ht="15.75" customHeight="1" x14ac:dyDescent="0.25">
      <c r="E930" s="543"/>
    </row>
    <row r="931" spans="5:5" ht="15.75" customHeight="1" x14ac:dyDescent="0.25">
      <c r="E931" s="543"/>
    </row>
    <row r="932" spans="5:5" ht="15.75" customHeight="1" x14ac:dyDescent="0.25">
      <c r="E932" s="543"/>
    </row>
    <row r="933" spans="5:5" ht="15.75" customHeight="1" x14ac:dyDescent="0.25">
      <c r="E933" s="543"/>
    </row>
    <row r="934" spans="5:5" ht="15.75" customHeight="1" x14ac:dyDescent="0.25">
      <c r="E934" s="543"/>
    </row>
    <row r="935" spans="5:5" ht="15.75" customHeight="1" x14ac:dyDescent="0.25">
      <c r="E935" s="543"/>
    </row>
    <row r="936" spans="5:5" ht="15.75" customHeight="1" x14ac:dyDescent="0.25">
      <c r="E936" s="543"/>
    </row>
    <row r="937" spans="5:5" ht="15.75" customHeight="1" x14ac:dyDescent="0.25">
      <c r="E937" s="543"/>
    </row>
    <row r="938" spans="5:5" ht="15.75" customHeight="1" x14ac:dyDescent="0.25">
      <c r="E938" s="543"/>
    </row>
    <row r="939" spans="5:5" ht="15.75" customHeight="1" x14ac:dyDescent="0.25">
      <c r="E939" s="543"/>
    </row>
    <row r="940" spans="5:5" ht="15.75" customHeight="1" x14ac:dyDescent="0.25">
      <c r="E940" s="543"/>
    </row>
    <row r="941" spans="5:5" ht="15.75" customHeight="1" x14ac:dyDescent="0.25">
      <c r="E941" s="543"/>
    </row>
    <row r="942" spans="5:5" ht="15.75" customHeight="1" x14ac:dyDescent="0.25">
      <c r="E942" s="543"/>
    </row>
    <row r="943" spans="5:5" ht="15.75" customHeight="1" x14ac:dyDescent="0.25">
      <c r="E943" s="543"/>
    </row>
    <row r="944" spans="5:5" ht="15.75" customHeight="1" x14ac:dyDescent="0.25">
      <c r="E944" s="543"/>
    </row>
    <row r="945" spans="5:5" ht="15.75" customHeight="1" x14ac:dyDescent="0.25">
      <c r="E945" s="543"/>
    </row>
    <row r="946" spans="5:5" ht="15.75" customHeight="1" x14ac:dyDescent="0.25">
      <c r="E946" s="543"/>
    </row>
    <row r="947" spans="5:5" ht="15.75" customHeight="1" x14ac:dyDescent="0.25">
      <c r="E947" s="543"/>
    </row>
    <row r="948" spans="5:5" ht="15.75" customHeight="1" x14ac:dyDescent="0.25">
      <c r="E948" s="543"/>
    </row>
    <row r="949" spans="5:5" ht="15.75" customHeight="1" x14ac:dyDescent="0.25">
      <c r="E949" s="543"/>
    </row>
    <row r="950" spans="5:5" ht="15.75" customHeight="1" x14ac:dyDescent="0.25">
      <c r="E950" s="543"/>
    </row>
    <row r="951" spans="5:5" ht="15.75" customHeight="1" x14ac:dyDescent="0.25">
      <c r="E951" s="543"/>
    </row>
    <row r="952" spans="5:5" ht="15.75" customHeight="1" x14ac:dyDescent="0.25">
      <c r="E952" s="543"/>
    </row>
    <row r="953" spans="5:5" ht="15.75" customHeight="1" x14ac:dyDescent="0.25">
      <c r="E953" s="543"/>
    </row>
    <row r="954" spans="5:5" ht="15.75" customHeight="1" x14ac:dyDescent="0.25">
      <c r="E954" s="543"/>
    </row>
    <row r="955" spans="5:5" ht="15.75" customHeight="1" x14ac:dyDescent="0.25">
      <c r="E955" s="543"/>
    </row>
    <row r="956" spans="5:5" ht="15.75" customHeight="1" x14ac:dyDescent="0.25">
      <c r="E956" s="543"/>
    </row>
    <row r="957" spans="5:5" ht="15.75" customHeight="1" x14ac:dyDescent="0.25">
      <c r="E957" s="543"/>
    </row>
    <row r="958" spans="5:5" ht="15.75" customHeight="1" x14ac:dyDescent="0.25">
      <c r="E958" s="543"/>
    </row>
    <row r="959" spans="5:5" ht="15.75" customHeight="1" x14ac:dyDescent="0.25">
      <c r="E959" s="543"/>
    </row>
    <row r="960" spans="5:5" ht="15.75" customHeight="1" x14ac:dyDescent="0.25">
      <c r="E960" s="543"/>
    </row>
    <row r="961" spans="5:5" ht="15.75" customHeight="1" x14ac:dyDescent="0.25">
      <c r="E961" s="543"/>
    </row>
    <row r="962" spans="5:5" ht="15.75" customHeight="1" x14ac:dyDescent="0.25">
      <c r="E962" s="543"/>
    </row>
    <row r="963" spans="5:5" ht="15.75" customHeight="1" x14ac:dyDescent="0.25">
      <c r="E963" s="543"/>
    </row>
    <row r="964" spans="5:5" ht="15.75" customHeight="1" x14ac:dyDescent="0.25">
      <c r="E964" s="543"/>
    </row>
    <row r="965" spans="5:5" ht="15.75" customHeight="1" x14ac:dyDescent="0.25">
      <c r="E965" s="543"/>
    </row>
    <row r="966" spans="5:5" ht="15.75" customHeight="1" x14ac:dyDescent="0.25">
      <c r="E966" s="543"/>
    </row>
    <row r="967" spans="5:5" ht="15.75" customHeight="1" x14ac:dyDescent="0.25">
      <c r="E967" s="543"/>
    </row>
    <row r="968" spans="5:5" ht="15.75" customHeight="1" x14ac:dyDescent="0.25">
      <c r="E968" s="543"/>
    </row>
    <row r="969" spans="5:5" ht="15.75" customHeight="1" x14ac:dyDescent="0.25">
      <c r="E969" s="543"/>
    </row>
    <row r="970" spans="5:5" ht="15.75" customHeight="1" x14ac:dyDescent="0.25">
      <c r="E970" s="543"/>
    </row>
    <row r="971" spans="5:5" ht="15.75" customHeight="1" x14ac:dyDescent="0.25">
      <c r="E971" s="543"/>
    </row>
    <row r="972" spans="5:5" ht="15.75" customHeight="1" x14ac:dyDescent="0.25">
      <c r="E972" s="543"/>
    </row>
    <row r="973" spans="5:5" ht="15.75" customHeight="1" x14ac:dyDescent="0.25">
      <c r="E973" s="543"/>
    </row>
    <row r="974" spans="5:5" ht="15.75" customHeight="1" x14ac:dyDescent="0.25">
      <c r="E974" s="543"/>
    </row>
    <row r="975" spans="5:5" ht="15.75" customHeight="1" x14ac:dyDescent="0.25">
      <c r="E975" s="543"/>
    </row>
    <row r="976" spans="5:5" ht="15.75" customHeight="1" x14ac:dyDescent="0.25">
      <c r="E976" s="543"/>
    </row>
    <row r="977" spans="5:5" ht="15.75" customHeight="1" x14ac:dyDescent="0.25">
      <c r="E977" s="543"/>
    </row>
    <row r="978" spans="5:5" ht="15.75" customHeight="1" x14ac:dyDescent="0.25">
      <c r="E978" s="543"/>
    </row>
    <row r="979" spans="5:5" ht="15.75" customHeight="1" x14ac:dyDescent="0.25">
      <c r="E979" s="543"/>
    </row>
    <row r="980" spans="5:5" ht="15.75" customHeight="1" x14ac:dyDescent="0.25">
      <c r="E980" s="543"/>
    </row>
    <row r="981" spans="5:5" ht="15.75" customHeight="1" x14ac:dyDescent="0.25">
      <c r="E981" s="543"/>
    </row>
    <row r="982" spans="5:5" ht="15.75" customHeight="1" x14ac:dyDescent="0.25">
      <c r="E982" s="543"/>
    </row>
    <row r="983" spans="5:5" ht="15.75" customHeight="1" x14ac:dyDescent="0.25">
      <c r="E983" s="543"/>
    </row>
    <row r="984" spans="5:5" ht="15.75" customHeight="1" x14ac:dyDescent="0.25">
      <c r="E984" s="543"/>
    </row>
    <row r="985" spans="5:5" ht="15.75" customHeight="1" x14ac:dyDescent="0.25">
      <c r="E985" s="543"/>
    </row>
    <row r="986" spans="5:5" ht="15.75" customHeight="1" x14ac:dyDescent="0.25">
      <c r="E986" s="543"/>
    </row>
    <row r="987" spans="5:5" ht="15.75" customHeight="1" x14ac:dyDescent="0.25">
      <c r="E987" s="543"/>
    </row>
    <row r="988" spans="5:5" ht="15.75" customHeight="1" x14ac:dyDescent="0.25">
      <c r="E988" s="543"/>
    </row>
    <row r="989" spans="5:5" ht="15.75" customHeight="1" x14ac:dyDescent="0.25">
      <c r="E989" s="543"/>
    </row>
    <row r="990" spans="5:5" ht="15.75" customHeight="1" x14ac:dyDescent="0.25">
      <c r="E990" s="543"/>
    </row>
    <row r="991" spans="5:5" ht="15.75" customHeight="1" x14ac:dyDescent="0.25">
      <c r="E991" s="543"/>
    </row>
    <row r="992" spans="5:5" ht="15.75" customHeight="1" x14ac:dyDescent="0.25">
      <c r="E992" s="543"/>
    </row>
    <row r="993" spans="5:5" ht="15.75" customHeight="1" x14ac:dyDescent="0.25">
      <c r="E993" s="543"/>
    </row>
    <row r="994" spans="5:5" ht="15.75" customHeight="1" x14ac:dyDescent="0.25">
      <c r="E994" s="543"/>
    </row>
    <row r="995" spans="5:5" ht="15.75" customHeight="1" x14ac:dyDescent="0.25">
      <c r="E995" s="543"/>
    </row>
    <row r="996" spans="5:5" ht="15.75" customHeight="1" x14ac:dyDescent="0.25">
      <c r="E996" s="543"/>
    </row>
    <row r="997" spans="5:5" ht="15.75" customHeight="1" x14ac:dyDescent="0.25">
      <c r="E997" s="543"/>
    </row>
    <row r="998" spans="5:5" ht="15.75" customHeight="1" x14ac:dyDescent="0.25">
      <c r="E998" s="543"/>
    </row>
    <row r="999" spans="5:5" ht="15.75" customHeight="1" x14ac:dyDescent="0.25">
      <c r="E999" s="543"/>
    </row>
    <row r="1000" spans="5:5" ht="15.75" customHeight="1" x14ac:dyDescent="0.25">
      <c r="E1000" s="543"/>
    </row>
    <row r="1001" spans="5:5" ht="15.75" customHeight="1" x14ac:dyDescent="0.25">
      <c r="E1001" s="543"/>
    </row>
    <row r="1002" spans="5:5" ht="15.75" customHeight="1" x14ac:dyDescent="0.25">
      <c r="E1002" s="543"/>
    </row>
    <row r="1003" spans="5:5" ht="15.75" customHeight="1" x14ac:dyDescent="0.25">
      <c r="E1003" s="543"/>
    </row>
    <row r="1004" spans="5:5" ht="15.75" customHeight="1" x14ac:dyDescent="0.25">
      <c r="E1004" s="543"/>
    </row>
    <row r="1005" spans="5:5" ht="15.75" customHeight="1" x14ac:dyDescent="0.25">
      <c r="E1005" s="543"/>
    </row>
    <row r="1006" spans="5:5" ht="15.75" customHeight="1" x14ac:dyDescent="0.25">
      <c r="E1006" s="543"/>
    </row>
    <row r="1007" spans="5:5" ht="15.75" customHeight="1" x14ac:dyDescent="0.25">
      <c r="E1007" s="543"/>
    </row>
    <row r="1008" spans="5:5" ht="15.75" customHeight="1" x14ac:dyDescent="0.25">
      <c r="E1008" s="543"/>
    </row>
    <row r="1009" spans="5:5" ht="15.75" customHeight="1" x14ac:dyDescent="0.25">
      <c r="E1009" s="543"/>
    </row>
    <row r="1010" spans="5:5" ht="15.75" customHeight="1" x14ac:dyDescent="0.25">
      <c r="E1010" s="543"/>
    </row>
    <row r="1011" spans="5:5" ht="15.75" customHeight="1" x14ac:dyDescent="0.25">
      <c r="E1011" s="543"/>
    </row>
    <row r="1012" spans="5:5" ht="15.75" customHeight="1" x14ac:dyDescent="0.25">
      <c r="E1012" s="543"/>
    </row>
    <row r="1013" spans="5:5" ht="15.75" customHeight="1" x14ac:dyDescent="0.25">
      <c r="E1013" s="543"/>
    </row>
    <row r="1014" spans="5:5" ht="15.75" customHeight="1" x14ac:dyDescent="0.25">
      <c r="E1014" s="543"/>
    </row>
    <row r="1015" spans="5:5" ht="15.75" customHeight="1" x14ac:dyDescent="0.25">
      <c r="E1015" s="543"/>
    </row>
    <row r="1016" spans="5:5" ht="15.75" customHeight="1" x14ac:dyDescent="0.25">
      <c r="E1016" s="543"/>
    </row>
    <row r="1017" spans="5:5" ht="15.75" customHeight="1" x14ac:dyDescent="0.25">
      <c r="E1017" s="543"/>
    </row>
    <row r="1018" spans="5:5" ht="15.75" customHeight="1" x14ac:dyDescent="0.25">
      <c r="E1018" s="543"/>
    </row>
    <row r="1019" spans="5:5" ht="15.75" customHeight="1" x14ac:dyDescent="0.25">
      <c r="E1019" s="543"/>
    </row>
    <row r="1020" spans="5:5" ht="15.75" customHeight="1" x14ac:dyDescent="0.25">
      <c r="E1020" s="543"/>
    </row>
    <row r="1021" spans="5:5" ht="15.75" customHeight="1" x14ac:dyDescent="0.25">
      <c r="E1021" s="543"/>
    </row>
    <row r="1022" spans="5:5" ht="15.75" customHeight="1" x14ac:dyDescent="0.25">
      <c r="E1022" s="543"/>
    </row>
    <row r="1023" spans="5:5" ht="15.75" customHeight="1" x14ac:dyDescent="0.25">
      <c r="E1023" s="543"/>
    </row>
    <row r="1024" spans="5:5" ht="15.75" customHeight="1" x14ac:dyDescent="0.25">
      <c r="E1024" s="543"/>
    </row>
    <row r="1025" spans="5:5" ht="15" customHeight="1" x14ac:dyDescent="0.25">
      <c r="E1025" s="543"/>
    </row>
    <row r="1026" spans="5:5" ht="15" customHeight="1" x14ac:dyDescent="0.25">
      <c r="E1026" s="543"/>
    </row>
    <row r="1027" spans="5:5" ht="15" customHeight="1" x14ac:dyDescent="0.25">
      <c r="E1027" s="543"/>
    </row>
    <row r="1028" spans="5:5" ht="15" customHeight="1" x14ac:dyDescent="0.25">
      <c r="E1028" s="543"/>
    </row>
    <row r="1029" spans="5:5" ht="15" customHeight="1" x14ac:dyDescent="0.25">
      <c r="E1029" s="543"/>
    </row>
    <row r="1030" spans="5:5" ht="15" customHeight="1" x14ac:dyDescent="0.25">
      <c r="E1030" s="543"/>
    </row>
    <row r="1031" spans="5:5" ht="15" customHeight="1" x14ac:dyDescent="0.25">
      <c r="E1031" s="543"/>
    </row>
    <row r="1032" spans="5:5" ht="15" customHeight="1" x14ac:dyDescent="0.25">
      <c r="E1032" s="543"/>
    </row>
    <row r="1033" spans="5:5" ht="15" customHeight="1" x14ac:dyDescent="0.25">
      <c r="E1033" s="543"/>
    </row>
    <row r="1034" spans="5:5" ht="15" customHeight="1" x14ac:dyDescent="0.25">
      <c r="E1034" s="543"/>
    </row>
    <row r="1035" spans="5:5" ht="15" customHeight="1" x14ac:dyDescent="0.25">
      <c r="E1035" s="543"/>
    </row>
    <row r="1036" spans="5:5" ht="15" customHeight="1" x14ac:dyDescent="0.25">
      <c r="E1036" s="543"/>
    </row>
    <row r="1037" spans="5:5" ht="15" customHeight="1" x14ac:dyDescent="0.25">
      <c r="E1037" s="543"/>
    </row>
    <row r="1038" spans="5:5" ht="15" customHeight="1" x14ac:dyDescent="0.25">
      <c r="E1038" s="543"/>
    </row>
    <row r="1039" spans="5:5" ht="15" customHeight="1" x14ac:dyDescent="0.25">
      <c r="E1039" s="543"/>
    </row>
    <row r="1040" spans="5:5" ht="15" customHeight="1" x14ac:dyDescent="0.25">
      <c r="E1040" s="543"/>
    </row>
    <row r="1041" spans="5:5" ht="15" customHeight="1" x14ac:dyDescent="0.25">
      <c r="E1041" s="543"/>
    </row>
    <row r="1042" spans="5:5" ht="15" customHeight="1" x14ac:dyDescent="0.25">
      <c r="E1042" s="543"/>
    </row>
    <row r="1043" spans="5:5" ht="15" customHeight="1" x14ac:dyDescent="0.25">
      <c r="E1043" s="543"/>
    </row>
    <row r="1044" spans="5:5" ht="15" customHeight="1" x14ac:dyDescent="0.25">
      <c r="E1044" s="543"/>
    </row>
    <row r="1045" spans="5:5" ht="15" customHeight="1" x14ac:dyDescent="0.25">
      <c r="E1045" s="543"/>
    </row>
  </sheetData>
  <mergeCells count="2">
    <mergeCell ref="C4:E4"/>
    <mergeCell ref="G19:H19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FC23-E1C3-4F1E-824F-01DE62502C0B}">
  <sheetPr>
    <tabColor rgb="FFC5E0B3"/>
    <pageSetUpPr fitToPage="1"/>
  </sheetPr>
  <dimension ref="A1:J913"/>
  <sheetViews>
    <sheetView zoomScale="83" zoomScaleNormal="83" workbookViewId="0">
      <pane ySplit="20" topLeftCell="A21" activePane="bottomLeft" state="frozen"/>
      <selection pane="bottomLeft" activeCell="E34" sqref="E34"/>
    </sheetView>
  </sheetViews>
  <sheetFormatPr defaultColWidth="14.42578125" defaultRowHeight="15" customHeight="1" x14ac:dyDescent="0.25"/>
  <cols>
    <col min="1" max="1" width="9.7109375" style="719" customWidth="1"/>
    <col min="2" max="2" width="31.85546875" style="719" customWidth="1"/>
    <col min="3" max="3" width="5.7109375" style="719" customWidth="1"/>
    <col min="4" max="6" width="8.7109375" style="719" customWidth="1"/>
    <col min="7" max="7" width="12.42578125" style="719" customWidth="1"/>
    <col min="8" max="8" width="10.7109375" style="719" customWidth="1"/>
    <col min="9" max="9" width="10" style="719" customWidth="1"/>
    <col min="10" max="10" width="9.28515625" style="719" customWidth="1"/>
    <col min="11" max="11" width="8" style="719" customWidth="1"/>
    <col min="12" max="14" width="8.7109375" style="719" customWidth="1"/>
    <col min="15" max="16384" width="14.42578125" style="719"/>
  </cols>
  <sheetData>
    <row r="1" spans="1:10" ht="19.5" thickBot="1" x14ac:dyDescent="0.35">
      <c r="A1" s="715" t="s">
        <v>198</v>
      </c>
      <c r="B1" s="716"/>
      <c r="C1" s="716"/>
      <c r="D1" s="717" t="s">
        <v>36</v>
      </c>
      <c r="E1" s="716"/>
      <c r="F1" s="718">
        <f>F25</f>
        <v>0</v>
      </c>
      <c r="J1" s="720"/>
    </row>
    <row r="2" spans="1:10" ht="15.75" thickBot="1" x14ac:dyDescent="0.3">
      <c r="A2" s="727"/>
      <c r="B2" s="728"/>
      <c r="C2" s="729"/>
      <c r="D2" s="860" t="s">
        <v>199</v>
      </c>
      <c r="E2" s="861"/>
      <c r="F2" s="862"/>
      <c r="G2" s="863" t="s">
        <v>0</v>
      </c>
      <c r="H2" s="864"/>
      <c r="I2" s="865"/>
      <c r="J2" s="724"/>
    </row>
    <row r="3" spans="1:10" x14ac:dyDescent="0.25">
      <c r="A3" s="722"/>
      <c r="B3" s="723"/>
      <c r="C3" s="730"/>
      <c r="D3" s="731" t="s">
        <v>42</v>
      </c>
      <c r="E3" s="732" t="s">
        <v>41</v>
      </c>
      <c r="F3" s="733" t="s">
        <v>4</v>
      </c>
      <c r="G3" s="734" t="s">
        <v>42</v>
      </c>
      <c r="H3" s="735" t="s">
        <v>41</v>
      </c>
      <c r="I3" s="736" t="s">
        <v>4</v>
      </c>
      <c r="J3" s="724"/>
    </row>
    <row r="4" spans="1:10" hidden="1" x14ac:dyDescent="0.25">
      <c r="A4" s="722"/>
      <c r="B4" s="723"/>
      <c r="C4" s="730"/>
      <c r="D4" s="737"/>
      <c r="E4" s="723"/>
      <c r="F4" s="738">
        <f>220+190</f>
        <v>410</v>
      </c>
      <c r="G4" s="739"/>
      <c r="H4" s="740"/>
      <c r="I4" s="741">
        <v>90350</v>
      </c>
      <c r="J4" s="742"/>
    </row>
    <row r="5" spans="1:10" hidden="1" x14ac:dyDescent="0.25">
      <c r="A5" s="743">
        <v>45308</v>
      </c>
      <c r="B5" s="744" t="s">
        <v>200</v>
      </c>
      <c r="C5" s="730">
        <f>G5/E5</f>
        <v>62</v>
      </c>
      <c r="D5" s="737"/>
      <c r="E5" s="723">
        <v>300</v>
      </c>
      <c r="F5" s="738">
        <f t="shared" ref="F5:F20" si="0">F4-E5+D5</f>
        <v>110</v>
      </c>
      <c r="G5" s="745">
        <v>18600</v>
      </c>
      <c r="H5" s="746"/>
      <c r="I5" s="747">
        <f>I4-H5+G5</f>
        <v>108950</v>
      </c>
      <c r="J5" s="748"/>
    </row>
    <row r="6" spans="1:10" hidden="1" x14ac:dyDescent="0.25">
      <c r="A6" s="743">
        <v>45308</v>
      </c>
      <c r="B6" s="744" t="s">
        <v>200</v>
      </c>
      <c r="C6" s="730">
        <f>G6/E6</f>
        <v>60</v>
      </c>
      <c r="D6" s="737"/>
      <c r="E6" s="723">
        <v>100</v>
      </c>
      <c r="F6" s="738">
        <f t="shared" si="0"/>
        <v>10</v>
      </c>
      <c r="G6" s="745">
        <v>6000</v>
      </c>
      <c r="H6" s="746"/>
      <c r="I6" s="747">
        <f>I5-H6+G6</f>
        <v>114950</v>
      </c>
      <c r="J6" s="748"/>
    </row>
    <row r="7" spans="1:10" hidden="1" x14ac:dyDescent="0.25">
      <c r="A7" s="722"/>
      <c r="B7" s="723"/>
      <c r="C7" s="730"/>
      <c r="D7" s="737"/>
      <c r="E7" s="723"/>
      <c r="F7" s="738">
        <f t="shared" si="0"/>
        <v>10</v>
      </c>
      <c r="G7" s="745"/>
      <c r="H7" s="746">
        <v>123750</v>
      </c>
      <c r="I7" s="747">
        <f>I6-H7+G7</f>
        <v>-8800</v>
      </c>
      <c r="J7" s="748"/>
    </row>
    <row r="8" spans="1:10" hidden="1" x14ac:dyDescent="0.25">
      <c r="A8" s="743">
        <v>45370</v>
      </c>
      <c r="B8" s="744" t="s">
        <v>201</v>
      </c>
      <c r="C8" s="730"/>
      <c r="D8" s="737">
        <v>180</v>
      </c>
      <c r="E8" s="723"/>
      <c r="F8" s="738">
        <f t="shared" si="0"/>
        <v>190</v>
      </c>
      <c r="G8" s="745"/>
      <c r="H8" s="746"/>
      <c r="I8" s="747"/>
      <c r="J8" s="748"/>
    </row>
    <row r="9" spans="1:10" hidden="1" x14ac:dyDescent="0.25">
      <c r="A9" s="743"/>
      <c r="B9" s="744"/>
      <c r="C9" s="730"/>
      <c r="D9" s="737"/>
      <c r="E9" s="723"/>
      <c r="F9" s="738">
        <f t="shared" si="0"/>
        <v>190</v>
      </c>
      <c r="G9" s="745">
        <v>11800</v>
      </c>
      <c r="H9" s="746"/>
      <c r="I9" s="747">
        <f>I7-H9+G9</f>
        <v>3000</v>
      </c>
      <c r="J9" s="748"/>
    </row>
    <row r="10" spans="1:10" hidden="1" x14ac:dyDescent="0.25">
      <c r="A10" s="722"/>
      <c r="B10" s="723"/>
      <c r="C10" s="730"/>
      <c r="D10" s="737"/>
      <c r="E10" s="723"/>
      <c r="F10" s="738">
        <f t="shared" si="0"/>
        <v>190</v>
      </c>
      <c r="G10" s="745">
        <v>2400</v>
      </c>
      <c r="H10" s="746"/>
      <c r="I10" s="747">
        <f t="shared" ref="I10:I20" si="1">I9-H10+G10</f>
        <v>5400</v>
      </c>
      <c r="J10" s="748"/>
    </row>
    <row r="11" spans="1:10" hidden="1" x14ac:dyDescent="0.25">
      <c r="A11" s="722"/>
      <c r="B11" s="723"/>
      <c r="C11" s="730"/>
      <c r="D11" s="737"/>
      <c r="E11" s="723"/>
      <c r="F11" s="738">
        <f t="shared" si="0"/>
        <v>190</v>
      </c>
      <c r="G11" s="745">
        <v>24300</v>
      </c>
      <c r="H11" s="746"/>
      <c r="I11" s="747">
        <f t="shared" si="1"/>
        <v>29700</v>
      </c>
      <c r="J11" s="748"/>
    </row>
    <row r="12" spans="1:10" hidden="1" x14ac:dyDescent="0.25">
      <c r="A12" s="722"/>
      <c r="B12" s="723"/>
      <c r="C12" s="730"/>
      <c r="D12" s="737"/>
      <c r="E12" s="723"/>
      <c r="F12" s="738">
        <f t="shared" si="0"/>
        <v>190</v>
      </c>
      <c r="G12" s="745">
        <v>26000</v>
      </c>
      <c r="H12" s="746"/>
      <c r="I12" s="747">
        <f t="shared" si="1"/>
        <v>55700</v>
      </c>
      <c r="J12" s="748"/>
    </row>
    <row r="13" spans="1:10" hidden="1" x14ac:dyDescent="0.25">
      <c r="A13" s="722"/>
      <c r="B13" s="723"/>
      <c r="C13" s="730"/>
      <c r="D13" s="737"/>
      <c r="E13" s="723"/>
      <c r="F13" s="738">
        <f t="shared" si="0"/>
        <v>190</v>
      </c>
      <c r="G13" s="745">
        <v>45850</v>
      </c>
      <c r="H13" s="746"/>
      <c r="I13" s="747">
        <f t="shared" si="1"/>
        <v>101550</v>
      </c>
      <c r="J13" s="748"/>
    </row>
    <row r="14" spans="1:10" hidden="1" x14ac:dyDescent="0.25">
      <c r="A14" s="722"/>
      <c r="B14" s="723"/>
      <c r="C14" s="730"/>
      <c r="D14" s="737"/>
      <c r="E14" s="723"/>
      <c r="F14" s="738">
        <f t="shared" si="0"/>
        <v>190</v>
      </c>
      <c r="G14" s="745">
        <v>9000</v>
      </c>
      <c r="H14" s="746"/>
      <c r="I14" s="747">
        <f t="shared" si="1"/>
        <v>110550</v>
      </c>
      <c r="J14" s="748"/>
    </row>
    <row r="15" spans="1:10" hidden="1" x14ac:dyDescent="0.25">
      <c r="A15" s="722"/>
      <c r="B15" s="723"/>
      <c r="C15" s="730"/>
      <c r="D15" s="737"/>
      <c r="E15" s="723"/>
      <c r="F15" s="738">
        <f t="shared" si="0"/>
        <v>190</v>
      </c>
      <c r="G15" s="745">
        <v>11000</v>
      </c>
      <c r="H15" s="746"/>
      <c r="I15" s="747">
        <f t="shared" si="1"/>
        <v>121550</v>
      </c>
      <c r="J15" s="748"/>
    </row>
    <row r="16" spans="1:10" hidden="1" x14ac:dyDescent="0.25">
      <c r="A16" s="722"/>
      <c r="B16" s="723"/>
      <c r="C16" s="730"/>
      <c r="D16" s="737"/>
      <c r="E16" s="723"/>
      <c r="F16" s="738">
        <f t="shared" si="0"/>
        <v>190</v>
      </c>
      <c r="G16" s="745">
        <v>3400</v>
      </c>
      <c r="H16" s="746"/>
      <c r="I16" s="747">
        <f t="shared" si="1"/>
        <v>124950</v>
      </c>
      <c r="J16" s="748"/>
    </row>
    <row r="17" spans="1:10" hidden="1" x14ac:dyDescent="0.25">
      <c r="A17" s="722"/>
      <c r="B17" s="723"/>
      <c r="C17" s="730"/>
      <c r="D17" s="737"/>
      <c r="E17" s="723"/>
      <c r="F17" s="738">
        <f t="shared" si="0"/>
        <v>190</v>
      </c>
      <c r="G17" s="745">
        <v>15400</v>
      </c>
      <c r="H17" s="746"/>
      <c r="I17" s="747">
        <f t="shared" si="1"/>
        <v>140350</v>
      </c>
      <c r="J17" s="748"/>
    </row>
    <row r="18" spans="1:10" hidden="1" x14ac:dyDescent="0.25">
      <c r="A18" s="722"/>
      <c r="B18" s="723"/>
      <c r="C18" s="730"/>
      <c r="D18" s="737"/>
      <c r="E18" s="723"/>
      <c r="F18" s="738">
        <f t="shared" si="0"/>
        <v>190</v>
      </c>
      <c r="G18" s="745">
        <v>35000</v>
      </c>
      <c r="H18" s="746"/>
      <c r="I18" s="747">
        <f t="shared" si="1"/>
        <v>175350</v>
      </c>
      <c r="J18" s="748"/>
    </row>
    <row r="19" spans="1:10" ht="15.75" hidden="1" customHeight="1" x14ac:dyDescent="0.25">
      <c r="A19" s="722"/>
      <c r="B19" s="723"/>
      <c r="C19" s="730"/>
      <c r="D19" s="737"/>
      <c r="E19" s="723"/>
      <c r="F19" s="738">
        <f t="shared" si="0"/>
        <v>190</v>
      </c>
      <c r="G19" s="745">
        <v>7000</v>
      </c>
      <c r="H19" s="746"/>
      <c r="I19" s="747">
        <f t="shared" si="1"/>
        <v>182350</v>
      </c>
      <c r="J19" s="748"/>
    </row>
    <row r="20" spans="1:10" ht="15.75" hidden="1" customHeight="1" x14ac:dyDescent="0.25">
      <c r="A20" s="722"/>
      <c r="B20" s="723"/>
      <c r="C20" s="730"/>
      <c r="D20" s="737"/>
      <c r="E20" s="723"/>
      <c r="F20" s="738">
        <f t="shared" si="0"/>
        <v>190</v>
      </c>
      <c r="G20" s="745"/>
      <c r="H20" s="746">
        <v>176000</v>
      </c>
      <c r="I20" s="747">
        <f t="shared" si="1"/>
        <v>6350</v>
      </c>
      <c r="J20" s="748"/>
    </row>
    <row r="21" spans="1:10" ht="15.75" customHeight="1" x14ac:dyDescent="0.25">
      <c r="A21" s="749">
        <v>45989</v>
      </c>
      <c r="B21" s="728" t="s">
        <v>202</v>
      </c>
      <c r="C21" s="750"/>
      <c r="D21" s="751"/>
      <c r="E21" s="752"/>
      <c r="F21" s="753"/>
      <c r="G21" s="754"/>
      <c r="H21" s="755">
        <v>6200</v>
      </c>
      <c r="I21" s="747">
        <f>+G21-H21</f>
        <v>-6200</v>
      </c>
      <c r="J21" s="748"/>
    </row>
    <row r="22" spans="1:10" ht="15.75" customHeight="1" x14ac:dyDescent="0.25">
      <c r="A22" s="749">
        <v>45989</v>
      </c>
      <c r="B22" s="728" t="s">
        <v>203</v>
      </c>
      <c r="C22" s="750"/>
      <c r="D22" s="751"/>
      <c r="E22" s="752"/>
      <c r="F22" s="753"/>
      <c r="G22" s="754"/>
      <c r="H22" s="755">
        <v>17600</v>
      </c>
      <c r="I22" s="747">
        <f>+I21+G22-H22</f>
        <v>-23800</v>
      </c>
      <c r="J22" s="748"/>
    </row>
    <row r="23" spans="1:10" ht="15.75" customHeight="1" x14ac:dyDescent="0.25">
      <c r="A23" s="749">
        <v>46003</v>
      </c>
      <c r="B23" s="728"/>
      <c r="C23" s="750"/>
      <c r="D23" s="751"/>
      <c r="E23" s="752"/>
      <c r="F23" s="753"/>
      <c r="G23" s="754"/>
      <c r="H23" s="755"/>
      <c r="I23" s="747">
        <f t="shared" ref="I23:I25" si="2">I22-H23+G23</f>
        <v>-23800</v>
      </c>
      <c r="J23" s="748"/>
    </row>
    <row r="24" spans="1:10" ht="15.75" customHeight="1" x14ac:dyDescent="0.25">
      <c r="A24" s="749"/>
      <c r="B24" s="728"/>
      <c r="C24" s="750"/>
      <c r="D24" s="751"/>
      <c r="E24" s="752"/>
      <c r="F24" s="753"/>
      <c r="G24" s="754"/>
      <c r="H24" s="755"/>
      <c r="I24" s="747">
        <f t="shared" si="2"/>
        <v>-23800</v>
      </c>
      <c r="J24" s="748"/>
    </row>
    <row r="25" spans="1:10" ht="15.75" customHeight="1" thickBot="1" x14ac:dyDescent="0.3">
      <c r="A25" s="725"/>
      <c r="B25" s="726"/>
      <c r="C25" s="756"/>
      <c r="D25" s="757"/>
      <c r="E25" s="758"/>
      <c r="F25" s="758"/>
      <c r="G25" s="759"/>
      <c r="H25" s="760"/>
      <c r="I25" s="747">
        <f t="shared" si="2"/>
        <v>-23800</v>
      </c>
      <c r="J25" s="748"/>
    </row>
    <row r="26" spans="1:10" ht="15.75" customHeight="1" x14ac:dyDescent="0.25">
      <c r="H26" s="721"/>
      <c r="J26" s="724"/>
    </row>
    <row r="27" spans="1:10" ht="15.75" customHeight="1" x14ac:dyDescent="0.25">
      <c r="J27" s="724"/>
    </row>
    <row r="28" spans="1:10" ht="15.75" customHeight="1" x14ac:dyDescent="0.25">
      <c r="J28" s="724"/>
    </row>
    <row r="29" spans="1:10" ht="15.75" customHeight="1" x14ac:dyDescent="0.25">
      <c r="J29" s="724"/>
    </row>
    <row r="30" spans="1:10" ht="15.75" customHeight="1" x14ac:dyDescent="0.25">
      <c r="J30" s="724"/>
    </row>
    <row r="31" spans="1:10" ht="15.75" customHeight="1" x14ac:dyDescent="0.25">
      <c r="J31" s="724"/>
    </row>
    <row r="32" spans="1:10" ht="15.75" customHeight="1" x14ac:dyDescent="0.25">
      <c r="J32" s="724"/>
    </row>
    <row r="33" spans="10:10" ht="15.75" customHeight="1" x14ac:dyDescent="0.25">
      <c r="J33" s="724"/>
    </row>
    <row r="34" spans="10:10" ht="15.75" customHeight="1" x14ac:dyDescent="0.25">
      <c r="J34" s="724"/>
    </row>
    <row r="35" spans="10:10" ht="15.75" customHeight="1" x14ac:dyDescent="0.25">
      <c r="J35" s="724"/>
    </row>
    <row r="36" spans="10:10" ht="15.75" customHeight="1" x14ac:dyDescent="0.25">
      <c r="J36" s="724"/>
    </row>
    <row r="37" spans="10:10" ht="15.75" customHeight="1" x14ac:dyDescent="0.25">
      <c r="J37" s="724"/>
    </row>
    <row r="38" spans="10:10" ht="15.75" customHeight="1" x14ac:dyDescent="0.25">
      <c r="J38" s="724"/>
    </row>
    <row r="39" spans="10:10" ht="15.75" customHeight="1" x14ac:dyDescent="0.25">
      <c r="J39" s="724"/>
    </row>
    <row r="40" spans="10:10" ht="15.75" customHeight="1" x14ac:dyDescent="0.25">
      <c r="J40" s="724"/>
    </row>
    <row r="41" spans="10:10" ht="15.75" customHeight="1" x14ac:dyDescent="0.25">
      <c r="J41" s="724"/>
    </row>
    <row r="42" spans="10:10" ht="15.75" customHeight="1" x14ac:dyDescent="0.25">
      <c r="J42" s="724"/>
    </row>
    <row r="43" spans="10:10" ht="15.75" customHeight="1" x14ac:dyDescent="0.25">
      <c r="J43" s="724"/>
    </row>
    <row r="44" spans="10:10" ht="15.75" customHeight="1" x14ac:dyDescent="0.25">
      <c r="J44" s="724"/>
    </row>
    <row r="45" spans="10:10" ht="15.75" customHeight="1" x14ac:dyDescent="0.25">
      <c r="J45" s="724"/>
    </row>
    <row r="46" spans="10:10" ht="15.75" customHeight="1" x14ac:dyDescent="0.25">
      <c r="J46" s="724"/>
    </row>
    <row r="47" spans="10:10" ht="15.75" customHeight="1" x14ac:dyDescent="0.25">
      <c r="J47" s="724"/>
    </row>
    <row r="48" spans="10:10" ht="15.75" customHeight="1" x14ac:dyDescent="0.25">
      <c r="J48" s="724"/>
    </row>
    <row r="49" spans="10:10" ht="15.75" customHeight="1" x14ac:dyDescent="0.25">
      <c r="J49" s="724"/>
    </row>
    <row r="50" spans="10:10" ht="15.75" customHeight="1" x14ac:dyDescent="0.25">
      <c r="J50" s="724"/>
    </row>
    <row r="51" spans="10:10" ht="15.75" customHeight="1" x14ac:dyDescent="0.25">
      <c r="J51" s="724"/>
    </row>
    <row r="52" spans="10:10" ht="15.75" customHeight="1" x14ac:dyDescent="0.25">
      <c r="J52" s="724"/>
    </row>
    <row r="53" spans="10:10" ht="15.75" customHeight="1" x14ac:dyDescent="0.25">
      <c r="J53" s="724"/>
    </row>
    <row r="54" spans="10:10" ht="15.75" customHeight="1" x14ac:dyDescent="0.25">
      <c r="J54" s="724"/>
    </row>
    <row r="55" spans="10:10" ht="15.75" customHeight="1" x14ac:dyDescent="0.25">
      <c r="J55" s="724"/>
    </row>
    <row r="56" spans="10:10" ht="15.75" customHeight="1" x14ac:dyDescent="0.25">
      <c r="J56" s="724"/>
    </row>
    <row r="57" spans="10:10" ht="15.75" customHeight="1" x14ac:dyDescent="0.25">
      <c r="J57" s="724"/>
    </row>
    <row r="58" spans="10:10" ht="15.75" customHeight="1" x14ac:dyDescent="0.25">
      <c r="J58" s="724"/>
    </row>
    <row r="59" spans="10:10" ht="15.75" customHeight="1" x14ac:dyDescent="0.25">
      <c r="J59" s="724"/>
    </row>
    <row r="60" spans="10:10" ht="15.75" customHeight="1" x14ac:dyDescent="0.25">
      <c r="J60" s="724"/>
    </row>
    <row r="61" spans="10:10" ht="15.75" customHeight="1" x14ac:dyDescent="0.25">
      <c r="J61" s="724"/>
    </row>
    <row r="62" spans="10:10" ht="15.75" customHeight="1" x14ac:dyDescent="0.25">
      <c r="J62" s="724"/>
    </row>
    <row r="63" spans="10:10" ht="15.75" customHeight="1" x14ac:dyDescent="0.25">
      <c r="J63" s="724"/>
    </row>
    <row r="64" spans="10:10" ht="15.75" customHeight="1" x14ac:dyDescent="0.25">
      <c r="J64" s="724"/>
    </row>
    <row r="65" spans="10:10" ht="15.75" customHeight="1" x14ac:dyDescent="0.25">
      <c r="J65" s="724"/>
    </row>
    <row r="66" spans="10:10" ht="15.75" customHeight="1" x14ac:dyDescent="0.25">
      <c r="J66" s="724"/>
    </row>
    <row r="67" spans="10:10" ht="15.75" customHeight="1" x14ac:dyDescent="0.25">
      <c r="J67" s="724"/>
    </row>
    <row r="68" spans="10:10" ht="15.75" customHeight="1" x14ac:dyDescent="0.25">
      <c r="J68" s="724"/>
    </row>
    <row r="69" spans="10:10" ht="15.75" customHeight="1" x14ac:dyDescent="0.25">
      <c r="J69" s="724"/>
    </row>
    <row r="70" spans="10:10" ht="15.75" customHeight="1" x14ac:dyDescent="0.25">
      <c r="J70" s="724"/>
    </row>
    <row r="71" spans="10:10" ht="15.75" customHeight="1" x14ac:dyDescent="0.25">
      <c r="J71" s="724"/>
    </row>
    <row r="72" spans="10:10" ht="15.75" customHeight="1" x14ac:dyDescent="0.25">
      <c r="J72" s="724"/>
    </row>
    <row r="73" spans="10:10" ht="15.75" customHeight="1" x14ac:dyDescent="0.25">
      <c r="J73" s="724"/>
    </row>
    <row r="74" spans="10:10" ht="15.75" customHeight="1" x14ac:dyDescent="0.25">
      <c r="J74" s="724"/>
    </row>
    <row r="75" spans="10:10" ht="15.75" customHeight="1" x14ac:dyDescent="0.25">
      <c r="J75" s="724"/>
    </row>
    <row r="76" spans="10:10" ht="15.75" customHeight="1" x14ac:dyDescent="0.25">
      <c r="J76" s="724"/>
    </row>
    <row r="77" spans="10:10" ht="15.75" customHeight="1" x14ac:dyDescent="0.25">
      <c r="J77" s="724"/>
    </row>
    <row r="78" spans="10:10" ht="15.75" customHeight="1" x14ac:dyDescent="0.25">
      <c r="J78" s="724"/>
    </row>
    <row r="79" spans="10:10" ht="15.75" customHeight="1" x14ac:dyDescent="0.25">
      <c r="J79" s="724"/>
    </row>
    <row r="80" spans="10:10" ht="15.75" customHeight="1" x14ac:dyDescent="0.25">
      <c r="J80" s="724"/>
    </row>
    <row r="81" spans="10:10" ht="15.75" customHeight="1" x14ac:dyDescent="0.25">
      <c r="J81" s="724"/>
    </row>
    <row r="82" spans="10:10" ht="15.75" customHeight="1" x14ac:dyDescent="0.25">
      <c r="J82" s="724"/>
    </row>
    <row r="83" spans="10:10" ht="15.75" customHeight="1" x14ac:dyDescent="0.25">
      <c r="J83" s="724"/>
    </row>
    <row r="84" spans="10:10" ht="15.75" customHeight="1" x14ac:dyDescent="0.25">
      <c r="J84" s="724"/>
    </row>
    <row r="85" spans="10:10" ht="15.75" customHeight="1" x14ac:dyDescent="0.25">
      <c r="J85" s="724"/>
    </row>
    <row r="86" spans="10:10" ht="15.75" customHeight="1" x14ac:dyDescent="0.25">
      <c r="J86" s="724"/>
    </row>
    <row r="87" spans="10:10" ht="15.75" customHeight="1" x14ac:dyDescent="0.25">
      <c r="J87" s="724"/>
    </row>
    <row r="88" spans="10:10" ht="15.75" customHeight="1" x14ac:dyDescent="0.25">
      <c r="J88" s="724"/>
    </row>
    <row r="89" spans="10:10" ht="15.75" customHeight="1" x14ac:dyDescent="0.25">
      <c r="J89" s="724"/>
    </row>
    <row r="90" spans="10:10" ht="15.75" customHeight="1" x14ac:dyDescent="0.25">
      <c r="J90" s="724"/>
    </row>
    <row r="91" spans="10:10" ht="15.75" customHeight="1" x14ac:dyDescent="0.25">
      <c r="J91" s="724"/>
    </row>
    <row r="92" spans="10:10" ht="15.75" customHeight="1" x14ac:dyDescent="0.25">
      <c r="J92" s="724"/>
    </row>
    <row r="93" spans="10:10" ht="15.75" customHeight="1" x14ac:dyDescent="0.25">
      <c r="J93" s="724"/>
    </row>
    <row r="94" spans="10:10" ht="15.75" customHeight="1" x14ac:dyDescent="0.25">
      <c r="J94" s="724"/>
    </row>
    <row r="95" spans="10:10" ht="15.75" customHeight="1" x14ac:dyDescent="0.25">
      <c r="J95" s="724"/>
    </row>
    <row r="96" spans="10:10" ht="15.75" customHeight="1" x14ac:dyDescent="0.25">
      <c r="J96" s="724"/>
    </row>
    <row r="97" spans="10:10" ht="15.75" customHeight="1" x14ac:dyDescent="0.25">
      <c r="J97" s="724"/>
    </row>
    <row r="98" spans="10:10" ht="15.75" customHeight="1" x14ac:dyDescent="0.25">
      <c r="J98" s="724"/>
    </row>
    <row r="99" spans="10:10" ht="15.75" customHeight="1" x14ac:dyDescent="0.25">
      <c r="J99" s="724"/>
    </row>
    <row r="100" spans="10:10" ht="15.75" customHeight="1" x14ac:dyDescent="0.25">
      <c r="J100" s="724"/>
    </row>
    <row r="101" spans="10:10" ht="15.75" customHeight="1" x14ac:dyDescent="0.25">
      <c r="J101" s="724"/>
    </row>
    <row r="102" spans="10:10" ht="15.75" customHeight="1" x14ac:dyDescent="0.25">
      <c r="J102" s="724"/>
    </row>
    <row r="103" spans="10:10" ht="15.75" customHeight="1" x14ac:dyDescent="0.25">
      <c r="J103" s="724"/>
    </row>
    <row r="104" spans="10:10" ht="15.75" customHeight="1" x14ac:dyDescent="0.25">
      <c r="J104" s="724"/>
    </row>
    <row r="105" spans="10:10" ht="15.75" customHeight="1" x14ac:dyDescent="0.25">
      <c r="J105" s="724"/>
    </row>
    <row r="106" spans="10:10" ht="15.75" customHeight="1" x14ac:dyDescent="0.25">
      <c r="J106" s="724"/>
    </row>
    <row r="107" spans="10:10" ht="15.75" customHeight="1" x14ac:dyDescent="0.25">
      <c r="J107" s="724"/>
    </row>
    <row r="108" spans="10:10" ht="15.75" customHeight="1" x14ac:dyDescent="0.25">
      <c r="J108" s="724"/>
    </row>
    <row r="109" spans="10:10" ht="15.75" customHeight="1" x14ac:dyDescent="0.25">
      <c r="J109" s="724"/>
    </row>
    <row r="110" spans="10:10" ht="15.75" customHeight="1" x14ac:dyDescent="0.25">
      <c r="J110" s="724"/>
    </row>
    <row r="111" spans="10:10" ht="15.75" customHeight="1" x14ac:dyDescent="0.25">
      <c r="J111" s="724"/>
    </row>
    <row r="112" spans="10:10" ht="15.75" customHeight="1" x14ac:dyDescent="0.25">
      <c r="J112" s="724"/>
    </row>
    <row r="113" spans="10:10" ht="15.75" customHeight="1" x14ac:dyDescent="0.25">
      <c r="J113" s="724"/>
    </row>
    <row r="114" spans="10:10" ht="15.75" customHeight="1" x14ac:dyDescent="0.25">
      <c r="J114" s="724"/>
    </row>
    <row r="115" spans="10:10" ht="15.75" customHeight="1" x14ac:dyDescent="0.25">
      <c r="J115" s="724"/>
    </row>
    <row r="116" spans="10:10" ht="15.75" customHeight="1" x14ac:dyDescent="0.25">
      <c r="J116" s="724"/>
    </row>
    <row r="117" spans="10:10" ht="15.75" customHeight="1" x14ac:dyDescent="0.25">
      <c r="J117" s="724"/>
    </row>
    <row r="118" spans="10:10" ht="15.75" customHeight="1" x14ac:dyDescent="0.25">
      <c r="J118" s="724"/>
    </row>
    <row r="119" spans="10:10" ht="15.75" customHeight="1" x14ac:dyDescent="0.25">
      <c r="J119" s="724"/>
    </row>
    <row r="120" spans="10:10" ht="15.75" customHeight="1" x14ac:dyDescent="0.25">
      <c r="J120" s="724"/>
    </row>
    <row r="121" spans="10:10" ht="15.75" customHeight="1" x14ac:dyDescent="0.25">
      <c r="J121" s="724"/>
    </row>
    <row r="122" spans="10:10" ht="15.75" customHeight="1" x14ac:dyDescent="0.25">
      <c r="J122" s="724"/>
    </row>
    <row r="123" spans="10:10" ht="15.75" customHeight="1" x14ac:dyDescent="0.25">
      <c r="J123" s="724"/>
    </row>
    <row r="124" spans="10:10" ht="15.75" customHeight="1" x14ac:dyDescent="0.25">
      <c r="J124" s="724"/>
    </row>
    <row r="125" spans="10:10" ht="15.75" customHeight="1" x14ac:dyDescent="0.25">
      <c r="J125" s="724"/>
    </row>
    <row r="126" spans="10:10" ht="15.75" customHeight="1" x14ac:dyDescent="0.25">
      <c r="J126" s="724"/>
    </row>
    <row r="127" spans="10:10" ht="15.75" customHeight="1" x14ac:dyDescent="0.25">
      <c r="J127" s="724"/>
    </row>
    <row r="128" spans="10:10" ht="15.75" customHeight="1" x14ac:dyDescent="0.25">
      <c r="J128" s="724"/>
    </row>
    <row r="129" spans="10:10" ht="15.75" customHeight="1" x14ac:dyDescent="0.25">
      <c r="J129" s="724"/>
    </row>
    <row r="130" spans="10:10" ht="15.75" customHeight="1" x14ac:dyDescent="0.25">
      <c r="J130" s="724"/>
    </row>
    <row r="131" spans="10:10" ht="15.75" customHeight="1" x14ac:dyDescent="0.25">
      <c r="J131" s="724"/>
    </row>
    <row r="132" spans="10:10" ht="15.75" customHeight="1" x14ac:dyDescent="0.25">
      <c r="J132" s="724"/>
    </row>
    <row r="133" spans="10:10" ht="15.75" customHeight="1" x14ac:dyDescent="0.25">
      <c r="J133" s="724"/>
    </row>
    <row r="134" spans="10:10" ht="15.75" customHeight="1" x14ac:dyDescent="0.25">
      <c r="J134" s="724"/>
    </row>
    <row r="135" spans="10:10" ht="15.75" customHeight="1" x14ac:dyDescent="0.25">
      <c r="J135" s="724"/>
    </row>
    <row r="136" spans="10:10" ht="15.75" customHeight="1" x14ac:dyDescent="0.25">
      <c r="J136" s="724"/>
    </row>
    <row r="137" spans="10:10" ht="15.75" customHeight="1" x14ac:dyDescent="0.25">
      <c r="J137" s="724"/>
    </row>
    <row r="138" spans="10:10" ht="15.75" customHeight="1" x14ac:dyDescent="0.25">
      <c r="J138" s="724"/>
    </row>
    <row r="139" spans="10:10" ht="15.75" customHeight="1" x14ac:dyDescent="0.25">
      <c r="J139" s="724"/>
    </row>
    <row r="140" spans="10:10" ht="15.75" customHeight="1" x14ac:dyDescent="0.25">
      <c r="J140" s="724"/>
    </row>
    <row r="141" spans="10:10" ht="15.75" customHeight="1" x14ac:dyDescent="0.25">
      <c r="J141" s="724"/>
    </row>
    <row r="142" spans="10:10" ht="15.75" customHeight="1" x14ac:dyDescent="0.25">
      <c r="J142" s="724"/>
    </row>
    <row r="143" spans="10:10" ht="15.75" customHeight="1" x14ac:dyDescent="0.25">
      <c r="J143" s="724"/>
    </row>
    <row r="144" spans="10:10" ht="15.75" customHeight="1" x14ac:dyDescent="0.25">
      <c r="J144" s="724"/>
    </row>
    <row r="145" spans="10:10" ht="15.75" customHeight="1" x14ac:dyDescent="0.25">
      <c r="J145" s="724"/>
    </row>
    <row r="146" spans="10:10" ht="15.75" customHeight="1" x14ac:dyDescent="0.25">
      <c r="J146" s="724"/>
    </row>
    <row r="147" spans="10:10" ht="15.75" customHeight="1" x14ac:dyDescent="0.25">
      <c r="J147" s="724"/>
    </row>
    <row r="148" spans="10:10" ht="15.75" customHeight="1" x14ac:dyDescent="0.25">
      <c r="J148" s="724"/>
    </row>
    <row r="149" spans="10:10" ht="15.75" customHeight="1" x14ac:dyDescent="0.25">
      <c r="J149" s="724"/>
    </row>
    <row r="150" spans="10:10" ht="15.75" customHeight="1" x14ac:dyDescent="0.25">
      <c r="J150" s="724"/>
    </row>
    <row r="151" spans="10:10" ht="15.75" customHeight="1" x14ac:dyDescent="0.25">
      <c r="J151" s="724"/>
    </row>
    <row r="152" spans="10:10" ht="15.75" customHeight="1" x14ac:dyDescent="0.25">
      <c r="J152" s="724"/>
    </row>
    <row r="153" spans="10:10" ht="15.75" customHeight="1" x14ac:dyDescent="0.25">
      <c r="J153" s="724"/>
    </row>
    <row r="154" spans="10:10" ht="15.75" customHeight="1" x14ac:dyDescent="0.25">
      <c r="J154" s="724"/>
    </row>
    <row r="155" spans="10:10" ht="15.75" customHeight="1" x14ac:dyDescent="0.25">
      <c r="J155" s="724"/>
    </row>
    <row r="156" spans="10:10" ht="15.75" customHeight="1" x14ac:dyDescent="0.25">
      <c r="J156" s="724"/>
    </row>
    <row r="157" spans="10:10" ht="15.75" customHeight="1" x14ac:dyDescent="0.25">
      <c r="J157" s="724"/>
    </row>
    <row r="158" spans="10:10" ht="15.75" customHeight="1" x14ac:dyDescent="0.25">
      <c r="J158" s="724"/>
    </row>
    <row r="159" spans="10:10" ht="15.75" customHeight="1" x14ac:dyDescent="0.25">
      <c r="J159" s="724"/>
    </row>
    <row r="160" spans="10:10" ht="15.75" customHeight="1" x14ac:dyDescent="0.25">
      <c r="J160" s="724"/>
    </row>
    <row r="161" spans="10:10" ht="15.75" customHeight="1" x14ac:dyDescent="0.25">
      <c r="J161" s="724"/>
    </row>
    <row r="162" spans="10:10" ht="15.75" customHeight="1" x14ac:dyDescent="0.25">
      <c r="J162" s="724"/>
    </row>
    <row r="163" spans="10:10" ht="15.75" customHeight="1" x14ac:dyDescent="0.25">
      <c r="J163" s="724"/>
    </row>
    <row r="164" spans="10:10" ht="15.75" customHeight="1" x14ac:dyDescent="0.25">
      <c r="J164" s="724"/>
    </row>
    <row r="165" spans="10:10" ht="15.75" customHeight="1" x14ac:dyDescent="0.25">
      <c r="J165" s="724"/>
    </row>
    <row r="166" spans="10:10" ht="15.75" customHeight="1" x14ac:dyDescent="0.25">
      <c r="J166" s="724"/>
    </row>
    <row r="167" spans="10:10" ht="15.75" customHeight="1" x14ac:dyDescent="0.25">
      <c r="J167" s="724"/>
    </row>
    <row r="168" spans="10:10" ht="15.75" customHeight="1" x14ac:dyDescent="0.25">
      <c r="J168" s="724"/>
    </row>
    <row r="169" spans="10:10" ht="15.75" customHeight="1" x14ac:dyDescent="0.25">
      <c r="J169" s="724"/>
    </row>
    <row r="170" spans="10:10" ht="15.75" customHeight="1" x14ac:dyDescent="0.25">
      <c r="J170" s="724"/>
    </row>
    <row r="171" spans="10:10" ht="15.75" customHeight="1" x14ac:dyDescent="0.25">
      <c r="J171" s="724"/>
    </row>
    <row r="172" spans="10:10" ht="15.75" customHeight="1" x14ac:dyDescent="0.25">
      <c r="J172" s="724"/>
    </row>
    <row r="173" spans="10:10" ht="15.75" customHeight="1" x14ac:dyDescent="0.25">
      <c r="J173" s="724"/>
    </row>
    <row r="174" spans="10:10" ht="15.75" customHeight="1" x14ac:dyDescent="0.25">
      <c r="J174" s="724"/>
    </row>
    <row r="175" spans="10:10" ht="15.75" customHeight="1" x14ac:dyDescent="0.25">
      <c r="J175" s="724"/>
    </row>
    <row r="176" spans="10:10" ht="15.75" customHeight="1" x14ac:dyDescent="0.25">
      <c r="J176" s="724"/>
    </row>
    <row r="177" spans="10:10" ht="15.75" customHeight="1" x14ac:dyDescent="0.25">
      <c r="J177" s="724"/>
    </row>
    <row r="178" spans="10:10" ht="15.75" customHeight="1" x14ac:dyDescent="0.25">
      <c r="J178" s="724"/>
    </row>
    <row r="179" spans="10:10" ht="15.75" customHeight="1" x14ac:dyDescent="0.25">
      <c r="J179" s="724"/>
    </row>
    <row r="180" spans="10:10" ht="15.75" customHeight="1" x14ac:dyDescent="0.25">
      <c r="J180" s="724"/>
    </row>
    <row r="181" spans="10:10" ht="15.75" customHeight="1" x14ac:dyDescent="0.25">
      <c r="J181" s="724"/>
    </row>
    <row r="182" spans="10:10" ht="15.75" customHeight="1" x14ac:dyDescent="0.25">
      <c r="J182" s="724"/>
    </row>
    <row r="183" spans="10:10" ht="15.75" customHeight="1" x14ac:dyDescent="0.25">
      <c r="J183" s="724"/>
    </row>
    <row r="184" spans="10:10" ht="15.75" customHeight="1" x14ac:dyDescent="0.25">
      <c r="J184" s="724"/>
    </row>
    <row r="185" spans="10:10" ht="15.75" customHeight="1" x14ac:dyDescent="0.25">
      <c r="J185" s="724"/>
    </row>
    <row r="186" spans="10:10" ht="15.75" customHeight="1" x14ac:dyDescent="0.25">
      <c r="J186" s="724"/>
    </row>
    <row r="187" spans="10:10" ht="15.75" customHeight="1" x14ac:dyDescent="0.25">
      <c r="J187" s="724"/>
    </row>
    <row r="188" spans="10:10" ht="15.75" customHeight="1" x14ac:dyDescent="0.25">
      <c r="J188" s="724"/>
    </row>
    <row r="189" spans="10:10" ht="15.75" customHeight="1" x14ac:dyDescent="0.25">
      <c r="J189" s="724"/>
    </row>
    <row r="190" spans="10:10" ht="15.75" customHeight="1" x14ac:dyDescent="0.25">
      <c r="J190" s="724"/>
    </row>
    <row r="191" spans="10:10" ht="15.75" customHeight="1" x14ac:dyDescent="0.25">
      <c r="J191" s="724"/>
    </row>
    <row r="192" spans="10:10" ht="15.75" customHeight="1" x14ac:dyDescent="0.25">
      <c r="J192" s="724"/>
    </row>
    <row r="193" spans="10:10" ht="15.75" customHeight="1" x14ac:dyDescent="0.25">
      <c r="J193" s="724"/>
    </row>
    <row r="194" spans="10:10" ht="15.75" customHeight="1" x14ac:dyDescent="0.25">
      <c r="J194" s="724"/>
    </row>
    <row r="195" spans="10:10" ht="15.75" customHeight="1" x14ac:dyDescent="0.25">
      <c r="J195" s="724"/>
    </row>
    <row r="196" spans="10:10" ht="15.75" customHeight="1" x14ac:dyDescent="0.25">
      <c r="J196" s="724"/>
    </row>
    <row r="197" spans="10:10" ht="15.75" customHeight="1" x14ac:dyDescent="0.25">
      <c r="J197" s="724"/>
    </row>
    <row r="198" spans="10:10" ht="15.75" customHeight="1" x14ac:dyDescent="0.25">
      <c r="J198" s="724"/>
    </row>
    <row r="199" spans="10:10" ht="15.75" customHeight="1" x14ac:dyDescent="0.25">
      <c r="J199" s="724"/>
    </row>
    <row r="200" spans="10:10" ht="15.75" customHeight="1" x14ac:dyDescent="0.25">
      <c r="J200" s="724"/>
    </row>
    <row r="201" spans="10:10" ht="15.75" customHeight="1" x14ac:dyDescent="0.25">
      <c r="J201" s="724"/>
    </row>
    <row r="202" spans="10:10" ht="15.75" customHeight="1" x14ac:dyDescent="0.25">
      <c r="J202" s="724"/>
    </row>
    <row r="203" spans="10:10" ht="15.75" customHeight="1" x14ac:dyDescent="0.25">
      <c r="J203" s="724"/>
    </row>
    <row r="204" spans="10:10" ht="15.75" customHeight="1" x14ac:dyDescent="0.25">
      <c r="J204" s="724"/>
    </row>
    <row r="205" spans="10:10" ht="15.75" customHeight="1" x14ac:dyDescent="0.25">
      <c r="J205" s="724"/>
    </row>
    <row r="206" spans="10:10" ht="15.75" customHeight="1" x14ac:dyDescent="0.25">
      <c r="J206" s="724"/>
    </row>
    <row r="207" spans="10:10" ht="15.75" customHeight="1" x14ac:dyDescent="0.25">
      <c r="J207" s="724"/>
    </row>
    <row r="208" spans="10:10" ht="15.75" customHeight="1" x14ac:dyDescent="0.25">
      <c r="J208" s="724"/>
    </row>
    <row r="209" spans="10:10" ht="15.75" customHeight="1" x14ac:dyDescent="0.25">
      <c r="J209" s="724"/>
    </row>
    <row r="210" spans="10:10" ht="15.75" customHeight="1" x14ac:dyDescent="0.25">
      <c r="J210" s="724"/>
    </row>
    <row r="211" spans="10:10" ht="15.75" customHeight="1" x14ac:dyDescent="0.25">
      <c r="J211" s="724"/>
    </row>
    <row r="212" spans="10:10" ht="15.75" customHeight="1" x14ac:dyDescent="0.25">
      <c r="J212" s="724"/>
    </row>
    <row r="213" spans="10:10" ht="15.75" customHeight="1" x14ac:dyDescent="0.25">
      <c r="J213" s="724"/>
    </row>
    <row r="214" spans="10:10" ht="15.75" customHeight="1" x14ac:dyDescent="0.25">
      <c r="J214" s="724"/>
    </row>
    <row r="215" spans="10:10" ht="15.75" customHeight="1" x14ac:dyDescent="0.25">
      <c r="J215" s="724"/>
    </row>
    <row r="216" spans="10:10" ht="15.75" customHeight="1" x14ac:dyDescent="0.25">
      <c r="J216" s="724"/>
    </row>
    <row r="217" spans="10:10" ht="15.75" customHeight="1" x14ac:dyDescent="0.25">
      <c r="J217" s="724"/>
    </row>
    <row r="218" spans="10:10" ht="15.75" customHeight="1" x14ac:dyDescent="0.25">
      <c r="J218" s="724"/>
    </row>
    <row r="219" spans="10:10" ht="15.75" customHeight="1" x14ac:dyDescent="0.25">
      <c r="J219" s="724"/>
    </row>
    <row r="220" spans="10:10" ht="15.75" customHeight="1" x14ac:dyDescent="0.25">
      <c r="J220" s="724"/>
    </row>
    <row r="221" spans="10:10" ht="15.75" customHeight="1" x14ac:dyDescent="0.25">
      <c r="J221" s="724"/>
    </row>
    <row r="222" spans="10:10" ht="15.75" customHeight="1" x14ac:dyDescent="0.25">
      <c r="J222" s="724"/>
    </row>
    <row r="223" spans="10:10" ht="15.75" customHeight="1" x14ac:dyDescent="0.25">
      <c r="J223" s="724"/>
    </row>
    <row r="224" spans="10:10" ht="15.75" customHeight="1" x14ac:dyDescent="0.25">
      <c r="J224" s="724"/>
    </row>
    <row r="225" spans="10:10" ht="15.75" customHeight="1" x14ac:dyDescent="0.25">
      <c r="J225" s="724"/>
    </row>
    <row r="226" spans="10:10" ht="15.75" customHeight="1" x14ac:dyDescent="0.25">
      <c r="J226" s="724"/>
    </row>
    <row r="227" spans="10:10" ht="15.75" customHeight="1" x14ac:dyDescent="0.25">
      <c r="J227" s="724"/>
    </row>
    <row r="228" spans="10:10" ht="15.75" customHeight="1" x14ac:dyDescent="0.25">
      <c r="J228" s="724"/>
    </row>
    <row r="229" spans="10:10" ht="15.75" customHeight="1" x14ac:dyDescent="0.25">
      <c r="J229" s="724"/>
    </row>
    <row r="230" spans="10:10" ht="15.75" customHeight="1" x14ac:dyDescent="0.25">
      <c r="J230" s="724"/>
    </row>
    <row r="231" spans="10:10" ht="15.75" customHeight="1" x14ac:dyDescent="0.25">
      <c r="J231" s="724"/>
    </row>
    <row r="232" spans="10:10" ht="15.75" customHeight="1" x14ac:dyDescent="0.25">
      <c r="J232" s="724"/>
    </row>
    <row r="233" spans="10:10" ht="15.75" customHeight="1" x14ac:dyDescent="0.25">
      <c r="J233" s="724"/>
    </row>
    <row r="234" spans="10:10" ht="15.75" customHeight="1" x14ac:dyDescent="0.25">
      <c r="J234" s="724"/>
    </row>
    <row r="235" spans="10:10" ht="15.75" customHeight="1" x14ac:dyDescent="0.25">
      <c r="J235" s="724"/>
    </row>
    <row r="236" spans="10:10" ht="15.75" customHeight="1" x14ac:dyDescent="0.25">
      <c r="J236" s="724"/>
    </row>
    <row r="237" spans="10:10" ht="15.75" customHeight="1" x14ac:dyDescent="0.25">
      <c r="J237" s="724"/>
    </row>
    <row r="238" spans="10:10" ht="15.75" customHeight="1" x14ac:dyDescent="0.25">
      <c r="J238" s="724"/>
    </row>
    <row r="239" spans="10:10" ht="15.75" customHeight="1" x14ac:dyDescent="0.25">
      <c r="J239" s="724"/>
    </row>
    <row r="240" spans="10:10" ht="15.75" customHeight="1" x14ac:dyDescent="0.25">
      <c r="J240" s="724"/>
    </row>
    <row r="241" spans="10:10" ht="15.75" customHeight="1" x14ac:dyDescent="0.25">
      <c r="J241" s="724"/>
    </row>
    <row r="242" spans="10:10" ht="15.75" customHeight="1" x14ac:dyDescent="0.25">
      <c r="J242" s="724"/>
    </row>
    <row r="243" spans="10:10" ht="15.75" customHeight="1" x14ac:dyDescent="0.25">
      <c r="J243" s="724"/>
    </row>
    <row r="244" spans="10:10" ht="15.75" customHeight="1" x14ac:dyDescent="0.25">
      <c r="J244" s="724"/>
    </row>
    <row r="245" spans="10:10" ht="15.75" customHeight="1" x14ac:dyDescent="0.25">
      <c r="J245" s="724"/>
    </row>
    <row r="246" spans="10:10" ht="15.75" customHeight="1" x14ac:dyDescent="0.25">
      <c r="J246" s="724"/>
    </row>
    <row r="247" spans="10:10" ht="15.75" customHeight="1" x14ac:dyDescent="0.25">
      <c r="J247" s="724"/>
    </row>
    <row r="248" spans="10:10" ht="15.75" customHeight="1" x14ac:dyDescent="0.25">
      <c r="J248" s="724"/>
    </row>
    <row r="249" spans="10:10" ht="15.75" customHeight="1" x14ac:dyDescent="0.25">
      <c r="J249" s="724"/>
    </row>
    <row r="250" spans="10:10" ht="15.75" customHeight="1" x14ac:dyDescent="0.25">
      <c r="J250" s="724"/>
    </row>
    <row r="251" spans="10:10" ht="15.75" customHeight="1" x14ac:dyDescent="0.25">
      <c r="J251" s="724"/>
    </row>
    <row r="252" spans="10:10" ht="15.75" customHeight="1" x14ac:dyDescent="0.25">
      <c r="J252" s="724"/>
    </row>
    <row r="253" spans="10:10" ht="15.75" customHeight="1" x14ac:dyDescent="0.25">
      <c r="J253" s="724"/>
    </row>
    <row r="254" spans="10:10" ht="15.75" customHeight="1" x14ac:dyDescent="0.25">
      <c r="J254" s="724"/>
    </row>
    <row r="255" spans="10:10" ht="15.75" customHeight="1" x14ac:dyDescent="0.25">
      <c r="J255" s="724"/>
    </row>
    <row r="256" spans="10:10" ht="15.75" customHeight="1" x14ac:dyDescent="0.25">
      <c r="J256" s="724"/>
    </row>
    <row r="257" spans="10:10" ht="15.75" customHeight="1" x14ac:dyDescent="0.25">
      <c r="J257" s="724"/>
    </row>
    <row r="258" spans="10:10" ht="15.75" customHeight="1" x14ac:dyDescent="0.25">
      <c r="J258" s="724"/>
    </row>
    <row r="259" spans="10:10" ht="15.75" customHeight="1" x14ac:dyDescent="0.25">
      <c r="J259" s="724"/>
    </row>
    <row r="260" spans="10:10" ht="15.75" customHeight="1" x14ac:dyDescent="0.25">
      <c r="J260" s="724"/>
    </row>
    <row r="261" spans="10:10" ht="15.75" customHeight="1" x14ac:dyDescent="0.25">
      <c r="J261" s="724"/>
    </row>
    <row r="262" spans="10:10" ht="15.75" customHeight="1" x14ac:dyDescent="0.25">
      <c r="J262" s="724"/>
    </row>
    <row r="263" spans="10:10" ht="15.75" customHeight="1" x14ac:dyDescent="0.25">
      <c r="J263" s="724"/>
    </row>
    <row r="264" spans="10:10" ht="15.75" customHeight="1" x14ac:dyDescent="0.25">
      <c r="J264" s="724"/>
    </row>
    <row r="265" spans="10:10" ht="15.75" customHeight="1" x14ac:dyDescent="0.25">
      <c r="J265" s="724"/>
    </row>
    <row r="266" spans="10:10" ht="15.75" customHeight="1" x14ac:dyDescent="0.25">
      <c r="J266" s="724"/>
    </row>
    <row r="267" spans="10:10" ht="15.75" customHeight="1" x14ac:dyDescent="0.25">
      <c r="J267" s="724"/>
    </row>
    <row r="268" spans="10:10" ht="15.75" customHeight="1" x14ac:dyDescent="0.25">
      <c r="J268" s="724"/>
    </row>
    <row r="269" spans="10:10" ht="15.75" customHeight="1" x14ac:dyDescent="0.25">
      <c r="J269" s="724"/>
    </row>
    <row r="270" spans="10:10" ht="15.75" customHeight="1" x14ac:dyDescent="0.25">
      <c r="J270" s="724"/>
    </row>
    <row r="271" spans="10:10" ht="15.75" customHeight="1" x14ac:dyDescent="0.25">
      <c r="J271" s="724"/>
    </row>
    <row r="272" spans="10:10" ht="15.75" customHeight="1" x14ac:dyDescent="0.25">
      <c r="J272" s="724"/>
    </row>
    <row r="273" spans="10:10" ht="15.75" customHeight="1" x14ac:dyDescent="0.25">
      <c r="J273" s="724"/>
    </row>
    <row r="274" spans="10:10" ht="15.75" customHeight="1" x14ac:dyDescent="0.25">
      <c r="J274" s="724"/>
    </row>
    <row r="275" spans="10:10" ht="15.75" customHeight="1" x14ac:dyDescent="0.25">
      <c r="J275" s="724"/>
    </row>
    <row r="276" spans="10:10" ht="15.75" customHeight="1" x14ac:dyDescent="0.25">
      <c r="J276" s="724"/>
    </row>
    <row r="277" spans="10:10" ht="15.75" customHeight="1" x14ac:dyDescent="0.25">
      <c r="J277" s="724"/>
    </row>
    <row r="278" spans="10:10" ht="15.75" customHeight="1" x14ac:dyDescent="0.25">
      <c r="J278" s="724"/>
    </row>
    <row r="279" spans="10:10" ht="15.75" customHeight="1" x14ac:dyDescent="0.25">
      <c r="J279" s="724"/>
    </row>
    <row r="280" spans="10:10" ht="15.75" customHeight="1" x14ac:dyDescent="0.25">
      <c r="J280" s="724"/>
    </row>
    <row r="281" spans="10:10" ht="15.75" customHeight="1" x14ac:dyDescent="0.25">
      <c r="J281" s="724"/>
    </row>
    <row r="282" spans="10:10" ht="15.75" customHeight="1" x14ac:dyDescent="0.25">
      <c r="J282" s="724"/>
    </row>
    <row r="283" spans="10:10" ht="15.75" customHeight="1" x14ac:dyDescent="0.25">
      <c r="J283" s="724"/>
    </row>
    <row r="284" spans="10:10" ht="15.75" customHeight="1" x14ac:dyDescent="0.25">
      <c r="J284" s="724"/>
    </row>
    <row r="285" spans="10:10" ht="15.75" customHeight="1" x14ac:dyDescent="0.25">
      <c r="J285" s="724"/>
    </row>
    <row r="286" spans="10:10" ht="15.75" customHeight="1" x14ac:dyDescent="0.25">
      <c r="J286" s="724"/>
    </row>
    <row r="287" spans="10:10" ht="15.75" customHeight="1" x14ac:dyDescent="0.25">
      <c r="J287" s="724"/>
    </row>
    <row r="288" spans="10:10" ht="15.75" customHeight="1" x14ac:dyDescent="0.25">
      <c r="J288" s="724"/>
    </row>
    <row r="289" spans="10:10" ht="15.75" customHeight="1" x14ac:dyDescent="0.25">
      <c r="J289" s="724"/>
    </row>
    <row r="290" spans="10:10" ht="15.75" customHeight="1" x14ac:dyDescent="0.25">
      <c r="J290" s="724"/>
    </row>
    <row r="291" spans="10:10" ht="15.75" customHeight="1" x14ac:dyDescent="0.25">
      <c r="J291" s="724"/>
    </row>
    <row r="292" spans="10:10" ht="15.75" customHeight="1" x14ac:dyDescent="0.25">
      <c r="J292" s="724"/>
    </row>
    <row r="293" spans="10:10" ht="15.75" customHeight="1" x14ac:dyDescent="0.25">
      <c r="J293" s="724"/>
    </row>
    <row r="294" spans="10:10" ht="15.75" customHeight="1" x14ac:dyDescent="0.25">
      <c r="J294" s="724"/>
    </row>
    <row r="295" spans="10:10" ht="15.75" customHeight="1" x14ac:dyDescent="0.25">
      <c r="J295" s="724"/>
    </row>
    <row r="296" spans="10:10" ht="15.75" customHeight="1" x14ac:dyDescent="0.25">
      <c r="J296" s="724"/>
    </row>
    <row r="297" spans="10:10" ht="15.75" customHeight="1" x14ac:dyDescent="0.25">
      <c r="J297" s="724"/>
    </row>
    <row r="298" spans="10:10" ht="15.75" customHeight="1" x14ac:dyDescent="0.25">
      <c r="J298" s="724"/>
    </row>
    <row r="299" spans="10:10" ht="15.75" customHeight="1" x14ac:dyDescent="0.25">
      <c r="J299" s="724"/>
    </row>
    <row r="300" spans="10:10" ht="15.75" customHeight="1" x14ac:dyDescent="0.25">
      <c r="J300" s="724"/>
    </row>
    <row r="301" spans="10:10" ht="15.75" customHeight="1" x14ac:dyDescent="0.25">
      <c r="J301" s="724"/>
    </row>
    <row r="302" spans="10:10" ht="15.75" customHeight="1" x14ac:dyDescent="0.25">
      <c r="J302" s="724"/>
    </row>
    <row r="303" spans="10:10" ht="15.75" customHeight="1" x14ac:dyDescent="0.25">
      <c r="J303" s="724"/>
    </row>
    <row r="304" spans="10:10" ht="15.75" customHeight="1" x14ac:dyDescent="0.25">
      <c r="J304" s="724"/>
    </row>
    <row r="305" spans="10:10" ht="15.75" customHeight="1" x14ac:dyDescent="0.25">
      <c r="J305" s="724"/>
    </row>
    <row r="306" spans="10:10" ht="15.75" customHeight="1" x14ac:dyDescent="0.25">
      <c r="J306" s="724"/>
    </row>
    <row r="307" spans="10:10" ht="15.75" customHeight="1" x14ac:dyDescent="0.25">
      <c r="J307" s="724"/>
    </row>
    <row r="308" spans="10:10" ht="15.75" customHeight="1" x14ac:dyDescent="0.25">
      <c r="J308" s="724"/>
    </row>
    <row r="309" spans="10:10" ht="15.75" customHeight="1" x14ac:dyDescent="0.25">
      <c r="J309" s="724"/>
    </row>
    <row r="310" spans="10:10" ht="15.75" customHeight="1" x14ac:dyDescent="0.25">
      <c r="J310" s="724"/>
    </row>
    <row r="311" spans="10:10" ht="15.75" customHeight="1" x14ac:dyDescent="0.25">
      <c r="J311" s="724"/>
    </row>
    <row r="312" spans="10:10" ht="15.75" customHeight="1" x14ac:dyDescent="0.25">
      <c r="J312" s="724"/>
    </row>
    <row r="313" spans="10:10" ht="15.75" customHeight="1" x14ac:dyDescent="0.25">
      <c r="J313" s="724"/>
    </row>
    <row r="314" spans="10:10" ht="15.75" customHeight="1" x14ac:dyDescent="0.25">
      <c r="J314" s="724"/>
    </row>
    <row r="315" spans="10:10" ht="15.75" customHeight="1" x14ac:dyDescent="0.25">
      <c r="J315" s="724"/>
    </row>
    <row r="316" spans="10:10" ht="15.75" customHeight="1" x14ac:dyDescent="0.25">
      <c r="J316" s="724"/>
    </row>
    <row r="317" spans="10:10" ht="15.75" customHeight="1" x14ac:dyDescent="0.25">
      <c r="J317" s="724"/>
    </row>
    <row r="318" spans="10:10" ht="15.75" customHeight="1" x14ac:dyDescent="0.25">
      <c r="J318" s="724"/>
    </row>
    <row r="319" spans="10:10" ht="15.75" customHeight="1" x14ac:dyDescent="0.25">
      <c r="J319" s="724"/>
    </row>
    <row r="320" spans="10:10" ht="15.75" customHeight="1" x14ac:dyDescent="0.25">
      <c r="J320" s="724"/>
    </row>
    <row r="321" spans="10:10" ht="15.75" customHeight="1" x14ac:dyDescent="0.25">
      <c r="J321" s="724"/>
    </row>
    <row r="322" spans="10:10" ht="15.75" customHeight="1" x14ac:dyDescent="0.25">
      <c r="J322" s="724"/>
    </row>
    <row r="323" spans="10:10" ht="15.75" customHeight="1" x14ac:dyDescent="0.25">
      <c r="J323" s="724"/>
    </row>
    <row r="324" spans="10:10" ht="15.75" customHeight="1" x14ac:dyDescent="0.25">
      <c r="J324" s="724"/>
    </row>
    <row r="325" spans="10:10" ht="15.75" customHeight="1" x14ac:dyDescent="0.25">
      <c r="J325" s="724"/>
    </row>
    <row r="326" spans="10:10" ht="15.75" customHeight="1" x14ac:dyDescent="0.25">
      <c r="J326" s="724"/>
    </row>
    <row r="327" spans="10:10" ht="15.75" customHeight="1" x14ac:dyDescent="0.25">
      <c r="J327" s="724"/>
    </row>
    <row r="328" spans="10:10" ht="15.75" customHeight="1" x14ac:dyDescent="0.25">
      <c r="J328" s="724"/>
    </row>
    <row r="329" spans="10:10" ht="15.75" customHeight="1" x14ac:dyDescent="0.25">
      <c r="J329" s="724"/>
    </row>
    <row r="330" spans="10:10" ht="15.75" customHeight="1" x14ac:dyDescent="0.25">
      <c r="J330" s="724"/>
    </row>
    <row r="331" spans="10:10" ht="15.75" customHeight="1" x14ac:dyDescent="0.25">
      <c r="J331" s="724"/>
    </row>
    <row r="332" spans="10:10" ht="15.75" customHeight="1" x14ac:dyDescent="0.25">
      <c r="J332" s="724"/>
    </row>
    <row r="333" spans="10:10" ht="15.75" customHeight="1" x14ac:dyDescent="0.25">
      <c r="J333" s="724"/>
    </row>
    <row r="334" spans="10:10" ht="15.75" customHeight="1" x14ac:dyDescent="0.25">
      <c r="J334" s="724"/>
    </row>
    <row r="335" spans="10:10" ht="15.75" customHeight="1" x14ac:dyDescent="0.25">
      <c r="J335" s="724"/>
    </row>
    <row r="336" spans="10:10" ht="15.75" customHeight="1" x14ac:dyDescent="0.25">
      <c r="J336" s="724"/>
    </row>
    <row r="337" spans="10:10" ht="15.75" customHeight="1" x14ac:dyDescent="0.25">
      <c r="J337" s="724"/>
    </row>
    <row r="338" spans="10:10" ht="15.75" customHeight="1" x14ac:dyDescent="0.25">
      <c r="J338" s="724"/>
    </row>
    <row r="339" spans="10:10" ht="15.75" customHeight="1" x14ac:dyDescent="0.25">
      <c r="J339" s="724"/>
    </row>
    <row r="340" spans="10:10" ht="15.75" customHeight="1" x14ac:dyDescent="0.25">
      <c r="J340" s="724"/>
    </row>
    <row r="341" spans="10:10" ht="15.75" customHeight="1" x14ac:dyDescent="0.25">
      <c r="J341" s="724"/>
    </row>
    <row r="342" spans="10:10" ht="15.75" customHeight="1" x14ac:dyDescent="0.25">
      <c r="J342" s="724"/>
    </row>
    <row r="343" spans="10:10" ht="15.75" customHeight="1" x14ac:dyDescent="0.25">
      <c r="J343" s="724"/>
    </row>
    <row r="344" spans="10:10" ht="15.75" customHeight="1" x14ac:dyDescent="0.25">
      <c r="J344" s="724"/>
    </row>
    <row r="345" spans="10:10" ht="15.75" customHeight="1" x14ac:dyDescent="0.25">
      <c r="J345" s="724"/>
    </row>
    <row r="346" spans="10:10" ht="15.75" customHeight="1" x14ac:dyDescent="0.25">
      <c r="J346" s="724"/>
    </row>
    <row r="347" spans="10:10" ht="15.75" customHeight="1" x14ac:dyDescent="0.25">
      <c r="J347" s="724"/>
    </row>
    <row r="348" spans="10:10" ht="15.75" customHeight="1" x14ac:dyDescent="0.25">
      <c r="J348" s="724"/>
    </row>
    <row r="349" spans="10:10" ht="15.75" customHeight="1" x14ac:dyDescent="0.25">
      <c r="J349" s="724"/>
    </row>
    <row r="350" spans="10:10" ht="15.75" customHeight="1" x14ac:dyDescent="0.25">
      <c r="J350" s="724"/>
    </row>
    <row r="351" spans="10:10" ht="15.75" customHeight="1" x14ac:dyDescent="0.25">
      <c r="J351" s="724"/>
    </row>
    <row r="352" spans="10:10" ht="15.75" customHeight="1" x14ac:dyDescent="0.25">
      <c r="J352" s="724"/>
    </row>
    <row r="353" spans="10:10" ht="15.75" customHeight="1" x14ac:dyDescent="0.25">
      <c r="J353" s="724"/>
    </row>
    <row r="354" spans="10:10" ht="15.75" customHeight="1" x14ac:dyDescent="0.25">
      <c r="J354" s="724"/>
    </row>
    <row r="355" spans="10:10" ht="15.75" customHeight="1" x14ac:dyDescent="0.25">
      <c r="J355" s="724"/>
    </row>
    <row r="356" spans="10:10" ht="15.75" customHeight="1" x14ac:dyDescent="0.25">
      <c r="J356" s="724"/>
    </row>
    <row r="357" spans="10:10" ht="15.75" customHeight="1" x14ac:dyDescent="0.25">
      <c r="J357" s="724"/>
    </row>
    <row r="358" spans="10:10" ht="15.75" customHeight="1" x14ac:dyDescent="0.25">
      <c r="J358" s="724"/>
    </row>
    <row r="359" spans="10:10" ht="15.75" customHeight="1" x14ac:dyDescent="0.25">
      <c r="J359" s="724"/>
    </row>
    <row r="360" spans="10:10" ht="15.75" customHeight="1" x14ac:dyDescent="0.25">
      <c r="J360" s="724"/>
    </row>
    <row r="361" spans="10:10" ht="15.75" customHeight="1" x14ac:dyDescent="0.25">
      <c r="J361" s="724"/>
    </row>
    <row r="362" spans="10:10" ht="15.75" customHeight="1" x14ac:dyDescent="0.25">
      <c r="J362" s="724"/>
    </row>
    <row r="363" spans="10:10" ht="15.75" customHeight="1" x14ac:dyDescent="0.25">
      <c r="J363" s="724"/>
    </row>
    <row r="364" spans="10:10" ht="15.75" customHeight="1" x14ac:dyDescent="0.25">
      <c r="J364" s="724"/>
    </row>
    <row r="365" spans="10:10" ht="15.75" customHeight="1" x14ac:dyDescent="0.25">
      <c r="J365" s="724"/>
    </row>
    <row r="366" spans="10:10" ht="15.75" customHeight="1" x14ac:dyDescent="0.25">
      <c r="J366" s="724"/>
    </row>
    <row r="367" spans="10:10" ht="15.75" customHeight="1" x14ac:dyDescent="0.25">
      <c r="J367" s="724"/>
    </row>
    <row r="368" spans="10:10" ht="15.75" customHeight="1" x14ac:dyDescent="0.25">
      <c r="J368" s="724"/>
    </row>
    <row r="369" spans="10:10" ht="15.75" customHeight="1" x14ac:dyDescent="0.25">
      <c r="J369" s="724"/>
    </row>
    <row r="370" spans="10:10" ht="15.75" customHeight="1" x14ac:dyDescent="0.25">
      <c r="J370" s="724"/>
    </row>
    <row r="371" spans="10:10" ht="15.75" customHeight="1" x14ac:dyDescent="0.25">
      <c r="J371" s="724"/>
    </row>
    <row r="372" spans="10:10" ht="15.75" customHeight="1" x14ac:dyDescent="0.25">
      <c r="J372" s="724"/>
    </row>
    <row r="373" spans="10:10" ht="15.75" customHeight="1" x14ac:dyDescent="0.25">
      <c r="J373" s="724"/>
    </row>
    <row r="374" spans="10:10" ht="15.75" customHeight="1" x14ac:dyDescent="0.25">
      <c r="J374" s="724"/>
    </row>
    <row r="375" spans="10:10" ht="15.75" customHeight="1" x14ac:dyDescent="0.25">
      <c r="J375" s="724"/>
    </row>
    <row r="376" spans="10:10" ht="15.75" customHeight="1" x14ac:dyDescent="0.25">
      <c r="J376" s="724"/>
    </row>
    <row r="377" spans="10:10" ht="15.75" customHeight="1" x14ac:dyDescent="0.25">
      <c r="J377" s="724"/>
    </row>
    <row r="378" spans="10:10" ht="15.75" customHeight="1" x14ac:dyDescent="0.25">
      <c r="J378" s="724"/>
    </row>
    <row r="379" spans="10:10" ht="15.75" customHeight="1" x14ac:dyDescent="0.25">
      <c r="J379" s="724"/>
    </row>
    <row r="380" spans="10:10" ht="15.75" customHeight="1" x14ac:dyDescent="0.25">
      <c r="J380" s="724"/>
    </row>
    <row r="381" spans="10:10" ht="15.75" customHeight="1" x14ac:dyDescent="0.25">
      <c r="J381" s="724"/>
    </row>
    <row r="382" spans="10:10" ht="15.75" customHeight="1" x14ac:dyDescent="0.25">
      <c r="J382" s="724"/>
    </row>
    <row r="383" spans="10:10" ht="15.75" customHeight="1" x14ac:dyDescent="0.25">
      <c r="J383" s="724"/>
    </row>
    <row r="384" spans="10:10" ht="15.75" customHeight="1" x14ac:dyDescent="0.25">
      <c r="J384" s="724"/>
    </row>
    <row r="385" spans="10:10" ht="15.75" customHeight="1" x14ac:dyDescent="0.25">
      <c r="J385" s="724"/>
    </row>
    <row r="386" spans="10:10" ht="15.75" customHeight="1" x14ac:dyDescent="0.25">
      <c r="J386" s="724"/>
    </row>
    <row r="387" spans="10:10" ht="15.75" customHeight="1" x14ac:dyDescent="0.25">
      <c r="J387" s="724"/>
    </row>
    <row r="388" spans="10:10" ht="15.75" customHeight="1" x14ac:dyDescent="0.25">
      <c r="J388" s="724"/>
    </row>
    <row r="389" spans="10:10" ht="15.75" customHeight="1" x14ac:dyDescent="0.25">
      <c r="J389" s="724"/>
    </row>
    <row r="390" spans="10:10" ht="15.75" customHeight="1" x14ac:dyDescent="0.25">
      <c r="J390" s="724"/>
    </row>
    <row r="391" spans="10:10" ht="15.75" customHeight="1" x14ac:dyDescent="0.25">
      <c r="J391" s="724"/>
    </row>
    <row r="392" spans="10:10" ht="15.75" customHeight="1" x14ac:dyDescent="0.25">
      <c r="J392" s="724"/>
    </row>
    <row r="393" spans="10:10" ht="15.75" customHeight="1" x14ac:dyDescent="0.25">
      <c r="J393" s="724"/>
    </row>
    <row r="394" spans="10:10" ht="15.75" customHeight="1" x14ac:dyDescent="0.25">
      <c r="J394" s="724"/>
    </row>
    <row r="395" spans="10:10" ht="15.75" customHeight="1" x14ac:dyDescent="0.25">
      <c r="J395" s="724"/>
    </row>
    <row r="396" spans="10:10" ht="15.75" customHeight="1" x14ac:dyDescent="0.25">
      <c r="J396" s="724"/>
    </row>
    <row r="397" spans="10:10" ht="15.75" customHeight="1" x14ac:dyDescent="0.25">
      <c r="J397" s="724"/>
    </row>
    <row r="398" spans="10:10" ht="15.75" customHeight="1" x14ac:dyDescent="0.25">
      <c r="J398" s="724"/>
    </row>
    <row r="399" spans="10:10" ht="15.75" customHeight="1" x14ac:dyDescent="0.25">
      <c r="J399" s="724"/>
    </row>
    <row r="400" spans="10:10" ht="15.75" customHeight="1" x14ac:dyDescent="0.25">
      <c r="J400" s="724"/>
    </row>
    <row r="401" spans="10:10" ht="15.75" customHeight="1" x14ac:dyDescent="0.25">
      <c r="J401" s="724"/>
    </row>
    <row r="402" spans="10:10" ht="15.75" customHeight="1" x14ac:dyDescent="0.25">
      <c r="J402" s="724"/>
    </row>
    <row r="403" spans="10:10" ht="15.75" customHeight="1" x14ac:dyDescent="0.25">
      <c r="J403" s="724"/>
    </row>
    <row r="404" spans="10:10" ht="15.75" customHeight="1" x14ac:dyDescent="0.25">
      <c r="J404" s="724"/>
    </row>
    <row r="405" spans="10:10" ht="15.75" customHeight="1" x14ac:dyDescent="0.25">
      <c r="J405" s="724"/>
    </row>
    <row r="406" spans="10:10" ht="15.75" customHeight="1" x14ac:dyDescent="0.25">
      <c r="J406" s="724"/>
    </row>
    <row r="407" spans="10:10" ht="15.75" customHeight="1" x14ac:dyDescent="0.25">
      <c r="J407" s="724"/>
    </row>
    <row r="408" spans="10:10" ht="15.75" customHeight="1" x14ac:dyDescent="0.25">
      <c r="J408" s="724"/>
    </row>
    <row r="409" spans="10:10" ht="15.75" customHeight="1" x14ac:dyDescent="0.25">
      <c r="J409" s="724"/>
    </row>
    <row r="410" spans="10:10" ht="15.75" customHeight="1" x14ac:dyDescent="0.25">
      <c r="J410" s="724"/>
    </row>
    <row r="411" spans="10:10" ht="15.75" customHeight="1" x14ac:dyDescent="0.25">
      <c r="J411" s="724"/>
    </row>
    <row r="412" spans="10:10" ht="15.75" customHeight="1" x14ac:dyDescent="0.25">
      <c r="J412" s="724"/>
    </row>
    <row r="413" spans="10:10" ht="15.75" customHeight="1" x14ac:dyDescent="0.25">
      <c r="J413" s="724"/>
    </row>
    <row r="414" spans="10:10" ht="15.75" customHeight="1" x14ac:dyDescent="0.25">
      <c r="J414" s="724"/>
    </row>
    <row r="415" spans="10:10" ht="15.75" customHeight="1" x14ac:dyDescent="0.25">
      <c r="J415" s="724"/>
    </row>
    <row r="416" spans="10:10" ht="15.75" customHeight="1" x14ac:dyDescent="0.25">
      <c r="J416" s="724"/>
    </row>
    <row r="417" spans="10:10" ht="15.75" customHeight="1" x14ac:dyDescent="0.25">
      <c r="J417" s="724"/>
    </row>
    <row r="418" spans="10:10" ht="15.75" customHeight="1" x14ac:dyDescent="0.25">
      <c r="J418" s="724"/>
    </row>
    <row r="419" spans="10:10" ht="15.75" customHeight="1" x14ac:dyDescent="0.25">
      <c r="J419" s="724"/>
    </row>
    <row r="420" spans="10:10" ht="15.75" customHeight="1" x14ac:dyDescent="0.25">
      <c r="J420" s="724"/>
    </row>
    <row r="421" spans="10:10" ht="15.75" customHeight="1" x14ac:dyDescent="0.25">
      <c r="J421" s="724"/>
    </row>
    <row r="422" spans="10:10" ht="15.75" customHeight="1" x14ac:dyDescent="0.25">
      <c r="J422" s="724"/>
    </row>
    <row r="423" spans="10:10" ht="15.75" customHeight="1" x14ac:dyDescent="0.25">
      <c r="J423" s="724"/>
    </row>
    <row r="424" spans="10:10" ht="15.75" customHeight="1" x14ac:dyDescent="0.25">
      <c r="J424" s="724"/>
    </row>
    <row r="425" spans="10:10" ht="15.75" customHeight="1" x14ac:dyDescent="0.25">
      <c r="J425" s="724"/>
    </row>
    <row r="426" spans="10:10" ht="15.75" customHeight="1" x14ac:dyDescent="0.25">
      <c r="J426" s="724"/>
    </row>
    <row r="427" spans="10:10" ht="15.75" customHeight="1" x14ac:dyDescent="0.25">
      <c r="J427" s="724"/>
    </row>
    <row r="428" spans="10:10" ht="15.75" customHeight="1" x14ac:dyDescent="0.25">
      <c r="J428" s="724"/>
    </row>
    <row r="429" spans="10:10" ht="15.75" customHeight="1" x14ac:dyDescent="0.25">
      <c r="J429" s="724"/>
    </row>
    <row r="430" spans="10:10" ht="15.75" customHeight="1" x14ac:dyDescent="0.25">
      <c r="J430" s="724"/>
    </row>
    <row r="431" spans="10:10" ht="15.75" customHeight="1" x14ac:dyDescent="0.25">
      <c r="J431" s="724"/>
    </row>
    <row r="432" spans="10:10" ht="15.75" customHeight="1" x14ac:dyDescent="0.25">
      <c r="J432" s="724"/>
    </row>
    <row r="433" spans="10:10" ht="15.75" customHeight="1" x14ac:dyDescent="0.25">
      <c r="J433" s="724"/>
    </row>
    <row r="434" spans="10:10" ht="15.75" customHeight="1" x14ac:dyDescent="0.25">
      <c r="J434" s="724"/>
    </row>
    <row r="435" spans="10:10" ht="15.75" customHeight="1" x14ac:dyDescent="0.25">
      <c r="J435" s="724"/>
    </row>
    <row r="436" spans="10:10" ht="15.75" customHeight="1" x14ac:dyDescent="0.25">
      <c r="J436" s="724"/>
    </row>
    <row r="437" spans="10:10" ht="15.75" customHeight="1" x14ac:dyDescent="0.25">
      <c r="J437" s="724"/>
    </row>
    <row r="438" spans="10:10" ht="15.75" customHeight="1" x14ac:dyDescent="0.25">
      <c r="J438" s="724"/>
    </row>
    <row r="439" spans="10:10" ht="15.75" customHeight="1" x14ac:dyDescent="0.25">
      <c r="J439" s="724"/>
    </row>
    <row r="440" spans="10:10" ht="15.75" customHeight="1" x14ac:dyDescent="0.25">
      <c r="J440" s="724"/>
    </row>
    <row r="441" spans="10:10" ht="15.75" customHeight="1" x14ac:dyDescent="0.25">
      <c r="J441" s="724"/>
    </row>
    <row r="442" spans="10:10" ht="15.75" customHeight="1" x14ac:dyDescent="0.25">
      <c r="J442" s="724"/>
    </row>
    <row r="443" spans="10:10" ht="15.75" customHeight="1" x14ac:dyDescent="0.25">
      <c r="J443" s="724"/>
    </row>
    <row r="444" spans="10:10" ht="15.75" customHeight="1" x14ac:dyDescent="0.25">
      <c r="J444" s="724"/>
    </row>
    <row r="445" spans="10:10" ht="15.75" customHeight="1" x14ac:dyDescent="0.25">
      <c r="J445" s="724"/>
    </row>
    <row r="446" spans="10:10" ht="15.75" customHeight="1" x14ac:dyDescent="0.25">
      <c r="J446" s="724"/>
    </row>
    <row r="447" spans="10:10" ht="15.75" customHeight="1" x14ac:dyDescent="0.25">
      <c r="J447" s="724"/>
    </row>
    <row r="448" spans="10:10" ht="15.75" customHeight="1" x14ac:dyDescent="0.25">
      <c r="J448" s="724"/>
    </row>
    <row r="449" spans="10:10" ht="15.75" customHeight="1" x14ac:dyDescent="0.25">
      <c r="J449" s="724"/>
    </row>
    <row r="450" spans="10:10" ht="15.75" customHeight="1" x14ac:dyDescent="0.25">
      <c r="J450" s="724"/>
    </row>
    <row r="451" spans="10:10" ht="15.75" customHeight="1" x14ac:dyDescent="0.25">
      <c r="J451" s="724"/>
    </row>
    <row r="452" spans="10:10" ht="15.75" customHeight="1" x14ac:dyDescent="0.25">
      <c r="J452" s="724"/>
    </row>
    <row r="453" spans="10:10" ht="15.75" customHeight="1" x14ac:dyDescent="0.25">
      <c r="J453" s="724"/>
    </row>
    <row r="454" spans="10:10" ht="15.75" customHeight="1" x14ac:dyDescent="0.25">
      <c r="J454" s="724"/>
    </row>
    <row r="455" spans="10:10" ht="15.75" customHeight="1" x14ac:dyDescent="0.25">
      <c r="J455" s="724"/>
    </row>
    <row r="456" spans="10:10" ht="15.75" customHeight="1" x14ac:dyDescent="0.25">
      <c r="J456" s="724"/>
    </row>
    <row r="457" spans="10:10" ht="15.75" customHeight="1" x14ac:dyDescent="0.25">
      <c r="J457" s="724"/>
    </row>
    <row r="458" spans="10:10" ht="15.75" customHeight="1" x14ac:dyDescent="0.25">
      <c r="J458" s="724"/>
    </row>
    <row r="459" spans="10:10" ht="15.75" customHeight="1" x14ac:dyDescent="0.25">
      <c r="J459" s="724"/>
    </row>
    <row r="460" spans="10:10" ht="15.75" customHeight="1" x14ac:dyDescent="0.25">
      <c r="J460" s="724"/>
    </row>
    <row r="461" spans="10:10" ht="15.75" customHeight="1" x14ac:dyDescent="0.25">
      <c r="J461" s="724"/>
    </row>
    <row r="462" spans="10:10" ht="15.75" customHeight="1" x14ac:dyDescent="0.25">
      <c r="J462" s="724"/>
    </row>
    <row r="463" spans="10:10" ht="15.75" customHeight="1" x14ac:dyDescent="0.25">
      <c r="J463" s="724"/>
    </row>
    <row r="464" spans="10:10" ht="15.75" customHeight="1" x14ac:dyDescent="0.25">
      <c r="J464" s="724"/>
    </row>
    <row r="465" spans="10:10" ht="15.75" customHeight="1" x14ac:dyDescent="0.25">
      <c r="J465" s="724"/>
    </row>
    <row r="466" spans="10:10" ht="15.75" customHeight="1" x14ac:dyDescent="0.25">
      <c r="J466" s="724"/>
    </row>
    <row r="467" spans="10:10" ht="15.75" customHeight="1" x14ac:dyDescent="0.25">
      <c r="J467" s="724"/>
    </row>
    <row r="468" spans="10:10" ht="15.75" customHeight="1" x14ac:dyDescent="0.25">
      <c r="J468" s="724"/>
    </row>
    <row r="469" spans="10:10" ht="15.75" customHeight="1" x14ac:dyDescent="0.25">
      <c r="J469" s="724"/>
    </row>
    <row r="470" spans="10:10" ht="15.75" customHeight="1" x14ac:dyDescent="0.25">
      <c r="J470" s="724"/>
    </row>
    <row r="471" spans="10:10" ht="15.75" customHeight="1" x14ac:dyDescent="0.25">
      <c r="J471" s="724"/>
    </row>
    <row r="472" spans="10:10" ht="15.75" customHeight="1" x14ac:dyDescent="0.25">
      <c r="J472" s="724"/>
    </row>
    <row r="473" spans="10:10" ht="15.75" customHeight="1" x14ac:dyDescent="0.25">
      <c r="J473" s="724"/>
    </row>
    <row r="474" spans="10:10" ht="15.75" customHeight="1" x14ac:dyDescent="0.25">
      <c r="J474" s="724"/>
    </row>
    <row r="475" spans="10:10" ht="15.75" customHeight="1" x14ac:dyDescent="0.25">
      <c r="J475" s="724"/>
    </row>
    <row r="476" spans="10:10" ht="15.75" customHeight="1" x14ac:dyDescent="0.25">
      <c r="J476" s="724"/>
    </row>
    <row r="477" spans="10:10" ht="15.75" customHeight="1" x14ac:dyDescent="0.25">
      <c r="J477" s="724"/>
    </row>
    <row r="478" spans="10:10" ht="15.75" customHeight="1" x14ac:dyDescent="0.25">
      <c r="J478" s="724"/>
    </row>
    <row r="479" spans="10:10" ht="15.75" customHeight="1" x14ac:dyDescent="0.25">
      <c r="J479" s="724"/>
    </row>
    <row r="480" spans="10:10" ht="15.75" customHeight="1" x14ac:dyDescent="0.25">
      <c r="J480" s="724"/>
    </row>
    <row r="481" spans="10:10" ht="15.75" customHeight="1" x14ac:dyDescent="0.25">
      <c r="J481" s="724"/>
    </row>
    <row r="482" spans="10:10" ht="15.75" customHeight="1" x14ac:dyDescent="0.25">
      <c r="J482" s="724"/>
    </row>
    <row r="483" spans="10:10" ht="15.75" customHeight="1" x14ac:dyDescent="0.25">
      <c r="J483" s="724"/>
    </row>
    <row r="484" spans="10:10" ht="15.75" customHeight="1" x14ac:dyDescent="0.25">
      <c r="J484" s="724"/>
    </row>
    <row r="485" spans="10:10" ht="15.75" customHeight="1" x14ac:dyDescent="0.25">
      <c r="J485" s="724"/>
    </row>
    <row r="486" spans="10:10" ht="15.75" customHeight="1" x14ac:dyDescent="0.25">
      <c r="J486" s="724"/>
    </row>
    <row r="487" spans="10:10" ht="15.75" customHeight="1" x14ac:dyDescent="0.25">
      <c r="J487" s="724"/>
    </row>
    <row r="488" spans="10:10" ht="15.75" customHeight="1" x14ac:dyDescent="0.25">
      <c r="J488" s="724"/>
    </row>
    <row r="489" spans="10:10" ht="15.75" customHeight="1" x14ac:dyDescent="0.25">
      <c r="J489" s="724"/>
    </row>
    <row r="490" spans="10:10" ht="15.75" customHeight="1" x14ac:dyDescent="0.25">
      <c r="J490" s="724"/>
    </row>
    <row r="491" spans="10:10" ht="15.75" customHeight="1" x14ac:dyDescent="0.25">
      <c r="J491" s="724"/>
    </row>
    <row r="492" spans="10:10" ht="15.75" customHeight="1" x14ac:dyDescent="0.25">
      <c r="J492" s="724"/>
    </row>
    <row r="493" spans="10:10" ht="15.75" customHeight="1" x14ac:dyDescent="0.25">
      <c r="J493" s="724"/>
    </row>
    <row r="494" spans="10:10" ht="15.75" customHeight="1" x14ac:dyDescent="0.25">
      <c r="J494" s="724"/>
    </row>
    <row r="495" spans="10:10" ht="15.75" customHeight="1" x14ac:dyDescent="0.25">
      <c r="J495" s="724"/>
    </row>
    <row r="496" spans="10:10" ht="15.75" customHeight="1" x14ac:dyDescent="0.25">
      <c r="J496" s="724"/>
    </row>
    <row r="497" spans="10:10" ht="15.75" customHeight="1" x14ac:dyDescent="0.25">
      <c r="J497" s="724"/>
    </row>
    <row r="498" spans="10:10" ht="15.75" customHeight="1" x14ac:dyDescent="0.25">
      <c r="J498" s="724"/>
    </row>
    <row r="499" spans="10:10" ht="15.75" customHeight="1" x14ac:dyDescent="0.25">
      <c r="J499" s="724"/>
    </row>
    <row r="500" spans="10:10" ht="15.75" customHeight="1" x14ac:dyDescent="0.25">
      <c r="J500" s="724"/>
    </row>
    <row r="501" spans="10:10" ht="15.75" customHeight="1" x14ac:dyDescent="0.25">
      <c r="J501" s="724"/>
    </row>
    <row r="502" spans="10:10" ht="15.75" customHeight="1" x14ac:dyDescent="0.25">
      <c r="J502" s="724"/>
    </row>
    <row r="503" spans="10:10" ht="15.75" customHeight="1" x14ac:dyDescent="0.25">
      <c r="J503" s="724"/>
    </row>
    <row r="504" spans="10:10" ht="15.75" customHeight="1" x14ac:dyDescent="0.25">
      <c r="J504" s="724"/>
    </row>
    <row r="505" spans="10:10" ht="15.75" customHeight="1" x14ac:dyDescent="0.25">
      <c r="J505" s="724"/>
    </row>
    <row r="506" spans="10:10" ht="15.75" customHeight="1" x14ac:dyDescent="0.25">
      <c r="J506" s="724"/>
    </row>
    <row r="507" spans="10:10" ht="15.75" customHeight="1" x14ac:dyDescent="0.25">
      <c r="J507" s="724"/>
    </row>
    <row r="508" spans="10:10" ht="15.75" customHeight="1" x14ac:dyDescent="0.25">
      <c r="J508" s="724"/>
    </row>
    <row r="509" spans="10:10" ht="15.75" customHeight="1" x14ac:dyDescent="0.25">
      <c r="J509" s="724"/>
    </row>
    <row r="510" spans="10:10" ht="15.75" customHeight="1" x14ac:dyDescent="0.25">
      <c r="J510" s="724"/>
    </row>
    <row r="511" spans="10:10" ht="15.75" customHeight="1" x14ac:dyDescent="0.25">
      <c r="J511" s="724"/>
    </row>
    <row r="512" spans="10:10" ht="15.75" customHeight="1" x14ac:dyDescent="0.25">
      <c r="J512" s="724"/>
    </row>
    <row r="513" spans="10:10" ht="15.75" customHeight="1" x14ac:dyDescent="0.25">
      <c r="J513" s="724"/>
    </row>
    <row r="514" spans="10:10" ht="15.75" customHeight="1" x14ac:dyDescent="0.25">
      <c r="J514" s="724"/>
    </row>
    <row r="515" spans="10:10" ht="15.75" customHeight="1" x14ac:dyDescent="0.25">
      <c r="J515" s="724"/>
    </row>
    <row r="516" spans="10:10" ht="15.75" customHeight="1" x14ac:dyDescent="0.25">
      <c r="J516" s="724"/>
    </row>
    <row r="517" spans="10:10" ht="15.75" customHeight="1" x14ac:dyDescent="0.25">
      <c r="J517" s="724"/>
    </row>
    <row r="518" spans="10:10" ht="15.75" customHeight="1" x14ac:dyDescent="0.25">
      <c r="J518" s="724"/>
    </row>
    <row r="519" spans="10:10" ht="15.75" customHeight="1" x14ac:dyDescent="0.25">
      <c r="J519" s="724"/>
    </row>
    <row r="520" spans="10:10" ht="15.75" customHeight="1" x14ac:dyDescent="0.25">
      <c r="J520" s="724"/>
    </row>
    <row r="521" spans="10:10" ht="15.75" customHeight="1" x14ac:dyDescent="0.25">
      <c r="J521" s="724"/>
    </row>
    <row r="522" spans="10:10" ht="15.75" customHeight="1" x14ac:dyDescent="0.25">
      <c r="J522" s="724"/>
    </row>
    <row r="523" spans="10:10" ht="15.75" customHeight="1" x14ac:dyDescent="0.25">
      <c r="J523" s="724"/>
    </row>
    <row r="524" spans="10:10" ht="15.75" customHeight="1" x14ac:dyDescent="0.25">
      <c r="J524" s="724"/>
    </row>
    <row r="525" spans="10:10" ht="15.75" customHeight="1" x14ac:dyDescent="0.25">
      <c r="J525" s="724"/>
    </row>
    <row r="526" spans="10:10" ht="15.75" customHeight="1" x14ac:dyDescent="0.25">
      <c r="J526" s="724"/>
    </row>
    <row r="527" spans="10:10" ht="15.75" customHeight="1" x14ac:dyDescent="0.25">
      <c r="J527" s="724"/>
    </row>
    <row r="528" spans="10:10" ht="15.75" customHeight="1" x14ac:dyDescent="0.25">
      <c r="J528" s="724"/>
    </row>
    <row r="529" spans="10:10" ht="15.75" customHeight="1" x14ac:dyDescent="0.25">
      <c r="J529" s="724"/>
    </row>
    <row r="530" spans="10:10" ht="15.75" customHeight="1" x14ac:dyDescent="0.25">
      <c r="J530" s="724"/>
    </row>
    <row r="531" spans="10:10" ht="15.75" customHeight="1" x14ac:dyDescent="0.25">
      <c r="J531" s="724"/>
    </row>
    <row r="532" spans="10:10" ht="15.75" customHeight="1" x14ac:dyDescent="0.25">
      <c r="J532" s="724"/>
    </row>
    <row r="533" spans="10:10" ht="15.75" customHeight="1" x14ac:dyDescent="0.25">
      <c r="J533" s="724"/>
    </row>
    <row r="534" spans="10:10" ht="15.75" customHeight="1" x14ac:dyDescent="0.25">
      <c r="J534" s="724"/>
    </row>
    <row r="535" spans="10:10" ht="15.75" customHeight="1" x14ac:dyDescent="0.25">
      <c r="J535" s="724"/>
    </row>
    <row r="536" spans="10:10" ht="15.75" customHeight="1" x14ac:dyDescent="0.25">
      <c r="J536" s="724"/>
    </row>
    <row r="537" spans="10:10" ht="15.75" customHeight="1" x14ac:dyDescent="0.25">
      <c r="J537" s="724"/>
    </row>
    <row r="538" spans="10:10" ht="15.75" customHeight="1" x14ac:dyDescent="0.25">
      <c r="J538" s="724"/>
    </row>
    <row r="539" spans="10:10" ht="15.75" customHeight="1" x14ac:dyDescent="0.25">
      <c r="J539" s="724"/>
    </row>
    <row r="540" spans="10:10" ht="15.75" customHeight="1" x14ac:dyDescent="0.25">
      <c r="J540" s="724"/>
    </row>
    <row r="541" spans="10:10" ht="15.75" customHeight="1" x14ac:dyDescent="0.25">
      <c r="J541" s="724"/>
    </row>
    <row r="542" spans="10:10" ht="15.75" customHeight="1" x14ac:dyDescent="0.25">
      <c r="J542" s="724"/>
    </row>
    <row r="543" spans="10:10" ht="15.75" customHeight="1" x14ac:dyDescent="0.25">
      <c r="J543" s="724"/>
    </row>
    <row r="544" spans="10:10" ht="15.75" customHeight="1" x14ac:dyDescent="0.25">
      <c r="J544" s="724"/>
    </row>
    <row r="545" spans="10:10" ht="15.75" customHeight="1" x14ac:dyDescent="0.25">
      <c r="J545" s="724"/>
    </row>
    <row r="546" spans="10:10" ht="15.75" customHeight="1" x14ac:dyDescent="0.25">
      <c r="J546" s="724"/>
    </row>
    <row r="547" spans="10:10" ht="15.75" customHeight="1" x14ac:dyDescent="0.25">
      <c r="J547" s="724"/>
    </row>
    <row r="548" spans="10:10" ht="15.75" customHeight="1" x14ac:dyDescent="0.25">
      <c r="J548" s="724"/>
    </row>
    <row r="549" spans="10:10" ht="15.75" customHeight="1" x14ac:dyDescent="0.25">
      <c r="J549" s="724"/>
    </row>
    <row r="550" spans="10:10" ht="15.75" customHeight="1" x14ac:dyDescent="0.25">
      <c r="J550" s="724"/>
    </row>
    <row r="551" spans="10:10" ht="15.75" customHeight="1" x14ac:dyDescent="0.25">
      <c r="J551" s="724"/>
    </row>
    <row r="552" spans="10:10" ht="15.75" customHeight="1" x14ac:dyDescent="0.25">
      <c r="J552" s="724"/>
    </row>
    <row r="553" spans="10:10" ht="15.75" customHeight="1" x14ac:dyDescent="0.25">
      <c r="J553" s="724"/>
    </row>
    <row r="554" spans="10:10" ht="15.75" customHeight="1" x14ac:dyDescent="0.25">
      <c r="J554" s="724"/>
    </row>
    <row r="555" spans="10:10" ht="15.75" customHeight="1" x14ac:dyDescent="0.25">
      <c r="J555" s="724"/>
    </row>
    <row r="556" spans="10:10" ht="15.75" customHeight="1" x14ac:dyDescent="0.25">
      <c r="J556" s="724"/>
    </row>
    <row r="557" spans="10:10" ht="15.75" customHeight="1" x14ac:dyDescent="0.25">
      <c r="J557" s="724"/>
    </row>
    <row r="558" spans="10:10" ht="15.75" customHeight="1" x14ac:dyDescent="0.25">
      <c r="J558" s="724"/>
    </row>
    <row r="559" spans="10:10" ht="15.75" customHeight="1" x14ac:dyDescent="0.25">
      <c r="J559" s="724"/>
    </row>
    <row r="560" spans="10:10" ht="15.75" customHeight="1" x14ac:dyDescent="0.25">
      <c r="J560" s="724"/>
    </row>
    <row r="561" spans="10:10" ht="15.75" customHeight="1" x14ac:dyDescent="0.25">
      <c r="J561" s="724"/>
    </row>
    <row r="562" spans="10:10" ht="15.75" customHeight="1" x14ac:dyDescent="0.25">
      <c r="J562" s="724"/>
    </row>
    <row r="563" spans="10:10" ht="15.75" customHeight="1" x14ac:dyDescent="0.25">
      <c r="J563" s="724"/>
    </row>
    <row r="564" spans="10:10" ht="15.75" customHeight="1" x14ac:dyDescent="0.25">
      <c r="J564" s="724"/>
    </row>
    <row r="565" spans="10:10" ht="15.75" customHeight="1" x14ac:dyDescent="0.25">
      <c r="J565" s="724"/>
    </row>
    <row r="566" spans="10:10" ht="15.75" customHeight="1" x14ac:dyDescent="0.25">
      <c r="J566" s="724"/>
    </row>
    <row r="567" spans="10:10" ht="15.75" customHeight="1" x14ac:dyDescent="0.25">
      <c r="J567" s="724"/>
    </row>
    <row r="568" spans="10:10" ht="15.75" customHeight="1" x14ac:dyDescent="0.25">
      <c r="J568" s="724"/>
    </row>
    <row r="569" spans="10:10" ht="15.75" customHeight="1" x14ac:dyDescent="0.25">
      <c r="J569" s="724"/>
    </row>
    <row r="570" spans="10:10" ht="15.75" customHeight="1" x14ac:dyDescent="0.25">
      <c r="J570" s="724"/>
    </row>
    <row r="571" spans="10:10" ht="15.75" customHeight="1" x14ac:dyDescent="0.25">
      <c r="J571" s="724"/>
    </row>
    <row r="572" spans="10:10" ht="15.75" customHeight="1" x14ac:dyDescent="0.25">
      <c r="J572" s="724"/>
    </row>
    <row r="573" spans="10:10" ht="15.75" customHeight="1" x14ac:dyDescent="0.25">
      <c r="J573" s="724"/>
    </row>
    <row r="574" spans="10:10" ht="15.75" customHeight="1" x14ac:dyDescent="0.25">
      <c r="J574" s="724"/>
    </row>
    <row r="575" spans="10:10" ht="15.75" customHeight="1" x14ac:dyDescent="0.25">
      <c r="J575" s="724"/>
    </row>
    <row r="576" spans="10:10" ht="15.75" customHeight="1" x14ac:dyDescent="0.25">
      <c r="J576" s="724"/>
    </row>
    <row r="577" spans="10:10" ht="15.75" customHeight="1" x14ac:dyDescent="0.25">
      <c r="J577" s="724"/>
    </row>
    <row r="578" spans="10:10" ht="15.75" customHeight="1" x14ac:dyDescent="0.25">
      <c r="J578" s="724"/>
    </row>
    <row r="579" spans="10:10" ht="15.75" customHeight="1" x14ac:dyDescent="0.25">
      <c r="J579" s="724"/>
    </row>
    <row r="580" spans="10:10" ht="15.75" customHeight="1" x14ac:dyDescent="0.25">
      <c r="J580" s="724"/>
    </row>
    <row r="581" spans="10:10" ht="15.75" customHeight="1" x14ac:dyDescent="0.25">
      <c r="J581" s="724"/>
    </row>
    <row r="582" spans="10:10" ht="15.75" customHeight="1" x14ac:dyDescent="0.25">
      <c r="J582" s="724"/>
    </row>
    <row r="583" spans="10:10" ht="15.75" customHeight="1" x14ac:dyDescent="0.25">
      <c r="J583" s="724"/>
    </row>
    <row r="584" spans="10:10" ht="15.75" customHeight="1" x14ac:dyDescent="0.25">
      <c r="J584" s="724"/>
    </row>
    <row r="585" spans="10:10" ht="15.75" customHeight="1" x14ac:dyDescent="0.25">
      <c r="J585" s="724"/>
    </row>
    <row r="586" spans="10:10" ht="15.75" customHeight="1" x14ac:dyDescent="0.25">
      <c r="J586" s="724"/>
    </row>
    <row r="587" spans="10:10" ht="15.75" customHeight="1" x14ac:dyDescent="0.25">
      <c r="J587" s="724"/>
    </row>
    <row r="588" spans="10:10" ht="15.75" customHeight="1" x14ac:dyDescent="0.25">
      <c r="J588" s="724"/>
    </row>
    <row r="589" spans="10:10" ht="15.75" customHeight="1" x14ac:dyDescent="0.25">
      <c r="J589" s="724"/>
    </row>
    <row r="590" spans="10:10" ht="15.75" customHeight="1" x14ac:dyDescent="0.25">
      <c r="J590" s="724"/>
    </row>
    <row r="591" spans="10:10" ht="15.75" customHeight="1" x14ac:dyDescent="0.25">
      <c r="J591" s="724"/>
    </row>
    <row r="592" spans="10:10" ht="15.75" customHeight="1" x14ac:dyDescent="0.25">
      <c r="J592" s="724"/>
    </row>
    <row r="593" spans="10:10" ht="15.75" customHeight="1" x14ac:dyDescent="0.25">
      <c r="J593" s="724"/>
    </row>
    <row r="594" spans="10:10" ht="15.75" customHeight="1" x14ac:dyDescent="0.25">
      <c r="J594" s="724"/>
    </row>
    <row r="595" spans="10:10" ht="15.75" customHeight="1" x14ac:dyDescent="0.25">
      <c r="J595" s="724"/>
    </row>
    <row r="596" spans="10:10" ht="15.75" customHeight="1" x14ac:dyDescent="0.25">
      <c r="J596" s="724"/>
    </row>
    <row r="597" spans="10:10" ht="15.75" customHeight="1" x14ac:dyDescent="0.25">
      <c r="J597" s="724"/>
    </row>
    <row r="598" spans="10:10" ht="15.75" customHeight="1" x14ac:dyDescent="0.25">
      <c r="J598" s="724"/>
    </row>
    <row r="599" spans="10:10" ht="15.75" customHeight="1" x14ac:dyDescent="0.25">
      <c r="J599" s="724"/>
    </row>
    <row r="600" spans="10:10" ht="15.75" customHeight="1" x14ac:dyDescent="0.25">
      <c r="J600" s="724"/>
    </row>
    <row r="601" spans="10:10" ht="15.75" customHeight="1" x14ac:dyDescent="0.25">
      <c r="J601" s="724"/>
    </row>
    <row r="602" spans="10:10" ht="15.75" customHeight="1" x14ac:dyDescent="0.25">
      <c r="J602" s="724"/>
    </row>
    <row r="603" spans="10:10" ht="15.75" customHeight="1" x14ac:dyDescent="0.25">
      <c r="J603" s="724"/>
    </row>
    <row r="604" spans="10:10" ht="15.75" customHeight="1" x14ac:dyDescent="0.25">
      <c r="J604" s="724"/>
    </row>
    <row r="605" spans="10:10" ht="15.75" customHeight="1" x14ac:dyDescent="0.25">
      <c r="J605" s="724"/>
    </row>
    <row r="606" spans="10:10" ht="15.75" customHeight="1" x14ac:dyDescent="0.25">
      <c r="J606" s="724"/>
    </row>
    <row r="607" spans="10:10" ht="15.75" customHeight="1" x14ac:dyDescent="0.25">
      <c r="J607" s="724"/>
    </row>
    <row r="608" spans="10:10" ht="15.75" customHeight="1" x14ac:dyDescent="0.25">
      <c r="J608" s="724"/>
    </row>
    <row r="609" spans="10:10" ht="15.75" customHeight="1" x14ac:dyDescent="0.25">
      <c r="J609" s="724"/>
    </row>
    <row r="610" spans="10:10" ht="15.75" customHeight="1" x14ac:dyDescent="0.25">
      <c r="J610" s="724"/>
    </row>
    <row r="611" spans="10:10" ht="15.75" customHeight="1" x14ac:dyDescent="0.25">
      <c r="J611" s="724"/>
    </row>
    <row r="612" spans="10:10" ht="15.75" customHeight="1" x14ac:dyDescent="0.25">
      <c r="J612" s="724"/>
    </row>
    <row r="613" spans="10:10" ht="15.75" customHeight="1" x14ac:dyDescent="0.25">
      <c r="J613" s="724"/>
    </row>
    <row r="614" spans="10:10" ht="15.75" customHeight="1" x14ac:dyDescent="0.25">
      <c r="J614" s="724"/>
    </row>
    <row r="615" spans="10:10" ht="15.75" customHeight="1" x14ac:dyDescent="0.25">
      <c r="J615" s="724"/>
    </row>
    <row r="616" spans="10:10" ht="15.75" customHeight="1" x14ac:dyDescent="0.25">
      <c r="J616" s="724"/>
    </row>
    <row r="617" spans="10:10" ht="15.75" customHeight="1" x14ac:dyDescent="0.25">
      <c r="J617" s="724"/>
    </row>
    <row r="618" spans="10:10" ht="15.75" customHeight="1" x14ac:dyDescent="0.25">
      <c r="J618" s="724"/>
    </row>
    <row r="619" spans="10:10" ht="15.75" customHeight="1" x14ac:dyDescent="0.25">
      <c r="J619" s="724"/>
    </row>
    <row r="620" spans="10:10" ht="15.75" customHeight="1" x14ac:dyDescent="0.25">
      <c r="J620" s="724"/>
    </row>
    <row r="621" spans="10:10" ht="15.75" customHeight="1" x14ac:dyDescent="0.25">
      <c r="J621" s="724"/>
    </row>
    <row r="622" spans="10:10" ht="15.75" customHeight="1" x14ac:dyDescent="0.25">
      <c r="J622" s="724"/>
    </row>
    <row r="623" spans="10:10" ht="15.75" customHeight="1" x14ac:dyDescent="0.25">
      <c r="J623" s="724"/>
    </row>
    <row r="624" spans="10:10" ht="15.75" customHeight="1" x14ac:dyDescent="0.25">
      <c r="J624" s="724"/>
    </row>
    <row r="625" spans="10:10" ht="15.75" customHeight="1" x14ac:dyDescent="0.25">
      <c r="J625" s="724"/>
    </row>
    <row r="626" spans="10:10" ht="15.75" customHeight="1" x14ac:dyDescent="0.25">
      <c r="J626" s="724"/>
    </row>
    <row r="627" spans="10:10" ht="15.75" customHeight="1" x14ac:dyDescent="0.25">
      <c r="J627" s="724"/>
    </row>
    <row r="628" spans="10:10" ht="15.75" customHeight="1" x14ac:dyDescent="0.25">
      <c r="J628" s="724"/>
    </row>
    <row r="629" spans="10:10" ht="15.75" customHeight="1" x14ac:dyDescent="0.25">
      <c r="J629" s="724"/>
    </row>
    <row r="630" spans="10:10" ht="15.75" customHeight="1" x14ac:dyDescent="0.25">
      <c r="J630" s="724"/>
    </row>
    <row r="631" spans="10:10" ht="15.75" customHeight="1" x14ac:dyDescent="0.25">
      <c r="J631" s="724"/>
    </row>
    <row r="632" spans="10:10" ht="15.75" customHeight="1" x14ac:dyDescent="0.25">
      <c r="J632" s="724"/>
    </row>
    <row r="633" spans="10:10" ht="15.75" customHeight="1" x14ac:dyDescent="0.25">
      <c r="J633" s="724"/>
    </row>
    <row r="634" spans="10:10" ht="15.75" customHeight="1" x14ac:dyDescent="0.25">
      <c r="J634" s="724"/>
    </row>
    <row r="635" spans="10:10" ht="15.75" customHeight="1" x14ac:dyDescent="0.25">
      <c r="J635" s="724"/>
    </row>
    <row r="636" spans="10:10" ht="15.75" customHeight="1" x14ac:dyDescent="0.25">
      <c r="J636" s="724"/>
    </row>
    <row r="637" spans="10:10" ht="15.75" customHeight="1" x14ac:dyDescent="0.25">
      <c r="J637" s="724"/>
    </row>
    <row r="638" spans="10:10" ht="15.75" customHeight="1" x14ac:dyDescent="0.25">
      <c r="J638" s="724"/>
    </row>
    <row r="639" spans="10:10" ht="15.75" customHeight="1" x14ac:dyDescent="0.25">
      <c r="J639" s="724"/>
    </row>
    <row r="640" spans="10:10" ht="15.75" customHeight="1" x14ac:dyDescent="0.25">
      <c r="J640" s="724"/>
    </row>
    <row r="641" spans="10:10" ht="15.75" customHeight="1" x14ac:dyDescent="0.25">
      <c r="J641" s="724"/>
    </row>
    <row r="642" spans="10:10" ht="15.75" customHeight="1" x14ac:dyDescent="0.25">
      <c r="J642" s="724"/>
    </row>
    <row r="643" spans="10:10" ht="15.75" customHeight="1" x14ac:dyDescent="0.25">
      <c r="J643" s="724"/>
    </row>
    <row r="644" spans="10:10" ht="15.75" customHeight="1" x14ac:dyDescent="0.25">
      <c r="J644" s="724"/>
    </row>
    <row r="645" spans="10:10" ht="15.75" customHeight="1" x14ac:dyDescent="0.25">
      <c r="J645" s="724"/>
    </row>
    <row r="646" spans="10:10" ht="15.75" customHeight="1" x14ac:dyDescent="0.25">
      <c r="J646" s="724"/>
    </row>
    <row r="647" spans="10:10" ht="15.75" customHeight="1" x14ac:dyDescent="0.25">
      <c r="J647" s="724"/>
    </row>
    <row r="648" spans="10:10" ht="15.75" customHeight="1" x14ac:dyDescent="0.25">
      <c r="J648" s="724"/>
    </row>
    <row r="649" spans="10:10" ht="15.75" customHeight="1" x14ac:dyDescent="0.25">
      <c r="J649" s="724"/>
    </row>
    <row r="650" spans="10:10" ht="15.75" customHeight="1" x14ac:dyDescent="0.25">
      <c r="J650" s="724"/>
    </row>
    <row r="651" spans="10:10" ht="15.75" customHeight="1" x14ac:dyDescent="0.25">
      <c r="J651" s="724"/>
    </row>
    <row r="652" spans="10:10" ht="15.75" customHeight="1" x14ac:dyDescent="0.25">
      <c r="J652" s="724"/>
    </row>
    <row r="653" spans="10:10" ht="15.75" customHeight="1" x14ac:dyDescent="0.25">
      <c r="J653" s="724"/>
    </row>
    <row r="654" spans="10:10" ht="15.75" customHeight="1" x14ac:dyDescent="0.25">
      <c r="J654" s="724"/>
    </row>
    <row r="655" spans="10:10" ht="15.75" customHeight="1" x14ac:dyDescent="0.25">
      <c r="J655" s="724"/>
    </row>
    <row r="656" spans="10:10" ht="15.75" customHeight="1" x14ac:dyDescent="0.25">
      <c r="J656" s="724"/>
    </row>
    <row r="657" spans="10:10" ht="15.75" customHeight="1" x14ac:dyDescent="0.25">
      <c r="J657" s="724"/>
    </row>
    <row r="658" spans="10:10" ht="15.75" customHeight="1" x14ac:dyDescent="0.25">
      <c r="J658" s="724"/>
    </row>
    <row r="659" spans="10:10" ht="15.75" customHeight="1" x14ac:dyDescent="0.25">
      <c r="J659" s="724"/>
    </row>
    <row r="660" spans="10:10" ht="15.75" customHeight="1" x14ac:dyDescent="0.25">
      <c r="J660" s="724"/>
    </row>
    <row r="661" spans="10:10" ht="15.75" customHeight="1" x14ac:dyDescent="0.25">
      <c r="J661" s="724"/>
    </row>
    <row r="662" spans="10:10" ht="15.75" customHeight="1" x14ac:dyDescent="0.25">
      <c r="J662" s="724"/>
    </row>
    <row r="663" spans="10:10" ht="15.75" customHeight="1" x14ac:dyDescent="0.25">
      <c r="J663" s="724"/>
    </row>
    <row r="664" spans="10:10" ht="15.75" customHeight="1" x14ac:dyDescent="0.25">
      <c r="J664" s="724"/>
    </row>
    <row r="665" spans="10:10" ht="15.75" customHeight="1" x14ac:dyDescent="0.25">
      <c r="J665" s="724"/>
    </row>
    <row r="666" spans="10:10" ht="15.75" customHeight="1" x14ac:dyDescent="0.25">
      <c r="J666" s="724"/>
    </row>
    <row r="667" spans="10:10" ht="15.75" customHeight="1" x14ac:dyDescent="0.25">
      <c r="J667" s="724"/>
    </row>
    <row r="668" spans="10:10" ht="15.75" customHeight="1" x14ac:dyDescent="0.25">
      <c r="J668" s="724"/>
    </row>
    <row r="669" spans="10:10" ht="15.75" customHeight="1" x14ac:dyDescent="0.25">
      <c r="J669" s="724"/>
    </row>
    <row r="670" spans="10:10" ht="15.75" customHeight="1" x14ac:dyDescent="0.25">
      <c r="J670" s="724"/>
    </row>
    <row r="671" spans="10:10" ht="15.75" customHeight="1" x14ac:dyDescent="0.25">
      <c r="J671" s="724"/>
    </row>
    <row r="672" spans="10:10" ht="15.75" customHeight="1" x14ac:dyDescent="0.25">
      <c r="J672" s="724"/>
    </row>
    <row r="673" spans="10:10" ht="15.75" customHeight="1" x14ac:dyDescent="0.25">
      <c r="J673" s="724"/>
    </row>
    <row r="674" spans="10:10" ht="15.75" customHeight="1" x14ac:dyDescent="0.25">
      <c r="J674" s="724"/>
    </row>
    <row r="675" spans="10:10" ht="15.75" customHeight="1" x14ac:dyDescent="0.25">
      <c r="J675" s="724"/>
    </row>
    <row r="676" spans="10:10" ht="15.75" customHeight="1" x14ac:dyDescent="0.25">
      <c r="J676" s="724"/>
    </row>
    <row r="677" spans="10:10" ht="15.75" customHeight="1" x14ac:dyDescent="0.25">
      <c r="J677" s="724"/>
    </row>
    <row r="678" spans="10:10" ht="15.75" customHeight="1" x14ac:dyDescent="0.25">
      <c r="J678" s="724"/>
    </row>
    <row r="679" spans="10:10" ht="15.75" customHeight="1" x14ac:dyDescent="0.25">
      <c r="J679" s="724"/>
    </row>
    <row r="680" spans="10:10" ht="15.75" customHeight="1" x14ac:dyDescent="0.25">
      <c r="J680" s="724"/>
    </row>
    <row r="681" spans="10:10" ht="15.75" customHeight="1" x14ac:dyDescent="0.25">
      <c r="J681" s="724"/>
    </row>
    <row r="682" spans="10:10" ht="15.75" customHeight="1" x14ac:dyDescent="0.25">
      <c r="J682" s="724"/>
    </row>
    <row r="683" spans="10:10" ht="15.75" customHeight="1" x14ac:dyDescent="0.25">
      <c r="J683" s="724"/>
    </row>
    <row r="684" spans="10:10" ht="15.75" customHeight="1" x14ac:dyDescent="0.25">
      <c r="J684" s="724"/>
    </row>
    <row r="685" spans="10:10" ht="15.75" customHeight="1" x14ac:dyDescent="0.25">
      <c r="J685" s="724"/>
    </row>
    <row r="686" spans="10:10" ht="15.75" customHeight="1" x14ac:dyDescent="0.25">
      <c r="J686" s="724"/>
    </row>
    <row r="687" spans="10:10" ht="15.75" customHeight="1" x14ac:dyDescent="0.25">
      <c r="J687" s="724"/>
    </row>
    <row r="688" spans="10:10" ht="15.75" customHeight="1" x14ac:dyDescent="0.25">
      <c r="J688" s="724"/>
    </row>
    <row r="689" spans="10:10" ht="15.75" customHeight="1" x14ac:dyDescent="0.25">
      <c r="J689" s="724"/>
    </row>
    <row r="690" spans="10:10" ht="15.75" customHeight="1" x14ac:dyDescent="0.25">
      <c r="J690" s="724"/>
    </row>
    <row r="691" spans="10:10" ht="15.75" customHeight="1" x14ac:dyDescent="0.25">
      <c r="J691" s="724"/>
    </row>
    <row r="692" spans="10:10" ht="15.75" customHeight="1" x14ac:dyDescent="0.25">
      <c r="J692" s="724"/>
    </row>
    <row r="693" spans="10:10" ht="15.75" customHeight="1" x14ac:dyDescent="0.25">
      <c r="J693" s="724"/>
    </row>
    <row r="694" spans="10:10" ht="15.75" customHeight="1" x14ac:dyDescent="0.25">
      <c r="J694" s="724"/>
    </row>
    <row r="695" spans="10:10" ht="15.75" customHeight="1" x14ac:dyDescent="0.25">
      <c r="J695" s="724"/>
    </row>
    <row r="696" spans="10:10" ht="15.75" customHeight="1" x14ac:dyDescent="0.25">
      <c r="J696" s="724"/>
    </row>
    <row r="697" spans="10:10" ht="15.75" customHeight="1" x14ac:dyDescent="0.25">
      <c r="J697" s="724"/>
    </row>
    <row r="698" spans="10:10" ht="15.75" customHeight="1" x14ac:dyDescent="0.25">
      <c r="J698" s="724"/>
    </row>
    <row r="699" spans="10:10" ht="15.75" customHeight="1" x14ac:dyDescent="0.25">
      <c r="J699" s="724"/>
    </row>
    <row r="700" spans="10:10" ht="15.75" customHeight="1" x14ac:dyDescent="0.25">
      <c r="J700" s="724"/>
    </row>
    <row r="701" spans="10:10" ht="15.75" customHeight="1" x14ac:dyDescent="0.25">
      <c r="J701" s="724"/>
    </row>
    <row r="702" spans="10:10" ht="15.75" customHeight="1" x14ac:dyDescent="0.25">
      <c r="J702" s="724"/>
    </row>
    <row r="703" spans="10:10" ht="15.75" customHeight="1" x14ac:dyDescent="0.25">
      <c r="J703" s="724"/>
    </row>
    <row r="704" spans="10:10" ht="15.75" customHeight="1" x14ac:dyDescent="0.25">
      <c r="J704" s="724"/>
    </row>
    <row r="705" spans="10:10" ht="15.75" customHeight="1" x14ac:dyDescent="0.25">
      <c r="J705" s="724"/>
    </row>
    <row r="706" spans="10:10" ht="15.75" customHeight="1" x14ac:dyDescent="0.25">
      <c r="J706" s="724"/>
    </row>
    <row r="707" spans="10:10" ht="15.75" customHeight="1" x14ac:dyDescent="0.25">
      <c r="J707" s="724"/>
    </row>
    <row r="708" spans="10:10" ht="15.75" customHeight="1" x14ac:dyDescent="0.25">
      <c r="J708" s="724"/>
    </row>
    <row r="709" spans="10:10" ht="15.75" customHeight="1" x14ac:dyDescent="0.25">
      <c r="J709" s="724"/>
    </row>
    <row r="710" spans="10:10" ht="15.75" customHeight="1" x14ac:dyDescent="0.25">
      <c r="J710" s="724"/>
    </row>
    <row r="711" spans="10:10" ht="15.75" customHeight="1" x14ac:dyDescent="0.25">
      <c r="J711" s="724"/>
    </row>
    <row r="712" spans="10:10" ht="15.75" customHeight="1" x14ac:dyDescent="0.25">
      <c r="J712" s="724"/>
    </row>
    <row r="713" spans="10:10" ht="15.75" customHeight="1" x14ac:dyDescent="0.25">
      <c r="J713" s="724"/>
    </row>
    <row r="714" spans="10:10" ht="15.75" customHeight="1" x14ac:dyDescent="0.25">
      <c r="J714" s="724"/>
    </row>
    <row r="715" spans="10:10" ht="15.75" customHeight="1" x14ac:dyDescent="0.25">
      <c r="J715" s="724"/>
    </row>
    <row r="716" spans="10:10" ht="15.75" customHeight="1" x14ac:dyDescent="0.25">
      <c r="J716" s="724"/>
    </row>
    <row r="717" spans="10:10" ht="15.75" customHeight="1" x14ac:dyDescent="0.25">
      <c r="J717" s="724"/>
    </row>
    <row r="718" spans="10:10" ht="15.75" customHeight="1" x14ac:dyDescent="0.25">
      <c r="J718" s="724"/>
    </row>
    <row r="719" spans="10:10" ht="15.75" customHeight="1" x14ac:dyDescent="0.25">
      <c r="J719" s="724"/>
    </row>
    <row r="720" spans="10:10" ht="15.75" customHeight="1" x14ac:dyDescent="0.25">
      <c r="J720" s="724"/>
    </row>
    <row r="721" spans="10:10" ht="15.75" customHeight="1" x14ac:dyDescent="0.25">
      <c r="J721" s="724"/>
    </row>
    <row r="722" spans="10:10" ht="15.75" customHeight="1" x14ac:dyDescent="0.25">
      <c r="J722" s="724"/>
    </row>
    <row r="723" spans="10:10" ht="15.75" customHeight="1" x14ac:dyDescent="0.25">
      <c r="J723" s="724"/>
    </row>
    <row r="724" spans="10:10" ht="15.75" customHeight="1" x14ac:dyDescent="0.25">
      <c r="J724" s="724"/>
    </row>
    <row r="725" spans="10:10" ht="15.75" customHeight="1" x14ac:dyDescent="0.25">
      <c r="J725" s="724"/>
    </row>
    <row r="726" spans="10:10" ht="15.75" customHeight="1" x14ac:dyDescent="0.25">
      <c r="J726" s="724"/>
    </row>
    <row r="727" spans="10:10" ht="15.75" customHeight="1" x14ac:dyDescent="0.25">
      <c r="J727" s="724"/>
    </row>
    <row r="728" spans="10:10" ht="15.75" customHeight="1" x14ac:dyDescent="0.25">
      <c r="J728" s="724"/>
    </row>
    <row r="729" spans="10:10" ht="15.75" customHeight="1" x14ac:dyDescent="0.25">
      <c r="J729" s="724"/>
    </row>
    <row r="730" spans="10:10" ht="15.75" customHeight="1" x14ac:dyDescent="0.25">
      <c r="J730" s="724"/>
    </row>
    <row r="731" spans="10:10" ht="15.75" customHeight="1" x14ac:dyDescent="0.25">
      <c r="J731" s="724"/>
    </row>
    <row r="732" spans="10:10" ht="15.75" customHeight="1" x14ac:dyDescent="0.25">
      <c r="J732" s="724"/>
    </row>
    <row r="733" spans="10:10" ht="15.75" customHeight="1" x14ac:dyDescent="0.25">
      <c r="J733" s="724"/>
    </row>
    <row r="734" spans="10:10" ht="15.75" customHeight="1" x14ac:dyDescent="0.25">
      <c r="J734" s="724"/>
    </row>
    <row r="735" spans="10:10" ht="15.75" customHeight="1" x14ac:dyDescent="0.25">
      <c r="J735" s="724"/>
    </row>
    <row r="736" spans="10:10" ht="15.75" customHeight="1" x14ac:dyDescent="0.25">
      <c r="J736" s="724"/>
    </row>
    <row r="737" spans="10:10" ht="15.75" customHeight="1" x14ac:dyDescent="0.25">
      <c r="J737" s="724"/>
    </row>
    <row r="738" spans="10:10" ht="15.75" customHeight="1" x14ac:dyDescent="0.25">
      <c r="J738" s="724"/>
    </row>
    <row r="739" spans="10:10" ht="15.75" customHeight="1" x14ac:dyDescent="0.25">
      <c r="J739" s="724"/>
    </row>
    <row r="740" spans="10:10" ht="15.75" customHeight="1" x14ac:dyDescent="0.25">
      <c r="J740" s="724"/>
    </row>
    <row r="741" spans="10:10" ht="15.75" customHeight="1" x14ac:dyDescent="0.25">
      <c r="J741" s="724"/>
    </row>
    <row r="742" spans="10:10" ht="15.75" customHeight="1" x14ac:dyDescent="0.25">
      <c r="J742" s="724"/>
    </row>
    <row r="743" spans="10:10" ht="15.75" customHeight="1" x14ac:dyDescent="0.25">
      <c r="J743" s="724"/>
    </row>
    <row r="744" spans="10:10" ht="15.75" customHeight="1" x14ac:dyDescent="0.25">
      <c r="J744" s="724"/>
    </row>
    <row r="745" spans="10:10" ht="15.75" customHeight="1" x14ac:dyDescent="0.25">
      <c r="J745" s="724"/>
    </row>
    <row r="746" spans="10:10" ht="15.75" customHeight="1" x14ac:dyDescent="0.25">
      <c r="J746" s="724"/>
    </row>
    <row r="747" spans="10:10" ht="15.75" customHeight="1" x14ac:dyDescent="0.25">
      <c r="J747" s="724"/>
    </row>
    <row r="748" spans="10:10" ht="15.75" customHeight="1" x14ac:dyDescent="0.25">
      <c r="J748" s="724"/>
    </row>
    <row r="749" spans="10:10" ht="15.75" customHeight="1" x14ac:dyDescent="0.25">
      <c r="J749" s="724"/>
    </row>
    <row r="750" spans="10:10" ht="15.75" customHeight="1" x14ac:dyDescent="0.25">
      <c r="J750" s="724"/>
    </row>
    <row r="751" spans="10:10" ht="15.75" customHeight="1" x14ac:dyDescent="0.25">
      <c r="J751" s="724"/>
    </row>
    <row r="752" spans="10:10" ht="15.75" customHeight="1" x14ac:dyDescent="0.25">
      <c r="J752" s="724"/>
    </row>
    <row r="753" spans="10:10" ht="15.75" customHeight="1" x14ac:dyDescent="0.25">
      <c r="J753" s="724"/>
    </row>
    <row r="754" spans="10:10" ht="15.75" customHeight="1" x14ac:dyDescent="0.25">
      <c r="J754" s="724"/>
    </row>
    <row r="755" spans="10:10" ht="15.75" customHeight="1" x14ac:dyDescent="0.25">
      <c r="J755" s="724"/>
    </row>
    <row r="756" spans="10:10" ht="15.75" customHeight="1" x14ac:dyDescent="0.25">
      <c r="J756" s="724"/>
    </row>
    <row r="757" spans="10:10" ht="15.75" customHeight="1" x14ac:dyDescent="0.25">
      <c r="J757" s="724"/>
    </row>
    <row r="758" spans="10:10" ht="15.75" customHeight="1" x14ac:dyDescent="0.25">
      <c r="J758" s="724"/>
    </row>
    <row r="759" spans="10:10" ht="15.75" customHeight="1" x14ac:dyDescent="0.25">
      <c r="J759" s="724"/>
    </row>
    <row r="760" spans="10:10" ht="15.75" customHeight="1" x14ac:dyDescent="0.25">
      <c r="J760" s="724"/>
    </row>
    <row r="761" spans="10:10" ht="15.75" customHeight="1" x14ac:dyDescent="0.25">
      <c r="J761" s="724"/>
    </row>
    <row r="762" spans="10:10" ht="15.75" customHeight="1" x14ac:dyDescent="0.25">
      <c r="J762" s="724"/>
    </row>
    <row r="763" spans="10:10" ht="15.75" customHeight="1" x14ac:dyDescent="0.25">
      <c r="J763" s="724"/>
    </row>
    <row r="764" spans="10:10" ht="15.75" customHeight="1" x14ac:dyDescent="0.25">
      <c r="J764" s="724"/>
    </row>
    <row r="765" spans="10:10" ht="15.75" customHeight="1" x14ac:dyDescent="0.25">
      <c r="J765" s="724"/>
    </row>
    <row r="766" spans="10:10" ht="15.75" customHeight="1" x14ac:dyDescent="0.25">
      <c r="J766" s="724"/>
    </row>
    <row r="767" spans="10:10" ht="15.75" customHeight="1" x14ac:dyDescent="0.25">
      <c r="J767" s="724"/>
    </row>
    <row r="768" spans="10:10" ht="15.75" customHeight="1" x14ac:dyDescent="0.25">
      <c r="J768" s="724"/>
    </row>
    <row r="769" spans="10:10" ht="15.75" customHeight="1" x14ac:dyDescent="0.25">
      <c r="J769" s="724"/>
    </row>
    <row r="770" spans="10:10" ht="15.75" customHeight="1" x14ac:dyDescent="0.25">
      <c r="J770" s="724"/>
    </row>
    <row r="771" spans="10:10" ht="15.75" customHeight="1" x14ac:dyDescent="0.25">
      <c r="J771" s="724"/>
    </row>
    <row r="772" spans="10:10" ht="15.75" customHeight="1" x14ac:dyDescent="0.25">
      <c r="J772" s="724"/>
    </row>
    <row r="773" spans="10:10" ht="15.75" customHeight="1" x14ac:dyDescent="0.25">
      <c r="J773" s="724"/>
    </row>
    <row r="774" spans="10:10" ht="15.75" customHeight="1" x14ac:dyDescent="0.25">
      <c r="J774" s="724"/>
    </row>
    <row r="775" spans="10:10" ht="15.75" customHeight="1" x14ac:dyDescent="0.25">
      <c r="J775" s="724"/>
    </row>
    <row r="776" spans="10:10" ht="15.75" customHeight="1" x14ac:dyDescent="0.25">
      <c r="J776" s="724"/>
    </row>
    <row r="777" spans="10:10" ht="15.75" customHeight="1" x14ac:dyDescent="0.25">
      <c r="J777" s="724"/>
    </row>
    <row r="778" spans="10:10" ht="15.75" customHeight="1" x14ac:dyDescent="0.25">
      <c r="J778" s="724"/>
    </row>
    <row r="779" spans="10:10" ht="15.75" customHeight="1" x14ac:dyDescent="0.25">
      <c r="J779" s="724"/>
    </row>
    <row r="780" spans="10:10" ht="15.75" customHeight="1" x14ac:dyDescent="0.25">
      <c r="J780" s="724"/>
    </row>
    <row r="781" spans="10:10" ht="15.75" customHeight="1" x14ac:dyDescent="0.25">
      <c r="J781" s="724"/>
    </row>
    <row r="782" spans="10:10" ht="15.75" customHeight="1" x14ac:dyDescent="0.25">
      <c r="J782" s="724"/>
    </row>
    <row r="783" spans="10:10" ht="15.75" customHeight="1" x14ac:dyDescent="0.25">
      <c r="J783" s="724"/>
    </row>
    <row r="784" spans="10:10" ht="15.75" customHeight="1" x14ac:dyDescent="0.25">
      <c r="J784" s="724"/>
    </row>
    <row r="785" spans="10:10" ht="15.75" customHeight="1" x14ac:dyDescent="0.25">
      <c r="J785" s="724"/>
    </row>
    <row r="786" spans="10:10" ht="15.75" customHeight="1" x14ac:dyDescent="0.25">
      <c r="J786" s="724"/>
    </row>
    <row r="787" spans="10:10" ht="15.75" customHeight="1" x14ac:dyDescent="0.25">
      <c r="J787" s="724"/>
    </row>
    <row r="788" spans="10:10" ht="15.75" customHeight="1" x14ac:dyDescent="0.25">
      <c r="J788" s="724"/>
    </row>
    <row r="789" spans="10:10" ht="15.75" customHeight="1" x14ac:dyDescent="0.25">
      <c r="J789" s="724"/>
    </row>
    <row r="790" spans="10:10" ht="15.75" customHeight="1" x14ac:dyDescent="0.25">
      <c r="J790" s="724"/>
    </row>
    <row r="791" spans="10:10" ht="15.75" customHeight="1" x14ac:dyDescent="0.25">
      <c r="J791" s="724"/>
    </row>
    <row r="792" spans="10:10" ht="15.75" customHeight="1" x14ac:dyDescent="0.25">
      <c r="J792" s="724"/>
    </row>
    <row r="793" spans="10:10" ht="15.75" customHeight="1" x14ac:dyDescent="0.25">
      <c r="J793" s="724"/>
    </row>
    <row r="794" spans="10:10" ht="15.75" customHeight="1" x14ac:dyDescent="0.25">
      <c r="J794" s="724"/>
    </row>
    <row r="795" spans="10:10" ht="15.75" customHeight="1" x14ac:dyDescent="0.25">
      <c r="J795" s="724"/>
    </row>
    <row r="796" spans="10:10" ht="15.75" customHeight="1" x14ac:dyDescent="0.25">
      <c r="J796" s="724"/>
    </row>
    <row r="797" spans="10:10" ht="15.75" customHeight="1" x14ac:dyDescent="0.25">
      <c r="J797" s="724"/>
    </row>
    <row r="798" spans="10:10" ht="15.75" customHeight="1" x14ac:dyDescent="0.25">
      <c r="J798" s="724"/>
    </row>
    <row r="799" spans="10:10" ht="15.75" customHeight="1" x14ac:dyDescent="0.25">
      <c r="J799" s="724"/>
    </row>
    <row r="800" spans="10:10" ht="15.75" customHeight="1" x14ac:dyDescent="0.25">
      <c r="J800" s="724"/>
    </row>
    <row r="801" spans="10:10" ht="15.75" customHeight="1" x14ac:dyDescent="0.25">
      <c r="J801" s="724"/>
    </row>
    <row r="802" spans="10:10" ht="15.75" customHeight="1" x14ac:dyDescent="0.25">
      <c r="J802" s="724"/>
    </row>
    <row r="803" spans="10:10" ht="15.75" customHeight="1" x14ac:dyDescent="0.25">
      <c r="J803" s="724"/>
    </row>
    <row r="804" spans="10:10" ht="15.75" customHeight="1" x14ac:dyDescent="0.25">
      <c r="J804" s="724"/>
    </row>
    <row r="805" spans="10:10" ht="15.75" customHeight="1" x14ac:dyDescent="0.25">
      <c r="J805" s="724"/>
    </row>
    <row r="806" spans="10:10" ht="15.75" customHeight="1" x14ac:dyDescent="0.25">
      <c r="J806" s="724"/>
    </row>
    <row r="807" spans="10:10" ht="15.75" customHeight="1" x14ac:dyDescent="0.25">
      <c r="J807" s="724"/>
    </row>
    <row r="808" spans="10:10" ht="15.75" customHeight="1" x14ac:dyDescent="0.25">
      <c r="J808" s="724"/>
    </row>
    <row r="809" spans="10:10" ht="15.75" customHeight="1" x14ac:dyDescent="0.25">
      <c r="J809" s="724"/>
    </row>
    <row r="810" spans="10:10" ht="15.75" customHeight="1" x14ac:dyDescent="0.25">
      <c r="J810" s="724"/>
    </row>
    <row r="811" spans="10:10" ht="15.75" customHeight="1" x14ac:dyDescent="0.25">
      <c r="J811" s="724"/>
    </row>
    <row r="812" spans="10:10" ht="15.75" customHeight="1" x14ac:dyDescent="0.25">
      <c r="J812" s="724"/>
    </row>
    <row r="813" spans="10:10" ht="15.75" customHeight="1" x14ac:dyDescent="0.25">
      <c r="J813" s="724"/>
    </row>
    <row r="814" spans="10:10" ht="15.75" customHeight="1" x14ac:dyDescent="0.25">
      <c r="J814" s="724"/>
    </row>
    <row r="815" spans="10:10" ht="15.75" customHeight="1" x14ac:dyDescent="0.25">
      <c r="J815" s="724"/>
    </row>
    <row r="816" spans="10:10" ht="15.75" customHeight="1" x14ac:dyDescent="0.25">
      <c r="J816" s="724"/>
    </row>
    <row r="817" spans="10:10" ht="15.75" customHeight="1" x14ac:dyDescent="0.25">
      <c r="J817" s="724"/>
    </row>
    <row r="818" spans="10:10" ht="15.75" customHeight="1" x14ac:dyDescent="0.25">
      <c r="J818" s="724"/>
    </row>
    <row r="819" spans="10:10" ht="15.75" customHeight="1" x14ac:dyDescent="0.25">
      <c r="J819" s="724"/>
    </row>
    <row r="820" spans="10:10" ht="15.75" customHeight="1" x14ac:dyDescent="0.25">
      <c r="J820" s="724"/>
    </row>
    <row r="821" spans="10:10" ht="15.75" customHeight="1" x14ac:dyDescent="0.25">
      <c r="J821" s="724"/>
    </row>
    <row r="822" spans="10:10" ht="15.75" customHeight="1" x14ac:dyDescent="0.25">
      <c r="J822" s="724"/>
    </row>
    <row r="823" spans="10:10" ht="15.75" customHeight="1" x14ac:dyDescent="0.25">
      <c r="J823" s="724"/>
    </row>
    <row r="824" spans="10:10" ht="15.75" customHeight="1" x14ac:dyDescent="0.25">
      <c r="J824" s="724"/>
    </row>
    <row r="825" spans="10:10" ht="15.75" customHeight="1" x14ac:dyDescent="0.25">
      <c r="J825" s="724"/>
    </row>
    <row r="826" spans="10:10" ht="15.75" customHeight="1" x14ac:dyDescent="0.25">
      <c r="J826" s="724"/>
    </row>
    <row r="827" spans="10:10" ht="15.75" customHeight="1" x14ac:dyDescent="0.25">
      <c r="J827" s="724"/>
    </row>
    <row r="828" spans="10:10" ht="15.75" customHeight="1" x14ac:dyDescent="0.25">
      <c r="J828" s="724"/>
    </row>
    <row r="829" spans="10:10" ht="15.75" customHeight="1" x14ac:dyDescent="0.25">
      <c r="J829" s="724"/>
    </row>
    <row r="830" spans="10:10" ht="15.75" customHeight="1" x14ac:dyDescent="0.25">
      <c r="J830" s="724"/>
    </row>
    <row r="831" spans="10:10" ht="15.75" customHeight="1" x14ac:dyDescent="0.25">
      <c r="J831" s="724"/>
    </row>
    <row r="832" spans="10:10" ht="15.75" customHeight="1" x14ac:dyDescent="0.25">
      <c r="J832" s="724"/>
    </row>
    <row r="833" spans="10:10" ht="15.75" customHeight="1" x14ac:dyDescent="0.25">
      <c r="J833" s="724"/>
    </row>
    <row r="834" spans="10:10" ht="15.75" customHeight="1" x14ac:dyDescent="0.25">
      <c r="J834" s="724"/>
    </row>
    <row r="835" spans="10:10" ht="15.75" customHeight="1" x14ac:dyDescent="0.25">
      <c r="J835" s="724"/>
    </row>
    <row r="836" spans="10:10" ht="15.75" customHeight="1" x14ac:dyDescent="0.25">
      <c r="J836" s="724"/>
    </row>
    <row r="837" spans="10:10" ht="15.75" customHeight="1" x14ac:dyDescent="0.25">
      <c r="J837" s="724"/>
    </row>
    <row r="838" spans="10:10" ht="15.75" customHeight="1" x14ac:dyDescent="0.25">
      <c r="J838" s="724"/>
    </row>
    <row r="839" spans="10:10" ht="15.75" customHeight="1" x14ac:dyDescent="0.25">
      <c r="J839" s="724"/>
    </row>
    <row r="840" spans="10:10" ht="15.75" customHeight="1" x14ac:dyDescent="0.25">
      <c r="J840" s="724"/>
    </row>
    <row r="841" spans="10:10" ht="15.75" customHeight="1" x14ac:dyDescent="0.25">
      <c r="J841" s="724"/>
    </row>
    <row r="842" spans="10:10" ht="15.75" customHeight="1" x14ac:dyDescent="0.25">
      <c r="J842" s="724"/>
    </row>
    <row r="843" spans="10:10" ht="15.75" customHeight="1" x14ac:dyDescent="0.25">
      <c r="J843" s="724"/>
    </row>
    <row r="844" spans="10:10" ht="15.75" customHeight="1" x14ac:dyDescent="0.25">
      <c r="J844" s="724"/>
    </row>
    <row r="845" spans="10:10" ht="15.75" customHeight="1" x14ac:dyDescent="0.25">
      <c r="J845" s="724"/>
    </row>
    <row r="846" spans="10:10" ht="15.75" customHeight="1" x14ac:dyDescent="0.25">
      <c r="J846" s="724"/>
    </row>
    <row r="847" spans="10:10" ht="15.75" customHeight="1" x14ac:dyDescent="0.25">
      <c r="J847" s="724"/>
    </row>
    <row r="848" spans="10:10" ht="15.75" customHeight="1" x14ac:dyDescent="0.25">
      <c r="J848" s="724"/>
    </row>
    <row r="849" spans="10:10" ht="15.75" customHeight="1" x14ac:dyDescent="0.25">
      <c r="J849" s="724"/>
    </row>
    <row r="850" spans="10:10" ht="15.75" customHeight="1" x14ac:dyDescent="0.25">
      <c r="J850" s="724"/>
    </row>
    <row r="851" spans="10:10" ht="15.75" customHeight="1" x14ac:dyDescent="0.25">
      <c r="J851" s="724"/>
    </row>
    <row r="852" spans="10:10" ht="15.75" customHeight="1" x14ac:dyDescent="0.25">
      <c r="J852" s="724"/>
    </row>
    <row r="853" spans="10:10" ht="15.75" customHeight="1" x14ac:dyDescent="0.25">
      <c r="J853" s="724"/>
    </row>
    <row r="854" spans="10:10" ht="15.75" customHeight="1" x14ac:dyDescent="0.25">
      <c r="J854" s="724"/>
    </row>
    <row r="855" spans="10:10" ht="15.75" customHeight="1" x14ac:dyDescent="0.25">
      <c r="J855" s="724"/>
    </row>
    <row r="856" spans="10:10" ht="15.75" customHeight="1" x14ac:dyDescent="0.25">
      <c r="J856" s="724"/>
    </row>
    <row r="857" spans="10:10" ht="15.75" customHeight="1" x14ac:dyDescent="0.25">
      <c r="J857" s="724"/>
    </row>
    <row r="858" spans="10:10" ht="15.75" customHeight="1" x14ac:dyDescent="0.25">
      <c r="J858" s="724"/>
    </row>
    <row r="859" spans="10:10" ht="15.75" customHeight="1" x14ac:dyDescent="0.25">
      <c r="J859" s="724"/>
    </row>
    <row r="860" spans="10:10" ht="15.75" customHeight="1" x14ac:dyDescent="0.25">
      <c r="J860" s="724"/>
    </row>
    <row r="861" spans="10:10" ht="15.75" customHeight="1" x14ac:dyDescent="0.25">
      <c r="J861" s="724"/>
    </row>
    <row r="862" spans="10:10" ht="15.75" customHeight="1" x14ac:dyDescent="0.25">
      <c r="J862" s="724"/>
    </row>
    <row r="863" spans="10:10" ht="15.75" customHeight="1" x14ac:dyDescent="0.25">
      <c r="J863" s="724"/>
    </row>
    <row r="864" spans="10:10" ht="15.75" customHeight="1" x14ac:dyDescent="0.25">
      <c r="J864" s="724"/>
    </row>
    <row r="865" spans="10:10" ht="15.75" customHeight="1" x14ac:dyDescent="0.25">
      <c r="J865" s="724"/>
    </row>
    <row r="866" spans="10:10" ht="15.75" customHeight="1" x14ac:dyDescent="0.25">
      <c r="J866" s="724"/>
    </row>
    <row r="867" spans="10:10" ht="15.75" customHeight="1" x14ac:dyDescent="0.25">
      <c r="J867" s="724"/>
    </row>
    <row r="868" spans="10:10" ht="15.75" customHeight="1" x14ac:dyDescent="0.25">
      <c r="J868" s="724"/>
    </row>
    <row r="869" spans="10:10" ht="15.75" customHeight="1" x14ac:dyDescent="0.25">
      <c r="J869" s="724"/>
    </row>
    <row r="870" spans="10:10" ht="15.75" customHeight="1" x14ac:dyDescent="0.25">
      <c r="J870" s="724"/>
    </row>
    <row r="871" spans="10:10" ht="15.75" customHeight="1" x14ac:dyDescent="0.25">
      <c r="J871" s="724"/>
    </row>
    <row r="872" spans="10:10" ht="15.75" customHeight="1" x14ac:dyDescent="0.25">
      <c r="J872" s="724"/>
    </row>
    <row r="873" spans="10:10" ht="15.75" customHeight="1" x14ac:dyDescent="0.25">
      <c r="J873" s="724"/>
    </row>
    <row r="874" spans="10:10" ht="15.75" customHeight="1" x14ac:dyDescent="0.25">
      <c r="J874" s="724"/>
    </row>
    <row r="875" spans="10:10" ht="15.75" customHeight="1" x14ac:dyDescent="0.25">
      <c r="J875" s="724"/>
    </row>
    <row r="876" spans="10:10" ht="15.75" customHeight="1" x14ac:dyDescent="0.25">
      <c r="J876" s="724"/>
    </row>
    <row r="877" spans="10:10" ht="15.75" customHeight="1" x14ac:dyDescent="0.25">
      <c r="J877" s="724"/>
    </row>
    <row r="878" spans="10:10" ht="15.75" customHeight="1" x14ac:dyDescent="0.25">
      <c r="J878" s="724"/>
    </row>
    <row r="879" spans="10:10" ht="15.75" customHeight="1" x14ac:dyDescent="0.25">
      <c r="J879" s="724"/>
    </row>
    <row r="880" spans="10:10" ht="15.75" customHeight="1" x14ac:dyDescent="0.25">
      <c r="J880" s="724"/>
    </row>
    <row r="881" spans="10:10" ht="15.75" customHeight="1" x14ac:dyDescent="0.25">
      <c r="J881" s="724"/>
    </row>
    <row r="882" spans="10:10" ht="15.75" customHeight="1" x14ac:dyDescent="0.25">
      <c r="J882" s="724"/>
    </row>
    <row r="883" spans="10:10" ht="15.75" customHeight="1" x14ac:dyDescent="0.25">
      <c r="J883" s="724"/>
    </row>
    <row r="884" spans="10:10" ht="15.75" customHeight="1" x14ac:dyDescent="0.25">
      <c r="J884" s="724"/>
    </row>
    <row r="885" spans="10:10" ht="15.75" customHeight="1" x14ac:dyDescent="0.25">
      <c r="J885" s="724"/>
    </row>
    <row r="886" spans="10:10" ht="15.75" customHeight="1" x14ac:dyDescent="0.25">
      <c r="J886" s="724"/>
    </row>
    <row r="887" spans="10:10" ht="15.75" customHeight="1" x14ac:dyDescent="0.25">
      <c r="J887" s="724"/>
    </row>
    <row r="888" spans="10:10" ht="15.75" customHeight="1" x14ac:dyDescent="0.25">
      <c r="J888" s="724"/>
    </row>
    <row r="889" spans="10:10" ht="15.75" customHeight="1" x14ac:dyDescent="0.25">
      <c r="J889" s="724"/>
    </row>
    <row r="890" spans="10:10" ht="15.75" customHeight="1" x14ac:dyDescent="0.25">
      <c r="J890" s="724"/>
    </row>
    <row r="891" spans="10:10" ht="15.75" customHeight="1" x14ac:dyDescent="0.25">
      <c r="J891" s="724"/>
    </row>
    <row r="892" spans="10:10" ht="15.75" customHeight="1" x14ac:dyDescent="0.25">
      <c r="J892" s="724"/>
    </row>
    <row r="893" spans="10:10" ht="15.75" customHeight="1" x14ac:dyDescent="0.25">
      <c r="J893" s="724"/>
    </row>
    <row r="894" spans="10:10" ht="15.75" customHeight="1" x14ac:dyDescent="0.25">
      <c r="J894" s="724"/>
    </row>
    <row r="895" spans="10:10" ht="15.75" customHeight="1" x14ac:dyDescent="0.25">
      <c r="J895" s="724"/>
    </row>
    <row r="896" spans="10:10" ht="15.75" customHeight="1" x14ac:dyDescent="0.25">
      <c r="J896" s="724"/>
    </row>
    <row r="897" spans="10:10" ht="15.75" customHeight="1" x14ac:dyDescent="0.25">
      <c r="J897" s="724"/>
    </row>
    <row r="898" spans="10:10" ht="15.75" customHeight="1" x14ac:dyDescent="0.25">
      <c r="J898" s="724"/>
    </row>
    <row r="899" spans="10:10" ht="15.75" customHeight="1" x14ac:dyDescent="0.25">
      <c r="J899" s="724"/>
    </row>
    <row r="900" spans="10:10" ht="15.75" customHeight="1" x14ac:dyDescent="0.25">
      <c r="J900" s="724"/>
    </row>
    <row r="901" spans="10:10" ht="15.75" customHeight="1" x14ac:dyDescent="0.25">
      <c r="J901" s="724"/>
    </row>
    <row r="902" spans="10:10" ht="15.75" customHeight="1" x14ac:dyDescent="0.25">
      <c r="J902" s="724"/>
    </row>
    <row r="903" spans="10:10" ht="15.75" customHeight="1" x14ac:dyDescent="0.25">
      <c r="J903" s="724"/>
    </row>
    <row r="904" spans="10:10" ht="15.75" customHeight="1" x14ac:dyDescent="0.25">
      <c r="J904" s="724"/>
    </row>
    <row r="905" spans="10:10" ht="15.75" customHeight="1" x14ac:dyDescent="0.25">
      <c r="J905" s="724"/>
    </row>
    <row r="906" spans="10:10" ht="15.75" customHeight="1" x14ac:dyDescent="0.25">
      <c r="J906" s="724"/>
    </row>
    <row r="907" spans="10:10" ht="15.75" customHeight="1" x14ac:dyDescent="0.25">
      <c r="J907" s="724"/>
    </row>
    <row r="908" spans="10:10" ht="15.75" customHeight="1" x14ac:dyDescent="0.25">
      <c r="J908" s="724"/>
    </row>
    <row r="909" spans="10:10" ht="15.75" customHeight="1" x14ac:dyDescent="0.25">
      <c r="J909" s="724"/>
    </row>
    <row r="910" spans="10:10" ht="15.75" customHeight="1" x14ac:dyDescent="0.25">
      <c r="J910" s="724"/>
    </row>
    <row r="911" spans="10:10" ht="15.75" customHeight="1" x14ac:dyDescent="0.25">
      <c r="J911" s="724"/>
    </row>
    <row r="912" spans="10:10" ht="15.75" customHeight="1" x14ac:dyDescent="0.25">
      <c r="J912" s="724"/>
    </row>
    <row r="913" spans="10:10" ht="15.75" customHeight="1" x14ac:dyDescent="0.25">
      <c r="J913" s="724"/>
    </row>
  </sheetData>
  <mergeCells count="2">
    <mergeCell ref="D2:F2"/>
    <mergeCell ref="G2:I2"/>
  </mergeCells>
  <printOptions horizontalCentered="1"/>
  <pageMargins left="0.51181102362204722" right="0.31496062992125984" top="0.35433070866141736" bottom="0.35433070866141736" header="0" footer="0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U997"/>
  <sheetViews>
    <sheetView tabSelected="1" zoomScale="70" zoomScaleNormal="70" workbookViewId="0">
      <pane xSplit="6" ySplit="13" topLeftCell="G14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C19" sqref="C19"/>
    </sheetView>
  </sheetViews>
  <sheetFormatPr defaultColWidth="14.42578125" defaultRowHeight="15" customHeight="1" x14ac:dyDescent="0.25"/>
  <cols>
    <col min="1" max="1" width="13.85546875" style="228" bestFit="1" customWidth="1"/>
    <col min="2" max="2" width="6.28515625" style="228" customWidth="1"/>
    <col min="3" max="3" width="67.28515625" style="228" customWidth="1"/>
    <col min="4" max="4" width="10.140625" style="228" customWidth="1"/>
    <col min="5" max="5" width="14.140625" style="228" customWidth="1"/>
    <col min="6" max="6" width="12.85546875" style="228" customWidth="1"/>
    <col min="7" max="7" width="12" style="228" customWidth="1"/>
    <col min="8" max="8" width="13.28515625" style="228" customWidth="1"/>
    <col min="9" max="9" width="12.7109375" style="228" customWidth="1"/>
    <col min="10" max="10" width="12" style="228" customWidth="1"/>
    <col min="11" max="11" width="12.7109375" style="228" customWidth="1"/>
    <col min="12" max="12" width="11.28515625" style="228" customWidth="1"/>
    <col min="13" max="13" width="14.140625" style="228" customWidth="1"/>
    <col min="14" max="14" width="12.7109375" style="228" customWidth="1"/>
    <col min="15" max="21" width="9.140625" style="228" customWidth="1"/>
    <col min="22" max="16384" width="14.42578125" style="228"/>
  </cols>
  <sheetData>
    <row r="1" spans="1:21" ht="36" customHeight="1" x14ac:dyDescent="0.25">
      <c r="A1" s="220"/>
      <c r="B1" s="221"/>
      <c r="C1" s="222">
        <v>45992</v>
      </c>
      <c r="D1" s="223"/>
      <c r="E1" s="224"/>
      <c r="F1" s="225"/>
      <c r="G1" s="226"/>
      <c r="H1" s="226"/>
      <c r="I1" s="226"/>
      <c r="J1" s="226"/>
      <c r="K1" s="226"/>
      <c r="L1" s="226"/>
      <c r="M1" s="226"/>
      <c r="N1" s="226"/>
      <c r="O1" s="227"/>
      <c r="P1" s="227"/>
      <c r="Q1" s="227"/>
      <c r="R1" s="227"/>
      <c r="S1" s="227"/>
      <c r="T1" s="227"/>
      <c r="U1" s="227"/>
    </row>
    <row r="2" spans="1:21" ht="12" customHeight="1" x14ac:dyDescent="0.25">
      <c r="A2" s="229"/>
      <c r="B2" s="227"/>
      <c r="C2" s="220" t="s">
        <v>10</v>
      </c>
      <c r="D2" s="227"/>
      <c r="E2" s="227"/>
      <c r="F2" s="230"/>
      <c r="G2" s="231"/>
      <c r="H2" s="232"/>
      <c r="I2" s="233"/>
      <c r="J2" s="232"/>
      <c r="K2" s="233"/>
      <c r="L2" s="232"/>
      <c r="M2" s="233"/>
      <c r="N2" s="232"/>
      <c r="O2" s="227"/>
      <c r="P2" s="227"/>
      <c r="Q2" s="227"/>
      <c r="R2" s="227"/>
      <c r="S2" s="227"/>
      <c r="T2" s="227"/>
      <c r="U2" s="227"/>
    </row>
    <row r="3" spans="1:21" ht="12" customHeight="1" x14ac:dyDescent="0.25">
      <c r="A3" s="220"/>
      <c r="B3" s="227"/>
      <c r="C3" s="227"/>
      <c r="D3" s="221"/>
      <c r="E3" s="221" t="s">
        <v>11</v>
      </c>
      <c r="F3" s="230"/>
      <c r="G3" s="233"/>
      <c r="H3" s="232" t="s">
        <v>12</v>
      </c>
      <c r="I3" s="233"/>
      <c r="J3" s="232" t="s">
        <v>12</v>
      </c>
      <c r="K3" s="233"/>
      <c r="L3" s="232" t="s">
        <v>12</v>
      </c>
      <c r="M3" s="233"/>
      <c r="N3" s="232" t="s">
        <v>12</v>
      </c>
      <c r="O3" s="227"/>
      <c r="P3" s="227"/>
      <c r="Q3" s="227"/>
      <c r="R3" s="227"/>
      <c r="S3" s="227"/>
      <c r="T3" s="227"/>
      <c r="U3" s="227"/>
    </row>
    <row r="4" spans="1:21" ht="12" customHeight="1" x14ac:dyDescent="0.25">
      <c r="A4" s="234" t="s">
        <v>13</v>
      </c>
      <c r="B4" s="227"/>
      <c r="C4" s="227"/>
      <c r="D4" s="235"/>
      <c r="E4" s="235" t="s">
        <v>14</v>
      </c>
      <c r="F4" s="225"/>
      <c r="G4" s="235" t="s">
        <v>14</v>
      </c>
      <c r="H4" s="235"/>
      <c r="I4" s="235" t="s">
        <v>14</v>
      </c>
      <c r="J4" s="235"/>
      <c r="K4" s="235" t="s">
        <v>14</v>
      </c>
      <c r="L4" s="235"/>
      <c r="M4" s="235" t="s">
        <v>14</v>
      </c>
      <c r="N4" s="235"/>
      <c r="O4" s="227"/>
      <c r="P4" s="234" t="s">
        <v>13</v>
      </c>
      <c r="Q4" s="227"/>
      <c r="R4" s="227"/>
      <c r="S4" s="227"/>
      <c r="T4" s="227"/>
      <c r="U4" s="227"/>
    </row>
    <row r="5" spans="1:21" ht="12" customHeight="1" x14ac:dyDescent="0.25">
      <c r="A5" s="236"/>
      <c r="B5" s="236"/>
      <c r="C5" s="237"/>
      <c r="D5" s="238"/>
      <c r="E5" s="238" t="s">
        <v>15</v>
      </c>
      <c r="F5" s="239">
        <f>+'[1]LANDCO US$ CASH'!$F$9</f>
        <v>0</v>
      </c>
      <c r="G5" s="238" t="s">
        <v>15</v>
      </c>
      <c r="H5" s="240">
        <v>0</v>
      </c>
      <c r="I5" s="238" t="s">
        <v>15</v>
      </c>
      <c r="J5" s="240">
        <v>0</v>
      </c>
      <c r="K5" s="238" t="s">
        <v>15</v>
      </c>
      <c r="L5" s="240">
        <v>0</v>
      </c>
      <c r="M5" s="238" t="s">
        <v>15</v>
      </c>
      <c r="N5" s="240">
        <v>0</v>
      </c>
      <c r="O5" s="227"/>
      <c r="P5" s="236">
        <v>100</v>
      </c>
      <c r="Q5" s="236">
        <v>100</v>
      </c>
      <c r="R5" s="237">
        <f t="shared" ref="R5:R11" si="0">+P5*Q5</f>
        <v>10000</v>
      </c>
      <c r="S5" s="227"/>
      <c r="T5" s="227"/>
      <c r="U5" s="227"/>
    </row>
    <row r="6" spans="1:21" ht="12" customHeight="1" x14ac:dyDescent="0.25">
      <c r="A6" s="236"/>
      <c r="B6" s="236"/>
      <c r="C6" s="237"/>
      <c r="D6" s="238"/>
      <c r="E6" s="238" t="s">
        <v>16</v>
      </c>
      <c r="F6" s="239">
        <f>E46</f>
        <v>15125</v>
      </c>
      <c r="G6" s="238" t="s">
        <v>16</v>
      </c>
      <c r="H6" s="240">
        <f>G46</f>
        <v>0</v>
      </c>
      <c r="I6" s="238" t="s">
        <v>16</v>
      </c>
      <c r="J6" s="240">
        <f>I46</f>
        <v>0</v>
      </c>
      <c r="K6" s="238" t="s">
        <v>16</v>
      </c>
      <c r="L6" s="240">
        <f>K46</f>
        <v>0</v>
      </c>
      <c r="M6" s="238" t="s">
        <v>16</v>
      </c>
      <c r="N6" s="240">
        <f>M46</f>
        <v>0</v>
      </c>
      <c r="O6" s="227"/>
      <c r="P6" s="236">
        <v>50</v>
      </c>
      <c r="Q6" s="236">
        <v>6</v>
      </c>
      <c r="R6" s="237">
        <f t="shared" si="0"/>
        <v>300</v>
      </c>
      <c r="S6" s="227"/>
      <c r="T6" s="227"/>
      <c r="U6" s="227"/>
    </row>
    <row r="7" spans="1:21" ht="12" customHeight="1" x14ac:dyDescent="0.25">
      <c r="A7" s="236"/>
      <c r="B7" s="236"/>
      <c r="C7" s="237"/>
      <c r="D7" s="238"/>
      <c r="E7" s="238" t="s">
        <v>17</v>
      </c>
      <c r="F7" s="239">
        <f>+F5+F6</f>
        <v>15125</v>
      </c>
      <c r="G7" s="238" t="s">
        <v>17</v>
      </c>
      <c r="H7" s="240">
        <f>+H5+H6</f>
        <v>0</v>
      </c>
      <c r="I7" s="238" t="s">
        <v>17</v>
      </c>
      <c r="J7" s="240">
        <f>+J5+J6</f>
        <v>0</v>
      </c>
      <c r="K7" s="238" t="s">
        <v>17</v>
      </c>
      <c r="L7" s="240">
        <f>+L5+L6</f>
        <v>0</v>
      </c>
      <c r="M7" s="238" t="s">
        <v>17</v>
      </c>
      <c r="N7" s="240">
        <f>+N5+N6</f>
        <v>0</v>
      </c>
      <c r="O7" s="227"/>
      <c r="P7" s="236">
        <v>20</v>
      </c>
      <c r="Q7" s="236">
        <v>254</v>
      </c>
      <c r="R7" s="237">
        <f t="shared" si="0"/>
        <v>5080</v>
      </c>
      <c r="S7" s="227"/>
      <c r="T7" s="227"/>
      <c r="U7" s="227"/>
    </row>
    <row r="8" spans="1:21" ht="12" customHeight="1" x14ac:dyDescent="0.25">
      <c r="A8" s="236"/>
      <c r="B8" s="236"/>
      <c r="C8" s="237"/>
      <c r="D8" s="238"/>
      <c r="E8" s="238" t="s">
        <v>18</v>
      </c>
      <c r="F8" s="239">
        <f>F46</f>
        <v>15125</v>
      </c>
      <c r="G8" s="238" t="s">
        <v>18</v>
      </c>
      <c r="H8" s="240">
        <f>H46</f>
        <v>0</v>
      </c>
      <c r="I8" s="238" t="s">
        <v>18</v>
      </c>
      <c r="J8" s="240">
        <f>J46</f>
        <v>0</v>
      </c>
      <c r="K8" s="238" t="s">
        <v>18</v>
      </c>
      <c r="L8" s="240">
        <f>L46</f>
        <v>0</v>
      </c>
      <c r="M8" s="238" t="s">
        <v>18</v>
      </c>
      <c r="N8" s="240">
        <f>N46</f>
        <v>0</v>
      </c>
      <c r="O8" s="227"/>
      <c r="P8" s="236">
        <v>10</v>
      </c>
      <c r="Q8" s="236">
        <v>100</v>
      </c>
      <c r="R8" s="237">
        <f t="shared" si="0"/>
        <v>1000</v>
      </c>
      <c r="S8" s="227"/>
      <c r="T8" s="227"/>
      <c r="U8" s="227"/>
    </row>
    <row r="9" spans="1:21" ht="12" customHeight="1" x14ac:dyDescent="0.25">
      <c r="A9" s="236"/>
      <c r="B9" s="236"/>
      <c r="C9" s="237"/>
      <c r="D9" s="238"/>
      <c r="E9" s="238" t="s">
        <v>19</v>
      </c>
      <c r="F9" s="241">
        <f>+F7-F8</f>
        <v>0</v>
      </c>
      <c r="G9" s="238" t="s">
        <v>19</v>
      </c>
      <c r="H9" s="242">
        <f>+H7-H8</f>
        <v>0</v>
      </c>
      <c r="I9" s="238" t="s">
        <v>19</v>
      </c>
      <c r="J9" s="242">
        <f>+J7-J8</f>
        <v>0</v>
      </c>
      <c r="K9" s="238" t="s">
        <v>19</v>
      </c>
      <c r="L9" s="242">
        <f>+L7-L8</f>
        <v>0</v>
      </c>
      <c r="M9" s="238" t="s">
        <v>19</v>
      </c>
      <c r="N9" s="242">
        <f>+N7-N8</f>
        <v>0</v>
      </c>
      <c r="O9" s="227"/>
      <c r="P9" s="236">
        <v>5</v>
      </c>
      <c r="Q9" s="236">
        <v>0</v>
      </c>
      <c r="R9" s="237">
        <f t="shared" si="0"/>
        <v>0</v>
      </c>
      <c r="S9" s="227"/>
      <c r="T9" s="227"/>
      <c r="U9" s="227"/>
    </row>
    <row r="10" spans="1:21" ht="12" customHeight="1" x14ac:dyDescent="0.25">
      <c r="A10" s="236"/>
      <c r="B10" s="236"/>
      <c r="C10" s="237"/>
      <c r="D10" s="243"/>
      <c r="E10" s="244"/>
      <c r="F10" s="245"/>
      <c r="G10" s="227"/>
      <c r="H10" s="227"/>
      <c r="I10" s="227"/>
      <c r="J10" s="227"/>
      <c r="K10" s="227"/>
      <c r="L10" s="227"/>
      <c r="M10" s="227"/>
      <c r="N10" s="227"/>
      <c r="O10" s="227"/>
      <c r="P10" s="236">
        <v>2</v>
      </c>
      <c r="Q10" s="236">
        <v>0</v>
      </c>
      <c r="R10" s="237">
        <f t="shared" si="0"/>
        <v>0</v>
      </c>
      <c r="S10" s="227"/>
      <c r="T10" s="227"/>
      <c r="U10" s="227"/>
    </row>
    <row r="11" spans="1:21" ht="12" customHeight="1" x14ac:dyDescent="0.25">
      <c r="A11" s="236"/>
      <c r="B11" s="236"/>
      <c r="C11" s="237"/>
      <c r="D11" s="243"/>
      <c r="E11" s="244"/>
      <c r="F11" s="245"/>
      <c r="G11" s="227"/>
      <c r="H11" s="227"/>
      <c r="I11" s="227"/>
      <c r="J11" s="227"/>
      <c r="K11" s="227"/>
      <c r="L11" s="227"/>
      <c r="M11" s="227"/>
      <c r="N11" s="227"/>
      <c r="O11" s="227"/>
      <c r="P11" s="236">
        <v>1</v>
      </c>
      <c r="Q11" s="236">
        <v>1</v>
      </c>
      <c r="R11" s="237">
        <f t="shared" si="0"/>
        <v>1</v>
      </c>
      <c r="S11" s="227"/>
      <c r="T11" s="227"/>
      <c r="U11" s="227"/>
    </row>
    <row r="12" spans="1:21" ht="15.75" customHeight="1" x14ac:dyDescent="0.25">
      <c r="A12" s="246"/>
      <c r="B12" s="247"/>
      <c r="C12" s="248"/>
      <c r="D12" s="249">
        <f>+F9-C12</f>
        <v>0</v>
      </c>
      <c r="E12" s="250"/>
      <c r="F12" s="251"/>
      <c r="G12" s="252"/>
      <c r="H12" s="252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</row>
    <row r="13" spans="1:21" ht="27.75" customHeight="1" thickBot="1" x14ac:dyDescent="0.3">
      <c r="A13" s="229"/>
      <c r="B13" s="244"/>
      <c r="C13" s="253" t="s">
        <v>20</v>
      </c>
      <c r="D13" s="243"/>
      <c r="E13" s="238"/>
      <c r="F13" s="245"/>
      <c r="G13" s="866" t="s">
        <v>21</v>
      </c>
      <c r="H13" s="867"/>
      <c r="I13" s="866" t="s">
        <v>22</v>
      </c>
      <c r="J13" s="867"/>
      <c r="K13" s="866" t="s">
        <v>23</v>
      </c>
      <c r="L13" s="867"/>
      <c r="M13" s="866" t="s">
        <v>21</v>
      </c>
      <c r="N13" s="867"/>
      <c r="O13" s="227"/>
      <c r="P13" s="227"/>
      <c r="Q13" s="227"/>
      <c r="R13" s="227"/>
      <c r="S13" s="227"/>
      <c r="T13" s="227"/>
      <c r="U13" s="227"/>
    </row>
    <row r="14" spans="1:21" ht="12.75" customHeight="1" x14ac:dyDescent="0.25">
      <c r="A14" s="229"/>
      <c r="B14" s="244"/>
      <c r="C14" s="253"/>
      <c r="D14" s="254"/>
      <c r="E14" s="868" t="s">
        <v>24</v>
      </c>
      <c r="F14" s="869"/>
      <c r="G14" s="872" t="s">
        <v>25</v>
      </c>
      <c r="H14" s="873"/>
      <c r="I14" s="874" t="s">
        <v>26</v>
      </c>
      <c r="J14" s="873"/>
      <c r="K14" s="875" t="s">
        <v>27</v>
      </c>
      <c r="L14" s="873"/>
      <c r="M14" s="876" t="s">
        <v>28</v>
      </c>
      <c r="N14" s="873"/>
      <c r="O14" s="227"/>
      <c r="P14" s="227"/>
      <c r="Q14" s="227"/>
      <c r="R14" s="227"/>
      <c r="S14" s="227"/>
      <c r="T14" s="227"/>
      <c r="U14" s="227"/>
    </row>
    <row r="15" spans="1:21" ht="12.75" customHeight="1" thickBot="1" x14ac:dyDescent="0.3">
      <c r="A15" s="229"/>
      <c r="B15" s="227"/>
      <c r="C15" s="253" t="s">
        <v>29</v>
      </c>
      <c r="D15" s="243"/>
      <c r="E15" s="870"/>
      <c r="F15" s="871"/>
      <c r="G15" s="877" t="s">
        <v>5</v>
      </c>
      <c r="H15" s="878"/>
      <c r="I15" s="879" t="s">
        <v>6</v>
      </c>
      <c r="J15" s="878"/>
      <c r="K15" s="255" t="s">
        <v>7</v>
      </c>
      <c r="L15" s="256"/>
      <c r="M15" s="880" t="s">
        <v>8</v>
      </c>
      <c r="N15" s="878"/>
      <c r="O15" s="227"/>
      <c r="P15" s="227"/>
      <c r="Q15" s="227"/>
      <c r="R15" s="227"/>
      <c r="S15" s="227"/>
      <c r="T15" s="227"/>
      <c r="U15" s="227"/>
    </row>
    <row r="16" spans="1:21" ht="16.5" customHeight="1" x14ac:dyDescent="0.25">
      <c r="A16" s="257" t="s">
        <v>1</v>
      </c>
      <c r="B16" s="258" t="s">
        <v>2</v>
      </c>
      <c r="C16" s="258" t="s">
        <v>30</v>
      </c>
      <c r="D16" s="259" t="s">
        <v>31</v>
      </c>
      <c r="E16" s="260" t="s">
        <v>32</v>
      </c>
      <c r="F16" s="261" t="s">
        <v>33</v>
      </c>
      <c r="G16" s="262" t="s">
        <v>32</v>
      </c>
      <c r="H16" s="263" t="s">
        <v>33</v>
      </c>
      <c r="I16" s="264" t="s">
        <v>32</v>
      </c>
      <c r="J16" s="265" t="s">
        <v>33</v>
      </c>
      <c r="K16" s="266" t="s">
        <v>32</v>
      </c>
      <c r="L16" s="267" t="s">
        <v>33</v>
      </c>
      <c r="M16" s="268" t="s">
        <v>32</v>
      </c>
      <c r="N16" s="269" t="s">
        <v>33</v>
      </c>
      <c r="O16" s="227"/>
      <c r="P16" s="227"/>
      <c r="Q16" s="227"/>
      <c r="R16" s="227"/>
      <c r="S16" s="227"/>
      <c r="T16" s="227"/>
      <c r="U16" s="227"/>
    </row>
    <row r="17" spans="1:21" ht="19.5" customHeight="1" x14ac:dyDescent="0.25">
      <c r="A17" s="270"/>
      <c r="B17" s="271"/>
      <c r="C17" s="340"/>
      <c r="D17" s="272"/>
      <c r="E17" s="273"/>
      <c r="F17" s="274"/>
      <c r="G17" s="275"/>
      <c r="H17" s="276"/>
      <c r="I17" s="277"/>
      <c r="J17" s="278"/>
      <c r="K17" s="279"/>
      <c r="L17" s="280"/>
      <c r="M17" s="281"/>
      <c r="N17" s="282"/>
      <c r="O17" s="283"/>
      <c r="P17" s="227"/>
      <c r="Q17" s="227"/>
      <c r="R17" s="227"/>
      <c r="S17" s="227"/>
      <c r="T17" s="227"/>
      <c r="U17" s="227"/>
    </row>
    <row r="18" spans="1:21" ht="19.5" customHeight="1" x14ac:dyDescent="0.25">
      <c r="A18" s="270">
        <v>46020</v>
      </c>
      <c r="B18" s="271"/>
      <c r="C18" s="852" t="s">
        <v>258</v>
      </c>
      <c r="D18" s="272" t="s">
        <v>5</v>
      </c>
      <c r="E18" s="273">
        <v>3000</v>
      </c>
      <c r="F18" s="274"/>
      <c r="G18" s="275"/>
      <c r="H18" s="276"/>
      <c r="I18" s="277"/>
      <c r="J18" s="278"/>
      <c r="K18" s="279"/>
      <c r="L18" s="280"/>
      <c r="M18" s="281"/>
      <c r="N18" s="282"/>
      <c r="O18" s="283"/>
      <c r="P18" s="227"/>
      <c r="Q18" s="227"/>
      <c r="R18" s="227"/>
      <c r="S18" s="227"/>
      <c r="T18" s="227"/>
      <c r="U18" s="227"/>
    </row>
    <row r="19" spans="1:21" ht="19.5" customHeight="1" x14ac:dyDescent="0.25">
      <c r="A19" s="270">
        <v>46020</v>
      </c>
      <c r="B19" s="285"/>
      <c r="C19" s="285" t="s">
        <v>241</v>
      </c>
      <c r="D19" s="272" t="s">
        <v>5</v>
      </c>
      <c r="E19" s="273"/>
      <c r="F19" s="274">
        <v>3000</v>
      </c>
      <c r="G19" s="275"/>
      <c r="H19" s="276"/>
      <c r="I19" s="277"/>
      <c r="J19" s="278"/>
      <c r="K19" s="279"/>
      <c r="L19" s="280"/>
      <c r="M19" s="281"/>
      <c r="N19" s="282"/>
      <c r="O19" s="283"/>
      <c r="P19" s="227"/>
      <c r="Q19" s="227"/>
      <c r="R19" s="227"/>
      <c r="S19" s="227"/>
      <c r="T19" s="227"/>
      <c r="U19" s="227"/>
    </row>
    <row r="20" spans="1:21" ht="19.5" customHeight="1" x14ac:dyDescent="0.25">
      <c r="A20" s="284">
        <v>46045</v>
      </c>
      <c r="B20" s="285"/>
      <c r="C20" s="285" t="s">
        <v>292</v>
      </c>
      <c r="D20" s="272" t="s">
        <v>5</v>
      </c>
      <c r="E20" s="273">
        <f>13500-1375</f>
        <v>12125</v>
      </c>
      <c r="F20" s="274"/>
      <c r="G20" s="275"/>
      <c r="H20" s="276"/>
      <c r="I20" s="277"/>
      <c r="J20" s="278"/>
      <c r="K20" s="279"/>
      <c r="L20" s="280"/>
      <c r="M20" s="281"/>
      <c r="N20" s="282"/>
      <c r="O20" s="283"/>
      <c r="P20" s="227"/>
      <c r="Q20" s="227"/>
      <c r="R20" s="227"/>
      <c r="S20" s="227"/>
      <c r="T20" s="227"/>
      <c r="U20" s="227"/>
    </row>
    <row r="21" spans="1:21" ht="19.5" customHeight="1" x14ac:dyDescent="0.25">
      <c r="A21" s="284">
        <v>46046</v>
      </c>
      <c r="B21" s="285"/>
      <c r="C21" s="285" t="s">
        <v>241</v>
      </c>
      <c r="D21" s="272" t="s">
        <v>5</v>
      </c>
      <c r="E21" s="273"/>
      <c r="F21" s="274">
        <v>12125</v>
      </c>
      <c r="G21" s="275"/>
      <c r="H21" s="276"/>
      <c r="I21" s="277"/>
      <c r="J21" s="278"/>
      <c r="K21" s="279"/>
      <c r="L21" s="280"/>
      <c r="M21" s="281"/>
      <c r="N21" s="282"/>
      <c r="O21" s="283"/>
      <c r="P21" s="227"/>
      <c r="Q21" s="227"/>
      <c r="R21" s="227"/>
      <c r="S21" s="227"/>
      <c r="T21" s="227"/>
      <c r="U21" s="227"/>
    </row>
    <row r="22" spans="1:21" ht="19.5" customHeight="1" x14ac:dyDescent="0.25">
      <c r="A22" s="284"/>
      <c r="B22" s="285"/>
      <c r="C22" s="285"/>
      <c r="D22" s="272"/>
      <c r="E22" s="273"/>
      <c r="F22" s="274"/>
      <c r="G22" s="275"/>
      <c r="H22" s="276"/>
      <c r="I22" s="277"/>
      <c r="J22" s="278"/>
      <c r="K22" s="279"/>
      <c r="L22" s="280"/>
      <c r="M22" s="281"/>
      <c r="N22" s="282"/>
      <c r="O22" s="283"/>
      <c r="P22" s="227"/>
      <c r="Q22" s="227"/>
      <c r="R22" s="227"/>
      <c r="S22" s="227"/>
      <c r="T22" s="227"/>
      <c r="U22" s="227"/>
    </row>
    <row r="23" spans="1:21" ht="19.5" customHeight="1" x14ac:dyDescent="0.25">
      <c r="A23" s="286"/>
      <c r="B23" s="287"/>
      <c r="C23" s="287"/>
      <c r="D23" s="272"/>
      <c r="E23" s="273"/>
      <c r="F23" s="274"/>
      <c r="G23" s="275"/>
      <c r="H23" s="276"/>
      <c r="I23" s="277"/>
      <c r="J23" s="278"/>
      <c r="K23" s="279"/>
      <c r="L23" s="280"/>
      <c r="M23" s="281"/>
      <c r="N23" s="282"/>
      <c r="O23" s="283"/>
      <c r="P23" s="227"/>
      <c r="Q23" s="227"/>
      <c r="R23" s="227"/>
      <c r="S23" s="227"/>
      <c r="T23" s="227"/>
      <c r="U23" s="227"/>
    </row>
    <row r="24" spans="1:21" ht="19.5" customHeight="1" x14ac:dyDescent="0.25">
      <c r="A24" s="284"/>
      <c r="B24" s="285"/>
      <c r="C24" s="285"/>
      <c r="D24" s="272"/>
      <c r="E24" s="273"/>
      <c r="F24" s="274"/>
      <c r="G24" s="275"/>
      <c r="H24" s="276"/>
      <c r="I24" s="277"/>
      <c r="J24" s="278"/>
      <c r="K24" s="279"/>
      <c r="L24" s="280"/>
      <c r="M24" s="281"/>
      <c r="N24" s="282"/>
      <c r="O24" s="283"/>
      <c r="P24" s="227"/>
      <c r="Q24" s="227"/>
      <c r="R24" s="227"/>
      <c r="S24" s="227"/>
      <c r="T24" s="227"/>
      <c r="U24" s="227"/>
    </row>
    <row r="25" spans="1:21" ht="19.5" customHeight="1" x14ac:dyDescent="0.25">
      <c r="A25" s="284"/>
      <c r="B25" s="285"/>
      <c r="C25" s="285"/>
      <c r="D25" s="272"/>
      <c r="E25" s="273"/>
      <c r="F25" s="274"/>
      <c r="G25" s="275"/>
      <c r="H25" s="276"/>
      <c r="I25" s="277"/>
      <c r="J25" s="278"/>
      <c r="K25" s="279"/>
      <c r="L25" s="280"/>
      <c r="M25" s="281"/>
      <c r="N25" s="282"/>
      <c r="O25" s="283"/>
      <c r="P25" s="227"/>
      <c r="Q25" s="227"/>
      <c r="R25" s="227"/>
      <c r="S25" s="227"/>
      <c r="T25" s="227"/>
      <c r="U25" s="227"/>
    </row>
    <row r="26" spans="1:21" ht="19.5" customHeight="1" x14ac:dyDescent="0.25">
      <c r="A26" s="284"/>
      <c r="B26" s="285"/>
      <c r="C26" s="285"/>
      <c r="D26" s="272"/>
      <c r="E26" s="273"/>
      <c r="F26" s="274"/>
      <c r="G26" s="275"/>
      <c r="H26" s="276"/>
      <c r="I26" s="277"/>
      <c r="J26" s="278"/>
      <c r="K26" s="279"/>
      <c r="L26" s="280"/>
      <c r="M26" s="281"/>
      <c r="N26" s="282"/>
      <c r="O26" s="283"/>
      <c r="P26" s="227"/>
      <c r="Q26" s="227"/>
      <c r="R26" s="227"/>
      <c r="S26" s="227"/>
      <c r="T26" s="227"/>
      <c r="U26" s="227"/>
    </row>
    <row r="27" spans="1:21" ht="19.5" customHeight="1" x14ac:dyDescent="0.25">
      <c r="A27" s="284"/>
      <c r="B27" s="285"/>
      <c r="C27" s="285"/>
      <c r="D27" s="272"/>
      <c r="E27" s="273"/>
      <c r="F27" s="274"/>
      <c r="G27" s="275"/>
      <c r="H27" s="276"/>
      <c r="I27" s="277"/>
      <c r="J27" s="278"/>
      <c r="K27" s="279"/>
      <c r="L27" s="280"/>
      <c r="M27" s="281"/>
      <c r="N27" s="282"/>
      <c r="O27" s="283"/>
      <c r="P27" s="227"/>
      <c r="Q27" s="227"/>
      <c r="R27" s="227"/>
      <c r="S27" s="227"/>
      <c r="T27" s="227"/>
      <c r="U27" s="227"/>
    </row>
    <row r="28" spans="1:21" ht="19.5" customHeight="1" x14ac:dyDescent="0.25">
      <c r="A28" s="284"/>
      <c r="B28" s="285"/>
      <c r="C28" s="285"/>
      <c r="D28" s="272"/>
      <c r="E28" s="273"/>
      <c r="F28" s="274"/>
      <c r="G28" s="275">
        <f t="shared" ref="G28:G44" si="1">IF($D28="LC",$E28/4,IF($D28=$G$15,$E28,0))</f>
        <v>0</v>
      </c>
      <c r="H28" s="276">
        <f t="shared" ref="H28:H44" si="2">IF($D28="LC",$F28/4,IF($D28=$G$15,$F28,0))</f>
        <v>0</v>
      </c>
      <c r="I28" s="277">
        <f t="shared" ref="I28:I44" si="3">IF($D28="LC",$E28/4,IF($D28=$I$15,$E28,0))</f>
        <v>0</v>
      </c>
      <c r="J28" s="278">
        <f t="shared" ref="J28:J44" si="4">IF($D28="LC",$F28/4,IF($D28=$I$15,$F28,0))</f>
        <v>0</v>
      </c>
      <c r="K28" s="279">
        <f t="shared" ref="K28:K44" si="5">IF($D28="LC",$E28/4,IF($D28=$K$15,$E28,0))</f>
        <v>0</v>
      </c>
      <c r="L28" s="280">
        <f t="shared" ref="L28:L44" si="6">IF($D28="LC",$F28/4,IF($D28=$K$15,$F28,0))</f>
        <v>0</v>
      </c>
      <c r="M28" s="281">
        <f t="shared" ref="M28:M44" si="7">IF($D28="LC",$E28/4,IF($D28=$M$15,$E28,0))</f>
        <v>0</v>
      </c>
      <c r="N28" s="282">
        <f t="shared" ref="N28:N44" si="8">IF($D28="LC",$F28/4,IF($D28=$M$15,$F28,0))</f>
        <v>0</v>
      </c>
      <c r="O28" s="227"/>
      <c r="P28" s="227"/>
      <c r="Q28" s="227"/>
      <c r="R28" s="227"/>
      <c r="S28" s="227"/>
      <c r="T28" s="227"/>
      <c r="U28" s="227"/>
    </row>
    <row r="29" spans="1:21" ht="19.5" customHeight="1" x14ac:dyDescent="0.25">
      <c r="A29" s="284"/>
      <c r="B29" s="285"/>
      <c r="C29" s="285"/>
      <c r="D29" s="272"/>
      <c r="E29" s="273"/>
      <c r="F29" s="274"/>
      <c r="G29" s="275">
        <f t="shared" si="1"/>
        <v>0</v>
      </c>
      <c r="H29" s="276">
        <f t="shared" si="2"/>
        <v>0</v>
      </c>
      <c r="I29" s="277">
        <f t="shared" si="3"/>
        <v>0</v>
      </c>
      <c r="J29" s="278">
        <f t="shared" si="4"/>
        <v>0</v>
      </c>
      <c r="K29" s="279">
        <f t="shared" si="5"/>
        <v>0</v>
      </c>
      <c r="L29" s="280">
        <f t="shared" si="6"/>
        <v>0</v>
      </c>
      <c r="M29" s="281">
        <f t="shared" si="7"/>
        <v>0</v>
      </c>
      <c r="N29" s="282">
        <f t="shared" si="8"/>
        <v>0</v>
      </c>
      <c r="O29" s="227"/>
      <c r="P29" s="227"/>
      <c r="Q29" s="227"/>
      <c r="R29" s="227"/>
      <c r="S29" s="227"/>
      <c r="T29" s="227"/>
      <c r="U29" s="227"/>
    </row>
    <row r="30" spans="1:21" ht="19.5" customHeight="1" x14ac:dyDescent="0.25">
      <c r="A30" s="288"/>
      <c r="B30" s="289"/>
      <c r="C30" s="289"/>
      <c r="D30" s="290"/>
      <c r="E30" s="291"/>
      <c r="F30" s="292"/>
      <c r="G30" s="293">
        <f t="shared" si="1"/>
        <v>0</v>
      </c>
      <c r="H30" s="294">
        <f t="shared" si="2"/>
        <v>0</v>
      </c>
      <c r="I30" s="295">
        <f t="shared" si="3"/>
        <v>0</v>
      </c>
      <c r="J30" s="296">
        <f t="shared" si="4"/>
        <v>0</v>
      </c>
      <c r="K30" s="297">
        <f t="shared" si="5"/>
        <v>0</v>
      </c>
      <c r="L30" s="298">
        <f t="shared" si="6"/>
        <v>0</v>
      </c>
      <c r="M30" s="299">
        <f t="shared" si="7"/>
        <v>0</v>
      </c>
      <c r="N30" s="282">
        <f t="shared" si="8"/>
        <v>0</v>
      </c>
      <c r="O30" s="227"/>
      <c r="P30" s="227"/>
      <c r="Q30" s="227"/>
      <c r="R30" s="227"/>
      <c r="S30" s="227"/>
      <c r="T30" s="227"/>
      <c r="U30" s="227"/>
    </row>
    <row r="31" spans="1:21" ht="19.5" customHeight="1" x14ac:dyDescent="0.25">
      <c r="A31" s="300"/>
      <c r="B31" s="289"/>
      <c r="C31" s="289"/>
      <c r="D31" s="290"/>
      <c r="E31" s="291"/>
      <c r="F31" s="292"/>
      <c r="G31" s="293">
        <f t="shared" si="1"/>
        <v>0</v>
      </c>
      <c r="H31" s="294">
        <f t="shared" si="2"/>
        <v>0</v>
      </c>
      <c r="I31" s="295">
        <f t="shared" si="3"/>
        <v>0</v>
      </c>
      <c r="J31" s="296">
        <f t="shared" si="4"/>
        <v>0</v>
      </c>
      <c r="K31" s="297">
        <f t="shared" si="5"/>
        <v>0</v>
      </c>
      <c r="L31" s="298">
        <f t="shared" si="6"/>
        <v>0</v>
      </c>
      <c r="M31" s="299">
        <f t="shared" si="7"/>
        <v>0</v>
      </c>
      <c r="N31" s="282">
        <f t="shared" si="8"/>
        <v>0</v>
      </c>
      <c r="O31" s="227"/>
      <c r="P31" s="227"/>
      <c r="Q31" s="227"/>
      <c r="R31" s="227"/>
      <c r="S31" s="227"/>
      <c r="T31" s="227"/>
      <c r="U31" s="227"/>
    </row>
    <row r="32" spans="1:21" ht="19.5" customHeight="1" x14ac:dyDescent="0.25">
      <c r="A32" s="300"/>
      <c r="B32" s="289"/>
      <c r="C32" s="289"/>
      <c r="D32" s="290"/>
      <c r="E32" s="291"/>
      <c r="F32" s="292"/>
      <c r="G32" s="293">
        <f t="shared" si="1"/>
        <v>0</v>
      </c>
      <c r="H32" s="294">
        <f t="shared" si="2"/>
        <v>0</v>
      </c>
      <c r="I32" s="295">
        <f t="shared" si="3"/>
        <v>0</v>
      </c>
      <c r="J32" s="296">
        <f t="shared" si="4"/>
        <v>0</v>
      </c>
      <c r="K32" s="297">
        <f t="shared" si="5"/>
        <v>0</v>
      </c>
      <c r="L32" s="298">
        <f t="shared" si="6"/>
        <v>0</v>
      </c>
      <c r="M32" s="299">
        <f t="shared" si="7"/>
        <v>0</v>
      </c>
      <c r="N32" s="282">
        <f t="shared" si="8"/>
        <v>0</v>
      </c>
      <c r="O32" s="227"/>
      <c r="P32" s="227"/>
      <c r="Q32" s="227"/>
      <c r="R32" s="227"/>
      <c r="S32" s="227"/>
      <c r="T32" s="227"/>
      <c r="U32" s="227"/>
    </row>
    <row r="33" spans="1:21" ht="19.5" customHeight="1" x14ac:dyDescent="0.25">
      <c r="A33" s="300"/>
      <c r="B33" s="289"/>
      <c r="C33" s="289"/>
      <c r="D33" s="290"/>
      <c r="E33" s="291"/>
      <c r="F33" s="292"/>
      <c r="G33" s="293">
        <f t="shared" si="1"/>
        <v>0</v>
      </c>
      <c r="H33" s="294">
        <f t="shared" si="2"/>
        <v>0</v>
      </c>
      <c r="I33" s="295">
        <f t="shared" si="3"/>
        <v>0</v>
      </c>
      <c r="J33" s="296">
        <f t="shared" si="4"/>
        <v>0</v>
      </c>
      <c r="K33" s="297">
        <f t="shared" si="5"/>
        <v>0</v>
      </c>
      <c r="L33" s="298">
        <f t="shared" si="6"/>
        <v>0</v>
      </c>
      <c r="M33" s="299">
        <f t="shared" si="7"/>
        <v>0</v>
      </c>
      <c r="N33" s="282">
        <f t="shared" si="8"/>
        <v>0</v>
      </c>
      <c r="O33" s="227"/>
      <c r="P33" s="227"/>
      <c r="Q33" s="227"/>
      <c r="R33" s="227"/>
      <c r="S33" s="227"/>
      <c r="T33" s="227"/>
      <c r="U33" s="227"/>
    </row>
    <row r="34" spans="1:21" ht="19.5" customHeight="1" x14ac:dyDescent="0.25">
      <c r="A34" s="300"/>
      <c r="B34" s="289"/>
      <c r="C34" s="289"/>
      <c r="D34" s="290"/>
      <c r="E34" s="291"/>
      <c r="F34" s="292"/>
      <c r="G34" s="293">
        <f t="shared" si="1"/>
        <v>0</v>
      </c>
      <c r="H34" s="294">
        <f t="shared" si="2"/>
        <v>0</v>
      </c>
      <c r="I34" s="295">
        <f t="shared" si="3"/>
        <v>0</v>
      </c>
      <c r="J34" s="296">
        <f t="shared" si="4"/>
        <v>0</v>
      </c>
      <c r="K34" s="297">
        <f t="shared" si="5"/>
        <v>0</v>
      </c>
      <c r="L34" s="298">
        <f t="shared" si="6"/>
        <v>0</v>
      </c>
      <c r="M34" s="299">
        <f t="shared" si="7"/>
        <v>0</v>
      </c>
      <c r="N34" s="282">
        <f t="shared" si="8"/>
        <v>0</v>
      </c>
      <c r="O34" s="227"/>
      <c r="P34" s="227"/>
      <c r="Q34" s="227"/>
      <c r="R34" s="227"/>
      <c r="S34" s="227"/>
      <c r="T34" s="227"/>
      <c r="U34" s="227"/>
    </row>
    <row r="35" spans="1:21" ht="19.5" customHeight="1" x14ac:dyDescent="0.25">
      <c r="A35" s="300"/>
      <c r="B35" s="289"/>
      <c r="C35" s="289"/>
      <c r="D35" s="301"/>
      <c r="E35" s="291"/>
      <c r="F35" s="292"/>
      <c r="G35" s="293">
        <f t="shared" si="1"/>
        <v>0</v>
      </c>
      <c r="H35" s="294">
        <f t="shared" si="2"/>
        <v>0</v>
      </c>
      <c r="I35" s="295">
        <f t="shared" si="3"/>
        <v>0</v>
      </c>
      <c r="J35" s="296">
        <f t="shared" si="4"/>
        <v>0</v>
      </c>
      <c r="K35" s="297">
        <f t="shared" si="5"/>
        <v>0</v>
      </c>
      <c r="L35" s="298">
        <f t="shared" si="6"/>
        <v>0</v>
      </c>
      <c r="M35" s="299">
        <f t="shared" si="7"/>
        <v>0</v>
      </c>
      <c r="N35" s="282">
        <f t="shared" si="8"/>
        <v>0</v>
      </c>
      <c r="O35" s="227"/>
      <c r="P35" s="227"/>
      <c r="Q35" s="227"/>
      <c r="R35" s="227"/>
      <c r="S35" s="227"/>
      <c r="T35" s="227"/>
      <c r="U35" s="227"/>
    </row>
    <row r="36" spans="1:21" ht="19.5" customHeight="1" x14ac:dyDescent="0.25">
      <c r="A36" s="300"/>
      <c r="B36" s="289"/>
      <c r="C36" s="289"/>
      <c r="D36" s="301"/>
      <c r="E36" s="291"/>
      <c r="F36" s="292"/>
      <c r="G36" s="293">
        <f t="shared" si="1"/>
        <v>0</v>
      </c>
      <c r="H36" s="294">
        <f t="shared" si="2"/>
        <v>0</v>
      </c>
      <c r="I36" s="295">
        <f t="shared" si="3"/>
        <v>0</v>
      </c>
      <c r="J36" s="296">
        <f t="shared" si="4"/>
        <v>0</v>
      </c>
      <c r="K36" s="297">
        <f t="shared" si="5"/>
        <v>0</v>
      </c>
      <c r="L36" s="298">
        <f t="shared" si="6"/>
        <v>0</v>
      </c>
      <c r="M36" s="299">
        <f t="shared" si="7"/>
        <v>0</v>
      </c>
      <c r="N36" s="282">
        <f t="shared" si="8"/>
        <v>0</v>
      </c>
      <c r="O36" s="227"/>
      <c r="P36" s="227"/>
      <c r="Q36" s="227"/>
      <c r="R36" s="227"/>
      <c r="S36" s="227"/>
      <c r="T36" s="227"/>
      <c r="U36" s="227"/>
    </row>
    <row r="37" spans="1:21" ht="19.5" customHeight="1" x14ac:dyDescent="0.25">
      <c r="A37" s="300"/>
      <c r="B37" s="289"/>
      <c r="C37" s="289"/>
      <c r="D37" s="301"/>
      <c r="E37" s="291"/>
      <c r="F37" s="292"/>
      <c r="G37" s="293">
        <f t="shared" si="1"/>
        <v>0</v>
      </c>
      <c r="H37" s="294">
        <f t="shared" si="2"/>
        <v>0</v>
      </c>
      <c r="I37" s="295">
        <f t="shared" si="3"/>
        <v>0</v>
      </c>
      <c r="J37" s="296">
        <f t="shared" si="4"/>
        <v>0</v>
      </c>
      <c r="K37" s="297">
        <f t="shared" si="5"/>
        <v>0</v>
      </c>
      <c r="L37" s="298">
        <f t="shared" si="6"/>
        <v>0</v>
      </c>
      <c r="M37" s="299">
        <f t="shared" si="7"/>
        <v>0</v>
      </c>
      <c r="N37" s="282">
        <f t="shared" si="8"/>
        <v>0</v>
      </c>
      <c r="O37" s="227"/>
      <c r="P37" s="227"/>
      <c r="Q37" s="227"/>
      <c r="R37" s="227"/>
      <c r="S37" s="227"/>
      <c r="T37" s="227"/>
      <c r="U37" s="227"/>
    </row>
    <row r="38" spans="1:21" ht="19.5" customHeight="1" x14ac:dyDescent="0.25">
      <c r="A38" s="300"/>
      <c r="B38" s="289"/>
      <c r="C38" s="289"/>
      <c r="D38" s="301"/>
      <c r="E38" s="291"/>
      <c r="F38" s="292"/>
      <c r="G38" s="293">
        <f t="shared" si="1"/>
        <v>0</v>
      </c>
      <c r="H38" s="294">
        <f t="shared" si="2"/>
        <v>0</v>
      </c>
      <c r="I38" s="295">
        <f t="shared" si="3"/>
        <v>0</v>
      </c>
      <c r="J38" s="296">
        <f t="shared" si="4"/>
        <v>0</v>
      </c>
      <c r="K38" s="297">
        <f t="shared" si="5"/>
        <v>0</v>
      </c>
      <c r="L38" s="298">
        <f t="shared" si="6"/>
        <v>0</v>
      </c>
      <c r="M38" s="299">
        <f t="shared" si="7"/>
        <v>0</v>
      </c>
      <c r="N38" s="282">
        <f t="shared" si="8"/>
        <v>0</v>
      </c>
      <c r="O38" s="227"/>
      <c r="P38" s="227"/>
      <c r="Q38" s="227"/>
      <c r="R38" s="227"/>
      <c r="S38" s="227"/>
      <c r="T38" s="227"/>
      <c r="U38" s="227"/>
    </row>
    <row r="39" spans="1:21" ht="19.5" customHeight="1" x14ac:dyDescent="0.25">
      <c r="A39" s="300"/>
      <c r="B39" s="289"/>
      <c r="C39" s="289"/>
      <c r="D39" s="301"/>
      <c r="E39" s="291"/>
      <c r="F39" s="292"/>
      <c r="G39" s="293">
        <f t="shared" si="1"/>
        <v>0</v>
      </c>
      <c r="H39" s="294">
        <f t="shared" si="2"/>
        <v>0</v>
      </c>
      <c r="I39" s="295">
        <f t="shared" si="3"/>
        <v>0</v>
      </c>
      <c r="J39" s="296">
        <f t="shared" si="4"/>
        <v>0</v>
      </c>
      <c r="K39" s="297">
        <f t="shared" si="5"/>
        <v>0</v>
      </c>
      <c r="L39" s="298">
        <f t="shared" si="6"/>
        <v>0</v>
      </c>
      <c r="M39" s="299">
        <f t="shared" si="7"/>
        <v>0</v>
      </c>
      <c r="N39" s="282">
        <f t="shared" si="8"/>
        <v>0</v>
      </c>
      <c r="O39" s="227"/>
      <c r="P39" s="227"/>
      <c r="Q39" s="227"/>
      <c r="R39" s="227"/>
      <c r="S39" s="227"/>
      <c r="T39" s="227"/>
      <c r="U39" s="227"/>
    </row>
    <row r="40" spans="1:21" ht="19.5" customHeight="1" x14ac:dyDescent="0.25">
      <c r="A40" s="300"/>
      <c r="B40" s="289"/>
      <c r="C40" s="289"/>
      <c r="D40" s="301"/>
      <c r="E40" s="291"/>
      <c r="F40" s="292"/>
      <c r="G40" s="293">
        <f t="shared" si="1"/>
        <v>0</v>
      </c>
      <c r="H40" s="294">
        <f t="shared" si="2"/>
        <v>0</v>
      </c>
      <c r="I40" s="295">
        <f t="shared" si="3"/>
        <v>0</v>
      </c>
      <c r="J40" s="296">
        <f t="shared" si="4"/>
        <v>0</v>
      </c>
      <c r="K40" s="297">
        <f t="shared" si="5"/>
        <v>0</v>
      </c>
      <c r="L40" s="298">
        <f t="shared" si="6"/>
        <v>0</v>
      </c>
      <c r="M40" s="299">
        <f t="shared" si="7"/>
        <v>0</v>
      </c>
      <c r="N40" s="282">
        <f t="shared" si="8"/>
        <v>0</v>
      </c>
      <c r="O40" s="227"/>
      <c r="P40" s="227"/>
      <c r="Q40" s="227"/>
      <c r="R40" s="227"/>
      <c r="S40" s="227"/>
      <c r="T40" s="227"/>
      <c r="U40" s="227"/>
    </row>
    <row r="41" spans="1:21" ht="19.5" customHeight="1" x14ac:dyDescent="0.25">
      <c r="A41" s="302"/>
      <c r="B41" s="303"/>
      <c r="C41" s="304"/>
      <c r="D41" s="301"/>
      <c r="E41" s="305"/>
      <c r="F41" s="306"/>
      <c r="G41" s="293">
        <f t="shared" si="1"/>
        <v>0</v>
      </c>
      <c r="H41" s="294">
        <f t="shared" si="2"/>
        <v>0</v>
      </c>
      <c r="I41" s="295">
        <f t="shared" si="3"/>
        <v>0</v>
      </c>
      <c r="J41" s="296">
        <f t="shared" si="4"/>
        <v>0</v>
      </c>
      <c r="K41" s="297">
        <f t="shared" si="5"/>
        <v>0</v>
      </c>
      <c r="L41" s="298">
        <f t="shared" si="6"/>
        <v>0</v>
      </c>
      <c r="M41" s="299">
        <f t="shared" si="7"/>
        <v>0</v>
      </c>
      <c r="N41" s="282">
        <f t="shared" si="8"/>
        <v>0</v>
      </c>
      <c r="O41" s="227"/>
      <c r="P41" s="227"/>
      <c r="Q41" s="227"/>
      <c r="R41" s="227"/>
      <c r="S41" s="227"/>
      <c r="T41" s="227"/>
      <c r="U41" s="227"/>
    </row>
    <row r="42" spans="1:21" ht="19.5" customHeight="1" x14ac:dyDescent="0.25">
      <c r="A42" s="302"/>
      <c r="B42" s="303"/>
      <c r="C42" s="304"/>
      <c r="D42" s="301"/>
      <c r="E42" s="305"/>
      <c r="F42" s="306"/>
      <c r="G42" s="293">
        <f t="shared" si="1"/>
        <v>0</v>
      </c>
      <c r="H42" s="294">
        <f t="shared" si="2"/>
        <v>0</v>
      </c>
      <c r="I42" s="295">
        <f t="shared" si="3"/>
        <v>0</v>
      </c>
      <c r="J42" s="296">
        <f t="shared" si="4"/>
        <v>0</v>
      </c>
      <c r="K42" s="297">
        <f t="shared" si="5"/>
        <v>0</v>
      </c>
      <c r="L42" s="298">
        <f t="shared" si="6"/>
        <v>0</v>
      </c>
      <c r="M42" s="299">
        <f t="shared" si="7"/>
        <v>0</v>
      </c>
      <c r="N42" s="282">
        <f t="shared" si="8"/>
        <v>0</v>
      </c>
      <c r="O42" s="227"/>
      <c r="P42" s="227"/>
      <c r="Q42" s="227"/>
      <c r="R42" s="227"/>
      <c r="S42" s="227"/>
      <c r="T42" s="227"/>
      <c r="U42" s="227"/>
    </row>
    <row r="43" spans="1:21" ht="19.5" customHeight="1" x14ac:dyDescent="0.25">
      <c r="A43" s="302"/>
      <c r="B43" s="303"/>
      <c r="C43" s="304"/>
      <c r="D43" s="301"/>
      <c r="E43" s="305"/>
      <c r="F43" s="306"/>
      <c r="G43" s="293">
        <f t="shared" si="1"/>
        <v>0</v>
      </c>
      <c r="H43" s="294">
        <f t="shared" si="2"/>
        <v>0</v>
      </c>
      <c r="I43" s="295">
        <f t="shared" si="3"/>
        <v>0</v>
      </c>
      <c r="J43" s="296">
        <f t="shared" si="4"/>
        <v>0</v>
      </c>
      <c r="K43" s="297">
        <f t="shared" si="5"/>
        <v>0</v>
      </c>
      <c r="L43" s="298">
        <f t="shared" si="6"/>
        <v>0</v>
      </c>
      <c r="M43" s="299">
        <f t="shared" si="7"/>
        <v>0</v>
      </c>
      <c r="N43" s="282">
        <f t="shared" si="8"/>
        <v>0</v>
      </c>
      <c r="O43" s="227"/>
      <c r="P43" s="227"/>
      <c r="Q43" s="227"/>
      <c r="R43" s="227"/>
      <c r="S43" s="227"/>
      <c r="T43" s="227"/>
      <c r="U43" s="227"/>
    </row>
    <row r="44" spans="1:21" ht="19.5" customHeight="1" x14ac:dyDescent="0.25">
      <c r="A44" s="302"/>
      <c r="B44" s="303"/>
      <c r="C44" s="304"/>
      <c r="D44" s="301"/>
      <c r="E44" s="305"/>
      <c r="F44" s="306"/>
      <c r="G44" s="293">
        <f t="shared" si="1"/>
        <v>0</v>
      </c>
      <c r="H44" s="294">
        <f t="shared" si="2"/>
        <v>0</v>
      </c>
      <c r="I44" s="295">
        <f t="shared" si="3"/>
        <v>0</v>
      </c>
      <c r="J44" s="296">
        <f t="shared" si="4"/>
        <v>0</v>
      </c>
      <c r="K44" s="297">
        <f t="shared" si="5"/>
        <v>0</v>
      </c>
      <c r="L44" s="298">
        <f t="shared" si="6"/>
        <v>0</v>
      </c>
      <c r="M44" s="299">
        <f t="shared" si="7"/>
        <v>0</v>
      </c>
      <c r="N44" s="282">
        <f t="shared" si="8"/>
        <v>0</v>
      </c>
      <c r="O44" s="227"/>
      <c r="P44" s="227"/>
      <c r="Q44" s="227"/>
      <c r="R44" s="227"/>
      <c r="S44" s="227"/>
      <c r="T44" s="227"/>
      <c r="U44" s="227"/>
    </row>
    <row r="45" spans="1:21" ht="19.5" customHeight="1" x14ac:dyDescent="0.25">
      <c r="A45" s="302"/>
      <c r="B45" s="303"/>
      <c r="C45" s="304"/>
      <c r="D45" s="301"/>
      <c r="E45" s="307"/>
      <c r="F45" s="308"/>
      <c r="G45" s="309"/>
      <c r="H45" s="310"/>
      <c r="I45" s="311"/>
      <c r="J45" s="312"/>
      <c r="K45" s="313"/>
      <c r="L45" s="314"/>
      <c r="M45" s="315"/>
      <c r="N45" s="316"/>
      <c r="O45" s="227"/>
      <c r="P45" s="227"/>
      <c r="Q45" s="227"/>
      <c r="R45" s="227"/>
      <c r="S45" s="227"/>
      <c r="T45" s="227"/>
      <c r="U45" s="227"/>
    </row>
    <row r="46" spans="1:21" ht="19.5" customHeight="1" thickBot="1" x14ac:dyDescent="0.3">
      <c r="A46" s="317"/>
      <c r="B46" s="318"/>
      <c r="C46" s="319"/>
      <c r="D46" s="320"/>
      <c r="E46" s="321">
        <f>SUM(E17:E45)</f>
        <v>15125</v>
      </c>
      <c r="F46" s="322">
        <f>SUM(F17:F45)</f>
        <v>15125</v>
      </c>
      <c r="G46" s="323">
        <f t="shared" ref="G46:N46" si="9">SUM(G17:G45)</f>
        <v>0</v>
      </c>
      <c r="H46" s="324">
        <f t="shared" si="9"/>
        <v>0</v>
      </c>
      <c r="I46" s="325">
        <f t="shared" si="9"/>
        <v>0</v>
      </c>
      <c r="J46" s="326">
        <f t="shared" si="9"/>
        <v>0</v>
      </c>
      <c r="K46" s="327">
        <f t="shared" si="9"/>
        <v>0</v>
      </c>
      <c r="L46" s="328">
        <f t="shared" si="9"/>
        <v>0</v>
      </c>
      <c r="M46" s="329">
        <f t="shared" si="9"/>
        <v>0</v>
      </c>
      <c r="N46" s="330">
        <f t="shared" si="9"/>
        <v>0</v>
      </c>
      <c r="O46" s="227"/>
      <c r="P46" s="227"/>
      <c r="Q46" s="227"/>
      <c r="R46" s="227"/>
      <c r="S46" s="227"/>
      <c r="T46" s="227"/>
      <c r="U46" s="227"/>
    </row>
    <row r="47" spans="1:21" ht="12.75" customHeight="1" x14ac:dyDescent="0.25">
      <c r="A47" s="229"/>
      <c r="B47" s="227"/>
      <c r="C47" s="227"/>
      <c r="D47" s="243"/>
      <c r="E47" s="244"/>
      <c r="F47" s="245"/>
      <c r="G47" s="331"/>
      <c r="H47" s="332"/>
      <c r="I47" s="332"/>
      <c r="J47" s="332"/>
      <c r="K47" s="332"/>
      <c r="L47" s="332"/>
      <c r="M47" s="332"/>
      <c r="N47" s="332"/>
      <c r="O47" s="227"/>
      <c r="P47" s="227"/>
      <c r="Q47" s="227"/>
      <c r="R47" s="227"/>
      <c r="S47" s="227"/>
      <c r="T47" s="227"/>
      <c r="U47" s="227"/>
    </row>
    <row r="48" spans="1:21" ht="12.75" customHeight="1" x14ac:dyDescent="0.25">
      <c r="A48" s="229"/>
      <c r="B48" s="227"/>
      <c r="C48" s="227"/>
      <c r="D48" s="243"/>
      <c r="E48" s="333">
        <f>G46+I46+K46+M46</f>
        <v>0</v>
      </c>
      <c r="F48" s="334">
        <f>H46+J46+L46+N46</f>
        <v>0</v>
      </c>
      <c r="G48" s="331"/>
      <c r="H48" s="332"/>
      <c r="I48" s="332"/>
      <c r="J48" s="332"/>
      <c r="K48" s="332"/>
      <c r="L48" s="332"/>
      <c r="M48" s="332"/>
      <c r="N48" s="332"/>
      <c r="O48" s="227"/>
      <c r="P48" s="227"/>
      <c r="Q48" s="227"/>
      <c r="R48" s="227"/>
      <c r="S48" s="227"/>
      <c r="T48" s="227"/>
      <c r="U48" s="227"/>
    </row>
    <row r="49" spans="1:21" ht="12.75" customHeight="1" x14ac:dyDescent="0.25">
      <c r="A49" s="229"/>
      <c r="B49" s="227"/>
      <c r="C49" s="227"/>
      <c r="D49" s="243"/>
      <c r="E49" s="335">
        <f>E48-E46</f>
        <v>-15125</v>
      </c>
      <c r="F49" s="335">
        <f>F48-F46</f>
        <v>-15125</v>
      </c>
      <c r="G49" s="331"/>
      <c r="H49" s="332"/>
      <c r="I49" s="332"/>
      <c r="J49" s="332"/>
      <c r="K49" s="332"/>
      <c r="L49" s="332"/>
      <c r="M49" s="332"/>
      <c r="N49" s="332"/>
      <c r="O49" s="227"/>
      <c r="P49" s="227"/>
      <c r="Q49" s="227"/>
      <c r="R49" s="227"/>
      <c r="S49" s="227"/>
      <c r="T49" s="227"/>
      <c r="U49" s="227"/>
    </row>
    <row r="50" spans="1:21" ht="12.75" customHeight="1" x14ac:dyDescent="0.25">
      <c r="A50" s="229"/>
      <c r="B50" s="227"/>
      <c r="C50" s="227"/>
      <c r="D50" s="243"/>
      <c r="E50" s="244"/>
      <c r="F50" s="245"/>
      <c r="G50" s="331"/>
      <c r="H50" s="332"/>
      <c r="I50" s="332"/>
      <c r="J50" s="332"/>
      <c r="K50" s="332"/>
      <c r="L50" s="332"/>
      <c r="M50" s="332"/>
      <c r="N50" s="332"/>
      <c r="O50" s="227"/>
      <c r="P50" s="227"/>
      <c r="Q50" s="227"/>
      <c r="R50" s="227"/>
      <c r="S50" s="227"/>
      <c r="T50" s="227"/>
      <c r="U50" s="227"/>
    </row>
    <row r="51" spans="1:21" ht="12.75" customHeight="1" x14ac:dyDescent="0.25">
      <c r="A51" s="229"/>
      <c r="B51" s="227"/>
      <c r="C51" s="227"/>
      <c r="D51" s="243"/>
      <c r="E51" s="244"/>
      <c r="F51" s="245"/>
      <c r="G51" s="331"/>
      <c r="H51" s="332"/>
      <c r="I51" s="332"/>
      <c r="J51" s="332"/>
      <c r="K51" s="332"/>
      <c r="L51" s="332"/>
      <c r="M51" s="332"/>
      <c r="N51" s="332"/>
      <c r="O51" s="227"/>
      <c r="P51" s="227"/>
      <c r="Q51" s="227"/>
      <c r="R51" s="227"/>
      <c r="S51" s="227"/>
      <c r="T51" s="227"/>
      <c r="U51" s="227"/>
    </row>
    <row r="52" spans="1:21" ht="12.75" customHeight="1" x14ac:dyDescent="0.25">
      <c r="A52" s="229"/>
      <c r="B52" s="227"/>
      <c r="C52" s="227"/>
      <c r="D52" s="243"/>
      <c r="E52" s="244"/>
      <c r="F52" s="245"/>
      <c r="G52" s="331"/>
      <c r="H52" s="332"/>
      <c r="I52" s="332"/>
      <c r="J52" s="332"/>
      <c r="K52" s="332"/>
      <c r="L52" s="332"/>
      <c r="M52" s="332"/>
      <c r="N52" s="332"/>
      <c r="O52" s="227"/>
      <c r="P52" s="227"/>
      <c r="Q52" s="227"/>
      <c r="R52" s="227"/>
      <c r="S52" s="227"/>
      <c r="T52" s="227"/>
      <c r="U52" s="227"/>
    </row>
    <row r="53" spans="1:21" ht="12.75" customHeight="1" x14ac:dyDescent="0.25">
      <c r="A53" s="229"/>
      <c r="B53" s="227"/>
      <c r="C53" s="227"/>
      <c r="D53" s="243"/>
      <c r="E53" s="244"/>
      <c r="F53" s="245"/>
      <c r="G53" s="331"/>
      <c r="H53" s="332"/>
      <c r="I53" s="332"/>
      <c r="J53" s="332"/>
      <c r="K53" s="332"/>
      <c r="L53" s="332"/>
      <c r="M53" s="332"/>
      <c r="N53" s="332"/>
      <c r="O53" s="227"/>
      <c r="P53" s="227"/>
      <c r="Q53" s="227"/>
      <c r="R53" s="227"/>
      <c r="S53" s="227"/>
      <c r="T53" s="227"/>
      <c r="U53" s="227"/>
    </row>
    <row r="54" spans="1:21" ht="12.75" customHeight="1" x14ac:dyDescent="0.25">
      <c r="A54" s="229"/>
      <c r="B54" s="227"/>
      <c r="C54" s="227"/>
      <c r="D54" s="243"/>
      <c r="E54" s="244"/>
      <c r="F54" s="245"/>
      <c r="G54" s="331"/>
      <c r="H54" s="332"/>
      <c r="I54" s="332"/>
      <c r="J54" s="332"/>
      <c r="K54" s="332"/>
      <c r="L54" s="332"/>
      <c r="M54" s="332"/>
      <c r="N54" s="332"/>
      <c r="O54" s="227"/>
      <c r="P54" s="227"/>
      <c r="Q54" s="227"/>
      <c r="R54" s="227"/>
      <c r="S54" s="227"/>
      <c r="T54" s="227"/>
      <c r="U54" s="227"/>
    </row>
    <row r="55" spans="1:21" ht="12.75" customHeight="1" x14ac:dyDescent="0.25">
      <c r="A55" s="229"/>
      <c r="B55" s="227"/>
      <c r="C55" s="227"/>
      <c r="D55" s="243"/>
      <c r="E55" s="244"/>
      <c r="F55" s="245"/>
      <c r="G55" s="331"/>
      <c r="H55" s="332"/>
      <c r="I55" s="332"/>
      <c r="J55" s="332"/>
      <c r="K55" s="332"/>
      <c r="L55" s="332"/>
      <c r="M55" s="332"/>
      <c r="N55" s="332"/>
      <c r="O55" s="227"/>
      <c r="P55" s="227"/>
      <c r="Q55" s="227"/>
      <c r="R55" s="227"/>
      <c r="S55" s="227"/>
      <c r="T55" s="227"/>
      <c r="U55" s="227"/>
    </row>
    <row r="56" spans="1:21" ht="12.75" customHeight="1" x14ac:dyDescent="0.25">
      <c r="A56" s="229"/>
      <c r="B56" s="227"/>
      <c r="C56" s="227"/>
      <c r="D56" s="243"/>
      <c r="E56" s="244"/>
      <c r="F56" s="245"/>
      <c r="G56" s="331"/>
      <c r="H56" s="332"/>
      <c r="I56" s="332"/>
      <c r="J56" s="332"/>
      <c r="K56" s="332"/>
      <c r="L56" s="332"/>
      <c r="M56" s="332"/>
      <c r="N56" s="332"/>
      <c r="O56" s="227"/>
      <c r="P56" s="227"/>
      <c r="Q56" s="227"/>
      <c r="R56" s="227"/>
      <c r="S56" s="227"/>
      <c r="T56" s="227"/>
      <c r="U56" s="227"/>
    </row>
    <row r="57" spans="1:21" ht="12.75" customHeight="1" x14ac:dyDescent="0.25">
      <c r="A57" s="229"/>
      <c r="B57" s="227"/>
      <c r="C57" s="227"/>
      <c r="D57" s="243"/>
      <c r="E57" s="244"/>
      <c r="F57" s="245"/>
      <c r="G57" s="331"/>
      <c r="H57" s="332"/>
      <c r="I57" s="332"/>
      <c r="J57" s="332"/>
      <c r="K57" s="332"/>
      <c r="L57" s="332"/>
      <c r="M57" s="332"/>
      <c r="N57" s="332"/>
      <c r="O57" s="227"/>
      <c r="P57" s="227"/>
      <c r="Q57" s="227"/>
      <c r="R57" s="227"/>
      <c r="S57" s="227"/>
      <c r="T57" s="227"/>
      <c r="U57" s="227"/>
    </row>
    <row r="58" spans="1:21" ht="12.75" customHeight="1" x14ac:dyDescent="0.25">
      <c r="A58" s="229"/>
      <c r="B58" s="227"/>
      <c r="C58" s="227"/>
      <c r="D58" s="243"/>
      <c r="E58" s="244"/>
      <c r="F58" s="245"/>
      <c r="G58" s="331"/>
      <c r="H58" s="332"/>
      <c r="I58" s="332"/>
      <c r="J58" s="332"/>
      <c r="K58" s="332"/>
      <c r="L58" s="332"/>
      <c r="M58" s="332"/>
      <c r="N58" s="332"/>
      <c r="O58" s="227"/>
      <c r="P58" s="227"/>
      <c r="Q58" s="227"/>
      <c r="R58" s="227"/>
      <c r="S58" s="227"/>
      <c r="T58" s="227"/>
      <c r="U58" s="227"/>
    </row>
    <row r="59" spans="1:21" ht="12.75" customHeight="1" x14ac:dyDescent="0.25">
      <c r="A59" s="229"/>
      <c r="B59" s="227"/>
      <c r="C59" s="227"/>
      <c r="D59" s="243"/>
      <c r="E59" s="244"/>
      <c r="F59" s="245"/>
      <c r="G59" s="331"/>
      <c r="H59" s="332"/>
      <c r="I59" s="332"/>
      <c r="J59" s="332"/>
      <c r="K59" s="332"/>
      <c r="L59" s="332"/>
      <c r="M59" s="332"/>
      <c r="N59" s="332"/>
      <c r="O59" s="227"/>
      <c r="P59" s="227"/>
      <c r="Q59" s="227"/>
      <c r="R59" s="227"/>
      <c r="S59" s="227"/>
      <c r="T59" s="227"/>
      <c r="U59" s="227"/>
    </row>
    <row r="60" spans="1:21" ht="12.75" customHeight="1" x14ac:dyDescent="0.25">
      <c r="A60" s="229"/>
      <c r="B60" s="227"/>
      <c r="C60" s="227"/>
      <c r="D60" s="243"/>
      <c r="E60" s="244"/>
      <c r="F60" s="245"/>
      <c r="G60" s="331"/>
      <c r="H60" s="332"/>
      <c r="I60" s="332"/>
      <c r="J60" s="332"/>
      <c r="K60" s="332"/>
      <c r="L60" s="332"/>
      <c r="M60" s="332"/>
      <c r="N60" s="332"/>
      <c r="O60" s="227"/>
      <c r="P60" s="227"/>
      <c r="Q60" s="227"/>
      <c r="R60" s="227"/>
      <c r="S60" s="227"/>
      <c r="T60" s="227"/>
      <c r="U60" s="227"/>
    </row>
    <row r="61" spans="1:21" ht="12.75" customHeight="1" x14ac:dyDescent="0.25">
      <c r="A61" s="229"/>
      <c r="B61" s="227"/>
      <c r="C61" s="227"/>
      <c r="D61" s="243"/>
      <c r="E61" s="244"/>
      <c r="F61" s="245"/>
      <c r="G61" s="331"/>
      <c r="H61" s="332"/>
      <c r="I61" s="332"/>
      <c r="J61" s="332"/>
      <c r="K61" s="332"/>
      <c r="L61" s="332"/>
      <c r="M61" s="332"/>
      <c r="N61" s="332"/>
      <c r="O61" s="227"/>
      <c r="P61" s="227"/>
      <c r="Q61" s="227"/>
      <c r="R61" s="227"/>
      <c r="S61" s="227"/>
      <c r="T61" s="227"/>
      <c r="U61" s="227"/>
    </row>
    <row r="62" spans="1:21" ht="12.75" customHeight="1" x14ac:dyDescent="0.25">
      <c r="A62" s="229"/>
      <c r="B62" s="227"/>
      <c r="C62" s="227"/>
      <c r="D62" s="243"/>
      <c r="E62" s="244"/>
      <c r="F62" s="245"/>
      <c r="G62" s="331"/>
      <c r="H62" s="332"/>
      <c r="I62" s="332"/>
      <c r="J62" s="332"/>
      <c r="K62" s="332"/>
      <c r="L62" s="332"/>
      <c r="M62" s="332"/>
      <c r="N62" s="332"/>
      <c r="O62" s="227"/>
      <c r="P62" s="227"/>
      <c r="Q62" s="227"/>
      <c r="R62" s="227"/>
      <c r="S62" s="227"/>
      <c r="T62" s="227"/>
      <c r="U62" s="227"/>
    </row>
    <row r="63" spans="1:21" ht="12.75" customHeight="1" x14ac:dyDescent="0.25">
      <c r="A63" s="229"/>
      <c r="B63" s="227"/>
      <c r="C63" s="227"/>
      <c r="D63" s="243"/>
      <c r="E63" s="244"/>
      <c r="F63" s="245"/>
      <c r="G63" s="331"/>
      <c r="H63" s="332"/>
      <c r="I63" s="332"/>
      <c r="J63" s="332"/>
      <c r="K63" s="332"/>
      <c r="L63" s="332"/>
      <c r="M63" s="332"/>
      <c r="N63" s="332"/>
      <c r="O63" s="227"/>
      <c r="P63" s="227"/>
      <c r="Q63" s="227"/>
      <c r="R63" s="227"/>
      <c r="S63" s="227"/>
      <c r="T63" s="227"/>
      <c r="U63" s="227"/>
    </row>
    <row r="64" spans="1:21" ht="12.75" customHeight="1" x14ac:dyDescent="0.25">
      <c r="A64" s="229"/>
      <c r="B64" s="227"/>
      <c r="C64" s="227"/>
      <c r="D64" s="243"/>
      <c r="E64" s="244"/>
      <c r="F64" s="245"/>
      <c r="G64" s="331"/>
      <c r="H64" s="332"/>
      <c r="I64" s="332"/>
      <c r="J64" s="332"/>
      <c r="K64" s="332"/>
      <c r="L64" s="332"/>
      <c r="M64" s="332"/>
      <c r="N64" s="332"/>
      <c r="O64" s="227"/>
      <c r="P64" s="227"/>
      <c r="Q64" s="227"/>
      <c r="R64" s="227"/>
      <c r="S64" s="227"/>
      <c r="T64" s="227"/>
      <c r="U64" s="227"/>
    </row>
    <row r="65" spans="1:21" ht="12.75" customHeight="1" x14ac:dyDescent="0.25">
      <c r="A65" s="229"/>
      <c r="B65" s="227"/>
      <c r="C65" s="227"/>
      <c r="D65" s="243"/>
      <c r="E65" s="244"/>
      <c r="F65" s="245"/>
      <c r="G65" s="331"/>
      <c r="H65" s="332"/>
      <c r="I65" s="332"/>
      <c r="J65" s="332"/>
      <c r="K65" s="332"/>
      <c r="L65" s="332"/>
      <c r="M65" s="332"/>
      <c r="N65" s="332"/>
      <c r="O65" s="227"/>
      <c r="P65" s="227"/>
      <c r="Q65" s="227"/>
      <c r="R65" s="227"/>
      <c r="S65" s="227"/>
      <c r="T65" s="227"/>
      <c r="U65" s="227"/>
    </row>
    <row r="66" spans="1:21" ht="12.75" customHeight="1" x14ac:dyDescent="0.25">
      <c r="A66" s="229"/>
      <c r="B66" s="227"/>
      <c r="C66" s="227"/>
      <c r="D66" s="243"/>
      <c r="E66" s="244"/>
      <c r="F66" s="245"/>
      <c r="G66" s="331"/>
      <c r="H66" s="332"/>
      <c r="I66" s="332"/>
      <c r="J66" s="332"/>
      <c r="K66" s="332"/>
      <c r="L66" s="332"/>
      <c r="M66" s="332"/>
      <c r="N66" s="332"/>
      <c r="O66" s="227"/>
      <c r="P66" s="227"/>
      <c r="Q66" s="227"/>
      <c r="R66" s="227"/>
      <c r="S66" s="227"/>
      <c r="T66" s="227"/>
      <c r="U66" s="227"/>
    </row>
    <row r="67" spans="1:21" ht="12.75" customHeight="1" x14ac:dyDescent="0.25">
      <c r="A67" s="229"/>
      <c r="B67" s="227"/>
      <c r="C67" s="227"/>
      <c r="D67" s="243"/>
      <c r="E67" s="244"/>
      <c r="F67" s="245"/>
      <c r="G67" s="331"/>
      <c r="H67" s="332"/>
      <c r="I67" s="332"/>
      <c r="J67" s="332"/>
      <c r="K67" s="332"/>
      <c r="L67" s="332"/>
      <c r="M67" s="332"/>
      <c r="N67" s="332"/>
      <c r="O67" s="227"/>
      <c r="P67" s="227"/>
      <c r="Q67" s="227"/>
      <c r="R67" s="227"/>
      <c r="S67" s="227"/>
      <c r="T67" s="227"/>
      <c r="U67" s="227"/>
    </row>
    <row r="68" spans="1:21" ht="12.75" customHeight="1" x14ac:dyDescent="0.25">
      <c r="A68" s="229"/>
      <c r="B68" s="227"/>
      <c r="C68" s="227"/>
      <c r="D68" s="243"/>
      <c r="E68" s="244"/>
      <c r="F68" s="245"/>
      <c r="G68" s="331"/>
      <c r="H68" s="332"/>
      <c r="I68" s="332"/>
      <c r="J68" s="332"/>
      <c r="K68" s="332"/>
      <c r="L68" s="332"/>
      <c r="M68" s="332"/>
      <c r="N68" s="332"/>
      <c r="O68" s="227"/>
      <c r="P68" s="227"/>
      <c r="Q68" s="227"/>
      <c r="R68" s="227"/>
      <c r="S68" s="227"/>
      <c r="T68" s="227"/>
      <c r="U68" s="227"/>
    </row>
    <row r="69" spans="1:21" ht="12.75" customHeight="1" x14ac:dyDescent="0.25">
      <c r="A69" s="229"/>
      <c r="B69" s="227"/>
      <c r="C69" s="227"/>
      <c r="D69" s="243"/>
      <c r="E69" s="244"/>
      <c r="F69" s="245"/>
      <c r="G69" s="331"/>
      <c r="H69" s="332"/>
      <c r="I69" s="332"/>
      <c r="J69" s="332"/>
      <c r="K69" s="332"/>
      <c r="L69" s="332"/>
      <c r="M69" s="332"/>
      <c r="N69" s="332"/>
      <c r="O69" s="227"/>
      <c r="P69" s="227"/>
      <c r="Q69" s="227"/>
      <c r="R69" s="227"/>
      <c r="S69" s="227"/>
      <c r="T69" s="227"/>
      <c r="U69" s="227"/>
    </row>
    <row r="70" spans="1:21" ht="12.75" customHeight="1" x14ac:dyDescent="0.25">
      <c r="A70" s="229"/>
      <c r="B70" s="227"/>
      <c r="C70" s="227"/>
      <c r="D70" s="243"/>
      <c r="E70" s="244"/>
      <c r="F70" s="245"/>
      <c r="G70" s="331"/>
      <c r="H70" s="332"/>
      <c r="I70" s="332"/>
      <c r="J70" s="332"/>
      <c r="K70" s="332"/>
      <c r="L70" s="332"/>
      <c r="M70" s="332"/>
      <c r="N70" s="332"/>
      <c r="O70" s="227"/>
      <c r="P70" s="227"/>
      <c r="Q70" s="227"/>
      <c r="R70" s="227"/>
      <c r="S70" s="227"/>
      <c r="T70" s="227"/>
      <c r="U70" s="227"/>
    </row>
    <row r="71" spans="1:21" ht="12.75" customHeight="1" x14ac:dyDescent="0.25">
      <c r="A71" s="229"/>
      <c r="B71" s="227"/>
      <c r="C71" s="227"/>
      <c r="D71" s="243"/>
      <c r="E71" s="244"/>
      <c r="F71" s="245"/>
      <c r="G71" s="331"/>
      <c r="H71" s="332"/>
      <c r="I71" s="332"/>
      <c r="J71" s="332"/>
      <c r="K71" s="332"/>
      <c r="L71" s="332"/>
      <c r="M71" s="332"/>
      <c r="N71" s="332"/>
      <c r="O71" s="227"/>
      <c r="P71" s="227"/>
      <c r="Q71" s="227"/>
      <c r="R71" s="227"/>
      <c r="S71" s="227"/>
      <c r="T71" s="227"/>
      <c r="U71" s="227"/>
    </row>
    <row r="72" spans="1:21" ht="12.75" customHeight="1" x14ac:dyDescent="0.25">
      <c r="A72" s="229"/>
      <c r="B72" s="227"/>
      <c r="C72" s="227"/>
      <c r="D72" s="243"/>
      <c r="E72" s="244"/>
      <c r="F72" s="245"/>
      <c r="G72" s="331"/>
      <c r="H72" s="332"/>
      <c r="I72" s="332"/>
      <c r="J72" s="332"/>
      <c r="K72" s="332"/>
      <c r="L72" s="332"/>
      <c r="M72" s="332"/>
      <c r="N72" s="332"/>
      <c r="O72" s="227"/>
      <c r="P72" s="227"/>
      <c r="Q72" s="227"/>
      <c r="R72" s="227"/>
      <c r="S72" s="227"/>
      <c r="T72" s="227"/>
      <c r="U72" s="227"/>
    </row>
    <row r="73" spans="1:21" ht="12.75" customHeight="1" x14ac:dyDescent="0.25">
      <c r="A73" s="229"/>
      <c r="B73" s="227"/>
      <c r="C73" s="227"/>
      <c r="D73" s="243"/>
      <c r="E73" s="244"/>
      <c r="F73" s="245"/>
      <c r="G73" s="331"/>
      <c r="H73" s="332"/>
      <c r="I73" s="332"/>
      <c r="J73" s="332"/>
      <c r="K73" s="332"/>
      <c r="L73" s="332"/>
      <c r="M73" s="332"/>
      <c r="N73" s="332"/>
      <c r="O73" s="227"/>
      <c r="P73" s="227"/>
      <c r="Q73" s="227"/>
      <c r="R73" s="227"/>
      <c r="S73" s="227"/>
      <c r="T73" s="227"/>
      <c r="U73" s="227"/>
    </row>
    <row r="74" spans="1:21" ht="12.75" customHeight="1" x14ac:dyDescent="0.25">
      <c r="A74" s="229"/>
      <c r="B74" s="227"/>
      <c r="C74" s="227"/>
      <c r="D74" s="243"/>
      <c r="E74" s="244"/>
      <c r="F74" s="245"/>
      <c r="G74" s="331"/>
      <c r="H74" s="332"/>
      <c r="I74" s="332"/>
      <c r="J74" s="332"/>
      <c r="K74" s="332"/>
      <c r="L74" s="332"/>
      <c r="M74" s="332"/>
      <c r="N74" s="332"/>
      <c r="O74" s="227"/>
      <c r="P74" s="227"/>
      <c r="Q74" s="227"/>
      <c r="R74" s="227"/>
      <c r="S74" s="227"/>
      <c r="T74" s="227"/>
      <c r="U74" s="227"/>
    </row>
    <row r="75" spans="1:21" ht="12.75" customHeight="1" x14ac:dyDescent="0.25">
      <c r="A75" s="229"/>
      <c r="B75" s="227"/>
      <c r="C75" s="227"/>
      <c r="D75" s="243"/>
      <c r="E75" s="244"/>
      <c r="F75" s="245"/>
      <c r="G75" s="331"/>
      <c r="H75" s="332"/>
      <c r="I75" s="332"/>
      <c r="J75" s="332"/>
      <c r="K75" s="332"/>
      <c r="L75" s="332"/>
      <c r="M75" s="332"/>
      <c r="N75" s="332"/>
      <c r="O75" s="227"/>
      <c r="P75" s="227"/>
      <c r="Q75" s="227"/>
      <c r="R75" s="227"/>
      <c r="S75" s="227"/>
      <c r="T75" s="227"/>
      <c r="U75" s="227"/>
    </row>
    <row r="76" spans="1:21" ht="12.75" customHeight="1" x14ac:dyDescent="0.25">
      <c r="A76" s="229"/>
      <c r="B76" s="227"/>
      <c r="C76" s="227"/>
      <c r="D76" s="243"/>
      <c r="E76" s="244"/>
      <c r="F76" s="245"/>
      <c r="G76" s="331"/>
      <c r="H76" s="332"/>
      <c r="I76" s="332"/>
      <c r="J76" s="332"/>
      <c r="K76" s="332"/>
      <c r="L76" s="332"/>
      <c r="M76" s="332"/>
      <c r="N76" s="332"/>
      <c r="O76" s="227"/>
      <c r="P76" s="227"/>
      <c r="Q76" s="227"/>
      <c r="R76" s="227"/>
      <c r="S76" s="227"/>
      <c r="T76" s="227"/>
      <c r="U76" s="227"/>
    </row>
    <row r="77" spans="1:21" ht="12.75" customHeight="1" x14ac:dyDescent="0.25">
      <c r="A77" s="229"/>
      <c r="B77" s="227"/>
      <c r="C77" s="227"/>
      <c r="D77" s="243"/>
      <c r="E77" s="244"/>
      <c r="F77" s="245"/>
      <c r="G77" s="331"/>
      <c r="H77" s="332"/>
      <c r="I77" s="332"/>
      <c r="J77" s="332"/>
      <c r="K77" s="332"/>
      <c r="L77" s="332"/>
      <c r="M77" s="332"/>
      <c r="N77" s="332"/>
      <c r="O77" s="227"/>
      <c r="P77" s="227"/>
      <c r="Q77" s="227"/>
      <c r="R77" s="227"/>
      <c r="S77" s="227"/>
      <c r="T77" s="227"/>
      <c r="U77" s="227"/>
    </row>
    <row r="78" spans="1:21" ht="12.75" customHeight="1" x14ac:dyDescent="0.25">
      <c r="A78" s="229"/>
      <c r="B78" s="227"/>
      <c r="C78" s="227"/>
      <c r="D78" s="243"/>
      <c r="E78" s="244"/>
      <c r="F78" s="245"/>
      <c r="G78" s="331"/>
      <c r="H78" s="332"/>
      <c r="I78" s="332"/>
      <c r="J78" s="332"/>
      <c r="K78" s="332"/>
      <c r="L78" s="332"/>
      <c r="M78" s="332"/>
      <c r="N78" s="332"/>
      <c r="O78" s="227"/>
      <c r="P78" s="227"/>
      <c r="Q78" s="227"/>
      <c r="R78" s="227"/>
      <c r="S78" s="227"/>
      <c r="T78" s="227"/>
      <c r="U78" s="227"/>
    </row>
    <row r="79" spans="1:21" ht="12.75" customHeight="1" x14ac:dyDescent="0.25">
      <c r="A79" s="229"/>
      <c r="B79" s="227"/>
      <c r="C79" s="227"/>
      <c r="D79" s="243"/>
      <c r="E79" s="244"/>
      <c r="F79" s="245"/>
      <c r="G79" s="331"/>
      <c r="H79" s="332"/>
      <c r="I79" s="332"/>
      <c r="J79" s="332"/>
      <c r="K79" s="332"/>
      <c r="L79" s="332"/>
      <c r="M79" s="332"/>
      <c r="N79" s="332"/>
      <c r="O79" s="227"/>
      <c r="P79" s="227"/>
      <c r="Q79" s="227"/>
      <c r="R79" s="227"/>
      <c r="S79" s="227"/>
      <c r="T79" s="227"/>
      <c r="U79" s="227"/>
    </row>
    <row r="80" spans="1:21" ht="12.75" customHeight="1" x14ac:dyDescent="0.25">
      <c r="A80" s="229"/>
      <c r="B80" s="227"/>
      <c r="C80" s="227"/>
      <c r="D80" s="243"/>
      <c r="E80" s="244"/>
      <c r="F80" s="245"/>
      <c r="G80" s="331"/>
      <c r="H80" s="332"/>
      <c r="I80" s="332"/>
      <c r="J80" s="332"/>
      <c r="K80" s="332"/>
      <c r="L80" s="332"/>
      <c r="M80" s="332"/>
      <c r="N80" s="332"/>
      <c r="O80" s="227"/>
      <c r="P80" s="227"/>
      <c r="Q80" s="227"/>
      <c r="R80" s="227"/>
      <c r="S80" s="227"/>
      <c r="T80" s="227"/>
      <c r="U80" s="227"/>
    </row>
    <row r="81" spans="1:21" ht="12.75" customHeight="1" x14ac:dyDescent="0.25">
      <c r="A81" s="229"/>
      <c r="B81" s="227"/>
      <c r="C81" s="227"/>
      <c r="D81" s="243"/>
      <c r="E81" s="244"/>
      <c r="F81" s="245"/>
      <c r="G81" s="331"/>
      <c r="H81" s="332"/>
      <c r="I81" s="332"/>
      <c r="J81" s="332"/>
      <c r="K81" s="332"/>
      <c r="L81" s="332"/>
      <c r="M81" s="332"/>
      <c r="N81" s="332"/>
      <c r="O81" s="227"/>
      <c r="P81" s="227"/>
      <c r="Q81" s="227"/>
      <c r="R81" s="227"/>
      <c r="S81" s="227"/>
      <c r="T81" s="227"/>
      <c r="U81" s="227"/>
    </row>
    <row r="82" spans="1:21" ht="12.75" customHeight="1" x14ac:dyDescent="0.25">
      <c r="A82" s="229"/>
      <c r="B82" s="227"/>
      <c r="C82" s="227"/>
      <c r="D82" s="243"/>
      <c r="E82" s="244"/>
      <c r="F82" s="245"/>
      <c r="G82" s="331"/>
      <c r="H82" s="332"/>
      <c r="I82" s="332"/>
      <c r="J82" s="332"/>
      <c r="K82" s="332"/>
      <c r="L82" s="332"/>
      <c r="M82" s="332"/>
      <c r="N82" s="332"/>
      <c r="O82" s="227"/>
      <c r="P82" s="227"/>
      <c r="Q82" s="227"/>
      <c r="R82" s="227"/>
      <c r="S82" s="227"/>
      <c r="T82" s="227"/>
      <c r="U82" s="227"/>
    </row>
    <row r="83" spans="1:21" ht="12.75" customHeight="1" x14ac:dyDescent="0.25">
      <c r="A83" s="229"/>
      <c r="B83" s="227"/>
      <c r="C83" s="227"/>
      <c r="D83" s="243"/>
      <c r="E83" s="244"/>
      <c r="F83" s="245"/>
      <c r="G83" s="331"/>
      <c r="H83" s="332"/>
      <c r="I83" s="332"/>
      <c r="J83" s="332"/>
      <c r="K83" s="332"/>
      <c r="L83" s="332"/>
      <c r="M83" s="332"/>
      <c r="N83" s="332"/>
      <c r="O83" s="227"/>
      <c r="P83" s="227"/>
      <c r="Q83" s="227"/>
      <c r="R83" s="227"/>
      <c r="S83" s="227"/>
      <c r="T83" s="227"/>
      <c r="U83" s="227"/>
    </row>
    <row r="84" spans="1:21" ht="12.75" customHeight="1" x14ac:dyDescent="0.25">
      <c r="A84" s="229"/>
      <c r="B84" s="227"/>
      <c r="C84" s="227"/>
      <c r="D84" s="243"/>
      <c r="E84" s="244"/>
      <c r="F84" s="245"/>
      <c r="G84" s="331"/>
      <c r="H84" s="332"/>
      <c r="I84" s="332"/>
      <c r="J84" s="332"/>
      <c r="K84" s="332"/>
      <c r="L84" s="332"/>
      <c r="M84" s="332"/>
      <c r="N84" s="332"/>
      <c r="O84" s="227"/>
      <c r="P84" s="227"/>
      <c r="Q84" s="227"/>
      <c r="R84" s="227"/>
      <c r="S84" s="227"/>
      <c r="T84" s="227"/>
      <c r="U84" s="227"/>
    </row>
    <row r="85" spans="1:21" ht="12.75" customHeight="1" x14ac:dyDescent="0.25">
      <c r="A85" s="229"/>
      <c r="B85" s="227"/>
      <c r="C85" s="227"/>
      <c r="D85" s="243"/>
      <c r="E85" s="244"/>
      <c r="F85" s="245"/>
      <c r="G85" s="331"/>
      <c r="H85" s="332"/>
      <c r="I85" s="332"/>
      <c r="J85" s="332"/>
      <c r="K85" s="332"/>
      <c r="L85" s="332"/>
      <c r="M85" s="332"/>
      <c r="N85" s="332"/>
      <c r="O85" s="227"/>
      <c r="P85" s="227"/>
      <c r="Q85" s="227"/>
      <c r="R85" s="227"/>
      <c r="S85" s="227"/>
      <c r="T85" s="227"/>
      <c r="U85" s="227"/>
    </row>
    <row r="86" spans="1:21" ht="12.75" customHeight="1" x14ac:dyDescent="0.25">
      <c r="A86" s="229"/>
      <c r="B86" s="227"/>
      <c r="C86" s="227"/>
      <c r="D86" s="243"/>
      <c r="E86" s="244"/>
      <c r="F86" s="245"/>
      <c r="G86" s="331"/>
      <c r="H86" s="332"/>
      <c r="I86" s="332"/>
      <c r="J86" s="332"/>
      <c r="K86" s="332"/>
      <c r="L86" s="332"/>
      <c r="M86" s="332"/>
      <c r="N86" s="332"/>
      <c r="O86" s="227"/>
      <c r="P86" s="227"/>
      <c r="Q86" s="227"/>
      <c r="R86" s="227"/>
      <c r="S86" s="227"/>
      <c r="T86" s="227"/>
      <c r="U86" s="227"/>
    </row>
    <row r="87" spans="1:21" ht="12.75" customHeight="1" x14ac:dyDescent="0.25">
      <c r="A87" s="229"/>
      <c r="B87" s="227"/>
      <c r="C87" s="227"/>
      <c r="D87" s="243"/>
      <c r="E87" s="244"/>
      <c r="F87" s="245"/>
      <c r="G87" s="331"/>
      <c r="H87" s="332"/>
      <c r="I87" s="332"/>
      <c r="J87" s="332"/>
      <c r="K87" s="332"/>
      <c r="L87" s="332"/>
      <c r="M87" s="332"/>
      <c r="N87" s="332"/>
      <c r="O87" s="227"/>
      <c r="P87" s="227"/>
      <c r="Q87" s="227"/>
      <c r="R87" s="227"/>
      <c r="S87" s="227"/>
      <c r="T87" s="227"/>
      <c r="U87" s="227"/>
    </row>
    <row r="88" spans="1:21" ht="12.75" customHeight="1" x14ac:dyDescent="0.25">
      <c r="A88" s="229"/>
      <c r="B88" s="227"/>
      <c r="C88" s="227"/>
      <c r="D88" s="243"/>
      <c r="E88" s="244"/>
      <c r="F88" s="245"/>
      <c r="G88" s="331"/>
      <c r="H88" s="332"/>
      <c r="I88" s="332"/>
      <c r="J88" s="332"/>
      <c r="K88" s="332"/>
      <c r="L88" s="332"/>
      <c r="M88" s="332"/>
      <c r="N88" s="332"/>
      <c r="O88" s="227"/>
      <c r="P88" s="227"/>
      <c r="Q88" s="227"/>
      <c r="R88" s="227"/>
      <c r="S88" s="227"/>
      <c r="T88" s="227"/>
      <c r="U88" s="227"/>
    </row>
    <row r="89" spans="1:21" ht="12.75" customHeight="1" x14ac:dyDescent="0.25">
      <c r="A89" s="229"/>
      <c r="B89" s="227"/>
      <c r="C89" s="227"/>
      <c r="D89" s="243"/>
      <c r="E89" s="244"/>
      <c r="F89" s="245"/>
      <c r="G89" s="331"/>
      <c r="H89" s="332"/>
      <c r="I89" s="332"/>
      <c r="J89" s="332"/>
      <c r="K89" s="332"/>
      <c r="L89" s="332"/>
      <c r="M89" s="332"/>
      <c r="N89" s="332"/>
      <c r="O89" s="227"/>
      <c r="P89" s="227"/>
      <c r="Q89" s="227"/>
      <c r="R89" s="227"/>
      <c r="S89" s="227"/>
      <c r="T89" s="227"/>
      <c r="U89" s="227"/>
    </row>
    <row r="90" spans="1:21" ht="12.75" customHeight="1" x14ac:dyDescent="0.25">
      <c r="A90" s="229"/>
      <c r="B90" s="227"/>
      <c r="C90" s="227"/>
      <c r="D90" s="243"/>
      <c r="E90" s="244"/>
      <c r="F90" s="245"/>
      <c r="G90" s="331"/>
      <c r="H90" s="332"/>
      <c r="I90" s="332"/>
      <c r="J90" s="332"/>
      <c r="K90" s="332"/>
      <c r="L90" s="332"/>
      <c r="M90" s="332"/>
      <c r="N90" s="332"/>
      <c r="O90" s="227"/>
      <c r="P90" s="227"/>
      <c r="Q90" s="227"/>
      <c r="R90" s="227"/>
      <c r="S90" s="227"/>
      <c r="T90" s="227"/>
      <c r="U90" s="227"/>
    </row>
    <row r="91" spans="1:21" ht="12.75" customHeight="1" x14ac:dyDescent="0.25">
      <c r="A91" s="229"/>
      <c r="B91" s="227"/>
      <c r="C91" s="227"/>
      <c r="D91" s="243"/>
      <c r="E91" s="244"/>
      <c r="F91" s="245"/>
      <c r="G91" s="331"/>
      <c r="H91" s="332"/>
      <c r="I91" s="332"/>
      <c r="J91" s="332"/>
      <c r="K91" s="332"/>
      <c r="L91" s="332"/>
      <c r="M91" s="332"/>
      <c r="N91" s="332"/>
      <c r="O91" s="227"/>
      <c r="P91" s="227"/>
      <c r="Q91" s="227"/>
      <c r="R91" s="227"/>
      <c r="S91" s="227"/>
      <c r="T91" s="227"/>
      <c r="U91" s="227"/>
    </row>
    <row r="92" spans="1:21" ht="12.75" customHeight="1" x14ac:dyDescent="0.25">
      <c r="A92" s="229"/>
      <c r="B92" s="227"/>
      <c r="C92" s="227"/>
      <c r="D92" s="243"/>
      <c r="E92" s="244"/>
      <c r="F92" s="245"/>
      <c r="G92" s="331"/>
      <c r="H92" s="332"/>
      <c r="I92" s="332"/>
      <c r="J92" s="332"/>
      <c r="K92" s="332"/>
      <c r="L92" s="332"/>
      <c r="M92" s="332"/>
      <c r="N92" s="332"/>
      <c r="O92" s="227"/>
      <c r="P92" s="227"/>
      <c r="Q92" s="227"/>
      <c r="R92" s="227"/>
      <c r="S92" s="227"/>
      <c r="T92" s="227"/>
      <c r="U92" s="227"/>
    </row>
    <row r="93" spans="1:21" ht="12.75" customHeight="1" x14ac:dyDescent="0.25">
      <c r="A93" s="229"/>
      <c r="B93" s="227"/>
      <c r="C93" s="227"/>
      <c r="D93" s="243"/>
      <c r="E93" s="244"/>
      <c r="F93" s="245"/>
      <c r="G93" s="331"/>
      <c r="H93" s="332"/>
      <c r="I93" s="332"/>
      <c r="J93" s="332"/>
      <c r="K93" s="332"/>
      <c r="L93" s="332"/>
      <c r="M93" s="332"/>
      <c r="N93" s="332"/>
      <c r="O93" s="227"/>
      <c r="P93" s="227"/>
      <c r="Q93" s="227"/>
      <c r="R93" s="227"/>
      <c r="S93" s="227"/>
      <c r="T93" s="227"/>
      <c r="U93" s="227"/>
    </row>
    <row r="94" spans="1:21" ht="12.75" customHeight="1" x14ac:dyDescent="0.25">
      <c r="A94" s="229"/>
      <c r="B94" s="227"/>
      <c r="C94" s="227"/>
      <c r="D94" s="243"/>
      <c r="E94" s="244"/>
      <c r="F94" s="245"/>
      <c r="G94" s="331"/>
      <c r="H94" s="332"/>
      <c r="I94" s="332"/>
      <c r="J94" s="332"/>
      <c r="K94" s="332"/>
      <c r="L94" s="332"/>
      <c r="M94" s="332"/>
      <c r="N94" s="332"/>
      <c r="O94" s="227"/>
      <c r="P94" s="227"/>
      <c r="Q94" s="227"/>
      <c r="R94" s="227"/>
      <c r="S94" s="227"/>
      <c r="T94" s="227"/>
      <c r="U94" s="227"/>
    </row>
    <row r="95" spans="1:21" ht="12.75" customHeight="1" x14ac:dyDescent="0.25">
      <c r="A95" s="229"/>
      <c r="B95" s="227"/>
      <c r="C95" s="227"/>
      <c r="D95" s="243"/>
      <c r="E95" s="244"/>
      <c r="F95" s="245"/>
      <c r="G95" s="331"/>
      <c r="H95" s="332"/>
      <c r="I95" s="332"/>
      <c r="J95" s="332"/>
      <c r="K95" s="332"/>
      <c r="L95" s="332"/>
      <c r="M95" s="332"/>
      <c r="N95" s="332"/>
      <c r="O95" s="227"/>
      <c r="P95" s="227"/>
      <c r="Q95" s="227"/>
      <c r="R95" s="227"/>
      <c r="S95" s="227"/>
      <c r="T95" s="227"/>
      <c r="U95" s="227"/>
    </row>
    <row r="96" spans="1:21" ht="12.75" customHeight="1" x14ac:dyDescent="0.25">
      <c r="A96" s="229"/>
      <c r="B96" s="227"/>
      <c r="C96" s="227"/>
      <c r="D96" s="243"/>
      <c r="E96" s="244"/>
      <c r="F96" s="245"/>
      <c r="G96" s="331"/>
      <c r="H96" s="332"/>
      <c r="I96" s="332"/>
      <c r="J96" s="332"/>
      <c r="K96" s="332"/>
      <c r="L96" s="332"/>
      <c r="M96" s="332"/>
      <c r="N96" s="332"/>
      <c r="O96" s="227"/>
      <c r="P96" s="227"/>
      <c r="Q96" s="227"/>
      <c r="R96" s="227"/>
      <c r="S96" s="227"/>
      <c r="T96" s="227"/>
      <c r="U96" s="227"/>
    </row>
    <row r="97" spans="1:21" ht="12.75" customHeight="1" x14ac:dyDescent="0.25">
      <c r="A97" s="229"/>
      <c r="B97" s="227"/>
      <c r="C97" s="227"/>
      <c r="D97" s="243"/>
      <c r="E97" s="244"/>
      <c r="F97" s="245"/>
      <c r="G97" s="331"/>
      <c r="H97" s="332"/>
      <c r="I97" s="332"/>
      <c r="J97" s="332"/>
      <c r="K97" s="332"/>
      <c r="L97" s="332"/>
      <c r="M97" s="332"/>
      <c r="N97" s="332"/>
      <c r="O97" s="227"/>
      <c r="P97" s="227"/>
      <c r="Q97" s="227"/>
      <c r="R97" s="227"/>
      <c r="S97" s="227"/>
      <c r="T97" s="227"/>
      <c r="U97" s="227"/>
    </row>
    <row r="98" spans="1:21" ht="12.75" customHeight="1" x14ac:dyDescent="0.25">
      <c r="A98" s="229"/>
      <c r="B98" s="227"/>
      <c r="C98" s="227"/>
      <c r="D98" s="243"/>
      <c r="E98" s="244"/>
      <c r="F98" s="245"/>
      <c r="G98" s="331"/>
      <c r="H98" s="332"/>
      <c r="I98" s="332"/>
      <c r="J98" s="332"/>
      <c r="K98" s="332"/>
      <c r="L98" s="332"/>
      <c r="M98" s="332"/>
      <c r="N98" s="332"/>
      <c r="O98" s="227"/>
      <c r="P98" s="227"/>
      <c r="Q98" s="227"/>
      <c r="R98" s="227"/>
      <c r="S98" s="227"/>
      <c r="T98" s="227"/>
      <c r="U98" s="227"/>
    </row>
    <row r="99" spans="1:21" ht="12.75" customHeight="1" x14ac:dyDescent="0.25">
      <c r="A99" s="229"/>
      <c r="B99" s="227"/>
      <c r="C99" s="227"/>
      <c r="D99" s="243"/>
      <c r="E99" s="244"/>
      <c r="F99" s="245"/>
      <c r="G99" s="331"/>
      <c r="H99" s="332"/>
      <c r="I99" s="332"/>
      <c r="J99" s="332"/>
      <c r="K99" s="332"/>
      <c r="L99" s="332"/>
      <c r="M99" s="332"/>
      <c r="N99" s="332"/>
      <c r="O99" s="227"/>
      <c r="P99" s="227"/>
      <c r="Q99" s="227"/>
      <c r="R99" s="227"/>
      <c r="S99" s="227"/>
      <c r="T99" s="227"/>
      <c r="U99" s="227"/>
    </row>
    <row r="100" spans="1:21" ht="12.75" customHeight="1" x14ac:dyDescent="0.25">
      <c r="A100" s="229"/>
      <c r="B100" s="227"/>
      <c r="C100" s="227"/>
      <c r="D100" s="243"/>
      <c r="E100" s="244"/>
      <c r="F100" s="245"/>
      <c r="G100" s="331"/>
      <c r="H100" s="332"/>
      <c r="I100" s="332"/>
      <c r="J100" s="332"/>
      <c r="K100" s="332"/>
      <c r="L100" s="332"/>
      <c r="M100" s="332"/>
      <c r="N100" s="332"/>
      <c r="O100" s="227"/>
      <c r="P100" s="227"/>
      <c r="Q100" s="227"/>
      <c r="R100" s="227"/>
      <c r="S100" s="227"/>
      <c r="T100" s="227"/>
      <c r="U100" s="227"/>
    </row>
    <row r="101" spans="1:21" ht="12.75" customHeight="1" x14ac:dyDescent="0.25">
      <c r="A101" s="229"/>
      <c r="B101" s="227"/>
      <c r="C101" s="227"/>
      <c r="D101" s="243"/>
      <c r="E101" s="244"/>
      <c r="F101" s="245"/>
      <c r="G101" s="331"/>
      <c r="H101" s="332"/>
      <c r="I101" s="332"/>
      <c r="J101" s="332"/>
      <c r="K101" s="332"/>
      <c r="L101" s="332"/>
      <c r="M101" s="332"/>
      <c r="N101" s="332"/>
      <c r="O101" s="227"/>
      <c r="P101" s="227"/>
      <c r="Q101" s="227"/>
      <c r="R101" s="227"/>
      <c r="S101" s="227"/>
      <c r="T101" s="227"/>
      <c r="U101" s="227"/>
    </row>
    <row r="102" spans="1:21" ht="12.75" customHeight="1" x14ac:dyDescent="0.25">
      <c r="A102" s="229"/>
      <c r="B102" s="227"/>
      <c r="C102" s="227"/>
      <c r="D102" s="243"/>
      <c r="E102" s="244"/>
      <c r="F102" s="245"/>
      <c r="G102" s="331"/>
      <c r="H102" s="332"/>
      <c r="I102" s="332"/>
      <c r="J102" s="332"/>
      <c r="K102" s="332"/>
      <c r="L102" s="332"/>
      <c r="M102" s="332"/>
      <c r="N102" s="332"/>
      <c r="O102" s="227"/>
      <c r="P102" s="227"/>
      <c r="Q102" s="227"/>
      <c r="R102" s="227"/>
      <c r="S102" s="227"/>
      <c r="T102" s="227"/>
      <c r="U102" s="227"/>
    </row>
    <row r="103" spans="1:21" ht="12.75" customHeight="1" x14ac:dyDescent="0.25">
      <c r="A103" s="229"/>
      <c r="B103" s="227"/>
      <c r="C103" s="227"/>
      <c r="D103" s="243"/>
      <c r="E103" s="244"/>
      <c r="F103" s="245"/>
      <c r="G103" s="331"/>
      <c r="H103" s="332"/>
      <c r="I103" s="332"/>
      <c r="J103" s="332"/>
      <c r="K103" s="332"/>
      <c r="L103" s="332"/>
      <c r="M103" s="332"/>
      <c r="N103" s="332"/>
      <c r="O103" s="227"/>
      <c r="P103" s="227"/>
      <c r="Q103" s="227"/>
      <c r="R103" s="227"/>
      <c r="S103" s="227"/>
      <c r="T103" s="227"/>
      <c r="U103" s="227"/>
    </row>
    <row r="104" spans="1:21" ht="12.75" customHeight="1" x14ac:dyDescent="0.25">
      <c r="A104" s="229"/>
      <c r="B104" s="227"/>
      <c r="C104" s="227"/>
      <c r="D104" s="243"/>
      <c r="E104" s="244"/>
      <c r="F104" s="245"/>
      <c r="G104" s="331"/>
      <c r="H104" s="332"/>
      <c r="I104" s="332"/>
      <c r="J104" s="332"/>
      <c r="K104" s="332"/>
      <c r="L104" s="332"/>
      <c r="M104" s="332"/>
      <c r="N104" s="332"/>
      <c r="O104" s="227"/>
      <c r="P104" s="227"/>
      <c r="Q104" s="227"/>
      <c r="R104" s="227"/>
      <c r="S104" s="227"/>
      <c r="T104" s="227"/>
      <c r="U104" s="227"/>
    </row>
    <row r="105" spans="1:21" ht="12.75" customHeight="1" x14ac:dyDescent="0.25">
      <c r="A105" s="229"/>
      <c r="B105" s="227"/>
      <c r="C105" s="227"/>
      <c r="D105" s="243"/>
      <c r="E105" s="244"/>
      <c r="F105" s="245"/>
      <c r="G105" s="331"/>
      <c r="H105" s="332"/>
      <c r="I105" s="332"/>
      <c r="J105" s="332"/>
      <c r="K105" s="332"/>
      <c r="L105" s="332"/>
      <c r="M105" s="332"/>
      <c r="N105" s="332"/>
      <c r="O105" s="227"/>
      <c r="P105" s="227"/>
      <c r="Q105" s="227"/>
      <c r="R105" s="227"/>
      <c r="S105" s="227"/>
      <c r="T105" s="227"/>
      <c r="U105" s="227"/>
    </row>
    <row r="106" spans="1:21" ht="12.75" customHeight="1" x14ac:dyDescent="0.25">
      <c r="A106" s="229"/>
      <c r="B106" s="227"/>
      <c r="C106" s="227"/>
      <c r="D106" s="243"/>
      <c r="E106" s="244"/>
      <c r="F106" s="245"/>
      <c r="G106" s="331"/>
      <c r="H106" s="332"/>
      <c r="I106" s="332"/>
      <c r="J106" s="332"/>
      <c r="K106" s="332"/>
      <c r="L106" s="332"/>
      <c r="M106" s="332"/>
      <c r="N106" s="332"/>
      <c r="O106" s="227"/>
      <c r="P106" s="227"/>
      <c r="Q106" s="227"/>
      <c r="R106" s="227"/>
      <c r="S106" s="227"/>
      <c r="T106" s="227"/>
      <c r="U106" s="227"/>
    </row>
    <row r="107" spans="1:21" ht="12.75" customHeight="1" x14ac:dyDescent="0.25">
      <c r="A107" s="229"/>
      <c r="B107" s="227"/>
      <c r="C107" s="227"/>
      <c r="D107" s="243"/>
      <c r="E107" s="244"/>
      <c r="F107" s="245"/>
      <c r="G107" s="331"/>
      <c r="H107" s="332"/>
      <c r="I107" s="332"/>
      <c r="J107" s="332"/>
      <c r="K107" s="332"/>
      <c r="L107" s="332"/>
      <c r="M107" s="332"/>
      <c r="N107" s="332"/>
      <c r="O107" s="227"/>
      <c r="P107" s="227"/>
      <c r="Q107" s="227"/>
      <c r="R107" s="227"/>
      <c r="S107" s="227"/>
      <c r="T107" s="227"/>
      <c r="U107" s="227"/>
    </row>
    <row r="108" spans="1:21" ht="12.75" customHeight="1" x14ac:dyDescent="0.25">
      <c r="A108" s="229"/>
      <c r="B108" s="227"/>
      <c r="C108" s="227"/>
      <c r="D108" s="243"/>
      <c r="E108" s="244"/>
      <c r="F108" s="245"/>
      <c r="G108" s="331"/>
      <c r="H108" s="332"/>
      <c r="I108" s="332"/>
      <c r="J108" s="332"/>
      <c r="K108" s="332"/>
      <c r="L108" s="332"/>
      <c r="M108" s="332"/>
      <c r="N108" s="332"/>
      <c r="O108" s="227"/>
      <c r="P108" s="227"/>
      <c r="Q108" s="227"/>
      <c r="R108" s="227"/>
      <c r="S108" s="227"/>
      <c r="T108" s="227"/>
      <c r="U108" s="227"/>
    </row>
    <row r="109" spans="1:21" ht="12.75" customHeight="1" x14ac:dyDescent="0.25">
      <c r="A109" s="229"/>
      <c r="B109" s="227"/>
      <c r="C109" s="227"/>
      <c r="D109" s="243"/>
      <c r="E109" s="244"/>
      <c r="F109" s="245"/>
      <c r="G109" s="331"/>
      <c r="H109" s="332"/>
      <c r="I109" s="332"/>
      <c r="J109" s="332"/>
      <c r="K109" s="332"/>
      <c r="L109" s="332"/>
      <c r="M109" s="332"/>
      <c r="N109" s="332"/>
      <c r="O109" s="227"/>
      <c r="P109" s="227"/>
      <c r="Q109" s="227"/>
      <c r="R109" s="227"/>
      <c r="S109" s="227"/>
      <c r="T109" s="227"/>
      <c r="U109" s="227"/>
    </row>
    <row r="110" spans="1:21" ht="12.75" customHeight="1" x14ac:dyDescent="0.25">
      <c r="A110" s="229"/>
      <c r="B110" s="227"/>
      <c r="C110" s="227"/>
      <c r="D110" s="243"/>
      <c r="E110" s="244"/>
      <c r="F110" s="245"/>
      <c r="G110" s="331"/>
      <c r="H110" s="332"/>
      <c r="I110" s="332"/>
      <c r="J110" s="332"/>
      <c r="K110" s="332"/>
      <c r="L110" s="332"/>
      <c r="M110" s="332"/>
      <c r="N110" s="332"/>
      <c r="O110" s="227"/>
      <c r="P110" s="227"/>
      <c r="Q110" s="227"/>
      <c r="R110" s="227"/>
      <c r="S110" s="227"/>
      <c r="T110" s="227"/>
      <c r="U110" s="227"/>
    </row>
    <row r="111" spans="1:21" ht="12.75" customHeight="1" x14ac:dyDescent="0.25">
      <c r="A111" s="229"/>
      <c r="B111" s="227"/>
      <c r="C111" s="227"/>
      <c r="D111" s="243"/>
      <c r="E111" s="244"/>
      <c r="F111" s="245"/>
      <c r="G111" s="331"/>
      <c r="H111" s="332"/>
      <c r="I111" s="332"/>
      <c r="J111" s="332"/>
      <c r="K111" s="332"/>
      <c r="L111" s="332"/>
      <c r="M111" s="332"/>
      <c r="N111" s="332"/>
      <c r="O111" s="227"/>
      <c r="P111" s="227"/>
      <c r="Q111" s="227"/>
      <c r="R111" s="227"/>
      <c r="S111" s="227"/>
      <c r="T111" s="227"/>
      <c r="U111" s="227"/>
    </row>
    <row r="112" spans="1:21" ht="12.75" customHeight="1" x14ac:dyDescent="0.25">
      <c r="A112" s="229"/>
      <c r="B112" s="227"/>
      <c r="C112" s="227"/>
      <c r="D112" s="243"/>
      <c r="E112" s="244"/>
      <c r="F112" s="245"/>
      <c r="G112" s="331"/>
      <c r="H112" s="332"/>
      <c r="I112" s="332"/>
      <c r="J112" s="332"/>
      <c r="K112" s="332"/>
      <c r="L112" s="332"/>
      <c r="M112" s="332"/>
      <c r="N112" s="332"/>
      <c r="O112" s="227"/>
      <c r="P112" s="227"/>
      <c r="Q112" s="227"/>
      <c r="R112" s="227"/>
      <c r="S112" s="227"/>
      <c r="T112" s="227"/>
      <c r="U112" s="227"/>
    </row>
    <row r="113" spans="1:21" ht="12.75" customHeight="1" x14ac:dyDescent="0.25">
      <c r="A113" s="229"/>
      <c r="B113" s="227"/>
      <c r="C113" s="227"/>
      <c r="D113" s="243"/>
      <c r="E113" s="244"/>
      <c r="F113" s="245"/>
      <c r="G113" s="331"/>
      <c r="H113" s="332"/>
      <c r="I113" s="332"/>
      <c r="J113" s="332"/>
      <c r="K113" s="332"/>
      <c r="L113" s="332"/>
      <c r="M113" s="332"/>
      <c r="N113" s="332"/>
      <c r="O113" s="227"/>
      <c r="P113" s="227"/>
      <c r="Q113" s="227"/>
      <c r="R113" s="227"/>
      <c r="S113" s="227"/>
      <c r="T113" s="227"/>
      <c r="U113" s="227"/>
    </row>
    <row r="114" spans="1:21" ht="12.75" customHeight="1" x14ac:dyDescent="0.25">
      <c r="A114" s="229"/>
      <c r="B114" s="227"/>
      <c r="C114" s="227"/>
      <c r="D114" s="243"/>
      <c r="E114" s="244"/>
      <c r="F114" s="245"/>
      <c r="G114" s="331"/>
      <c r="H114" s="332"/>
      <c r="I114" s="332"/>
      <c r="J114" s="332"/>
      <c r="K114" s="332"/>
      <c r="L114" s="332"/>
      <c r="M114" s="332"/>
      <c r="N114" s="332"/>
      <c r="O114" s="227"/>
      <c r="P114" s="227"/>
      <c r="Q114" s="227"/>
      <c r="R114" s="227"/>
      <c r="S114" s="227"/>
      <c r="T114" s="227"/>
      <c r="U114" s="227"/>
    </row>
    <row r="115" spans="1:21" ht="12.75" customHeight="1" x14ac:dyDescent="0.25">
      <c r="A115" s="229"/>
      <c r="B115" s="227"/>
      <c r="C115" s="227"/>
      <c r="D115" s="243"/>
      <c r="E115" s="244"/>
      <c r="F115" s="245"/>
      <c r="G115" s="331"/>
      <c r="H115" s="332"/>
      <c r="I115" s="332"/>
      <c r="J115" s="332"/>
      <c r="K115" s="332"/>
      <c r="L115" s="332"/>
      <c r="M115" s="332"/>
      <c r="N115" s="332"/>
      <c r="O115" s="227"/>
      <c r="P115" s="227"/>
      <c r="Q115" s="227"/>
      <c r="R115" s="227"/>
      <c r="S115" s="227"/>
      <c r="T115" s="227"/>
      <c r="U115" s="227"/>
    </row>
    <row r="116" spans="1:21" ht="12.75" customHeight="1" x14ac:dyDescent="0.25">
      <c r="A116" s="229"/>
      <c r="B116" s="227"/>
      <c r="C116" s="227"/>
      <c r="D116" s="243"/>
      <c r="E116" s="244"/>
      <c r="F116" s="245"/>
      <c r="G116" s="331"/>
      <c r="H116" s="332"/>
      <c r="I116" s="332"/>
      <c r="J116" s="332"/>
      <c r="K116" s="332"/>
      <c r="L116" s="332"/>
      <c r="M116" s="332"/>
      <c r="N116" s="332"/>
      <c r="O116" s="227"/>
      <c r="P116" s="227"/>
      <c r="Q116" s="227"/>
      <c r="R116" s="227"/>
      <c r="S116" s="227"/>
      <c r="T116" s="227"/>
      <c r="U116" s="227"/>
    </row>
    <row r="117" spans="1:21" ht="12.75" customHeight="1" x14ac:dyDescent="0.25">
      <c r="A117" s="229"/>
      <c r="B117" s="227"/>
      <c r="C117" s="227"/>
      <c r="D117" s="243"/>
      <c r="E117" s="244"/>
      <c r="F117" s="245"/>
      <c r="G117" s="331"/>
      <c r="H117" s="332"/>
      <c r="I117" s="332"/>
      <c r="J117" s="332"/>
      <c r="K117" s="332"/>
      <c r="L117" s="332"/>
      <c r="M117" s="332"/>
      <c r="N117" s="332"/>
      <c r="O117" s="227"/>
      <c r="P117" s="227"/>
      <c r="Q117" s="227"/>
      <c r="R117" s="227"/>
      <c r="S117" s="227"/>
      <c r="T117" s="227"/>
      <c r="U117" s="227"/>
    </row>
    <row r="118" spans="1:21" ht="12.75" customHeight="1" x14ac:dyDescent="0.25">
      <c r="A118" s="229"/>
      <c r="B118" s="227"/>
      <c r="C118" s="227"/>
      <c r="D118" s="243"/>
      <c r="E118" s="244"/>
      <c r="F118" s="245"/>
      <c r="G118" s="331"/>
      <c r="H118" s="332"/>
      <c r="I118" s="332"/>
      <c r="J118" s="332"/>
      <c r="K118" s="332"/>
      <c r="L118" s="332"/>
      <c r="M118" s="332"/>
      <c r="N118" s="332"/>
      <c r="O118" s="227"/>
      <c r="P118" s="227"/>
      <c r="Q118" s="227"/>
      <c r="R118" s="227"/>
      <c r="S118" s="227"/>
      <c r="T118" s="227"/>
      <c r="U118" s="227"/>
    </row>
    <row r="119" spans="1:21" ht="12.75" customHeight="1" x14ac:dyDescent="0.25">
      <c r="A119" s="229"/>
      <c r="B119" s="227"/>
      <c r="C119" s="227"/>
      <c r="D119" s="243"/>
      <c r="E119" s="244"/>
      <c r="F119" s="245"/>
      <c r="G119" s="331"/>
      <c r="H119" s="332"/>
      <c r="I119" s="332"/>
      <c r="J119" s="332"/>
      <c r="K119" s="332"/>
      <c r="L119" s="332"/>
      <c r="M119" s="332"/>
      <c r="N119" s="332"/>
      <c r="O119" s="227"/>
      <c r="P119" s="227"/>
      <c r="Q119" s="227"/>
      <c r="R119" s="227"/>
      <c r="S119" s="227"/>
      <c r="T119" s="227"/>
      <c r="U119" s="227"/>
    </row>
    <row r="120" spans="1:21" ht="12.75" customHeight="1" x14ac:dyDescent="0.25">
      <c r="A120" s="229"/>
      <c r="B120" s="227"/>
      <c r="C120" s="227"/>
      <c r="D120" s="243"/>
      <c r="E120" s="244"/>
      <c r="F120" s="245"/>
      <c r="G120" s="331"/>
      <c r="H120" s="332"/>
      <c r="I120" s="332"/>
      <c r="J120" s="332"/>
      <c r="K120" s="332"/>
      <c r="L120" s="332"/>
      <c r="M120" s="332"/>
      <c r="N120" s="332"/>
      <c r="O120" s="227"/>
      <c r="P120" s="227"/>
      <c r="Q120" s="227"/>
      <c r="R120" s="227"/>
      <c r="S120" s="227"/>
      <c r="T120" s="227"/>
      <c r="U120" s="227"/>
    </row>
    <row r="121" spans="1:21" ht="12.75" customHeight="1" x14ac:dyDescent="0.25">
      <c r="A121" s="229"/>
      <c r="B121" s="227"/>
      <c r="C121" s="227"/>
      <c r="D121" s="243"/>
      <c r="E121" s="244"/>
      <c r="F121" s="245"/>
      <c r="G121" s="331"/>
      <c r="H121" s="332"/>
      <c r="I121" s="332"/>
      <c r="J121" s="332"/>
      <c r="K121" s="332"/>
      <c r="L121" s="332"/>
      <c r="M121" s="332"/>
      <c r="N121" s="332"/>
      <c r="O121" s="227"/>
      <c r="P121" s="227"/>
      <c r="Q121" s="227"/>
      <c r="R121" s="227"/>
      <c r="S121" s="227"/>
      <c r="T121" s="227"/>
      <c r="U121" s="227"/>
    </row>
    <row r="122" spans="1:21" ht="12.75" customHeight="1" x14ac:dyDescent="0.25">
      <c r="A122" s="229"/>
      <c r="B122" s="227"/>
      <c r="C122" s="227"/>
      <c r="D122" s="243"/>
      <c r="E122" s="244"/>
      <c r="F122" s="245"/>
      <c r="G122" s="331"/>
      <c r="H122" s="332"/>
      <c r="I122" s="332"/>
      <c r="J122" s="332"/>
      <c r="K122" s="332"/>
      <c r="L122" s="332"/>
      <c r="M122" s="332"/>
      <c r="N122" s="332"/>
      <c r="O122" s="227"/>
      <c r="P122" s="227"/>
      <c r="Q122" s="227"/>
      <c r="R122" s="227"/>
      <c r="S122" s="227"/>
      <c r="T122" s="227"/>
      <c r="U122" s="227"/>
    </row>
    <row r="123" spans="1:21" ht="12.75" customHeight="1" x14ac:dyDescent="0.25">
      <c r="A123" s="229"/>
      <c r="B123" s="227"/>
      <c r="C123" s="227"/>
      <c r="D123" s="243"/>
      <c r="E123" s="244"/>
      <c r="F123" s="245"/>
      <c r="G123" s="331"/>
      <c r="H123" s="332"/>
      <c r="I123" s="332"/>
      <c r="J123" s="332"/>
      <c r="K123" s="332"/>
      <c r="L123" s="332"/>
      <c r="M123" s="332"/>
      <c r="N123" s="332"/>
      <c r="O123" s="227"/>
      <c r="P123" s="227"/>
      <c r="Q123" s="227"/>
      <c r="R123" s="227"/>
      <c r="S123" s="227"/>
      <c r="T123" s="227"/>
      <c r="U123" s="227"/>
    </row>
    <row r="124" spans="1:21" ht="12.75" customHeight="1" x14ac:dyDescent="0.25">
      <c r="A124" s="229"/>
      <c r="B124" s="227"/>
      <c r="C124" s="227"/>
      <c r="D124" s="243"/>
      <c r="E124" s="244"/>
      <c r="F124" s="245"/>
      <c r="G124" s="331"/>
      <c r="H124" s="332"/>
      <c r="I124" s="332"/>
      <c r="J124" s="332"/>
      <c r="K124" s="332"/>
      <c r="L124" s="332"/>
      <c r="M124" s="332"/>
      <c r="N124" s="332"/>
      <c r="O124" s="227"/>
      <c r="P124" s="227"/>
      <c r="Q124" s="227"/>
      <c r="R124" s="227"/>
      <c r="S124" s="227"/>
      <c r="T124" s="227"/>
      <c r="U124" s="227"/>
    </row>
    <row r="125" spans="1:21" ht="12.75" customHeight="1" x14ac:dyDescent="0.25">
      <c r="A125" s="229"/>
      <c r="B125" s="227"/>
      <c r="C125" s="227"/>
      <c r="D125" s="243"/>
      <c r="E125" s="244"/>
      <c r="F125" s="245"/>
      <c r="G125" s="331"/>
      <c r="H125" s="332"/>
      <c r="I125" s="332"/>
      <c r="J125" s="332"/>
      <c r="K125" s="332"/>
      <c r="L125" s="332"/>
      <c r="M125" s="332"/>
      <c r="N125" s="332"/>
      <c r="O125" s="227"/>
      <c r="P125" s="227"/>
      <c r="Q125" s="227"/>
      <c r="R125" s="227"/>
      <c r="S125" s="227"/>
      <c r="T125" s="227"/>
      <c r="U125" s="227"/>
    </row>
    <row r="126" spans="1:21" ht="12.75" customHeight="1" x14ac:dyDescent="0.25">
      <c r="A126" s="229"/>
      <c r="B126" s="227"/>
      <c r="C126" s="227"/>
      <c r="D126" s="243"/>
      <c r="E126" s="244"/>
      <c r="F126" s="245"/>
      <c r="G126" s="331"/>
      <c r="H126" s="332"/>
      <c r="I126" s="332"/>
      <c r="J126" s="332"/>
      <c r="K126" s="332"/>
      <c r="L126" s="332"/>
      <c r="M126" s="332"/>
      <c r="N126" s="332"/>
      <c r="O126" s="227"/>
      <c r="P126" s="227"/>
      <c r="Q126" s="227"/>
      <c r="R126" s="227"/>
      <c r="S126" s="227"/>
      <c r="T126" s="227"/>
      <c r="U126" s="227"/>
    </row>
    <row r="127" spans="1:21" ht="12.75" customHeight="1" x14ac:dyDescent="0.25">
      <c r="A127" s="229"/>
      <c r="B127" s="227"/>
      <c r="C127" s="227"/>
      <c r="D127" s="243"/>
      <c r="E127" s="244"/>
      <c r="F127" s="245"/>
      <c r="G127" s="331"/>
      <c r="H127" s="332"/>
      <c r="I127" s="332"/>
      <c r="J127" s="332"/>
      <c r="K127" s="332"/>
      <c r="L127" s="332"/>
      <c r="M127" s="332"/>
      <c r="N127" s="332"/>
      <c r="O127" s="227"/>
      <c r="P127" s="227"/>
      <c r="Q127" s="227"/>
      <c r="R127" s="227"/>
      <c r="S127" s="227"/>
      <c r="T127" s="227"/>
      <c r="U127" s="227"/>
    </row>
    <row r="128" spans="1:21" ht="12.75" customHeight="1" x14ac:dyDescent="0.25">
      <c r="A128" s="229"/>
      <c r="B128" s="227"/>
      <c r="C128" s="227"/>
      <c r="D128" s="243"/>
      <c r="E128" s="244"/>
      <c r="F128" s="245"/>
      <c r="G128" s="331"/>
      <c r="H128" s="332"/>
      <c r="I128" s="332"/>
      <c r="J128" s="332"/>
      <c r="K128" s="332"/>
      <c r="L128" s="332"/>
      <c r="M128" s="332"/>
      <c r="N128" s="332"/>
      <c r="O128" s="227"/>
      <c r="P128" s="227"/>
      <c r="Q128" s="227"/>
      <c r="R128" s="227"/>
      <c r="S128" s="227"/>
      <c r="T128" s="227"/>
      <c r="U128" s="227"/>
    </row>
    <row r="129" spans="1:21" ht="12.75" customHeight="1" x14ac:dyDescent="0.25">
      <c r="A129" s="229"/>
      <c r="B129" s="227"/>
      <c r="C129" s="227"/>
      <c r="D129" s="243"/>
      <c r="E129" s="244"/>
      <c r="F129" s="245"/>
      <c r="G129" s="331"/>
      <c r="H129" s="332"/>
      <c r="I129" s="332"/>
      <c r="J129" s="332"/>
      <c r="K129" s="332"/>
      <c r="L129" s="332"/>
      <c r="M129" s="332"/>
      <c r="N129" s="332"/>
      <c r="O129" s="227"/>
      <c r="P129" s="227"/>
      <c r="Q129" s="227"/>
      <c r="R129" s="227"/>
      <c r="S129" s="227"/>
      <c r="T129" s="227"/>
      <c r="U129" s="227"/>
    </row>
    <row r="130" spans="1:21" ht="12.75" customHeight="1" x14ac:dyDescent="0.25">
      <c r="A130" s="229"/>
      <c r="B130" s="227"/>
      <c r="C130" s="227"/>
      <c r="D130" s="243"/>
      <c r="E130" s="244"/>
      <c r="F130" s="245"/>
      <c r="G130" s="331"/>
      <c r="H130" s="332"/>
      <c r="I130" s="332"/>
      <c r="J130" s="332"/>
      <c r="K130" s="332"/>
      <c r="L130" s="332"/>
      <c r="M130" s="332"/>
      <c r="N130" s="332"/>
      <c r="O130" s="227"/>
      <c r="P130" s="227"/>
      <c r="Q130" s="227"/>
      <c r="R130" s="227"/>
      <c r="S130" s="227"/>
      <c r="T130" s="227"/>
      <c r="U130" s="227"/>
    </row>
    <row r="131" spans="1:21" ht="12.75" customHeight="1" x14ac:dyDescent="0.25">
      <c r="A131" s="229"/>
      <c r="B131" s="227"/>
      <c r="C131" s="227"/>
      <c r="D131" s="243"/>
      <c r="E131" s="244"/>
      <c r="F131" s="245"/>
      <c r="G131" s="331"/>
      <c r="H131" s="332"/>
      <c r="I131" s="332"/>
      <c r="J131" s="332"/>
      <c r="K131" s="332"/>
      <c r="L131" s="332"/>
      <c r="M131" s="332"/>
      <c r="N131" s="332"/>
      <c r="O131" s="227"/>
      <c r="P131" s="227"/>
      <c r="Q131" s="227"/>
      <c r="R131" s="227"/>
      <c r="S131" s="227"/>
      <c r="T131" s="227"/>
      <c r="U131" s="227"/>
    </row>
    <row r="132" spans="1:21" ht="12.75" customHeight="1" x14ac:dyDescent="0.25">
      <c r="A132" s="229"/>
      <c r="B132" s="227"/>
      <c r="C132" s="227"/>
      <c r="D132" s="243"/>
      <c r="E132" s="244"/>
      <c r="F132" s="245"/>
      <c r="G132" s="331"/>
      <c r="H132" s="332"/>
      <c r="I132" s="332"/>
      <c r="J132" s="332"/>
      <c r="K132" s="332"/>
      <c r="L132" s="332"/>
      <c r="M132" s="332"/>
      <c r="N132" s="332"/>
      <c r="O132" s="227"/>
      <c r="P132" s="227"/>
      <c r="Q132" s="227"/>
      <c r="R132" s="227"/>
      <c r="S132" s="227"/>
      <c r="T132" s="227"/>
      <c r="U132" s="227"/>
    </row>
    <row r="133" spans="1:21" ht="12.75" customHeight="1" x14ac:dyDescent="0.25">
      <c r="A133" s="229"/>
      <c r="B133" s="227"/>
      <c r="C133" s="227"/>
      <c r="D133" s="243"/>
      <c r="E133" s="244"/>
      <c r="F133" s="245"/>
      <c r="G133" s="331"/>
      <c r="H133" s="332"/>
      <c r="I133" s="332"/>
      <c r="J133" s="332"/>
      <c r="K133" s="332"/>
      <c r="L133" s="332"/>
      <c r="M133" s="332"/>
      <c r="N133" s="332"/>
      <c r="O133" s="227"/>
      <c r="P133" s="227"/>
      <c r="Q133" s="227"/>
      <c r="R133" s="227"/>
      <c r="S133" s="227"/>
      <c r="T133" s="227"/>
      <c r="U133" s="227"/>
    </row>
    <row r="134" spans="1:21" ht="12.75" customHeight="1" x14ac:dyDescent="0.25">
      <c r="A134" s="229"/>
      <c r="B134" s="227"/>
      <c r="C134" s="227"/>
      <c r="D134" s="243"/>
      <c r="E134" s="244"/>
      <c r="F134" s="245"/>
      <c r="G134" s="331"/>
      <c r="H134" s="332"/>
      <c r="I134" s="332"/>
      <c r="J134" s="332"/>
      <c r="K134" s="332"/>
      <c r="L134" s="332"/>
      <c r="M134" s="332"/>
      <c r="N134" s="332"/>
      <c r="O134" s="227"/>
      <c r="P134" s="227"/>
      <c r="Q134" s="227"/>
      <c r="R134" s="227"/>
      <c r="S134" s="227"/>
      <c r="T134" s="227"/>
      <c r="U134" s="227"/>
    </row>
    <row r="135" spans="1:21" ht="12.75" customHeight="1" x14ac:dyDescent="0.25">
      <c r="A135" s="229"/>
      <c r="B135" s="227"/>
      <c r="C135" s="227"/>
      <c r="D135" s="243"/>
      <c r="E135" s="244"/>
      <c r="F135" s="245"/>
      <c r="G135" s="331"/>
      <c r="H135" s="332"/>
      <c r="I135" s="332"/>
      <c r="J135" s="332"/>
      <c r="K135" s="332"/>
      <c r="L135" s="332"/>
      <c r="M135" s="332"/>
      <c r="N135" s="332"/>
      <c r="O135" s="227"/>
      <c r="P135" s="227"/>
      <c r="Q135" s="227"/>
      <c r="R135" s="227"/>
      <c r="S135" s="227"/>
      <c r="T135" s="227"/>
      <c r="U135" s="227"/>
    </row>
    <row r="136" spans="1:21" ht="12.75" customHeight="1" x14ac:dyDescent="0.25">
      <c r="A136" s="229"/>
      <c r="B136" s="227"/>
      <c r="C136" s="227"/>
      <c r="D136" s="243"/>
      <c r="E136" s="244"/>
      <c r="F136" s="245"/>
      <c r="G136" s="331"/>
      <c r="H136" s="332"/>
      <c r="I136" s="332"/>
      <c r="J136" s="332"/>
      <c r="K136" s="332"/>
      <c r="L136" s="332"/>
      <c r="M136" s="332"/>
      <c r="N136" s="332"/>
      <c r="O136" s="227"/>
      <c r="P136" s="227"/>
      <c r="Q136" s="227"/>
      <c r="R136" s="227"/>
      <c r="S136" s="227"/>
      <c r="T136" s="227"/>
      <c r="U136" s="227"/>
    </row>
    <row r="137" spans="1:21" ht="12.75" customHeight="1" x14ac:dyDescent="0.25">
      <c r="A137" s="229"/>
      <c r="B137" s="227"/>
      <c r="C137" s="227"/>
      <c r="D137" s="243"/>
      <c r="E137" s="244"/>
      <c r="F137" s="245"/>
      <c r="G137" s="331"/>
      <c r="H137" s="332"/>
      <c r="I137" s="332"/>
      <c r="J137" s="332"/>
      <c r="K137" s="332"/>
      <c r="L137" s="332"/>
      <c r="M137" s="332"/>
      <c r="N137" s="332"/>
      <c r="O137" s="227"/>
      <c r="P137" s="227"/>
      <c r="Q137" s="227"/>
      <c r="R137" s="227"/>
      <c r="S137" s="227"/>
      <c r="T137" s="227"/>
      <c r="U137" s="227"/>
    </row>
    <row r="138" spans="1:21" ht="12.75" customHeight="1" x14ac:dyDescent="0.25">
      <c r="A138" s="229"/>
      <c r="B138" s="227"/>
      <c r="C138" s="227"/>
      <c r="D138" s="243"/>
      <c r="E138" s="244"/>
      <c r="F138" s="245"/>
      <c r="G138" s="331"/>
      <c r="H138" s="332"/>
      <c r="I138" s="332"/>
      <c r="J138" s="332"/>
      <c r="K138" s="332"/>
      <c r="L138" s="332"/>
      <c r="M138" s="332"/>
      <c r="N138" s="332"/>
      <c r="O138" s="227"/>
      <c r="P138" s="227"/>
      <c r="Q138" s="227"/>
      <c r="R138" s="227"/>
      <c r="S138" s="227"/>
      <c r="T138" s="227"/>
      <c r="U138" s="227"/>
    </row>
    <row r="139" spans="1:21" ht="12.75" customHeight="1" x14ac:dyDescent="0.25">
      <c r="A139" s="229"/>
      <c r="B139" s="227"/>
      <c r="C139" s="227"/>
      <c r="D139" s="243"/>
      <c r="E139" s="244"/>
      <c r="F139" s="245"/>
      <c r="G139" s="331"/>
      <c r="H139" s="332"/>
      <c r="I139" s="332"/>
      <c r="J139" s="332"/>
      <c r="K139" s="332"/>
      <c r="L139" s="332"/>
      <c r="M139" s="332"/>
      <c r="N139" s="332"/>
      <c r="O139" s="227"/>
      <c r="P139" s="227"/>
      <c r="Q139" s="227"/>
      <c r="R139" s="227"/>
      <c r="S139" s="227"/>
      <c r="T139" s="227"/>
      <c r="U139" s="227"/>
    </row>
    <row r="140" spans="1:21" ht="12.75" customHeight="1" x14ac:dyDescent="0.25">
      <c r="A140" s="229"/>
      <c r="B140" s="227"/>
      <c r="C140" s="227"/>
      <c r="D140" s="243"/>
      <c r="E140" s="244"/>
      <c r="F140" s="245"/>
      <c r="G140" s="331"/>
      <c r="H140" s="332"/>
      <c r="I140" s="332"/>
      <c r="J140" s="332"/>
      <c r="K140" s="332"/>
      <c r="L140" s="332"/>
      <c r="M140" s="332"/>
      <c r="N140" s="332"/>
      <c r="O140" s="227"/>
      <c r="P140" s="227"/>
      <c r="Q140" s="227"/>
      <c r="R140" s="227"/>
      <c r="S140" s="227"/>
      <c r="T140" s="227"/>
      <c r="U140" s="227"/>
    </row>
    <row r="141" spans="1:21" ht="12.75" customHeight="1" x14ac:dyDescent="0.25">
      <c r="A141" s="229"/>
      <c r="B141" s="227"/>
      <c r="C141" s="227"/>
      <c r="D141" s="243"/>
      <c r="E141" s="244"/>
      <c r="F141" s="245"/>
      <c r="G141" s="331"/>
      <c r="H141" s="332"/>
      <c r="I141" s="332"/>
      <c r="J141" s="332"/>
      <c r="K141" s="332"/>
      <c r="L141" s="332"/>
      <c r="M141" s="332"/>
      <c r="N141" s="332"/>
      <c r="O141" s="227"/>
      <c r="P141" s="227"/>
      <c r="Q141" s="227"/>
      <c r="R141" s="227"/>
      <c r="S141" s="227"/>
      <c r="T141" s="227"/>
      <c r="U141" s="227"/>
    </row>
    <row r="142" spans="1:21" ht="12.75" customHeight="1" x14ac:dyDescent="0.25">
      <c r="A142" s="229"/>
      <c r="B142" s="227"/>
      <c r="C142" s="227"/>
      <c r="D142" s="243"/>
      <c r="E142" s="244"/>
      <c r="F142" s="245"/>
      <c r="G142" s="331"/>
      <c r="H142" s="332"/>
      <c r="I142" s="332"/>
      <c r="J142" s="332"/>
      <c r="K142" s="332"/>
      <c r="L142" s="332"/>
      <c r="M142" s="332"/>
      <c r="N142" s="332"/>
      <c r="O142" s="227"/>
      <c r="P142" s="227"/>
      <c r="Q142" s="227"/>
      <c r="R142" s="227"/>
      <c r="S142" s="227"/>
      <c r="T142" s="227"/>
      <c r="U142" s="227"/>
    </row>
    <row r="143" spans="1:21" ht="12.75" customHeight="1" x14ac:dyDescent="0.25">
      <c r="A143" s="229"/>
      <c r="B143" s="227"/>
      <c r="C143" s="227"/>
      <c r="D143" s="243"/>
      <c r="E143" s="244"/>
      <c r="F143" s="245"/>
      <c r="G143" s="331"/>
      <c r="H143" s="332"/>
      <c r="I143" s="332"/>
      <c r="J143" s="332"/>
      <c r="K143" s="332"/>
      <c r="L143" s="332"/>
      <c r="M143" s="332"/>
      <c r="N143" s="332"/>
      <c r="O143" s="227"/>
      <c r="P143" s="227"/>
      <c r="Q143" s="227"/>
      <c r="R143" s="227"/>
      <c r="S143" s="227"/>
      <c r="T143" s="227"/>
      <c r="U143" s="227"/>
    </row>
    <row r="144" spans="1:21" ht="12.75" customHeight="1" x14ac:dyDescent="0.25">
      <c r="A144" s="229"/>
      <c r="B144" s="227"/>
      <c r="C144" s="227"/>
      <c r="D144" s="243"/>
      <c r="E144" s="244"/>
      <c r="F144" s="245"/>
      <c r="G144" s="331"/>
      <c r="H144" s="332"/>
      <c r="I144" s="332"/>
      <c r="J144" s="332"/>
      <c r="K144" s="332"/>
      <c r="L144" s="332"/>
      <c r="M144" s="332"/>
      <c r="N144" s="332"/>
      <c r="O144" s="227"/>
      <c r="P144" s="227"/>
      <c r="Q144" s="227"/>
      <c r="R144" s="227"/>
      <c r="S144" s="227"/>
      <c r="T144" s="227"/>
      <c r="U144" s="227"/>
    </row>
    <row r="145" spans="1:21" ht="12.75" customHeight="1" x14ac:dyDescent="0.25">
      <c r="A145" s="229"/>
      <c r="B145" s="227"/>
      <c r="C145" s="227"/>
      <c r="D145" s="243"/>
      <c r="E145" s="244"/>
      <c r="F145" s="245"/>
      <c r="G145" s="331"/>
      <c r="H145" s="332"/>
      <c r="I145" s="332"/>
      <c r="J145" s="332"/>
      <c r="K145" s="332"/>
      <c r="L145" s="332"/>
      <c r="M145" s="332"/>
      <c r="N145" s="332"/>
      <c r="O145" s="227"/>
      <c r="P145" s="227"/>
      <c r="Q145" s="227"/>
      <c r="R145" s="227"/>
      <c r="S145" s="227"/>
      <c r="T145" s="227"/>
      <c r="U145" s="227"/>
    </row>
    <row r="146" spans="1:21" ht="12.75" customHeight="1" x14ac:dyDescent="0.25">
      <c r="A146" s="229"/>
      <c r="B146" s="227"/>
      <c r="C146" s="227"/>
      <c r="D146" s="243"/>
      <c r="E146" s="244"/>
      <c r="F146" s="245"/>
      <c r="G146" s="331"/>
      <c r="H146" s="332"/>
      <c r="I146" s="332"/>
      <c r="J146" s="332"/>
      <c r="K146" s="332"/>
      <c r="L146" s="332"/>
      <c r="M146" s="332"/>
      <c r="N146" s="332"/>
      <c r="O146" s="227"/>
      <c r="P146" s="227"/>
      <c r="Q146" s="227"/>
      <c r="R146" s="227"/>
      <c r="S146" s="227"/>
      <c r="T146" s="227"/>
      <c r="U146" s="227"/>
    </row>
    <row r="147" spans="1:21" ht="12.75" customHeight="1" x14ac:dyDescent="0.25">
      <c r="A147" s="229"/>
      <c r="B147" s="227"/>
      <c r="C147" s="227"/>
      <c r="D147" s="243"/>
      <c r="E147" s="244"/>
      <c r="F147" s="245"/>
      <c r="G147" s="331"/>
      <c r="H147" s="332"/>
      <c r="I147" s="332"/>
      <c r="J147" s="332"/>
      <c r="K147" s="332"/>
      <c r="L147" s="332"/>
      <c r="M147" s="332"/>
      <c r="N147" s="332"/>
      <c r="O147" s="227"/>
      <c r="P147" s="227"/>
      <c r="Q147" s="227"/>
      <c r="R147" s="227"/>
      <c r="S147" s="227"/>
      <c r="T147" s="227"/>
      <c r="U147" s="227"/>
    </row>
    <row r="148" spans="1:21" ht="12.75" customHeight="1" x14ac:dyDescent="0.25">
      <c r="A148" s="229"/>
      <c r="B148" s="227"/>
      <c r="C148" s="227"/>
      <c r="D148" s="243"/>
      <c r="E148" s="244"/>
      <c r="F148" s="245"/>
      <c r="G148" s="331"/>
      <c r="H148" s="332"/>
      <c r="I148" s="332"/>
      <c r="J148" s="332"/>
      <c r="K148" s="332"/>
      <c r="L148" s="332"/>
      <c r="M148" s="332"/>
      <c r="N148" s="332"/>
      <c r="O148" s="227"/>
      <c r="P148" s="227"/>
      <c r="Q148" s="227"/>
      <c r="R148" s="227"/>
      <c r="S148" s="227"/>
      <c r="T148" s="227"/>
      <c r="U148" s="227"/>
    </row>
    <row r="149" spans="1:21" ht="12.75" customHeight="1" x14ac:dyDescent="0.25">
      <c r="A149" s="229"/>
      <c r="B149" s="227"/>
      <c r="C149" s="227"/>
      <c r="D149" s="243"/>
      <c r="E149" s="244"/>
      <c r="F149" s="245"/>
      <c r="G149" s="331"/>
      <c r="H149" s="332"/>
      <c r="I149" s="332"/>
      <c r="J149" s="332"/>
      <c r="K149" s="332"/>
      <c r="L149" s="332"/>
      <c r="M149" s="332"/>
      <c r="N149" s="332"/>
      <c r="O149" s="227"/>
      <c r="P149" s="227"/>
      <c r="Q149" s="227"/>
      <c r="R149" s="227"/>
      <c r="S149" s="227"/>
      <c r="T149" s="227"/>
      <c r="U149" s="227"/>
    </row>
    <row r="150" spans="1:21" ht="12.75" customHeight="1" x14ac:dyDescent="0.25">
      <c r="A150" s="229"/>
      <c r="B150" s="227"/>
      <c r="C150" s="227"/>
      <c r="D150" s="243"/>
      <c r="E150" s="244"/>
      <c r="F150" s="245"/>
      <c r="G150" s="331"/>
      <c r="H150" s="332"/>
      <c r="I150" s="332"/>
      <c r="J150" s="332"/>
      <c r="K150" s="332"/>
      <c r="L150" s="332"/>
      <c r="M150" s="332"/>
      <c r="N150" s="332"/>
      <c r="O150" s="227"/>
      <c r="P150" s="227"/>
      <c r="Q150" s="227"/>
      <c r="R150" s="227"/>
      <c r="S150" s="227"/>
      <c r="T150" s="227"/>
      <c r="U150" s="227"/>
    </row>
    <row r="151" spans="1:21" ht="12.75" customHeight="1" x14ac:dyDescent="0.25">
      <c r="A151" s="229"/>
      <c r="B151" s="227"/>
      <c r="C151" s="227"/>
      <c r="D151" s="243"/>
      <c r="E151" s="244"/>
      <c r="F151" s="245"/>
      <c r="G151" s="331"/>
      <c r="H151" s="332"/>
      <c r="I151" s="332"/>
      <c r="J151" s="332"/>
      <c r="K151" s="332"/>
      <c r="L151" s="332"/>
      <c r="M151" s="332"/>
      <c r="N151" s="332"/>
      <c r="O151" s="227"/>
      <c r="P151" s="227"/>
      <c r="Q151" s="227"/>
      <c r="R151" s="227"/>
      <c r="S151" s="227"/>
      <c r="T151" s="227"/>
      <c r="U151" s="227"/>
    </row>
    <row r="152" spans="1:21" ht="12.75" customHeight="1" x14ac:dyDescent="0.25">
      <c r="A152" s="229"/>
      <c r="B152" s="227"/>
      <c r="C152" s="227"/>
      <c r="D152" s="243"/>
      <c r="E152" s="244"/>
      <c r="F152" s="245"/>
      <c r="G152" s="331"/>
      <c r="H152" s="332"/>
      <c r="I152" s="332"/>
      <c r="J152" s="332"/>
      <c r="K152" s="332"/>
      <c r="L152" s="332"/>
      <c r="M152" s="332"/>
      <c r="N152" s="332"/>
      <c r="O152" s="227"/>
      <c r="P152" s="227"/>
      <c r="Q152" s="227"/>
      <c r="R152" s="227"/>
      <c r="S152" s="227"/>
      <c r="T152" s="227"/>
      <c r="U152" s="227"/>
    </row>
    <row r="153" spans="1:21" ht="12.75" customHeight="1" x14ac:dyDescent="0.25">
      <c r="A153" s="229"/>
      <c r="B153" s="227"/>
      <c r="C153" s="227"/>
      <c r="D153" s="243"/>
      <c r="E153" s="244"/>
      <c r="F153" s="245"/>
      <c r="G153" s="331"/>
      <c r="H153" s="332"/>
      <c r="I153" s="332"/>
      <c r="J153" s="332"/>
      <c r="K153" s="332"/>
      <c r="L153" s="332"/>
      <c r="M153" s="332"/>
      <c r="N153" s="332"/>
      <c r="O153" s="227"/>
      <c r="P153" s="227"/>
      <c r="Q153" s="227"/>
      <c r="R153" s="227"/>
      <c r="S153" s="227"/>
      <c r="T153" s="227"/>
      <c r="U153" s="227"/>
    </row>
    <row r="154" spans="1:21" ht="12.75" customHeight="1" x14ac:dyDescent="0.25">
      <c r="A154" s="229"/>
      <c r="B154" s="227"/>
      <c r="C154" s="227"/>
      <c r="D154" s="243"/>
      <c r="E154" s="244"/>
      <c r="F154" s="245"/>
      <c r="G154" s="331"/>
      <c r="H154" s="332"/>
      <c r="I154" s="332"/>
      <c r="J154" s="332"/>
      <c r="K154" s="332"/>
      <c r="L154" s="332"/>
      <c r="M154" s="332"/>
      <c r="N154" s="332"/>
      <c r="O154" s="227"/>
      <c r="P154" s="227"/>
      <c r="Q154" s="227"/>
      <c r="R154" s="227"/>
      <c r="S154" s="227"/>
      <c r="T154" s="227"/>
      <c r="U154" s="227"/>
    </row>
    <row r="155" spans="1:21" ht="12.75" customHeight="1" x14ac:dyDescent="0.25">
      <c r="A155" s="229"/>
      <c r="B155" s="227"/>
      <c r="C155" s="227"/>
      <c r="D155" s="243"/>
      <c r="E155" s="244"/>
      <c r="F155" s="245"/>
      <c r="G155" s="331"/>
      <c r="H155" s="332"/>
      <c r="I155" s="332"/>
      <c r="J155" s="332"/>
      <c r="K155" s="332"/>
      <c r="L155" s="332"/>
      <c r="M155" s="332"/>
      <c r="N155" s="332"/>
      <c r="O155" s="227"/>
      <c r="P155" s="227"/>
      <c r="Q155" s="227"/>
      <c r="R155" s="227"/>
      <c r="S155" s="227"/>
      <c r="T155" s="227"/>
      <c r="U155" s="227"/>
    </row>
    <row r="156" spans="1:21" ht="12.75" customHeight="1" x14ac:dyDescent="0.25">
      <c r="A156" s="229"/>
      <c r="B156" s="227"/>
      <c r="C156" s="227"/>
      <c r="D156" s="243"/>
      <c r="E156" s="244"/>
      <c r="F156" s="245"/>
      <c r="G156" s="331"/>
      <c r="H156" s="332"/>
      <c r="I156" s="332"/>
      <c r="J156" s="332"/>
      <c r="K156" s="332"/>
      <c r="L156" s="332"/>
      <c r="M156" s="332"/>
      <c r="N156" s="332"/>
      <c r="O156" s="227"/>
      <c r="P156" s="227"/>
      <c r="Q156" s="227"/>
      <c r="R156" s="227"/>
      <c r="S156" s="227"/>
      <c r="T156" s="227"/>
      <c r="U156" s="227"/>
    </row>
    <row r="157" spans="1:21" ht="12.75" customHeight="1" x14ac:dyDescent="0.25">
      <c r="A157" s="229"/>
      <c r="B157" s="227"/>
      <c r="C157" s="227"/>
      <c r="D157" s="243"/>
      <c r="E157" s="244"/>
      <c r="F157" s="245"/>
      <c r="G157" s="331"/>
      <c r="H157" s="332"/>
      <c r="I157" s="332"/>
      <c r="J157" s="332"/>
      <c r="K157" s="332"/>
      <c r="L157" s="332"/>
      <c r="M157" s="332"/>
      <c r="N157" s="332"/>
      <c r="O157" s="227"/>
      <c r="P157" s="227"/>
      <c r="Q157" s="227"/>
      <c r="R157" s="227"/>
      <c r="S157" s="227"/>
      <c r="T157" s="227"/>
      <c r="U157" s="227"/>
    </row>
    <row r="158" spans="1:21" ht="12.75" customHeight="1" x14ac:dyDescent="0.25">
      <c r="A158" s="229"/>
      <c r="B158" s="227"/>
      <c r="C158" s="227"/>
      <c r="D158" s="243"/>
      <c r="E158" s="244"/>
      <c r="F158" s="245"/>
      <c r="G158" s="331"/>
      <c r="H158" s="332"/>
      <c r="I158" s="332"/>
      <c r="J158" s="332"/>
      <c r="K158" s="332"/>
      <c r="L158" s="332"/>
      <c r="M158" s="332"/>
      <c r="N158" s="332"/>
      <c r="O158" s="227"/>
      <c r="P158" s="227"/>
      <c r="Q158" s="227"/>
      <c r="R158" s="227"/>
      <c r="S158" s="227"/>
      <c r="T158" s="227"/>
      <c r="U158" s="227"/>
    </row>
    <row r="159" spans="1:21" ht="12.75" customHeight="1" x14ac:dyDescent="0.25">
      <c r="A159" s="229"/>
      <c r="B159" s="227"/>
      <c r="C159" s="227"/>
      <c r="D159" s="243"/>
      <c r="E159" s="244"/>
      <c r="F159" s="245"/>
      <c r="G159" s="331"/>
      <c r="H159" s="332"/>
      <c r="I159" s="332"/>
      <c r="J159" s="332"/>
      <c r="K159" s="332"/>
      <c r="L159" s="332"/>
      <c r="M159" s="332"/>
      <c r="N159" s="332"/>
      <c r="O159" s="227"/>
      <c r="P159" s="227"/>
      <c r="Q159" s="227"/>
      <c r="R159" s="227"/>
      <c r="S159" s="227"/>
      <c r="T159" s="227"/>
      <c r="U159" s="227"/>
    </row>
    <row r="160" spans="1:21" ht="12.75" customHeight="1" x14ac:dyDescent="0.25">
      <c r="A160" s="229"/>
      <c r="B160" s="227"/>
      <c r="C160" s="227"/>
      <c r="D160" s="243"/>
      <c r="E160" s="244"/>
      <c r="F160" s="245"/>
      <c r="G160" s="331"/>
      <c r="H160" s="332"/>
      <c r="I160" s="332"/>
      <c r="J160" s="332"/>
      <c r="K160" s="332"/>
      <c r="L160" s="332"/>
      <c r="M160" s="332"/>
      <c r="N160" s="332"/>
      <c r="O160" s="227"/>
      <c r="P160" s="227"/>
      <c r="Q160" s="227"/>
      <c r="R160" s="227"/>
      <c r="S160" s="227"/>
      <c r="T160" s="227"/>
      <c r="U160" s="227"/>
    </row>
    <row r="161" spans="1:21" ht="12.75" customHeight="1" x14ac:dyDescent="0.25">
      <c r="A161" s="229"/>
      <c r="B161" s="227"/>
      <c r="C161" s="227"/>
      <c r="D161" s="243"/>
      <c r="E161" s="244"/>
      <c r="F161" s="245"/>
      <c r="G161" s="331"/>
      <c r="H161" s="332"/>
      <c r="I161" s="332"/>
      <c r="J161" s="332"/>
      <c r="K161" s="332"/>
      <c r="L161" s="332"/>
      <c r="M161" s="332"/>
      <c r="N161" s="332"/>
      <c r="O161" s="227"/>
      <c r="P161" s="227"/>
      <c r="Q161" s="227"/>
      <c r="R161" s="227"/>
      <c r="S161" s="227"/>
      <c r="T161" s="227"/>
      <c r="U161" s="227"/>
    </row>
    <row r="162" spans="1:21" ht="12.75" customHeight="1" x14ac:dyDescent="0.25">
      <c r="A162" s="229"/>
      <c r="B162" s="227"/>
      <c r="C162" s="227"/>
      <c r="D162" s="243"/>
      <c r="E162" s="244"/>
      <c r="F162" s="245"/>
      <c r="G162" s="331"/>
      <c r="H162" s="332"/>
      <c r="I162" s="332"/>
      <c r="J162" s="332"/>
      <c r="K162" s="332"/>
      <c r="L162" s="332"/>
      <c r="M162" s="332"/>
      <c r="N162" s="332"/>
      <c r="O162" s="227"/>
      <c r="P162" s="227"/>
      <c r="Q162" s="227"/>
      <c r="R162" s="227"/>
      <c r="S162" s="227"/>
      <c r="T162" s="227"/>
      <c r="U162" s="227"/>
    </row>
    <row r="163" spans="1:21" ht="12.75" customHeight="1" x14ac:dyDescent="0.25">
      <c r="A163" s="229"/>
      <c r="B163" s="227"/>
      <c r="C163" s="227"/>
      <c r="D163" s="243"/>
      <c r="E163" s="244"/>
      <c r="F163" s="245"/>
      <c r="G163" s="331"/>
      <c r="H163" s="332"/>
      <c r="I163" s="332"/>
      <c r="J163" s="332"/>
      <c r="K163" s="332"/>
      <c r="L163" s="332"/>
      <c r="M163" s="332"/>
      <c r="N163" s="332"/>
      <c r="O163" s="227"/>
      <c r="P163" s="227"/>
      <c r="Q163" s="227"/>
      <c r="R163" s="227"/>
      <c r="S163" s="227"/>
      <c r="T163" s="227"/>
      <c r="U163" s="227"/>
    </row>
    <row r="164" spans="1:21" ht="12.75" customHeight="1" x14ac:dyDescent="0.25">
      <c r="A164" s="229"/>
      <c r="B164" s="227"/>
      <c r="C164" s="227"/>
      <c r="D164" s="243"/>
      <c r="E164" s="244"/>
      <c r="F164" s="245"/>
      <c r="G164" s="331"/>
      <c r="H164" s="332"/>
      <c r="I164" s="332"/>
      <c r="J164" s="332"/>
      <c r="K164" s="332"/>
      <c r="L164" s="332"/>
      <c r="M164" s="332"/>
      <c r="N164" s="332"/>
      <c r="O164" s="227"/>
      <c r="P164" s="227"/>
      <c r="Q164" s="227"/>
      <c r="R164" s="227"/>
      <c r="S164" s="227"/>
      <c r="T164" s="227"/>
      <c r="U164" s="227"/>
    </row>
    <row r="165" spans="1:21" ht="12.75" customHeight="1" x14ac:dyDescent="0.25">
      <c r="A165" s="229"/>
      <c r="B165" s="227"/>
      <c r="C165" s="227"/>
      <c r="D165" s="243"/>
      <c r="E165" s="244"/>
      <c r="F165" s="245"/>
      <c r="G165" s="331"/>
      <c r="H165" s="332"/>
      <c r="I165" s="332"/>
      <c r="J165" s="332"/>
      <c r="K165" s="332"/>
      <c r="L165" s="332"/>
      <c r="M165" s="332"/>
      <c r="N165" s="332"/>
      <c r="O165" s="227"/>
      <c r="P165" s="227"/>
      <c r="Q165" s="227"/>
      <c r="R165" s="227"/>
      <c r="S165" s="227"/>
      <c r="T165" s="227"/>
      <c r="U165" s="227"/>
    </row>
    <row r="166" spans="1:21" ht="12.75" customHeight="1" x14ac:dyDescent="0.25">
      <c r="A166" s="229"/>
      <c r="B166" s="227"/>
      <c r="C166" s="227"/>
      <c r="D166" s="243"/>
      <c r="E166" s="244"/>
      <c r="F166" s="245"/>
      <c r="G166" s="331"/>
      <c r="H166" s="332"/>
      <c r="I166" s="332"/>
      <c r="J166" s="332"/>
      <c r="K166" s="332"/>
      <c r="L166" s="332"/>
      <c r="M166" s="332"/>
      <c r="N166" s="332"/>
      <c r="O166" s="227"/>
      <c r="P166" s="227"/>
      <c r="Q166" s="227"/>
      <c r="R166" s="227"/>
      <c r="S166" s="227"/>
      <c r="T166" s="227"/>
      <c r="U166" s="227"/>
    </row>
    <row r="167" spans="1:21" ht="12.75" customHeight="1" x14ac:dyDescent="0.25">
      <c r="A167" s="229"/>
      <c r="B167" s="227"/>
      <c r="C167" s="227"/>
      <c r="D167" s="243"/>
      <c r="E167" s="244"/>
      <c r="F167" s="245"/>
      <c r="G167" s="331"/>
      <c r="H167" s="332"/>
      <c r="I167" s="332"/>
      <c r="J167" s="332"/>
      <c r="K167" s="332"/>
      <c r="L167" s="332"/>
      <c r="M167" s="332"/>
      <c r="N167" s="332"/>
      <c r="O167" s="227"/>
      <c r="P167" s="227"/>
      <c r="Q167" s="227"/>
      <c r="R167" s="227"/>
      <c r="S167" s="227"/>
      <c r="T167" s="227"/>
      <c r="U167" s="227"/>
    </row>
    <row r="168" spans="1:21" ht="12.75" customHeight="1" x14ac:dyDescent="0.25">
      <c r="A168" s="229"/>
      <c r="B168" s="227"/>
      <c r="C168" s="227"/>
      <c r="D168" s="243"/>
      <c r="E168" s="244"/>
      <c r="F168" s="245"/>
      <c r="G168" s="331"/>
      <c r="H168" s="332"/>
      <c r="I168" s="332"/>
      <c r="J168" s="332"/>
      <c r="K168" s="332"/>
      <c r="L168" s="332"/>
      <c r="M168" s="332"/>
      <c r="N168" s="332"/>
      <c r="O168" s="227"/>
      <c r="P168" s="227"/>
      <c r="Q168" s="227"/>
      <c r="R168" s="227"/>
      <c r="S168" s="227"/>
      <c r="T168" s="227"/>
      <c r="U168" s="227"/>
    </row>
    <row r="169" spans="1:21" ht="12.75" customHeight="1" x14ac:dyDescent="0.25">
      <c r="A169" s="229"/>
      <c r="B169" s="227"/>
      <c r="C169" s="227"/>
      <c r="D169" s="243"/>
      <c r="E169" s="244"/>
      <c r="F169" s="245"/>
      <c r="G169" s="331"/>
      <c r="H169" s="332"/>
      <c r="I169" s="332"/>
      <c r="J169" s="332"/>
      <c r="K169" s="332"/>
      <c r="L169" s="332"/>
      <c r="M169" s="332"/>
      <c r="N169" s="332"/>
      <c r="O169" s="227"/>
      <c r="P169" s="227"/>
      <c r="Q169" s="227"/>
      <c r="R169" s="227"/>
      <c r="S169" s="227"/>
      <c r="T169" s="227"/>
      <c r="U169" s="227"/>
    </row>
    <row r="170" spans="1:21" ht="12.75" customHeight="1" x14ac:dyDescent="0.25">
      <c r="A170" s="229"/>
      <c r="B170" s="227"/>
      <c r="C170" s="227"/>
      <c r="D170" s="243"/>
      <c r="E170" s="244"/>
      <c r="F170" s="245"/>
      <c r="G170" s="331"/>
      <c r="H170" s="332"/>
      <c r="I170" s="332"/>
      <c r="J170" s="332"/>
      <c r="K170" s="332"/>
      <c r="L170" s="332"/>
      <c r="M170" s="332"/>
      <c r="N170" s="332"/>
      <c r="O170" s="227"/>
      <c r="P170" s="227"/>
      <c r="Q170" s="227"/>
      <c r="R170" s="227"/>
      <c r="S170" s="227"/>
      <c r="T170" s="227"/>
      <c r="U170" s="227"/>
    </row>
    <row r="171" spans="1:21" ht="12.75" customHeight="1" x14ac:dyDescent="0.25">
      <c r="A171" s="229"/>
      <c r="B171" s="227"/>
      <c r="C171" s="227"/>
      <c r="D171" s="243"/>
      <c r="E171" s="244"/>
      <c r="F171" s="245"/>
      <c r="G171" s="331"/>
      <c r="H171" s="332"/>
      <c r="I171" s="332"/>
      <c r="J171" s="332"/>
      <c r="K171" s="332"/>
      <c r="L171" s="332"/>
      <c r="M171" s="332"/>
      <c r="N171" s="332"/>
      <c r="O171" s="227"/>
      <c r="P171" s="227"/>
      <c r="Q171" s="227"/>
      <c r="R171" s="227"/>
      <c r="S171" s="227"/>
      <c r="T171" s="227"/>
      <c r="U171" s="227"/>
    </row>
    <row r="172" spans="1:21" ht="12.75" customHeight="1" x14ac:dyDescent="0.25">
      <c r="A172" s="229"/>
      <c r="B172" s="227"/>
      <c r="C172" s="227"/>
      <c r="D172" s="243"/>
      <c r="E172" s="244"/>
      <c r="F172" s="245"/>
      <c r="G172" s="331"/>
      <c r="H172" s="332"/>
      <c r="I172" s="332"/>
      <c r="J172" s="332"/>
      <c r="K172" s="332"/>
      <c r="L172" s="332"/>
      <c r="M172" s="332"/>
      <c r="N172" s="332"/>
      <c r="O172" s="227"/>
      <c r="P172" s="227"/>
      <c r="Q172" s="227"/>
      <c r="R172" s="227"/>
      <c r="S172" s="227"/>
      <c r="T172" s="227"/>
      <c r="U172" s="227"/>
    </row>
    <row r="173" spans="1:21" ht="12.75" customHeight="1" x14ac:dyDescent="0.25">
      <c r="A173" s="229"/>
      <c r="B173" s="227"/>
      <c r="C173" s="227"/>
      <c r="D173" s="243"/>
      <c r="E173" s="244"/>
      <c r="F173" s="245"/>
      <c r="G173" s="331"/>
      <c r="H173" s="332"/>
      <c r="I173" s="332"/>
      <c r="J173" s="332"/>
      <c r="K173" s="332"/>
      <c r="L173" s="332"/>
      <c r="M173" s="332"/>
      <c r="N173" s="332"/>
      <c r="O173" s="227"/>
      <c r="P173" s="227"/>
      <c r="Q173" s="227"/>
      <c r="R173" s="227"/>
      <c r="S173" s="227"/>
      <c r="T173" s="227"/>
      <c r="U173" s="227"/>
    </row>
    <row r="174" spans="1:21" ht="12.75" customHeight="1" x14ac:dyDescent="0.25">
      <c r="A174" s="229"/>
      <c r="B174" s="227"/>
      <c r="C174" s="227"/>
      <c r="D174" s="243"/>
      <c r="E174" s="244"/>
      <c r="F174" s="245"/>
      <c r="G174" s="331"/>
      <c r="H174" s="332"/>
      <c r="I174" s="332"/>
      <c r="J174" s="332"/>
      <c r="K174" s="332"/>
      <c r="L174" s="332"/>
      <c r="M174" s="332"/>
      <c r="N174" s="332"/>
      <c r="O174" s="227"/>
      <c r="P174" s="227"/>
      <c r="Q174" s="227"/>
      <c r="R174" s="227"/>
      <c r="S174" s="227"/>
      <c r="T174" s="227"/>
      <c r="U174" s="227"/>
    </row>
    <row r="175" spans="1:21" ht="12.75" customHeight="1" x14ac:dyDescent="0.25">
      <c r="A175" s="229"/>
      <c r="B175" s="227"/>
      <c r="C175" s="227"/>
      <c r="D175" s="243"/>
      <c r="E175" s="244"/>
      <c r="F175" s="245"/>
      <c r="G175" s="331"/>
      <c r="H175" s="332"/>
      <c r="I175" s="332"/>
      <c r="J175" s="332"/>
      <c r="K175" s="332"/>
      <c r="L175" s="332"/>
      <c r="M175" s="332"/>
      <c r="N175" s="332"/>
      <c r="O175" s="227"/>
      <c r="P175" s="227"/>
      <c r="Q175" s="227"/>
      <c r="R175" s="227"/>
      <c r="S175" s="227"/>
      <c r="T175" s="227"/>
      <c r="U175" s="227"/>
    </row>
    <row r="176" spans="1:21" ht="12.75" customHeight="1" x14ac:dyDescent="0.25">
      <c r="A176" s="229"/>
      <c r="B176" s="227"/>
      <c r="C176" s="227"/>
      <c r="D176" s="243"/>
      <c r="E176" s="244"/>
      <c r="F176" s="245"/>
      <c r="G176" s="331"/>
      <c r="H176" s="332"/>
      <c r="I176" s="332"/>
      <c r="J176" s="332"/>
      <c r="K176" s="332"/>
      <c r="L176" s="332"/>
      <c r="M176" s="332"/>
      <c r="N176" s="332"/>
      <c r="O176" s="227"/>
      <c r="P176" s="227"/>
      <c r="Q176" s="227"/>
      <c r="R176" s="227"/>
      <c r="S176" s="227"/>
      <c r="T176" s="227"/>
      <c r="U176" s="227"/>
    </row>
    <row r="177" spans="1:21" ht="12.75" customHeight="1" x14ac:dyDescent="0.25">
      <c r="A177" s="229"/>
      <c r="B177" s="227"/>
      <c r="C177" s="227"/>
      <c r="D177" s="243"/>
      <c r="E177" s="244"/>
      <c r="F177" s="245"/>
      <c r="G177" s="331"/>
      <c r="H177" s="332"/>
      <c r="I177" s="332"/>
      <c r="J177" s="332"/>
      <c r="K177" s="332"/>
      <c r="L177" s="332"/>
      <c r="M177" s="332"/>
      <c r="N177" s="332"/>
      <c r="O177" s="227"/>
      <c r="P177" s="227"/>
      <c r="Q177" s="227"/>
      <c r="R177" s="227"/>
      <c r="S177" s="227"/>
      <c r="T177" s="227"/>
      <c r="U177" s="227"/>
    </row>
    <row r="178" spans="1:21" ht="12.75" customHeight="1" x14ac:dyDescent="0.25">
      <c r="A178" s="229"/>
      <c r="B178" s="227"/>
      <c r="C178" s="227"/>
      <c r="D178" s="243"/>
      <c r="E178" s="244"/>
      <c r="F178" s="245"/>
      <c r="G178" s="331"/>
      <c r="H178" s="332"/>
      <c r="I178" s="332"/>
      <c r="J178" s="332"/>
      <c r="K178" s="332"/>
      <c r="L178" s="332"/>
      <c r="M178" s="332"/>
      <c r="N178" s="332"/>
      <c r="O178" s="227"/>
      <c r="P178" s="227"/>
      <c r="Q178" s="227"/>
      <c r="R178" s="227"/>
      <c r="S178" s="227"/>
      <c r="T178" s="227"/>
      <c r="U178" s="227"/>
    </row>
    <row r="179" spans="1:21" ht="12.75" customHeight="1" x14ac:dyDescent="0.25">
      <c r="A179" s="229"/>
      <c r="B179" s="227"/>
      <c r="C179" s="227"/>
      <c r="D179" s="243"/>
      <c r="E179" s="244"/>
      <c r="F179" s="245"/>
      <c r="G179" s="331"/>
      <c r="H179" s="332"/>
      <c r="I179" s="332"/>
      <c r="J179" s="332"/>
      <c r="K179" s="332"/>
      <c r="L179" s="332"/>
      <c r="M179" s="332"/>
      <c r="N179" s="332"/>
      <c r="O179" s="227"/>
      <c r="P179" s="227"/>
      <c r="Q179" s="227"/>
      <c r="R179" s="227"/>
      <c r="S179" s="227"/>
      <c r="T179" s="227"/>
      <c r="U179" s="227"/>
    </row>
    <row r="180" spans="1:21" ht="12.75" customHeight="1" x14ac:dyDescent="0.25">
      <c r="A180" s="229"/>
      <c r="B180" s="227"/>
      <c r="C180" s="227"/>
      <c r="D180" s="243"/>
      <c r="E180" s="244"/>
      <c r="F180" s="245"/>
      <c r="G180" s="331"/>
      <c r="H180" s="332"/>
      <c r="I180" s="332"/>
      <c r="J180" s="332"/>
      <c r="K180" s="332"/>
      <c r="L180" s="332"/>
      <c r="M180" s="332"/>
      <c r="N180" s="332"/>
      <c r="O180" s="227"/>
      <c r="P180" s="227"/>
      <c r="Q180" s="227"/>
      <c r="R180" s="227"/>
      <c r="S180" s="227"/>
      <c r="T180" s="227"/>
      <c r="U180" s="227"/>
    </row>
    <row r="181" spans="1:21" ht="12.75" customHeight="1" x14ac:dyDescent="0.25">
      <c r="A181" s="229"/>
      <c r="B181" s="227"/>
      <c r="C181" s="227"/>
      <c r="D181" s="243"/>
      <c r="E181" s="244"/>
      <c r="F181" s="245"/>
      <c r="G181" s="331"/>
      <c r="H181" s="332"/>
      <c r="I181" s="332"/>
      <c r="J181" s="332"/>
      <c r="K181" s="332"/>
      <c r="L181" s="332"/>
      <c r="M181" s="332"/>
      <c r="N181" s="332"/>
      <c r="O181" s="227"/>
      <c r="P181" s="227"/>
      <c r="Q181" s="227"/>
      <c r="R181" s="227"/>
      <c r="S181" s="227"/>
      <c r="T181" s="227"/>
      <c r="U181" s="227"/>
    </row>
    <row r="182" spans="1:21" ht="12.75" customHeight="1" x14ac:dyDescent="0.25">
      <c r="A182" s="229"/>
      <c r="B182" s="227"/>
      <c r="C182" s="227"/>
      <c r="D182" s="243"/>
      <c r="E182" s="244"/>
      <c r="F182" s="245"/>
      <c r="G182" s="331"/>
      <c r="H182" s="332"/>
      <c r="I182" s="332"/>
      <c r="J182" s="332"/>
      <c r="K182" s="332"/>
      <c r="L182" s="332"/>
      <c r="M182" s="332"/>
      <c r="N182" s="332"/>
      <c r="O182" s="227"/>
      <c r="P182" s="227"/>
      <c r="Q182" s="227"/>
      <c r="R182" s="227"/>
      <c r="S182" s="227"/>
      <c r="T182" s="227"/>
      <c r="U182" s="227"/>
    </row>
    <row r="183" spans="1:21" ht="12.75" customHeight="1" x14ac:dyDescent="0.25">
      <c r="A183" s="229"/>
      <c r="B183" s="227"/>
      <c r="C183" s="227"/>
      <c r="D183" s="243"/>
      <c r="E183" s="244"/>
      <c r="F183" s="245"/>
      <c r="G183" s="331"/>
      <c r="H183" s="332"/>
      <c r="I183" s="332"/>
      <c r="J183" s="332"/>
      <c r="K183" s="332"/>
      <c r="L183" s="332"/>
      <c r="M183" s="332"/>
      <c r="N183" s="332"/>
      <c r="O183" s="227"/>
      <c r="P183" s="227"/>
      <c r="Q183" s="227"/>
      <c r="R183" s="227"/>
      <c r="S183" s="227"/>
      <c r="T183" s="227"/>
      <c r="U183" s="227"/>
    </row>
    <row r="184" spans="1:21" ht="12.75" customHeight="1" x14ac:dyDescent="0.25">
      <c r="A184" s="229"/>
      <c r="B184" s="227"/>
      <c r="C184" s="227"/>
      <c r="D184" s="243"/>
      <c r="E184" s="244"/>
      <c r="F184" s="245"/>
      <c r="G184" s="331"/>
      <c r="H184" s="332"/>
      <c r="I184" s="332"/>
      <c r="J184" s="332"/>
      <c r="K184" s="332"/>
      <c r="L184" s="332"/>
      <c r="M184" s="332"/>
      <c r="N184" s="332"/>
      <c r="O184" s="227"/>
      <c r="P184" s="227"/>
      <c r="Q184" s="227"/>
      <c r="R184" s="227"/>
      <c r="S184" s="227"/>
      <c r="T184" s="227"/>
      <c r="U184" s="227"/>
    </row>
    <row r="185" spans="1:21" ht="12.75" customHeight="1" x14ac:dyDescent="0.25">
      <c r="A185" s="229"/>
      <c r="B185" s="227"/>
      <c r="C185" s="227"/>
      <c r="D185" s="243"/>
      <c r="E185" s="244"/>
      <c r="F185" s="245"/>
      <c r="G185" s="331"/>
      <c r="H185" s="332"/>
      <c r="I185" s="332"/>
      <c r="J185" s="332"/>
      <c r="K185" s="332"/>
      <c r="L185" s="332"/>
      <c r="M185" s="332"/>
      <c r="N185" s="332"/>
      <c r="O185" s="227"/>
      <c r="P185" s="227"/>
      <c r="Q185" s="227"/>
      <c r="R185" s="227"/>
      <c r="S185" s="227"/>
      <c r="T185" s="227"/>
      <c r="U185" s="227"/>
    </row>
    <row r="186" spans="1:21" ht="12.75" customHeight="1" x14ac:dyDescent="0.25">
      <c r="A186" s="229"/>
      <c r="B186" s="227"/>
      <c r="C186" s="227"/>
      <c r="D186" s="243"/>
      <c r="E186" s="244"/>
      <c r="F186" s="245"/>
      <c r="G186" s="331"/>
      <c r="H186" s="332"/>
      <c r="I186" s="332"/>
      <c r="J186" s="332"/>
      <c r="K186" s="332"/>
      <c r="L186" s="332"/>
      <c r="M186" s="332"/>
      <c r="N186" s="332"/>
      <c r="O186" s="227"/>
      <c r="P186" s="227"/>
      <c r="Q186" s="227"/>
      <c r="R186" s="227"/>
      <c r="S186" s="227"/>
      <c r="T186" s="227"/>
      <c r="U186" s="227"/>
    </row>
    <row r="187" spans="1:21" ht="12.75" customHeight="1" x14ac:dyDescent="0.25">
      <c r="A187" s="229"/>
      <c r="B187" s="227"/>
      <c r="C187" s="227"/>
      <c r="D187" s="243"/>
      <c r="E187" s="244"/>
      <c r="F187" s="245"/>
      <c r="G187" s="331"/>
      <c r="H187" s="332"/>
      <c r="I187" s="332"/>
      <c r="J187" s="332"/>
      <c r="K187" s="332"/>
      <c r="L187" s="332"/>
      <c r="M187" s="332"/>
      <c r="N187" s="332"/>
      <c r="O187" s="227"/>
      <c r="P187" s="227"/>
      <c r="Q187" s="227"/>
      <c r="R187" s="227"/>
      <c r="S187" s="227"/>
      <c r="T187" s="227"/>
      <c r="U187" s="227"/>
    </row>
    <row r="188" spans="1:21" ht="12.75" customHeight="1" x14ac:dyDescent="0.25">
      <c r="A188" s="229"/>
      <c r="B188" s="227"/>
      <c r="C188" s="227"/>
      <c r="D188" s="243"/>
      <c r="E188" s="244"/>
      <c r="F188" s="245"/>
      <c r="G188" s="331"/>
      <c r="H188" s="332"/>
      <c r="I188" s="332"/>
      <c r="J188" s="332"/>
      <c r="K188" s="332"/>
      <c r="L188" s="332"/>
      <c r="M188" s="332"/>
      <c r="N188" s="332"/>
      <c r="O188" s="227"/>
      <c r="P188" s="227"/>
      <c r="Q188" s="227"/>
      <c r="R188" s="227"/>
      <c r="S188" s="227"/>
      <c r="T188" s="227"/>
      <c r="U188" s="227"/>
    </row>
    <row r="189" spans="1:21" ht="12.75" customHeight="1" x14ac:dyDescent="0.25">
      <c r="A189" s="229"/>
      <c r="B189" s="227"/>
      <c r="C189" s="227"/>
      <c r="D189" s="243"/>
      <c r="E189" s="244"/>
      <c r="F189" s="245"/>
      <c r="G189" s="331"/>
      <c r="H189" s="332"/>
      <c r="I189" s="332"/>
      <c r="J189" s="332"/>
      <c r="K189" s="332"/>
      <c r="L189" s="332"/>
      <c r="M189" s="332"/>
      <c r="N189" s="332"/>
      <c r="O189" s="227"/>
      <c r="P189" s="227"/>
      <c r="Q189" s="227"/>
      <c r="R189" s="227"/>
      <c r="S189" s="227"/>
      <c r="T189" s="227"/>
      <c r="U189" s="227"/>
    </row>
    <row r="190" spans="1:21" ht="12.75" customHeight="1" x14ac:dyDescent="0.25">
      <c r="A190" s="229"/>
      <c r="B190" s="227"/>
      <c r="C190" s="227"/>
      <c r="D190" s="243"/>
      <c r="E190" s="244"/>
      <c r="F190" s="245"/>
      <c r="G190" s="331"/>
      <c r="H190" s="332"/>
      <c r="I190" s="332"/>
      <c r="J190" s="332"/>
      <c r="K190" s="332"/>
      <c r="L190" s="332"/>
      <c r="M190" s="332"/>
      <c r="N190" s="332"/>
      <c r="O190" s="227"/>
      <c r="P190" s="227"/>
      <c r="Q190" s="227"/>
      <c r="R190" s="227"/>
      <c r="S190" s="227"/>
      <c r="T190" s="227"/>
      <c r="U190" s="227"/>
    </row>
    <row r="191" spans="1:21" ht="12.75" customHeight="1" x14ac:dyDescent="0.25">
      <c r="A191" s="229"/>
      <c r="B191" s="227"/>
      <c r="C191" s="227"/>
      <c r="D191" s="243"/>
      <c r="E191" s="244"/>
      <c r="F191" s="245"/>
      <c r="G191" s="331"/>
      <c r="H191" s="332"/>
      <c r="I191" s="332"/>
      <c r="J191" s="332"/>
      <c r="K191" s="332"/>
      <c r="L191" s="332"/>
      <c r="M191" s="332"/>
      <c r="N191" s="332"/>
      <c r="O191" s="227"/>
      <c r="P191" s="227"/>
      <c r="Q191" s="227"/>
      <c r="R191" s="227"/>
      <c r="S191" s="227"/>
      <c r="T191" s="227"/>
      <c r="U191" s="227"/>
    </row>
    <row r="192" spans="1:21" ht="12.75" customHeight="1" x14ac:dyDescent="0.25">
      <c r="A192" s="229"/>
      <c r="B192" s="227"/>
      <c r="C192" s="227"/>
      <c r="D192" s="243"/>
      <c r="E192" s="244"/>
      <c r="F192" s="245"/>
      <c r="G192" s="331"/>
      <c r="H192" s="332"/>
      <c r="I192" s="332"/>
      <c r="J192" s="332"/>
      <c r="K192" s="332"/>
      <c r="L192" s="332"/>
      <c r="M192" s="332"/>
      <c r="N192" s="332"/>
      <c r="O192" s="227"/>
      <c r="P192" s="227"/>
      <c r="Q192" s="227"/>
      <c r="R192" s="227"/>
      <c r="S192" s="227"/>
      <c r="T192" s="227"/>
      <c r="U192" s="227"/>
    </row>
    <row r="193" spans="1:21" ht="12.75" customHeight="1" x14ac:dyDescent="0.25">
      <c r="A193" s="229"/>
      <c r="B193" s="227"/>
      <c r="C193" s="227"/>
      <c r="D193" s="243"/>
      <c r="E193" s="244"/>
      <c r="F193" s="245"/>
      <c r="G193" s="331"/>
      <c r="H193" s="332"/>
      <c r="I193" s="332"/>
      <c r="J193" s="332"/>
      <c r="K193" s="332"/>
      <c r="L193" s="332"/>
      <c r="M193" s="332"/>
      <c r="N193" s="332"/>
      <c r="O193" s="227"/>
      <c r="P193" s="227"/>
      <c r="Q193" s="227"/>
      <c r="R193" s="227"/>
      <c r="S193" s="227"/>
      <c r="T193" s="227"/>
      <c r="U193" s="227"/>
    </row>
    <row r="194" spans="1:21" ht="12.75" customHeight="1" x14ac:dyDescent="0.25">
      <c r="A194" s="229"/>
      <c r="B194" s="227"/>
      <c r="C194" s="227"/>
      <c r="D194" s="243"/>
      <c r="E194" s="244"/>
      <c r="F194" s="245"/>
      <c r="G194" s="331"/>
      <c r="H194" s="332"/>
      <c r="I194" s="332"/>
      <c r="J194" s="332"/>
      <c r="K194" s="332"/>
      <c r="L194" s="332"/>
      <c r="M194" s="332"/>
      <c r="N194" s="332"/>
      <c r="O194" s="227"/>
      <c r="P194" s="227"/>
      <c r="Q194" s="227"/>
      <c r="R194" s="227"/>
      <c r="S194" s="227"/>
      <c r="T194" s="227"/>
      <c r="U194" s="227"/>
    </row>
    <row r="195" spans="1:21" ht="12.75" customHeight="1" x14ac:dyDescent="0.25">
      <c r="A195" s="229"/>
      <c r="B195" s="227"/>
      <c r="C195" s="227"/>
      <c r="D195" s="243"/>
      <c r="E195" s="244"/>
      <c r="F195" s="245"/>
      <c r="G195" s="331"/>
      <c r="H195" s="332"/>
      <c r="I195" s="332"/>
      <c r="J195" s="332"/>
      <c r="K195" s="332"/>
      <c r="L195" s="332"/>
      <c r="M195" s="332"/>
      <c r="N195" s="332"/>
      <c r="O195" s="227"/>
      <c r="P195" s="227"/>
      <c r="Q195" s="227"/>
      <c r="R195" s="227"/>
      <c r="S195" s="227"/>
      <c r="T195" s="227"/>
      <c r="U195" s="227"/>
    </row>
    <row r="196" spans="1:21" ht="12.75" customHeight="1" x14ac:dyDescent="0.25">
      <c r="A196" s="229"/>
      <c r="B196" s="227"/>
      <c r="C196" s="227"/>
      <c r="D196" s="243"/>
      <c r="E196" s="244"/>
      <c r="F196" s="245"/>
      <c r="G196" s="331"/>
      <c r="H196" s="332"/>
      <c r="I196" s="332"/>
      <c r="J196" s="332"/>
      <c r="K196" s="332"/>
      <c r="L196" s="332"/>
      <c r="M196" s="332"/>
      <c r="N196" s="332"/>
      <c r="O196" s="227"/>
      <c r="P196" s="227"/>
      <c r="Q196" s="227"/>
      <c r="R196" s="227"/>
      <c r="S196" s="227"/>
      <c r="T196" s="227"/>
      <c r="U196" s="227"/>
    </row>
    <row r="197" spans="1:21" ht="12.75" customHeight="1" x14ac:dyDescent="0.25">
      <c r="A197" s="229"/>
      <c r="B197" s="227"/>
      <c r="C197" s="227"/>
      <c r="D197" s="243"/>
      <c r="E197" s="244"/>
      <c r="F197" s="245"/>
      <c r="G197" s="331"/>
      <c r="H197" s="332"/>
      <c r="I197" s="332"/>
      <c r="J197" s="332"/>
      <c r="K197" s="332"/>
      <c r="L197" s="332"/>
      <c r="M197" s="332"/>
      <c r="N197" s="332"/>
      <c r="O197" s="227"/>
      <c r="P197" s="227"/>
      <c r="Q197" s="227"/>
      <c r="R197" s="227"/>
      <c r="S197" s="227"/>
      <c r="T197" s="227"/>
      <c r="U197" s="227"/>
    </row>
    <row r="198" spans="1:21" ht="12.75" customHeight="1" x14ac:dyDescent="0.25">
      <c r="A198" s="229"/>
      <c r="B198" s="227"/>
      <c r="C198" s="227"/>
      <c r="D198" s="243"/>
      <c r="E198" s="244"/>
      <c r="F198" s="245"/>
      <c r="G198" s="331"/>
      <c r="H198" s="332"/>
      <c r="I198" s="332"/>
      <c r="J198" s="332"/>
      <c r="K198" s="332"/>
      <c r="L198" s="332"/>
      <c r="M198" s="332"/>
      <c r="N198" s="332"/>
      <c r="O198" s="227"/>
      <c r="P198" s="227"/>
      <c r="Q198" s="227"/>
      <c r="R198" s="227"/>
      <c r="S198" s="227"/>
      <c r="T198" s="227"/>
      <c r="U198" s="227"/>
    </row>
    <row r="199" spans="1:21" ht="12.75" customHeight="1" x14ac:dyDescent="0.25">
      <c r="A199" s="229"/>
      <c r="B199" s="227"/>
      <c r="C199" s="227"/>
      <c r="D199" s="243"/>
      <c r="E199" s="244"/>
      <c r="F199" s="245"/>
      <c r="G199" s="331"/>
      <c r="H199" s="332"/>
      <c r="I199" s="332"/>
      <c r="J199" s="332"/>
      <c r="K199" s="332"/>
      <c r="L199" s="332"/>
      <c r="M199" s="332"/>
      <c r="N199" s="332"/>
      <c r="O199" s="227"/>
      <c r="P199" s="227"/>
      <c r="Q199" s="227"/>
      <c r="R199" s="227"/>
      <c r="S199" s="227"/>
      <c r="T199" s="227"/>
      <c r="U199" s="227"/>
    </row>
    <row r="200" spans="1:21" ht="12.75" customHeight="1" x14ac:dyDescent="0.25">
      <c r="A200" s="229"/>
      <c r="B200" s="227"/>
      <c r="C200" s="227"/>
      <c r="D200" s="243"/>
      <c r="E200" s="244"/>
      <c r="F200" s="245"/>
      <c r="G200" s="331"/>
      <c r="H200" s="332"/>
      <c r="I200" s="332"/>
      <c r="J200" s="332"/>
      <c r="K200" s="332"/>
      <c r="L200" s="332"/>
      <c r="M200" s="332"/>
      <c r="N200" s="332"/>
      <c r="O200" s="227"/>
      <c r="P200" s="227"/>
      <c r="Q200" s="227"/>
      <c r="R200" s="227"/>
      <c r="S200" s="227"/>
      <c r="T200" s="227"/>
      <c r="U200" s="227"/>
    </row>
    <row r="201" spans="1:21" ht="12.75" customHeight="1" x14ac:dyDescent="0.25">
      <c r="A201" s="229"/>
      <c r="B201" s="227"/>
      <c r="C201" s="227"/>
      <c r="D201" s="243"/>
      <c r="E201" s="244"/>
      <c r="F201" s="245"/>
      <c r="G201" s="331"/>
      <c r="H201" s="332"/>
      <c r="I201" s="332"/>
      <c r="J201" s="332"/>
      <c r="K201" s="332"/>
      <c r="L201" s="332"/>
      <c r="M201" s="332"/>
      <c r="N201" s="332"/>
      <c r="O201" s="227"/>
      <c r="P201" s="227"/>
      <c r="Q201" s="227"/>
      <c r="R201" s="227"/>
      <c r="S201" s="227"/>
      <c r="T201" s="227"/>
      <c r="U201" s="227"/>
    </row>
    <row r="202" spans="1:21" ht="12.75" customHeight="1" x14ac:dyDescent="0.25">
      <c r="A202" s="229"/>
      <c r="B202" s="227"/>
      <c r="C202" s="227"/>
      <c r="D202" s="243"/>
      <c r="E202" s="244"/>
      <c r="F202" s="245"/>
      <c r="G202" s="331"/>
      <c r="H202" s="332"/>
      <c r="I202" s="332"/>
      <c r="J202" s="332"/>
      <c r="K202" s="332"/>
      <c r="L202" s="332"/>
      <c r="M202" s="332"/>
      <c r="N202" s="332"/>
      <c r="O202" s="227"/>
      <c r="P202" s="227"/>
      <c r="Q202" s="227"/>
      <c r="R202" s="227"/>
      <c r="S202" s="227"/>
      <c r="T202" s="227"/>
      <c r="U202" s="227"/>
    </row>
    <row r="203" spans="1:21" ht="12.75" customHeight="1" x14ac:dyDescent="0.25">
      <c r="A203" s="229"/>
      <c r="B203" s="227"/>
      <c r="C203" s="227"/>
      <c r="D203" s="243"/>
      <c r="E203" s="244"/>
      <c r="F203" s="245"/>
      <c r="G203" s="331"/>
      <c r="H203" s="332"/>
      <c r="I203" s="332"/>
      <c r="J203" s="332"/>
      <c r="K203" s="332"/>
      <c r="L203" s="332"/>
      <c r="M203" s="332"/>
      <c r="N203" s="332"/>
      <c r="O203" s="227"/>
      <c r="P203" s="227"/>
      <c r="Q203" s="227"/>
      <c r="R203" s="227"/>
      <c r="S203" s="227"/>
      <c r="T203" s="227"/>
      <c r="U203" s="227"/>
    </row>
    <row r="204" spans="1:21" ht="12.75" customHeight="1" x14ac:dyDescent="0.25">
      <c r="A204" s="229"/>
      <c r="B204" s="227"/>
      <c r="C204" s="227"/>
      <c r="D204" s="243"/>
      <c r="E204" s="244"/>
      <c r="F204" s="245"/>
      <c r="G204" s="331"/>
      <c r="H204" s="332"/>
      <c r="I204" s="332"/>
      <c r="J204" s="332"/>
      <c r="K204" s="332"/>
      <c r="L204" s="332"/>
      <c r="M204" s="332"/>
      <c r="N204" s="332"/>
      <c r="O204" s="227"/>
      <c r="P204" s="227"/>
      <c r="Q204" s="227"/>
      <c r="R204" s="227"/>
      <c r="S204" s="227"/>
      <c r="T204" s="227"/>
      <c r="U204" s="227"/>
    </row>
    <row r="205" spans="1:21" ht="12.75" customHeight="1" x14ac:dyDescent="0.25">
      <c r="A205" s="229"/>
      <c r="B205" s="227"/>
      <c r="C205" s="227"/>
      <c r="D205" s="243"/>
      <c r="E205" s="244"/>
      <c r="F205" s="245"/>
      <c r="G205" s="331"/>
      <c r="H205" s="332"/>
      <c r="I205" s="332"/>
      <c r="J205" s="332"/>
      <c r="K205" s="332"/>
      <c r="L205" s="332"/>
      <c r="M205" s="332"/>
      <c r="N205" s="332"/>
      <c r="O205" s="227"/>
      <c r="P205" s="227"/>
      <c r="Q205" s="227"/>
      <c r="R205" s="227"/>
      <c r="S205" s="227"/>
      <c r="T205" s="227"/>
      <c r="U205" s="227"/>
    </row>
    <row r="206" spans="1:21" ht="12.75" customHeight="1" x14ac:dyDescent="0.25">
      <c r="A206" s="229"/>
      <c r="B206" s="227"/>
      <c r="C206" s="227"/>
      <c r="D206" s="243"/>
      <c r="E206" s="244"/>
      <c r="F206" s="245"/>
      <c r="G206" s="331"/>
      <c r="H206" s="332"/>
      <c r="I206" s="332"/>
      <c r="J206" s="332"/>
      <c r="K206" s="332"/>
      <c r="L206" s="332"/>
      <c r="M206" s="332"/>
      <c r="N206" s="332"/>
      <c r="O206" s="227"/>
      <c r="P206" s="227"/>
      <c r="Q206" s="227"/>
      <c r="R206" s="227"/>
      <c r="S206" s="227"/>
      <c r="T206" s="227"/>
      <c r="U206" s="227"/>
    </row>
    <row r="207" spans="1:21" ht="12.75" customHeight="1" x14ac:dyDescent="0.25">
      <c r="A207" s="229"/>
      <c r="B207" s="227"/>
      <c r="C207" s="227"/>
      <c r="D207" s="243"/>
      <c r="E207" s="244"/>
      <c r="F207" s="245"/>
      <c r="G207" s="331"/>
      <c r="H207" s="332"/>
      <c r="I207" s="332"/>
      <c r="J207" s="332"/>
      <c r="K207" s="332"/>
      <c r="L207" s="332"/>
      <c r="M207" s="332"/>
      <c r="N207" s="332"/>
      <c r="O207" s="227"/>
      <c r="P207" s="227"/>
      <c r="Q207" s="227"/>
      <c r="R207" s="227"/>
      <c r="S207" s="227"/>
      <c r="T207" s="227"/>
      <c r="U207" s="227"/>
    </row>
    <row r="208" spans="1:21" ht="12.75" customHeight="1" x14ac:dyDescent="0.25">
      <c r="A208" s="229"/>
      <c r="B208" s="227"/>
      <c r="C208" s="227"/>
      <c r="D208" s="243"/>
      <c r="E208" s="244"/>
      <c r="F208" s="245"/>
      <c r="G208" s="331"/>
      <c r="H208" s="332"/>
      <c r="I208" s="332"/>
      <c r="J208" s="332"/>
      <c r="K208" s="332"/>
      <c r="L208" s="332"/>
      <c r="M208" s="332"/>
      <c r="N208" s="332"/>
      <c r="O208" s="227"/>
      <c r="P208" s="227"/>
      <c r="Q208" s="227"/>
      <c r="R208" s="227"/>
      <c r="S208" s="227"/>
      <c r="T208" s="227"/>
      <c r="U208" s="227"/>
    </row>
    <row r="209" spans="1:21" ht="12.75" customHeight="1" x14ac:dyDescent="0.25">
      <c r="A209" s="229"/>
      <c r="B209" s="227"/>
      <c r="C209" s="227"/>
      <c r="D209" s="243"/>
      <c r="E209" s="244"/>
      <c r="F209" s="245"/>
      <c r="G209" s="331"/>
      <c r="H209" s="332"/>
      <c r="I209" s="332"/>
      <c r="J209" s="332"/>
      <c r="K209" s="332"/>
      <c r="L209" s="332"/>
      <c r="M209" s="332"/>
      <c r="N209" s="332"/>
      <c r="O209" s="227"/>
      <c r="P209" s="227"/>
      <c r="Q209" s="227"/>
      <c r="R209" s="227"/>
      <c r="S209" s="227"/>
      <c r="T209" s="227"/>
      <c r="U209" s="227"/>
    </row>
    <row r="210" spans="1:21" ht="12.75" customHeight="1" x14ac:dyDescent="0.25">
      <c r="A210" s="229"/>
      <c r="B210" s="227"/>
      <c r="C210" s="227"/>
      <c r="D210" s="243"/>
      <c r="E210" s="244"/>
      <c r="F210" s="245"/>
      <c r="G210" s="331"/>
      <c r="H210" s="332"/>
      <c r="I210" s="332"/>
      <c r="J210" s="332"/>
      <c r="K210" s="332"/>
      <c r="L210" s="332"/>
      <c r="M210" s="332"/>
      <c r="N210" s="332"/>
      <c r="O210" s="227"/>
      <c r="P210" s="227"/>
      <c r="Q210" s="227"/>
      <c r="R210" s="227"/>
      <c r="S210" s="227"/>
      <c r="T210" s="227"/>
      <c r="U210" s="227"/>
    </row>
    <row r="211" spans="1:21" ht="12.75" customHeight="1" x14ac:dyDescent="0.25">
      <c r="A211" s="229"/>
      <c r="B211" s="227"/>
      <c r="C211" s="227"/>
      <c r="D211" s="243"/>
      <c r="E211" s="244"/>
      <c r="F211" s="245"/>
      <c r="G211" s="331"/>
      <c r="H211" s="332"/>
      <c r="I211" s="332"/>
      <c r="J211" s="332"/>
      <c r="K211" s="332"/>
      <c r="L211" s="332"/>
      <c r="M211" s="332"/>
      <c r="N211" s="332"/>
      <c r="O211" s="227"/>
      <c r="P211" s="227"/>
      <c r="Q211" s="227"/>
      <c r="R211" s="227"/>
      <c r="S211" s="227"/>
      <c r="T211" s="227"/>
      <c r="U211" s="227"/>
    </row>
    <row r="212" spans="1:21" ht="12.75" customHeight="1" x14ac:dyDescent="0.25">
      <c r="A212" s="229"/>
      <c r="B212" s="227"/>
      <c r="C212" s="227"/>
      <c r="D212" s="243"/>
      <c r="E212" s="244"/>
      <c r="F212" s="245"/>
      <c r="G212" s="331"/>
      <c r="H212" s="332"/>
      <c r="I212" s="332"/>
      <c r="J212" s="332"/>
      <c r="K212" s="332"/>
      <c r="L212" s="332"/>
      <c r="M212" s="332"/>
      <c r="N212" s="332"/>
      <c r="O212" s="227"/>
      <c r="P212" s="227"/>
      <c r="Q212" s="227"/>
      <c r="R212" s="227"/>
      <c r="S212" s="227"/>
      <c r="T212" s="227"/>
      <c r="U212" s="227"/>
    </row>
    <row r="213" spans="1:21" ht="12.75" customHeight="1" x14ac:dyDescent="0.25">
      <c r="A213" s="229"/>
      <c r="B213" s="227"/>
      <c r="C213" s="227"/>
      <c r="D213" s="243"/>
      <c r="E213" s="244"/>
      <c r="F213" s="245"/>
      <c r="G213" s="331"/>
      <c r="H213" s="332"/>
      <c r="I213" s="332"/>
      <c r="J213" s="332"/>
      <c r="K213" s="332"/>
      <c r="L213" s="332"/>
      <c r="M213" s="332"/>
      <c r="N213" s="332"/>
      <c r="O213" s="227"/>
      <c r="P213" s="227"/>
      <c r="Q213" s="227"/>
      <c r="R213" s="227"/>
      <c r="S213" s="227"/>
      <c r="T213" s="227"/>
      <c r="U213" s="227"/>
    </row>
    <row r="214" spans="1:21" ht="12.75" customHeight="1" x14ac:dyDescent="0.25">
      <c r="A214" s="229"/>
      <c r="B214" s="227"/>
      <c r="C214" s="227"/>
      <c r="D214" s="243"/>
      <c r="E214" s="244"/>
      <c r="F214" s="245"/>
      <c r="G214" s="331"/>
      <c r="H214" s="332"/>
      <c r="I214" s="332"/>
      <c r="J214" s="332"/>
      <c r="K214" s="332"/>
      <c r="L214" s="332"/>
      <c r="M214" s="332"/>
      <c r="N214" s="332"/>
      <c r="O214" s="227"/>
      <c r="P214" s="227"/>
      <c r="Q214" s="227"/>
      <c r="R214" s="227"/>
      <c r="S214" s="227"/>
      <c r="T214" s="227"/>
      <c r="U214" s="227"/>
    </row>
    <row r="215" spans="1:21" ht="12.75" customHeight="1" x14ac:dyDescent="0.25">
      <c r="A215" s="229"/>
      <c r="B215" s="227"/>
      <c r="C215" s="227"/>
      <c r="D215" s="243"/>
      <c r="E215" s="244"/>
      <c r="F215" s="245"/>
      <c r="G215" s="331"/>
      <c r="H215" s="332"/>
      <c r="I215" s="332"/>
      <c r="J215" s="332"/>
      <c r="K215" s="332"/>
      <c r="L215" s="332"/>
      <c r="M215" s="332"/>
      <c r="N215" s="332"/>
      <c r="O215" s="227"/>
      <c r="P215" s="227"/>
      <c r="Q215" s="227"/>
      <c r="R215" s="227"/>
      <c r="S215" s="227"/>
      <c r="T215" s="227"/>
      <c r="U215" s="227"/>
    </row>
    <row r="216" spans="1:21" ht="12.75" customHeight="1" x14ac:dyDescent="0.25">
      <c r="A216" s="229"/>
      <c r="B216" s="227"/>
      <c r="C216" s="227"/>
      <c r="D216" s="243"/>
      <c r="E216" s="244"/>
      <c r="F216" s="245"/>
      <c r="G216" s="331"/>
      <c r="H216" s="332"/>
      <c r="I216" s="332"/>
      <c r="J216" s="332"/>
      <c r="K216" s="332"/>
      <c r="L216" s="332"/>
      <c r="M216" s="332"/>
      <c r="N216" s="332"/>
      <c r="O216" s="227"/>
      <c r="P216" s="227"/>
      <c r="Q216" s="227"/>
      <c r="R216" s="227"/>
      <c r="S216" s="227"/>
      <c r="T216" s="227"/>
      <c r="U216" s="227"/>
    </row>
    <row r="217" spans="1:21" ht="12.75" customHeight="1" x14ac:dyDescent="0.25">
      <c r="A217" s="229"/>
      <c r="B217" s="227"/>
      <c r="C217" s="227"/>
      <c r="D217" s="243"/>
      <c r="E217" s="244"/>
      <c r="F217" s="245"/>
      <c r="G217" s="331"/>
      <c r="H217" s="332"/>
      <c r="I217" s="332"/>
      <c r="J217" s="332"/>
      <c r="K217" s="332"/>
      <c r="L217" s="332"/>
      <c r="M217" s="332"/>
      <c r="N217" s="332"/>
      <c r="O217" s="227"/>
      <c r="P217" s="227"/>
      <c r="Q217" s="227"/>
      <c r="R217" s="227"/>
      <c r="S217" s="227"/>
      <c r="T217" s="227"/>
      <c r="U217" s="227"/>
    </row>
    <row r="218" spans="1:21" ht="12.75" customHeight="1" x14ac:dyDescent="0.25">
      <c r="A218" s="229"/>
      <c r="B218" s="227"/>
      <c r="C218" s="227"/>
      <c r="D218" s="243"/>
      <c r="E218" s="244"/>
      <c r="F218" s="245"/>
      <c r="G218" s="331"/>
      <c r="H218" s="332"/>
      <c r="I218" s="332"/>
      <c r="J218" s="332"/>
      <c r="K218" s="332"/>
      <c r="L218" s="332"/>
      <c r="M218" s="332"/>
      <c r="N218" s="332"/>
      <c r="O218" s="227"/>
      <c r="P218" s="227"/>
      <c r="Q218" s="227"/>
      <c r="R218" s="227"/>
      <c r="S218" s="227"/>
      <c r="T218" s="227"/>
      <c r="U218" s="227"/>
    </row>
    <row r="219" spans="1:21" ht="12.75" customHeight="1" x14ac:dyDescent="0.25">
      <c r="A219" s="229"/>
      <c r="B219" s="227"/>
      <c r="C219" s="227"/>
      <c r="D219" s="243"/>
      <c r="E219" s="244"/>
      <c r="F219" s="245"/>
      <c r="G219" s="331"/>
      <c r="H219" s="332"/>
      <c r="I219" s="332"/>
      <c r="J219" s="332"/>
      <c r="K219" s="332"/>
      <c r="L219" s="332"/>
      <c r="M219" s="332"/>
      <c r="N219" s="332"/>
      <c r="O219" s="227"/>
      <c r="P219" s="227"/>
      <c r="Q219" s="227"/>
      <c r="R219" s="227"/>
      <c r="S219" s="227"/>
      <c r="T219" s="227"/>
      <c r="U219" s="227"/>
    </row>
    <row r="220" spans="1:21" ht="12.75" customHeight="1" x14ac:dyDescent="0.25">
      <c r="A220" s="229"/>
      <c r="B220" s="227"/>
      <c r="C220" s="227"/>
      <c r="D220" s="243"/>
      <c r="E220" s="244"/>
      <c r="F220" s="245"/>
      <c r="G220" s="331"/>
      <c r="H220" s="332"/>
      <c r="I220" s="332"/>
      <c r="J220" s="332"/>
      <c r="K220" s="332"/>
      <c r="L220" s="332"/>
      <c r="M220" s="332"/>
      <c r="N220" s="332"/>
      <c r="O220" s="227"/>
      <c r="P220" s="227"/>
      <c r="Q220" s="227"/>
      <c r="R220" s="227"/>
      <c r="S220" s="227"/>
      <c r="T220" s="227"/>
      <c r="U220" s="227"/>
    </row>
    <row r="221" spans="1:21" ht="12.75" customHeight="1" x14ac:dyDescent="0.25">
      <c r="A221" s="229"/>
      <c r="B221" s="227"/>
      <c r="C221" s="227"/>
      <c r="D221" s="243"/>
      <c r="E221" s="244"/>
      <c r="F221" s="245"/>
      <c r="G221" s="331"/>
      <c r="H221" s="332"/>
      <c r="I221" s="332"/>
      <c r="J221" s="332"/>
      <c r="K221" s="332"/>
      <c r="L221" s="332"/>
      <c r="M221" s="332"/>
      <c r="N221" s="332"/>
      <c r="O221" s="227"/>
      <c r="P221" s="227"/>
      <c r="Q221" s="227"/>
      <c r="R221" s="227"/>
      <c r="S221" s="227"/>
      <c r="T221" s="227"/>
      <c r="U221" s="227"/>
    </row>
    <row r="222" spans="1:21" ht="12.75" customHeight="1" x14ac:dyDescent="0.25">
      <c r="A222" s="229"/>
      <c r="B222" s="227"/>
      <c r="C222" s="227"/>
      <c r="D222" s="243"/>
      <c r="E222" s="244"/>
      <c r="F222" s="245"/>
      <c r="G222" s="331"/>
      <c r="H222" s="332"/>
      <c r="I222" s="332"/>
      <c r="J222" s="332"/>
      <c r="K222" s="332"/>
      <c r="L222" s="332"/>
      <c r="M222" s="332"/>
      <c r="N222" s="332"/>
      <c r="O222" s="227"/>
      <c r="P222" s="227"/>
      <c r="Q222" s="227"/>
      <c r="R222" s="227"/>
      <c r="S222" s="227"/>
      <c r="T222" s="227"/>
      <c r="U222" s="227"/>
    </row>
    <row r="223" spans="1:21" ht="12.75" customHeight="1" x14ac:dyDescent="0.25">
      <c r="A223" s="229"/>
      <c r="B223" s="227"/>
      <c r="C223" s="227"/>
      <c r="D223" s="243"/>
      <c r="E223" s="244"/>
      <c r="F223" s="245"/>
      <c r="G223" s="331"/>
      <c r="H223" s="332"/>
      <c r="I223" s="332"/>
      <c r="J223" s="332"/>
      <c r="K223" s="332"/>
      <c r="L223" s="332"/>
      <c r="M223" s="332"/>
      <c r="N223" s="332"/>
      <c r="O223" s="227"/>
      <c r="P223" s="227"/>
      <c r="Q223" s="227"/>
      <c r="R223" s="227"/>
      <c r="S223" s="227"/>
      <c r="T223" s="227"/>
      <c r="U223" s="227"/>
    </row>
    <row r="224" spans="1:21" ht="12.75" customHeight="1" x14ac:dyDescent="0.25">
      <c r="A224" s="229"/>
      <c r="B224" s="227"/>
      <c r="C224" s="227"/>
      <c r="D224" s="243"/>
      <c r="E224" s="244"/>
      <c r="F224" s="245"/>
      <c r="G224" s="331"/>
      <c r="H224" s="332"/>
      <c r="I224" s="332"/>
      <c r="J224" s="332"/>
      <c r="K224" s="332"/>
      <c r="L224" s="332"/>
      <c r="M224" s="332"/>
      <c r="N224" s="332"/>
      <c r="O224" s="227"/>
      <c r="P224" s="227"/>
      <c r="Q224" s="227"/>
      <c r="R224" s="227"/>
      <c r="S224" s="227"/>
      <c r="T224" s="227"/>
      <c r="U224" s="227"/>
    </row>
    <row r="225" spans="1:21" ht="12.75" customHeight="1" x14ac:dyDescent="0.25">
      <c r="A225" s="229"/>
      <c r="B225" s="227"/>
      <c r="C225" s="227"/>
      <c r="D225" s="243"/>
      <c r="E225" s="244"/>
      <c r="F225" s="245"/>
      <c r="G225" s="331"/>
      <c r="H225" s="332"/>
      <c r="I225" s="332"/>
      <c r="J225" s="332"/>
      <c r="K225" s="332"/>
      <c r="L225" s="332"/>
      <c r="M225" s="332"/>
      <c r="N225" s="332"/>
      <c r="O225" s="227"/>
      <c r="P225" s="227"/>
      <c r="Q225" s="227"/>
      <c r="R225" s="227"/>
      <c r="S225" s="227"/>
      <c r="T225" s="227"/>
      <c r="U225" s="227"/>
    </row>
    <row r="226" spans="1:21" ht="12.75" customHeight="1" x14ac:dyDescent="0.25">
      <c r="A226" s="229"/>
      <c r="B226" s="227"/>
      <c r="C226" s="227"/>
      <c r="D226" s="243"/>
      <c r="E226" s="244"/>
      <c r="F226" s="245"/>
      <c r="G226" s="331"/>
      <c r="H226" s="332"/>
      <c r="I226" s="332"/>
      <c r="J226" s="332"/>
      <c r="K226" s="332"/>
      <c r="L226" s="332"/>
      <c r="M226" s="332"/>
      <c r="N226" s="332"/>
      <c r="O226" s="227"/>
      <c r="P226" s="227"/>
      <c r="Q226" s="227"/>
      <c r="R226" s="227"/>
      <c r="S226" s="227"/>
      <c r="T226" s="227"/>
      <c r="U226" s="227"/>
    </row>
    <row r="227" spans="1:21" ht="12.75" customHeight="1" x14ac:dyDescent="0.25">
      <c r="A227" s="229"/>
      <c r="B227" s="227"/>
      <c r="C227" s="227"/>
      <c r="D227" s="243"/>
      <c r="E227" s="244"/>
      <c r="F227" s="245"/>
      <c r="G227" s="331"/>
      <c r="H227" s="332"/>
      <c r="I227" s="332"/>
      <c r="J227" s="332"/>
      <c r="K227" s="332"/>
      <c r="L227" s="332"/>
      <c r="M227" s="332"/>
      <c r="N227" s="332"/>
      <c r="O227" s="227"/>
      <c r="P227" s="227"/>
      <c r="Q227" s="227"/>
      <c r="R227" s="227"/>
      <c r="S227" s="227"/>
      <c r="T227" s="227"/>
      <c r="U227" s="227"/>
    </row>
    <row r="228" spans="1:21" ht="12.75" customHeight="1" x14ac:dyDescent="0.25">
      <c r="A228" s="229"/>
      <c r="B228" s="227"/>
      <c r="C228" s="227"/>
      <c r="D228" s="243"/>
      <c r="E228" s="244"/>
      <c r="F228" s="245"/>
      <c r="G228" s="331"/>
      <c r="H228" s="332"/>
      <c r="I228" s="332"/>
      <c r="J228" s="332"/>
      <c r="K228" s="332"/>
      <c r="L228" s="332"/>
      <c r="M228" s="332"/>
      <c r="N228" s="332"/>
      <c r="O228" s="227"/>
      <c r="P228" s="227"/>
      <c r="Q228" s="227"/>
      <c r="R228" s="227"/>
      <c r="S228" s="227"/>
      <c r="T228" s="227"/>
      <c r="U228" s="227"/>
    </row>
    <row r="229" spans="1:21" ht="12.75" customHeight="1" x14ac:dyDescent="0.25">
      <c r="A229" s="229"/>
      <c r="B229" s="227"/>
      <c r="C229" s="227"/>
      <c r="D229" s="243"/>
      <c r="E229" s="244"/>
      <c r="F229" s="245"/>
      <c r="G229" s="331"/>
      <c r="H229" s="332"/>
      <c r="I229" s="332"/>
      <c r="J229" s="332"/>
      <c r="K229" s="332"/>
      <c r="L229" s="332"/>
      <c r="M229" s="332"/>
      <c r="N229" s="332"/>
      <c r="O229" s="227"/>
      <c r="P229" s="227"/>
      <c r="Q229" s="227"/>
      <c r="R229" s="227"/>
      <c r="S229" s="227"/>
      <c r="T229" s="227"/>
      <c r="U229" s="227"/>
    </row>
    <row r="230" spans="1:21" ht="12.75" customHeight="1" x14ac:dyDescent="0.25">
      <c r="A230" s="229"/>
      <c r="B230" s="227"/>
      <c r="C230" s="227"/>
      <c r="D230" s="243"/>
      <c r="E230" s="244"/>
      <c r="F230" s="245"/>
      <c r="G230" s="331"/>
      <c r="H230" s="332"/>
      <c r="I230" s="332"/>
      <c r="J230" s="332"/>
      <c r="K230" s="332"/>
      <c r="L230" s="332"/>
      <c r="M230" s="332"/>
      <c r="N230" s="332"/>
      <c r="O230" s="227"/>
      <c r="P230" s="227"/>
      <c r="Q230" s="227"/>
      <c r="R230" s="227"/>
      <c r="S230" s="227"/>
      <c r="T230" s="227"/>
      <c r="U230" s="227"/>
    </row>
    <row r="231" spans="1:21" ht="12.75" customHeight="1" x14ac:dyDescent="0.25">
      <c r="A231" s="229"/>
      <c r="B231" s="227"/>
      <c r="C231" s="227"/>
      <c r="D231" s="243"/>
      <c r="E231" s="244"/>
      <c r="F231" s="245"/>
      <c r="G231" s="331"/>
      <c r="H231" s="332"/>
      <c r="I231" s="332"/>
      <c r="J231" s="332"/>
      <c r="K231" s="332"/>
      <c r="L231" s="332"/>
      <c r="M231" s="332"/>
      <c r="N231" s="332"/>
      <c r="O231" s="227"/>
      <c r="P231" s="227"/>
      <c r="Q231" s="227"/>
      <c r="R231" s="227"/>
      <c r="S231" s="227"/>
      <c r="T231" s="227"/>
      <c r="U231" s="227"/>
    </row>
    <row r="232" spans="1:21" ht="12.75" customHeight="1" x14ac:dyDescent="0.25">
      <c r="A232" s="229"/>
      <c r="B232" s="227"/>
      <c r="C232" s="227"/>
      <c r="D232" s="243"/>
      <c r="E232" s="244"/>
      <c r="F232" s="245"/>
      <c r="G232" s="331"/>
      <c r="H232" s="332"/>
      <c r="I232" s="332"/>
      <c r="J232" s="332"/>
      <c r="K232" s="332"/>
      <c r="L232" s="332"/>
      <c r="M232" s="332"/>
      <c r="N232" s="332"/>
      <c r="O232" s="227"/>
      <c r="P232" s="227"/>
      <c r="Q232" s="227"/>
      <c r="R232" s="227"/>
      <c r="S232" s="227"/>
      <c r="T232" s="227"/>
      <c r="U232" s="227"/>
    </row>
    <row r="233" spans="1:21" ht="12.75" customHeight="1" x14ac:dyDescent="0.25">
      <c r="A233" s="229"/>
      <c r="B233" s="227"/>
      <c r="C233" s="227"/>
      <c r="D233" s="243"/>
      <c r="E233" s="244"/>
      <c r="F233" s="245"/>
      <c r="G233" s="331"/>
      <c r="H233" s="332"/>
      <c r="I233" s="332"/>
      <c r="J233" s="332"/>
      <c r="K233" s="332"/>
      <c r="L233" s="332"/>
      <c r="M233" s="332"/>
      <c r="N233" s="332"/>
      <c r="O233" s="227"/>
      <c r="P233" s="227"/>
      <c r="Q233" s="227"/>
      <c r="R233" s="227"/>
      <c r="S233" s="227"/>
      <c r="T233" s="227"/>
      <c r="U233" s="227"/>
    </row>
    <row r="234" spans="1:21" ht="12.75" customHeight="1" x14ac:dyDescent="0.25">
      <c r="A234" s="229"/>
      <c r="B234" s="227"/>
      <c r="C234" s="227"/>
      <c r="D234" s="243"/>
      <c r="E234" s="244"/>
      <c r="F234" s="245"/>
      <c r="G234" s="331"/>
      <c r="H234" s="332"/>
      <c r="I234" s="332"/>
      <c r="J234" s="332"/>
      <c r="K234" s="332"/>
      <c r="L234" s="332"/>
      <c r="M234" s="332"/>
      <c r="N234" s="332"/>
      <c r="O234" s="227"/>
      <c r="P234" s="227"/>
      <c r="Q234" s="227"/>
      <c r="R234" s="227"/>
      <c r="S234" s="227"/>
      <c r="T234" s="227"/>
      <c r="U234" s="227"/>
    </row>
    <row r="235" spans="1:21" ht="12.75" customHeight="1" x14ac:dyDescent="0.25">
      <c r="A235" s="229"/>
      <c r="B235" s="227"/>
      <c r="C235" s="227"/>
      <c r="D235" s="243"/>
      <c r="E235" s="244"/>
      <c r="F235" s="245"/>
      <c r="G235" s="331"/>
      <c r="H235" s="332"/>
      <c r="I235" s="332"/>
      <c r="J235" s="332"/>
      <c r="K235" s="332"/>
      <c r="L235" s="332"/>
      <c r="M235" s="332"/>
      <c r="N235" s="332"/>
      <c r="O235" s="227"/>
      <c r="P235" s="227"/>
      <c r="Q235" s="227"/>
      <c r="R235" s="227"/>
      <c r="S235" s="227"/>
      <c r="T235" s="227"/>
      <c r="U235" s="227"/>
    </row>
    <row r="236" spans="1:21" ht="12.75" customHeight="1" x14ac:dyDescent="0.25">
      <c r="A236" s="229"/>
      <c r="B236" s="227"/>
      <c r="C236" s="227"/>
      <c r="D236" s="243"/>
      <c r="E236" s="244"/>
      <c r="F236" s="245"/>
      <c r="G236" s="331"/>
      <c r="H236" s="332"/>
      <c r="I236" s="332"/>
      <c r="J236" s="332"/>
      <c r="K236" s="332"/>
      <c r="L236" s="332"/>
      <c r="M236" s="332"/>
      <c r="N236" s="332"/>
      <c r="O236" s="227"/>
      <c r="P236" s="227"/>
      <c r="Q236" s="227"/>
      <c r="R236" s="227"/>
      <c r="S236" s="227"/>
      <c r="T236" s="227"/>
      <c r="U236" s="227"/>
    </row>
    <row r="237" spans="1:21" ht="12.75" customHeight="1" x14ac:dyDescent="0.25">
      <c r="A237" s="229"/>
      <c r="B237" s="227"/>
      <c r="C237" s="227"/>
      <c r="D237" s="243"/>
      <c r="E237" s="244"/>
      <c r="F237" s="245"/>
      <c r="G237" s="331"/>
      <c r="H237" s="332"/>
      <c r="I237" s="332"/>
      <c r="J237" s="332"/>
      <c r="K237" s="332"/>
      <c r="L237" s="332"/>
      <c r="M237" s="332"/>
      <c r="N237" s="332"/>
      <c r="O237" s="227"/>
      <c r="P237" s="227"/>
      <c r="Q237" s="227"/>
      <c r="R237" s="227"/>
      <c r="S237" s="227"/>
      <c r="T237" s="227"/>
      <c r="U237" s="227"/>
    </row>
    <row r="238" spans="1:21" ht="12.75" customHeight="1" x14ac:dyDescent="0.25">
      <c r="A238" s="229"/>
      <c r="B238" s="227"/>
      <c r="C238" s="227"/>
      <c r="D238" s="243"/>
      <c r="E238" s="244"/>
      <c r="F238" s="245"/>
      <c r="G238" s="331"/>
      <c r="H238" s="332"/>
      <c r="I238" s="332"/>
      <c r="J238" s="332"/>
      <c r="K238" s="332"/>
      <c r="L238" s="332"/>
      <c r="M238" s="332"/>
      <c r="N238" s="332"/>
      <c r="O238" s="227"/>
      <c r="P238" s="227"/>
      <c r="Q238" s="227"/>
      <c r="R238" s="227"/>
      <c r="S238" s="227"/>
      <c r="T238" s="227"/>
      <c r="U238" s="227"/>
    </row>
    <row r="239" spans="1:21" ht="12.75" customHeight="1" x14ac:dyDescent="0.25">
      <c r="A239" s="229"/>
      <c r="B239" s="227"/>
      <c r="C239" s="227"/>
      <c r="D239" s="243"/>
      <c r="E239" s="244"/>
      <c r="F239" s="245"/>
      <c r="G239" s="331"/>
      <c r="H239" s="332"/>
      <c r="I239" s="332"/>
      <c r="J239" s="332"/>
      <c r="K239" s="332"/>
      <c r="L239" s="332"/>
      <c r="M239" s="332"/>
      <c r="N239" s="332"/>
      <c r="O239" s="227"/>
      <c r="P239" s="227"/>
      <c r="Q239" s="227"/>
      <c r="R239" s="227"/>
      <c r="S239" s="227"/>
      <c r="T239" s="227"/>
      <c r="U239" s="227"/>
    </row>
    <row r="240" spans="1:21" ht="12.75" customHeight="1" x14ac:dyDescent="0.25">
      <c r="A240" s="229"/>
      <c r="B240" s="227"/>
      <c r="C240" s="227"/>
      <c r="D240" s="243"/>
      <c r="E240" s="244"/>
      <c r="F240" s="245"/>
      <c r="G240" s="331"/>
      <c r="H240" s="332"/>
      <c r="I240" s="332"/>
      <c r="J240" s="332"/>
      <c r="K240" s="332"/>
      <c r="L240" s="332"/>
      <c r="M240" s="332"/>
      <c r="N240" s="332"/>
      <c r="O240" s="227"/>
      <c r="P240" s="227"/>
      <c r="Q240" s="227"/>
      <c r="R240" s="227"/>
      <c r="S240" s="227"/>
      <c r="T240" s="227"/>
      <c r="U240" s="227"/>
    </row>
    <row r="241" spans="1:21" ht="12.75" customHeight="1" x14ac:dyDescent="0.25">
      <c r="A241" s="229"/>
      <c r="B241" s="227"/>
      <c r="C241" s="227"/>
      <c r="D241" s="243"/>
      <c r="E241" s="244"/>
      <c r="F241" s="245"/>
      <c r="G241" s="331"/>
      <c r="H241" s="332"/>
      <c r="I241" s="332"/>
      <c r="J241" s="332"/>
      <c r="K241" s="332"/>
      <c r="L241" s="332"/>
      <c r="M241" s="332"/>
      <c r="N241" s="332"/>
      <c r="O241" s="227"/>
      <c r="P241" s="227"/>
      <c r="Q241" s="227"/>
      <c r="R241" s="227"/>
      <c r="S241" s="227"/>
      <c r="T241" s="227"/>
      <c r="U241" s="227"/>
    </row>
    <row r="242" spans="1:21" ht="12.75" customHeight="1" x14ac:dyDescent="0.25">
      <c r="A242" s="229"/>
      <c r="B242" s="227"/>
      <c r="C242" s="227"/>
      <c r="D242" s="243"/>
      <c r="E242" s="244"/>
      <c r="F242" s="245"/>
      <c r="G242" s="331"/>
      <c r="H242" s="332"/>
      <c r="I242" s="332"/>
      <c r="J242" s="332"/>
      <c r="K242" s="332"/>
      <c r="L242" s="332"/>
      <c r="M242" s="332"/>
      <c r="N242" s="332"/>
      <c r="O242" s="227"/>
      <c r="P242" s="227"/>
      <c r="Q242" s="227"/>
      <c r="R242" s="227"/>
      <c r="S242" s="227"/>
      <c r="T242" s="227"/>
      <c r="U242" s="227"/>
    </row>
    <row r="243" spans="1:21" ht="12.75" customHeight="1" x14ac:dyDescent="0.25">
      <c r="A243" s="229"/>
      <c r="B243" s="227"/>
      <c r="C243" s="227"/>
      <c r="D243" s="243"/>
      <c r="E243" s="244"/>
      <c r="F243" s="245"/>
      <c r="G243" s="331"/>
      <c r="H243" s="332"/>
      <c r="I243" s="332"/>
      <c r="J243" s="332"/>
      <c r="K243" s="332"/>
      <c r="L243" s="332"/>
      <c r="M243" s="332"/>
      <c r="N243" s="332"/>
      <c r="O243" s="227"/>
      <c r="P243" s="227"/>
      <c r="Q243" s="227"/>
      <c r="R243" s="227"/>
      <c r="S243" s="227"/>
      <c r="T243" s="227"/>
      <c r="U243" s="227"/>
    </row>
    <row r="244" spans="1:21" ht="12.75" customHeight="1" x14ac:dyDescent="0.25">
      <c r="A244" s="229"/>
      <c r="B244" s="227"/>
      <c r="C244" s="227"/>
      <c r="D244" s="243"/>
      <c r="E244" s="244"/>
      <c r="F244" s="245"/>
      <c r="G244" s="331"/>
      <c r="H244" s="332"/>
      <c r="I244" s="332"/>
      <c r="J244" s="332"/>
      <c r="K244" s="332"/>
      <c r="L244" s="332"/>
      <c r="M244" s="332"/>
      <c r="N244" s="332"/>
      <c r="O244" s="227"/>
      <c r="P244" s="227"/>
      <c r="Q244" s="227"/>
      <c r="R244" s="227"/>
      <c r="S244" s="227"/>
      <c r="T244" s="227"/>
      <c r="U244" s="227"/>
    </row>
    <row r="245" spans="1:21" ht="12.75" customHeight="1" x14ac:dyDescent="0.25">
      <c r="A245" s="229"/>
      <c r="B245" s="227"/>
      <c r="C245" s="227"/>
      <c r="D245" s="243"/>
      <c r="E245" s="244"/>
      <c r="F245" s="245"/>
      <c r="G245" s="331"/>
      <c r="H245" s="332"/>
      <c r="I245" s="332"/>
      <c r="J245" s="332"/>
      <c r="K245" s="332"/>
      <c r="L245" s="332"/>
      <c r="M245" s="332"/>
      <c r="N245" s="332"/>
      <c r="O245" s="227"/>
      <c r="P245" s="227"/>
      <c r="Q245" s="227"/>
      <c r="R245" s="227"/>
      <c r="S245" s="227"/>
      <c r="T245" s="227"/>
      <c r="U245" s="227"/>
    </row>
    <row r="246" spans="1:21" ht="12.75" customHeight="1" x14ac:dyDescent="0.25">
      <c r="A246" s="229"/>
      <c r="B246" s="227"/>
      <c r="C246" s="227"/>
      <c r="D246" s="243"/>
      <c r="E246" s="244"/>
      <c r="F246" s="245"/>
      <c r="G246" s="331"/>
      <c r="H246" s="332"/>
      <c r="I246" s="332"/>
      <c r="J246" s="332"/>
      <c r="K246" s="332"/>
      <c r="L246" s="332"/>
      <c r="M246" s="332"/>
      <c r="N246" s="332"/>
      <c r="O246" s="227"/>
      <c r="P246" s="227"/>
      <c r="Q246" s="227"/>
      <c r="R246" s="227"/>
      <c r="S246" s="227"/>
      <c r="T246" s="227"/>
      <c r="U246" s="227"/>
    </row>
    <row r="247" spans="1:21" ht="12.75" customHeight="1" x14ac:dyDescent="0.25">
      <c r="A247" s="229"/>
      <c r="B247" s="227"/>
      <c r="C247" s="227"/>
      <c r="D247" s="243"/>
      <c r="E247" s="244"/>
      <c r="F247" s="245"/>
      <c r="G247" s="331"/>
      <c r="H247" s="332"/>
      <c r="I247" s="332"/>
      <c r="J247" s="332"/>
      <c r="K247" s="332"/>
      <c r="L247" s="332"/>
      <c r="M247" s="332"/>
      <c r="N247" s="332"/>
      <c r="O247" s="227"/>
      <c r="P247" s="227"/>
      <c r="Q247" s="227"/>
      <c r="R247" s="227"/>
      <c r="S247" s="227"/>
      <c r="T247" s="227"/>
      <c r="U247" s="227"/>
    </row>
    <row r="248" spans="1:21" ht="12.75" customHeight="1" x14ac:dyDescent="0.25">
      <c r="A248" s="229"/>
      <c r="B248" s="227"/>
      <c r="C248" s="227"/>
      <c r="D248" s="243"/>
      <c r="E248" s="244"/>
      <c r="F248" s="245"/>
      <c r="G248" s="331"/>
      <c r="H248" s="332"/>
      <c r="I248" s="332"/>
      <c r="J248" s="332"/>
      <c r="K248" s="332"/>
      <c r="L248" s="332"/>
      <c r="M248" s="332"/>
      <c r="N248" s="332"/>
      <c r="O248" s="227"/>
      <c r="P248" s="227"/>
      <c r="Q248" s="227"/>
      <c r="R248" s="227"/>
      <c r="S248" s="227"/>
      <c r="T248" s="227"/>
      <c r="U248" s="227"/>
    </row>
    <row r="249" spans="1:21" ht="12.75" customHeight="1" x14ac:dyDescent="0.25">
      <c r="A249" s="229"/>
      <c r="B249" s="227"/>
      <c r="C249" s="227"/>
      <c r="D249" s="243"/>
      <c r="E249" s="244"/>
      <c r="F249" s="245"/>
      <c r="G249" s="331"/>
      <c r="H249" s="332"/>
      <c r="I249" s="332"/>
      <c r="J249" s="332"/>
      <c r="K249" s="332"/>
      <c r="L249" s="332"/>
      <c r="M249" s="332"/>
      <c r="N249" s="332"/>
      <c r="O249" s="227"/>
      <c r="P249" s="227"/>
      <c r="Q249" s="227"/>
      <c r="R249" s="227"/>
      <c r="S249" s="227"/>
      <c r="T249" s="227"/>
      <c r="U249" s="227"/>
    </row>
    <row r="250" spans="1:21" ht="12.75" customHeight="1" x14ac:dyDescent="0.25">
      <c r="A250" s="229"/>
      <c r="B250" s="227"/>
      <c r="C250" s="227"/>
      <c r="D250" s="243"/>
      <c r="E250" s="244"/>
      <c r="F250" s="245"/>
      <c r="G250" s="331"/>
      <c r="H250" s="332"/>
      <c r="I250" s="332"/>
      <c r="J250" s="332"/>
      <c r="K250" s="332"/>
      <c r="L250" s="332"/>
      <c r="M250" s="332"/>
      <c r="N250" s="332"/>
      <c r="O250" s="227"/>
      <c r="P250" s="227"/>
      <c r="Q250" s="227"/>
      <c r="R250" s="227"/>
      <c r="S250" s="227"/>
      <c r="T250" s="227"/>
      <c r="U250" s="227"/>
    </row>
    <row r="251" spans="1:21" ht="12.75" customHeight="1" x14ac:dyDescent="0.25">
      <c r="A251" s="229"/>
      <c r="B251" s="227"/>
      <c r="C251" s="227"/>
      <c r="D251" s="243"/>
      <c r="E251" s="244"/>
      <c r="F251" s="245"/>
      <c r="G251" s="331"/>
      <c r="H251" s="332"/>
      <c r="I251" s="332"/>
      <c r="J251" s="332"/>
      <c r="K251" s="332"/>
      <c r="L251" s="332"/>
      <c r="M251" s="332"/>
      <c r="N251" s="332"/>
      <c r="O251" s="227"/>
      <c r="P251" s="227"/>
      <c r="Q251" s="227"/>
      <c r="R251" s="227"/>
      <c r="S251" s="227"/>
      <c r="T251" s="227"/>
      <c r="U251" s="227"/>
    </row>
    <row r="252" spans="1:21" ht="12.75" customHeight="1" x14ac:dyDescent="0.25">
      <c r="A252" s="229"/>
      <c r="B252" s="227"/>
      <c r="C252" s="227"/>
      <c r="D252" s="243"/>
      <c r="E252" s="244"/>
      <c r="F252" s="245"/>
      <c r="G252" s="331"/>
      <c r="H252" s="332"/>
      <c r="I252" s="332"/>
      <c r="J252" s="332"/>
      <c r="K252" s="332"/>
      <c r="L252" s="332"/>
      <c r="M252" s="332"/>
      <c r="N252" s="332"/>
      <c r="O252" s="227"/>
      <c r="P252" s="227"/>
      <c r="Q252" s="227"/>
      <c r="R252" s="227"/>
      <c r="S252" s="227"/>
      <c r="T252" s="227"/>
      <c r="U252" s="227"/>
    </row>
    <row r="253" spans="1:21" ht="12.75" customHeight="1" x14ac:dyDescent="0.25">
      <c r="A253" s="229"/>
      <c r="B253" s="227"/>
      <c r="C253" s="227"/>
      <c r="D253" s="243"/>
      <c r="E253" s="244"/>
      <c r="F253" s="245"/>
      <c r="G253" s="331"/>
      <c r="H253" s="332"/>
      <c r="I253" s="332"/>
      <c r="J253" s="332"/>
      <c r="K253" s="332"/>
      <c r="L253" s="332"/>
      <c r="M253" s="332"/>
      <c r="N253" s="332"/>
      <c r="O253" s="227"/>
      <c r="P253" s="227"/>
      <c r="Q253" s="227"/>
      <c r="R253" s="227"/>
      <c r="S253" s="227"/>
      <c r="T253" s="227"/>
      <c r="U253" s="227"/>
    </row>
    <row r="254" spans="1:21" ht="12.75" customHeight="1" x14ac:dyDescent="0.25">
      <c r="A254" s="229"/>
      <c r="B254" s="227"/>
      <c r="C254" s="227"/>
      <c r="D254" s="243"/>
      <c r="E254" s="244"/>
      <c r="F254" s="245"/>
      <c r="G254" s="331"/>
      <c r="H254" s="332"/>
      <c r="I254" s="332"/>
      <c r="J254" s="332"/>
      <c r="K254" s="332"/>
      <c r="L254" s="332"/>
      <c r="M254" s="332"/>
      <c r="N254" s="332"/>
      <c r="O254" s="227"/>
      <c r="P254" s="227"/>
      <c r="Q254" s="227"/>
      <c r="R254" s="227"/>
      <c r="S254" s="227"/>
      <c r="T254" s="227"/>
      <c r="U254" s="227"/>
    </row>
    <row r="255" spans="1:21" ht="12.75" customHeight="1" x14ac:dyDescent="0.25">
      <c r="A255" s="229"/>
      <c r="B255" s="227"/>
      <c r="C255" s="227"/>
      <c r="D255" s="243"/>
      <c r="E255" s="244"/>
      <c r="F255" s="245"/>
      <c r="G255" s="331"/>
      <c r="H255" s="332"/>
      <c r="I255" s="332"/>
      <c r="J255" s="332"/>
      <c r="K255" s="332"/>
      <c r="L255" s="332"/>
      <c r="M255" s="332"/>
      <c r="N255" s="332"/>
      <c r="O255" s="227"/>
      <c r="P255" s="227"/>
      <c r="Q255" s="227"/>
      <c r="R255" s="227"/>
      <c r="S255" s="227"/>
      <c r="T255" s="227"/>
      <c r="U255" s="227"/>
    </row>
    <row r="256" spans="1:21" ht="12.75" customHeight="1" x14ac:dyDescent="0.25">
      <c r="A256" s="229"/>
      <c r="B256" s="227"/>
      <c r="C256" s="227"/>
      <c r="D256" s="243"/>
      <c r="E256" s="244"/>
      <c r="F256" s="245"/>
      <c r="G256" s="331"/>
      <c r="H256" s="332"/>
      <c r="I256" s="332"/>
      <c r="J256" s="332"/>
      <c r="K256" s="332"/>
      <c r="L256" s="332"/>
      <c r="M256" s="332"/>
      <c r="N256" s="332"/>
      <c r="O256" s="227"/>
      <c r="P256" s="227"/>
      <c r="Q256" s="227"/>
      <c r="R256" s="227"/>
      <c r="S256" s="227"/>
      <c r="T256" s="227"/>
      <c r="U256" s="227"/>
    </row>
    <row r="257" spans="1:21" ht="12.75" customHeight="1" x14ac:dyDescent="0.25">
      <c r="A257" s="229"/>
      <c r="B257" s="227"/>
      <c r="C257" s="227"/>
      <c r="D257" s="243"/>
      <c r="E257" s="244"/>
      <c r="F257" s="245"/>
      <c r="G257" s="331"/>
      <c r="H257" s="332"/>
      <c r="I257" s="332"/>
      <c r="J257" s="332"/>
      <c r="K257" s="332"/>
      <c r="L257" s="332"/>
      <c r="M257" s="332"/>
      <c r="N257" s="332"/>
      <c r="O257" s="227"/>
      <c r="P257" s="227"/>
      <c r="Q257" s="227"/>
      <c r="R257" s="227"/>
      <c r="S257" s="227"/>
      <c r="T257" s="227"/>
      <c r="U257" s="227"/>
    </row>
    <row r="258" spans="1:21" ht="12.75" customHeight="1" x14ac:dyDescent="0.25">
      <c r="A258" s="229"/>
      <c r="B258" s="227"/>
      <c r="C258" s="227"/>
      <c r="D258" s="243"/>
      <c r="E258" s="244"/>
      <c r="F258" s="245"/>
      <c r="G258" s="331"/>
      <c r="H258" s="332"/>
      <c r="I258" s="332"/>
      <c r="J258" s="332"/>
      <c r="K258" s="332"/>
      <c r="L258" s="332"/>
      <c r="M258" s="332"/>
      <c r="N258" s="332"/>
      <c r="O258" s="227"/>
      <c r="P258" s="227"/>
      <c r="Q258" s="227"/>
      <c r="R258" s="227"/>
      <c r="S258" s="227"/>
      <c r="T258" s="227"/>
      <c r="U258" s="227"/>
    </row>
    <row r="259" spans="1:21" ht="12.75" customHeight="1" x14ac:dyDescent="0.25">
      <c r="A259" s="229"/>
      <c r="B259" s="227"/>
      <c r="C259" s="227"/>
      <c r="D259" s="243"/>
      <c r="E259" s="244"/>
      <c r="F259" s="245"/>
      <c r="G259" s="331"/>
      <c r="H259" s="332"/>
      <c r="I259" s="332"/>
      <c r="J259" s="332"/>
      <c r="K259" s="332"/>
      <c r="L259" s="332"/>
      <c r="M259" s="332"/>
      <c r="N259" s="332"/>
      <c r="O259" s="227"/>
      <c r="P259" s="227"/>
      <c r="Q259" s="227"/>
      <c r="R259" s="227"/>
      <c r="S259" s="227"/>
      <c r="T259" s="227"/>
      <c r="U259" s="227"/>
    </row>
    <row r="260" spans="1:21" ht="12.75" customHeight="1" x14ac:dyDescent="0.25">
      <c r="A260" s="229"/>
      <c r="B260" s="227"/>
      <c r="C260" s="227"/>
      <c r="D260" s="243"/>
      <c r="E260" s="244"/>
      <c r="F260" s="245"/>
      <c r="G260" s="331"/>
      <c r="H260" s="332"/>
      <c r="I260" s="332"/>
      <c r="J260" s="332"/>
      <c r="K260" s="332"/>
      <c r="L260" s="332"/>
      <c r="M260" s="332"/>
      <c r="N260" s="332"/>
      <c r="O260" s="227"/>
      <c r="P260" s="227"/>
      <c r="Q260" s="227"/>
      <c r="R260" s="227"/>
      <c r="S260" s="227"/>
      <c r="T260" s="227"/>
      <c r="U260" s="227"/>
    </row>
    <row r="261" spans="1:21" ht="12.75" customHeight="1" x14ac:dyDescent="0.25">
      <c r="A261" s="229"/>
      <c r="B261" s="227"/>
      <c r="C261" s="227"/>
      <c r="D261" s="243"/>
      <c r="E261" s="244"/>
      <c r="F261" s="245"/>
      <c r="G261" s="331"/>
      <c r="H261" s="332"/>
      <c r="I261" s="332"/>
      <c r="J261" s="332"/>
      <c r="K261" s="332"/>
      <c r="L261" s="332"/>
      <c r="M261" s="332"/>
      <c r="N261" s="332"/>
      <c r="O261" s="227"/>
      <c r="P261" s="227"/>
      <c r="Q261" s="227"/>
      <c r="R261" s="227"/>
      <c r="S261" s="227"/>
      <c r="T261" s="227"/>
      <c r="U261" s="227"/>
    </row>
    <row r="262" spans="1:21" ht="12.75" customHeight="1" x14ac:dyDescent="0.25">
      <c r="A262" s="229"/>
      <c r="B262" s="227"/>
      <c r="C262" s="227"/>
      <c r="D262" s="243"/>
      <c r="E262" s="244"/>
      <c r="F262" s="245"/>
      <c r="G262" s="331"/>
      <c r="H262" s="332"/>
      <c r="I262" s="332"/>
      <c r="J262" s="332"/>
      <c r="K262" s="332"/>
      <c r="L262" s="332"/>
      <c r="M262" s="332"/>
      <c r="N262" s="332"/>
      <c r="O262" s="227"/>
      <c r="P262" s="227"/>
      <c r="Q262" s="227"/>
      <c r="R262" s="227"/>
      <c r="S262" s="227"/>
      <c r="T262" s="227"/>
      <c r="U262" s="227"/>
    </row>
    <row r="263" spans="1:21" ht="12.75" customHeight="1" x14ac:dyDescent="0.25">
      <c r="A263" s="229"/>
      <c r="B263" s="227"/>
      <c r="C263" s="227"/>
      <c r="D263" s="243"/>
      <c r="E263" s="244"/>
      <c r="F263" s="245"/>
      <c r="G263" s="331"/>
      <c r="H263" s="332"/>
      <c r="I263" s="332"/>
      <c r="J263" s="332"/>
      <c r="K263" s="332"/>
      <c r="L263" s="332"/>
      <c r="M263" s="332"/>
      <c r="N263" s="332"/>
      <c r="O263" s="227"/>
      <c r="P263" s="227"/>
      <c r="Q263" s="227"/>
      <c r="R263" s="227"/>
      <c r="S263" s="227"/>
      <c r="T263" s="227"/>
      <c r="U263" s="227"/>
    </row>
    <row r="264" spans="1:21" ht="12.75" customHeight="1" x14ac:dyDescent="0.25">
      <c r="A264" s="229"/>
      <c r="B264" s="227"/>
      <c r="C264" s="227"/>
      <c r="D264" s="243"/>
      <c r="E264" s="244"/>
      <c r="F264" s="245"/>
      <c r="G264" s="331"/>
      <c r="H264" s="332"/>
      <c r="I264" s="332"/>
      <c r="J264" s="332"/>
      <c r="K264" s="332"/>
      <c r="L264" s="332"/>
      <c r="M264" s="332"/>
      <c r="N264" s="332"/>
      <c r="O264" s="227"/>
      <c r="P264" s="227"/>
      <c r="Q264" s="227"/>
      <c r="R264" s="227"/>
      <c r="S264" s="227"/>
      <c r="T264" s="227"/>
      <c r="U264" s="227"/>
    </row>
    <row r="265" spans="1:21" ht="12.75" customHeight="1" x14ac:dyDescent="0.25">
      <c r="A265" s="229"/>
      <c r="B265" s="227"/>
      <c r="C265" s="227"/>
      <c r="D265" s="243"/>
      <c r="E265" s="244"/>
      <c r="F265" s="245"/>
      <c r="G265" s="331"/>
      <c r="H265" s="332"/>
      <c r="I265" s="332"/>
      <c r="J265" s="332"/>
      <c r="K265" s="332"/>
      <c r="L265" s="332"/>
      <c r="M265" s="332"/>
      <c r="N265" s="332"/>
      <c r="O265" s="227"/>
      <c r="P265" s="227"/>
      <c r="Q265" s="227"/>
      <c r="R265" s="227"/>
      <c r="S265" s="227"/>
      <c r="T265" s="227"/>
      <c r="U265" s="227"/>
    </row>
    <row r="266" spans="1:21" ht="12.75" customHeight="1" x14ac:dyDescent="0.25">
      <c r="A266" s="229"/>
      <c r="B266" s="227"/>
      <c r="C266" s="227"/>
      <c r="D266" s="243"/>
      <c r="E266" s="244"/>
      <c r="F266" s="245"/>
      <c r="G266" s="331"/>
      <c r="H266" s="332"/>
      <c r="I266" s="332"/>
      <c r="J266" s="332"/>
      <c r="K266" s="332"/>
      <c r="L266" s="332"/>
      <c r="M266" s="332"/>
      <c r="N266" s="332"/>
      <c r="O266" s="227"/>
      <c r="P266" s="227"/>
      <c r="Q266" s="227"/>
      <c r="R266" s="227"/>
      <c r="S266" s="227"/>
      <c r="T266" s="227"/>
      <c r="U266" s="227"/>
    </row>
    <row r="267" spans="1:21" ht="12.75" customHeight="1" x14ac:dyDescent="0.25">
      <c r="A267" s="229"/>
      <c r="B267" s="227"/>
      <c r="C267" s="227"/>
      <c r="D267" s="243"/>
      <c r="E267" s="244"/>
      <c r="F267" s="245"/>
      <c r="G267" s="331"/>
      <c r="H267" s="332"/>
      <c r="I267" s="332"/>
      <c r="J267" s="332"/>
      <c r="K267" s="332"/>
      <c r="L267" s="332"/>
      <c r="M267" s="332"/>
      <c r="N267" s="332"/>
      <c r="O267" s="227"/>
      <c r="P267" s="227"/>
      <c r="Q267" s="227"/>
      <c r="R267" s="227"/>
      <c r="S267" s="227"/>
      <c r="T267" s="227"/>
      <c r="U267" s="227"/>
    </row>
    <row r="268" spans="1:21" ht="12.75" customHeight="1" x14ac:dyDescent="0.25">
      <c r="A268" s="229"/>
      <c r="B268" s="227"/>
      <c r="C268" s="227"/>
      <c r="D268" s="243"/>
      <c r="E268" s="244"/>
      <c r="F268" s="245"/>
      <c r="G268" s="331"/>
      <c r="H268" s="332"/>
      <c r="I268" s="332"/>
      <c r="J268" s="332"/>
      <c r="K268" s="332"/>
      <c r="L268" s="332"/>
      <c r="M268" s="332"/>
      <c r="N268" s="332"/>
      <c r="O268" s="227"/>
      <c r="P268" s="227"/>
      <c r="Q268" s="227"/>
      <c r="R268" s="227"/>
      <c r="S268" s="227"/>
      <c r="T268" s="227"/>
      <c r="U268" s="227"/>
    </row>
    <row r="269" spans="1:21" ht="12.75" customHeight="1" x14ac:dyDescent="0.25">
      <c r="A269" s="229"/>
      <c r="B269" s="227"/>
      <c r="C269" s="227"/>
      <c r="D269" s="243"/>
      <c r="E269" s="244"/>
      <c r="F269" s="245"/>
      <c r="G269" s="331"/>
      <c r="H269" s="332"/>
      <c r="I269" s="332"/>
      <c r="J269" s="332"/>
      <c r="K269" s="332"/>
      <c r="L269" s="332"/>
      <c r="M269" s="332"/>
      <c r="N269" s="332"/>
      <c r="O269" s="227"/>
      <c r="P269" s="227"/>
      <c r="Q269" s="227"/>
      <c r="R269" s="227"/>
      <c r="S269" s="227"/>
      <c r="T269" s="227"/>
      <c r="U269" s="227"/>
    </row>
    <row r="270" spans="1:21" ht="12.75" customHeight="1" x14ac:dyDescent="0.25">
      <c r="A270" s="229"/>
      <c r="B270" s="227"/>
      <c r="C270" s="227"/>
      <c r="D270" s="243"/>
      <c r="E270" s="244"/>
      <c r="F270" s="245"/>
      <c r="G270" s="331"/>
      <c r="H270" s="332"/>
      <c r="I270" s="332"/>
      <c r="J270" s="332"/>
      <c r="K270" s="332"/>
      <c r="L270" s="332"/>
      <c r="M270" s="332"/>
      <c r="N270" s="332"/>
      <c r="O270" s="227"/>
      <c r="P270" s="227"/>
      <c r="Q270" s="227"/>
      <c r="R270" s="227"/>
      <c r="S270" s="227"/>
      <c r="T270" s="227"/>
      <c r="U270" s="227"/>
    </row>
    <row r="271" spans="1:21" ht="12.75" customHeight="1" x14ac:dyDescent="0.25">
      <c r="A271" s="229"/>
      <c r="B271" s="227"/>
      <c r="C271" s="227"/>
      <c r="D271" s="243"/>
      <c r="E271" s="244"/>
      <c r="F271" s="245"/>
      <c r="G271" s="331"/>
      <c r="H271" s="332"/>
      <c r="I271" s="332"/>
      <c r="J271" s="332"/>
      <c r="K271" s="332"/>
      <c r="L271" s="332"/>
      <c r="M271" s="332"/>
      <c r="N271" s="332"/>
      <c r="O271" s="227"/>
      <c r="P271" s="227"/>
      <c r="Q271" s="227"/>
      <c r="R271" s="227"/>
      <c r="S271" s="227"/>
      <c r="T271" s="227"/>
      <c r="U271" s="227"/>
    </row>
    <row r="272" spans="1:21" ht="12.75" customHeight="1" x14ac:dyDescent="0.25">
      <c r="A272" s="229"/>
      <c r="B272" s="227"/>
      <c r="C272" s="227"/>
      <c r="D272" s="243"/>
      <c r="E272" s="244"/>
      <c r="F272" s="245"/>
      <c r="G272" s="331"/>
      <c r="H272" s="332"/>
      <c r="I272" s="332"/>
      <c r="J272" s="332"/>
      <c r="K272" s="332"/>
      <c r="L272" s="332"/>
      <c r="M272" s="332"/>
      <c r="N272" s="332"/>
      <c r="O272" s="227"/>
      <c r="P272" s="227"/>
      <c r="Q272" s="227"/>
      <c r="R272" s="227"/>
      <c r="S272" s="227"/>
      <c r="T272" s="227"/>
      <c r="U272" s="227"/>
    </row>
    <row r="273" spans="1:21" ht="12.75" customHeight="1" x14ac:dyDescent="0.25">
      <c r="A273" s="229"/>
      <c r="B273" s="227"/>
      <c r="C273" s="227"/>
      <c r="D273" s="243"/>
      <c r="E273" s="244"/>
      <c r="F273" s="245"/>
      <c r="G273" s="331"/>
      <c r="H273" s="332"/>
      <c r="I273" s="332"/>
      <c r="J273" s="332"/>
      <c r="K273" s="332"/>
      <c r="L273" s="332"/>
      <c r="M273" s="332"/>
      <c r="N273" s="332"/>
      <c r="O273" s="227"/>
      <c r="P273" s="227"/>
      <c r="Q273" s="227"/>
      <c r="R273" s="227"/>
      <c r="S273" s="227"/>
      <c r="T273" s="227"/>
      <c r="U273" s="227"/>
    </row>
    <row r="274" spans="1:21" ht="12.75" customHeight="1" x14ac:dyDescent="0.25">
      <c r="A274" s="229"/>
      <c r="B274" s="227"/>
      <c r="C274" s="227"/>
      <c r="D274" s="243"/>
      <c r="E274" s="244"/>
      <c r="F274" s="245"/>
      <c r="G274" s="331"/>
      <c r="H274" s="332"/>
      <c r="I274" s="332"/>
      <c r="J274" s="332"/>
      <c r="K274" s="332"/>
      <c r="L274" s="332"/>
      <c r="M274" s="332"/>
      <c r="N274" s="332"/>
      <c r="O274" s="227"/>
      <c r="P274" s="227"/>
      <c r="Q274" s="227"/>
      <c r="R274" s="227"/>
      <c r="S274" s="227"/>
      <c r="T274" s="227"/>
      <c r="U274" s="227"/>
    </row>
    <row r="275" spans="1:21" ht="12.75" customHeight="1" x14ac:dyDescent="0.25">
      <c r="A275" s="229"/>
      <c r="B275" s="227"/>
      <c r="C275" s="227"/>
      <c r="D275" s="243"/>
      <c r="E275" s="244"/>
      <c r="F275" s="245"/>
      <c r="G275" s="331"/>
      <c r="H275" s="332"/>
      <c r="I275" s="332"/>
      <c r="J275" s="332"/>
      <c r="K275" s="332"/>
      <c r="L275" s="332"/>
      <c r="M275" s="332"/>
      <c r="N275" s="332"/>
      <c r="O275" s="227"/>
      <c r="P275" s="227"/>
      <c r="Q275" s="227"/>
      <c r="R275" s="227"/>
      <c r="S275" s="227"/>
      <c r="T275" s="227"/>
      <c r="U275" s="227"/>
    </row>
    <row r="276" spans="1:21" ht="12.75" customHeight="1" x14ac:dyDescent="0.25">
      <c r="A276" s="229"/>
      <c r="B276" s="227"/>
      <c r="C276" s="227"/>
      <c r="D276" s="243"/>
      <c r="E276" s="244"/>
      <c r="F276" s="245"/>
      <c r="G276" s="331"/>
      <c r="H276" s="332"/>
      <c r="I276" s="332"/>
      <c r="J276" s="332"/>
      <c r="K276" s="332"/>
      <c r="L276" s="332"/>
      <c r="M276" s="332"/>
      <c r="N276" s="332"/>
      <c r="O276" s="227"/>
      <c r="P276" s="227"/>
      <c r="Q276" s="227"/>
      <c r="R276" s="227"/>
      <c r="S276" s="227"/>
      <c r="T276" s="227"/>
      <c r="U276" s="227"/>
    </row>
    <row r="277" spans="1:21" ht="12.75" customHeight="1" x14ac:dyDescent="0.25">
      <c r="A277" s="229"/>
      <c r="B277" s="227"/>
      <c r="C277" s="227"/>
      <c r="D277" s="243"/>
      <c r="E277" s="244"/>
      <c r="F277" s="245"/>
      <c r="G277" s="331"/>
      <c r="H277" s="332"/>
      <c r="I277" s="332"/>
      <c r="J277" s="332"/>
      <c r="K277" s="332"/>
      <c r="L277" s="332"/>
      <c r="M277" s="332"/>
      <c r="N277" s="332"/>
      <c r="O277" s="227"/>
      <c r="P277" s="227"/>
      <c r="Q277" s="227"/>
      <c r="R277" s="227"/>
      <c r="S277" s="227"/>
      <c r="T277" s="227"/>
      <c r="U277" s="227"/>
    </row>
    <row r="278" spans="1:21" ht="12.75" customHeight="1" x14ac:dyDescent="0.25">
      <c r="A278" s="229"/>
      <c r="B278" s="227"/>
      <c r="C278" s="227"/>
      <c r="D278" s="243"/>
      <c r="E278" s="244"/>
      <c r="F278" s="245"/>
      <c r="G278" s="331"/>
      <c r="H278" s="332"/>
      <c r="I278" s="332"/>
      <c r="J278" s="332"/>
      <c r="K278" s="332"/>
      <c r="L278" s="332"/>
      <c r="M278" s="332"/>
      <c r="N278" s="332"/>
      <c r="O278" s="227"/>
      <c r="P278" s="227"/>
      <c r="Q278" s="227"/>
      <c r="R278" s="227"/>
      <c r="S278" s="227"/>
      <c r="T278" s="227"/>
      <c r="U278" s="227"/>
    </row>
    <row r="279" spans="1:21" ht="12.75" customHeight="1" x14ac:dyDescent="0.25">
      <c r="A279" s="229"/>
      <c r="B279" s="227"/>
      <c r="C279" s="227"/>
      <c r="D279" s="243"/>
      <c r="E279" s="244"/>
      <c r="F279" s="245"/>
      <c r="G279" s="331"/>
      <c r="H279" s="332"/>
      <c r="I279" s="332"/>
      <c r="J279" s="332"/>
      <c r="K279" s="332"/>
      <c r="L279" s="332"/>
      <c r="M279" s="332"/>
      <c r="N279" s="332"/>
      <c r="O279" s="227"/>
      <c r="P279" s="227"/>
      <c r="Q279" s="227"/>
      <c r="R279" s="227"/>
      <c r="S279" s="227"/>
      <c r="T279" s="227"/>
      <c r="U279" s="227"/>
    </row>
    <row r="280" spans="1:21" ht="12.75" customHeight="1" x14ac:dyDescent="0.25">
      <c r="A280" s="229"/>
      <c r="B280" s="227"/>
      <c r="C280" s="227"/>
      <c r="D280" s="243"/>
      <c r="E280" s="244"/>
      <c r="F280" s="245"/>
      <c r="G280" s="331"/>
      <c r="H280" s="332"/>
      <c r="I280" s="332"/>
      <c r="J280" s="332"/>
      <c r="K280" s="332"/>
      <c r="L280" s="332"/>
      <c r="M280" s="332"/>
      <c r="N280" s="332"/>
      <c r="O280" s="227"/>
      <c r="P280" s="227"/>
      <c r="Q280" s="227"/>
      <c r="R280" s="227"/>
      <c r="S280" s="227"/>
      <c r="T280" s="227"/>
      <c r="U280" s="227"/>
    </row>
    <row r="281" spans="1:21" ht="12.75" customHeight="1" x14ac:dyDescent="0.25">
      <c r="A281" s="229"/>
      <c r="B281" s="227"/>
      <c r="C281" s="227"/>
      <c r="D281" s="243"/>
      <c r="E281" s="244"/>
      <c r="F281" s="245"/>
      <c r="G281" s="331"/>
      <c r="H281" s="332"/>
      <c r="I281" s="332"/>
      <c r="J281" s="332"/>
      <c r="K281" s="332"/>
      <c r="L281" s="332"/>
      <c r="M281" s="332"/>
      <c r="N281" s="332"/>
      <c r="O281" s="227"/>
      <c r="P281" s="227"/>
      <c r="Q281" s="227"/>
      <c r="R281" s="227"/>
      <c r="S281" s="227"/>
      <c r="T281" s="227"/>
      <c r="U281" s="227"/>
    </row>
    <row r="282" spans="1:21" ht="12.75" customHeight="1" x14ac:dyDescent="0.25">
      <c r="A282" s="229"/>
      <c r="B282" s="227"/>
      <c r="C282" s="227"/>
      <c r="D282" s="243"/>
      <c r="E282" s="244"/>
      <c r="F282" s="245"/>
      <c r="G282" s="331"/>
      <c r="H282" s="332"/>
      <c r="I282" s="332"/>
      <c r="J282" s="332"/>
      <c r="K282" s="332"/>
      <c r="L282" s="332"/>
      <c r="M282" s="332"/>
      <c r="N282" s="332"/>
      <c r="O282" s="227"/>
      <c r="P282" s="227"/>
      <c r="Q282" s="227"/>
      <c r="R282" s="227"/>
      <c r="S282" s="227"/>
      <c r="T282" s="227"/>
      <c r="U282" s="227"/>
    </row>
    <row r="283" spans="1:21" ht="12.75" customHeight="1" x14ac:dyDescent="0.25">
      <c r="A283" s="229"/>
      <c r="B283" s="227"/>
      <c r="C283" s="227"/>
      <c r="D283" s="243"/>
      <c r="E283" s="244"/>
      <c r="F283" s="245"/>
      <c r="G283" s="331"/>
      <c r="H283" s="332"/>
      <c r="I283" s="332"/>
      <c r="J283" s="332"/>
      <c r="K283" s="332"/>
      <c r="L283" s="332"/>
      <c r="M283" s="332"/>
      <c r="N283" s="332"/>
      <c r="O283" s="227"/>
      <c r="P283" s="227"/>
      <c r="Q283" s="227"/>
      <c r="R283" s="227"/>
      <c r="S283" s="227"/>
      <c r="T283" s="227"/>
      <c r="U283" s="227"/>
    </row>
    <row r="284" spans="1:21" ht="12.75" customHeight="1" x14ac:dyDescent="0.25">
      <c r="A284" s="229"/>
      <c r="B284" s="227"/>
      <c r="C284" s="227"/>
      <c r="D284" s="243"/>
      <c r="E284" s="244"/>
      <c r="F284" s="245"/>
      <c r="G284" s="331"/>
      <c r="H284" s="332"/>
      <c r="I284" s="332"/>
      <c r="J284" s="332"/>
      <c r="K284" s="332"/>
      <c r="L284" s="332"/>
      <c r="M284" s="332"/>
      <c r="N284" s="332"/>
      <c r="O284" s="227"/>
      <c r="P284" s="227"/>
      <c r="Q284" s="227"/>
      <c r="R284" s="227"/>
      <c r="S284" s="227"/>
      <c r="T284" s="227"/>
      <c r="U284" s="227"/>
    </row>
    <row r="285" spans="1:21" ht="12.75" customHeight="1" x14ac:dyDescent="0.25">
      <c r="A285" s="229"/>
      <c r="B285" s="227"/>
      <c r="C285" s="227"/>
      <c r="D285" s="243"/>
      <c r="E285" s="244"/>
      <c r="F285" s="245"/>
      <c r="G285" s="331"/>
      <c r="H285" s="332"/>
      <c r="I285" s="332"/>
      <c r="J285" s="332"/>
      <c r="K285" s="332"/>
      <c r="L285" s="332"/>
      <c r="M285" s="332"/>
      <c r="N285" s="332"/>
      <c r="O285" s="227"/>
      <c r="P285" s="227"/>
      <c r="Q285" s="227"/>
      <c r="R285" s="227"/>
      <c r="S285" s="227"/>
      <c r="T285" s="227"/>
      <c r="U285" s="227"/>
    </row>
    <row r="286" spans="1:21" ht="12.75" customHeight="1" x14ac:dyDescent="0.25">
      <c r="A286" s="229"/>
      <c r="B286" s="227"/>
      <c r="C286" s="227"/>
      <c r="D286" s="243"/>
      <c r="E286" s="244"/>
      <c r="F286" s="245"/>
      <c r="G286" s="331"/>
      <c r="H286" s="332"/>
      <c r="I286" s="332"/>
      <c r="J286" s="332"/>
      <c r="K286" s="332"/>
      <c r="L286" s="332"/>
      <c r="M286" s="332"/>
      <c r="N286" s="332"/>
      <c r="O286" s="227"/>
      <c r="P286" s="227"/>
      <c r="Q286" s="227"/>
      <c r="R286" s="227"/>
      <c r="S286" s="227"/>
      <c r="T286" s="227"/>
      <c r="U286" s="227"/>
    </row>
    <row r="287" spans="1:21" ht="12.75" customHeight="1" x14ac:dyDescent="0.25">
      <c r="A287" s="229"/>
      <c r="B287" s="227"/>
      <c r="C287" s="227"/>
      <c r="D287" s="243"/>
      <c r="E287" s="244"/>
      <c r="F287" s="245"/>
      <c r="G287" s="331"/>
      <c r="H287" s="332"/>
      <c r="I287" s="332"/>
      <c r="J287" s="332"/>
      <c r="K287" s="332"/>
      <c r="L287" s="332"/>
      <c r="M287" s="332"/>
      <c r="N287" s="332"/>
      <c r="O287" s="227"/>
      <c r="P287" s="227"/>
      <c r="Q287" s="227"/>
      <c r="R287" s="227"/>
      <c r="S287" s="227"/>
      <c r="T287" s="227"/>
      <c r="U287" s="227"/>
    </row>
    <row r="288" spans="1:21" ht="12.75" customHeight="1" x14ac:dyDescent="0.25">
      <c r="A288" s="229"/>
      <c r="B288" s="227"/>
      <c r="C288" s="227"/>
      <c r="D288" s="243"/>
      <c r="E288" s="244"/>
      <c r="F288" s="245"/>
      <c r="G288" s="331"/>
      <c r="H288" s="332"/>
      <c r="I288" s="332"/>
      <c r="J288" s="332"/>
      <c r="K288" s="332"/>
      <c r="L288" s="332"/>
      <c r="M288" s="332"/>
      <c r="N288" s="332"/>
      <c r="O288" s="227"/>
      <c r="P288" s="227"/>
      <c r="Q288" s="227"/>
      <c r="R288" s="227"/>
      <c r="S288" s="227"/>
      <c r="T288" s="227"/>
      <c r="U288" s="227"/>
    </row>
    <row r="289" spans="1:21" ht="12.75" customHeight="1" x14ac:dyDescent="0.25">
      <c r="A289" s="229"/>
      <c r="B289" s="227"/>
      <c r="C289" s="227"/>
      <c r="D289" s="243"/>
      <c r="E289" s="244"/>
      <c r="F289" s="245"/>
      <c r="G289" s="331"/>
      <c r="H289" s="332"/>
      <c r="I289" s="332"/>
      <c r="J289" s="332"/>
      <c r="K289" s="332"/>
      <c r="L289" s="332"/>
      <c r="M289" s="332"/>
      <c r="N289" s="332"/>
      <c r="O289" s="227"/>
      <c r="P289" s="227"/>
      <c r="Q289" s="227"/>
      <c r="R289" s="227"/>
      <c r="S289" s="227"/>
      <c r="T289" s="227"/>
      <c r="U289" s="227"/>
    </row>
    <row r="290" spans="1:21" ht="12.75" customHeight="1" x14ac:dyDescent="0.25">
      <c r="A290" s="229"/>
      <c r="B290" s="227"/>
      <c r="C290" s="227"/>
      <c r="D290" s="243"/>
      <c r="E290" s="244"/>
      <c r="F290" s="245"/>
      <c r="G290" s="331"/>
      <c r="H290" s="332"/>
      <c r="I290" s="332"/>
      <c r="J290" s="332"/>
      <c r="K290" s="332"/>
      <c r="L290" s="332"/>
      <c r="M290" s="332"/>
      <c r="N290" s="332"/>
      <c r="O290" s="227"/>
      <c r="P290" s="227"/>
      <c r="Q290" s="227"/>
      <c r="R290" s="227"/>
      <c r="S290" s="227"/>
      <c r="T290" s="227"/>
      <c r="U290" s="227"/>
    </row>
    <row r="291" spans="1:21" ht="12.75" customHeight="1" x14ac:dyDescent="0.25">
      <c r="A291" s="229"/>
      <c r="B291" s="227"/>
      <c r="C291" s="227"/>
      <c r="D291" s="243"/>
      <c r="E291" s="244"/>
      <c r="F291" s="245"/>
      <c r="G291" s="331"/>
      <c r="H291" s="332"/>
      <c r="I291" s="332"/>
      <c r="J291" s="332"/>
      <c r="K291" s="332"/>
      <c r="L291" s="332"/>
      <c r="M291" s="332"/>
      <c r="N291" s="332"/>
      <c r="O291" s="227"/>
      <c r="P291" s="227"/>
      <c r="Q291" s="227"/>
      <c r="R291" s="227"/>
      <c r="S291" s="227"/>
      <c r="T291" s="227"/>
      <c r="U291" s="227"/>
    </row>
    <row r="292" spans="1:21" ht="12.75" customHeight="1" x14ac:dyDescent="0.25">
      <c r="A292" s="229"/>
      <c r="B292" s="227"/>
      <c r="C292" s="227"/>
      <c r="D292" s="243"/>
      <c r="E292" s="244"/>
      <c r="F292" s="245"/>
      <c r="G292" s="331"/>
      <c r="H292" s="332"/>
      <c r="I292" s="332"/>
      <c r="J292" s="332"/>
      <c r="K292" s="332"/>
      <c r="L292" s="332"/>
      <c r="M292" s="332"/>
      <c r="N292" s="332"/>
      <c r="O292" s="227"/>
      <c r="P292" s="227"/>
      <c r="Q292" s="227"/>
      <c r="R292" s="227"/>
      <c r="S292" s="227"/>
      <c r="T292" s="227"/>
      <c r="U292" s="227"/>
    </row>
    <row r="293" spans="1:21" ht="12.75" customHeight="1" x14ac:dyDescent="0.25">
      <c r="A293" s="229"/>
      <c r="B293" s="227"/>
      <c r="C293" s="227"/>
      <c r="D293" s="243"/>
      <c r="E293" s="244"/>
      <c r="F293" s="245"/>
      <c r="G293" s="331"/>
      <c r="H293" s="332"/>
      <c r="I293" s="332"/>
      <c r="J293" s="332"/>
      <c r="K293" s="332"/>
      <c r="L293" s="332"/>
      <c r="M293" s="332"/>
      <c r="N293" s="332"/>
      <c r="O293" s="227"/>
      <c r="P293" s="227"/>
      <c r="Q293" s="227"/>
      <c r="R293" s="227"/>
      <c r="S293" s="227"/>
      <c r="T293" s="227"/>
      <c r="U293" s="227"/>
    </row>
    <row r="294" spans="1:21" ht="12.75" customHeight="1" x14ac:dyDescent="0.25">
      <c r="A294" s="229"/>
      <c r="B294" s="227"/>
      <c r="C294" s="227"/>
      <c r="D294" s="243"/>
      <c r="E294" s="244"/>
      <c r="F294" s="245"/>
      <c r="G294" s="331"/>
      <c r="H294" s="332"/>
      <c r="I294" s="332"/>
      <c r="J294" s="332"/>
      <c r="K294" s="332"/>
      <c r="L294" s="332"/>
      <c r="M294" s="332"/>
      <c r="N294" s="332"/>
      <c r="O294" s="227"/>
      <c r="P294" s="227"/>
      <c r="Q294" s="227"/>
      <c r="R294" s="227"/>
      <c r="S294" s="227"/>
      <c r="T294" s="227"/>
      <c r="U294" s="227"/>
    </row>
    <row r="295" spans="1:21" ht="12.75" customHeight="1" x14ac:dyDescent="0.25">
      <c r="A295" s="229"/>
      <c r="B295" s="227"/>
      <c r="C295" s="227"/>
      <c r="D295" s="243"/>
      <c r="E295" s="244"/>
      <c r="F295" s="245"/>
      <c r="G295" s="331"/>
      <c r="H295" s="332"/>
      <c r="I295" s="332"/>
      <c r="J295" s="332"/>
      <c r="K295" s="332"/>
      <c r="L295" s="332"/>
      <c r="M295" s="332"/>
      <c r="N295" s="332"/>
      <c r="O295" s="227"/>
      <c r="P295" s="227"/>
      <c r="Q295" s="227"/>
      <c r="R295" s="227"/>
      <c r="S295" s="227"/>
      <c r="T295" s="227"/>
      <c r="U295" s="227"/>
    </row>
    <row r="296" spans="1:21" ht="12.75" customHeight="1" x14ac:dyDescent="0.25">
      <c r="A296" s="229"/>
      <c r="B296" s="227"/>
      <c r="C296" s="227"/>
      <c r="D296" s="243"/>
      <c r="E296" s="244"/>
      <c r="F296" s="245"/>
      <c r="G296" s="331"/>
      <c r="H296" s="332"/>
      <c r="I296" s="332"/>
      <c r="J296" s="332"/>
      <c r="K296" s="332"/>
      <c r="L296" s="332"/>
      <c r="M296" s="332"/>
      <c r="N296" s="332"/>
      <c r="O296" s="227"/>
      <c r="P296" s="227"/>
      <c r="Q296" s="227"/>
      <c r="R296" s="227"/>
      <c r="S296" s="227"/>
      <c r="T296" s="227"/>
      <c r="U296" s="227"/>
    </row>
    <row r="297" spans="1:21" ht="12.75" customHeight="1" x14ac:dyDescent="0.25">
      <c r="A297" s="229"/>
      <c r="B297" s="227"/>
      <c r="C297" s="227"/>
      <c r="D297" s="243"/>
      <c r="E297" s="244"/>
      <c r="F297" s="245"/>
      <c r="G297" s="331"/>
      <c r="H297" s="332"/>
      <c r="I297" s="332"/>
      <c r="J297" s="332"/>
      <c r="K297" s="332"/>
      <c r="L297" s="332"/>
      <c r="M297" s="332"/>
      <c r="N297" s="332"/>
      <c r="O297" s="227"/>
      <c r="P297" s="227"/>
      <c r="Q297" s="227"/>
      <c r="R297" s="227"/>
      <c r="S297" s="227"/>
      <c r="T297" s="227"/>
      <c r="U297" s="227"/>
    </row>
    <row r="298" spans="1:21" ht="12.75" customHeight="1" x14ac:dyDescent="0.25">
      <c r="A298" s="229"/>
      <c r="B298" s="227"/>
      <c r="C298" s="227"/>
      <c r="D298" s="243"/>
      <c r="E298" s="244"/>
      <c r="F298" s="245"/>
      <c r="G298" s="331"/>
      <c r="H298" s="332"/>
      <c r="I298" s="332"/>
      <c r="J298" s="332"/>
      <c r="K298" s="332"/>
      <c r="L298" s="332"/>
      <c r="M298" s="332"/>
      <c r="N298" s="332"/>
      <c r="O298" s="227"/>
      <c r="P298" s="227"/>
      <c r="Q298" s="227"/>
      <c r="R298" s="227"/>
      <c r="S298" s="227"/>
      <c r="T298" s="227"/>
      <c r="U298" s="227"/>
    </row>
    <row r="299" spans="1:21" ht="12.75" customHeight="1" x14ac:dyDescent="0.25">
      <c r="A299" s="229"/>
      <c r="B299" s="227"/>
      <c r="C299" s="227"/>
      <c r="D299" s="243"/>
      <c r="E299" s="244"/>
      <c r="F299" s="245"/>
      <c r="G299" s="331"/>
      <c r="H299" s="332"/>
      <c r="I299" s="332"/>
      <c r="J299" s="332"/>
      <c r="K299" s="332"/>
      <c r="L299" s="332"/>
      <c r="M299" s="332"/>
      <c r="N299" s="332"/>
      <c r="O299" s="227"/>
      <c r="P299" s="227"/>
      <c r="Q299" s="227"/>
      <c r="R299" s="227"/>
      <c r="S299" s="227"/>
      <c r="T299" s="227"/>
      <c r="U299" s="227"/>
    </row>
    <row r="300" spans="1:21" ht="12.75" customHeight="1" x14ac:dyDescent="0.25">
      <c r="A300" s="229"/>
      <c r="B300" s="227"/>
      <c r="C300" s="227"/>
      <c r="D300" s="243"/>
      <c r="E300" s="244"/>
      <c r="F300" s="245"/>
      <c r="G300" s="331"/>
      <c r="H300" s="332"/>
      <c r="I300" s="332"/>
      <c r="J300" s="332"/>
      <c r="K300" s="332"/>
      <c r="L300" s="332"/>
      <c r="M300" s="332"/>
      <c r="N300" s="332"/>
      <c r="O300" s="227"/>
      <c r="P300" s="227"/>
      <c r="Q300" s="227"/>
      <c r="R300" s="227"/>
      <c r="S300" s="227"/>
      <c r="T300" s="227"/>
      <c r="U300" s="227"/>
    </row>
    <row r="301" spans="1:21" ht="12.75" customHeight="1" x14ac:dyDescent="0.25">
      <c r="A301" s="229"/>
      <c r="B301" s="227"/>
      <c r="C301" s="227"/>
      <c r="D301" s="243"/>
      <c r="E301" s="244"/>
      <c r="F301" s="245"/>
      <c r="G301" s="331"/>
      <c r="H301" s="332"/>
      <c r="I301" s="332"/>
      <c r="J301" s="332"/>
      <c r="K301" s="332"/>
      <c r="L301" s="332"/>
      <c r="M301" s="332"/>
      <c r="N301" s="332"/>
      <c r="O301" s="227"/>
      <c r="P301" s="227"/>
      <c r="Q301" s="227"/>
      <c r="R301" s="227"/>
      <c r="S301" s="227"/>
      <c r="T301" s="227"/>
      <c r="U301" s="227"/>
    </row>
    <row r="302" spans="1:21" ht="12.75" customHeight="1" x14ac:dyDescent="0.25">
      <c r="A302" s="229"/>
      <c r="B302" s="227"/>
      <c r="C302" s="227"/>
      <c r="D302" s="243"/>
      <c r="E302" s="244"/>
      <c r="F302" s="245"/>
      <c r="G302" s="331"/>
      <c r="H302" s="332"/>
      <c r="I302" s="332"/>
      <c r="J302" s="332"/>
      <c r="K302" s="332"/>
      <c r="L302" s="332"/>
      <c r="M302" s="332"/>
      <c r="N302" s="332"/>
      <c r="O302" s="227"/>
      <c r="P302" s="227"/>
      <c r="Q302" s="227"/>
      <c r="R302" s="227"/>
      <c r="S302" s="227"/>
      <c r="T302" s="227"/>
      <c r="U302" s="227"/>
    </row>
    <row r="303" spans="1:21" ht="12.75" customHeight="1" x14ac:dyDescent="0.25">
      <c r="A303" s="229"/>
      <c r="B303" s="227"/>
      <c r="C303" s="227"/>
      <c r="D303" s="243"/>
      <c r="E303" s="244"/>
      <c r="F303" s="245"/>
      <c r="G303" s="331"/>
      <c r="H303" s="332"/>
      <c r="I303" s="332"/>
      <c r="J303" s="332"/>
      <c r="K303" s="332"/>
      <c r="L303" s="332"/>
      <c r="M303" s="332"/>
      <c r="N303" s="332"/>
      <c r="O303" s="227"/>
      <c r="P303" s="227"/>
      <c r="Q303" s="227"/>
      <c r="R303" s="227"/>
      <c r="S303" s="227"/>
      <c r="T303" s="227"/>
      <c r="U303" s="227"/>
    </row>
    <row r="304" spans="1:21" ht="12.75" customHeight="1" x14ac:dyDescent="0.25">
      <c r="A304" s="229"/>
      <c r="B304" s="227"/>
      <c r="C304" s="227"/>
      <c r="D304" s="243"/>
      <c r="E304" s="244"/>
      <c r="F304" s="245"/>
      <c r="G304" s="331"/>
      <c r="H304" s="332"/>
      <c r="I304" s="332"/>
      <c r="J304" s="332"/>
      <c r="K304" s="332"/>
      <c r="L304" s="332"/>
      <c r="M304" s="332"/>
      <c r="N304" s="332"/>
      <c r="O304" s="227"/>
      <c r="P304" s="227"/>
      <c r="Q304" s="227"/>
      <c r="R304" s="227"/>
      <c r="S304" s="227"/>
      <c r="T304" s="227"/>
      <c r="U304" s="227"/>
    </row>
    <row r="305" spans="1:21" ht="12.75" customHeight="1" x14ac:dyDescent="0.25">
      <c r="A305" s="229"/>
      <c r="B305" s="227"/>
      <c r="C305" s="227"/>
      <c r="D305" s="243"/>
      <c r="E305" s="244"/>
      <c r="F305" s="245"/>
      <c r="G305" s="331"/>
      <c r="H305" s="332"/>
      <c r="I305" s="332"/>
      <c r="J305" s="332"/>
      <c r="K305" s="332"/>
      <c r="L305" s="332"/>
      <c r="M305" s="332"/>
      <c r="N305" s="332"/>
      <c r="O305" s="227"/>
      <c r="P305" s="227"/>
      <c r="Q305" s="227"/>
      <c r="R305" s="227"/>
      <c r="S305" s="227"/>
      <c r="T305" s="227"/>
      <c r="U305" s="227"/>
    </row>
    <row r="306" spans="1:21" ht="12.75" customHeight="1" x14ac:dyDescent="0.25">
      <c r="A306" s="229"/>
      <c r="B306" s="227"/>
      <c r="C306" s="227"/>
      <c r="D306" s="243"/>
      <c r="E306" s="244"/>
      <c r="F306" s="245"/>
      <c r="G306" s="331"/>
      <c r="H306" s="332"/>
      <c r="I306" s="332"/>
      <c r="J306" s="332"/>
      <c r="K306" s="332"/>
      <c r="L306" s="332"/>
      <c r="M306" s="332"/>
      <c r="N306" s="332"/>
      <c r="O306" s="227"/>
      <c r="P306" s="227"/>
      <c r="Q306" s="227"/>
      <c r="R306" s="227"/>
      <c r="S306" s="227"/>
      <c r="T306" s="227"/>
      <c r="U306" s="227"/>
    </row>
    <row r="307" spans="1:21" ht="12.75" customHeight="1" x14ac:dyDescent="0.25">
      <c r="A307" s="229"/>
      <c r="B307" s="227"/>
      <c r="C307" s="227"/>
      <c r="D307" s="243"/>
      <c r="E307" s="244"/>
      <c r="F307" s="245"/>
      <c r="G307" s="331"/>
      <c r="H307" s="332"/>
      <c r="I307" s="332"/>
      <c r="J307" s="332"/>
      <c r="K307" s="332"/>
      <c r="L307" s="332"/>
      <c r="M307" s="332"/>
      <c r="N307" s="332"/>
      <c r="O307" s="227"/>
      <c r="P307" s="227"/>
      <c r="Q307" s="227"/>
      <c r="R307" s="227"/>
      <c r="S307" s="227"/>
      <c r="T307" s="227"/>
      <c r="U307" s="227"/>
    </row>
    <row r="308" spans="1:21" ht="12.75" customHeight="1" x14ac:dyDescent="0.25">
      <c r="A308" s="229"/>
      <c r="B308" s="227"/>
      <c r="C308" s="227"/>
      <c r="D308" s="243"/>
      <c r="E308" s="244"/>
      <c r="F308" s="245"/>
      <c r="G308" s="331"/>
      <c r="H308" s="332"/>
      <c r="I308" s="332"/>
      <c r="J308" s="332"/>
      <c r="K308" s="332"/>
      <c r="L308" s="332"/>
      <c r="M308" s="332"/>
      <c r="N308" s="332"/>
      <c r="O308" s="227"/>
      <c r="P308" s="227"/>
      <c r="Q308" s="227"/>
      <c r="R308" s="227"/>
      <c r="S308" s="227"/>
      <c r="T308" s="227"/>
      <c r="U308" s="227"/>
    </row>
    <row r="309" spans="1:21" ht="12.75" customHeight="1" x14ac:dyDescent="0.25">
      <c r="A309" s="229"/>
      <c r="B309" s="227"/>
      <c r="C309" s="227"/>
      <c r="D309" s="243"/>
      <c r="E309" s="244"/>
      <c r="F309" s="245"/>
      <c r="G309" s="331"/>
      <c r="H309" s="332"/>
      <c r="I309" s="332"/>
      <c r="J309" s="332"/>
      <c r="K309" s="332"/>
      <c r="L309" s="332"/>
      <c r="M309" s="332"/>
      <c r="N309" s="332"/>
      <c r="O309" s="227"/>
      <c r="P309" s="227"/>
      <c r="Q309" s="227"/>
      <c r="R309" s="227"/>
      <c r="S309" s="227"/>
      <c r="T309" s="227"/>
      <c r="U309" s="227"/>
    </row>
    <row r="310" spans="1:21" ht="12.75" customHeight="1" x14ac:dyDescent="0.25">
      <c r="A310" s="229"/>
      <c r="B310" s="227"/>
      <c r="C310" s="227"/>
      <c r="D310" s="243"/>
      <c r="E310" s="244"/>
      <c r="F310" s="245"/>
      <c r="G310" s="331"/>
      <c r="H310" s="332"/>
      <c r="I310" s="332"/>
      <c r="J310" s="332"/>
      <c r="K310" s="332"/>
      <c r="L310" s="332"/>
      <c r="M310" s="332"/>
      <c r="N310" s="332"/>
      <c r="O310" s="227"/>
      <c r="P310" s="227"/>
      <c r="Q310" s="227"/>
      <c r="R310" s="227"/>
      <c r="S310" s="227"/>
      <c r="T310" s="227"/>
      <c r="U310" s="227"/>
    </row>
    <row r="311" spans="1:21" ht="12.75" customHeight="1" x14ac:dyDescent="0.25">
      <c r="A311" s="229"/>
      <c r="B311" s="227"/>
      <c r="C311" s="227"/>
      <c r="D311" s="243"/>
      <c r="E311" s="244"/>
      <c r="F311" s="245"/>
      <c r="G311" s="331"/>
      <c r="H311" s="332"/>
      <c r="I311" s="332"/>
      <c r="J311" s="332"/>
      <c r="K311" s="332"/>
      <c r="L311" s="332"/>
      <c r="M311" s="332"/>
      <c r="N311" s="332"/>
      <c r="O311" s="227"/>
      <c r="P311" s="227"/>
      <c r="Q311" s="227"/>
      <c r="R311" s="227"/>
      <c r="S311" s="227"/>
      <c r="T311" s="227"/>
      <c r="U311" s="227"/>
    </row>
    <row r="312" spans="1:21" ht="12.75" customHeight="1" x14ac:dyDescent="0.25">
      <c r="A312" s="229"/>
      <c r="B312" s="227"/>
      <c r="C312" s="227"/>
      <c r="D312" s="243"/>
      <c r="E312" s="244"/>
      <c r="F312" s="245"/>
      <c r="G312" s="331"/>
      <c r="H312" s="332"/>
      <c r="I312" s="332"/>
      <c r="J312" s="332"/>
      <c r="K312" s="332"/>
      <c r="L312" s="332"/>
      <c r="M312" s="332"/>
      <c r="N312" s="332"/>
      <c r="O312" s="227"/>
      <c r="P312" s="227"/>
      <c r="Q312" s="227"/>
      <c r="R312" s="227"/>
      <c r="S312" s="227"/>
      <c r="T312" s="227"/>
      <c r="U312" s="227"/>
    </row>
    <row r="313" spans="1:21" ht="12.75" customHeight="1" x14ac:dyDescent="0.25">
      <c r="A313" s="229"/>
      <c r="B313" s="227"/>
      <c r="C313" s="227"/>
      <c r="D313" s="243"/>
      <c r="E313" s="244"/>
      <c r="F313" s="245"/>
      <c r="G313" s="331"/>
      <c r="H313" s="332"/>
      <c r="I313" s="332"/>
      <c r="J313" s="332"/>
      <c r="K313" s="332"/>
      <c r="L313" s="332"/>
      <c r="M313" s="332"/>
      <c r="N313" s="332"/>
      <c r="O313" s="227"/>
      <c r="P313" s="227"/>
      <c r="Q313" s="227"/>
      <c r="R313" s="227"/>
      <c r="S313" s="227"/>
      <c r="T313" s="227"/>
      <c r="U313" s="227"/>
    </row>
    <row r="314" spans="1:21" ht="12.75" customHeight="1" x14ac:dyDescent="0.25">
      <c r="A314" s="229"/>
      <c r="B314" s="227"/>
      <c r="C314" s="227"/>
      <c r="D314" s="243"/>
      <c r="E314" s="244"/>
      <c r="F314" s="245"/>
      <c r="G314" s="331"/>
      <c r="H314" s="332"/>
      <c r="I314" s="332"/>
      <c r="J314" s="332"/>
      <c r="K314" s="332"/>
      <c r="L314" s="332"/>
      <c r="M314" s="332"/>
      <c r="N314" s="332"/>
      <c r="O314" s="227"/>
      <c r="P314" s="227"/>
      <c r="Q314" s="227"/>
      <c r="R314" s="227"/>
      <c r="S314" s="227"/>
      <c r="T314" s="227"/>
      <c r="U314" s="227"/>
    </row>
    <row r="315" spans="1:21" ht="12.75" customHeight="1" x14ac:dyDescent="0.25">
      <c r="A315" s="229"/>
      <c r="B315" s="227"/>
      <c r="C315" s="227"/>
      <c r="D315" s="243"/>
      <c r="E315" s="244"/>
      <c r="F315" s="245"/>
      <c r="G315" s="331"/>
      <c r="H315" s="332"/>
      <c r="I315" s="332"/>
      <c r="J315" s="332"/>
      <c r="K315" s="332"/>
      <c r="L315" s="332"/>
      <c r="M315" s="332"/>
      <c r="N315" s="332"/>
      <c r="O315" s="227"/>
      <c r="P315" s="227"/>
      <c r="Q315" s="227"/>
      <c r="R315" s="227"/>
      <c r="S315" s="227"/>
      <c r="T315" s="227"/>
      <c r="U315" s="227"/>
    </row>
    <row r="316" spans="1:21" ht="12.75" customHeight="1" x14ac:dyDescent="0.25">
      <c r="A316" s="229"/>
      <c r="B316" s="227"/>
      <c r="C316" s="227"/>
      <c r="D316" s="243"/>
      <c r="E316" s="244"/>
      <c r="F316" s="245"/>
      <c r="G316" s="331"/>
      <c r="H316" s="332"/>
      <c r="I316" s="332"/>
      <c r="J316" s="332"/>
      <c r="K316" s="332"/>
      <c r="L316" s="332"/>
      <c r="M316" s="332"/>
      <c r="N316" s="332"/>
      <c r="O316" s="227"/>
      <c r="P316" s="227"/>
      <c r="Q316" s="227"/>
      <c r="R316" s="227"/>
      <c r="S316" s="227"/>
      <c r="T316" s="227"/>
      <c r="U316" s="227"/>
    </row>
    <row r="317" spans="1:21" ht="12.75" customHeight="1" x14ac:dyDescent="0.25">
      <c r="A317" s="229"/>
      <c r="B317" s="227"/>
      <c r="C317" s="227"/>
      <c r="D317" s="243"/>
      <c r="E317" s="244"/>
      <c r="F317" s="245"/>
      <c r="G317" s="331"/>
      <c r="H317" s="332"/>
      <c r="I317" s="332"/>
      <c r="J317" s="332"/>
      <c r="K317" s="332"/>
      <c r="L317" s="332"/>
      <c r="M317" s="332"/>
      <c r="N317" s="332"/>
      <c r="O317" s="227"/>
      <c r="P317" s="227"/>
      <c r="Q317" s="227"/>
      <c r="R317" s="227"/>
      <c r="S317" s="227"/>
      <c r="T317" s="227"/>
      <c r="U317" s="227"/>
    </row>
    <row r="318" spans="1:21" ht="12.75" customHeight="1" x14ac:dyDescent="0.25">
      <c r="A318" s="229"/>
      <c r="B318" s="227"/>
      <c r="C318" s="227"/>
      <c r="D318" s="243"/>
      <c r="E318" s="244"/>
      <c r="F318" s="245"/>
      <c r="G318" s="331"/>
      <c r="H318" s="332"/>
      <c r="I318" s="332"/>
      <c r="J318" s="332"/>
      <c r="K318" s="332"/>
      <c r="L318" s="332"/>
      <c r="M318" s="332"/>
      <c r="N318" s="332"/>
      <c r="O318" s="227"/>
      <c r="P318" s="227"/>
      <c r="Q318" s="227"/>
      <c r="R318" s="227"/>
      <c r="S318" s="227"/>
      <c r="T318" s="227"/>
      <c r="U318" s="227"/>
    </row>
    <row r="319" spans="1:21" ht="12.75" customHeight="1" x14ac:dyDescent="0.25">
      <c r="A319" s="229"/>
      <c r="B319" s="227"/>
      <c r="C319" s="227"/>
      <c r="D319" s="243"/>
      <c r="E319" s="244"/>
      <c r="F319" s="245"/>
      <c r="G319" s="331"/>
      <c r="H319" s="332"/>
      <c r="I319" s="332"/>
      <c r="J319" s="332"/>
      <c r="K319" s="332"/>
      <c r="L319" s="332"/>
      <c r="M319" s="332"/>
      <c r="N319" s="332"/>
      <c r="O319" s="227"/>
      <c r="P319" s="227"/>
      <c r="Q319" s="227"/>
      <c r="R319" s="227"/>
      <c r="S319" s="227"/>
      <c r="T319" s="227"/>
      <c r="U319" s="227"/>
    </row>
    <row r="320" spans="1:21" ht="12.75" customHeight="1" x14ac:dyDescent="0.25">
      <c r="A320" s="229"/>
      <c r="B320" s="227"/>
      <c r="C320" s="227"/>
      <c r="D320" s="243"/>
      <c r="E320" s="244"/>
      <c r="F320" s="245"/>
      <c r="G320" s="331"/>
      <c r="H320" s="332"/>
      <c r="I320" s="332"/>
      <c r="J320" s="332"/>
      <c r="K320" s="332"/>
      <c r="L320" s="332"/>
      <c r="M320" s="332"/>
      <c r="N320" s="332"/>
      <c r="O320" s="227"/>
      <c r="P320" s="227"/>
      <c r="Q320" s="227"/>
      <c r="R320" s="227"/>
      <c r="S320" s="227"/>
      <c r="T320" s="227"/>
      <c r="U320" s="227"/>
    </row>
    <row r="321" spans="1:21" ht="12.75" customHeight="1" x14ac:dyDescent="0.25">
      <c r="A321" s="229"/>
      <c r="B321" s="227"/>
      <c r="C321" s="227"/>
      <c r="D321" s="243"/>
      <c r="E321" s="244"/>
      <c r="F321" s="245"/>
      <c r="G321" s="331"/>
      <c r="H321" s="332"/>
      <c r="I321" s="332"/>
      <c r="J321" s="332"/>
      <c r="K321" s="332"/>
      <c r="L321" s="332"/>
      <c r="M321" s="332"/>
      <c r="N321" s="332"/>
      <c r="O321" s="227"/>
      <c r="P321" s="227"/>
      <c r="Q321" s="227"/>
      <c r="R321" s="227"/>
      <c r="S321" s="227"/>
      <c r="T321" s="227"/>
      <c r="U321" s="227"/>
    </row>
    <row r="322" spans="1:21" ht="12.75" customHeight="1" x14ac:dyDescent="0.25">
      <c r="A322" s="229"/>
      <c r="B322" s="227"/>
      <c r="C322" s="227"/>
      <c r="D322" s="243"/>
      <c r="E322" s="244"/>
      <c r="F322" s="245"/>
      <c r="G322" s="331"/>
      <c r="H322" s="332"/>
      <c r="I322" s="332"/>
      <c r="J322" s="332"/>
      <c r="K322" s="332"/>
      <c r="L322" s="332"/>
      <c r="M322" s="332"/>
      <c r="N322" s="332"/>
      <c r="O322" s="227"/>
      <c r="P322" s="227"/>
      <c r="Q322" s="227"/>
      <c r="R322" s="227"/>
      <c r="S322" s="227"/>
      <c r="T322" s="227"/>
      <c r="U322" s="227"/>
    </row>
    <row r="323" spans="1:21" ht="12.75" customHeight="1" x14ac:dyDescent="0.25">
      <c r="A323" s="229"/>
      <c r="B323" s="227"/>
      <c r="C323" s="227"/>
      <c r="D323" s="243"/>
      <c r="E323" s="244"/>
      <c r="F323" s="245"/>
      <c r="G323" s="331"/>
      <c r="H323" s="332"/>
      <c r="I323" s="332"/>
      <c r="J323" s="332"/>
      <c r="K323" s="332"/>
      <c r="L323" s="332"/>
      <c r="M323" s="332"/>
      <c r="N323" s="332"/>
      <c r="O323" s="227"/>
      <c r="P323" s="227"/>
      <c r="Q323" s="227"/>
      <c r="R323" s="227"/>
      <c r="S323" s="227"/>
      <c r="T323" s="227"/>
      <c r="U323" s="227"/>
    </row>
    <row r="324" spans="1:21" ht="12.75" customHeight="1" x14ac:dyDescent="0.25">
      <c r="A324" s="229"/>
      <c r="B324" s="227"/>
      <c r="C324" s="227"/>
      <c r="D324" s="243"/>
      <c r="E324" s="244"/>
      <c r="F324" s="245"/>
      <c r="G324" s="331"/>
      <c r="H324" s="332"/>
      <c r="I324" s="332"/>
      <c r="J324" s="332"/>
      <c r="K324" s="332"/>
      <c r="L324" s="332"/>
      <c r="M324" s="332"/>
      <c r="N324" s="332"/>
      <c r="O324" s="227"/>
      <c r="P324" s="227"/>
      <c r="Q324" s="227"/>
      <c r="R324" s="227"/>
      <c r="S324" s="227"/>
      <c r="T324" s="227"/>
      <c r="U324" s="227"/>
    </row>
    <row r="325" spans="1:21" ht="12.75" customHeight="1" x14ac:dyDescent="0.25">
      <c r="A325" s="229"/>
      <c r="B325" s="227"/>
      <c r="C325" s="227"/>
      <c r="D325" s="243"/>
      <c r="E325" s="244"/>
      <c r="F325" s="245"/>
      <c r="G325" s="331"/>
      <c r="H325" s="332"/>
      <c r="I325" s="332"/>
      <c r="J325" s="332"/>
      <c r="K325" s="332"/>
      <c r="L325" s="332"/>
      <c r="M325" s="332"/>
      <c r="N325" s="332"/>
      <c r="O325" s="227"/>
      <c r="P325" s="227"/>
      <c r="Q325" s="227"/>
      <c r="R325" s="227"/>
      <c r="S325" s="227"/>
      <c r="T325" s="227"/>
      <c r="U325" s="227"/>
    </row>
    <row r="326" spans="1:21" ht="12.75" customHeight="1" x14ac:dyDescent="0.25">
      <c r="A326" s="229"/>
      <c r="B326" s="227"/>
      <c r="C326" s="227"/>
      <c r="D326" s="243"/>
      <c r="E326" s="244"/>
      <c r="F326" s="245"/>
      <c r="G326" s="331"/>
      <c r="H326" s="332"/>
      <c r="I326" s="332"/>
      <c r="J326" s="332"/>
      <c r="K326" s="332"/>
      <c r="L326" s="332"/>
      <c r="M326" s="332"/>
      <c r="N326" s="332"/>
      <c r="O326" s="227"/>
      <c r="P326" s="227"/>
      <c r="Q326" s="227"/>
      <c r="R326" s="227"/>
      <c r="S326" s="227"/>
      <c r="T326" s="227"/>
      <c r="U326" s="227"/>
    </row>
    <row r="327" spans="1:21" ht="12.75" customHeight="1" x14ac:dyDescent="0.25">
      <c r="A327" s="229"/>
      <c r="B327" s="227"/>
      <c r="C327" s="227"/>
      <c r="D327" s="243"/>
      <c r="E327" s="244"/>
      <c r="F327" s="245"/>
      <c r="G327" s="331"/>
      <c r="H327" s="332"/>
      <c r="I327" s="332"/>
      <c r="J327" s="332"/>
      <c r="K327" s="332"/>
      <c r="L327" s="332"/>
      <c r="M327" s="332"/>
      <c r="N327" s="332"/>
      <c r="O327" s="227"/>
      <c r="P327" s="227"/>
      <c r="Q327" s="227"/>
      <c r="R327" s="227"/>
      <c r="S327" s="227"/>
      <c r="T327" s="227"/>
      <c r="U327" s="227"/>
    </row>
    <row r="328" spans="1:21" ht="12.75" customHeight="1" x14ac:dyDescent="0.25">
      <c r="A328" s="229"/>
      <c r="B328" s="227"/>
      <c r="C328" s="227"/>
      <c r="D328" s="243"/>
      <c r="E328" s="244"/>
      <c r="F328" s="245"/>
      <c r="G328" s="331"/>
      <c r="H328" s="332"/>
      <c r="I328" s="332"/>
      <c r="J328" s="332"/>
      <c r="K328" s="332"/>
      <c r="L328" s="332"/>
      <c r="M328" s="332"/>
      <c r="N328" s="332"/>
      <c r="O328" s="227"/>
      <c r="P328" s="227"/>
      <c r="Q328" s="227"/>
      <c r="R328" s="227"/>
      <c r="S328" s="227"/>
      <c r="T328" s="227"/>
      <c r="U328" s="227"/>
    </row>
    <row r="329" spans="1:21" ht="12.75" customHeight="1" x14ac:dyDescent="0.25">
      <c r="A329" s="229"/>
      <c r="B329" s="227"/>
      <c r="C329" s="227"/>
      <c r="D329" s="243"/>
      <c r="E329" s="244"/>
      <c r="F329" s="245"/>
      <c r="G329" s="331"/>
      <c r="H329" s="332"/>
      <c r="I329" s="332"/>
      <c r="J329" s="332"/>
      <c r="K329" s="332"/>
      <c r="L329" s="332"/>
      <c r="M329" s="332"/>
      <c r="N329" s="332"/>
      <c r="O329" s="227"/>
      <c r="P329" s="227"/>
      <c r="Q329" s="227"/>
      <c r="R329" s="227"/>
      <c r="S329" s="227"/>
      <c r="T329" s="227"/>
      <c r="U329" s="227"/>
    </row>
    <row r="330" spans="1:21" ht="12.75" customHeight="1" x14ac:dyDescent="0.25">
      <c r="A330" s="229"/>
      <c r="B330" s="227"/>
      <c r="C330" s="227"/>
      <c r="D330" s="243"/>
      <c r="E330" s="244"/>
      <c r="F330" s="245"/>
      <c r="G330" s="331"/>
      <c r="H330" s="332"/>
      <c r="I330" s="332"/>
      <c r="J330" s="332"/>
      <c r="K330" s="332"/>
      <c r="L330" s="332"/>
      <c r="M330" s="332"/>
      <c r="N330" s="332"/>
      <c r="O330" s="227"/>
      <c r="P330" s="227"/>
      <c r="Q330" s="227"/>
      <c r="R330" s="227"/>
      <c r="S330" s="227"/>
      <c r="T330" s="227"/>
      <c r="U330" s="227"/>
    </row>
    <row r="331" spans="1:21" ht="12.75" customHeight="1" x14ac:dyDescent="0.25">
      <c r="A331" s="229"/>
      <c r="B331" s="227"/>
      <c r="C331" s="227"/>
      <c r="D331" s="243"/>
      <c r="E331" s="244"/>
      <c r="F331" s="245"/>
      <c r="G331" s="331"/>
      <c r="H331" s="332"/>
      <c r="I331" s="332"/>
      <c r="J331" s="332"/>
      <c r="K331" s="332"/>
      <c r="L331" s="332"/>
      <c r="M331" s="332"/>
      <c r="N331" s="332"/>
      <c r="O331" s="227"/>
      <c r="P331" s="227"/>
      <c r="Q331" s="227"/>
      <c r="R331" s="227"/>
      <c r="S331" s="227"/>
      <c r="T331" s="227"/>
      <c r="U331" s="227"/>
    </row>
    <row r="332" spans="1:21" ht="12.75" customHeight="1" x14ac:dyDescent="0.25">
      <c r="A332" s="229"/>
      <c r="B332" s="227"/>
      <c r="C332" s="227"/>
      <c r="D332" s="243"/>
      <c r="E332" s="244"/>
      <c r="F332" s="245"/>
      <c r="G332" s="331"/>
      <c r="H332" s="332"/>
      <c r="I332" s="332"/>
      <c r="J332" s="332"/>
      <c r="K332" s="332"/>
      <c r="L332" s="332"/>
      <c r="M332" s="332"/>
      <c r="N332" s="332"/>
      <c r="O332" s="227"/>
      <c r="P332" s="227"/>
      <c r="Q332" s="227"/>
      <c r="R332" s="227"/>
      <c r="S332" s="227"/>
      <c r="T332" s="227"/>
      <c r="U332" s="227"/>
    </row>
    <row r="333" spans="1:21" ht="12.75" customHeight="1" x14ac:dyDescent="0.25">
      <c r="A333" s="229"/>
      <c r="B333" s="227"/>
      <c r="C333" s="227"/>
      <c r="D333" s="243"/>
      <c r="E333" s="244"/>
      <c r="F333" s="245"/>
      <c r="G333" s="331"/>
      <c r="H333" s="332"/>
      <c r="I333" s="332"/>
      <c r="J333" s="332"/>
      <c r="K333" s="332"/>
      <c r="L333" s="332"/>
      <c r="M333" s="332"/>
      <c r="N333" s="332"/>
      <c r="O333" s="227"/>
      <c r="P333" s="227"/>
      <c r="Q333" s="227"/>
      <c r="R333" s="227"/>
      <c r="S333" s="227"/>
      <c r="T333" s="227"/>
      <c r="U333" s="227"/>
    </row>
    <row r="334" spans="1:21" ht="12.75" customHeight="1" x14ac:dyDescent="0.25">
      <c r="A334" s="229"/>
      <c r="B334" s="227"/>
      <c r="C334" s="227"/>
      <c r="D334" s="243"/>
      <c r="E334" s="244"/>
      <c r="F334" s="245"/>
      <c r="G334" s="331"/>
      <c r="H334" s="332"/>
      <c r="I334" s="332"/>
      <c r="J334" s="332"/>
      <c r="K334" s="332"/>
      <c r="L334" s="332"/>
      <c r="M334" s="332"/>
      <c r="N334" s="332"/>
      <c r="O334" s="227"/>
      <c r="P334" s="227"/>
      <c r="Q334" s="227"/>
      <c r="R334" s="227"/>
      <c r="S334" s="227"/>
      <c r="T334" s="227"/>
      <c r="U334" s="227"/>
    </row>
    <row r="335" spans="1:21" ht="12.75" customHeight="1" x14ac:dyDescent="0.25">
      <c r="A335" s="229"/>
      <c r="B335" s="227"/>
      <c r="C335" s="227"/>
      <c r="D335" s="243"/>
      <c r="E335" s="244"/>
      <c r="F335" s="245"/>
      <c r="G335" s="331"/>
      <c r="H335" s="332"/>
      <c r="I335" s="332"/>
      <c r="J335" s="332"/>
      <c r="K335" s="332"/>
      <c r="L335" s="332"/>
      <c r="M335" s="332"/>
      <c r="N335" s="332"/>
      <c r="O335" s="227"/>
      <c r="P335" s="227"/>
      <c r="Q335" s="227"/>
      <c r="R335" s="227"/>
      <c r="S335" s="227"/>
      <c r="T335" s="227"/>
      <c r="U335" s="227"/>
    </row>
    <row r="336" spans="1:21" ht="12.75" customHeight="1" x14ac:dyDescent="0.25">
      <c r="A336" s="229"/>
      <c r="B336" s="227"/>
      <c r="C336" s="227"/>
      <c r="D336" s="243"/>
      <c r="E336" s="244"/>
      <c r="F336" s="245"/>
      <c r="G336" s="331"/>
      <c r="H336" s="332"/>
      <c r="I336" s="332"/>
      <c r="J336" s="332"/>
      <c r="K336" s="332"/>
      <c r="L336" s="332"/>
      <c r="M336" s="332"/>
      <c r="N336" s="332"/>
      <c r="O336" s="227"/>
      <c r="P336" s="227"/>
      <c r="Q336" s="227"/>
      <c r="R336" s="227"/>
      <c r="S336" s="227"/>
      <c r="T336" s="227"/>
      <c r="U336" s="227"/>
    </row>
    <row r="337" spans="1:21" ht="12.75" customHeight="1" x14ac:dyDescent="0.25">
      <c r="A337" s="229"/>
      <c r="B337" s="227"/>
      <c r="C337" s="227"/>
      <c r="D337" s="243"/>
      <c r="E337" s="244"/>
      <c r="F337" s="245"/>
      <c r="G337" s="331"/>
      <c r="H337" s="332"/>
      <c r="I337" s="332"/>
      <c r="J337" s="332"/>
      <c r="K337" s="332"/>
      <c r="L337" s="332"/>
      <c r="M337" s="332"/>
      <c r="N337" s="332"/>
      <c r="O337" s="227"/>
      <c r="P337" s="227"/>
      <c r="Q337" s="227"/>
      <c r="R337" s="227"/>
      <c r="S337" s="227"/>
      <c r="T337" s="227"/>
      <c r="U337" s="227"/>
    </row>
    <row r="338" spans="1:21" ht="12.75" customHeight="1" x14ac:dyDescent="0.25">
      <c r="A338" s="229"/>
      <c r="B338" s="227"/>
      <c r="C338" s="227"/>
      <c r="D338" s="243"/>
      <c r="E338" s="244"/>
      <c r="F338" s="245"/>
      <c r="G338" s="331"/>
      <c r="H338" s="332"/>
      <c r="I338" s="332"/>
      <c r="J338" s="332"/>
      <c r="K338" s="332"/>
      <c r="L338" s="332"/>
      <c r="M338" s="332"/>
      <c r="N338" s="332"/>
      <c r="O338" s="227"/>
      <c r="P338" s="227"/>
      <c r="Q338" s="227"/>
      <c r="R338" s="227"/>
      <c r="S338" s="227"/>
      <c r="T338" s="227"/>
      <c r="U338" s="227"/>
    </row>
    <row r="339" spans="1:21" ht="12.75" customHeight="1" x14ac:dyDescent="0.25">
      <c r="A339" s="229"/>
      <c r="B339" s="227"/>
      <c r="C339" s="227"/>
      <c r="D339" s="243"/>
      <c r="E339" s="244"/>
      <c r="F339" s="245"/>
      <c r="G339" s="331"/>
      <c r="H339" s="332"/>
      <c r="I339" s="332"/>
      <c r="J339" s="332"/>
      <c r="K339" s="332"/>
      <c r="L339" s="332"/>
      <c r="M339" s="332"/>
      <c r="N339" s="332"/>
      <c r="O339" s="227"/>
      <c r="P339" s="227"/>
      <c r="Q339" s="227"/>
      <c r="R339" s="227"/>
      <c r="S339" s="227"/>
      <c r="T339" s="227"/>
      <c r="U339" s="227"/>
    </row>
    <row r="340" spans="1:21" ht="12.75" customHeight="1" x14ac:dyDescent="0.25">
      <c r="A340" s="229"/>
      <c r="B340" s="227"/>
      <c r="C340" s="227"/>
      <c r="D340" s="243"/>
      <c r="E340" s="244"/>
      <c r="F340" s="245"/>
      <c r="G340" s="331"/>
      <c r="H340" s="332"/>
      <c r="I340" s="332"/>
      <c r="J340" s="332"/>
      <c r="K340" s="332"/>
      <c r="L340" s="332"/>
      <c r="M340" s="332"/>
      <c r="N340" s="332"/>
      <c r="O340" s="227"/>
      <c r="P340" s="227"/>
      <c r="Q340" s="227"/>
      <c r="R340" s="227"/>
      <c r="S340" s="227"/>
      <c r="T340" s="227"/>
      <c r="U340" s="227"/>
    </row>
    <row r="341" spans="1:21" ht="12.75" customHeight="1" x14ac:dyDescent="0.25">
      <c r="A341" s="229"/>
      <c r="B341" s="227"/>
      <c r="C341" s="227"/>
      <c r="D341" s="243"/>
      <c r="E341" s="244"/>
      <c r="F341" s="245"/>
      <c r="G341" s="331"/>
      <c r="H341" s="332"/>
      <c r="I341" s="332"/>
      <c r="J341" s="332"/>
      <c r="K341" s="332"/>
      <c r="L341" s="332"/>
      <c r="M341" s="332"/>
      <c r="N341" s="332"/>
      <c r="O341" s="227"/>
      <c r="P341" s="227"/>
      <c r="Q341" s="227"/>
      <c r="R341" s="227"/>
      <c r="S341" s="227"/>
      <c r="T341" s="227"/>
      <c r="U341" s="227"/>
    </row>
    <row r="342" spans="1:21" ht="12.75" customHeight="1" x14ac:dyDescent="0.25">
      <c r="A342" s="229"/>
      <c r="B342" s="227"/>
      <c r="C342" s="227"/>
      <c r="D342" s="243"/>
      <c r="E342" s="244"/>
      <c r="F342" s="245"/>
      <c r="G342" s="331"/>
      <c r="H342" s="332"/>
      <c r="I342" s="332"/>
      <c r="J342" s="332"/>
      <c r="K342" s="332"/>
      <c r="L342" s="332"/>
      <c r="M342" s="332"/>
      <c r="N342" s="332"/>
      <c r="O342" s="227"/>
      <c r="P342" s="227"/>
      <c r="Q342" s="227"/>
      <c r="R342" s="227"/>
      <c r="S342" s="227"/>
      <c r="T342" s="227"/>
      <c r="U342" s="227"/>
    </row>
    <row r="343" spans="1:21" ht="12.75" customHeight="1" x14ac:dyDescent="0.25">
      <c r="A343" s="229"/>
      <c r="B343" s="227"/>
      <c r="C343" s="227"/>
      <c r="D343" s="243"/>
      <c r="E343" s="244"/>
      <c r="F343" s="245"/>
      <c r="G343" s="331"/>
      <c r="H343" s="332"/>
      <c r="I343" s="332"/>
      <c r="J343" s="332"/>
      <c r="K343" s="332"/>
      <c r="L343" s="332"/>
      <c r="M343" s="332"/>
      <c r="N343" s="332"/>
      <c r="O343" s="227"/>
      <c r="P343" s="227"/>
      <c r="Q343" s="227"/>
      <c r="R343" s="227"/>
      <c r="S343" s="227"/>
      <c r="T343" s="227"/>
      <c r="U343" s="227"/>
    </row>
    <row r="344" spans="1:21" ht="12.75" customHeight="1" x14ac:dyDescent="0.25">
      <c r="A344" s="229"/>
      <c r="B344" s="227"/>
      <c r="C344" s="227"/>
      <c r="D344" s="243"/>
      <c r="E344" s="244"/>
      <c r="F344" s="245"/>
      <c r="G344" s="331"/>
      <c r="H344" s="332"/>
      <c r="I344" s="332"/>
      <c r="J344" s="332"/>
      <c r="K344" s="332"/>
      <c r="L344" s="332"/>
      <c r="M344" s="332"/>
      <c r="N344" s="332"/>
      <c r="O344" s="227"/>
      <c r="P344" s="227"/>
      <c r="Q344" s="227"/>
      <c r="R344" s="227"/>
      <c r="S344" s="227"/>
      <c r="T344" s="227"/>
      <c r="U344" s="227"/>
    </row>
    <row r="345" spans="1:21" ht="12.75" customHeight="1" x14ac:dyDescent="0.25">
      <c r="A345" s="229"/>
      <c r="B345" s="227"/>
      <c r="C345" s="227"/>
      <c r="D345" s="243"/>
      <c r="E345" s="244"/>
      <c r="F345" s="245"/>
      <c r="G345" s="331"/>
      <c r="H345" s="332"/>
      <c r="I345" s="332"/>
      <c r="J345" s="332"/>
      <c r="K345" s="332"/>
      <c r="L345" s="332"/>
      <c r="M345" s="332"/>
      <c r="N345" s="332"/>
      <c r="O345" s="227"/>
      <c r="P345" s="227"/>
      <c r="Q345" s="227"/>
      <c r="R345" s="227"/>
      <c r="S345" s="227"/>
      <c r="T345" s="227"/>
      <c r="U345" s="227"/>
    </row>
    <row r="346" spans="1:21" ht="12.75" customHeight="1" x14ac:dyDescent="0.25">
      <c r="A346" s="229"/>
      <c r="B346" s="227"/>
      <c r="C346" s="227"/>
      <c r="D346" s="243"/>
      <c r="E346" s="244"/>
      <c r="F346" s="245"/>
      <c r="G346" s="331"/>
      <c r="H346" s="332"/>
      <c r="I346" s="332"/>
      <c r="J346" s="332"/>
      <c r="K346" s="332"/>
      <c r="L346" s="332"/>
      <c r="M346" s="332"/>
      <c r="N346" s="332"/>
      <c r="O346" s="227"/>
      <c r="P346" s="227"/>
      <c r="Q346" s="227"/>
      <c r="R346" s="227"/>
      <c r="S346" s="227"/>
      <c r="T346" s="227"/>
      <c r="U346" s="227"/>
    </row>
    <row r="347" spans="1:21" ht="12.75" customHeight="1" x14ac:dyDescent="0.25">
      <c r="A347" s="229"/>
      <c r="B347" s="227"/>
      <c r="C347" s="227"/>
      <c r="D347" s="243"/>
      <c r="E347" s="244"/>
      <c r="F347" s="245"/>
      <c r="G347" s="331"/>
      <c r="H347" s="332"/>
      <c r="I347" s="332"/>
      <c r="J347" s="332"/>
      <c r="K347" s="332"/>
      <c r="L347" s="332"/>
      <c r="M347" s="332"/>
      <c r="N347" s="332"/>
      <c r="O347" s="227"/>
      <c r="P347" s="227"/>
      <c r="Q347" s="227"/>
      <c r="R347" s="227"/>
      <c r="S347" s="227"/>
      <c r="T347" s="227"/>
      <c r="U347" s="227"/>
    </row>
    <row r="348" spans="1:21" ht="12.75" customHeight="1" x14ac:dyDescent="0.25">
      <c r="A348" s="229"/>
      <c r="B348" s="227"/>
      <c r="C348" s="227"/>
      <c r="D348" s="243"/>
      <c r="E348" s="244"/>
      <c r="F348" s="245"/>
      <c r="G348" s="331"/>
      <c r="H348" s="332"/>
      <c r="I348" s="332"/>
      <c r="J348" s="332"/>
      <c r="K348" s="332"/>
      <c r="L348" s="332"/>
      <c r="M348" s="332"/>
      <c r="N348" s="332"/>
      <c r="O348" s="227"/>
      <c r="P348" s="227"/>
      <c r="Q348" s="227"/>
      <c r="R348" s="227"/>
      <c r="S348" s="227"/>
      <c r="T348" s="227"/>
      <c r="U348" s="227"/>
    </row>
    <row r="349" spans="1:21" ht="12.75" customHeight="1" x14ac:dyDescent="0.25">
      <c r="A349" s="229"/>
      <c r="B349" s="227"/>
      <c r="C349" s="227"/>
      <c r="D349" s="243"/>
      <c r="E349" s="244"/>
      <c r="F349" s="245"/>
      <c r="G349" s="331"/>
      <c r="H349" s="332"/>
      <c r="I349" s="332"/>
      <c r="J349" s="332"/>
      <c r="K349" s="332"/>
      <c r="L349" s="332"/>
      <c r="M349" s="332"/>
      <c r="N349" s="332"/>
      <c r="O349" s="227"/>
      <c r="P349" s="227"/>
      <c r="Q349" s="227"/>
      <c r="R349" s="227"/>
      <c r="S349" s="227"/>
      <c r="T349" s="227"/>
      <c r="U349" s="227"/>
    </row>
    <row r="350" spans="1:21" ht="12.75" customHeight="1" x14ac:dyDescent="0.25">
      <c r="A350" s="229"/>
      <c r="B350" s="227"/>
      <c r="C350" s="227"/>
      <c r="D350" s="243"/>
      <c r="E350" s="244"/>
      <c r="F350" s="245"/>
      <c r="G350" s="331"/>
      <c r="H350" s="332"/>
      <c r="I350" s="332"/>
      <c r="J350" s="332"/>
      <c r="K350" s="332"/>
      <c r="L350" s="332"/>
      <c r="M350" s="332"/>
      <c r="N350" s="332"/>
      <c r="O350" s="227"/>
      <c r="P350" s="227"/>
      <c r="Q350" s="227"/>
      <c r="R350" s="227"/>
      <c r="S350" s="227"/>
      <c r="T350" s="227"/>
      <c r="U350" s="227"/>
    </row>
    <row r="351" spans="1:21" ht="12.75" customHeight="1" x14ac:dyDescent="0.25">
      <c r="A351" s="229"/>
      <c r="B351" s="227"/>
      <c r="C351" s="227"/>
      <c r="D351" s="243"/>
      <c r="E351" s="244"/>
      <c r="F351" s="245"/>
      <c r="G351" s="331"/>
      <c r="H351" s="332"/>
      <c r="I351" s="332"/>
      <c r="J351" s="332"/>
      <c r="K351" s="332"/>
      <c r="L351" s="332"/>
      <c r="M351" s="332"/>
      <c r="N351" s="332"/>
      <c r="O351" s="227"/>
      <c r="P351" s="227"/>
      <c r="Q351" s="227"/>
      <c r="R351" s="227"/>
      <c r="S351" s="227"/>
      <c r="T351" s="227"/>
      <c r="U351" s="227"/>
    </row>
    <row r="352" spans="1:21" ht="12.75" customHeight="1" x14ac:dyDescent="0.25">
      <c r="A352" s="229"/>
      <c r="B352" s="227"/>
      <c r="C352" s="227"/>
      <c r="D352" s="243"/>
      <c r="E352" s="244"/>
      <c r="F352" s="245"/>
      <c r="G352" s="331"/>
      <c r="H352" s="332"/>
      <c r="I352" s="332"/>
      <c r="J352" s="332"/>
      <c r="K352" s="332"/>
      <c r="L352" s="332"/>
      <c r="M352" s="332"/>
      <c r="N352" s="332"/>
      <c r="O352" s="227"/>
      <c r="P352" s="227"/>
      <c r="Q352" s="227"/>
      <c r="R352" s="227"/>
      <c r="S352" s="227"/>
      <c r="T352" s="227"/>
      <c r="U352" s="227"/>
    </row>
    <row r="353" spans="1:21" ht="12.75" customHeight="1" x14ac:dyDescent="0.25">
      <c r="A353" s="229"/>
      <c r="B353" s="227"/>
      <c r="C353" s="227"/>
      <c r="D353" s="243"/>
      <c r="E353" s="244"/>
      <c r="F353" s="245"/>
      <c r="G353" s="331"/>
      <c r="H353" s="332"/>
      <c r="I353" s="332"/>
      <c r="J353" s="332"/>
      <c r="K353" s="332"/>
      <c r="L353" s="332"/>
      <c r="M353" s="332"/>
      <c r="N353" s="332"/>
      <c r="O353" s="227"/>
      <c r="P353" s="227"/>
      <c r="Q353" s="227"/>
      <c r="R353" s="227"/>
      <c r="S353" s="227"/>
      <c r="T353" s="227"/>
      <c r="U353" s="227"/>
    </row>
    <row r="354" spans="1:21" ht="12.75" customHeight="1" x14ac:dyDescent="0.25">
      <c r="A354" s="229"/>
      <c r="B354" s="227"/>
      <c r="C354" s="227"/>
      <c r="D354" s="243"/>
      <c r="E354" s="244"/>
      <c r="F354" s="245"/>
      <c r="G354" s="331"/>
      <c r="H354" s="332"/>
      <c r="I354" s="332"/>
      <c r="J354" s="332"/>
      <c r="K354" s="332"/>
      <c r="L354" s="332"/>
      <c r="M354" s="332"/>
      <c r="N354" s="332"/>
      <c r="O354" s="227"/>
      <c r="P354" s="227"/>
      <c r="Q354" s="227"/>
      <c r="R354" s="227"/>
      <c r="S354" s="227"/>
      <c r="T354" s="227"/>
      <c r="U354" s="227"/>
    </row>
    <row r="355" spans="1:21" ht="12.75" customHeight="1" x14ac:dyDescent="0.25">
      <c r="A355" s="229"/>
      <c r="B355" s="227"/>
      <c r="C355" s="227"/>
      <c r="D355" s="243"/>
      <c r="E355" s="244"/>
      <c r="F355" s="245"/>
      <c r="G355" s="331"/>
      <c r="H355" s="332"/>
      <c r="I355" s="332"/>
      <c r="J355" s="332"/>
      <c r="K355" s="332"/>
      <c r="L355" s="332"/>
      <c r="M355" s="332"/>
      <c r="N355" s="332"/>
      <c r="O355" s="227"/>
      <c r="P355" s="227"/>
      <c r="Q355" s="227"/>
      <c r="R355" s="227"/>
      <c r="S355" s="227"/>
      <c r="T355" s="227"/>
      <c r="U355" s="227"/>
    </row>
    <row r="356" spans="1:21" ht="12.75" customHeight="1" x14ac:dyDescent="0.25">
      <c r="A356" s="229"/>
      <c r="B356" s="227"/>
      <c r="C356" s="227"/>
      <c r="D356" s="243"/>
      <c r="E356" s="244"/>
      <c r="F356" s="245"/>
      <c r="G356" s="331"/>
      <c r="H356" s="332"/>
      <c r="I356" s="332"/>
      <c r="J356" s="332"/>
      <c r="K356" s="332"/>
      <c r="L356" s="332"/>
      <c r="M356" s="332"/>
      <c r="N356" s="332"/>
      <c r="O356" s="227"/>
      <c r="P356" s="227"/>
      <c r="Q356" s="227"/>
      <c r="R356" s="227"/>
      <c r="S356" s="227"/>
      <c r="T356" s="227"/>
      <c r="U356" s="227"/>
    </row>
    <row r="357" spans="1:21" ht="12.75" customHeight="1" x14ac:dyDescent="0.25">
      <c r="A357" s="229"/>
      <c r="B357" s="227"/>
      <c r="C357" s="227"/>
      <c r="D357" s="243"/>
      <c r="E357" s="244"/>
      <c r="F357" s="245"/>
      <c r="G357" s="331"/>
      <c r="H357" s="332"/>
      <c r="I357" s="332"/>
      <c r="J357" s="332"/>
      <c r="K357" s="332"/>
      <c r="L357" s="332"/>
      <c r="M357" s="332"/>
      <c r="N357" s="332"/>
      <c r="O357" s="227"/>
      <c r="P357" s="227"/>
      <c r="Q357" s="227"/>
      <c r="R357" s="227"/>
      <c r="S357" s="227"/>
      <c r="T357" s="227"/>
      <c r="U357" s="227"/>
    </row>
    <row r="358" spans="1:21" ht="12.75" customHeight="1" x14ac:dyDescent="0.25">
      <c r="A358" s="229"/>
      <c r="B358" s="227"/>
      <c r="C358" s="227"/>
      <c r="D358" s="243"/>
      <c r="E358" s="244"/>
      <c r="F358" s="245"/>
      <c r="G358" s="331"/>
      <c r="H358" s="332"/>
      <c r="I358" s="332"/>
      <c r="J358" s="332"/>
      <c r="K358" s="332"/>
      <c r="L358" s="332"/>
      <c r="M358" s="332"/>
      <c r="N358" s="332"/>
      <c r="O358" s="227"/>
      <c r="P358" s="227"/>
      <c r="Q358" s="227"/>
      <c r="R358" s="227"/>
      <c r="S358" s="227"/>
      <c r="T358" s="227"/>
      <c r="U358" s="227"/>
    </row>
    <row r="359" spans="1:21" ht="12.75" customHeight="1" x14ac:dyDescent="0.25">
      <c r="A359" s="229"/>
      <c r="B359" s="227"/>
      <c r="C359" s="227"/>
      <c r="D359" s="243"/>
      <c r="E359" s="244"/>
      <c r="F359" s="245"/>
      <c r="G359" s="331"/>
      <c r="H359" s="332"/>
      <c r="I359" s="332"/>
      <c r="J359" s="332"/>
      <c r="K359" s="332"/>
      <c r="L359" s="332"/>
      <c r="M359" s="332"/>
      <c r="N359" s="332"/>
      <c r="O359" s="227"/>
      <c r="P359" s="227"/>
      <c r="Q359" s="227"/>
      <c r="R359" s="227"/>
      <c r="S359" s="227"/>
      <c r="T359" s="227"/>
      <c r="U359" s="227"/>
    </row>
    <row r="360" spans="1:21" ht="12.75" customHeight="1" x14ac:dyDescent="0.25">
      <c r="A360" s="229"/>
      <c r="B360" s="227"/>
      <c r="C360" s="227"/>
      <c r="D360" s="243"/>
      <c r="E360" s="244"/>
      <c r="F360" s="245"/>
      <c r="G360" s="331"/>
      <c r="H360" s="332"/>
      <c r="I360" s="332"/>
      <c r="J360" s="332"/>
      <c r="K360" s="332"/>
      <c r="L360" s="332"/>
      <c r="M360" s="332"/>
      <c r="N360" s="332"/>
      <c r="O360" s="227"/>
      <c r="P360" s="227"/>
      <c r="Q360" s="227"/>
      <c r="R360" s="227"/>
      <c r="S360" s="227"/>
      <c r="T360" s="227"/>
      <c r="U360" s="227"/>
    </row>
    <row r="361" spans="1:21" ht="12.75" customHeight="1" x14ac:dyDescent="0.25">
      <c r="A361" s="229"/>
      <c r="B361" s="227"/>
      <c r="C361" s="227"/>
      <c r="D361" s="243"/>
      <c r="E361" s="244"/>
      <c r="F361" s="245"/>
      <c r="G361" s="331"/>
      <c r="H361" s="332"/>
      <c r="I361" s="332"/>
      <c r="J361" s="332"/>
      <c r="K361" s="332"/>
      <c r="L361" s="332"/>
      <c r="M361" s="332"/>
      <c r="N361" s="332"/>
      <c r="O361" s="227"/>
      <c r="P361" s="227"/>
      <c r="Q361" s="227"/>
      <c r="R361" s="227"/>
      <c r="S361" s="227"/>
      <c r="T361" s="227"/>
      <c r="U361" s="227"/>
    </row>
    <row r="362" spans="1:21" ht="12.75" customHeight="1" x14ac:dyDescent="0.25">
      <c r="A362" s="229"/>
      <c r="B362" s="227"/>
      <c r="C362" s="227"/>
      <c r="D362" s="243"/>
      <c r="E362" s="244"/>
      <c r="F362" s="245"/>
      <c r="G362" s="331"/>
      <c r="H362" s="332"/>
      <c r="I362" s="332"/>
      <c r="J362" s="332"/>
      <c r="K362" s="332"/>
      <c r="L362" s="332"/>
      <c r="M362" s="332"/>
      <c r="N362" s="332"/>
      <c r="O362" s="227"/>
      <c r="P362" s="227"/>
      <c r="Q362" s="227"/>
      <c r="R362" s="227"/>
      <c r="S362" s="227"/>
      <c r="T362" s="227"/>
      <c r="U362" s="227"/>
    </row>
    <row r="363" spans="1:21" ht="12.75" customHeight="1" x14ac:dyDescent="0.25">
      <c r="A363" s="229"/>
      <c r="B363" s="227"/>
      <c r="C363" s="227"/>
      <c r="D363" s="243"/>
      <c r="E363" s="244"/>
      <c r="F363" s="245"/>
      <c r="G363" s="331"/>
      <c r="H363" s="332"/>
      <c r="I363" s="332"/>
      <c r="J363" s="332"/>
      <c r="K363" s="332"/>
      <c r="L363" s="332"/>
      <c r="M363" s="332"/>
      <c r="N363" s="332"/>
      <c r="O363" s="227"/>
      <c r="P363" s="227"/>
      <c r="Q363" s="227"/>
      <c r="R363" s="227"/>
      <c r="S363" s="227"/>
      <c r="T363" s="227"/>
      <c r="U363" s="227"/>
    </row>
    <row r="364" spans="1:21" ht="12.75" customHeight="1" x14ac:dyDescent="0.25">
      <c r="A364" s="229"/>
      <c r="B364" s="227"/>
      <c r="C364" s="227"/>
      <c r="D364" s="243"/>
      <c r="E364" s="244"/>
      <c r="F364" s="245"/>
      <c r="G364" s="331"/>
      <c r="H364" s="332"/>
      <c r="I364" s="332"/>
      <c r="J364" s="332"/>
      <c r="K364" s="332"/>
      <c r="L364" s="332"/>
      <c r="M364" s="332"/>
      <c r="N364" s="332"/>
      <c r="O364" s="227"/>
      <c r="P364" s="227"/>
      <c r="Q364" s="227"/>
      <c r="R364" s="227"/>
      <c r="S364" s="227"/>
      <c r="T364" s="227"/>
      <c r="U364" s="227"/>
    </row>
    <row r="365" spans="1:21" ht="12.75" customHeight="1" x14ac:dyDescent="0.25">
      <c r="A365" s="229"/>
      <c r="B365" s="227"/>
      <c r="C365" s="227"/>
      <c r="D365" s="243"/>
      <c r="E365" s="244"/>
      <c r="F365" s="245"/>
      <c r="G365" s="331"/>
      <c r="H365" s="332"/>
      <c r="I365" s="332"/>
      <c r="J365" s="332"/>
      <c r="K365" s="332"/>
      <c r="L365" s="332"/>
      <c r="M365" s="332"/>
      <c r="N365" s="332"/>
      <c r="O365" s="227"/>
      <c r="P365" s="227"/>
      <c r="Q365" s="227"/>
      <c r="R365" s="227"/>
      <c r="S365" s="227"/>
      <c r="T365" s="227"/>
      <c r="U365" s="227"/>
    </row>
    <row r="366" spans="1:21" ht="12.75" customHeight="1" x14ac:dyDescent="0.25">
      <c r="A366" s="229"/>
      <c r="B366" s="227"/>
      <c r="C366" s="227"/>
      <c r="D366" s="243"/>
      <c r="E366" s="244"/>
      <c r="F366" s="245"/>
      <c r="G366" s="331"/>
      <c r="H366" s="332"/>
      <c r="I366" s="332"/>
      <c r="J366" s="332"/>
      <c r="K366" s="332"/>
      <c r="L366" s="332"/>
      <c r="M366" s="332"/>
      <c r="N366" s="332"/>
      <c r="O366" s="227"/>
      <c r="P366" s="227"/>
      <c r="Q366" s="227"/>
      <c r="R366" s="227"/>
      <c r="S366" s="227"/>
      <c r="T366" s="227"/>
      <c r="U366" s="227"/>
    </row>
    <row r="367" spans="1:21" ht="12.75" customHeight="1" x14ac:dyDescent="0.25">
      <c r="A367" s="229"/>
      <c r="B367" s="227"/>
      <c r="C367" s="227"/>
      <c r="D367" s="243"/>
      <c r="E367" s="244"/>
      <c r="F367" s="245"/>
      <c r="G367" s="331"/>
      <c r="H367" s="332"/>
      <c r="I367" s="332"/>
      <c r="J367" s="332"/>
      <c r="K367" s="332"/>
      <c r="L367" s="332"/>
      <c r="M367" s="332"/>
      <c r="N367" s="332"/>
      <c r="O367" s="227"/>
      <c r="P367" s="227"/>
      <c r="Q367" s="227"/>
      <c r="R367" s="227"/>
      <c r="S367" s="227"/>
      <c r="T367" s="227"/>
      <c r="U367" s="227"/>
    </row>
    <row r="368" spans="1:21" ht="12.75" customHeight="1" x14ac:dyDescent="0.25">
      <c r="A368" s="229"/>
      <c r="B368" s="227"/>
      <c r="C368" s="227"/>
      <c r="D368" s="243"/>
      <c r="E368" s="244"/>
      <c r="F368" s="245"/>
      <c r="G368" s="331"/>
      <c r="H368" s="332"/>
      <c r="I368" s="332"/>
      <c r="J368" s="332"/>
      <c r="K368" s="332"/>
      <c r="L368" s="332"/>
      <c r="M368" s="332"/>
      <c r="N368" s="332"/>
      <c r="O368" s="227"/>
      <c r="P368" s="227"/>
      <c r="Q368" s="227"/>
      <c r="R368" s="227"/>
      <c r="S368" s="227"/>
      <c r="T368" s="227"/>
      <c r="U368" s="227"/>
    </row>
    <row r="369" spans="1:21" ht="12.75" customHeight="1" x14ac:dyDescent="0.25">
      <c r="A369" s="229"/>
      <c r="B369" s="227"/>
      <c r="C369" s="227"/>
      <c r="D369" s="243"/>
      <c r="E369" s="244"/>
      <c r="F369" s="245"/>
      <c r="G369" s="331"/>
      <c r="H369" s="332"/>
      <c r="I369" s="332"/>
      <c r="J369" s="332"/>
      <c r="K369" s="332"/>
      <c r="L369" s="332"/>
      <c r="M369" s="332"/>
      <c r="N369" s="332"/>
      <c r="O369" s="227"/>
      <c r="P369" s="227"/>
      <c r="Q369" s="227"/>
      <c r="R369" s="227"/>
      <c r="S369" s="227"/>
      <c r="T369" s="227"/>
      <c r="U369" s="227"/>
    </row>
    <row r="370" spans="1:21" ht="12.75" customHeight="1" x14ac:dyDescent="0.25">
      <c r="A370" s="229"/>
      <c r="B370" s="227"/>
      <c r="C370" s="227"/>
      <c r="D370" s="243"/>
      <c r="E370" s="244"/>
      <c r="F370" s="245"/>
      <c r="G370" s="331"/>
      <c r="H370" s="332"/>
      <c r="I370" s="332"/>
      <c r="J370" s="332"/>
      <c r="K370" s="332"/>
      <c r="L370" s="332"/>
      <c r="M370" s="332"/>
      <c r="N370" s="332"/>
      <c r="O370" s="227"/>
      <c r="P370" s="227"/>
      <c r="Q370" s="227"/>
      <c r="R370" s="227"/>
      <c r="S370" s="227"/>
      <c r="T370" s="227"/>
      <c r="U370" s="227"/>
    </row>
    <row r="371" spans="1:21" ht="12.75" customHeight="1" x14ac:dyDescent="0.25">
      <c r="A371" s="229"/>
      <c r="B371" s="227"/>
      <c r="C371" s="227"/>
      <c r="D371" s="243"/>
      <c r="E371" s="244"/>
      <c r="F371" s="245"/>
      <c r="G371" s="331"/>
      <c r="H371" s="332"/>
      <c r="I371" s="332"/>
      <c r="J371" s="332"/>
      <c r="K371" s="332"/>
      <c r="L371" s="332"/>
      <c r="M371" s="332"/>
      <c r="N371" s="332"/>
      <c r="O371" s="227"/>
      <c r="P371" s="227"/>
      <c r="Q371" s="227"/>
      <c r="R371" s="227"/>
      <c r="S371" s="227"/>
      <c r="T371" s="227"/>
      <c r="U371" s="227"/>
    </row>
    <row r="372" spans="1:21" ht="12.75" customHeight="1" x14ac:dyDescent="0.25">
      <c r="A372" s="229"/>
      <c r="B372" s="227"/>
      <c r="C372" s="227"/>
      <c r="D372" s="243"/>
      <c r="E372" s="244"/>
      <c r="F372" s="245"/>
      <c r="G372" s="331"/>
      <c r="H372" s="332"/>
      <c r="I372" s="332"/>
      <c r="J372" s="332"/>
      <c r="K372" s="332"/>
      <c r="L372" s="332"/>
      <c r="M372" s="332"/>
      <c r="N372" s="332"/>
      <c r="O372" s="227"/>
      <c r="P372" s="227"/>
      <c r="Q372" s="227"/>
      <c r="R372" s="227"/>
      <c r="S372" s="227"/>
      <c r="T372" s="227"/>
      <c r="U372" s="227"/>
    </row>
    <row r="373" spans="1:21" ht="12.75" customHeight="1" x14ac:dyDescent="0.25">
      <c r="A373" s="229"/>
      <c r="B373" s="227"/>
      <c r="C373" s="227"/>
      <c r="D373" s="243"/>
      <c r="E373" s="244"/>
      <c r="F373" s="245"/>
      <c r="G373" s="331"/>
      <c r="H373" s="332"/>
      <c r="I373" s="332"/>
      <c r="J373" s="332"/>
      <c r="K373" s="332"/>
      <c r="L373" s="332"/>
      <c r="M373" s="332"/>
      <c r="N373" s="332"/>
      <c r="O373" s="227"/>
      <c r="P373" s="227"/>
      <c r="Q373" s="227"/>
      <c r="R373" s="227"/>
      <c r="S373" s="227"/>
      <c r="T373" s="227"/>
      <c r="U373" s="227"/>
    </row>
    <row r="374" spans="1:21" ht="12.75" customHeight="1" x14ac:dyDescent="0.25">
      <c r="A374" s="229"/>
      <c r="B374" s="227"/>
      <c r="C374" s="227"/>
      <c r="D374" s="243"/>
      <c r="E374" s="244"/>
      <c r="F374" s="245"/>
      <c r="G374" s="331"/>
      <c r="H374" s="332"/>
      <c r="I374" s="332"/>
      <c r="J374" s="332"/>
      <c r="K374" s="332"/>
      <c r="L374" s="332"/>
      <c r="M374" s="332"/>
      <c r="N374" s="332"/>
      <c r="O374" s="227"/>
      <c r="P374" s="227"/>
      <c r="Q374" s="227"/>
      <c r="R374" s="227"/>
      <c r="S374" s="227"/>
      <c r="T374" s="227"/>
      <c r="U374" s="227"/>
    </row>
    <row r="375" spans="1:21" ht="12.75" customHeight="1" x14ac:dyDescent="0.25">
      <c r="A375" s="229"/>
      <c r="B375" s="227"/>
      <c r="C375" s="227"/>
      <c r="D375" s="243"/>
      <c r="E375" s="244"/>
      <c r="F375" s="245"/>
      <c r="G375" s="331"/>
      <c r="H375" s="332"/>
      <c r="I375" s="332"/>
      <c r="J375" s="332"/>
      <c r="K375" s="332"/>
      <c r="L375" s="332"/>
      <c r="M375" s="332"/>
      <c r="N375" s="332"/>
      <c r="O375" s="227"/>
      <c r="P375" s="227"/>
      <c r="Q375" s="227"/>
      <c r="R375" s="227"/>
      <c r="S375" s="227"/>
      <c r="T375" s="227"/>
      <c r="U375" s="227"/>
    </row>
    <row r="376" spans="1:21" ht="12.75" customHeight="1" x14ac:dyDescent="0.25">
      <c r="A376" s="229"/>
      <c r="B376" s="227"/>
      <c r="C376" s="227"/>
      <c r="D376" s="243"/>
      <c r="E376" s="244"/>
      <c r="F376" s="245"/>
      <c r="G376" s="331"/>
      <c r="H376" s="332"/>
      <c r="I376" s="332"/>
      <c r="J376" s="332"/>
      <c r="K376" s="332"/>
      <c r="L376" s="332"/>
      <c r="M376" s="332"/>
      <c r="N376" s="332"/>
      <c r="O376" s="227"/>
      <c r="P376" s="227"/>
      <c r="Q376" s="227"/>
      <c r="R376" s="227"/>
      <c r="S376" s="227"/>
      <c r="T376" s="227"/>
      <c r="U376" s="227"/>
    </row>
    <row r="377" spans="1:21" ht="12.75" customHeight="1" x14ac:dyDescent="0.25">
      <c r="A377" s="229"/>
      <c r="B377" s="227"/>
      <c r="C377" s="227"/>
      <c r="D377" s="243"/>
      <c r="E377" s="244"/>
      <c r="F377" s="245"/>
      <c r="G377" s="331"/>
      <c r="H377" s="332"/>
      <c r="I377" s="332"/>
      <c r="J377" s="332"/>
      <c r="K377" s="332"/>
      <c r="L377" s="332"/>
      <c r="M377" s="332"/>
      <c r="N377" s="332"/>
      <c r="O377" s="227"/>
      <c r="P377" s="227"/>
      <c r="Q377" s="227"/>
      <c r="R377" s="227"/>
      <c r="S377" s="227"/>
      <c r="T377" s="227"/>
      <c r="U377" s="227"/>
    </row>
    <row r="378" spans="1:21" ht="12.75" customHeight="1" x14ac:dyDescent="0.25">
      <c r="A378" s="229"/>
      <c r="B378" s="227"/>
      <c r="C378" s="227"/>
      <c r="D378" s="243"/>
      <c r="E378" s="244"/>
      <c r="F378" s="245"/>
      <c r="G378" s="331"/>
      <c r="H378" s="332"/>
      <c r="I378" s="332"/>
      <c r="J378" s="332"/>
      <c r="K378" s="332"/>
      <c r="L378" s="332"/>
      <c r="M378" s="332"/>
      <c r="N378" s="332"/>
      <c r="O378" s="227"/>
      <c r="P378" s="227"/>
      <c r="Q378" s="227"/>
      <c r="R378" s="227"/>
      <c r="S378" s="227"/>
      <c r="T378" s="227"/>
      <c r="U378" s="227"/>
    </row>
    <row r="379" spans="1:21" ht="12.75" customHeight="1" x14ac:dyDescent="0.25">
      <c r="A379" s="229"/>
      <c r="B379" s="227"/>
      <c r="C379" s="227"/>
      <c r="D379" s="243"/>
      <c r="E379" s="244"/>
      <c r="F379" s="245"/>
      <c r="G379" s="331"/>
      <c r="H379" s="332"/>
      <c r="I379" s="332"/>
      <c r="J379" s="332"/>
      <c r="K379" s="332"/>
      <c r="L379" s="332"/>
      <c r="M379" s="332"/>
      <c r="N379" s="332"/>
      <c r="O379" s="227"/>
      <c r="P379" s="227"/>
      <c r="Q379" s="227"/>
      <c r="R379" s="227"/>
      <c r="S379" s="227"/>
      <c r="T379" s="227"/>
      <c r="U379" s="227"/>
    </row>
    <row r="380" spans="1:21" ht="12.75" customHeight="1" x14ac:dyDescent="0.25">
      <c r="A380" s="229"/>
      <c r="B380" s="227"/>
      <c r="C380" s="227"/>
      <c r="D380" s="243"/>
      <c r="E380" s="244"/>
      <c r="F380" s="245"/>
      <c r="G380" s="331"/>
      <c r="H380" s="332"/>
      <c r="I380" s="332"/>
      <c r="J380" s="332"/>
      <c r="K380" s="332"/>
      <c r="L380" s="332"/>
      <c r="M380" s="332"/>
      <c r="N380" s="332"/>
      <c r="O380" s="227"/>
      <c r="P380" s="227"/>
      <c r="Q380" s="227"/>
      <c r="R380" s="227"/>
      <c r="S380" s="227"/>
      <c r="T380" s="227"/>
      <c r="U380" s="227"/>
    </row>
    <row r="381" spans="1:21" ht="12.75" customHeight="1" x14ac:dyDescent="0.25">
      <c r="A381" s="229"/>
      <c r="B381" s="227"/>
      <c r="C381" s="227"/>
      <c r="D381" s="243"/>
      <c r="E381" s="244"/>
      <c r="F381" s="245"/>
      <c r="G381" s="331"/>
      <c r="H381" s="332"/>
      <c r="I381" s="332"/>
      <c r="J381" s="332"/>
      <c r="K381" s="332"/>
      <c r="L381" s="332"/>
      <c r="M381" s="332"/>
      <c r="N381" s="332"/>
      <c r="O381" s="227"/>
      <c r="P381" s="227"/>
      <c r="Q381" s="227"/>
      <c r="R381" s="227"/>
      <c r="S381" s="227"/>
      <c r="T381" s="227"/>
      <c r="U381" s="227"/>
    </row>
    <row r="382" spans="1:21" ht="12.75" customHeight="1" x14ac:dyDescent="0.25">
      <c r="A382" s="229"/>
      <c r="B382" s="227"/>
      <c r="C382" s="227"/>
      <c r="D382" s="243"/>
      <c r="E382" s="244"/>
      <c r="F382" s="245"/>
      <c r="G382" s="331"/>
      <c r="H382" s="332"/>
      <c r="I382" s="332"/>
      <c r="J382" s="332"/>
      <c r="K382" s="332"/>
      <c r="L382" s="332"/>
      <c r="M382" s="332"/>
      <c r="N382" s="332"/>
      <c r="O382" s="227"/>
      <c r="P382" s="227"/>
      <c r="Q382" s="227"/>
      <c r="R382" s="227"/>
      <c r="S382" s="227"/>
      <c r="T382" s="227"/>
      <c r="U382" s="227"/>
    </row>
    <row r="383" spans="1:21" ht="12.75" customHeight="1" x14ac:dyDescent="0.25">
      <c r="A383" s="229"/>
      <c r="B383" s="227"/>
      <c r="C383" s="227"/>
      <c r="D383" s="243"/>
      <c r="E383" s="244"/>
      <c r="F383" s="245"/>
      <c r="G383" s="331"/>
      <c r="H383" s="332"/>
      <c r="I383" s="332"/>
      <c r="J383" s="332"/>
      <c r="K383" s="332"/>
      <c r="L383" s="332"/>
      <c r="M383" s="332"/>
      <c r="N383" s="332"/>
      <c r="O383" s="227"/>
      <c r="P383" s="227"/>
      <c r="Q383" s="227"/>
      <c r="R383" s="227"/>
      <c r="S383" s="227"/>
      <c r="T383" s="227"/>
      <c r="U383" s="227"/>
    </row>
    <row r="384" spans="1:21" ht="12.75" customHeight="1" x14ac:dyDescent="0.25">
      <c r="A384" s="229"/>
      <c r="B384" s="227"/>
      <c r="C384" s="227"/>
      <c r="D384" s="243"/>
      <c r="E384" s="244"/>
      <c r="F384" s="245"/>
      <c r="G384" s="331"/>
      <c r="H384" s="332"/>
      <c r="I384" s="332"/>
      <c r="J384" s="332"/>
      <c r="K384" s="332"/>
      <c r="L384" s="332"/>
      <c r="M384" s="332"/>
      <c r="N384" s="332"/>
      <c r="O384" s="227"/>
      <c r="P384" s="227"/>
      <c r="Q384" s="227"/>
      <c r="R384" s="227"/>
      <c r="S384" s="227"/>
      <c r="T384" s="227"/>
      <c r="U384" s="227"/>
    </row>
    <row r="385" spans="1:21" ht="12.75" customHeight="1" x14ac:dyDescent="0.25">
      <c r="A385" s="229"/>
      <c r="B385" s="227"/>
      <c r="C385" s="227"/>
      <c r="D385" s="243"/>
      <c r="E385" s="244"/>
      <c r="F385" s="245"/>
      <c r="G385" s="331"/>
      <c r="H385" s="332"/>
      <c r="I385" s="332"/>
      <c r="J385" s="332"/>
      <c r="K385" s="332"/>
      <c r="L385" s="332"/>
      <c r="M385" s="332"/>
      <c r="N385" s="332"/>
      <c r="O385" s="227"/>
      <c r="P385" s="227"/>
      <c r="Q385" s="227"/>
      <c r="R385" s="227"/>
      <c r="S385" s="227"/>
      <c r="T385" s="227"/>
      <c r="U385" s="227"/>
    </row>
    <row r="386" spans="1:21" ht="12.75" customHeight="1" x14ac:dyDescent="0.25">
      <c r="A386" s="229"/>
      <c r="B386" s="227"/>
      <c r="C386" s="227"/>
      <c r="D386" s="243"/>
      <c r="E386" s="244"/>
      <c r="F386" s="245"/>
      <c r="G386" s="331"/>
      <c r="H386" s="332"/>
      <c r="I386" s="332"/>
      <c r="J386" s="332"/>
      <c r="K386" s="332"/>
      <c r="L386" s="332"/>
      <c r="M386" s="332"/>
      <c r="N386" s="332"/>
      <c r="O386" s="227"/>
      <c r="P386" s="227"/>
      <c r="Q386" s="227"/>
      <c r="R386" s="227"/>
      <c r="S386" s="227"/>
      <c r="T386" s="227"/>
      <c r="U386" s="227"/>
    </row>
    <row r="387" spans="1:21" ht="12.75" customHeight="1" x14ac:dyDescent="0.25">
      <c r="A387" s="229"/>
      <c r="B387" s="227"/>
      <c r="C387" s="227"/>
      <c r="D387" s="243"/>
      <c r="E387" s="244"/>
      <c r="F387" s="245"/>
      <c r="G387" s="331"/>
      <c r="H387" s="332"/>
      <c r="I387" s="332"/>
      <c r="J387" s="332"/>
      <c r="K387" s="332"/>
      <c r="L387" s="332"/>
      <c r="M387" s="332"/>
      <c r="N387" s="332"/>
      <c r="O387" s="227"/>
      <c r="P387" s="227"/>
      <c r="Q387" s="227"/>
      <c r="R387" s="227"/>
      <c r="S387" s="227"/>
      <c r="T387" s="227"/>
      <c r="U387" s="227"/>
    </row>
    <row r="388" spans="1:21" ht="12.75" customHeight="1" x14ac:dyDescent="0.25">
      <c r="A388" s="229"/>
      <c r="B388" s="227"/>
      <c r="C388" s="227"/>
      <c r="D388" s="243"/>
      <c r="E388" s="244"/>
      <c r="F388" s="245"/>
      <c r="G388" s="331"/>
      <c r="H388" s="332"/>
      <c r="I388" s="332"/>
      <c r="J388" s="332"/>
      <c r="K388" s="332"/>
      <c r="L388" s="332"/>
      <c r="M388" s="332"/>
      <c r="N388" s="332"/>
      <c r="O388" s="227"/>
      <c r="P388" s="227"/>
      <c r="Q388" s="227"/>
      <c r="R388" s="227"/>
      <c r="S388" s="227"/>
      <c r="T388" s="227"/>
      <c r="U388" s="227"/>
    </row>
    <row r="389" spans="1:21" ht="12.75" customHeight="1" x14ac:dyDescent="0.25">
      <c r="A389" s="229"/>
      <c r="B389" s="227"/>
      <c r="C389" s="227"/>
      <c r="D389" s="243"/>
      <c r="E389" s="244"/>
      <c r="F389" s="245"/>
      <c r="G389" s="331"/>
      <c r="H389" s="332"/>
      <c r="I389" s="332"/>
      <c r="J389" s="332"/>
      <c r="K389" s="332"/>
      <c r="L389" s="332"/>
      <c r="M389" s="332"/>
      <c r="N389" s="332"/>
      <c r="O389" s="227"/>
      <c r="P389" s="227"/>
      <c r="Q389" s="227"/>
      <c r="R389" s="227"/>
      <c r="S389" s="227"/>
      <c r="T389" s="227"/>
      <c r="U389" s="227"/>
    </row>
    <row r="390" spans="1:21" ht="12.75" customHeight="1" x14ac:dyDescent="0.25">
      <c r="A390" s="229"/>
      <c r="B390" s="227"/>
      <c r="C390" s="227"/>
      <c r="D390" s="243"/>
      <c r="E390" s="244"/>
      <c r="F390" s="245"/>
      <c r="G390" s="331"/>
      <c r="H390" s="332"/>
      <c r="I390" s="332"/>
      <c r="J390" s="332"/>
      <c r="K390" s="332"/>
      <c r="L390" s="332"/>
      <c r="M390" s="332"/>
      <c r="N390" s="332"/>
      <c r="O390" s="227"/>
      <c r="P390" s="227"/>
      <c r="Q390" s="227"/>
      <c r="R390" s="227"/>
      <c r="S390" s="227"/>
      <c r="T390" s="227"/>
      <c r="U390" s="227"/>
    </row>
    <row r="391" spans="1:21" ht="12.75" customHeight="1" x14ac:dyDescent="0.25">
      <c r="A391" s="229"/>
      <c r="B391" s="227"/>
      <c r="C391" s="227"/>
      <c r="D391" s="243"/>
      <c r="E391" s="244"/>
      <c r="F391" s="245"/>
      <c r="G391" s="331"/>
      <c r="H391" s="332"/>
      <c r="I391" s="332"/>
      <c r="J391" s="332"/>
      <c r="K391" s="332"/>
      <c r="L391" s="332"/>
      <c r="M391" s="332"/>
      <c r="N391" s="332"/>
      <c r="O391" s="227"/>
      <c r="P391" s="227"/>
      <c r="Q391" s="227"/>
      <c r="R391" s="227"/>
      <c r="S391" s="227"/>
      <c r="T391" s="227"/>
      <c r="U391" s="227"/>
    </row>
    <row r="392" spans="1:21" ht="12.75" customHeight="1" x14ac:dyDescent="0.25">
      <c r="A392" s="229"/>
      <c r="B392" s="227"/>
      <c r="C392" s="227"/>
      <c r="D392" s="243"/>
      <c r="E392" s="244"/>
      <c r="F392" s="245"/>
      <c r="G392" s="331"/>
      <c r="H392" s="332"/>
      <c r="I392" s="332"/>
      <c r="J392" s="332"/>
      <c r="K392" s="332"/>
      <c r="L392" s="332"/>
      <c r="M392" s="332"/>
      <c r="N392" s="332"/>
      <c r="O392" s="227"/>
      <c r="P392" s="227"/>
      <c r="Q392" s="227"/>
      <c r="R392" s="227"/>
      <c r="S392" s="227"/>
      <c r="T392" s="227"/>
      <c r="U392" s="227"/>
    </row>
    <row r="393" spans="1:21" ht="12.75" customHeight="1" x14ac:dyDescent="0.25">
      <c r="A393" s="229"/>
      <c r="B393" s="227"/>
      <c r="C393" s="227"/>
      <c r="D393" s="243"/>
      <c r="E393" s="244"/>
      <c r="F393" s="245"/>
      <c r="G393" s="331"/>
      <c r="H393" s="332"/>
      <c r="I393" s="332"/>
      <c r="J393" s="332"/>
      <c r="K393" s="332"/>
      <c r="L393" s="332"/>
      <c r="M393" s="332"/>
      <c r="N393" s="332"/>
      <c r="O393" s="227"/>
      <c r="P393" s="227"/>
      <c r="Q393" s="227"/>
      <c r="R393" s="227"/>
      <c r="S393" s="227"/>
      <c r="T393" s="227"/>
      <c r="U393" s="227"/>
    </row>
    <row r="394" spans="1:21" ht="12.75" customHeight="1" x14ac:dyDescent="0.25">
      <c r="A394" s="229"/>
      <c r="B394" s="227"/>
      <c r="C394" s="227"/>
      <c r="D394" s="243"/>
      <c r="E394" s="244"/>
      <c r="F394" s="245"/>
      <c r="G394" s="331"/>
      <c r="H394" s="332"/>
      <c r="I394" s="332"/>
      <c r="J394" s="332"/>
      <c r="K394" s="332"/>
      <c r="L394" s="332"/>
      <c r="M394" s="332"/>
      <c r="N394" s="332"/>
      <c r="O394" s="227"/>
      <c r="P394" s="227"/>
      <c r="Q394" s="227"/>
      <c r="R394" s="227"/>
      <c r="S394" s="227"/>
      <c r="T394" s="227"/>
      <c r="U394" s="227"/>
    </row>
    <row r="395" spans="1:21" ht="12.75" customHeight="1" x14ac:dyDescent="0.25">
      <c r="A395" s="229"/>
      <c r="B395" s="227"/>
      <c r="C395" s="227"/>
      <c r="D395" s="243"/>
      <c r="E395" s="244"/>
      <c r="F395" s="245"/>
      <c r="G395" s="331"/>
      <c r="H395" s="332"/>
      <c r="I395" s="332"/>
      <c r="J395" s="332"/>
      <c r="K395" s="332"/>
      <c r="L395" s="332"/>
      <c r="M395" s="332"/>
      <c r="N395" s="332"/>
      <c r="O395" s="227"/>
      <c r="P395" s="227"/>
      <c r="Q395" s="227"/>
      <c r="R395" s="227"/>
      <c r="S395" s="227"/>
      <c r="T395" s="227"/>
      <c r="U395" s="227"/>
    </row>
    <row r="396" spans="1:21" ht="12.75" customHeight="1" x14ac:dyDescent="0.25">
      <c r="A396" s="229"/>
      <c r="B396" s="227"/>
      <c r="C396" s="227"/>
      <c r="D396" s="243"/>
      <c r="E396" s="244"/>
      <c r="F396" s="245"/>
      <c r="G396" s="331"/>
      <c r="H396" s="332"/>
      <c r="I396" s="332"/>
      <c r="J396" s="332"/>
      <c r="K396" s="332"/>
      <c r="L396" s="332"/>
      <c r="M396" s="332"/>
      <c r="N396" s="332"/>
      <c r="O396" s="227"/>
      <c r="P396" s="227"/>
      <c r="Q396" s="227"/>
      <c r="R396" s="227"/>
      <c r="S396" s="227"/>
      <c r="T396" s="227"/>
      <c r="U396" s="227"/>
    </row>
    <row r="397" spans="1:21" ht="12.75" customHeight="1" x14ac:dyDescent="0.25">
      <c r="A397" s="229"/>
      <c r="B397" s="227"/>
      <c r="C397" s="227"/>
      <c r="D397" s="243"/>
      <c r="E397" s="244"/>
      <c r="F397" s="245"/>
      <c r="G397" s="331"/>
      <c r="H397" s="332"/>
      <c r="I397" s="332"/>
      <c r="J397" s="332"/>
      <c r="K397" s="332"/>
      <c r="L397" s="332"/>
      <c r="M397" s="332"/>
      <c r="N397" s="332"/>
      <c r="O397" s="227"/>
      <c r="P397" s="227"/>
      <c r="Q397" s="227"/>
      <c r="R397" s="227"/>
      <c r="S397" s="227"/>
      <c r="T397" s="227"/>
      <c r="U397" s="227"/>
    </row>
    <row r="398" spans="1:21" ht="12.75" customHeight="1" x14ac:dyDescent="0.25">
      <c r="A398" s="229"/>
      <c r="B398" s="227"/>
      <c r="C398" s="227"/>
      <c r="D398" s="243"/>
      <c r="E398" s="244"/>
      <c r="F398" s="245"/>
      <c r="G398" s="331"/>
      <c r="H398" s="332"/>
      <c r="I398" s="332"/>
      <c r="J398" s="332"/>
      <c r="K398" s="332"/>
      <c r="L398" s="332"/>
      <c r="M398" s="332"/>
      <c r="N398" s="332"/>
      <c r="O398" s="227"/>
      <c r="P398" s="227"/>
      <c r="Q398" s="227"/>
      <c r="R398" s="227"/>
      <c r="S398" s="227"/>
      <c r="T398" s="227"/>
      <c r="U398" s="227"/>
    </row>
    <row r="399" spans="1:21" ht="12.75" customHeight="1" x14ac:dyDescent="0.25">
      <c r="A399" s="229"/>
      <c r="B399" s="227"/>
      <c r="C399" s="227"/>
      <c r="D399" s="243"/>
      <c r="E399" s="244"/>
      <c r="F399" s="245"/>
      <c r="G399" s="331"/>
      <c r="H399" s="332"/>
      <c r="I399" s="332"/>
      <c r="J399" s="332"/>
      <c r="K399" s="332"/>
      <c r="L399" s="332"/>
      <c r="M399" s="332"/>
      <c r="N399" s="332"/>
      <c r="O399" s="227"/>
      <c r="P399" s="227"/>
      <c r="Q399" s="227"/>
      <c r="R399" s="227"/>
      <c r="S399" s="227"/>
      <c r="T399" s="227"/>
      <c r="U399" s="227"/>
    </row>
    <row r="400" spans="1:21" ht="12.75" customHeight="1" x14ac:dyDescent="0.25">
      <c r="A400" s="229"/>
      <c r="B400" s="227"/>
      <c r="C400" s="227"/>
      <c r="D400" s="243"/>
      <c r="E400" s="244"/>
      <c r="F400" s="245"/>
      <c r="G400" s="331"/>
      <c r="H400" s="332"/>
      <c r="I400" s="332"/>
      <c r="J400" s="332"/>
      <c r="K400" s="332"/>
      <c r="L400" s="332"/>
      <c r="M400" s="332"/>
      <c r="N400" s="332"/>
      <c r="O400" s="227"/>
      <c r="P400" s="227"/>
      <c r="Q400" s="227"/>
      <c r="R400" s="227"/>
      <c r="S400" s="227"/>
      <c r="T400" s="227"/>
      <c r="U400" s="227"/>
    </row>
    <row r="401" spans="1:21" ht="12.75" customHeight="1" x14ac:dyDescent="0.25">
      <c r="A401" s="229"/>
      <c r="B401" s="227"/>
      <c r="C401" s="227"/>
      <c r="D401" s="243"/>
      <c r="E401" s="244"/>
      <c r="F401" s="245"/>
      <c r="G401" s="331"/>
      <c r="H401" s="332"/>
      <c r="I401" s="332"/>
      <c r="J401" s="332"/>
      <c r="K401" s="332"/>
      <c r="L401" s="332"/>
      <c r="M401" s="332"/>
      <c r="N401" s="332"/>
      <c r="O401" s="227"/>
      <c r="P401" s="227"/>
      <c r="Q401" s="227"/>
      <c r="R401" s="227"/>
      <c r="S401" s="227"/>
      <c r="T401" s="227"/>
      <c r="U401" s="227"/>
    </row>
    <row r="402" spans="1:21" ht="12.75" customHeight="1" x14ac:dyDescent="0.25">
      <c r="A402" s="229"/>
      <c r="B402" s="227"/>
      <c r="C402" s="227"/>
      <c r="D402" s="243"/>
      <c r="E402" s="244"/>
      <c r="F402" s="245"/>
      <c r="G402" s="331"/>
      <c r="H402" s="332"/>
      <c r="I402" s="332"/>
      <c r="J402" s="332"/>
      <c r="K402" s="332"/>
      <c r="L402" s="332"/>
      <c r="M402" s="332"/>
      <c r="N402" s="332"/>
      <c r="O402" s="227"/>
      <c r="P402" s="227"/>
      <c r="Q402" s="227"/>
      <c r="R402" s="227"/>
      <c r="S402" s="227"/>
      <c r="T402" s="227"/>
      <c r="U402" s="227"/>
    </row>
    <row r="403" spans="1:21" ht="12.75" customHeight="1" x14ac:dyDescent="0.25">
      <c r="A403" s="229"/>
      <c r="B403" s="227"/>
      <c r="C403" s="227"/>
      <c r="D403" s="243"/>
      <c r="E403" s="244"/>
      <c r="F403" s="245"/>
      <c r="G403" s="331"/>
      <c r="H403" s="332"/>
      <c r="I403" s="332"/>
      <c r="J403" s="332"/>
      <c r="K403" s="332"/>
      <c r="L403" s="332"/>
      <c r="M403" s="332"/>
      <c r="N403" s="332"/>
      <c r="O403" s="227"/>
      <c r="P403" s="227"/>
      <c r="Q403" s="227"/>
      <c r="R403" s="227"/>
      <c r="S403" s="227"/>
      <c r="T403" s="227"/>
      <c r="U403" s="227"/>
    </row>
    <row r="404" spans="1:21" ht="12.75" customHeight="1" x14ac:dyDescent="0.25">
      <c r="A404" s="229"/>
      <c r="B404" s="227"/>
      <c r="C404" s="227"/>
      <c r="D404" s="243"/>
      <c r="E404" s="244"/>
      <c r="F404" s="245"/>
      <c r="G404" s="331"/>
      <c r="H404" s="332"/>
      <c r="I404" s="332"/>
      <c r="J404" s="332"/>
      <c r="K404" s="332"/>
      <c r="L404" s="332"/>
      <c r="M404" s="332"/>
      <c r="N404" s="332"/>
      <c r="O404" s="227"/>
      <c r="P404" s="227"/>
      <c r="Q404" s="227"/>
      <c r="R404" s="227"/>
      <c r="S404" s="227"/>
      <c r="T404" s="227"/>
      <c r="U404" s="227"/>
    </row>
    <row r="405" spans="1:21" ht="12.75" customHeight="1" x14ac:dyDescent="0.25">
      <c r="A405" s="229"/>
      <c r="B405" s="227"/>
      <c r="C405" s="227"/>
      <c r="D405" s="243"/>
      <c r="E405" s="244"/>
      <c r="F405" s="245"/>
      <c r="G405" s="331"/>
      <c r="H405" s="332"/>
      <c r="I405" s="332"/>
      <c r="J405" s="332"/>
      <c r="K405" s="332"/>
      <c r="L405" s="332"/>
      <c r="M405" s="332"/>
      <c r="N405" s="332"/>
      <c r="O405" s="227"/>
      <c r="P405" s="227"/>
      <c r="Q405" s="227"/>
      <c r="R405" s="227"/>
      <c r="S405" s="227"/>
      <c r="T405" s="227"/>
      <c r="U405" s="227"/>
    </row>
    <row r="406" spans="1:21" ht="12.75" customHeight="1" x14ac:dyDescent="0.25">
      <c r="A406" s="229"/>
      <c r="B406" s="227"/>
      <c r="C406" s="227"/>
      <c r="D406" s="243"/>
      <c r="E406" s="244"/>
      <c r="F406" s="245"/>
      <c r="G406" s="331"/>
      <c r="H406" s="332"/>
      <c r="I406" s="332"/>
      <c r="J406" s="332"/>
      <c r="K406" s="332"/>
      <c r="L406" s="332"/>
      <c r="M406" s="332"/>
      <c r="N406" s="332"/>
      <c r="O406" s="227"/>
      <c r="P406" s="227"/>
      <c r="Q406" s="227"/>
      <c r="R406" s="227"/>
      <c r="S406" s="227"/>
      <c r="T406" s="227"/>
      <c r="U406" s="227"/>
    </row>
    <row r="407" spans="1:21" ht="12.75" customHeight="1" x14ac:dyDescent="0.25">
      <c r="A407" s="229"/>
      <c r="B407" s="227"/>
      <c r="C407" s="227"/>
      <c r="D407" s="243"/>
      <c r="E407" s="244"/>
      <c r="F407" s="245"/>
      <c r="G407" s="331"/>
      <c r="H407" s="332"/>
      <c r="I407" s="332"/>
      <c r="J407" s="332"/>
      <c r="K407" s="332"/>
      <c r="L407" s="332"/>
      <c r="M407" s="332"/>
      <c r="N407" s="332"/>
      <c r="O407" s="227"/>
      <c r="P407" s="227"/>
      <c r="Q407" s="227"/>
      <c r="R407" s="227"/>
      <c r="S407" s="227"/>
      <c r="T407" s="227"/>
      <c r="U407" s="227"/>
    </row>
    <row r="408" spans="1:21" ht="12.75" customHeight="1" x14ac:dyDescent="0.25">
      <c r="A408" s="229"/>
      <c r="B408" s="227"/>
      <c r="C408" s="227"/>
      <c r="D408" s="243"/>
      <c r="E408" s="244"/>
      <c r="F408" s="245"/>
      <c r="G408" s="331"/>
      <c r="H408" s="332"/>
      <c r="I408" s="332"/>
      <c r="J408" s="332"/>
      <c r="K408" s="332"/>
      <c r="L408" s="332"/>
      <c r="M408" s="332"/>
      <c r="N408" s="332"/>
      <c r="O408" s="227"/>
      <c r="P408" s="227"/>
      <c r="Q408" s="227"/>
      <c r="R408" s="227"/>
      <c r="S408" s="227"/>
      <c r="T408" s="227"/>
      <c r="U408" s="227"/>
    </row>
    <row r="409" spans="1:21" ht="12.75" customHeight="1" x14ac:dyDescent="0.25">
      <c r="A409" s="229"/>
      <c r="B409" s="227"/>
      <c r="C409" s="227"/>
      <c r="D409" s="243"/>
      <c r="E409" s="244"/>
      <c r="F409" s="245"/>
      <c r="G409" s="331"/>
      <c r="H409" s="332"/>
      <c r="I409" s="332"/>
      <c r="J409" s="332"/>
      <c r="K409" s="332"/>
      <c r="L409" s="332"/>
      <c r="M409" s="332"/>
      <c r="N409" s="332"/>
      <c r="O409" s="227"/>
      <c r="P409" s="227"/>
      <c r="Q409" s="227"/>
      <c r="R409" s="227"/>
      <c r="S409" s="227"/>
      <c r="T409" s="227"/>
      <c r="U409" s="227"/>
    </row>
    <row r="410" spans="1:21" ht="12.75" customHeight="1" x14ac:dyDescent="0.25">
      <c r="A410" s="229"/>
      <c r="B410" s="227"/>
      <c r="C410" s="227"/>
      <c r="D410" s="243"/>
      <c r="E410" s="244"/>
      <c r="F410" s="245"/>
      <c r="G410" s="331"/>
      <c r="H410" s="332"/>
      <c r="I410" s="332"/>
      <c r="J410" s="332"/>
      <c r="K410" s="332"/>
      <c r="L410" s="332"/>
      <c r="M410" s="332"/>
      <c r="N410" s="332"/>
      <c r="O410" s="227"/>
      <c r="P410" s="227"/>
      <c r="Q410" s="227"/>
      <c r="R410" s="227"/>
      <c r="S410" s="227"/>
      <c r="T410" s="227"/>
      <c r="U410" s="227"/>
    </row>
    <row r="411" spans="1:21" ht="12.75" customHeight="1" x14ac:dyDescent="0.25">
      <c r="A411" s="229"/>
      <c r="B411" s="227"/>
      <c r="C411" s="227"/>
      <c r="D411" s="243"/>
      <c r="E411" s="244"/>
      <c r="F411" s="245"/>
      <c r="G411" s="331"/>
      <c r="H411" s="332"/>
      <c r="I411" s="332"/>
      <c r="J411" s="332"/>
      <c r="K411" s="332"/>
      <c r="L411" s="332"/>
      <c r="M411" s="332"/>
      <c r="N411" s="332"/>
      <c r="O411" s="227"/>
      <c r="P411" s="227"/>
      <c r="Q411" s="227"/>
      <c r="R411" s="227"/>
      <c r="S411" s="227"/>
      <c r="T411" s="227"/>
      <c r="U411" s="227"/>
    </row>
    <row r="412" spans="1:21" ht="12.75" customHeight="1" x14ac:dyDescent="0.25">
      <c r="A412" s="229"/>
      <c r="B412" s="227"/>
      <c r="C412" s="227"/>
      <c r="D412" s="243"/>
      <c r="E412" s="244"/>
      <c r="F412" s="245"/>
      <c r="G412" s="331"/>
      <c r="H412" s="332"/>
      <c r="I412" s="332"/>
      <c r="J412" s="332"/>
      <c r="K412" s="332"/>
      <c r="L412" s="332"/>
      <c r="M412" s="332"/>
      <c r="N412" s="332"/>
      <c r="O412" s="227"/>
      <c r="P412" s="227"/>
      <c r="Q412" s="227"/>
      <c r="R412" s="227"/>
      <c r="S412" s="227"/>
      <c r="T412" s="227"/>
      <c r="U412" s="227"/>
    </row>
    <row r="413" spans="1:21" ht="12.75" customHeight="1" x14ac:dyDescent="0.25">
      <c r="A413" s="229"/>
      <c r="B413" s="227"/>
      <c r="C413" s="227"/>
      <c r="D413" s="243"/>
      <c r="E413" s="244"/>
      <c r="F413" s="245"/>
      <c r="G413" s="331"/>
      <c r="H413" s="332"/>
      <c r="I413" s="332"/>
      <c r="J413" s="332"/>
      <c r="K413" s="332"/>
      <c r="L413" s="332"/>
      <c r="M413" s="332"/>
      <c r="N413" s="332"/>
      <c r="O413" s="227"/>
      <c r="P413" s="227"/>
      <c r="Q413" s="227"/>
      <c r="R413" s="227"/>
      <c r="S413" s="227"/>
      <c r="T413" s="227"/>
      <c r="U413" s="227"/>
    </row>
    <row r="414" spans="1:21" ht="12.75" customHeight="1" x14ac:dyDescent="0.25">
      <c r="A414" s="229"/>
      <c r="B414" s="227"/>
      <c r="C414" s="227"/>
      <c r="D414" s="243"/>
      <c r="E414" s="244"/>
      <c r="F414" s="245"/>
      <c r="G414" s="331"/>
      <c r="H414" s="332"/>
      <c r="I414" s="332"/>
      <c r="J414" s="332"/>
      <c r="K414" s="332"/>
      <c r="L414" s="332"/>
      <c r="M414" s="332"/>
      <c r="N414" s="332"/>
      <c r="O414" s="227"/>
      <c r="P414" s="227"/>
      <c r="Q414" s="227"/>
      <c r="R414" s="227"/>
      <c r="S414" s="227"/>
      <c r="T414" s="227"/>
      <c r="U414" s="227"/>
    </row>
    <row r="415" spans="1:21" ht="12.75" customHeight="1" x14ac:dyDescent="0.25">
      <c r="A415" s="229"/>
      <c r="B415" s="227"/>
      <c r="C415" s="227"/>
      <c r="D415" s="243"/>
      <c r="E415" s="244"/>
      <c r="F415" s="245"/>
      <c r="G415" s="331"/>
      <c r="H415" s="332"/>
      <c r="I415" s="332"/>
      <c r="J415" s="332"/>
      <c r="K415" s="332"/>
      <c r="L415" s="332"/>
      <c r="M415" s="332"/>
      <c r="N415" s="332"/>
      <c r="O415" s="227"/>
      <c r="P415" s="227"/>
      <c r="Q415" s="227"/>
      <c r="R415" s="227"/>
      <c r="S415" s="227"/>
      <c r="T415" s="227"/>
      <c r="U415" s="227"/>
    </row>
    <row r="416" spans="1:21" ht="12.75" customHeight="1" x14ac:dyDescent="0.25">
      <c r="A416" s="229"/>
      <c r="B416" s="227"/>
      <c r="C416" s="227"/>
      <c r="D416" s="243"/>
      <c r="E416" s="244"/>
      <c r="F416" s="245"/>
      <c r="G416" s="331"/>
      <c r="H416" s="332"/>
      <c r="I416" s="332"/>
      <c r="J416" s="332"/>
      <c r="K416" s="332"/>
      <c r="L416" s="332"/>
      <c r="M416" s="332"/>
      <c r="N416" s="332"/>
      <c r="O416" s="227"/>
      <c r="P416" s="227"/>
      <c r="Q416" s="227"/>
      <c r="R416" s="227"/>
      <c r="S416" s="227"/>
      <c r="T416" s="227"/>
      <c r="U416" s="227"/>
    </row>
    <row r="417" spans="1:21" ht="12.75" customHeight="1" x14ac:dyDescent="0.25">
      <c r="A417" s="229"/>
      <c r="B417" s="227"/>
      <c r="C417" s="227"/>
      <c r="D417" s="243"/>
      <c r="E417" s="244"/>
      <c r="F417" s="245"/>
      <c r="G417" s="331"/>
      <c r="H417" s="332"/>
      <c r="I417" s="332"/>
      <c r="J417" s="332"/>
      <c r="K417" s="332"/>
      <c r="L417" s="332"/>
      <c r="M417" s="332"/>
      <c r="N417" s="332"/>
      <c r="O417" s="227"/>
      <c r="P417" s="227"/>
      <c r="Q417" s="227"/>
      <c r="R417" s="227"/>
      <c r="S417" s="227"/>
      <c r="T417" s="227"/>
      <c r="U417" s="227"/>
    </row>
    <row r="418" spans="1:21" ht="12.75" customHeight="1" x14ac:dyDescent="0.25">
      <c r="A418" s="229"/>
      <c r="B418" s="227"/>
      <c r="C418" s="227"/>
      <c r="D418" s="243"/>
      <c r="E418" s="244"/>
      <c r="F418" s="245"/>
      <c r="G418" s="331"/>
      <c r="H418" s="332"/>
      <c r="I418" s="332"/>
      <c r="J418" s="332"/>
      <c r="K418" s="332"/>
      <c r="L418" s="332"/>
      <c r="M418" s="332"/>
      <c r="N418" s="332"/>
      <c r="O418" s="227"/>
      <c r="P418" s="227"/>
      <c r="Q418" s="227"/>
      <c r="R418" s="227"/>
      <c r="S418" s="227"/>
      <c r="T418" s="227"/>
      <c r="U418" s="227"/>
    </row>
    <row r="419" spans="1:21" ht="12.75" customHeight="1" x14ac:dyDescent="0.25">
      <c r="A419" s="229"/>
      <c r="B419" s="227"/>
      <c r="C419" s="227"/>
      <c r="D419" s="243"/>
      <c r="E419" s="244"/>
      <c r="F419" s="245"/>
      <c r="G419" s="331"/>
      <c r="H419" s="332"/>
      <c r="I419" s="332"/>
      <c r="J419" s="332"/>
      <c r="K419" s="332"/>
      <c r="L419" s="332"/>
      <c r="M419" s="332"/>
      <c r="N419" s="332"/>
      <c r="O419" s="227"/>
      <c r="P419" s="227"/>
      <c r="Q419" s="227"/>
      <c r="R419" s="227"/>
      <c r="S419" s="227"/>
      <c r="T419" s="227"/>
      <c r="U419" s="227"/>
    </row>
    <row r="420" spans="1:21" ht="12.75" customHeight="1" x14ac:dyDescent="0.25">
      <c r="A420" s="229"/>
      <c r="B420" s="227"/>
      <c r="C420" s="227"/>
      <c r="D420" s="243"/>
      <c r="E420" s="244"/>
      <c r="F420" s="245"/>
      <c r="G420" s="331"/>
      <c r="H420" s="332"/>
      <c r="I420" s="332"/>
      <c r="J420" s="332"/>
      <c r="K420" s="332"/>
      <c r="L420" s="332"/>
      <c r="M420" s="332"/>
      <c r="N420" s="332"/>
      <c r="O420" s="227"/>
      <c r="P420" s="227"/>
      <c r="Q420" s="227"/>
      <c r="R420" s="227"/>
      <c r="S420" s="227"/>
      <c r="T420" s="227"/>
      <c r="U420" s="227"/>
    </row>
    <row r="421" spans="1:21" ht="12.75" customHeight="1" x14ac:dyDescent="0.25">
      <c r="A421" s="229"/>
      <c r="B421" s="227"/>
      <c r="C421" s="227"/>
      <c r="D421" s="243"/>
      <c r="E421" s="244"/>
      <c r="F421" s="245"/>
      <c r="G421" s="331"/>
      <c r="H421" s="332"/>
      <c r="I421" s="332"/>
      <c r="J421" s="332"/>
      <c r="K421" s="332"/>
      <c r="L421" s="332"/>
      <c r="M421" s="332"/>
      <c r="N421" s="332"/>
      <c r="O421" s="227"/>
      <c r="P421" s="227"/>
      <c r="Q421" s="227"/>
      <c r="R421" s="227"/>
      <c r="S421" s="227"/>
      <c r="T421" s="227"/>
      <c r="U421" s="227"/>
    </row>
    <row r="422" spans="1:21" ht="12.75" customHeight="1" x14ac:dyDescent="0.25">
      <c r="A422" s="229"/>
      <c r="B422" s="227"/>
      <c r="C422" s="227"/>
      <c r="D422" s="243"/>
      <c r="E422" s="244"/>
      <c r="F422" s="245"/>
      <c r="G422" s="331"/>
      <c r="H422" s="332"/>
      <c r="I422" s="332"/>
      <c r="J422" s="332"/>
      <c r="K422" s="332"/>
      <c r="L422" s="332"/>
      <c r="M422" s="332"/>
      <c r="N422" s="332"/>
      <c r="O422" s="227"/>
      <c r="P422" s="227"/>
      <c r="Q422" s="227"/>
      <c r="R422" s="227"/>
      <c r="S422" s="227"/>
      <c r="T422" s="227"/>
      <c r="U422" s="227"/>
    </row>
    <row r="423" spans="1:21" ht="12.75" customHeight="1" x14ac:dyDescent="0.25">
      <c r="A423" s="229"/>
      <c r="B423" s="227"/>
      <c r="C423" s="227"/>
      <c r="D423" s="243"/>
      <c r="E423" s="244"/>
      <c r="F423" s="245"/>
      <c r="G423" s="331"/>
      <c r="H423" s="332"/>
      <c r="I423" s="332"/>
      <c r="J423" s="332"/>
      <c r="K423" s="332"/>
      <c r="L423" s="332"/>
      <c r="M423" s="332"/>
      <c r="N423" s="332"/>
      <c r="O423" s="227"/>
      <c r="P423" s="227"/>
      <c r="Q423" s="227"/>
      <c r="R423" s="227"/>
      <c r="S423" s="227"/>
      <c r="T423" s="227"/>
      <c r="U423" s="227"/>
    </row>
    <row r="424" spans="1:21" ht="12.75" customHeight="1" x14ac:dyDescent="0.25">
      <c r="A424" s="229"/>
      <c r="B424" s="227"/>
      <c r="C424" s="227"/>
      <c r="D424" s="243"/>
      <c r="E424" s="244"/>
      <c r="F424" s="245"/>
      <c r="G424" s="331"/>
      <c r="H424" s="332"/>
      <c r="I424" s="332"/>
      <c r="J424" s="332"/>
      <c r="K424" s="332"/>
      <c r="L424" s="332"/>
      <c r="M424" s="332"/>
      <c r="N424" s="332"/>
      <c r="O424" s="227"/>
      <c r="P424" s="227"/>
      <c r="Q424" s="227"/>
      <c r="R424" s="227"/>
      <c r="S424" s="227"/>
      <c r="T424" s="227"/>
      <c r="U424" s="227"/>
    </row>
    <row r="425" spans="1:21" ht="12.75" customHeight="1" x14ac:dyDescent="0.25">
      <c r="A425" s="229"/>
      <c r="B425" s="227"/>
      <c r="C425" s="227"/>
      <c r="D425" s="243"/>
      <c r="E425" s="244"/>
      <c r="F425" s="245"/>
      <c r="G425" s="331"/>
      <c r="H425" s="332"/>
      <c r="I425" s="332"/>
      <c r="J425" s="332"/>
      <c r="K425" s="332"/>
      <c r="L425" s="332"/>
      <c r="M425" s="332"/>
      <c r="N425" s="332"/>
      <c r="O425" s="227"/>
      <c r="P425" s="227"/>
      <c r="Q425" s="227"/>
      <c r="R425" s="227"/>
      <c r="S425" s="227"/>
      <c r="T425" s="227"/>
      <c r="U425" s="227"/>
    </row>
    <row r="426" spans="1:21" ht="12.75" customHeight="1" x14ac:dyDescent="0.25">
      <c r="A426" s="229"/>
      <c r="B426" s="227"/>
      <c r="C426" s="227"/>
      <c r="D426" s="243"/>
      <c r="E426" s="244"/>
      <c r="F426" s="245"/>
      <c r="G426" s="331"/>
      <c r="H426" s="332"/>
      <c r="I426" s="332"/>
      <c r="J426" s="332"/>
      <c r="K426" s="332"/>
      <c r="L426" s="332"/>
      <c r="M426" s="332"/>
      <c r="N426" s="332"/>
      <c r="O426" s="227"/>
      <c r="P426" s="227"/>
      <c r="Q426" s="227"/>
      <c r="R426" s="227"/>
      <c r="S426" s="227"/>
      <c r="T426" s="227"/>
      <c r="U426" s="227"/>
    </row>
    <row r="427" spans="1:21" ht="12.75" customHeight="1" x14ac:dyDescent="0.25">
      <c r="A427" s="229"/>
      <c r="B427" s="227"/>
      <c r="C427" s="227"/>
      <c r="D427" s="243"/>
      <c r="E427" s="244"/>
      <c r="F427" s="245"/>
      <c r="G427" s="331"/>
      <c r="H427" s="332"/>
      <c r="I427" s="332"/>
      <c r="J427" s="332"/>
      <c r="K427" s="332"/>
      <c r="L427" s="332"/>
      <c r="M427" s="332"/>
      <c r="N427" s="332"/>
      <c r="O427" s="227"/>
      <c r="P427" s="227"/>
      <c r="Q427" s="227"/>
      <c r="R427" s="227"/>
      <c r="S427" s="227"/>
      <c r="T427" s="227"/>
      <c r="U427" s="227"/>
    </row>
    <row r="428" spans="1:21" ht="12.75" customHeight="1" x14ac:dyDescent="0.25">
      <c r="A428" s="229"/>
      <c r="B428" s="227"/>
      <c r="C428" s="227"/>
      <c r="D428" s="243"/>
      <c r="E428" s="244"/>
      <c r="F428" s="245"/>
      <c r="G428" s="331"/>
      <c r="H428" s="332"/>
      <c r="I428" s="332"/>
      <c r="J428" s="332"/>
      <c r="K428" s="332"/>
      <c r="L428" s="332"/>
      <c r="M428" s="332"/>
      <c r="N428" s="332"/>
      <c r="O428" s="227"/>
      <c r="P428" s="227"/>
      <c r="Q428" s="227"/>
      <c r="R428" s="227"/>
      <c r="S428" s="227"/>
      <c r="T428" s="227"/>
      <c r="U428" s="227"/>
    </row>
    <row r="429" spans="1:21" ht="12.75" customHeight="1" x14ac:dyDescent="0.25">
      <c r="A429" s="229"/>
      <c r="B429" s="227"/>
      <c r="C429" s="227"/>
      <c r="D429" s="243"/>
      <c r="E429" s="244"/>
      <c r="F429" s="245"/>
      <c r="G429" s="331"/>
      <c r="H429" s="332"/>
      <c r="I429" s="332"/>
      <c r="J429" s="332"/>
      <c r="K429" s="332"/>
      <c r="L429" s="332"/>
      <c r="M429" s="332"/>
      <c r="N429" s="332"/>
      <c r="O429" s="227"/>
      <c r="P429" s="227"/>
      <c r="Q429" s="227"/>
      <c r="R429" s="227"/>
      <c r="S429" s="227"/>
      <c r="T429" s="227"/>
      <c r="U429" s="227"/>
    </row>
    <row r="430" spans="1:21" ht="12.75" customHeight="1" x14ac:dyDescent="0.25">
      <c r="A430" s="229"/>
      <c r="B430" s="227"/>
      <c r="C430" s="227"/>
      <c r="D430" s="243"/>
      <c r="E430" s="244"/>
      <c r="F430" s="245"/>
      <c r="G430" s="331"/>
      <c r="H430" s="332"/>
      <c r="I430" s="332"/>
      <c r="J430" s="332"/>
      <c r="K430" s="332"/>
      <c r="L430" s="332"/>
      <c r="M430" s="332"/>
      <c r="N430" s="332"/>
      <c r="O430" s="227"/>
      <c r="P430" s="227"/>
      <c r="Q430" s="227"/>
      <c r="R430" s="227"/>
      <c r="S430" s="227"/>
      <c r="T430" s="227"/>
      <c r="U430" s="227"/>
    </row>
    <row r="431" spans="1:21" ht="12.75" customHeight="1" x14ac:dyDescent="0.25">
      <c r="A431" s="229"/>
      <c r="B431" s="227"/>
      <c r="C431" s="227"/>
      <c r="D431" s="243"/>
      <c r="E431" s="244"/>
      <c r="F431" s="245"/>
      <c r="G431" s="331"/>
      <c r="H431" s="332"/>
      <c r="I431" s="332"/>
      <c r="J431" s="332"/>
      <c r="K431" s="332"/>
      <c r="L431" s="332"/>
      <c r="M431" s="332"/>
      <c r="N431" s="332"/>
      <c r="O431" s="227"/>
      <c r="P431" s="227"/>
      <c r="Q431" s="227"/>
      <c r="R431" s="227"/>
      <c r="S431" s="227"/>
      <c r="T431" s="227"/>
      <c r="U431" s="227"/>
    </row>
    <row r="432" spans="1:21" ht="12.75" customHeight="1" x14ac:dyDescent="0.25">
      <c r="A432" s="229"/>
      <c r="B432" s="227"/>
      <c r="C432" s="227"/>
      <c r="D432" s="243"/>
      <c r="E432" s="244"/>
      <c r="F432" s="245"/>
      <c r="G432" s="331"/>
      <c r="H432" s="332"/>
      <c r="I432" s="332"/>
      <c r="J432" s="332"/>
      <c r="K432" s="332"/>
      <c r="L432" s="332"/>
      <c r="M432" s="332"/>
      <c r="N432" s="332"/>
      <c r="O432" s="227"/>
      <c r="P432" s="227"/>
      <c r="Q432" s="227"/>
      <c r="R432" s="227"/>
      <c r="S432" s="227"/>
      <c r="T432" s="227"/>
      <c r="U432" s="227"/>
    </row>
    <row r="433" spans="1:21" ht="12.75" customHeight="1" x14ac:dyDescent="0.25">
      <c r="A433" s="229"/>
      <c r="B433" s="227"/>
      <c r="C433" s="227"/>
      <c r="D433" s="243"/>
      <c r="E433" s="244"/>
      <c r="F433" s="245"/>
      <c r="G433" s="331"/>
      <c r="H433" s="332"/>
      <c r="I433" s="332"/>
      <c r="J433" s="332"/>
      <c r="K433" s="332"/>
      <c r="L433" s="332"/>
      <c r="M433" s="332"/>
      <c r="N433" s="332"/>
      <c r="O433" s="227"/>
      <c r="P433" s="227"/>
      <c r="Q433" s="227"/>
      <c r="R433" s="227"/>
      <c r="S433" s="227"/>
      <c r="T433" s="227"/>
      <c r="U433" s="227"/>
    </row>
    <row r="434" spans="1:21" ht="12.75" customHeight="1" x14ac:dyDescent="0.25">
      <c r="A434" s="229"/>
      <c r="B434" s="227"/>
      <c r="C434" s="227"/>
      <c r="D434" s="243"/>
      <c r="E434" s="244"/>
      <c r="F434" s="245"/>
      <c r="G434" s="331"/>
      <c r="H434" s="332"/>
      <c r="I434" s="332"/>
      <c r="J434" s="332"/>
      <c r="K434" s="332"/>
      <c r="L434" s="332"/>
      <c r="M434" s="332"/>
      <c r="N434" s="332"/>
      <c r="O434" s="227"/>
      <c r="P434" s="227"/>
      <c r="Q434" s="227"/>
      <c r="R434" s="227"/>
      <c r="S434" s="227"/>
      <c r="T434" s="227"/>
      <c r="U434" s="227"/>
    </row>
    <row r="435" spans="1:21" ht="12.75" customHeight="1" x14ac:dyDescent="0.25">
      <c r="A435" s="229"/>
      <c r="B435" s="227"/>
      <c r="C435" s="227"/>
      <c r="D435" s="243"/>
      <c r="E435" s="244"/>
      <c r="F435" s="245"/>
      <c r="G435" s="331"/>
      <c r="H435" s="332"/>
      <c r="I435" s="332"/>
      <c r="J435" s="332"/>
      <c r="K435" s="332"/>
      <c r="L435" s="332"/>
      <c r="M435" s="332"/>
      <c r="N435" s="332"/>
      <c r="O435" s="227"/>
      <c r="P435" s="227"/>
      <c r="Q435" s="227"/>
      <c r="R435" s="227"/>
      <c r="S435" s="227"/>
      <c r="T435" s="227"/>
      <c r="U435" s="227"/>
    </row>
    <row r="436" spans="1:21" ht="12.75" customHeight="1" x14ac:dyDescent="0.25">
      <c r="A436" s="229"/>
      <c r="B436" s="227"/>
      <c r="C436" s="227"/>
      <c r="D436" s="243"/>
      <c r="E436" s="244"/>
      <c r="F436" s="245"/>
      <c r="G436" s="331"/>
      <c r="H436" s="332"/>
      <c r="I436" s="332"/>
      <c r="J436" s="332"/>
      <c r="K436" s="332"/>
      <c r="L436" s="332"/>
      <c r="M436" s="332"/>
      <c r="N436" s="332"/>
      <c r="O436" s="227"/>
      <c r="P436" s="227"/>
      <c r="Q436" s="227"/>
      <c r="R436" s="227"/>
      <c r="S436" s="227"/>
      <c r="T436" s="227"/>
      <c r="U436" s="227"/>
    </row>
    <row r="437" spans="1:21" ht="12.75" customHeight="1" x14ac:dyDescent="0.25">
      <c r="A437" s="229"/>
      <c r="B437" s="227"/>
      <c r="C437" s="227"/>
      <c r="D437" s="243"/>
      <c r="E437" s="244"/>
      <c r="F437" s="245"/>
      <c r="G437" s="331"/>
      <c r="H437" s="332"/>
      <c r="I437" s="332"/>
      <c r="J437" s="332"/>
      <c r="K437" s="332"/>
      <c r="L437" s="332"/>
      <c r="M437" s="332"/>
      <c r="N437" s="332"/>
      <c r="O437" s="227"/>
      <c r="P437" s="227"/>
      <c r="Q437" s="227"/>
      <c r="R437" s="227"/>
      <c r="S437" s="227"/>
      <c r="T437" s="227"/>
      <c r="U437" s="227"/>
    </row>
    <row r="438" spans="1:21" ht="12.75" customHeight="1" x14ac:dyDescent="0.25">
      <c r="A438" s="229"/>
      <c r="B438" s="227"/>
      <c r="C438" s="227"/>
      <c r="D438" s="243"/>
      <c r="E438" s="244"/>
      <c r="F438" s="245"/>
      <c r="G438" s="331"/>
      <c r="H438" s="332"/>
      <c r="I438" s="332"/>
      <c r="J438" s="332"/>
      <c r="K438" s="332"/>
      <c r="L438" s="332"/>
      <c r="M438" s="332"/>
      <c r="N438" s="332"/>
      <c r="O438" s="227"/>
      <c r="P438" s="227"/>
      <c r="Q438" s="227"/>
      <c r="R438" s="227"/>
      <c r="S438" s="227"/>
      <c r="T438" s="227"/>
      <c r="U438" s="227"/>
    </row>
    <row r="439" spans="1:21" ht="12.75" customHeight="1" x14ac:dyDescent="0.25">
      <c r="A439" s="229"/>
      <c r="B439" s="227"/>
      <c r="C439" s="227"/>
      <c r="D439" s="243"/>
      <c r="E439" s="244"/>
      <c r="F439" s="245"/>
      <c r="G439" s="331"/>
      <c r="H439" s="332"/>
      <c r="I439" s="332"/>
      <c r="J439" s="332"/>
      <c r="K439" s="332"/>
      <c r="L439" s="332"/>
      <c r="M439" s="332"/>
      <c r="N439" s="332"/>
      <c r="O439" s="227"/>
      <c r="P439" s="227"/>
      <c r="Q439" s="227"/>
      <c r="R439" s="227"/>
      <c r="S439" s="227"/>
      <c r="T439" s="227"/>
      <c r="U439" s="227"/>
    </row>
    <row r="440" spans="1:21" ht="12.75" customHeight="1" x14ac:dyDescent="0.25">
      <c r="A440" s="229"/>
      <c r="B440" s="227"/>
      <c r="C440" s="227"/>
      <c r="D440" s="243"/>
      <c r="E440" s="244"/>
      <c r="F440" s="245"/>
      <c r="G440" s="331"/>
      <c r="H440" s="332"/>
      <c r="I440" s="332"/>
      <c r="J440" s="332"/>
      <c r="K440" s="332"/>
      <c r="L440" s="332"/>
      <c r="M440" s="332"/>
      <c r="N440" s="332"/>
      <c r="O440" s="227"/>
      <c r="P440" s="227"/>
      <c r="Q440" s="227"/>
      <c r="R440" s="227"/>
      <c r="S440" s="227"/>
      <c r="T440" s="227"/>
      <c r="U440" s="227"/>
    </row>
    <row r="441" spans="1:21" ht="12.75" customHeight="1" x14ac:dyDescent="0.25">
      <c r="A441" s="229"/>
      <c r="B441" s="227"/>
      <c r="C441" s="227"/>
      <c r="D441" s="243"/>
      <c r="E441" s="244"/>
      <c r="F441" s="245"/>
      <c r="G441" s="331"/>
      <c r="H441" s="332"/>
      <c r="I441" s="332"/>
      <c r="J441" s="332"/>
      <c r="K441" s="332"/>
      <c r="L441" s="332"/>
      <c r="M441" s="332"/>
      <c r="N441" s="332"/>
      <c r="O441" s="227"/>
      <c r="P441" s="227"/>
      <c r="Q441" s="227"/>
      <c r="R441" s="227"/>
      <c r="S441" s="227"/>
      <c r="T441" s="227"/>
      <c r="U441" s="227"/>
    </row>
    <row r="442" spans="1:21" ht="12.75" customHeight="1" x14ac:dyDescent="0.25">
      <c r="A442" s="229"/>
      <c r="B442" s="227"/>
      <c r="C442" s="227"/>
      <c r="D442" s="243"/>
      <c r="E442" s="244"/>
      <c r="F442" s="245"/>
      <c r="G442" s="331"/>
      <c r="H442" s="332"/>
      <c r="I442" s="332"/>
      <c r="J442" s="332"/>
      <c r="K442" s="332"/>
      <c r="L442" s="332"/>
      <c r="M442" s="332"/>
      <c r="N442" s="332"/>
      <c r="O442" s="227"/>
      <c r="P442" s="227"/>
      <c r="Q442" s="227"/>
      <c r="R442" s="227"/>
      <c r="S442" s="227"/>
      <c r="T442" s="227"/>
      <c r="U442" s="227"/>
    </row>
    <row r="443" spans="1:21" ht="12.75" customHeight="1" x14ac:dyDescent="0.25">
      <c r="A443" s="229"/>
      <c r="B443" s="227"/>
      <c r="C443" s="227"/>
      <c r="D443" s="243"/>
      <c r="E443" s="244"/>
      <c r="F443" s="245"/>
      <c r="G443" s="331"/>
      <c r="H443" s="332"/>
      <c r="I443" s="332"/>
      <c r="J443" s="332"/>
      <c r="K443" s="332"/>
      <c r="L443" s="332"/>
      <c r="M443" s="332"/>
      <c r="N443" s="332"/>
      <c r="O443" s="227"/>
      <c r="P443" s="227"/>
      <c r="Q443" s="227"/>
      <c r="R443" s="227"/>
      <c r="S443" s="227"/>
      <c r="T443" s="227"/>
      <c r="U443" s="227"/>
    </row>
    <row r="444" spans="1:21" ht="12.75" customHeight="1" x14ac:dyDescent="0.25">
      <c r="A444" s="229"/>
      <c r="B444" s="227"/>
      <c r="C444" s="227"/>
      <c r="D444" s="243"/>
      <c r="E444" s="244"/>
      <c r="F444" s="245"/>
      <c r="G444" s="331"/>
      <c r="H444" s="332"/>
      <c r="I444" s="332"/>
      <c r="J444" s="332"/>
      <c r="K444" s="332"/>
      <c r="L444" s="332"/>
      <c r="M444" s="332"/>
      <c r="N444" s="332"/>
      <c r="O444" s="227"/>
      <c r="P444" s="227"/>
      <c r="Q444" s="227"/>
      <c r="R444" s="227"/>
      <c r="S444" s="227"/>
      <c r="T444" s="227"/>
      <c r="U444" s="227"/>
    </row>
    <row r="445" spans="1:21" ht="12.75" customHeight="1" x14ac:dyDescent="0.25">
      <c r="A445" s="229"/>
      <c r="B445" s="227"/>
      <c r="C445" s="227"/>
      <c r="D445" s="243"/>
      <c r="E445" s="244"/>
      <c r="F445" s="245"/>
      <c r="G445" s="331"/>
      <c r="H445" s="332"/>
      <c r="I445" s="332"/>
      <c r="J445" s="332"/>
      <c r="K445" s="332"/>
      <c r="L445" s="332"/>
      <c r="M445" s="332"/>
      <c r="N445" s="332"/>
      <c r="O445" s="227"/>
      <c r="P445" s="227"/>
      <c r="Q445" s="227"/>
      <c r="R445" s="227"/>
      <c r="S445" s="227"/>
      <c r="T445" s="227"/>
      <c r="U445" s="227"/>
    </row>
    <row r="446" spans="1:21" ht="12.75" customHeight="1" x14ac:dyDescent="0.25">
      <c r="A446" s="229"/>
      <c r="B446" s="227"/>
      <c r="C446" s="227"/>
      <c r="D446" s="243"/>
      <c r="E446" s="244"/>
      <c r="F446" s="245"/>
      <c r="G446" s="331"/>
      <c r="H446" s="332"/>
      <c r="I446" s="332"/>
      <c r="J446" s="332"/>
      <c r="K446" s="332"/>
      <c r="L446" s="332"/>
      <c r="M446" s="332"/>
      <c r="N446" s="332"/>
      <c r="O446" s="227"/>
      <c r="P446" s="227"/>
      <c r="Q446" s="227"/>
      <c r="R446" s="227"/>
      <c r="S446" s="227"/>
      <c r="T446" s="227"/>
      <c r="U446" s="227"/>
    </row>
    <row r="447" spans="1:21" ht="12.75" customHeight="1" x14ac:dyDescent="0.25">
      <c r="A447" s="229"/>
      <c r="B447" s="227"/>
      <c r="C447" s="227"/>
      <c r="D447" s="243"/>
      <c r="E447" s="244"/>
      <c r="F447" s="245"/>
      <c r="G447" s="331"/>
      <c r="H447" s="332"/>
      <c r="I447" s="332"/>
      <c r="J447" s="332"/>
      <c r="K447" s="332"/>
      <c r="L447" s="332"/>
      <c r="M447" s="332"/>
      <c r="N447" s="332"/>
      <c r="O447" s="227"/>
      <c r="P447" s="227"/>
      <c r="Q447" s="227"/>
      <c r="R447" s="227"/>
      <c r="S447" s="227"/>
      <c r="T447" s="227"/>
      <c r="U447" s="227"/>
    </row>
    <row r="448" spans="1:21" ht="12.75" customHeight="1" x14ac:dyDescent="0.25">
      <c r="A448" s="229"/>
      <c r="B448" s="227"/>
      <c r="C448" s="227"/>
      <c r="D448" s="243"/>
      <c r="E448" s="244"/>
      <c r="F448" s="245"/>
      <c r="G448" s="331"/>
      <c r="H448" s="332"/>
      <c r="I448" s="332"/>
      <c r="J448" s="332"/>
      <c r="K448" s="332"/>
      <c r="L448" s="332"/>
      <c r="M448" s="332"/>
      <c r="N448" s="332"/>
      <c r="O448" s="227"/>
      <c r="P448" s="227"/>
      <c r="Q448" s="227"/>
      <c r="R448" s="227"/>
      <c r="S448" s="227"/>
      <c r="T448" s="227"/>
      <c r="U448" s="227"/>
    </row>
    <row r="449" spans="1:21" ht="12.75" customHeight="1" x14ac:dyDescent="0.25">
      <c r="A449" s="229"/>
      <c r="B449" s="227"/>
      <c r="C449" s="227"/>
      <c r="D449" s="243"/>
      <c r="E449" s="244"/>
      <c r="F449" s="245"/>
      <c r="G449" s="331"/>
      <c r="H449" s="332"/>
      <c r="I449" s="332"/>
      <c r="J449" s="332"/>
      <c r="K449" s="332"/>
      <c r="L449" s="332"/>
      <c r="M449" s="332"/>
      <c r="N449" s="332"/>
      <c r="O449" s="227"/>
      <c r="P449" s="227"/>
      <c r="Q449" s="227"/>
      <c r="R449" s="227"/>
      <c r="S449" s="227"/>
      <c r="T449" s="227"/>
      <c r="U449" s="227"/>
    </row>
    <row r="450" spans="1:21" ht="12.75" customHeight="1" x14ac:dyDescent="0.25">
      <c r="A450" s="229"/>
      <c r="B450" s="227"/>
      <c r="C450" s="227"/>
      <c r="D450" s="243"/>
      <c r="E450" s="244"/>
      <c r="F450" s="245"/>
      <c r="G450" s="331"/>
      <c r="H450" s="332"/>
      <c r="I450" s="332"/>
      <c r="J450" s="332"/>
      <c r="K450" s="332"/>
      <c r="L450" s="332"/>
      <c r="M450" s="332"/>
      <c r="N450" s="332"/>
      <c r="O450" s="227"/>
      <c r="P450" s="227"/>
      <c r="Q450" s="227"/>
      <c r="R450" s="227"/>
      <c r="S450" s="227"/>
      <c r="T450" s="227"/>
      <c r="U450" s="227"/>
    </row>
    <row r="451" spans="1:21" ht="12.75" customHeight="1" x14ac:dyDescent="0.25">
      <c r="A451" s="229"/>
      <c r="B451" s="227"/>
      <c r="C451" s="227"/>
      <c r="D451" s="243"/>
      <c r="E451" s="244"/>
      <c r="F451" s="245"/>
      <c r="G451" s="331"/>
      <c r="H451" s="332"/>
      <c r="I451" s="332"/>
      <c r="J451" s="332"/>
      <c r="K451" s="332"/>
      <c r="L451" s="332"/>
      <c r="M451" s="332"/>
      <c r="N451" s="332"/>
      <c r="O451" s="227"/>
      <c r="P451" s="227"/>
      <c r="Q451" s="227"/>
      <c r="R451" s="227"/>
      <c r="S451" s="227"/>
      <c r="T451" s="227"/>
      <c r="U451" s="227"/>
    </row>
    <row r="452" spans="1:21" ht="12.75" customHeight="1" x14ac:dyDescent="0.25">
      <c r="A452" s="229"/>
      <c r="B452" s="227"/>
      <c r="C452" s="227"/>
      <c r="D452" s="243"/>
      <c r="E452" s="244"/>
      <c r="F452" s="245"/>
      <c r="G452" s="331"/>
      <c r="H452" s="332"/>
      <c r="I452" s="332"/>
      <c r="J452" s="332"/>
      <c r="K452" s="332"/>
      <c r="L452" s="332"/>
      <c r="M452" s="332"/>
      <c r="N452" s="332"/>
      <c r="O452" s="227"/>
      <c r="P452" s="227"/>
      <c r="Q452" s="227"/>
      <c r="R452" s="227"/>
      <c r="S452" s="227"/>
      <c r="T452" s="227"/>
      <c r="U452" s="227"/>
    </row>
    <row r="453" spans="1:21" ht="12.75" customHeight="1" x14ac:dyDescent="0.25">
      <c r="A453" s="229"/>
      <c r="B453" s="227"/>
      <c r="C453" s="227"/>
      <c r="D453" s="243"/>
      <c r="E453" s="244"/>
      <c r="F453" s="245"/>
      <c r="G453" s="331"/>
      <c r="H453" s="332"/>
      <c r="I453" s="332"/>
      <c r="J453" s="332"/>
      <c r="K453" s="332"/>
      <c r="L453" s="332"/>
      <c r="M453" s="332"/>
      <c r="N453" s="332"/>
      <c r="O453" s="227"/>
      <c r="P453" s="227"/>
      <c r="Q453" s="227"/>
      <c r="R453" s="227"/>
      <c r="S453" s="227"/>
      <c r="T453" s="227"/>
      <c r="U453" s="227"/>
    </row>
    <row r="454" spans="1:21" ht="12.75" customHeight="1" x14ac:dyDescent="0.25">
      <c r="A454" s="229"/>
      <c r="B454" s="227"/>
      <c r="C454" s="227"/>
      <c r="D454" s="243"/>
      <c r="E454" s="244"/>
      <c r="F454" s="245"/>
      <c r="G454" s="331"/>
      <c r="H454" s="332"/>
      <c r="I454" s="332"/>
      <c r="J454" s="332"/>
      <c r="K454" s="332"/>
      <c r="L454" s="332"/>
      <c r="M454" s="332"/>
      <c r="N454" s="332"/>
      <c r="O454" s="227"/>
      <c r="P454" s="227"/>
      <c r="Q454" s="227"/>
      <c r="R454" s="227"/>
      <c r="S454" s="227"/>
      <c r="T454" s="227"/>
      <c r="U454" s="227"/>
    </row>
    <row r="455" spans="1:21" ht="12.75" customHeight="1" x14ac:dyDescent="0.25">
      <c r="A455" s="229"/>
      <c r="B455" s="227"/>
      <c r="C455" s="227"/>
      <c r="D455" s="243"/>
      <c r="E455" s="244"/>
      <c r="F455" s="245"/>
      <c r="G455" s="331"/>
      <c r="H455" s="332"/>
      <c r="I455" s="332"/>
      <c r="J455" s="332"/>
      <c r="K455" s="332"/>
      <c r="L455" s="332"/>
      <c r="M455" s="332"/>
      <c r="N455" s="332"/>
      <c r="O455" s="227"/>
      <c r="P455" s="227"/>
      <c r="Q455" s="227"/>
      <c r="R455" s="227"/>
      <c r="S455" s="227"/>
      <c r="T455" s="227"/>
      <c r="U455" s="227"/>
    </row>
    <row r="456" spans="1:21" ht="12.75" customHeight="1" x14ac:dyDescent="0.25">
      <c r="A456" s="229"/>
      <c r="B456" s="227"/>
      <c r="C456" s="227"/>
      <c r="D456" s="243"/>
      <c r="E456" s="244"/>
      <c r="F456" s="245"/>
      <c r="G456" s="331"/>
      <c r="H456" s="332"/>
      <c r="I456" s="332"/>
      <c r="J456" s="332"/>
      <c r="K456" s="332"/>
      <c r="L456" s="332"/>
      <c r="M456" s="332"/>
      <c r="N456" s="332"/>
      <c r="O456" s="227"/>
      <c r="P456" s="227"/>
      <c r="Q456" s="227"/>
      <c r="R456" s="227"/>
      <c r="S456" s="227"/>
      <c r="T456" s="227"/>
      <c r="U456" s="227"/>
    </row>
    <row r="457" spans="1:21" ht="12.75" customHeight="1" x14ac:dyDescent="0.25">
      <c r="A457" s="229"/>
      <c r="B457" s="227"/>
      <c r="C457" s="227"/>
      <c r="D457" s="243"/>
      <c r="E457" s="244"/>
      <c r="F457" s="245"/>
      <c r="G457" s="331"/>
      <c r="H457" s="332"/>
      <c r="I457" s="332"/>
      <c r="J457" s="332"/>
      <c r="K457" s="332"/>
      <c r="L457" s="332"/>
      <c r="M457" s="332"/>
      <c r="N457" s="332"/>
      <c r="O457" s="227"/>
      <c r="P457" s="227"/>
      <c r="Q457" s="227"/>
      <c r="R457" s="227"/>
      <c r="S457" s="227"/>
      <c r="T457" s="227"/>
      <c r="U457" s="227"/>
    </row>
    <row r="458" spans="1:21" ht="12.75" customHeight="1" x14ac:dyDescent="0.25">
      <c r="A458" s="229"/>
      <c r="B458" s="227"/>
      <c r="C458" s="227"/>
      <c r="D458" s="243"/>
      <c r="E458" s="244"/>
      <c r="F458" s="245"/>
      <c r="G458" s="331"/>
      <c r="H458" s="332"/>
      <c r="I458" s="332"/>
      <c r="J458" s="332"/>
      <c r="K458" s="332"/>
      <c r="L458" s="332"/>
      <c r="M458" s="332"/>
      <c r="N458" s="332"/>
      <c r="O458" s="227"/>
      <c r="P458" s="227"/>
      <c r="Q458" s="227"/>
      <c r="R458" s="227"/>
      <c r="S458" s="227"/>
      <c r="T458" s="227"/>
      <c r="U458" s="227"/>
    </row>
    <row r="459" spans="1:21" ht="12.75" customHeight="1" x14ac:dyDescent="0.25">
      <c r="A459" s="229"/>
      <c r="B459" s="227"/>
      <c r="C459" s="227"/>
      <c r="D459" s="243"/>
      <c r="E459" s="244"/>
      <c r="F459" s="245"/>
      <c r="G459" s="331"/>
      <c r="H459" s="332"/>
      <c r="I459" s="332"/>
      <c r="J459" s="332"/>
      <c r="K459" s="332"/>
      <c r="L459" s="332"/>
      <c r="M459" s="332"/>
      <c r="N459" s="332"/>
      <c r="O459" s="227"/>
      <c r="P459" s="227"/>
      <c r="Q459" s="227"/>
      <c r="R459" s="227"/>
      <c r="S459" s="227"/>
      <c r="T459" s="227"/>
      <c r="U459" s="227"/>
    </row>
    <row r="460" spans="1:21" ht="12.75" customHeight="1" x14ac:dyDescent="0.25">
      <c r="A460" s="229"/>
      <c r="B460" s="227"/>
      <c r="C460" s="227"/>
      <c r="D460" s="243"/>
      <c r="E460" s="244"/>
      <c r="F460" s="245"/>
      <c r="G460" s="331"/>
      <c r="H460" s="332"/>
      <c r="I460" s="332"/>
      <c r="J460" s="332"/>
      <c r="K460" s="332"/>
      <c r="L460" s="332"/>
      <c r="M460" s="332"/>
      <c r="N460" s="332"/>
      <c r="O460" s="227"/>
      <c r="P460" s="227"/>
      <c r="Q460" s="227"/>
      <c r="R460" s="227"/>
      <c r="S460" s="227"/>
      <c r="T460" s="227"/>
      <c r="U460" s="227"/>
    </row>
    <row r="461" spans="1:21" ht="12.75" customHeight="1" x14ac:dyDescent="0.25">
      <c r="A461" s="229"/>
      <c r="B461" s="227"/>
      <c r="C461" s="227"/>
      <c r="D461" s="243"/>
      <c r="E461" s="244"/>
      <c r="F461" s="245"/>
      <c r="G461" s="331"/>
      <c r="H461" s="332"/>
      <c r="I461" s="332"/>
      <c r="J461" s="332"/>
      <c r="K461" s="332"/>
      <c r="L461" s="332"/>
      <c r="M461" s="332"/>
      <c r="N461" s="332"/>
      <c r="O461" s="227"/>
      <c r="P461" s="227"/>
      <c r="Q461" s="227"/>
      <c r="R461" s="227"/>
      <c r="S461" s="227"/>
      <c r="T461" s="227"/>
      <c r="U461" s="227"/>
    </row>
    <row r="462" spans="1:21" ht="12.75" customHeight="1" x14ac:dyDescent="0.25">
      <c r="A462" s="229"/>
      <c r="B462" s="227"/>
      <c r="C462" s="227"/>
      <c r="D462" s="243"/>
      <c r="E462" s="244"/>
      <c r="F462" s="245"/>
      <c r="G462" s="331"/>
      <c r="H462" s="332"/>
      <c r="I462" s="332"/>
      <c r="J462" s="332"/>
      <c r="K462" s="332"/>
      <c r="L462" s="332"/>
      <c r="M462" s="332"/>
      <c r="N462" s="332"/>
      <c r="O462" s="227"/>
      <c r="P462" s="227"/>
      <c r="Q462" s="227"/>
      <c r="R462" s="227"/>
      <c r="S462" s="227"/>
      <c r="T462" s="227"/>
      <c r="U462" s="227"/>
    </row>
    <row r="463" spans="1:21" ht="12.75" customHeight="1" x14ac:dyDescent="0.25">
      <c r="A463" s="229"/>
      <c r="B463" s="227"/>
      <c r="C463" s="227"/>
      <c r="D463" s="243"/>
      <c r="E463" s="244"/>
      <c r="F463" s="245"/>
      <c r="G463" s="331"/>
      <c r="H463" s="332"/>
      <c r="I463" s="332"/>
      <c r="J463" s="332"/>
      <c r="K463" s="332"/>
      <c r="L463" s="332"/>
      <c r="M463" s="332"/>
      <c r="N463" s="332"/>
      <c r="O463" s="227"/>
      <c r="P463" s="227"/>
      <c r="Q463" s="227"/>
      <c r="R463" s="227"/>
      <c r="S463" s="227"/>
      <c r="T463" s="227"/>
      <c r="U463" s="227"/>
    </row>
    <row r="464" spans="1:21" ht="12.75" customHeight="1" x14ac:dyDescent="0.25">
      <c r="A464" s="229"/>
      <c r="B464" s="227"/>
      <c r="C464" s="227"/>
      <c r="D464" s="243"/>
      <c r="E464" s="244"/>
      <c r="F464" s="245"/>
      <c r="G464" s="331"/>
      <c r="H464" s="332"/>
      <c r="I464" s="332"/>
      <c r="J464" s="332"/>
      <c r="K464" s="332"/>
      <c r="L464" s="332"/>
      <c r="M464" s="332"/>
      <c r="N464" s="332"/>
      <c r="O464" s="227"/>
      <c r="P464" s="227"/>
      <c r="Q464" s="227"/>
      <c r="R464" s="227"/>
      <c r="S464" s="227"/>
      <c r="T464" s="227"/>
      <c r="U464" s="227"/>
    </row>
    <row r="465" spans="1:21" ht="12.75" customHeight="1" x14ac:dyDescent="0.25">
      <c r="A465" s="229"/>
      <c r="B465" s="227"/>
      <c r="C465" s="227"/>
      <c r="D465" s="243"/>
      <c r="E465" s="244"/>
      <c r="F465" s="245"/>
      <c r="G465" s="331"/>
      <c r="H465" s="332"/>
      <c r="I465" s="332"/>
      <c r="J465" s="332"/>
      <c r="K465" s="332"/>
      <c r="L465" s="332"/>
      <c r="M465" s="332"/>
      <c r="N465" s="332"/>
      <c r="O465" s="227"/>
      <c r="P465" s="227"/>
      <c r="Q465" s="227"/>
      <c r="R465" s="227"/>
      <c r="S465" s="227"/>
      <c r="T465" s="227"/>
      <c r="U465" s="227"/>
    </row>
    <row r="466" spans="1:21" ht="12.75" customHeight="1" x14ac:dyDescent="0.25">
      <c r="A466" s="229"/>
      <c r="B466" s="227"/>
      <c r="C466" s="227"/>
      <c r="D466" s="243"/>
      <c r="E466" s="244"/>
      <c r="F466" s="245"/>
      <c r="G466" s="331"/>
      <c r="H466" s="332"/>
      <c r="I466" s="332"/>
      <c r="J466" s="332"/>
      <c r="K466" s="332"/>
      <c r="L466" s="332"/>
      <c r="M466" s="332"/>
      <c r="N466" s="332"/>
      <c r="O466" s="227"/>
      <c r="P466" s="227"/>
      <c r="Q466" s="227"/>
      <c r="R466" s="227"/>
      <c r="S466" s="227"/>
      <c r="T466" s="227"/>
      <c r="U466" s="227"/>
    </row>
    <row r="467" spans="1:21" ht="12.75" customHeight="1" x14ac:dyDescent="0.25">
      <c r="A467" s="229"/>
      <c r="B467" s="227"/>
      <c r="C467" s="227"/>
      <c r="D467" s="243"/>
      <c r="E467" s="244"/>
      <c r="F467" s="245"/>
      <c r="G467" s="331"/>
      <c r="H467" s="332"/>
      <c r="I467" s="332"/>
      <c r="J467" s="332"/>
      <c r="K467" s="332"/>
      <c r="L467" s="332"/>
      <c r="M467" s="332"/>
      <c r="N467" s="332"/>
      <c r="O467" s="227"/>
      <c r="P467" s="227"/>
      <c r="Q467" s="227"/>
      <c r="R467" s="227"/>
      <c r="S467" s="227"/>
      <c r="T467" s="227"/>
      <c r="U467" s="227"/>
    </row>
    <row r="468" spans="1:21" ht="12.75" customHeight="1" x14ac:dyDescent="0.25">
      <c r="A468" s="229"/>
      <c r="B468" s="227"/>
      <c r="C468" s="227"/>
      <c r="D468" s="243"/>
      <c r="E468" s="244"/>
      <c r="F468" s="245"/>
      <c r="G468" s="331"/>
      <c r="H468" s="332"/>
      <c r="I468" s="332"/>
      <c r="J468" s="332"/>
      <c r="K468" s="332"/>
      <c r="L468" s="332"/>
      <c r="M468" s="332"/>
      <c r="N468" s="332"/>
      <c r="O468" s="227"/>
      <c r="P468" s="227"/>
      <c r="Q468" s="227"/>
      <c r="R468" s="227"/>
      <c r="S468" s="227"/>
      <c r="T468" s="227"/>
      <c r="U468" s="227"/>
    </row>
    <row r="469" spans="1:21" ht="12.75" customHeight="1" x14ac:dyDescent="0.25">
      <c r="A469" s="229"/>
      <c r="B469" s="227"/>
      <c r="C469" s="227"/>
      <c r="D469" s="243"/>
      <c r="E469" s="244"/>
      <c r="F469" s="245"/>
      <c r="G469" s="331"/>
      <c r="H469" s="332"/>
      <c r="I469" s="332"/>
      <c r="J469" s="332"/>
      <c r="K469" s="332"/>
      <c r="L469" s="332"/>
      <c r="M469" s="332"/>
      <c r="N469" s="332"/>
      <c r="O469" s="227"/>
      <c r="P469" s="227"/>
      <c r="Q469" s="227"/>
      <c r="R469" s="227"/>
      <c r="S469" s="227"/>
      <c r="T469" s="227"/>
      <c r="U469" s="227"/>
    </row>
    <row r="470" spans="1:21" ht="12.75" customHeight="1" x14ac:dyDescent="0.25">
      <c r="A470" s="229"/>
      <c r="B470" s="227"/>
      <c r="C470" s="227"/>
      <c r="D470" s="243"/>
      <c r="E470" s="244"/>
      <c r="F470" s="245"/>
      <c r="G470" s="331"/>
      <c r="H470" s="332"/>
      <c r="I470" s="332"/>
      <c r="J470" s="332"/>
      <c r="K470" s="332"/>
      <c r="L470" s="332"/>
      <c r="M470" s="332"/>
      <c r="N470" s="332"/>
      <c r="O470" s="227"/>
      <c r="P470" s="227"/>
      <c r="Q470" s="227"/>
      <c r="R470" s="227"/>
      <c r="S470" s="227"/>
      <c r="T470" s="227"/>
      <c r="U470" s="227"/>
    </row>
    <row r="471" spans="1:21" ht="12.75" customHeight="1" x14ac:dyDescent="0.25">
      <c r="A471" s="229"/>
      <c r="B471" s="227"/>
      <c r="C471" s="227"/>
      <c r="D471" s="243"/>
      <c r="E471" s="244"/>
      <c r="F471" s="245"/>
      <c r="G471" s="331"/>
      <c r="H471" s="332"/>
      <c r="I471" s="332"/>
      <c r="J471" s="332"/>
      <c r="K471" s="332"/>
      <c r="L471" s="332"/>
      <c r="M471" s="332"/>
      <c r="N471" s="332"/>
      <c r="O471" s="227"/>
      <c r="P471" s="227"/>
      <c r="Q471" s="227"/>
      <c r="R471" s="227"/>
      <c r="S471" s="227"/>
      <c r="T471" s="227"/>
      <c r="U471" s="227"/>
    </row>
    <row r="472" spans="1:21" ht="12.75" customHeight="1" x14ac:dyDescent="0.25">
      <c r="A472" s="229"/>
      <c r="B472" s="227"/>
      <c r="C472" s="227"/>
      <c r="D472" s="243"/>
      <c r="E472" s="244"/>
      <c r="F472" s="245"/>
      <c r="G472" s="331"/>
      <c r="H472" s="332"/>
      <c r="I472" s="332"/>
      <c r="J472" s="332"/>
      <c r="K472" s="332"/>
      <c r="L472" s="332"/>
      <c r="M472" s="332"/>
      <c r="N472" s="332"/>
      <c r="O472" s="227"/>
      <c r="P472" s="227"/>
      <c r="Q472" s="227"/>
      <c r="R472" s="227"/>
      <c r="S472" s="227"/>
      <c r="T472" s="227"/>
      <c r="U472" s="227"/>
    </row>
    <row r="473" spans="1:21" ht="12.75" customHeight="1" x14ac:dyDescent="0.25">
      <c r="A473" s="229"/>
      <c r="B473" s="227"/>
      <c r="C473" s="227"/>
      <c r="D473" s="243"/>
      <c r="E473" s="244"/>
      <c r="F473" s="245"/>
      <c r="G473" s="331"/>
      <c r="H473" s="332"/>
      <c r="I473" s="332"/>
      <c r="J473" s="332"/>
      <c r="K473" s="332"/>
      <c r="L473" s="332"/>
      <c r="M473" s="332"/>
      <c r="N473" s="332"/>
      <c r="O473" s="227"/>
      <c r="P473" s="227"/>
      <c r="Q473" s="227"/>
      <c r="R473" s="227"/>
      <c r="S473" s="227"/>
      <c r="T473" s="227"/>
      <c r="U473" s="227"/>
    </row>
    <row r="474" spans="1:21" ht="12.75" customHeight="1" x14ac:dyDescent="0.25">
      <c r="A474" s="229"/>
      <c r="B474" s="227"/>
      <c r="C474" s="227"/>
      <c r="D474" s="243"/>
      <c r="E474" s="244"/>
      <c r="F474" s="245"/>
      <c r="G474" s="331"/>
      <c r="H474" s="332"/>
      <c r="I474" s="332"/>
      <c r="J474" s="332"/>
      <c r="K474" s="332"/>
      <c r="L474" s="332"/>
      <c r="M474" s="332"/>
      <c r="N474" s="332"/>
      <c r="O474" s="227"/>
      <c r="P474" s="227"/>
      <c r="Q474" s="227"/>
      <c r="R474" s="227"/>
      <c r="S474" s="227"/>
      <c r="T474" s="227"/>
      <c r="U474" s="227"/>
    </row>
    <row r="475" spans="1:21" ht="12.75" customHeight="1" x14ac:dyDescent="0.25">
      <c r="A475" s="229"/>
      <c r="B475" s="227"/>
      <c r="C475" s="227"/>
      <c r="D475" s="243"/>
      <c r="E475" s="244"/>
      <c r="F475" s="245"/>
      <c r="G475" s="331"/>
      <c r="H475" s="332"/>
      <c r="I475" s="332"/>
      <c r="J475" s="332"/>
      <c r="K475" s="332"/>
      <c r="L475" s="332"/>
      <c r="M475" s="332"/>
      <c r="N475" s="332"/>
      <c r="O475" s="227"/>
      <c r="P475" s="227"/>
      <c r="Q475" s="227"/>
      <c r="R475" s="227"/>
      <c r="S475" s="227"/>
      <c r="T475" s="227"/>
      <c r="U475" s="227"/>
    </row>
    <row r="476" spans="1:21" ht="12.75" customHeight="1" x14ac:dyDescent="0.25">
      <c r="A476" s="229"/>
      <c r="B476" s="227"/>
      <c r="C476" s="227"/>
      <c r="D476" s="243"/>
      <c r="E476" s="244"/>
      <c r="F476" s="245"/>
      <c r="G476" s="331"/>
      <c r="H476" s="332"/>
      <c r="I476" s="332"/>
      <c r="J476" s="332"/>
      <c r="K476" s="332"/>
      <c r="L476" s="332"/>
      <c r="M476" s="332"/>
      <c r="N476" s="332"/>
      <c r="O476" s="227"/>
      <c r="P476" s="227"/>
      <c r="Q476" s="227"/>
      <c r="R476" s="227"/>
      <c r="S476" s="227"/>
      <c r="T476" s="227"/>
      <c r="U476" s="227"/>
    </row>
    <row r="477" spans="1:21" ht="12.75" customHeight="1" x14ac:dyDescent="0.25">
      <c r="A477" s="229"/>
      <c r="B477" s="227"/>
      <c r="C477" s="227"/>
      <c r="D477" s="243"/>
      <c r="E477" s="244"/>
      <c r="F477" s="245"/>
      <c r="G477" s="331"/>
      <c r="H477" s="332"/>
      <c r="I477" s="332"/>
      <c r="J477" s="332"/>
      <c r="K477" s="332"/>
      <c r="L477" s="332"/>
      <c r="M477" s="332"/>
      <c r="N477" s="332"/>
      <c r="O477" s="227"/>
      <c r="P477" s="227"/>
      <c r="Q477" s="227"/>
      <c r="R477" s="227"/>
      <c r="S477" s="227"/>
      <c r="T477" s="227"/>
      <c r="U477" s="227"/>
    </row>
    <row r="478" spans="1:21" ht="12.75" customHeight="1" x14ac:dyDescent="0.25">
      <c r="A478" s="229"/>
      <c r="B478" s="227"/>
      <c r="C478" s="227"/>
      <c r="D478" s="243"/>
      <c r="E478" s="244"/>
      <c r="F478" s="245"/>
      <c r="G478" s="331"/>
      <c r="H478" s="332"/>
      <c r="I478" s="332"/>
      <c r="J478" s="332"/>
      <c r="K478" s="332"/>
      <c r="L478" s="332"/>
      <c r="M478" s="332"/>
      <c r="N478" s="332"/>
      <c r="O478" s="227"/>
      <c r="P478" s="227"/>
      <c r="Q478" s="227"/>
      <c r="R478" s="227"/>
      <c r="S478" s="227"/>
      <c r="T478" s="227"/>
      <c r="U478" s="227"/>
    </row>
    <row r="479" spans="1:21" ht="12.75" customHeight="1" x14ac:dyDescent="0.25">
      <c r="A479" s="229"/>
      <c r="B479" s="227"/>
      <c r="C479" s="227"/>
      <c r="D479" s="243"/>
      <c r="E479" s="244"/>
      <c r="F479" s="245"/>
      <c r="G479" s="331"/>
      <c r="H479" s="332"/>
      <c r="I479" s="332"/>
      <c r="J479" s="332"/>
      <c r="K479" s="332"/>
      <c r="L479" s="332"/>
      <c r="M479" s="332"/>
      <c r="N479" s="332"/>
      <c r="O479" s="227"/>
      <c r="P479" s="227"/>
      <c r="Q479" s="227"/>
      <c r="R479" s="227"/>
      <c r="S479" s="227"/>
      <c r="T479" s="227"/>
      <c r="U479" s="227"/>
    </row>
    <row r="480" spans="1:21" ht="12.75" customHeight="1" x14ac:dyDescent="0.25">
      <c r="A480" s="229"/>
      <c r="B480" s="227"/>
      <c r="C480" s="227"/>
      <c r="D480" s="243"/>
      <c r="E480" s="244"/>
      <c r="F480" s="245"/>
      <c r="G480" s="331"/>
      <c r="H480" s="332"/>
      <c r="I480" s="332"/>
      <c r="J480" s="332"/>
      <c r="K480" s="332"/>
      <c r="L480" s="332"/>
      <c r="M480" s="332"/>
      <c r="N480" s="332"/>
      <c r="O480" s="227"/>
      <c r="P480" s="227"/>
      <c r="Q480" s="227"/>
      <c r="R480" s="227"/>
      <c r="S480" s="227"/>
      <c r="T480" s="227"/>
      <c r="U480" s="227"/>
    </row>
    <row r="481" spans="1:21" ht="12.75" customHeight="1" x14ac:dyDescent="0.25">
      <c r="A481" s="229"/>
      <c r="B481" s="227"/>
      <c r="C481" s="227"/>
      <c r="D481" s="243"/>
      <c r="E481" s="244"/>
      <c r="F481" s="245"/>
      <c r="G481" s="331"/>
      <c r="H481" s="332"/>
      <c r="I481" s="332"/>
      <c r="J481" s="332"/>
      <c r="K481" s="332"/>
      <c r="L481" s="332"/>
      <c r="M481" s="332"/>
      <c r="N481" s="332"/>
      <c r="O481" s="227"/>
      <c r="P481" s="227"/>
      <c r="Q481" s="227"/>
      <c r="R481" s="227"/>
      <c r="S481" s="227"/>
      <c r="T481" s="227"/>
      <c r="U481" s="227"/>
    </row>
    <row r="482" spans="1:21" ht="12.75" customHeight="1" x14ac:dyDescent="0.25">
      <c r="A482" s="229"/>
      <c r="B482" s="227"/>
      <c r="C482" s="227"/>
      <c r="D482" s="243"/>
      <c r="E482" s="244"/>
      <c r="F482" s="245"/>
      <c r="G482" s="331"/>
      <c r="H482" s="332"/>
      <c r="I482" s="332"/>
      <c r="J482" s="332"/>
      <c r="K482" s="332"/>
      <c r="L482" s="332"/>
      <c r="M482" s="332"/>
      <c r="N482" s="332"/>
      <c r="O482" s="227"/>
      <c r="P482" s="227"/>
      <c r="Q482" s="227"/>
      <c r="R482" s="227"/>
      <c r="S482" s="227"/>
      <c r="T482" s="227"/>
      <c r="U482" s="227"/>
    </row>
    <row r="483" spans="1:21" ht="12.75" customHeight="1" x14ac:dyDescent="0.25">
      <c r="A483" s="229"/>
      <c r="B483" s="227"/>
      <c r="C483" s="227"/>
      <c r="D483" s="243"/>
      <c r="E483" s="244"/>
      <c r="F483" s="245"/>
      <c r="G483" s="331"/>
      <c r="H483" s="332"/>
      <c r="I483" s="332"/>
      <c r="J483" s="332"/>
      <c r="K483" s="332"/>
      <c r="L483" s="332"/>
      <c r="M483" s="332"/>
      <c r="N483" s="332"/>
      <c r="O483" s="227"/>
      <c r="P483" s="227"/>
      <c r="Q483" s="227"/>
      <c r="R483" s="227"/>
      <c r="S483" s="227"/>
      <c r="T483" s="227"/>
      <c r="U483" s="227"/>
    </row>
    <row r="484" spans="1:21" ht="12.75" customHeight="1" x14ac:dyDescent="0.25">
      <c r="A484" s="229"/>
      <c r="B484" s="227"/>
      <c r="C484" s="227"/>
      <c r="D484" s="243"/>
      <c r="E484" s="244"/>
      <c r="F484" s="245"/>
      <c r="G484" s="331"/>
      <c r="H484" s="332"/>
      <c r="I484" s="332"/>
      <c r="J484" s="332"/>
      <c r="K484" s="332"/>
      <c r="L484" s="332"/>
      <c r="M484" s="332"/>
      <c r="N484" s="332"/>
      <c r="O484" s="227"/>
      <c r="P484" s="227"/>
      <c r="Q484" s="227"/>
      <c r="R484" s="227"/>
      <c r="S484" s="227"/>
      <c r="T484" s="227"/>
      <c r="U484" s="227"/>
    </row>
    <row r="485" spans="1:21" ht="12.75" customHeight="1" x14ac:dyDescent="0.25">
      <c r="A485" s="229"/>
      <c r="B485" s="227"/>
      <c r="C485" s="227"/>
      <c r="D485" s="243"/>
      <c r="E485" s="244"/>
      <c r="F485" s="245"/>
      <c r="G485" s="331"/>
      <c r="H485" s="332"/>
      <c r="I485" s="332"/>
      <c r="J485" s="332"/>
      <c r="K485" s="332"/>
      <c r="L485" s="332"/>
      <c r="M485" s="332"/>
      <c r="N485" s="332"/>
      <c r="O485" s="227"/>
      <c r="P485" s="227"/>
      <c r="Q485" s="227"/>
      <c r="R485" s="227"/>
      <c r="S485" s="227"/>
      <c r="T485" s="227"/>
      <c r="U485" s="227"/>
    </row>
    <row r="486" spans="1:21" ht="12.75" customHeight="1" x14ac:dyDescent="0.25">
      <c r="A486" s="229"/>
      <c r="B486" s="227"/>
      <c r="C486" s="227"/>
      <c r="D486" s="243"/>
      <c r="E486" s="244"/>
      <c r="F486" s="245"/>
      <c r="G486" s="331"/>
      <c r="H486" s="332"/>
      <c r="I486" s="332"/>
      <c r="J486" s="332"/>
      <c r="K486" s="332"/>
      <c r="L486" s="332"/>
      <c r="M486" s="332"/>
      <c r="N486" s="332"/>
      <c r="O486" s="227"/>
      <c r="P486" s="227"/>
      <c r="Q486" s="227"/>
      <c r="R486" s="227"/>
      <c r="S486" s="227"/>
      <c r="T486" s="227"/>
      <c r="U486" s="227"/>
    </row>
    <row r="487" spans="1:21" ht="12.75" customHeight="1" x14ac:dyDescent="0.25">
      <c r="A487" s="229"/>
      <c r="B487" s="227"/>
      <c r="C487" s="227"/>
      <c r="D487" s="243"/>
      <c r="E487" s="244"/>
      <c r="F487" s="245"/>
      <c r="G487" s="331"/>
      <c r="H487" s="332"/>
      <c r="I487" s="332"/>
      <c r="J487" s="332"/>
      <c r="K487" s="332"/>
      <c r="L487" s="332"/>
      <c r="M487" s="332"/>
      <c r="N487" s="332"/>
      <c r="O487" s="227"/>
      <c r="P487" s="227"/>
      <c r="Q487" s="227"/>
      <c r="R487" s="227"/>
      <c r="S487" s="227"/>
      <c r="T487" s="227"/>
      <c r="U487" s="227"/>
    </row>
    <row r="488" spans="1:21" ht="12.75" customHeight="1" x14ac:dyDescent="0.25">
      <c r="A488" s="229"/>
      <c r="B488" s="227"/>
      <c r="C488" s="227"/>
      <c r="D488" s="243"/>
      <c r="E488" s="244"/>
      <c r="F488" s="245"/>
      <c r="G488" s="331"/>
      <c r="H488" s="332"/>
      <c r="I488" s="332"/>
      <c r="J488" s="332"/>
      <c r="K488" s="332"/>
      <c r="L488" s="332"/>
      <c r="M488" s="332"/>
      <c r="N488" s="332"/>
      <c r="O488" s="227"/>
      <c r="P488" s="227"/>
      <c r="Q488" s="227"/>
      <c r="R488" s="227"/>
      <c r="S488" s="227"/>
      <c r="T488" s="227"/>
      <c r="U488" s="227"/>
    </row>
    <row r="489" spans="1:21" ht="12.75" customHeight="1" x14ac:dyDescent="0.25">
      <c r="A489" s="229"/>
      <c r="B489" s="227"/>
      <c r="C489" s="227"/>
      <c r="D489" s="243"/>
      <c r="E489" s="244"/>
      <c r="F489" s="245"/>
      <c r="G489" s="331"/>
      <c r="H489" s="332"/>
      <c r="I489" s="332"/>
      <c r="J489" s="332"/>
      <c r="K489" s="332"/>
      <c r="L489" s="332"/>
      <c r="M489" s="332"/>
      <c r="N489" s="332"/>
      <c r="O489" s="227"/>
      <c r="P489" s="227"/>
      <c r="Q489" s="227"/>
      <c r="R489" s="227"/>
      <c r="S489" s="227"/>
      <c r="T489" s="227"/>
      <c r="U489" s="227"/>
    </row>
    <row r="490" spans="1:21" ht="12.75" customHeight="1" x14ac:dyDescent="0.25">
      <c r="A490" s="229"/>
      <c r="B490" s="227"/>
      <c r="C490" s="227"/>
      <c r="D490" s="243"/>
      <c r="E490" s="244"/>
      <c r="F490" s="245"/>
      <c r="G490" s="331"/>
      <c r="H490" s="332"/>
      <c r="I490" s="332"/>
      <c r="J490" s="332"/>
      <c r="K490" s="332"/>
      <c r="L490" s="332"/>
      <c r="M490" s="332"/>
      <c r="N490" s="332"/>
      <c r="O490" s="227"/>
      <c r="P490" s="227"/>
      <c r="Q490" s="227"/>
      <c r="R490" s="227"/>
      <c r="S490" s="227"/>
      <c r="T490" s="227"/>
      <c r="U490" s="227"/>
    </row>
    <row r="491" spans="1:21" ht="12.75" customHeight="1" x14ac:dyDescent="0.25">
      <c r="A491" s="229"/>
      <c r="B491" s="227"/>
      <c r="C491" s="227"/>
      <c r="D491" s="243"/>
      <c r="E491" s="244"/>
      <c r="F491" s="245"/>
      <c r="G491" s="331"/>
      <c r="H491" s="332"/>
      <c r="I491" s="332"/>
      <c r="J491" s="332"/>
      <c r="K491" s="332"/>
      <c r="L491" s="332"/>
      <c r="M491" s="332"/>
      <c r="N491" s="332"/>
      <c r="O491" s="227"/>
      <c r="P491" s="227"/>
      <c r="Q491" s="227"/>
      <c r="R491" s="227"/>
      <c r="S491" s="227"/>
      <c r="T491" s="227"/>
      <c r="U491" s="227"/>
    </row>
    <row r="492" spans="1:21" ht="12.75" customHeight="1" x14ac:dyDescent="0.25">
      <c r="A492" s="229"/>
      <c r="B492" s="227"/>
      <c r="C492" s="227"/>
      <c r="D492" s="243"/>
      <c r="E492" s="244"/>
      <c r="F492" s="245"/>
      <c r="G492" s="331"/>
      <c r="H492" s="332"/>
      <c r="I492" s="332"/>
      <c r="J492" s="332"/>
      <c r="K492" s="332"/>
      <c r="L492" s="332"/>
      <c r="M492" s="332"/>
      <c r="N492" s="332"/>
      <c r="O492" s="227"/>
      <c r="P492" s="227"/>
      <c r="Q492" s="227"/>
      <c r="R492" s="227"/>
      <c r="S492" s="227"/>
      <c r="T492" s="227"/>
      <c r="U492" s="227"/>
    </row>
    <row r="493" spans="1:21" ht="12.75" customHeight="1" x14ac:dyDescent="0.25">
      <c r="A493" s="229"/>
      <c r="B493" s="227"/>
      <c r="C493" s="227"/>
      <c r="D493" s="243"/>
      <c r="E493" s="244"/>
      <c r="F493" s="245"/>
      <c r="G493" s="331"/>
      <c r="H493" s="332"/>
      <c r="I493" s="332"/>
      <c r="J493" s="332"/>
      <c r="K493" s="332"/>
      <c r="L493" s="332"/>
      <c r="M493" s="332"/>
      <c r="N493" s="332"/>
      <c r="O493" s="227"/>
      <c r="P493" s="227"/>
      <c r="Q493" s="227"/>
      <c r="R493" s="227"/>
      <c r="S493" s="227"/>
      <c r="T493" s="227"/>
      <c r="U493" s="227"/>
    </row>
    <row r="494" spans="1:21" ht="12.75" customHeight="1" x14ac:dyDescent="0.25">
      <c r="A494" s="229"/>
      <c r="B494" s="227"/>
      <c r="C494" s="227"/>
      <c r="D494" s="243"/>
      <c r="E494" s="244"/>
      <c r="F494" s="245"/>
      <c r="G494" s="331"/>
      <c r="H494" s="332"/>
      <c r="I494" s="332"/>
      <c r="J494" s="332"/>
      <c r="K494" s="332"/>
      <c r="L494" s="332"/>
      <c r="M494" s="332"/>
      <c r="N494" s="332"/>
      <c r="O494" s="227"/>
      <c r="P494" s="227"/>
      <c r="Q494" s="227"/>
      <c r="R494" s="227"/>
      <c r="S494" s="227"/>
      <c r="T494" s="227"/>
      <c r="U494" s="227"/>
    </row>
    <row r="495" spans="1:21" ht="12.75" customHeight="1" x14ac:dyDescent="0.25">
      <c r="A495" s="229"/>
      <c r="B495" s="227"/>
      <c r="C495" s="227"/>
      <c r="D495" s="243"/>
      <c r="E495" s="244"/>
      <c r="F495" s="245"/>
      <c r="G495" s="331"/>
      <c r="H495" s="332"/>
      <c r="I495" s="332"/>
      <c r="J495" s="332"/>
      <c r="K495" s="332"/>
      <c r="L495" s="332"/>
      <c r="M495" s="332"/>
      <c r="N495" s="332"/>
      <c r="O495" s="227"/>
      <c r="P495" s="227"/>
      <c r="Q495" s="227"/>
      <c r="R495" s="227"/>
      <c r="S495" s="227"/>
      <c r="T495" s="227"/>
      <c r="U495" s="227"/>
    </row>
    <row r="496" spans="1:21" ht="12.75" customHeight="1" x14ac:dyDescent="0.25">
      <c r="A496" s="229"/>
      <c r="B496" s="227"/>
      <c r="C496" s="227"/>
      <c r="D496" s="243"/>
      <c r="E496" s="244"/>
      <c r="F496" s="245"/>
      <c r="G496" s="331"/>
      <c r="H496" s="332"/>
      <c r="I496" s="332"/>
      <c r="J496" s="332"/>
      <c r="K496" s="332"/>
      <c r="L496" s="332"/>
      <c r="M496" s="332"/>
      <c r="N496" s="332"/>
      <c r="O496" s="227"/>
      <c r="P496" s="227"/>
      <c r="Q496" s="227"/>
      <c r="R496" s="227"/>
      <c r="S496" s="227"/>
      <c r="T496" s="227"/>
      <c r="U496" s="227"/>
    </row>
    <row r="497" spans="1:21" ht="12.75" customHeight="1" x14ac:dyDescent="0.25">
      <c r="A497" s="229"/>
      <c r="B497" s="227"/>
      <c r="C497" s="227"/>
      <c r="D497" s="243"/>
      <c r="E497" s="244"/>
      <c r="F497" s="245"/>
      <c r="G497" s="331"/>
      <c r="H497" s="332"/>
      <c r="I497" s="332"/>
      <c r="J497" s="332"/>
      <c r="K497" s="332"/>
      <c r="L497" s="332"/>
      <c r="M497" s="332"/>
      <c r="N497" s="332"/>
      <c r="O497" s="227"/>
      <c r="P497" s="227"/>
      <c r="Q497" s="227"/>
      <c r="R497" s="227"/>
      <c r="S497" s="227"/>
      <c r="T497" s="227"/>
      <c r="U497" s="227"/>
    </row>
    <row r="498" spans="1:21" ht="12.75" customHeight="1" x14ac:dyDescent="0.25">
      <c r="A498" s="229"/>
      <c r="B498" s="227"/>
      <c r="C498" s="227"/>
      <c r="D498" s="243"/>
      <c r="E498" s="244"/>
      <c r="F498" s="245"/>
      <c r="G498" s="331"/>
      <c r="H498" s="332"/>
      <c r="I498" s="332"/>
      <c r="J498" s="332"/>
      <c r="K498" s="332"/>
      <c r="L498" s="332"/>
      <c r="M498" s="332"/>
      <c r="N498" s="332"/>
      <c r="O498" s="227"/>
      <c r="P498" s="227"/>
      <c r="Q498" s="227"/>
      <c r="R498" s="227"/>
      <c r="S498" s="227"/>
      <c r="T498" s="227"/>
      <c r="U498" s="227"/>
    </row>
    <row r="499" spans="1:21" ht="12.75" customHeight="1" x14ac:dyDescent="0.25">
      <c r="A499" s="229"/>
      <c r="B499" s="227"/>
      <c r="C499" s="227"/>
      <c r="D499" s="243"/>
      <c r="E499" s="244"/>
      <c r="F499" s="245"/>
      <c r="G499" s="331"/>
      <c r="H499" s="332"/>
      <c r="I499" s="332"/>
      <c r="J499" s="332"/>
      <c r="K499" s="332"/>
      <c r="L499" s="332"/>
      <c r="M499" s="332"/>
      <c r="N499" s="332"/>
      <c r="O499" s="227"/>
      <c r="P499" s="227"/>
      <c r="Q499" s="227"/>
      <c r="R499" s="227"/>
      <c r="S499" s="227"/>
      <c r="T499" s="227"/>
      <c r="U499" s="227"/>
    </row>
    <row r="500" spans="1:21" ht="12.75" customHeight="1" x14ac:dyDescent="0.25">
      <c r="A500" s="229"/>
      <c r="B500" s="227"/>
      <c r="C500" s="227"/>
      <c r="D500" s="243"/>
      <c r="E500" s="244"/>
      <c r="F500" s="245"/>
      <c r="G500" s="331"/>
      <c r="H500" s="332"/>
      <c r="I500" s="332"/>
      <c r="J500" s="332"/>
      <c r="K500" s="332"/>
      <c r="L500" s="332"/>
      <c r="M500" s="332"/>
      <c r="N500" s="332"/>
      <c r="O500" s="227"/>
      <c r="P500" s="227"/>
      <c r="Q500" s="227"/>
      <c r="R500" s="227"/>
      <c r="S500" s="227"/>
      <c r="T500" s="227"/>
      <c r="U500" s="227"/>
    </row>
    <row r="501" spans="1:21" ht="12.75" customHeight="1" x14ac:dyDescent="0.25">
      <c r="A501" s="229"/>
      <c r="B501" s="227"/>
      <c r="C501" s="227"/>
      <c r="D501" s="243"/>
      <c r="E501" s="244"/>
      <c r="F501" s="245"/>
      <c r="G501" s="331"/>
      <c r="H501" s="332"/>
      <c r="I501" s="332"/>
      <c r="J501" s="332"/>
      <c r="K501" s="332"/>
      <c r="L501" s="332"/>
      <c r="M501" s="332"/>
      <c r="N501" s="332"/>
      <c r="O501" s="227"/>
      <c r="P501" s="227"/>
      <c r="Q501" s="227"/>
      <c r="R501" s="227"/>
      <c r="S501" s="227"/>
      <c r="T501" s="227"/>
      <c r="U501" s="227"/>
    </row>
    <row r="502" spans="1:21" ht="12.75" customHeight="1" x14ac:dyDescent="0.25">
      <c r="A502" s="229"/>
      <c r="B502" s="227"/>
      <c r="C502" s="227"/>
      <c r="D502" s="243"/>
      <c r="E502" s="244"/>
      <c r="F502" s="245"/>
      <c r="G502" s="331"/>
      <c r="H502" s="332"/>
      <c r="I502" s="332"/>
      <c r="J502" s="332"/>
      <c r="K502" s="332"/>
      <c r="L502" s="332"/>
      <c r="M502" s="332"/>
      <c r="N502" s="332"/>
      <c r="O502" s="227"/>
      <c r="P502" s="227"/>
      <c r="Q502" s="227"/>
      <c r="R502" s="227"/>
      <c r="S502" s="227"/>
      <c r="T502" s="227"/>
      <c r="U502" s="227"/>
    </row>
    <row r="503" spans="1:21" ht="12.75" customHeight="1" x14ac:dyDescent="0.25">
      <c r="A503" s="229"/>
      <c r="B503" s="227"/>
      <c r="C503" s="227"/>
      <c r="D503" s="243"/>
      <c r="E503" s="244"/>
      <c r="F503" s="245"/>
      <c r="G503" s="331"/>
      <c r="H503" s="332"/>
      <c r="I503" s="332"/>
      <c r="J503" s="332"/>
      <c r="K503" s="332"/>
      <c r="L503" s="332"/>
      <c r="M503" s="332"/>
      <c r="N503" s="332"/>
      <c r="O503" s="227"/>
      <c r="P503" s="227"/>
      <c r="Q503" s="227"/>
      <c r="R503" s="227"/>
      <c r="S503" s="227"/>
      <c r="T503" s="227"/>
      <c r="U503" s="227"/>
    </row>
    <row r="504" spans="1:21" ht="12.75" customHeight="1" x14ac:dyDescent="0.25">
      <c r="A504" s="229"/>
      <c r="B504" s="227"/>
      <c r="C504" s="227"/>
      <c r="D504" s="243"/>
      <c r="E504" s="244"/>
      <c r="F504" s="245"/>
      <c r="G504" s="331"/>
      <c r="H504" s="332"/>
      <c r="I504" s="332"/>
      <c r="J504" s="332"/>
      <c r="K504" s="332"/>
      <c r="L504" s="332"/>
      <c r="M504" s="332"/>
      <c r="N504" s="332"/>
      <c r="O504" s="227"/>
      <c r="P504" s="227"/>
      <c r="Q504" s="227"/>
      <c r="R504" s="227"/>
      <c r="S504" s="227"/>
      <c r="T504" s="227"/>
      <c r="U504" s="227"/>
    </row>
    <row r="505" spans="1:21" ht="12.75" customHeight="1" x14ac:dyDescent="0.25">
      <c r="A505" s="229"/>
      <c r="B505" s="227"/>
      <c r="C505" s="227"/>
      <c r="D505" s="243"/>
      <c r="E505" s="244"/>
      <c r="F505" s="245"/>
      <c r="G505" s="331"/>
      <c r="H505" s="332"/>
      <c r="I505" s="332"/>
      <c r="J505" s="332"/>
      <c r="K505" s="332"/>
      <c r="L505" s="332"/>
      <c r="M505" s="332"/>
      <c r="N505" s="332"/>
      <c r="O505" s="227"/>
      <c r="P505" s="227"/>
      <c r="Q505" s="227"/>
      <c r="R505" s="227"/>
      <c r="S505" s="227"/>
      <c r="T505" s="227"/>
      <c r="U505" s="227"/>
    </row>
    <row r="506" spans="1:21" ht="12.75" customHeight="1" x14ac:dyDescent="0.25">
      <c r="A506" s="229"/>
      <c r="B506" s="227"/>
      <c r="C506" s="227"/>
      <c r="D506" s="243"/>
      <c r="E506" s="244"/>
      <c r="F506" s="245"/>
      <c r="G506" s="331"/>
      <c r="H506" s="332"/>
      <c r="I506" s="332"/>
      <c r="J506" s="332"/>
      <c r="K506" s="332"/>
      <c r="L506" s="332"/>
      <c r="M506" s="332"/>
      <c r="N506" s="332"/>
      <c r="O506" s="227"/>
      <c r="P506" s="227"/>
      <c r="Q506" s="227"/>
      <c r="R506" s="227"/>
      <c r="S506" s="227"/>
      <c r="T506" s="227"/>
      <c r="U506" s="227"/>
    </row>
    <row r="507" spans="1:21" ht="12.75" customHeight="1" x14ac:dyDescent="0.25">
      <c r="A507" s="229"/>
      <c r="B507" s="227"/>
      <c r="C507" s="227"/>
      <c r="D507" s="243"/>
      <c r="E507" s="244"/>
      <c r="F507" s="245"/>
      <c r="G507" s="331"/>
      <c r="H507" s="332"/>
      <c r="I507" s="332"/>
      <c r="J507" s="332"/>
      <c r="K507" s="332"/>
      <c r="L507" s="332"/>
      <c r="M507" s="332"/>
      <c r="N507" s="332"/>
      <c r="O507" s="227"/>
      <c r="P507" s="227"/>
      <c r="Q507" s="227"/>
      <c r="R507" s="227"/>
      <c r="S507" s="227"/>
      <c r="T507" s="227"/>
      <c r="U507" s="227"/>
    </row>
    <row r="508" spans="1:21" ht="12.75" customHeight="1" x14ac:dyDescent="0.25">
      <c r="A508" s="229"/>
      <c r="B508" s="227"/>
      <c r="C508" s="227"/>
      <c r="D508" s="243"/>
      <c r="E508" s="244"/>
      <c r="F508" s="245"/>
      <c r="G508" s="331"/>
      <c r="H508" s="332"/>
      <c r="I508" s="332"/>
      <c r="J508" s="332"/>
      <c r="K508" s="332"/>
      <c r="L508" s="332"/>
      <c r="M508" s="332"/>
      <c r="N508" s="332"/>
      <c r="O508" s="227"/>
      <c r="P508" s="227"/>
      <c r="Q508" s="227"/>
      <c r="R508" s="227"/>
      <c r="S508" s="227"/>
      <c r="T508" s="227"/>
      <c r="U508" s="227"/>
    </row>
    <row r="509" spans="1:21" ht="12.75" customHeight="1" x14ac:dyDescent="0.25">
      <c r="A509" s="229"/>
      <c r="B509" s="227"/>
      <c r="C509" s="227"/>
      <c r="D509" s="243"/>
      <c r="E509" s="244"/>
      <c r="F509" s="245"/>
      <c r="G509" s="331"/>
      <c r="H509" s="332"/>
      <c r="I509" s="332"/>
      <c r="J509" s="332"/>
      <c r="K509" s="332"/>
      <c r="L509" s="332"/>
      <c r="M509" s="332"/>
      <c r="N509" s="332"/>
      <c r="O509" s="227"/>
      <c r="P509" s="227"/>
      <c r="Q509" s="227"/>
      <c r="R509" s="227"/>
      <c r="S509" s="227"/>
      <c r="T509" s="227"/>
      <c r="U509" s="227"/>
    </row>
    <row r="510" spans="1:21" ht="12.75" customHeight="1" x14ac:dyDescent="0.25">
      <c r="A510" s="229"/>
      <c r="B510" s="227"/>
      <c r="C510" s="227"/>
      <c r="D510" s="243"/>
      <c r="E510" s="244"/>
      <c r="F510" s="245"/>
      <c r="G510" s="331"/>
      <c r="H510" s="332"/>
      <c r="I510" s="332"/>
      <c r="J510" s="332"/>
      <c r="K510" s="332"/>
      <c r="L510" s="332"/>
      <c r="M510" s="332"/>
      <c r="N510" s="332"/>
      <c r="O510" s="227"/>
      <c r="P510" s="227"/>
      <c r="Q510" s="227"/>
      <c r="R510" s="227"/>
      <c r="S510" s="227"/>
      <c r="T510" s="227"/>
      <c r="U510" s="227"/>
    </row>
    <row r="511" spans="1:21" ht="12.75" customHeight="1" x14ac:dyDescent="0.25">
      <c r="A511" s="229"/>
      <c r="B511" s="227"/>
      <c r="C511" s="227"/>
      <c r="D511" s="243"/>
      <c r="E511" s="244"/>
      <c r="F511" s="245"/>
      <c r="G511" s="331"/>
      <c r="H511" s="332"/>
      <c r="I511" s="332"/>
      <c r="J511" s="332"/>
      <c r="K511" s="332"/>
      <c r="L511" s="332"/>
      <c r="M511" s="332"/>
      <c r="N511" s="332"/>
      <c r="O511" s="227"/>
      <c r="P511" s="227"/>
      <c r="Q511" s="227"/>
      <c r="R511" s="227"/>
      <c r="S511" s="227"/>
      <c r="T511" s="227"/>
      <c r="U511" s="227"/>
    </row>
    <row r="512" spans="1:21" ht="12.75" customHeight="1" x14ac:dyDescent="0.25">
      <c r="A512" s="229"/>
      <c r="B512" s="227"/>
      <c r="C512" s="227"/>
      <c r="D512" s="243"/>
      <c r="E512" s="244"/>
      <c r="F512" s="245"/>
      <c r="G512" s="331"/>
      <c r="H512" s="332"/>
      <c r="I512" s="332"/>
      <c r="J512" s="332"/>
      <c r="K512" s="332"/>
      <c r="L512" s="332"/>
      <c r="M512" s="332"/>
      <c r="N512" s="332"/>
      <c r="O512" s="227"/>
      <c r="P512" s="227"/>
      <c r="Q512" s="227"/>
      <c r="R512" s="227"/>
      <c r="S512" s="227"/>
      <c r="T512" s="227"/>
      <c r="U512" s="227"/>
    </row>
    <row r="513" spans="1:21" ht="12.75" customHeight="1" x14ac:dyDescent="0.25">
      <c r="A513" s="229"/>
      <c r="B513" s="227"/>
      <c r="C513" s="227"/>
      <c r="D513" s="243"/>
      <c r="E513" s="244"/>
      <c r="F513" s="245"/>
      <c r="G513" s="331"/>
      <c r="H513" s="332"/>
      <c r="I513" s="332"/>
      <c r="J513" s="332"/>
      <c r="K513" s="332"/>
      <c r="L513" s="332"/>
      <c r="M513" s="332"/>
      <c r="N513" s="332"/>
      <c r="O513" s="227"/>
      <c r="P513" s="227"/>
      <c r="Q513" s="227"/>
      <c r="R513" s="227"/>
      <c r="S513" s="227"/>
      <c r="T513" s="227"/>
      <c r="U513" s="227"/>
    </row>
    <row r="514" spans="1:21" ht="12.75" customHeight="1" x14ac:dyDescent="0.25">
      <c r="A514" s="229"/>
      <c r="B514" s="227"/>
      <c r="C514" s="227"/>
      <c r="D514" s="243"/>
      <c r="E514" s="244"/>
      <c r="F514" s="245"/>
      <c r="G514" s="331"/>
      <c r="H514" s="332"/>
      <c r="I514" s="332"/>
      <c r="J514" s="332"/>
      <c r="K514" s="332"/>
      <c r="L514" s="332"/>
      <c r="M514" s="332"/>
      <c r="N514" s="332"/>
      <c r="O514" s="227"/>
      <c r="P514" s="227"/>
      <c r="Q514" s="227"/>
      <c r="R514" s="227"/>
      <c r="S514" s="227"/>
      <c r="T514" s="227"/>
      <c r="U514" s="227"/>
    </row>
    <row r="515" spans="1:21" ht="12.75" customHeight="1" x14ac:dyDescent="0.25">
      <c r="A515" s="229"/>
      <c r="B515" s="227"/>
      <c r="C515" s="227"/>
      <c r="D515" s="243"/>
      <c r="E515" s="244"/>
      <c r="F515" s="245"/>
      <c r="G515" s="331"/>
      <c r="H515" s="332"/>
      <c r="I515" s="332"/>
      <c r="J515" s="332"/>
      <c r="K515" s="332"/>
      <c r="L515" s="332"/>
      <c r="M515" s="332"/>
      <c r="N515" s="332"/>
      <c r="O515" s="227"/>
      <c r="P515" s="227"/>
      <c r="Q515" s="227"/>
      <c r="R515" s="227"/>
      <c r="S515" s="227"/>
      <c r="T515" s="227"/>
      <c r="U515" s="227"/>
    </row>
    <row r="516" spans="1:21" ht="12.75" customHeight="1" x14ac:dyDescent="0.25">
      <c r="A516" s="229"/>
      <c r="B516" s="227"/>
      <c r="C516" s="227"/>
      <c r="D516" s="243"/>
      <c r="E516" s="244"/>
      <c r="F516" s="245"/>
      <c r="G516" s="331"/>
      <c r="H516" s="332"/>
      <c r="I516" s="332"/>
      <c r="J516" s="332"/>
      <c r="K516" s="332"/>
      <c r="L516" s="332"/>
      <c r="M516" s="332"/>
      <c r="N516" s="332"/>
      <c r="O516" s="227"/>
      <c r="P516" s="227"/>
      <c r="Q516" s="227"/>
      <c r="R516" s="227"/>
      <c r="S516" s="227"/>
      <c r="T516" s="227"/>
      <c r="U516" s="227"/>
    </row>
    <row r="517" spans="1:21" ht="12.75" customHeight="1" x14ac:dyDescent="0.25">
      <c r="A517" s="229"/>
      <c r="B517" s="227"/>
      <c r="C517" s="227"/>
      <c r="D517" s="243"/>
      <c r="E517" s="244"/>
      <c r="F517" s="245"/>
      <c r="G517" s="331"/>
      <c r="H517" s="332"/>
      <c r="I517" s="332"/>
      <c r="J517" s="332"/>
      <c r="K517" s="332"/>
      <c r="L517" s="332"/>
      <c r="M517" s="332"/>
      <c r="N517" s="332"/>
      <c r="O517" s="227"/>
      <c r="P517" s="227"/>
      <c r="Q517" s="227"/>
      <c r="R517" s="227"/>
      <c r="S517" s="227"/>
      <c r="T517" s="227"/>
      <c r="U517" s="227"/>
    </row>
    <row r="518" spans="1:21" ht="12.75" customHeight="1" x14ac:dyDescent="0.25">
      <c r="A518" s="229"/>
      <c r="B518" s="227"/>
      <c r="C518" s="227"/>
      <c r="D518" s="243"/>
      <c r="E518" s="244"/>
      <c r="F518" s="245"/>
      <c r="G518" s="331"/>
      <c r="H518" s="332"/>
      <c r="I518" s="332"/>
      <c r="J518" s="332"/>
      <c r="K518" s="332"/>
      <c r="L518" s="332"/>
      <c r="M518" s="332"/>
      <c r="N518" s="332"/>
      <c r="O518" s="227"/>
      <c r="P518" s="227"/>
      <c r="Q518" s="227"/>
      <c r="R518" s="227"/>
      <c r="S518" s="227"/>
      <c r="T518" s="227"/>
      <c r="U518" s="227"/>
    </row>
    <row r="519" spans="1:21" ht="12.75" customHeight="1" x14ac:dyDescent="0.25">
      <c r="A519" s="229"/>
      <c r="B519" s="227"/>
      <c r="C519" s="227"/>
      <c r="D519" s="243"/>
      <c r="E519" s="244"/>
      <c r="F519" s="245"/>
      <c r="G519" s="331"/>
      <c r="H519" s="332"/>
      <c r="I519" s="332"/>
      <c r="J519" s="332"/>
      <c r="K519" s="332"/>
      <c r="L519" s="332"/>
      <c r="M519" s="332"/>
      <c r="N519" s="332"/>
      <c r="O519" s="227"/>
      <c r="P519" s="227"/>
      <c r="Q519" s="227"/>
      <c r="R519" s="227"/>
      <c r="S519" s="227"/>
      <c r="T519" s="227"/>
      <c r="U519" s="227"/>
    </row>
    <row r="520" spans="1:21" ht="12.75" customHeight="1" x14ac:dyDescent="0.25">
      <c r="A520" s="229"/>
      <c r="B520" s="227"/>
      <c r="C520" s="227"/>
      <c r="D520" s="243"/>
      <c r="E520" s="244"/>
      <c r="F520" s="245"/>
      <c r="G520" s="331"/>
      <c r="H520" s="332"/>
      <c r="I520" s="332"/>
      <c r="J520" s="332"/>
      <c r="K520" s="332"/>
      <c r="L520" s="332"/>
      <c r="M520" s="332"/>
      <c r="N520" s="332"/>
      <c r="O520" s="227"/>
      <c r="P520" s="227"/>
      <c r="Q520" s="227"/>
      <c r="R520" s="227"/>
      <c r="S520" s="227"/>
      <c r="T520" s="227"/>
      <c r="U520" s="227"/>
    </row>
    <row r="521" spans="1:21" ht="12.75" customHeight="1" x14ac:dyDescent="0.25">
      <c r="A521" s="229"/>
      <c r="B521" s="227"/>
      <c r="C521" s="227"/>
      <c r="D521" s="243"/>
      <c r="E521" s="244"/>
      <c r="F521" s="245"/>
      <c r="G521" s="331"/>
      <c r="H521" s="332"/>
      <c r="I521" s="332"/>
      <c r="J521" s="332"/>
      <c r="K521" s="332"/>
      <c r="L521" s="332"/>
      <c r="M521" s="332"/>
      <c r="N521" s="332"/>
      <c r="O521" s="227"/>
      <c r="P521" s="227"/>
      <c r="Q521" s="227"/>
      <c r="R521" s="227"/>
      <c r="S521" s="227"/>
      <c r="T521" s="227"/>
      <c r="U521" s="227"/>
    </row>
    <row r="522" spans="1:21" ht="12.75" customHeight="1" x14ac:dyDescent="0.25">
      <c r="A522" s="229"/>
      <c r="B522" s="227"/>
      <c r="C522" s="227"/>
      <c r="D522" s="243"/>
      <c r="E522" s="244"/>
      <c r="F522" s="245"/>
      <c r="G522" s="331"/>
      <c r="H522" s="332"/>
      <c r="I522" s="332"/>
      <c r="J522" s="332"/>
      <c r="K522" s="332"/>
      <c r="L522" s="332"/>
      <c r="M522" s="332"/>
      <c r="N522" s="332"/>
      <c r="O522" s="227"/>
      <c r="P522" s="227"/>
      <c r="Q522" s="227"/>
      <c r="R522" s="227"/>
      <c r="S522" s="227"/>
      <c r="T522" s="227"/>
      <c r="U522" s="227"/>
    </row>
    <row r="523" spans="1:21" ht="12.75" customHeight="1" x14ac:dyDescent="0.25">
      <c r="A523" s="229"/>
      <c r="B523" s="227"/>
      <c r="C523" s="227"/>
      <c r="D523" s="243"/>
      <c r="E523" s="244"/>
      <c r="F523" s="245"/>
      <c r="G523" s="331"/>
      <c r="H523" s="332"/>
      <c r="I523" s="332"/>
      <c r="J523" s="332"/>
      <c r="K523" s="332"/>
      <c r="L523" s="332"/>
      <c r="M523" s="332"/>
      <c r="N523" s="332"/>
      <c r="O523" s="227"/>
      <c r="P523" s="227"/>
      <c r="Q523" s="227"/>
      <c r="R523" s="227"/>
      <c r="S523" s="227"/>
      <c r="T523" s="227"/>
      <c r="U523" s="227"/>
    </row>
    <row r="524" spans="1:21" ht="12.75" customHeight="1" x14ac:dyDescent="0.25">
      <c r="A524" s="229"/>
      <c r="B524" s="227"/>
      <c r="C524" s="227"/>
      <c r="D524" s="243"/>
      <c r="E524" s="244"/>
      <c r="F524" s="245"/>
      <c r="G524" s="331"/>
      <c r="H524" s="332"/>
      <c r="I524" s="332"/>
      <c r="J524" s="332"/>
      <c r="K524" s="332"/>
      <c r="L524" s="332"/>
      <c r="M524" s="332"/>
      <c r="N524" s="332"/>
      <c r="O524" s="227"/>
      <c r="P524" s="227"/>
      <c r="Q524" s="227"/>
      <c r="R524" s="227"/>
      <c r="S524" s="227"/>
      <c r="T524" s="227"/>
      <c r="U524" s="227"/>
    </row>
    <row r="525" spans="1:21" ht="12.75" customHeight="1" x14ac:dyDescent="0.25">
      <c r="A525" s="229"/>
      <c r="B525" s="227"/>
      <c r="C525" s="227"/>
      <c r="D525" s="243"/>
      <c r="E525" s="244"/>
      <c r="F525" s="245"/>
      <c r="G525" s="331"/>
      <c r="H525" s="332"/>
      <c r="I525" s="332"/>
      <c r="J525" s="332"/>
      <c r="K525" s="332"/>
      <c r="L525" s="332"/>
      <c r="M525" s="332"/>
      <c r="N525" s="332"/>
      <c r="O525" s="227"/>
      <c r="P525" s="227"/>
      <c r="Q525" s="227"/>
      <c r="R525" s="227"/>
      <c r="S525" s="227"/>
      <c r="T525" s="227"/>
      <c r="U525" s="227"/>
    </row>
    <row r="526" spans="1:21" ht="12.75" customHeight="1" x14ac:dyDescent="0.25">
      <c r="A526" s="229"/>
      <c r="B526" s="227"/>
      <c r="C526" s="227"/>
      <c r="D526" s="243"/>
      <c r="E526" s="244"/>
      <c r="F526" s="245"/>
      <c r="G526" s="331"/>
      <c r="H526" s="332"/>
      <c r="I526" s="332"/>
      <c r="J526" s="332"/>
      <c r="K526" s="332"/>
      <c r="L526" s="332"/>
      <c r="M526" s="332"/>
      <c r="N526" s="332"/>
      <c r="O526" s="227"/>
      <c r="P526" s="227"/>
      <c r="Q526" s="227"/>
      <c r="R526" s="227"/>
      <c r="S526" s="227"/>
      <c r="T526" s="227"/>
      <c r="U526" s="227"/>
    </row>
    <row r="527" spans="1:21" ht="12.75" customHeight="1" x14ac:dyDescent="0.25">
      <c r="A527" s="229"/>
      <c r="B527" s="227"/>
      <c r="C527" s="227"/>
      <c r="D527" s="243"/>
      <c r="E527" s="244"/>
      <c r="F527" s="245"/>
      <c r="G527" s="331"/>
      <c r="H527" s="332"/>
      <c r="I527" s="332"/>
      <c r="J527" s="332"/>
      <c r="K527" s="332"/>
      <c r="L527" s="332"/>
      <c r="M527" s="332"/>
      <c r="N527" s="332"/>
      <c r="O527" s="227"/>
      <c r="P527" s="227"/>
      <c r="Q527" s="227"/>
      <c r="R527" s="227"/>
      <c r="S527" s="227"/>
      <c r="T527" s="227"/>
      <c r="U527" s="227"/>
    </row>
    <row r="528" spans="1:21" ht="12.75" customHeight="1" x14ac:dyDescent="0.25">
      <c r="A528" s="229"/>
      <c r="B528" s="227"/>
      <c r="C528" s="227"/>
      <c r="D528" s="243"/>
      <c r="E528" s="244"/>
      <c r="F528" s="245"/>
      <c r="G528" s="331"/>
      <c r="H528" s="332"/>
      <c r="I528" s="332"/>
      <c r="J528" s="332"/>
      <c r="K528" s="332"/>
      <c r="L528" s="332"/>
      <c r="M528" s="332"/>
      <c r="N528" s="332"/>
      <c r="O528" s="227"/>
      <c r="P528" s="227"/>
      <c r="Q528" s="227"/>
      <c r="R528" s="227"/>
      <c r="S528" s="227"/>
      <c r="T528" s="227"/>
      <c r="U528" s="227"/>
    </row>
    <row r="529" spans="1:21" ht="12.75" customHeight="1" x14ac:dyDescent="0.25">
      <c r="A529" s="229"/>
      <c r="B529" s="227"/>
      <c r="C529" s="227"/>
      <c r="D529" s="243"/>
      <c r="E529" s="244"/>
      <c r="F529" s="245"/>
      <c r="G529" s="331"/>
      <c r="H529" s="332"/>
      <c r="I529" s="332"/>
      <c r="J529" s="332"/>
      <c r="K529" s="332"/>
      <c r="L529" s="332"/>
      <c r="M529" s="332"/>
      <c r="N529" s="332"/>
      <c r="O529" s="227"/>
      <c r="P529" s="227"/>
      <c r="Q529" s="227"/>
      <c r="R529" s="227"/>
      <c r="S529" s="227"/>
      <c r="T529" s="227"/>
      <c r="U529" s="227"/>
    </row>
    <row r="530" spans="1:21" ht="12.75" customHeight="1" x14ac:dyDescent="0.25">
      <c r="A530" s="229"/>
      <c r="B530" s="227"/>
      <c r="C530" s="227"/>
      <c r="D530" s="243"/>
      <c r="E530" s="244"/>
      <c r="F530" s="245"/>
      <c r="G530" s="331"/>
      <c r="H530" s="332"/>
      <c r="I530" s="332"/>
      <c r="J530" s="332"/>
      <c r="K530" s="332"/>
      <c r="L530" s="332"/>
      <c r="M530" s="332"/>
      <c r="N530" s="332"/>
      <c r="O530" s="227"/>
      <c r="P530" s="227"/>
      <c r="Q530" s="227"/>
      <c r="R530" s="227"/>
      <c r="S530" s="227"/>
      <c r="T530" s="227"/>
      <c r="U530" s="227"/>
    </row>
    <row r="531" spans="1:21" ht="12.75" customHeight="1" x14ac:dyDescent="0.25">
      <c r="A531" s="229"/>
      <c r="B531" s="227"/>
      <c r="C531" s="227"/>
      <c r="D531" s="243"/>
      <c r="E531" s="244"/>
      <c r="F531" s="245"/>
      <c r="G531" s="331"/>
      <c r="H531" s="332"/>
      <c r="I531" s="332"/>
      <c r="J531" s="332"/>
      <c r="K531" s="332"/>
      <c r="L531" s="332"/>
      <c r="M531" s="332"/>
      <c r="N531" s="332"/>
      <c r="O531" s="227"/>
      <c r="P531" s="227"/>
      <c r="Q531" s="227"/>
      <c r="R531" s="227"/>
      <c r="S531" s="227"/>
      <c r="T531" s="227"/>
      <c r="U531" s="227"/>
    </row>
    <row r="532" spans="1:21" ht="12.75" customHeight="1" x14ac:dyDescent="0.25">
      <c r="A532" s="229"/>
      <c r="B532" s="227"/>
      <c r="C532" s="227"/>
      <c r="D532" s="243"/>
      <c r="E532" s="244"/>
      <c r="F532" s="245"/>
      <c r="G532" s="331"/>
      <c r="H532" s="332"/>
      <c r="I532" s="332"/>
      <c r="J532" s="332"/>
      <c r="K532" s="332"/>
      <c r="L532" s="332"/>
      <c r="M532" s="332"/>
      <c r="N532" s="332"/>
      <c r="O532" s="227"/>
      <c r="P532" s="227"/>
      <c r="Q532" s="227"/>
      <c r="R532" s="227"/>
      <c r="S532" s="227"/>
      <c r="T532" s="227"/>
      <c r="U532" s="227"/>
    </row>
    <row r="533" spans="1:21" ht="12.75" customHeight="1" x14ac:dyDescent="0.25">
      <c r="A533" s="229"/>
      <c r="B533" s="227"/>
      <c r="C533" s="227"/>
      <c r="D533" s="243"/>
      <c r="E533" s="244"/>
      <c r="F533" s="245"/>
      <c r="G533" s="331"/>
      <c r="H533" s="332"/>
      <c r="I533" s="332"/>
      <c r="J533" s="332"/>
      <c r="K533" s="332"/>
      <c r="L533" s="332"/>
      <c r="M533" s="332"/>
      <c r="N533" s="332"/>
      <c r="O533" s="227"/>
      <c r="P533" s="227"/>
      <c r="Q533" s="227"/>
      <c r="R533" s="227"/>
      <c r="S533" s="227"/>
      <c r="T533" s="227"/>
      <c r="U533" s="227"/>
    </row>
    <row r="534" spans="1:21" ht="12.75" customHeight="1" x14ac:dyDescent="0.25">
      <c r="A534" s="229"/>
      <c r="B534" s="227"/>
      <c r="C534" s="227"/>
      <c r="D534" s="243"/>
      <c r="E534" s="244"/>
      <c r="F534" s="245"/>
      <c r="G534" s="331"/>
      <c r="H534" s="332"/>
      <c r="I534" s="332"/>
      <c r="J534" s="332"/>
      <c r="K534" s="332"/>
      <c r="L534" s="332"/>
      <c r="M534" s="332"/>
      <c r="N534" s="332"/>
      <c r="O534" s="227"/>
      <c r="P534" s="227"/>
      <c r="Q534" s="227"/>
      <c r="R534" s="227"/>
      <c r="S534" s="227"/>
      <c r="T534" s="227"/>
      <c r="U534" s="227"/>
    </row>
    <row r="535" spans="1:21" ht="12.75" customHeight="1" x14ac:dyDescent="0.25">
      <c r="A535" s="229"/>
      <c r="B535" s="227"/>
      <c r="C535" s="227"/>
      <c r="D535" s="243"/>
      <c r="E535" s="244"/>
      <c r="F535" s="245"/>
      <c r="G535" s="331"/>
      <c r="H535" s="332"/>
      <c r="I535" s="332"/>
      <c r="J535" s="332"/>
      <c r="K535" s="332"/>
      <c r="L535" s="332"/>
      <c r="M535" s="332"/>
      <c r="N535" s="332"/>
      <c r="O535" s="227"/>
      <c r="P535" s="227"/>
      <c r="Q535" s="227"/>
      <c r="R535" s="227"/>
      <c r="S535" s="227"/>
      <c r="T535" s="227"/>
      <c r="U535" s="227"/>
    </row>
    <row r="536" spans="1:21" ht="12.75" customHeight="1" x14ac:dyDescent="0.25">
      <c r="A536" s="229"/>
      <c r="B536" s="227"/>
      <c r="C536" s="227"/>
      <c r="D536" s="243"/>
      <c r="E536" s="244"/>
      <c r="F536" s="245"/>
      <c r="G536" s="331"/>
      <c r="H536" s="332"/>
      <c r="I536" s="332"/>
      <c r="J536" s="332"/>
      <c r="K536" s="332"/>
      <c r="L536" s="332"/>
      <c r="M536" s="332"/>
      <c r="N536" s="332"/>
      <c r="O536" s="227"/>
      <c r="P536" s="227"/>
      <c r="Q536" s="227"/>
      <c r="R536" s="227"/>
      <c r="S536" s="227"/>
      <c r="T536" s="227"/>
      <c r="U536" s="227"/>
    </row>
    <row r="537" spans="1:21" ht="12.75" customHeight="1" x14ac:dyDescent="0.25">
      <c r="A537" s="229"/>
      <c r="B537" s="227"/>
      <c r="C537" s="227"/>
      <c r="D537" s="243"/>
      <c r="E537" s="244"/>
      <c r="F537" s="245"/>
      <c r="G537" s="331"/>
      <c r="H537" s="332"/>
      <c r="I537" s="332"/>
      <c r="J537" s="332"/>
      <c r="K537" s="332"/>
      <c r="L537" s="332"/>
      <c r="M537" s="332"/>
      <c r="N537" s="332"/>
      <c r="O537" s="227"/>
      <c r="P537" s="227"/>
      <c r="Q537" s="227"/>
      <c r="R537" s="227"/>
      <c r="S537" s="227"/>
      <c r="T537" s="227"/>
      <c r="U537" s="227"/>
    </row>
    <row r="538" spans="1:21" ht="12.75" customHeight="1" x14ac:dyDescent="0.25">
      <c r="A538" s="229"/>
      <c r="B538" s="227"/>
      <c r="C538" s="227"/>
      <c r="D538" s="243"/>
      <c r="E538" s="244"/>
      <c r="F538" s="245"/>
      <c r="G538" s="331"/>
      <c r="H538" s="332"/>
      <c r="I538" s="332"/>
      <c r="J538" s="332"/>
      <c r="K538" s="332"/>
      <c r="L538" s="332"/>
      <c r="M538" s="332"/>
      <c r="N538" s="332"/>
      <c r="O538" s="227"/>
      <c r="P538" s="227"/>
      <c r="Q538" s="227"/>
      <c r="R538" s="227"/>
      <c r="S538" s="227"/>
      <c r="T538" s="227"/>
      <c r="U538" s="227"/>
    </row>
    <row r="539" spans="1:21" ht="12.75" customHeight="1" x14ac:dyDescent="0.25">
      <c r="A539" s="229"/>
      <c r="B539" s="227"/>
      <c r="C539" s="227"/>
      <c r="D539" s="243"/>
      <c r="E539" s="244"/>
      <c r="F539" s="245"/>
      <c r="G539" s="331"/>
      <c r="H539" s="332"/>
      <c r="I539" s="332"/>
      <c r="J539" s="332"/>
      <c r="K539" s="332"/>
      <c r="L539" s="332"/>
      <c r="M539" s="332"/>
      <c r="N539" s="332"/>
      <c r="O539" s="227"/>
      <c r="P539" s="227"/>
      <c r="Q539" s="227"/>
      <c r="R539" s="227"/>
      <c r="S539" s="227"/>
      <c r="T539" s="227"/>
      <c r="U539" s="227"/>
    </row>
    <row r="540" spans="1:21" ht="12.75" customHeight="1" x14ac:dyDescent="0.25">
      <c r="A540" s="229"/>
      <c r="B540" s="227"/>
      <c r="C540" s="227"/>
      <c r="D540" s="243"/>
      <c r="E540" s="244"/>
      <c r="F540" s="245"/>
      <c r="G540" s="331"/>
      <c r="H540" s="332"/>
      <c r="I540" s="332"/>
      <c r="J540" s="332"/>
      <c r="K540" s="332"/>
      <c r="L540" s="332"/>
      <c r="M540" s="332"/>
      <c r="N540" s="332"/>
      <c r="O540" s="227"/>
      <c r="P540" s="227"/>
      <c r="Q540" s="227"/>
      <c r="R540" s="227"/>
      <c r="S540" s="227"/>
      <c r="T540" s="227"/>
      <c r="U540" s="227"/>
    </row>
    <row r="541" spans="1:21" ht="12.75" customHeight="1" x14ac:dyDescent="0.25">
      <c r="A541" s="229"/>
      <c r="B541" s="227"/>
      <c r="C541" s="227"/>
      <c r="D541" s="243"/>
      <c r="E541" s="244"/>
      <c r="F541" s="245"/>
      <c r="G541" s="331"/>
      <c r="H541" s="332"/>
      <c r="I541" s="332"/>
      <c r="J541" s="332"/>
      <c r="K541" s="332"/>
      <c r="L541" s="332"/>
      <c r="M541" s="332"/>
      <c r="N541" s="332"/>
      <c r="O541" s="227"/>
      <c r="P541" s="227"/>
      <c r="Q541" s="227"/>
      <c r="R541" s="227"/>
      <c r="S541" s="227"/>
      <c r="T541" s="227"/>
      <c r="U541" s="227"/>
    </row>
    <row r="542" spans="1:21" ht="12.75" customHeight="1" x14ac:dyDescent="0.25">
      <c r="A542" s="229"/>
      <c r="B542" s="227"/>
      <c r="C542" s="227"/>
      <c r="D542" s="243"/>
      <c r="E542" s="244"/>
      <c r="F542" s="245"/>
      <c r="G542" s="331"/>
      <c r="H542" s="332"/>
      <c r="I542" s="332"/>
      <c r="J542" s="332"/>
      <c r="K542" s="332"/>
      <c r="L542" s="332"/>
      <c r="M542" s="332"/>
      <c r="N542" s="332"/>
      <c r="O542" s="227"/>
      <c r="P542" s="227"/>
      <c r="Q542" s="227"/>
      <c r="R542" s="227"/>
      <c r="S542" s="227"/>
      <c r="T542" s="227"/>
      <c r="U542" s="227"/>
    </row>
    <row r="543" spans="1:21" ht="12.75" customHeight="1" x14ac:dyDescent="0.25">
      <c r="A543" s="229"/>
      <c r="B543" s="227"/>
      <c r="C543" s="227"/>
      <c r="D543" s="243"/>
      <c r="E543" s="244"/>
      <c r="F543" s="245"/>
      <c r="G543" s="331"/>
      <c r="H543" s="332"/>
      <c r="I543" s="332"/>
      <c r="J543" s="332"/>
      <c r="K543" s="332"/>
      <c r="L543" s="332"/>
      <c r="M543" s="332"/>
      <c r="N543" s="332"/>
      <c r="O543" s="227"/>
      <c r="P543" s="227"/>
      <c r="Q543" s="227"/>
      <c r="R543" s="227"/>
      <c r="S543" s="227"/>
      <c r="T543" s="227"/>
      <c r="U543" s="227"/>
    </row>
    <row r="544" spans="1:21" ht="12.75" customHeight="1" x14ac:dyDescent="0.25">
      <c r="A544" s="229"/>
      <c r="B544" s="227"/>
      <c r="C544" s="227"/>
      <c r="D544" s="243"/>
      <c r="E544" s="244"/>
      <c r="F544" s="245"/>
      <c r="G544" s="331"/>
      <c r="H544" s="332"/>
      <c r="I544" s="332"/>
      <c r="J544" s="332"/>
      <c r="K544" s="332"/>
      <c r="L544" s="332"/>
      <c r="M544" s="332"/>
      <c r="N544" s="332"/>
      <c r="O544" s="227"/>
      <c r="P544" s="227"/>
      <c r="Q544" s="227"/>
      <c r="R544" s="227"/>
      <c r="S544" s="227"/>
      <c r="T544" s="227"/>
      <c r="U544" s="227"/>
    </row>
    <row r="545" spans="1:21" ht="12.75" customHeight="1" x14ac:dyDescent="0.25">
      <c r="A545" s="229"/>
      <c r="B545" s="227"/>
      <c r="C545" s="227"/>
      <c r="D545" s="243"/>
      <c r="E545" s="244"/>
      <c r="F545" s="245"/>
      <c r="G545" s="331"/>
      <c r="H545" s="332"/>
      <c r="I545" s="332"/>
      <c r="J545" s="332"/>
      <c r="K545" s="332"/>
      <c r="L545" s="332"/>
      <c r="M545" s="332"/>
      <c r="N545" s="332"/>
      <c r="O545" s="227"/>
      <c r="P545" s="227"/>
      <c r="Q545" s="227"/>
      <c r="R545" s="227"/>
      <c r="S545" s="227"/>
      <c r="T545" s="227"/>
      <c r="U545" s="227"/>
    </row>
    <row r="546" spans="1:21" ht="12.75" customHeight="1" x14ac:dyDescent="0.25">
      <c r="A546" s="229"/>
      <c r="B546" s="227"/>
      <c r="C546" s="227"/>
      <c r="D546" s="243"/>
      <c r="E546" s="244"/>
      <c r="F546" s="245"/>
      <c r="G546" s="331"/>
      <c r="H546" s="332"/>
      <c r="I546" s="332"/>
      <c r="J546" s="332"/>
      <c r="K546" s="332"/>
      <c r="L546" s="332"/>
      <c r="M546" s="332"/>
      <c r="N546" s="332"/>
      <c r="O546" s="227"/>
      <c r="P546" s="227"/>
      <c r="Q546" s="227"/>
      <c r="R546" s="227"/>
      <c r="S546" s="227"/>
      <c r="T546" s="227"/>
      <c r="U546" s="227"/>
    </row>
    <row r="547" spans="1:21" ht="12.75" customHeight="1" x14ac:dyDescent="0.25">
      <c r="A547" s="229"/>
      <c r="B547" s="227"/>
      <c r="C547" s="227"/>
      <c r="D547" s="243"/>
      <c r="E547" s="244"/>
      <c r="F547" s="245"/>
      <c r="G547" s="331"/>
      <c r="H547" s="332"/>
      <c r="I547" s="332"/>
      <c r="J547" s="332"/>
      <c r="K547" s="332"/>
      <c r="L547" s="332"/>
      <c r="M547" s="332"/>
      <c r="N547" s="332"/>
      <c r="O547" s="227"/>
      <c r="P547" s="227"/>
      <c r="Q547" s="227"/>
      <c r="R547" s="227"/>
      <c r="S547" s="227"/>
      <c r="T547" s="227"/>
      <c r="U547" s="227"/>
    </row>
    <row r="548" spans="1:21" ht="12.75" customHeight="1" x14ac:dyDescent="0.25">
      <c r="A548" s="229"/>
      <c r="B548" s="227"/>
      <c r="C548" s="227"/>
      <c r="D548" s="243"/>
      <c r="E548" s="244"/>
      <c r="F548" s="245"/>
      <c r="G548" s="331"/>
      <c r="H548" s="332"/>
      <c r="I548" s="332"/>
      <c r="J548" s="332"/>
      <c r="K548" s="332"/>
      <c r="L548" s="332"/>
      <c r="M548" s="332"/>
      <c r="N548" s="332"/>
      <c r="O548" s="227"/>
      <c r="P548" s="227"/>
      <c r="Q548" s="227"/>
      <c r="R548" s="227"/>
      <c r="S548" s="227"/>
      <c r="T548" s="227"/>
      <c r="U548" s="227"/>
    </row>
    <row r="549" spans="1:21" ht="12.75" customHeight="1" x14ac:dyDescent="0.25">
      <c r="A549" s="229"/>
      <c r="B549" s="227"/>
      <c r="C549" s="227"/>
      <c r="D549" s="243"/>
      <c r="E549" s="244"/>
      <c r="F549" s="245"/>
      <c r="G549" s="331"/>
      <c r="H549" s="332"/>
      <c r="I549" s="332"/>
      <c r="J549" s="332"/>
      <c r="K549" s="332"/>
      <c r="L549" s="332"/>
      <c r="M549" s="332"/>
      <c r="N549" s="332"/>
      <c r="O549" s="227"/>
      <c r="P549" s="227"/>
      <c r="Q549" s="227"/>
      <c r="R549" s="227"/>
      <c r="S549" s="227"/>
      <c r="T549" s="227"/>
      <c r="U549" s="227"/>
    </row>
    <row r="550" spans="1:21" ht="12.75" customHeight="1" x14ac:dyDescent="0.25">
      <c r="A550" s="229"/>
      <c r="B550" s="227"/>
      <c r="C550" s="227"/>
      <c r="D550" s="243"/>
      <c r="E550" s="244"/>
      <c r="F550" s="245"/>
      <c r="G550" s="331"/>
      <c r="H550" s="332"/>
      <c r="I550" s="332"/>
      <c r="J550" s="332"/>
      <c r="K550" s="332"/>
      <c r="L550" s="332"/>
      <c r="M550" s="332"/>
      <c r="N550" s="332"/>
      <c r="O550" s="227"/>
      <c r="P550" s="227"/>
      <c r="Q550" s="227"/>
      <c r="R550" s="227"/>
      <c r="S550" s="227"/>
      <c r="T550" s="227"/>
      <c r="U550" s="227"/>
    </row>
    <row r="551" spans="1:21" ht="12.75" customHeight="1" x14ac:dyDescent="0.25">
      <c r="A551" s="229"/>
      <c r="B551" s="227"/>
      <c r="C551" s="227"/>
      <c r="D551" s="243"/>
      <c r="E551" s="244"/>
      <c r="F551" s="245"/>
      <c r="G551" s="331"/>
      <c r="H551" s="332"/>
      <c r="I551" s="332"/>
      <c r="J551" s="332"/>
      <c r="K551" s="332"/>
      <c r="L551" s="332"/>
      <c r="M551" s="332"/>
      <c r="N551" s="332"/>
      <c r="O551" s="227"/>
      <c r="P551" s="227"/>
      <c r="Q551" s="227"/>
      <c r="R551" s="227"/>
      <c r="S551" s="227"/>
      <c r="T551" s="227"/>
      <c r="U551" s="227"/>
    </row>
    <row r="552" spans="1:21" ht="12.75" customHeight="1" x14ac:dyDescent="0.25">
      <c r="A552" s="229"/>
      <c r="B552" s="227"/>
      <c r="C552" s="227"/>
      <c r="D552" s="243"/>
      <c r="E552" s="244"/>
      <c r="F552" s="245"/>
      <c r="G552" s="331"/>
      <c r="H552" s="332"/>
      <c r="I552" s="332"/>
      <c r="J552" s="332"/>
      <c r="K552" s="332"/>
      <c r="L552" s="332"/>
      <c r="M552" s="332"/>
      <c r="N552" s="332"/>
      <c r="O552" s="227"/>
      <c r="P552" s="227"/>
      <c r="Q552" s="227"/>
      <c r="R552" s="227"/>
      <c r="S552" s="227"/>
      <c r="T552" s="227"/>
      <c r="U552" s="227"/>
    </row>
    <row r="553" spans="1:21" ht="12.75" customHeight="1" x14ac:dyDescent="0.25">
      <c r="A553" s="229"/>
      <c r="B553" s="227"/>
      <c r="C553" s="227"/>
      <c r="D553" s="243"/>
      <c r="E553" s="244"/>
      <c r="F553" s="245"/>
      <c r="G553" s="331"/>
      <c r="H553" s="332"/>
      <c r="I553" s="332"/>
      <c r="J553" s="332"/>
      <c r="K553" s="332"/>
      <c r="L553" s="332"/>
      <c r="M553" s="332"/>
      <c r="N553" s="332"/>
      <c r="O553" s="227"/>
      <c r="P553" s="227"/>
      <c r="Q553" s="227"/>
      <c r="R553" s="227"/>
      <c r="S553" s="227"/>
      <c r="T553" s="227"/>
      <c r="U553" s="227"/>
    </row>
    <row r="554" spans="1:21" ht="12.75" customHeight="1" x14ac:dyDescent="0.25">
      <c r="A554" s="229"/>
      <c r="B554" s="227"/>
      <c r="C554" s="227"/>
      <c r="D554" s="243"/>
      <c r="E554" s="244"/>
      <c r="F554" s="245"/>
      <c r="G554" s="331"/>
      <c r="H554" s="332"/>
      <c r="I554" s="332"/>
      <c r="J554" s="332"/>
      <c r="K554" s="332"/>
      <c r="L554" s="332"/>
      <c r="M554" s="332"/>
      <c r="N554" s="332"/>
      <c r="O554" s="227"/>
      <c r="P554" s="227"/>
      <c r="Q554" s="227"/>
      <c r="R554" s="227"/>
      <c r="S554" s="227"/>
      <c r="T554" s="227"/>
      <c r="U554" s="227"/>
    </row>
    <row r="555" spans="1:21" ht="12.75" customHeight="1" x14ac:dyDescent="0.25">
      <c r="A555" s="229"/>
      <c r="B555" s="227"/>
      <c r="C555" s="227"/>
      <c r="D555" s="243"/>
      <c r="E555" s="244"/>
      <c r="F555" s="245"/>
      <c r="G555" s="331"/>
      <c r="H555" s="332"/>
      <c r="I555" s="332"/>
      <c r="J555" s="332"/>
      <c r="K555" s="332"/>
      <c r="L555" s="332"/>
      <c r="M555" s="332"/>
      <c r="N555" s="332"/>
      <c r="O555" s="227"/>
      <c r="P555" s="227"/>
      <c r="Q555" s="227"/>
      <c r="R555" s="227"/>
      <c r="S555" s="227"/>
      <c r="T555" s="227"/>
      <c r="U555" s="227"/>
    </row>
    <row r="556" spans="1:21" ht="12.75" customHeight="1" x14ac:dyDescent="0.25">
      <c r="A556" s="229"/>
      <c r="B556" s="227"/>
      <c r="C556" s="227"/>
      <c r="D556" s="243"/>
      <c r="E556" s="244"/>
      <c r="F556" s="245"/>
      <c r="G556" s="331"/>
      <c r="H556" s="332"/>
      <c r="I556" s="332"/>
      <c r="J556" s="332"/>
      <c r="K556" s="332"/>
      <c r="L556" s="332"/>
      <c r="M556" s="332"/>
      <c r="N556" s="332"/>
      <c r="O556" s="227"/>
      <c r="P556" s="227"/>
      <c r="Q556" s="227"/>
      <c r="R556" s="227"/>
      <c r="S556" s="227"/>
      <c r="T556" s="227"/>
      <c r="U556" s="227"/>
    </row>
    <row r="557" spans="1:21" ht="12.75" customHeight="1" x14ac:dyDescent="0.25">
      <c r="A557" s="229"/>
      <c r="B557" s="227"/>
      <c r="C557" s="227"/>
      <c r="D557" s="243"/>
      <c r="E557" s="244"/>
      <c r="F557" s="245"/>
      <c r="G557" s="331"/>
      <c r="H557" s="332"/>
      <c r="I557" s="332"/>
      <c r="J557" s="332"/>
      <c r="K557" s="332"/>
      <c r="L557" s="332"/>
      <c r="M557" s="332"/>
      <c r="N557" s="332"/>
      <c r="O557" s="227"/>
      <c r="P557" s="227"/>
      <c r="Q557" s="227"/>
      <c r="R557" s="227"/>
      <c r="S557" s="227"/>
      <c r="T557" s="227"/>
      <c r="U557" s="227"/>
    </row>
    <row r="558" spans="1:21" ht="12.75" customHeight="1" x14ac:dyDescent="0.25">
      <c r="A558" s="229"/>
      <c r="B558" s="227"/>
      <c r="C558" s="227"/>
      <c r="D558" s="243"/>
      <c r="E558" s="244"/>
      <c r="F558" s="245"/>
      <c r="G558" s="331"/>
      <c r="H558" s="332"/>
      <c r="I558" s="332"/>
      <c r="J558" s="332"/>
      <c r="K558" s="332"/>
      <c r="L558" s="332"/>
      <c r="M558" s="332"/>
      <c r="N558" s="332"/>
      <c r="O558" s="227"/>
      <c r="P558" s="227"/>
      <c r="Q558" s="227"/>
      <c r="R558" s="227"/>
      <c r="S558" s="227"/>
      <c r="T558" s="227"/>
      <c r="U558" s="227"/>
    </row>
    <row r="559" spans="1:21" ht="12.75" customHeight="1" x14ac:dyDescent="0.25">
      <c r="A559" s="229"/>
      <c r="B559" s="227"/>
      <c r="C559" s="227"/>
      <c r="D559" s="243"/>
      <c r="E559" s="244"/>
      <c r="F559" s="245"/>
      <c r="G559" s="331"/>
      <c r="H559" s="332"/>
      <c r="I559" s="332"/>
      <c r="J559" s="332"/>
      <c r="K559" s="332"/>
      <c r="L559" s="332"/>
      <c r="M559" s="332"/>
      <c r="N559" s="332"/>
      <c r="O559" s="227"/>
      <c r="P559" s="227"/>
      <c r="Q559" s="227"/>
      <c r="R559" s="227"/>
      <c r="S559" s="227"/>
      <c r="T559" s="227"/>
      <c r="U559" s="227"/>
    </row>
    <row r="560" spans="1:21" ht="12.75" customHeight="1" x14ac:dyDescent="0.25">
      <c r="A560" s="229"/>
      <c r="B560" s="227"/>
      <c r="C560" s="227"/>
      <c r="D560" s="243"/>
      <c r="E560" s="244"/>
      <c r="F560" s="245"/>
      <c r="G560" s="331"/>
      <c r="H560" s="332"/>
      <c r="I560" s="332"/>
      <c r="J560" s="332"/>
      <c r="K560" s="332"/>
      <c r="L560" s="332"/>
      <c r="M560" s="332"/>
      <c r="N560" s="332"/>
      <c r="O560" s="227"/>
      <c r="P560" s="227"/>
      <c r="Q560" s="227"/>
      <c r="R560" s="227"/>
      <c r="S560" s="227"/>
      <c r="T560" s="227"/>
      <c r="U560" s="227"/>
    </row>
    <row r="561" spans="1:21" ht="12.75" customHeight="1" x14ac:dyDescent="0.25">
      <c r="A561" s="229"/>
      <c r="B561" s="227"/>
      <c r="C561" s="227"/>
      <c r="D561" s="243"/>
      <c r="E561" s="244"/>
      <c r="F561" s="245"/>
      <c r="G561" s="331"/>
      <c r="H561" s="332"/>
      <c r="I561" s="332"/>
      <c r="J561" s="332"/>
      <c r="K561" s="332"/>
      <c r="L561" s="332"/>
      <c r="M561" s="332"/>
      <c r="N561" s="332"/>
      <c r="O561" s="227"/>
      <c r="P561" s="227"/>
      <c r="Q561" s="227"/>
      <c r="R561" s="227"/>
      <c r="S561" s="227"/>
      <c r="T561" s="227"/>
      <c r="U561" s="227"/>
    </row>
    <row r="562" spans="1:21" ht="12.75" customHeight="1" x14ac:dyDescent="0.25">
      <c r="A562" s="229"/>
      <c r="B562" s="227"/>
      <c r="C562" s="227"/>
      <c r="D562" s="243"/>
      <c r="E562" s="244"/>
      <c r="F562" s="245"/>
      <c r="G562" s="331"/>
      <c r="H562" s="332"/>
      <c r="I562" s="332"/>
      <c r="J562" s="332"/>
      <c r="K562" s="332"/>
      <c r="L562" s="332"/>
      <c r="M562" s="332"/>
      <c r="N562" s="332"/>
      <c r="O562" s="227"/>
      <c r="P562" s="227"/>
      <c r="Q562" s="227"/>
      <c r="R562" s="227"/>
      <c r="S562" s="227"/>
      <c r="T562" s="227"/>
      <c r="U562" s="227"/>
    </row>
    <row r="563" spans="1:21" ht="12.75" customHeight="1" x14ac:dyDescent="0.25">
      <c r="A563" s="229"/>
      <c r="B563" s="227"/>
      <c r="C563" s="227"/>
      <c r="D563" s="243"/>
      <c r="E563" s="244"/>
      <c r="F563" s="245"/>
      <c r="G563" s="331"/>
      <c r="H563" s="332"/>
      <c r="I563" s="332"/>
      <c r="J563" s="332"/>
      <c r="K563" s="332"/>
      <c r="L563" s="332"/>
      <c r="M563" s="332"/>
      <c r="N563" s="332"/>
      <c r="O563" s="227"/>
      <c r="P563" s="227"/>
      <c r="Q563" s="227"/>
      <c r="R563" s="227"/>
      <c r="S563" s="227"/>
      <c r="T563" s="227"/>
      <c r="U563" s="227"/>
    </row>
    <row r="564" spans="1:21" ht="12.75" customHeight="1" x14ac:dyDescent="0.25">
      <c r="A564" s="229"/>
      <c r="B564" s="227"/>
      <c r="C564" s="227"/>
      <c r="D564" s="243"/>
      <c r="E564" s="244"/>
      <c r="F564" s="245"/>
      <c r="G564" s="331"/>
      <c r="H564" s="332"/>
      <c r="I564" s="332"/>
      <c r="J564" s="332"/>
      <c r="K564" s="332"/>
      <c r="L564" s="332"/>
      <c r="M564" s="332"/>
      <c r="N564" s="332"/>
      <c r="O564" s="227"/>
      <c r="P564" s="227"/>
      <c r="Q564" s="227"/>
      <c r="R564" s="227"/>
      <c r="S564" s="227"/>
      <c r="T564" s="227"/>
      <c r="U564" s="227"/>
    </row>
    <row r="565" spans="1:21" ht="12.75" customHeight="1" x14ac:dyDescent="0.25">
      <c r="A565" s="229"/>
      <c r="B565" s="227"/>
      <c r="C565" s="227"/>
      <c r="D565" s="243"/>
      <c r="E565" s="244"/>
      <c r="F565" s="245"/>
      <c r="G565" s="331"/>
      <c r="H565" s="332"/>
      <c r="I565" s="332"/>
      <c r="J565" s="332"/>
      <c r="K565" s="332"/>
      <c r="L565" s="332"/>
      <c r="M565" s="332"/>
      <c r="N565" s="332"/>
      <c r="O565" s="227"/>
      <c r="P565" s="227"/>
      <c r="Q565" s="227"/>
      <c r="R565" s="227"/>
      <c r="S565" s="227"/>
      <c r="T565" s="227"/>
      <c r="U565" s="227"/>
    </row>
    <row r="566" spans="1:21" ht="12.75" customHeight="1" x14ac:dyDescent="0.25">
      <c r="A566" s="229"/>
      <c r="B566" s="227"/>
      <c r="C566" s="227"/>
      <c r="D566" s="243"/>
      <c r="E566" s="244"/>
      <c r="F566" s="245"/>
      <c r="G566" s="331"/>
      <c r="H566" s="332"/>
      <c r="I566" s="332"/>
      <c r="J566" s="332"/>
      <c r="K566" s="332"/>
      <c r="L566" s="332"/>
      <c r="M566" s="332"/>
      <c r="N566" s="332"/>
      <c r="O566" s="227"/>
      <c r="P566" s="227"/>
      <c r="Q566" s="227"/>
      <c r="R566" s="227"/>
      <c r="S566" s="227"/>
      <c r="T566" s="227"/>
      <c r="U566" s="227"/>
    </row>
    <row r="567" spans="1:21" ht="12.75" customHeight="1" x14ac:dyDescent="0.25">
      <c r="A567" s="229"/>
      <c r="B567" s="227"/>
      <c r="C567" s="227"/>
      <c r="D567" s="243"/>
      <c r="E567" s="244"/>
      <c r="F567" s="245"/>
      <c r="G567" s="331"/>
      <c r="H567" s="332"/>
      <c r="I567" s="332"/>
      <c r="J567" s="332"/>
      <c r="K567" s="332"/>
      <c r="L567" s="332"/>
      <c r="M567" s="332"/>
      <c r="N567" s="332"/>
      <c r="O567" s="227"/>
      <c r="P567" s="227"/>
      <c r="Q567" s="227"/>
      <c r="R567" s="227"/>
      <c r="S567" s="227"/>
      <c r="T567" s="227"/>
      <c r="U567" s="227"/>
    </row>
    <row r="568" spans="1:21" ht="12.75" customHeight="1" x14ac:dyDescent="0.25">
      <c r="A568" s="229"/>
      <c r="B568" s="227"/>
      <c r="C568" s="227"/>
      <c r="D568" s="243"/>
      <c r="E568" s="244"/>
      <c r="F568" s="245"/>
      <c r="G568" s="331"/>
      <c r="H568" s="332"/>
      <c r="I568" s="332"/>
      <c r="J568" s="332"/>
      <c r="K568" s="332"/>
      <c r="L568" s="332"/>
      <c r="M568" s="332"/>
      <c r="N568" s="332"/>
      <c r="O568" s="227"/>
      <c r="P568" s="227"/>
      <c r="Q568" s="227"/>
      <c r="R568" s="227"/>
      <c r="S568" s="227"/>
      <c r="T568" s="227"/>
      <c r="U568" s="227"/>
    </row>
    <row r="569" spans="1:21" ht="12.75" customHeight="1" x14ac:dyDescent="0.25">
      <c r="A569" s="229"/>
      <c r="B569" s="227"/>
      <c r="C569" s="227"/>
      <c r="D569" s="243"/>
      <c r="E569" s="244"/>
      <c r="F569" s="245"/>
      <c r="G569" s="331"/>
      <c r="H569" s="332"/>
      <c r="I569" s="332"/>
      <c r="J569" s="332"/>
      <c r="K569" s="332"/>
      <c r="L569" s="332"/>
      <c r="M569" s="332"/>
      <c r="N569" s="332"/>
      <c r="O569" s="227"/>
      <c r="P569" s="227"/>
      <c r="Q569" s="227"/>
      <c r="R569" s="227"/>
      <c r="S569" s="227"/>
      <c r="T569" s="227"/>
      <c r="U569" s="227"/>
    </row>
    <row r="570" spans="1:21" ht="12.75" customHeight="1" x14ac:dyDescent="0.25">
      <c r="A570" s="229"/>
      <c r="B570" s="227"/>
      <c r="C570" s="227"/>
      <c r="D570" s="243"/>
      <c r="E570" s="244"/>
      <c r="F570" s="245"/>
      <c r="G570" s="331"/>
      <c r="H570" s="332"/>
      <c r="I570" s="332"/>
      <c r="J570" s="332"/>
      <c r="K570" s="332"/>
      <c r="L570" s="332"/>
      <c r="M570" s="332"/>
      <c r="N570" s="332"/>
      <c r="O570" s="227"/>
      <c r="P570" s="227"/>
      <c r="Q570" s="227"/>
      <c r="R570" s="227"/>
      <c r="S570" s="227"/>
      <c r="T570" s="227"/>
      <c r="U570" s="227"/>
    </row>
    <row r="571" spans="1:21" ht="12.75" customHeight="1" x14ac:dyDescent="0.25">
      <c r="A571" s="229"/>
      <c r="B571" s="227"/>
      <c r="C571" s="227"/>
      <c r="D571" s="243"/>
      <c r="E571" s="244"/>
      <c r="F571" s="245"/>
      <c r="G571" s="331"/>
      <c r="H571" s="332"/>
      <c r="I571" s="332"/>
      <c r="J571" s="332"/>
      <c r="K571" s="332"/>
      <c r="L571" s="332"/>
      <c r="M571" s="332"/>
      <c r="N571" s="332"/>
      <c r="O571" s="227"/>
      <c r="P571" s="227"/>
      <c r="Q571" s="227"/>
      <c r="R571" s="227"/>
      <c r="S571" s="227"/>
      <c r="T571" s="227"/>
      <c r="U571" s="227"/>
    </row>
    <row r="572" spans="1:21" ht="12.75" customHeight="1" x14ac:dyDescent="0.25">
      <c r="A572" s="229"/>
      <c r="B572" s="227"/>
      <c r="C572" s="227"/>
      <c r="D572" s="243"/>
      <c r="E572" s="244"/>
      <c r="F572" s="245"/>
      <c r="G572" s="331"/>
      <c r="H572" s="332"/>
      <c r="I572" s="332"/>
      <c r="J572" s="332"/>
      <c r="K572" s="332"/>
      <c r="L572" s="332"/>
      <c r="M572" s="332"/>
      <c r="N572" s="332"/>
      <c r="O572" s="227"/>
      <c r="P572" s="227"/>
      <c r="Q572" s="227"/>
      <c r="R572" s="227"/>
      <c r="S572" s="227"/>
      <c r="T572" s="227"/>
      <c r="U572" s="227"/>
    </row>
    <row r="573" spans="1:21" ht="12.75" customHeight="1" x14ac:dyDescent="0.25">
      <c r="A573" s="229"/>
      <c r="B573" s="227"/>
      <c r="C573" s="227"/>
      <c r="D573" s="243"/>
      <c r="E573" s="244"/>
      <c r="F573" s="245"/>
      <c r="G573" s="331"/>
      <c r="H573" s="332"/>
      <c r="I573" s="332"/>
      <c r="J573" s="332"/>
      <c r="K573" s="332"/>
      <c r="L573" s="332"/>
      <c r="M573" s="332"/>
      <c r="N573" s="332"/>
      <c r="O573" s="227"/>
      <c r="P573" s="227"/>
      <c r="Q573" s="227"/>
      <c r="R573" s="227"/>
      <c r="S573" s="227"/>
      <c r="T573" s="227"/>
      <c r="U573" s="227"/>
    </row>
    <row r="574" spans="1:21" ht="12.75" customHeight="1" x14ac:dyDescent="0.25">
      <c r="A574" s="229"/>
      <c r="B574" s="227"/>
      <c r="C574" s="227"/>
      <c r="D574" s="243"/>
      <c r="E574" s="244"/>
      <c r="F574" s="245"/>
      <c r="G574" s="331"/>
      <c r="H574" s="332"/>
      <c r="I574" s="332"/>
      <c r="J574" s="332"/>
      <c r="K574" s="332"/>
      <c r="L574" s="332"/>
      <c r="M574" s="332"/>
      <c r="N574" s="332"/>
      <c r="O574" s="227"/>
      <c r="P574" s="227"/>
      <c r="Q574" s="227"/>
      <c r="R574" s="227"/>
      <c r="S574" s="227"/>
      <c r="T574" s="227"/>
      <c r="U574" s="227"/>
    </row>
    <row r="575" spans="1:21" ht="12.75" customHeight="1" x14ac:dyDescent="0.25">
      <c r="A575" s="229"/>
      <c r="B575" s="227"/>
      <c r="C575" s="227"/>
      <c r="D575" s="243"/>
      <c r="E575" s="244"/>
      <c r="F575" s="245"/>
      <c r="G575" s="331"/>
      <c r="H575" s="332"/>
      <c r="I575" s="332"/>
      <c r="J575" s="332"/>
      <c r="K575" s="332"/>
      <c r="L575" s="332"/>
      <c r="M575" s="332"/>
      <c r="N575" s="332"/>
      <c r="O575" s="227"/>
      <c r="P575" s="227"/>
      <c r="Q575" s="227"/>
      <c r="R575" s="227"/>
      <c r="S575" s="227"/>
      <c r="T575" s="227"/>
      <c r="U575" s="227"/>
    </row>
    <row r="576" spans="1:21" ht="12.75" customHeight="1" x14ac:dyDescent="0.25">
      <c r="A576" s="229"/>
      <c r="B576" s="227"/>
      <c r="C576" s="227"/>
      <c r="D576" s="243"/>
      <c r="E576" s="244"/>
      <c r="F576" s="245"/>
      <c r="G576" s="331"/>
      <c r="H576" s="332"/>
      <c r="I576" s="332"/>
      <c r="J576" s="332"/>
      <c r="K576" s="332"/>
      <c r="L576" s="332"/>
      <c r="M576" s="332"/>
      <c r="N576" s="332"/>
      <c r="O576" s="227"/>
      <c r="P576" s="227"/>
      <c r="Q576" s="227"/>
      <c r="R576" s="227"/>
      <c r="S576" s="227"/>
      <c r="T576" s="227"/>
      <c r="U576" s="227"/>
    </row>
    <row r="577" spans="1:21" ht="12.75" customHeight="1" x14ac:dyDescent="0.25">
      <c r="A577" s="229"/>
      <c r="B577" s="227"/>
      <c r="C577" s="227"/>
      <c r="D577" s="243"/>
      <c r="E577" s="244"/>
      <c r="F577" s="245"/>
      <c r="G577" s="331"/>
      <c r="H577" s="332"/>
      <c r="I577" s="332"/>
      <c r="J577" s="332"/>
      <c r="K577" s="332"/>
      <c r="L577" s="332"/>
      <c r="M577" s="332"/>
      <c r="N577" s="332"/>
      <c r="O577" s="227"/>
      <c r="P577" s="227"/>
      <c r="Q577" s="227"/>
      <c r="R577" s="227"/>
      <c r="S577" s="227"/>
      <c r="T577" s="227"/>
      <c r="U577" s="227"/>
    </row>
    <row r="578" spans="1:21" ht="12.75" customHeight="1" x14ac:dyDescent="0.25">
      <c r="A578" s="229"/>
      <c r="B578" s="227"/>
      <c r="C578" s="227"/>
      <c r="D578" s="243"/>
      <c r="E578" s="244"/>
      <c r="F578" s="245"/>
      <c r="G578" s="331"/>
      <c r="H578" s="332"/>
      <c r="I578" s="332"/>
      <c r="J578" s="332"/>
      <c r="K578" s="332"/>
      <c r="L578" s="332"/>
      <c r="M578" s="332"/>
      <c r="N578" s="332"/>
      <c r="O578" s="227"/>
      <c r="P578" s="227"/>
      <c r="Q578" s="227"/>
      <c r="R578" s="227"/>
      <c r="S578" s="227"/>
      <c r="T578" s="227"/>
      <c r="U578" s="227"/>
    </row>
    <row r="579" spans="1:21" ht="12.75" customHeight="1" x14ac:dyDescent="0.25">
      <c r="A579" s="229"/>
      <c r="B579" s="227"/>
      <c r="C579" s="227"/>
      <c r="D579" s="243"/>
      <c r="E579" s="244"/>
      <c r="F579" s="245"/>
      <c r="G579" s="331"/>
      <c r="H579" s="332"/>
      <c r="I579" s="332"/>
      <c r="J579" s="332"/>
      <c r="K579" s="332"/>
      <c r="L579" s="332"/>
      <c r="M579" s="332"/>
      <c r="N579" s="332"/>
      <c r="O579" s="227"/>
      <c r="P579" s="227"/>
      <c r="Q579" s="227"/>
      <c r="R579" s="227"/>
      <c r="S579" s="227"/>
      <c r="T579" s="227"/>
      <c r="U579" s="227"/>
    </row>
    <row r="580" spans="1:21" ht="12.75" customHeight="1" x14ac:dyDescent="0.25">
      <c r="A580" s="229"/>
      <c r="B580" s="227"/>
      <c r="C580" s="227"/>
      <c r="D580" s="243"/>
      <c r="E580" s="244"/>
      <c r="F580" s="245"/>
      <c r="G580" s="331"/>
      <c r="H580" s="332"/>
      <c r="I580" s="332"/>
      <c r="J580" s="332"/>
      <c r="K580" s="332"/>
      <c r="L580" s="332"/>
      <c r="M580" s="332"/>
      <c r="N580" s="332"/>
      <c r="O580" s="227"/>
      <c r="P580" s="227"/>
      <c r="Q580" s="227"/>
      <c r="R580" s="227"/>
      <c r="S580" s="227"/>
      <c r="T580" s="227"/>
      <c r="U580" s="227"/>
    </row>
    <row r="581" spans="1:21" ht="12.75" customHeight="1" x14ac:dyDescent="0.25">
      <c r="A581" s="229"/>
      <c r="B581" s="227"/>
      <c r="C581" s="227"/>
      <c r="D581" s="243"/>
      <c r="E581" s="244"/>
      <c r="F581" s="245"/>
      <c r="G581" s="331"/>
      <c r="H581" s="332"/>
      <c r="I581" s="332"/>
      <c r="J581" s="332"/>
      <c r="K581" s="332"/>
      <c r="L581" s="332"/>
      <c r="M581" s="332"/>
      <c r="N581" s="332"/>
      <c r="O581" s="227"/>
      <c r="P581" s="227"/>
      <c r="Q581" s="227"/>
      <c r="R581" s="227"/>
      <c r="S581" s="227"/>
      <c r="T581" s="227"/>
      <c r="U581" s="227"/>
    </row>
    <row r="582" spans="1:21" ht="12.75" customHeight="1" x14ac:dyDescent="0.25">
      <c r="A582" s="229"/>
      <c r="B582" s="227"/>
      <c r="C582" s="227"/>
      <c r="D582" s="243"/>
      <c r="E582" s="244"/>
      <c r="F582" s="245"/>
      <c r="G582" s="331"/>
      <c r="H582" s="332"/>
      <c r="I582" s="332"/>
      <c r="J582" s="332"/>
      <c r="K582" s="332"/>
      <c r="L582" s="332"/>
      <c r="M582" s="332"/>
      <c r="N582" s="332"/>
      <c r="O582" s="227"/>
      <c r="P582" s="227"/>
      <c r="Q582" s="227"/>
      <c r="R582" s="227"/>
      <c r="S582" s="227"/>
      <c r="T582" s="227"/>
      <c r="U582" s="227"/>
    </row>
    <row r="583" spans="1:21" ht="12.75" customHeight="1" x14ac:dyDescent="0.25">
      <c r="A583" s="229"/>
      <c r="B583" s="227"/>
      <c r="C583" s="227"/>
      <c r="D583" s="243"/>
      <c r="E583" s="244"/>
      <c r="F583" s="245"/>
      <c r="G583" s="331"/>
      <c r="H583" s="332"/>
      <c r="I583" s="332"/>
      <c r="J583" s="332"/>
      <c r="K583" s="332"/>
      <c r="L583" s="332"/>
      <c r="M583" s="332"/>
      <c r="N583" s="332"/>
      <c r="O583" s="227"/>
      <c r="P583" s="227"/>
      <c r="Q583" s="227"/>
      <c r="R583" s="227"/>
      <c r="S583" s="227"/>
      <c r="T583" s="227"/>
      <c r="U583" s="227"/>
    </row>
    <row r="584" spans="1:21" ht="12.75" customHeight="1" x14ac:dyDescent="0.25">
      <c r="A584" s="229"/>
      <c r="B584" s="227"/>
      <c r="C584" s="227"/>
      <c r="D584" s="243"/>
      <c r="E584" s="244"/>
      <c r="F584" s="245"/>
      <c r="G584" s="331"/>
      <c r="H584" s="332"/>
      <c r="I584" s="332"/>
      <c r="J584" s="332"/>
      <c r="K584" s="332"/>
      <c r="L584" s="332"/>
      <c r="M584" s="332"/>
      <c r="N584" s="332"/>
      <c r="O584" s="227"/>
      <c r="P584" s="227"/>
      <c r="Q584" s="227"/>
      <c r="R584" s="227"/>
      <c r="S584" s="227"/>
      <c r="T584" s="227"/>
      <c r="U584" s="227"/>
    </row>
    <row r="585" spans="1:21" ht="12.75" customHeight="1" x14ac:dyDescent="0.25">
      <c r="A585" s="229"/>
      <c r="B585" s="227"/>
      <c r="C585" s="227"/>
      <c r="D585" s="243"/>
      <c r="E585" s="244"/>
      <c r="F585" s="245"/>
      <c r="G585" s="331"/>
      <c r="H585" s="332"/>
      <c r="I585" s="332"/>
      <c r="J585" s="332"/>
      <c r="K585" s="332"/>
      <c r="L585" s="332"/>
      <c r="M585" s="332"/>
      <c r="N585" s="332"/>
      <c r="O585" s="227"/>
      <c r="P585" s="227"/>
      <c r="Q585" s="227"/>
      <c r="R585" s="227"/>
      <c r="S585" s="227"/>
      <c r="T585" s="227"/>
      <c r="U585" s="227"/>
    </row>
    <row r="586" spans="1:21" ht="12.75" customHeight="1" x14ac:dyDescent="0.25">
      <c r="A586" s="229"/>
      <c r="B586" s="227"/>
      <c r="C586" s="227"/>
      <c r="D586" s="243"/>
      <c r="E586" s="244"/>
      <c r="F586" s="245"/>
      <c r="G586" s="331"/>
      <c r="H586" s="332"/>
      <c r="I586" s="332"/>
      <c r="J586" s="332"/>
      <c r="K586" s="332"/>
      <c r="L586" s="332"/>
      <c r="M586" s="332"/>
      <c r="N586" s="332"/>
      <c r="O586" s="227"/>
      <c r="P586" s="227"/>
      <c r="Q586" s="227"/>
      <c r="R586" s="227"/>
      <c r="S586" s="227"/>
      <c r="T586" s="227"/>
      <c r="U586" s="227"/>
    </row>
    <row r="587" spans="1:21" ht="12.75" customHeight="1" x14ac:dyDescent="0.25">
      <c r="A587" s="229"/>
      <c r="B587" s="227"/>
      <c r="C587" s="227"/>
      <c r="D587" s="243"/>
      <c r="E587" s="244"/>
      <c r="F587" s="245"/>
      <c r="G587" s="331"/>
      <c r="H587" s="332"/>
      <c r="I587" s="332"/>
      <c r="J587" s="332"/>
      <c r="K587" s="332"/>
      <c r="L587" s="332"/>
      <c r="M587" s="332"/>
      <c r="N587" s="332"/>
      <c r="O587" s="227"/>
      <c r="P587" s="227"/>
      <c r="Q587" s="227"/>
      <c r="R587" s="227"/>
      <c r="S587" s="227"/>
      <c r="T587" s="227"/>
      <c r="U587" s="227"/>
    </row>
    <row r="588" spans="1:21" ht="12.75" customHeight="1" x14ac:dyDescent="0.25">
      <c r="A588" s="229"/>
      <c r="B588" s="227"/>
      <c r="C588" s="227"/>
      <c r="D588" s="243"/>
      <c r="E588" s="244"/>
      <c r="F588" s="245"/>
      <c r="G588" s="331"/>
      <c r="H588" s="332"/>
      <c r="I588" s="332"/>
      <c r="J588" s="332"/>
      <c r="K588" s="332"/>
      <c r="L588" s="332"/>
      <c r="M588" s="332"/>
      <c r="N588" s="332"/>
      <c r="O588" s="227"/>
      <c r="P588" s="227"/>
      <c r="Q588" s="227"/>
      <c r="R588" s="227"/>
      <c r="S588" s="227"/>
      <c r="T588" s="227"/>
      <c r="U588" s="227"/>
    </row>
    <row r="589" spans="1:21" ht="12.75" customHeight="1" x14ac:dyDescent="0.25">
      <c r="A589" s="229"/>
      <c r="B589" s="227"/>
      <c r="C589" s="227"/>
      <c r="D589" s="243"/>
      <c r="E589" s="244"/>
      <c r="F589" s="245"/>
      <c r="G589" s="331"/>
      <c r="H589" s="332"/>
      <c r="I589" s="332"/>
      <c r="J589" s="332"/>
      <c r="K589" s="332"/>
      <c r="L589" s="332"/>
      <c r="M589" s="332"/>
      <c r="N589" s="332"/>
      <c r="O589" s="227"/>
      <c r="P589" s="227"/>
      <c r="Q589" s="227"/>
      <c r="R589" s="227"/>
      <c r="S589" s="227"/>
      <c r="T589" s="227"/>
      <c r="U589" s="227"/>
    </row>
    <row r="590" spans="1:21" ht="12.75" customHeight="1" x14ac:dyDescent="0.25">
      <c r="A590" s="229"/>
      <c r="B590" s="227"/>
      <c r="C590" s="227"/>
      <c r="D590" s="243"/>
      <c r="E590" s="244"/>
      <c r="F590" s="245"/>
      <c r="G590" s="331"/>
      <c r="H590" s="332"/>
      <c r="I590" s="332"/>
      <c r="J590" s="332"/>
      <c r="K590" s="332"/>
      <c r="L590" s="332"/>
      <c r="M590" s="332"/>
      <c r="N590" s="332"/>
      <c r="O590" s="227"/>
      <c r="P590" s="227"/>
      <c r="Q590" s="227"/>
      <c r="R590" s="227"/>
      <c r="S590" s="227"/>
      <c r="T590" s="227"/>
      <c r="U590" s="227"/>
    </row>
    <row r="591" spans="1:21" ht="12.75" customHeight="1" x14ac:dyDescent="0.25">
      <c r="A591" s="229"/>
      <c r="B591" s="227"/>
      <c r="C591" s="227"/>
      <c r="D591" s="243"/>
      <c r="E591" s="244"/>
      <c r="F591" s="245"/>
      <c r="G591" s="331"/>
      <c r="H591" s="332"/>
      <c r="I591" s="332"/>
      <c r="J591" s="332"/>
      <c r="K591" s="332"/>
      <c r="L591" s="332"/>
      <c r="M591" s="332"/>
      <c r="N591" s="332"/>
      <c r="O591" s="227"/>
      <c r="P591" s="227"/>
      <c r="Q591" s="227"/>
      <c r="R591" s="227"/>
      <c r="S591" s="227"/>
      <c r="T591" s="227"/>
      <c r="U591" s="227"/>
    </row>
    <row r="592" spans="1:21" ht="12.75" customHeight="1" x14ac:dyDescent="0.25">
      <c r="A592" s="229"/>
      <c r="B592" s="227"/>
      <c r="C592" s="227"/>
      <c r="D592" s="243"/>
      <c r="E592" s="244"/>
      <c r="F592" s="245"/>
      <c r="G592" s="331"/>
      <c r="H592" s="332"/>
      <c r="I592" s="332"/>
      <c r="J592" s="332"/>
      <c r="K592" s="332"/>
      <c r="L592" s="332"/>
      <c r="M592" s="332"/>
      <c r="N592" s="332"/>
      <c r="O592" s="227"/>
      <c r="P592" s="227"/>
      <c r="Q592" s="227"/>
      <c r="R592" s="227"/>
      <c r="S592" s="227"/>
      <c r="T592" s="227"/>
      <c r="U592" s="227"/>
    </row>
    <row r="593" spans="1:21" ht="12.75" customHeight="1" x14ac:dyDescent="0.25">
      <c r="A593" s="229"/>
      <c r="B593" s="227"/>
      <c r="C593" s="227"/>
      <c r="D593" s="243"/>
      <c r="E593" s="244"/>
      <c r="F593" s="245"/>
      <c r="G593" s="331"/>
      <c r="H593" s="332"/>
      <c r="I593" s="332"/>
      <c r="J593" s="332"/>
      <c r="K593" s="332"/>
      <c r="L593" s="332"/>
      <c r="M593" s="332"/>
      <c r="N593" s="332"/>
      <c r="O593" s="227"/>
      <c r="P593" s="227"/>
      <c r="Q593" s="227"/>
      <c r="R593" s="227"/>
      <c r="S593" s="227"/>
      <c r="T593" s="227"/>
      <c r="U593" s="227"/>
    </row>
    <row r="594" spans="1:21" ht="12.75" customHeight="1" x14ac:dyDescent="0.25">
      <c r="A594" s="229"/>
      <c r="B594" s="227"/>
      <c r="C594" s="227"/>
      <c r="D594" s="243"/>
      <c r="E594" s="244"/>
      <c r="F594" s="245"/>
      <c r="G594" s="331"/>
      <c r="H594" s="332"/>
      <c r="I594" s="332"/>
      <c r="J594" s="332"/>
      <c r="K594" s="332"/>
      <c r="L594" s="332"/>
      <c r="M594" s="332"/>
      <c r="N594" s="332"/>
      <c r="O594" s="227"/>
      <c r="P594" s="227"/>
      <c r="Q594" s="227"/>
      <c r="R594" s="227"/>
      <c r="S594" s="227"/>
      <c r="T594" s="227"/>
      <c r="U594" s="227"/>
    </row>
    <row r="595" spans="1:21" ht="12.75" customHeight="1" x14ac:dyDescent="0.25">
      <c r="A595" s="229"/>
      <c r="B595" s="227"/>
      <c r="C595" s="227"/>
      <c r="D595" s="243"/>
      <c r="E595" s="244"/>
      <c r="F595" s="245"/>
      <c r="G595" s="331"/>
      <c r="H595" s="332"/>
      <c r="I595" s="332"/>
      <c r="J595" s="332"/>
      <c r="K595" s="332"/>
      <c r="L595" s="332"/>
      <c r="M595" s="332"/>
      <c r="N595" s="332"/>
      <c r="O595" s="227"/>
      <c r="P595" s="227"/>
      <c r="Q595" s="227"/>
      <c r="R595" s="227"/>
      <c r="S595" s="227"/>
      <c r="T595" s="227"/>
      <c r="U595" s="227"/>
    </row>
    <row r="596" spans="1:21" ht="12.75" customHeight="1" x14ac:dyDescent="0.25">
      <c r="A596" s="229"/>
      <c r="B596" s="227"/>
      <c r="C596" s="227"/>
      <c r="D596" s="243"/>
      <c r="E596" s="244"/>
      <c r="F596" s="245"/>
      <c r="G596" s="331"/>
      <c r="H596" s="332"/>
      <c r="I596" s="332"/>
      <c r="J596" s="332"/>
      <c r="K596" s="332"/>
      <c r="L596" s="332"/>
      <c r="M596" s="332"/>
      <c r="N596" s="332"/>
      <c r="O596" s="227"/>
      <c r="P596" s="227"/>
      <c r="Q596" s="227"/>
      <c r="R596" s="227"/>
      <c r="S596" s="227"/>
      <c r="T596" s="227"/>
      <c r="U596" s="227"/>
    </row>
    <row r="597" spans="1:21" ht="12.75" customHeight="1" x14ac:dyDescent="0.25">
      <c r="A597" s="229"/>
      <c r="B597" s="227"/>
      <c r="C597" s="227"/>
      <c r="D597" s="243"/>
      <c r="E597" s="244"/>
      <c r="F597" s="245"/>
      <c r="G597" s="331"/>
      <c r="H597" s="332"/>
      <c r="I597" s="332"/>
      <c r="J597" s="332"/>
      <c r="K597" s="332"/>
      <c r="L597" s="332"/>
      <c r="M597" s="332"/>
      <c r="N597" s="332"/>
      <c r="O597" s="227"/>
      <c r="P597" s="227"/>
      <c r="Q597" s="227"/>
      <c r="R597" s="227"/>
      <c r="S597" s="227"/>
      <c r="T597" s="227"/>
      <c r="U597" s="227"/>
    </row>
    <row r="598" spans="1:21" ht="12.75" customHeight="1" x14ac:dyDescent="0.25">
      <c r="A598" s="229"/>
      <c r="B598" s="227"/>
      <c r="C598" s="227"/>
      <c r="D598" s="243"/>
      <c r="E598" s="244"/>
      <c r="F598" s="245"/>
      <c r="G598" s="331"/>
      <c r="H598" s="332"/>
      <c r="I598" s="332"/>
      <c r="J598" s="332"/>
      <c r="K598" s="332"/>
      <c r="L598" s="332"/>
      <c r="M598" s="332"/>
      <c r="N598" s="332"/>
      <c r="O598" s="227"/>
      <c r="P598" s="227"/>
      <c r="Q598" s="227"/>
      <c r="R598" s="227"/>
      <c r="S598" s="227"/>
      <c r="T598" s="227"/>
      <c r="U598" s="227"/>
    </row>
    <row r="599" spans="1:21" ht="12.75" customHeight="1" x14ac:dyDescent="0.25">
      <c r="A599" s="229"/>
      <c r="B599" s="227"/>
      <c r="C599" s="227"/>
      <c r="D599" s="243"/>
      <c r="E599" s="244"/>
      <c r="F599" s="245"/>
      <c r="G599" s="331"/>
      <c r="H599" s="332"/>
      <c r="I599" s="332"/>
      <c r="J599" s="332"/>
      <c r="K599" s="332"/>
      <c r="L599" s="332"/>
      <c r="M599" s="332"/>
      <c r="N599" s="332"/>
      <c r="O599" s="227"/>
      <c r="P599" s="227"/>
      <c r="Q599" s="227"/>
      <c r="R599" s="227"/>
      <c r="S599" s="227"/>
      <c r="T599" s="227"/>
      <c r="U599" s="227"/>
    </row>
    <row r="600" spans="1:21" ht="12.75" customHeight="1" x14ac:dyDescent="0.25">
      <c r="A600" s="229"/>
      <c r="B600" s="227"/>
      <c r="C600" s="227"/>
      <c r="D600" s="243"/>
      <c r="E600" s="244"/>
      <c r="F600" s="245"/>
      <c r="G600" s="331"/>
      <c r="H600" s="332"/>
      <c r="I600" s="332"/>
      <c r="J600" s="332"/>
      <c r="K600" s="332"/>
      <c r="L600" s="332"/>
      <c r="M600" s="332"/>
      <c r="N600" s="332"/>
      <c r="O600" s="227"/>
      <c r="P600" s="227"/>
      <c r="Q600" s="227"/>
      <c r="R600" s="227"/>
      <c r="S600" s="227"/>
      <c r="T600" s="227"/>
      <c r="U600" s="227"/>
    </row>
    <row r="601" spans="1:21" ht="12.75" customHeight="1" x14ac:dyDescent="0.25">
      <c r="A601" s="229"/>
      <c r="B601" s="227"/>
      <c r="C601" s="227"/>
      <c r="D601" s="243"/>
      <c r="E601" s="244"/>
      <c r="F601" s="245"/>
      <c r="G601" s="331"/>
      <c r="H601" s="332"/>
      <c r="I601" s="332"/>
      <c r="J601" s="332"/>
      <c r="K601" s="332"/>
      <c r="L601" s="332"/>
      <c r="M601" s="332"/>
      <c r="N601" s="332"/>
      <c r="O601" s="227"/>
      <c r="P601" s="227"/>
      <c r="Q601" s="227"/>
      <c r="R601" s="227"/>
      <c r="S601" s="227"/>
      <c r="T601" s="227"/>
      <c r="U601" s="227"/>
    </row>
    <row r="602" spans="1:21" ht="12.75" customHeight="1" x14ac:dyDescent="0.25">
      <c r="A602" s="229"/>
      <c r="B602" s="227"/>
      <c r="C602" s="227"/>
      <c r="D602" s="243"/>
      <c r="E602" s="244"/>
      <c r="F602" s="245"/>
      <c r="G602" s="331"/>
      <c r="H602" s="332"/>
      <c r="I602" s="332"/>
      <c r="J602" s="332"/>
      <c r="K602" s="332"/>
      <c r="L602" s="332"/>
      <c r="M602" s="332"/>
      <c r="N602" s="332"/>
      <c r="O602" s="227"/>
      <c r="P602" s="227"/>
      <c r="Q602" s="227"/>
      <c r="R602" s="227"/>
      <c r="S602" s="227"/>
      <c r="T602" s="227"/>
      <c r="U602" s="227"/>
    </row>
    <row r="603" spans="1:21" ht="12.75" customHeight="1" x14ac:dyDescent="0.25">
      <c r="A603" s="229"/>
      <c r="B603" s="227"/>
      <c r="C603" s="227"/>
      <c r="D603" s="243"/>
      <c r="E603" s="244"/>
      <c r="F603" s="245"/>
      <c r="G603" s="331"/>
      <c r="H603" s="332"/>
      <c r="I603" s="332"/>
      <c r="J603" s="332"/>
      <c r="K603" s="332"/>
      <c r="L603" s="332"/>
      <c r="M603" s="332"/>
      <c r="N603" s="332"/>
      <c r="O603" s="227"/>
      <c r="P603" s="227"/>
      <c r="Q603" s="227"/>
      <c r="R603" s="227"/>
      <c r="S603" s="227"/>
      <c r="T603" s="227"/>
      <c r="U603" s="227"/>
    </row>
    <row r="604" spans="1:21" ht="12.75" customHeight="1" x14ac:dyDescent="0.25">
      <c r="A604" s="229"/>
      <c r="B604" s="227"/>
      <c r="C604" s="227"/>
      <c r="D604" s="243"/>
      <c r="E604" s="244"/>
      <c r="F604" s="245"/>
      <c r="G604" s="331"/>
      <c r="H604" s="332"/>
      <c r="I604" s="332"/>
      <c r="J604" s="332"/>
      <c r="K604" s="332"/>
      <c r="L604" s="332"/>
      <c r="M604" s="332"/>
      <c r="N604" s="332"/>
      <c r="O604" s="227"/>
      <c r="P604" s="227"/>
      <c r="Q604" s="227"/>
      <c r="R604" s="227"/>
      <c r="S604" s="227"/>
      <c r="T604" s="227"/>
      <c r="U604" s="227"/>
    </row>
    <row r="605" spans="1:21" ht="12.75" customHeight="1" x14ac:dyDescent="0.25">
      <c r="A605" s="229"/>
      <c r="B605" s="227"/>
      <c r="C605" s="227"/>
      <c r="D605" s="243"/>
      <c r="E605" s="244"/>
      <c r="F605" s="245"/>
      <c r="G605" s="331"/>
      <c r="H605" s="332"/>
      <c r="I605" s="332"/>
      <c r="J605" s="332"/>
      <c r="K605" s="332"/>
      <c r="L605" s="332"/>
      <c r="M605" s="332"/>
      <c r="N605" s="332"/>
      <c r="O605" s="227"/>
      <c r="P605" s="227"/>
      <c r="Q605" s="227"/>
      <c r="R605" s="227"/>
      <c r="S605" s="227"/>
      <c r="T605" s="227"/>
      <c r="U605" s="227"/>
    </row>
    <row r="606" spans="1:21" ht="12.75" customHeight="1" x14ac:dyDescent="0.25">
      <c r="A606" s="229"/>
      <c r="B606" s="227"/>
      <c r="C606" s="227"/>
      <c r="D606" s="243"/>
      <c r="E606" s="244"/>
      <c r="F606" s="245"/>
      <c r="G606" s="331"/>
      <c r="H606" s="332"/>
      <c r="I606" s="332"/>
      <c r="J606" s="332"/>
      <c r="K606" s="332"/>
      <c r="L606" s="332"/>
      <c r="M606" s="332"/>
      <c r="N606" s="332"/>
      <c r="O606" s="227"/>
      <c r="P606" s="227"/>
      <c r="Q606" s="227"/>
      <c r="R606" s="227"/>
      <c r="S606" s="227"/>
      <c r="T606" s="227"/>
      <c r="U606" s="227"/>
    </row>
    <row r="607" spans="1:21" ht="12.75" customHeight="1" x14ac:dyDescent="0.25">
      <c r="A607" s="229"/>
      <c r="B607" s="227"/>
      <c r="C607" s="227"/>
      <c r="D607" s="243"/>
      <c r="E607" s="244"/>
      <c r="F607" s="245"/>
      <c r="G607" s="331"/>
      <c r="H607" s="332"/>
      <c r="I607" s="332"/>
      <c r="J607" s="332"/>
      <c r="K607" s="332"/>
      <c r="L607" s="332"/>
      <c r="M607" s="332"/>
      <c r="N607" s="332"/>
      <c r="O607" s="227"/>
      <c r="P607" s="227"/>
      <c r="Q607" s="227"/>
      <c r="R607" s="227"/>
      <c r="S607" s="227"/>
      <c r="T607" s="227"/>
      <c r="U607" s="227"/>
    </row>
    <row r="608" spans="1:21" ht="12.75" customHeight="1" x14ac:dyDescent="0.25">
      <c r="A608" s="229"/>
      <c r="B608" s="227"/>
      <c r="C608" s="227"/>
      <c r="D608" s="243"/>
      <c r="E608" s="244"/>
      <c r="F608" s="245"/>
      <c r="G608" s="331"/>
      <c r="H608" s="332"/>
      <c r="I608" s="332"/>
      <c r="J608" s="332"/>
      <c r="K608" s="332"/>
      <c r="L608" s="332"/>
      <c r="M608" s="332"/>
      <c r="N608" s="332"/>
      <c r="O608" s="227"/>
      <c r="P608" s="227"/>
      <c r="Q608" s="227"/>
      <c r="R608" s="227"/>
      <c r="S608" s="227"/>
      <c r="T608" s="227"/>
      <c r="U608" s="227"/>
    </row>
    <row r="609" spans="1:21" ht="12.75" customHeight="1" x14ac:dyDescent="0.25">
      <c r="A609" s="229"/>
      <c r="B609" s="227"/>
      <c r="C609" s="227"/>
      <c r="D609" s="243"/>
      <c r="E609" s="244"/>
      <c r="F609" s="245"/>
      <c r="G609" s="331"/>
      <c r="H609" s="332"/>
      <c r="I609" s="332"/>
      <c r="J609" s="332"/>
      <c r="K609" s="332"/>
      <c r="L609" s="332"/>
      <c r="M609" s="332"/>
      <c r="N609" s="332"/>
      <c r="O609" s="227"/>
      <c r="P609" s="227"/>
      <c r="Q609" s="227"/>
      <c r="R609" s="227"/>
      <c r="S609" s="227"/>
      <c r="T609" s="227"/>
      <c r="U609" s="227"/>
    </row>
    <row r="610" spans="1:21" ht="12.75" customHeight="1" x14ac:dyDescent="0.25">
      <c r="A610" s="229"/>
      <c r="B610" s="227"/>
      <c r="C610" s="227"/>
      <c r="D610" s="243"/>
      <c r="E610" s="244"/>
      <c r="F610" s="245"/>
      <c r="G610" s="331"/>
      <c r="H610" s="332"/>
      <c r="I610" s="332"/>
      <c r="J610" s="332"/>
      <c r="K610" s="332"/>
      <c r="L610" s="332"/>
      <c r="M610" s="332"/>
      <c r="N610" s="332"/>
      <c r="O610" s="227"/>
      <c r="P610" s="227"/>
      <c r="Q610" s="227"/>
      <c r="R610" s="227"/>
      <c r="S610" s="227"/>
      <c r="T610" s="227"/>
      <c r="U610" s="227"/>
    </row>
    <row r="611" spans="1:21" ht="12.75" customHeight="1" x14ac:dyDescent="0.25">
      <c r="A611" s="229"/>
      <c r="B611" s="227"/>
      <c r="C611" s="227"/>
      <c r="D611" s="243"/>
      <c r="E611" s="244"/>
      <c r="F611" s="245"/>
      <c r="G611" s="331"/>
      <c r="H611" s="332"/>
      <c r="I611" s="332"/>
      <c r="J611" s="332"/>
      <c r="K611" s="332"/>
      <c r="L611" s="332"/>
      <c r="M611" s="332"/>
      <c r="N611" s="332"/>
      <c r="O611" s="227"/>
      <c r="P611" s="227"/>
      <c r="Q611" s="227"/>
      <c r="R611" s="227"/>
      <c r="S611" s="227"/>
      <c r="T611" s="227"/>
      <c r="U611" s="227"/>
    </row>
    <row r="612" spans="1:21" ht="12.75" customHeight="1" x14ac:dyDescent="0.25">
      <c r="A612" s="229"/>
      <c r="B612" s="227"/>
      <c r="C612" s="227"/>
      <c r="D612" s="243"/>
      <c r="E612" s="244"/>
      <c r="F612" s="245"/>
      <c r="G612" s="331"/>
      <c r="H612" s="332"/>
      <c r="I612" s="332"/>
      <c r="J612" s="332"/>
      <c r="K612" s="332"/>
      <c r="L612" s="332"/>
      <c r="M612" s="332"/>
      <c r="N612" s="332"/>
      <c r="O612" s="227"/>
      <c r="P612" s="227"/>
      <c r="Q612" s="227"/>
      <c r="R612" s="227"/>
      <c r="S612" s="227"/>
      <c r="T612" s="227"/>
      <c r="U612" s="227"/>
    </row>
    <row r="613" spans="1:21" ht="12.75" customHeight="1" x14ac:dyDescent="0.25">
      <c r="A613" s="229"/>
      <c r="B613" s="227"/>
      <c r="C613" s="227"/>
      <c r="D613" s="243"/>
      <c r="E613" s="244"/>
      <c r="F613" s="245"/>
      <c r="G613" s="331"/>
      <c r="H613" s="332"/>
      <c r="I613" s="332"/>
      <c r="J613" s="332"/>
      <c r="K613" s="332"/>
      <c r="L613" s="332"/>
      <c r="M613" s="332"/>
      <c r="N613" s="332"/>
      <c r="O613" s="227"/>
      <c r="P613" s="227"/>
      <c r="Q613" s="227"/>
      <c r="R613" s="227"/>
      <c r="S613" s="227"/>
      <c r="T613" s="227"/>
      <c r="U613" s="227"/>
    </row>
    <row r="614" spans="1:21" ht="12.75" customHeight="1" x14ac:dyDescent="0.25">
      <c r="A614" s="229"/>
      <c r="B614" s="227"/>
      <c r="C614" s="227"/>
      <c r="D614" s="243"/>
      <c r="E614" s="244"/>
      <c r="F614" s="245"/>
      <c r="G614" s="331"/>
      <c r="H614" s="332"/>
      <c r="I614" s="332"/>
      <c r="J614" s="332"/>
      <c r="K614" s="332"/>
      <c r="L614" s="332"/>
      <c r="M614" s="332"/>
      <c r="N614" s="332"/>
      <c r="O614" s="227"/>
      <c r="P614" s="227"/>
      <c r="Q614" s="227"/>
      <c r="R614" s="227"/>
      <c r="S614" s="227"/>
      <c r="T614" s="227"/>
      <c r="U614" s="227"/>
    </row>
    <row r="615" spans="1:21" ht="12.75" customHeight="1" x14ac:dyDescent="0.25">
      <c r="A615" s="229"/>
      <c r="B615" s="227"/>
      <c r="C615" s="227"/>
      <c r="D615" s="243"/>
      <c r="E615" s="244"/>
      <c r="F615" s="245"/>
      <c r="G615" s="331"/>
      <c r="H615" s="332"/>
      <c r="I615" s="332"/>
      <c r="J615" s="332"/>
      <c r="K615" s="332"/>
      <c r="L615" s="332"/>
      <c r="M615" s="332"/>
      <c r="N615" s="332"/>
      <c r="O615" s="227"/>
      <c r="P615" s="227"/>
      <c r="Q615" s="227"/>
      <c r="R615" s="227"/>
      <c r="S615" s="227"/>
      <c r="T615" s="227"/>
      <c r="U615" s="227"/>
    </row>
    <row r="616" spans="1:21" ht="12.75" customHeight="1" x14ac:dyDescent="0.25">
      <c r="A616" s="229"/>
      <c r="B616" s="227"/>
      <c r="C616" s="227"/>
      <c r="D616" s="243"/>
      <c r="E616" s="244"/>
      <c r="F616" s="245"/>
      <c r="G616" s="331"/>
      <c r="H616" s="332"/>
      <c r="I616" s="332"/>
      <c r="J616" s="332"/>
      <c r="K616" s="332"/>
      <c r="L616" s="332"/>
      <c r="M616" s="332"/>
      <c r="N616" s="332"/>
      <c r="O616" s="227"/>
      <c r="P616" s="227"/>
      <c r="Q616" s="227"/>
      <c r="R616" s="227"/>
      <c r="S616" s="227"/>
      <c r="T616" s="227"/>
      <c r="U616" s="227"/>
    </row>
    <row r="617" spans="1:21" ht="12.75" customHeight="1" x14ac:dyDescent="0.25">
      <c r="A617" s="229"/>
      <c r="B617" s="227"/>
      <c r="C617" s="227"/>
      <c r="D617" s="243"/>
      <c r="E617" s="244"/>
      <c r="F617" s="245"/>
      <c r="G617" s="331"/>
      <c r="H617" s="332"/>
      <c r="I617" s="332"/>
      <c r="J617" s="332"/>
      <c r="K617" s="332"/>
      <c r="L617" s="332"/>
      <c r="M617" s="332"/>
      <c r="N617" s="332"/>
      <c r="O617" s="227"/>
      <c r="P617" s="227"/>
      <c r="Q617" s="227"/>
      <c r="R617" s="227"/>
      <c r="S617" s="227"/>
      <c r="T617" s="227"/>
      <c r="U617" s="227"/>
    </row>
    <row r="618" spans="1:21" ht="12.75" customHeight="1" x14ac:dyDescent="0.25">
      <c r="A618" s="229"/>
      <c r="B618" s="227"/>
      <c r="C618" s="227"/>
      <c r="D618" s="243"/>
      <c r="E618" s="244"/>
      <c r="F618" s="245"/>
      <c r="G618" s="331"/>
      <c r="H618" s="332"/>
      <c r="I618" s="332"/>
      <c r="J618" s="332"/>
      <c r="K618" s="332"/>
      <c r="L618" s="332"/>
      <c r="M618" s="332"/>
      <c r="N618" s="332"/>
      <c r="O618" s="227"/>
      <c r="P618" s="227"/>
      <c r="Q618" s="227"/>
      <c r="R618" s="227"/>
      <c r="S618" s="227"/>
      <c r="T618" s="227"/>
      <c r="U618" s="227"/>
    </row>
    <row r="619" spans="1:21" ht="12.75" customHeight="1" x14ac:dyDescent="0.25">
      <c r="A619" s="229"/>
      <c r="B619" s="227"/>
      <c r="C619" s="227"/>
      <c r="D619" s="243"/>
      <c r="E619" s="244"/>
      <c r="F619" s="245"/>
      <c r="G619" s="331"/>
      <c r="H619" s="332"/>
      <c r="I619" s="332"/>
      <c r="J619" s="332"/>
      <c r="K619" s="332"/>
      <c r="L619" s="332"/>
      <c r="M619" s="332"/>
      <c r="N619" s="332"/>
      <c r="O619" s="227"/>
      <c r="P619" s="227"/>
      <c r="Q619" s="227"/>
      <c r="R619" s="227"/>
      <c r="S619" s="227"/>
      <c r="T619" s="227"/>
      <c r="U619" s="227"/>
    </row>
    <row r="620" spans="1:21" ht="12.75" customHeight="1" x14ac:dyDescent="0.25">
      <c r="A620" s="229"/>
      <c r="B620" s="227"/>
      <c r="C620" s="227"/>
      <c r="D620" s="243"/>
      <c r="E620" s="244"/>
      <c r="F620" s="245"/>
      <c r="G620" s="331"/>
      <c r="H620" s="332"/>
      <c r="I620" s="332"/>
      <c r="J620" s="332"/>
      <c r="K620" s="332"/>
      <c r="L620" s="332"/>
      <c r="M620" s="332"/>
      <c r="N620" s="332"/>
      <c r="O620" s="227"/>
      <c r="P620" s="227"/>
      <c r="Q620" s="227"/>
      <c r="R620" s="227"/>
      <c r="S620" s="227"/>
      <c r="T620" s="227"/>
      <c r="U620" s="227"/>
    </row>
    <row r="621" spans="1:21" ht="12.75" customHeight="1" x14ac:dyDescent="0.25">
      <c r="A621" s="229"/>
      <c r="B621" s="227"/>
      <c r="C621" s="227"/>
      <c r="D621" s="243"/>
      <c r="E621" s="244"/>
      <c r="F621" s="245"/>
      <c r="G621" s="331"/>
      <c r="H621" s="332"/>
      <c r="I621" s="332"/>
      <c r="J621" s="332"/>
      <c r="K621" s="332"/>
      <c r="L621" s="332"/>
      <c r="M621" s="332"/>
      <c r="N621" s="332"/>
      <c r="O621" s="227"/>
      <c r="P621" s="227"/>
      <c r="Q621" s="227"/>
      <c r="R621" s="227"/>
      <c r="S621" s="227"/>
      <c r="T621" s="227"/>
      <c r="U621" s="227"/>
    </row>
    <row r="622" spans="1:21" ht="12.75" customHeight="1" x14ac:dyDescent="0.25">
      <c r="A622" s="229"/>
      <c r="B622" s="227"/>
      <c r="C622" s="227"/>
      <c r="D622" s="243"/>
      <c r="E622" s="244"/>
      <c r="F622" s="245"/>
      <c r="G622" s="331"/>
      <c r="H622" s="332"/>
      <c r="I622" s="332"/>
      <c r="J622" s="332"/>
      <c r="K622" s="332"/>
      <c r="L622" s="332"/>
      <c r="M622" s="332"/>
      <c r="N622" s="332"/>
      <c r="O622" s="227"/>
      <c r="P622" s="227"/>
      <c r="Q622" s="227"/>
      <c r="R622" s="227"/>
      <c r="S622" s="227"/>
      <c r="T622" s="227"/>
      <c r="U622" s="227"/>
    </row>
    <row r="623" spans="1:21" ht="12.75" customHeight="1" x14ac:dyDescent="0.25">
      <c r="A623" s="229"/>
      <c r="B623" s="227"/>
      <c r="C623" s="227"/>
      <c r="D623" s="243"/>
      <c r="E623" s="244"/>
      <c r="F623" s="245"/>
      <c r="G623" s="331"/>
      <c r="H623" s="332"/>
      <c r="I623" s="332"/>
      <c r="J623" s="332"/>
      <c r="K623" s="332"/>
      <c r="L623" s="332"/>
      <c r="M623" s="332"/>
      <c r="N623" s="332"/>
      <c r="O623" s="227"/>
      <c r="P623" s="227"/>
      <c r="Q623" s="227"/>
      <c r="R623" s="227"/>
      <c r="S623" s="227"/>
      <c r="T623" s="227"/>
      <c r="U623" s="227"/>
    </row>
    <row r="624" spans="1:21" ht="12.75" customHeight="1" x14ac:dyDescent="0.25">
      <c r="A624" s="229"/>
      <c r="B624" s="227"/>
      <c r="C624" s="227"/>
      <c r="D624" s="243"/>
      <c r="E624" s="244"/>
      <c r="F624" s="245"/>
      <c r="G624" s="331"/>
      <c r="H624" s="332"/>
      <c r="I624" s="332"/>
      <c r="J624" s="332"/>
      <c r="K624" s="332"/>
      <c r="L624" s="332"/>
      <c r="M624" s="332"/>
      <c r="N624" s="332"/>
      <c r="O624" s="227"/>
      <c r="P624" s="227"/>
      <c r="Q624" s="227"/>
      <c r="R624" s="227"/>
      <c r="S624" s="227"/>
      <c r="T624" s="227"/>
      <c r="U624" s="227"/>
    </row>
    <row r="625" spans="1:21" ht="12.75" customHeight="1" x14ac:dyDescent="0.25">
      <c r="A625" s="229"/>
      <c r="B625" s="227"/>
      <c r="C625" s="227"/>
      <c r="D625" s="243"/>
      <c r="E625" s="244"/>
      <c r="F625" s="245"/>
      <c r="G625" s="331"/>
      <c r="H625" s="332"/>
      <c r="I625" s="332"/>
      <c r="J625" s="332"/>
      <c r="K625" s="332"/>
      <c r="L625" s="332"/>
      <c r="M625" s="332"/>
      <c r="N625" s="332"/>
      <c r="O625" s="227"/>
      <c r="P625" s="227"/>
      <c r="Q625" s="227"/>
      <c r="R625" s="227"/>
      <c r="S625" s="227"/>
      <c r="T625" s="227"/>
      <c r="U625" s="227"/>
    </row>
    <row r="626" spans="1:21" ht="12.75" customHeight="1" x14ac:dyDescent="0.25">
      <c r="A626" s="229"/>
      <c r="B626" s="227"/>
      <c r="C626" s="227"/>
      <c r="D626" s="243"/>
      <c r="E626" s="244"/>
      <c r="F626" s="245"/>
      <c r="G626" s="331"/>
      <c r="H626" s="332"/>
      <c r="I626" s="332"/>
      <c r="J626" s="332"/>
      <c r="K626" s="332"/>
      <c r="L626" s="332"/>
      <c r="M626" s="332"/>
      <c r="N626" s="332"/>
      <c r="O626" s="227"/>
      <c r="P626" s="227"/>
      <c r="Q626" s="227"/>
      <c r="R626" s="227"/>
      <c r="S626" s="227"/>
      <c r="T626" s="227"/>
      <c r="U626" s="227"/>
    </row>
    <row r="627" spans="1:21" ht="12.75" customHeight="1" x14ac:dyDescent="0.25">
      <c r="A627" s="229"/>
      <c r="B627" s="227"/>
      <c r="C627" s="227"/>
      <c r="D627" s="243"/>
      <c r="E627" s="244"/>
      <c r="F627" s="245"/>
      <c r="G627" s="331"/>
      <c r="H627" s="332"/>
      <c r="I627" s="332"/>
      <c r="J627" s="332"/>
      <c r="K627" s="332"/>
      <c r="L627" s="332"/>
      <c r="M627" s="332"/>
      <c r="N627" s="332"/>
      <c r="O627" s="227"/>
      <c r="P627" s="227"/>
      <c r="Q627" s="227"/>
      <c r="R627" s="227"/>
      <c r="S627" s="227"/>
      <c r="T627" s="227"/>
      <c r="U627" s="227"/>
    </row>
    <row r="628" spans="1:21" ht="12.75" customHeight="1" x14ac:dyDescent="0.25">
      <c r="A628" s="229"/>
      <c r="B628" s="227"/>
      <c r="C628" s="227"/>
      <c r="D628" s="243"/>
      <c r="E628" s="244"/>
      <c r="F628" s="245"/>
      <c r="G628" s="331"/>
      <c r="H628" s="332"/>
      <c r="I628" s="332"/>
      <c r="J628" s="332"/>
      <c r="K628" s="332"/>
      <c r="L628" s="332"/>
      <c r="M628" s="332"/>
      <c r="N628" s="332"/>
      <c r="O628" s="227"/>
      <c r="P628" s="227"/>
      <c r="Q628" s="227"/>
      <c r="R628" s="227"/>
      <c r="S628" s="227"/>
      <c r="T628" s="227"/>
      <c r="U628" s="227"/>
    </row>
    <row r="629" spans="1:21" ht="12.75" customHeight="1" x14ac:dyDescent="0.25">
      <c r="A629" s="229"/>
      <c r="B629" s="227"/>
      <c r="C629" s="227"/>
      <c r="D629" s="243"/>
      <c r="E629" s="244"/>
      <c r="F629" s="245"/>
      <c r="G629" s="331"/>
      <c r="H629" s="332"/>
      <c r="I629" s="332"/>
      <c r="J629" s="332"/>
      <c r="K629" s="332"/>
      <c r="L629" s="332"/>
      <c r="M629" s="332"/>
      <c r="N629" s="332"/>
      <c r="O629" s="227"/>
      <c r="P629" s="227"/>
      <c r="Q629" s="227"/>
      <c r="R629" s="227"/>
      <c r="S629" s="227"/>
      <c r="T629" s="227"/>
      <c r="U629" s="227"/>
    </row>
    <row r="630" spans="1:21" ht="12.75" customHeight="1" x14ac:dyDescent="0.25">
      <c r="A630" s="229"/>
      <c r="B630" s="227"/>
      <c r="C630" s="227"/>
      <c r="D630" s="243"/>
      <c r="E630" s="244"/>
      <c r="F630" s="245"/>
      <c r="G630" s="331"/>
      <c r="H630" s="332"/>
      <c r="I630" s="332"/>
      <c r="J630" s="332"/>
      <c r="K630" s="332"/>
      <c r="L630" s="332"/>
      <c r="M630" s="332"/>
      <c r="N630" s="332"/>
      <c r="O630" s="227"/>
      <c r="P630" s="227"/>
      <c r="Q630" s="227"/>
      <c r="R630" s="227"/>
      <c r="S630" s="227"/>
      <c r="T630" s="227"/>
      <c r="U630" s="227"/>
    </row>
    <row r="631" spans="1:21" ht="12.75" customHeight="1" x14ac:dyDescent="0.25">
      <c r="A631" s="229"/>
      <c r="B631" s="227"/>
      <c r="C631" s="227"/>
      <c r="D631" s="243"/>
      <c r="E631" s="244"/>
      <c r="F631" s="245"/>
      <c r="G631" s="331"/>
      <c r="H631" s="332"/>
      <c r="I631" s="332"/>
      <c r="J631" s="332"/>
      <c r="K631" s="332"/>
      <c r="L631" s="332"/>
      <c r="M631" s="332"/>
      <c r="N631" s="332"/>
      <c r="O631" s="227"/>
      <c r="P631" s="227"/>
      <c r="Q631" s="227"/>
      <c r="R631" s="227"/>
      <c r="S631" s="227"/>
      <c r="T631" s="227"/>
      <c r="U631" s="227"/>
    </row>
    <row r="632" spans="1:21" ht="12.75" customHeight="1" x14ac:dyDescent="0.25">
      <c r="A632" s="229"/>
      <c r="B632" s="227"/>
      <c r="C632" s="227"/>
      <c r="D632" s="243"/>
      <c r="E632" s="244"/>
      <c r="F632" s="245"/>
      <c r="G632" s="331"/>
      <c r="H632" s="332"/>
      <c r="I632" s="332"/>
      <c r="J632" s="332"/>
      <c r="K632" s="332"/>
      <c r="L632" s="332"/>
      <c r="M632" s="332"/>
      <c r="N632" s="332"/>
      <c r="O632" s="227"/>
      <c r="P632" s="227"/>
      <c r="Q632" s="227"/>
      <c r="R632" s="227"/>
      <c r="S632" s="227"/>
      <c r="T632" s="227"/>
      <c r="U632" s="227"/>
    </row>
    <row r="633" spans="1:21" ht="12.75" customHeight="1" x14ac:dyDescent="0.25">
      <c r="A633" s="229"/>
      <c r="B633" s="227"/>
      <c r="C633" s="227"/>
      <c r="D633" s="243"/>
      <c r="E633" s="244"/>
      <c r="F633" s="245"/>
      <c r="G633" s="331"/>
      <c r="H633" s="332"/>
      <c r="I633" s="332"/>
      <c r="J633" s="332"/>
      <c r="K633" s="332"/>
      <c r="L633" s="332"/>
      <c r="M633" s="332"/>
      <c r="N633" s="332"/>
      <c r="O633" s="227"/>
      <c r="P633" s="227"/>
      <c r="Q633" s="227"/>
      <c r="R633" s="227"/>
      <c r="S633" s="227"/>
      <c r="T633" s="227"/>
      <c r="U633" s="227"/>
    </row>
    <row r="634" spans="1:21" ht="12.75" customHeight="1" x14ac:dyDescent="0.25">
      <c r="A634" s="229"/>
      <c r="B634" s="227"/>
      <c r="C634" s="227"/>
      <c r="D634" s="243"/>
      <c r="E634" s="244"/>
      <c r="F634" s="245"/>
      <c r="G634" s="331"/>
      <c r="H634" s="332"/>
      <c r="I634" s="332"/>
      <c r="J634" s="332"/>
      <c r="K634" s="332"/>
      <c r="L634" s="332"/>
      <c r="M634" s="332"/>
      <c r="N634" s="332"/>
      <c r="O634" s="227"/>
      <c r="P634" s="227"/>
      <c r="Q634" s="227"/>
      <c r="R634" s="227"/>
      <c r="S634" s="227"/>
      <c r="T634" s="227"/>
      <c r="U634" s="227"/>
    </row>
    <row r="635" spans="1:21" ht="12.75" customHeight="1" x14ac:dyDescent="0.25">
      <c r="A635" s="229"/>
      <c r="B635" s="227"/>
      <c r="C635" s="227"/>
      <c r="D635" s="243"/>
      <c r="E635" s="244"/>
      <c r="F635" s="245"/>
      <c r="G635" s="331"/>
      <c r="H635" s="332"/>
      <c r="I635" s="332"/>
      <c r="J635" s="332"/>
      <c r="K635" s="332"/>
      <c r="L635" s="332"/>
      <c r="M635" s="332"/>
      <c r="N635" s="332"/>
      <c r="O635" s="227"/>
      <c r="P635" s="227"/>
      <c r="Q635" s="227"/>
      <c r="R635" s="227"/>
      <c r="S635" s="227"/>
      <c r="T635" s="227"/>
      <c r="U635" s="227"/>
    </row>
    <row r="636" spans="1:21" ht="12.75" customHeight="1" x14ac:dyDescent="0.25">
      <c r="A636" s="229"/>
      <c r="B636" s="227"/>
      <c r="C636" s="227"/>
      <c r="D636" s="243"/>
      <c r="E636" s="244"/>
      <c r="F636" s="245"/>
      <c r="G636" s="331"/>
      <c r="H636" s="332"/>
      <c r="I636" s="332"/>
      <c r="J636" s="332"/>
      <c r="K636" s="332"/>
      <c r="L636" s="332"/>
      <c r="M636" s="332"/>
      <c r="N636" s="332"/>
      <c r="O636" s="227"/>
      <c r="P636" s="227"/>
      <c r="Q636" s="227"/>
      <c r="R636" s="227"/>
      <c r="S636" s="227"/>
      <c r="T636" s="227"/>
      <c r="U636" s="227"/>
    </row>
    <row r="637" spans="1:21" ht="12.75" customHeight="1" x14ac:dyDescent="0.25">
      <c r="A637" s="229"/>
      <c r="B637" s="227"/>
      <c r="C637" s="227"/>
      <c r="D637" s="243"/>
      <c r="E637" s="244"/>
      <c r="F637" s="245"/>
      <c r="G637" s="331"/>
      <c r="H637" s="332"/>
      <c r="I637" s="332"/>
      <c r="J637" s="332"/>
      <c r="K637" s="332"/>
      <c r="L637" s="332"/>
      <c r="M637" s="332"/>
      <c r="N637" s="332"/>
      <c r="O637" s="227"/>
      <c r="P637" s="227"/>
      <c r="Q637" s="227"/>
      <c r="R637" s="227"/>
      <c r="S637" s="227"/>
      <c r="T637" s="227"/>
      <c r="U637" s="227"/>
    </row>
    <row r="638" spans="1:21" ht="12.75" customHeight="1" x14ac:dyDescent="0.25">
      <c r="A638" s="229"/>
      <c r="B638" s="227"/>
      <c r="C638" s="227"/>
      <c r="D638" s="243"/>
      <c r="E638" s="244"/>
      <c r="F638" s="245"/>
      <c r="G638" s="331"/>
      <c r="H638" s="332"/>
      <c r="I638" s="332"/>
      <c r="J638" s="332"/>
      <c r="K638" s="332"/>
      <c r="L638" s="332"/>
      <c r="M638" s="332"/>
      <c r="N638" s="332"/>
      <c r="O638" s="227"/>
      <c r="P638" s="227"/>
      <c r="Q638" s="227"/>
      <c r="R638" s="227"/>
      <c r="S638" s="227"/>
      <c r="T638" s="227"/>
      <c r="U638" s="227"/>
    </row>
    <row r="639" spans="1:21" ht="12.75" customHeight="1" x14ac:dyDescent="0.25">
      <c r="A639" s="229"/>
      <c r="B639" s="227"/>
      <c r="C639" s="227"/>
      <c r="D639" s="243"/>
      <c r="E639" s="244"/>
      <c r="F639" s="245"/>
      <c r="G639" s="331"/>
      <c r="H639" s="332"/>
      <c r="I639" s="332"/>
      <c r="J639" s="332"/>
      <c r="K639" s="332"/>
      <c r="L639" s="332"/>
      <c r="M639" s="332"/>
      <c r="N639" s="332"/>
      <c r="O639" s="227"/>
      <c r="P639" s="227"/>
      <c r="Q639" s="227"/>
      <c r="R639" s="227"/>
      <c r="S639" s="227"/>
      <c r="T639" s="227"/>
      <c r="U639" s="227"/>
    </row>
    <row r="640" spans="1:21" ht="12.75" customHeight="1" x14ac:dyDescent="0.25">
      <c r="A640" s="229"/>
      <c r="B640" s="227"/>
      <c r="C640" s="227"/>
      <c r="D640" s="243"/>
      <c r="E640" s="244"/>
      <c r="F640" s="245"/>
      <c r="G640" s="331"/>
      <c r="H640" s="332"/>
      <c r="I640" s="332"/>
      <c r="J640" s="332"/>
      <c r="K640" s="332"/>
      <c r="L640" s="332"/>
      <c r="M640" s="332"/>
      <c r="N640" s="332"/>
      <c r="O640" s="227"/>
      <c r="P640" s="227"/>
      <c r="Q640" s="227"/>
      <c r="R640" s="227"/>
      <c r="S640" s="227"/>
      <c r="T640" s="227"/>
      <c r="U640" s="227"/>
    </row>
    <row r="641" spans="1:21" ht="12.75" customHeight="1" x14ac:dyDescent="0.25">
      <c r="A641" s="229"/>
      <c r="B641" s="227"/>
      <c r="C641" s="227"/>
      <c r="D641" s="243"/>
      <c r="E641" s="244"/>
      <c r="F641" s="245"/>
      <c r="G641" s="331"/>
      <c r="H641" s="332"/>
      <c r="I641" s="332"/>
      <c r="J641" s="332"/>
      <c r="K641" s="332"/>
      <c r="L641" s="332"/>
      <c r="M641" s="332"/>
      <c r="N641" s="332"/>
      <c r="O641" s="227"/>
      <c r="P641" s="227"/>
      <c r="Q641" s="227"/>
      <c r="R641" s="227"/>
      <c r="S641" s="227"/>
      <c r="T641" s="227"/>
      <c r="U641" s="227"/>
    </row>
    <row r="642" spans="1:21" ht="12.75" customHeight="1" x14ac:dyDescent="0.25">
      <c r="A642" s="229"/>
      <c r="B642" s="227"/>
      <c r="C642" s="227"/>
      <c r="D642" s="243"/>
      <c r="E642" s="244"/>
      <c r="F642" s="245"/>
      <c r="G642" s="331"/>
      <c r="H642" s="332"/>
      <c r="I642" s="332"/>
      <c r="J642" s="332"/>
      <c r="K642" s="332"/>
      <c r="L642" s="332"/>
      <c r="M642" s="332"/>
      <c r="N642" s="332"/>
      <c r="O642" s="227"/>
      <c r="P642" s="227"/>
      <c r="Q642" s="227"/>
      <c r="R642" s="227"/>
      <c r="S642" s="227"/>
      <c r="T642" s="227"/>
      <c r="U642" s="227"/>
    </row>
    <row r="643" spans="1:21" ht="12.75" customHeight="1" x14ac:dyDescent="0.25">
      <c r="A643" s="229"/>
      <c r="B643" s="227"/>
      <c r="C643" s="227"/>
      <c r="D643" s="243"/>
      <c r="E643" s="244"/>
      <c r="F643" s="245"/>
      <c r="G643" s="331"/>
      <c r="H643" s="332"/>
      <c r="I643" s="332"/>
      <c r="J643" s="332"/>
      <c r="K643" s="332"/>
      <c r="L643" s="332"/>
      <c r="M643" s="332"/>
      <c r="N643" s="332"/>
      <c r="O643" s="227"/>
      <c r="P643" s="227"/>
      <c r="Q643" s="227"/>
      <c r="R643" s="227"/>
      <c r="S643" s="227"/>
      <c r="T643" s="227"/>
      <c r="U643" s="227"/>
    </row>
    <row r="644" spans="1:21" ht="12.75" customHeight="1" x14ac:dyDescent="0.25">
      <c r="A644" s="229"/>
      <c r="B644" s="227"/>
      <c r="C644" s="227"/>
      <c r="D644" s="243"/>
      <c r="E644" s="244"/>
      <c r="F644" s="245"/>
      <c r="G644" s="331"/>
      <c r="H644" s="332"/>
      <c r="I644" s="332"/>
      <c r="J644" s="332"/>
      <c r="K644" s="332"/>
      <c r="L644" s="332"/>
      <c r="M644" s="332"/>
      <c r="N644" s="332"/>
      <c r="O644" s="227"/>
      <c r="P644" s="227"/>
      <c r="Q644" s="227"/>
      <c r="R644" s="227"/>
      <c r="S644" s="227"/>
      <c r="T644" s="227"/>
      <c r="U644" s="227"/>
    </row>
    <row r="645" spans="1:21" ht="12.75" customHeight="1" x14ac:dyDescent="0.25">
      <c r="A645" s="229"/>
      <c r="B645" s="227"/>
      <c r="C645" s="227"/>
      <c r="D645" s="243"/>
      <c r="E645" s="244"/>
      <c r="F645" s="245"/>
      <c r="G645" s="331"/>
      <c r="H645" s="332"/>
      <c r="I645" s="332"/>
      <c r="J645" s="332"/>
      <c r="K645" s="332"/>
      <c r="L645" s="332"/>
      <c r="M645" s="332"/>
      <c r="N645" s="332"/>
      <c r="O645" s="227"/>
      <c r="P645" s="227"/>
      <c r="Q645" s="227"/>
      <c r="R645" s="227"/>
      <c r="S645" s="227"/>
      <c r="T645" s="227"/>
      <c r="U645" s="227"/>
    </row>
    <row r="646" spans="1:21" ht="12.75" customHeight="1" x14ac:dyDescent="0.25">
      <c r="A646" s="229"/>
      <c r="B646" s="227"/>
      <c r="C646" s="227"/>
      <c r="D646" s="243"/>
      <c r="E646" s="244"/>
      <c r="F646" s="245"/>
      <c r="G646" s="331"/>
      <c r="H646" s="332"/>
      <c r="I646" s="332"/>
      <c r="J646" s="332"/>
      <c r="K646" s="332"/>
      <c r="L646" s="332"/>
      <c r="M646" s="332"/>
      <c r="N646" s="332"/>
      <c r="O646" s="227"/>
      <c r="P646" s="227"/>
      <c r="Q646" s="227"/>
      <c r="R646" s="227"/>
      <c r="S646" s="227"/>
      <c r="T646" s="227"/>
      <c r="U646" s="227"/>
    </row>
    <row r="647" spans="1:21" ht="12.75" customHeight="1" x14ac:dyDescent="0.25">
      <c r="A647" s="229"/>
      <c r="B647" s="227"/>
      <c r="C647" s="227"/>
      <c r="D647" s="243"/>
      <c r="E647" s="244"/>
      <c r="F647" s="245"/>
      <c r="G647" s="331"/>
      <c r="H647" s="332"/>
      <c r="I647" s="332"/>
      <c r="J647" s="332"/>
      <c r="K647" s="332"/>
      <c r="L647" s="332"/>
      <c r="M647" s="332"/>
      <c r="N647" s="332"/>
      <c r="O647" s="227"/>
      <c r="P647" s="227"/>
      <c r="Q647" s="227"/>
      <c r="R647" s="227"/>
      <c r="S647" s="227"/>
      <c r="T647" s="227"/>
      <c r="U647" s="227"/>
    </row>
    <row r="648" spans="1:21" ht="12.75" customHeight="1" x14ac:dyDescent="0.25">
      <c r="A648" s="229"/>
      <c r="B648" s="227"/>
      <c r="C648" s="227"/>
      <c r="D648" s="243"/>
      <c r="E648" s="244"/>
      <c r="F648" s="245"/>
      <c r="G648" s="331"/>
      <c r="H648" s="332"/>
      <c r="I648" s="332"/>
      <c r="J648" s="332"/>
      <c r="K648" s="332"/>
      <c r="L648" s="332"/>
      <c r="M648" s="332"/>
      <c r="N648" s="332"/>
      <c r="O648" s="227"/>
      <c r="P648" s="227"/>
      <c r="Q648" s="227"/>
      <c r="R648" s="227"/>
      <c r="S648" s="227"/>
      <c r="T648" s="227"/>
      <c r="U648" s="227"/>
    </row>
    <row r="649" spans="1:21" ht="12.75" customHeight="1" x14ac:dyDescent="0.25">
      <c r="A649" s="229"/>
      <c r="B649" s="227"/>
      <c r="C649" s="227"/>
      <c r="D649" s="243"/>
      <c r="E649" s="244"/>
      <c r="F649" s="245"/>
      <c r="G649" s="331"/>
      <c r="H649" s="332"/>
      <c r="I649" s="332"/>
      <c r="J649" s="332"/>
      <c r="K649" s="332"/>
      <c r="L649" s="332"/>
      <c r="M649" s="332"/>
      <c r="N649" s="332"/>
      <c r="O649" s="227"/>
      <c r="P649" s="227"/>
      <c r="Q649" s="227"/>
      <c r="R649" s="227"/>
      <c r="S649" s="227"/>
      <c r="T649" s="227"/>
      <c r="U649" s="227"/>
    </row>
    <row r="650" spans="1:21" ht="12.75" customHeight="1" x14ac:dyDescent="0.25">
      <c r="A650" s="229"/>
      <c r="B650" s="227"/>
      <c r="C650" s="227"/>
      <c r="D650" s="243"/>
      <c r="E650" s="244"/>
      <c r="F650" s="245"/>
      <c r="G650" s="331"/>
      <c r="H650" s="332"/>
      <c r="I650" s="332"/>
      <c r="J650" s="332"/>
      <c r="K650" s="332"/>
      <c r="L650" s="332"/>
      <c r="M650" s="332"/>
      <c r="N650" s="332"/>
      <c r="O650" s="227"/>
      <c r="P650" s="227"/>
      <c r="Q650" s="227"/>
      <c r="R650" s="227"/>
      <c r="S650" s="227"/>
      <c r="T650" s="227"/>
      <c r="U650" s="227"/>
    </row>
    <row r="651" spans="1:21" ht="12.75" customHeight="1" x14ac:dyDescent="0.25">
      <c r="A651" s="229"/>
      <c r="B651" s="227"/>
      <c r="C651" s="227"/>
      <c r="D651" s="243"/>
      <c r="E651" s="244"/>
      <c r="F651" s="245"/>
      <c r="G651" s="331"/>
      <c r="H651" s="332"/>
      <c r="I651" s="332"/>
      <c r="J651" s="332"/>
      <c r="K651" s="332"/>
      <c r="L651" s="332"/>
      <c r="M651" s="332"/>
      <c r="N651" s="332"/>
      <c r="O651" s="227"/>
      <c r="P651" s="227"/>
      <c r="Q651" s="227"/>
      <c r="R651" s="227"/>
      <c r="S651" s="227"/>
      <c r="T651" s="227"/>
      <c r="U651" s="227"/>
    </row>
    <row r="652" spans="1:21" ht="12.75" customHeight="1" x14ac:dyDescent="0.25">
      <c r="A652" s="229"/>
      <c r="B652" s="227"/>
      <c r="C652" s="227"/>
      <c r="D652" s="243"/>
      <c r="E652" s="244"/>
      <c r="F652" s="245"/>
      <c r="G652" s="331"/>
      <c r="H652" s="332"/>
      <c r="I652" s="332"/>
      <c r="J652" s="332"/>
      <c r="K652" s="332"/>
      <c r="L652" s="332"/>
      <c r="M652" s="332"/>
      <c r="N652" s="332"/>
      <c r="O652" s="227"/>
      <c r="P652" s="227"/>
      <c r="Q652" s="227"/>
      <c r="R652" s="227"/>
      <c r="S652" s="227"/>
      <c r="T652" s="227"/>
      <c r="U652" s="227"/>
    </row>
    <row r="653" spans="1:21" ht="12.75" customHeight="1" x14ac:dyDescent="0.25">
      <c r="A653" s="229"/>
      <c r="B653" s="227"/>
      <c r="C653" s="227"/>
      <c r="D653" s="243"/>
      <c r="E653" s="244"/>
      <c r="F653" s="245"/>
      <c r="G653" s="331"/>
      <c r="H653" s="332"/>
      <c r="I653" s="332"/>
      <c r="J653" s="332"/>
      <c r="K653" s="332"/>
      <c r="L653" s="332"/>
      <c r="M653" s="332"/>
      <c r="N653" s="332"/>
      <c r="O653" s="227"/>
      <c r="P653" s="227"/>
      <c r="Q653" s="227"/>
      <c r="R653" s="227"/>
      <c r="S653" s="227"/>
      <c r="T653" s="227"/>
      <c r="U653" s="227"/>
    </row>
    <row r="654" spans="1:21" ht="12.75" customHeight="1" x14ac:dyDescent="0.25">
      <c r="A654" s="229"/>
      <c r="B654" s="227"/>
      <c r="C654" s="227"/>
      <c r="D654" s="243"/>
      <c r="E654" s="244"/>
      <c r="F654" s="245"/>
      <c r="G654" s="331"/>
      <c r="H654" s="332"/>
      <c r="I654" s="332"/>
      <c r="J654" s="332"/>
      <c r="K654" s="332"/>
      <c r="L654" s="332"/>
      <c r="M654" s="332"/>
      <c r="N654" s="332"/>
      <c r="O654" s="227"/>
      <c r="P654" s="227"/>
      <c r="Q654" s="227"/>
      <c r="R654" s="227"/>
      <c r="S654" s="227"/>
      <c r="T654" s="227"/>
      <c r="U654" s="227"/>
    </row>
    <row r="655" spans="1:21" ht="12.75" customHeight="1" x14ac:dyDescent="0.25">
      <c r="A655" s="229"/>
      <c r="B655" s="227"/>
      <c r="C655" s="227"/>
      <c r="D655" s="243"/>
      <c r="E655" s="244"/>
      <c r="F655" s="245"/>
      <c r="G655" s="331"/>
      <c r="H655" s="332"/>
      <c r="I655" s="332"/>
      <c r="J655" s="332"/>
      <c r="K655" s="332"/>
      <c r="L655" s="332"/>
      <c r="M655" s="332"/>
      <c r="N655" s="332"/>
      <c r="O655" s="227"/>
      <c r="P655" s="227"/>
      <c r="Q655" s="227"/>
      <c r="R655" s="227"/>
      <c r="S655" s="227"/>
      <c r="T655" s="227"/>
      <c r="U655" s="227"/>
    </row>
    <row r="656" spans="1:21" ht="12.75" customHeight="1" x14ac:dyDescent="0.25">
      <c r="A656" s="229"/>
      <c r="B656" s="227"/>
      <c r="C656" s="227"/>
      <c r="D656" s="243"/>
      <c r="E656" s="244"/>
      <c r="F656" s="245"/>
      <c r="G656" s="331"/>
      <c r="H656" s="332"/>
      <c r="I656" s="332"/>
      <c r="J656" s="332"/>
      <c r="K656" s="332"/>
      <c r="L656" s="332"/>
      <c r="M656" s="332"/>
      <c r="N656" s="332"/>
      <c r="O656" s="227"/>
      <c r="P656" s="227"/>
      <c r="Q656" s="227"/>
      <c r="R656" s="227"/>
      <c r="S656" s="227"/>
      <c r="T656" s="227"/>
      <c r="U656" s="227"/>
    </row>
    <row r="657" spans="1:21" ht="12.75" customHeight="1" x14ac:dyDescent="0.25">
      <c r="A657" s="229"/>
      <c r="B657" s="227"/>
      <c r="C657" s="227"/>
      <c r="D657" s="243"/>
      <c r="E657" s="244"/>
      <c r="F657" s="245"/>
      <c r="G657" s="331"/>
      <c r="H657" s="332"/>
      <c r="I657" s="332"/>
      <c r="J657" s="332"/>
      <c r="K657" s="332"/>
      <c r="L657" s="332"/>
      <c r="M657" s="332"/>
      <c r="N657" s="332"/>
      <c r="O657" s="227"/>
      <c r="P657" s="227"/>
      <c r="Q657" s="227"/>
      <c r="R657" s="227"/>
      <c r="S657" s="227"/>
      <c r="T657" s="227"/>
      <c r="U657" s="227"/>
    </row>
    <row r="658" spans="1:21" ht="12.75" customHeight="1" x14ac:dyDescent="0.25">
      <c r="A658" s="229"/>
      <c r="B658" s="227"/>
      <c r="C658" s="227"/>
      <c r="D658" s="243"/>
      <c r="E658" s="244"/>
      <c r="F658" s="245"/>
      <c r="G658" s="331"/>
      <c r="H658" s="332"/>
      <c r="I658" s="332"/>
      <c r="J658" s="332"/>
      <c r="K658" s="332"/>
      <c r="L658" s="332"/>
      <c r="M658" s="332"/>
      <c r="N658" s="332"/>
      <c r="O658" s="227"/>
      <c r="P658" s="227"/>
      <c r="Q658" s="227"/>
      <c r="R658" s="227"/>
      <c r="S658" s="227"/>
      <c r="T658" s="227"/>
      <c r="U658" s="227"/>
    </row>
    <row r="659" spans="1:21" ht="12.75" customHeight="1" x14ac:dyDescent="0.25">
      <c r="A659" s="229"/>
      <c r="B659" s="227"/>
      <c r="C659" s="227"/>
      <c r="D659" s="243"/>
      <c r="E659" s="244"/>
      <c r="F659" s="245"/>
      <c r="G659" s="331"/>
      <c r="H659" s="332"/>
      <c r="I659" s="332"/>
      <c r="J659" s="332"/>
      <c r="K659" s="332"/>
      <c r="L659" s="332"/>
      <c r="M659" s="332"/>
      <c r="N659" s="332"/>
      <c r="O659" s="227"/>
      <c r="P659" s="227"/>
      <c r="Q659" s="227"/>
      <c r="R659" s="227"/>
      <c r="S659" s="227"/>
      <c r="T659" s="227"/>
      <c r="U659" s="227"/>
    </row>
    <row r="660" spans="1:21" ht="12.75" customHeight="1" x14ac:dyDescent="0.25">
      <c r="A660" s="229"/>
      <c r="B660" s="227"/>
      <c r="C660" s="227"/>
      <c r="D660" s="243"/>
      <c r="E660" s="244"/>
      <c r="F660" s="245"/>
      <c r="G660" s="331"/>
      <c r="H660" s="332"/>
      <c r="I660" s="332"/>
      <c r="J660" s="332"/>
      <c r="K660" s="332"/>
      <c r="L660" s="332"/>
      <c r="M660" s="332"/>
      <c r="N660" s="332"/>
      <c r="O660" s="227"/>
      <c r="P660" s="227"/>
      <c r="Q660" s="227"/>
      <c r="R660" s="227"/>
      <c r="S660" s="227"/>
      <c r="T660" s="227"/>
      <c r="U660" s="227"/>
    </row>
    <row r="661" spans="1:21" ht="12.75" customHeight="1" x14ac:dyDescent="0.25">
      <c r="A661" s="229"/>
      <c r="B661" s="227"/>
      <c r="C661" s="227"/>
      <c r="D661" s="243"/>
      <c r="E661" s="244"/>
      <c r="F661" s="245"/>
      <c r="G661" s="331"/>
      <c r="H661" s="332"/>
      <c r="I661" s="332"/>
      <c r="J661" s="332"/>
      <c r="K661" s="332"/>
      <c r="L661" s="332"/>
      <c r="M661" s="332"/>
      <c r="N661" s="332"/>
      <c r="O661" s="227"/>
      <c r="P661" s="227"/>
      <c r="Q661" s="227"/>
      <c r="R661" s="227"/>
      <c r="S661" s="227"/>
      <c r="T661" s="227"/>
      <c r="U661" s="227"/>
    </row>
    <row r="662" spans="1:21" ht="12.75" customHeight="1" x14ac:dyDescent="0.25">
      <c r="A662" s="229"/>
      <c r="B662" s="227"/>
      <c r="C662" s="227"/>
      <c r="D662" s="243"/>
      <c r="E662" s="244"/>
      <c r="F662" s="245"/>
      <c r="G662" s="331"/>
      <c r="H662" s="332"/>
      <c r="I662" s="332"/>
      <c r="J662" s="332"/>
      <c r="K662" s="332"/>
      <c r="L662" s="332"/>
      <c r="M662" s="332"/>
      <c r="N662" s="332"/>
      <c r="O662" s="227"/>
      <c r="P662" s="227"/>
      <c r="Q662" s="227"/>
      <c r="R662" s="227"/>
      <c r="S662" s="227"/>
      <c r="T662" s="227"/>
      <c r="U662" s="227"/>
    </row>
    <row r="663" spans="1:21" ht="12.75" customHeight="1" x14ac:dyDescent="0.25">
      <c r="A663" s="229"/>
      <c r="B663" s="227"/>
      <c r="C663" s="227"/>
      <c r="D663" s="243"/>
      <c r="E663" s="244"/>
      <c r="F663" s="245"/>
      <c r="G663" s="331"/>
      <c r="H663" s="332"/>
      <c r="I663" s="332"/>
      <c r="J663" s="332"/>
      <c r="K663" s="332"/>
      <c r="L663" s="332"/>
      <c r="M663" s="332"/>
      <c r="N663" s="332"/>
      <c r="O663" s="227"/>
      <c r="P663" s="227"/>
      <c r="Q663" s="227"/>
      <c r="R663" s="227"/>
      <c r="S663" s="227"/>
      <c r="T663" s="227"/>
      <c r="U663" s="227"/>
    </row>
    <row r="664" spans="1:21" ht="12.75" customHeight="1" x14ac:dyDescent="0.25">
      <c r="A664" s="229"/>
      <c r="B664" s="227"/>
      <c r="C664" s="227"/>
      <c r="D664" s="243"/>
      <c r="E664" s="244"/>
      <c r="F664" s="245"/>
      <c r="G664" s="331"/>
      <c r="H664" s="332"/>
      <c r="I664" s="332"/>
      <c r="J664" s="332"/>
      <c r="K664" s="332"/>
      <c r="L664" s="332"/>
      <c r="M664" s="332"/>
      <c r="N664" s="332"/>
      <c r="O664" s="227"/>
      <c r="P664" s="227"/>
      <c r="Q664" s="227"/>
      <c r="R664" s="227"/>
      <c r="S664" s="227"/>
      <c r="T664" s="227"/>
      <c r="U664" s="227"/>
    </row>
    <row r="665" spans="1:21" ht="12.75" customHeight="1" x14ac:dyDescent="0.25">
      <c r="A665" s="229"/>
      <c r="B665" s="227"/>
      <c r="C665" s="227"/>
      <c r="D665" s="243"/>
      <c r="E665" s="244"/>
      <c r="F665" s="245"/>
      <c r="G665" s="331"/>
      <c r="H665" s="332"/>
      <c r="I665" s="332"/>
      <c r="J665" s="332"/>
      <c r="K665" s="332"/>
      <c r="L665" s="332"/>
      <c r="M665" s="332"/>
      <c r="N665" s="332"/>
      <c r="O665" s="227"/>
      <c r="P665" s="227"/>
      <c r="Q665" s="227"/>
      <c r="R665" s="227"/>
      <c r="S665" s="227"/>
      <c r="T665" s="227"/>
      <c r="U665" s="227"/>
    </row>
    <row r="666" spans="1:21" ht="12.75" customHeight="1" x14ac:dyDescent="0.25">
      <c r="A666" s="229"/>
      <c r="B666" s="227"/>
      <c r="C666" s="227"/>
      <c r="D666" s="243"/>
      <c r="E666" s="244"/>
      <c r="F666" s="245"/>
      <c r="G666" s="331"/>
      <c r="H666" s="332"/>
      <c r="I666" s="332"/>
      <c r="J666" s="332"/>
      <c r="K666" s="332"/>
      <c r="L666" s="332"/>
      <c r="M666" s="332"/>
      <c r="N666" s="332"/>
      <c r="O666" s="227"/>
      <c r="P666" s="227"/>
      <c r="Q666" s="227"/>
      <c r="R666" s="227"/>
      <c r="S666" s="227"/>
      <c r="T666" s="227"/>
      <c r="U666" s="227"/>
    </row>
    <row r="667" spans="1:21" ht="12.75" customHeight="1" x14ac:dyDescent="0.25">
      <c r="A667" s="229"/>
      <c r="B667" s="227"/>
      <c r="C667" s="227"/>
      <c r="D667" s="243"/>
      <c r="E667" s="244"/>
      <c r="F667" s="245"/>
      <c r="G667" s="331"/>
      <c r="H667" s="332"/>
      <c r="I667" s="332"/>
      <c r="J667" s="332"/>
      <c r="K667" s="332"/>
      <c r="L667" s="332"/>
      <c r="M667" s="332"/>
      <c r="N667" s="332"/>
      <c r="O667" s="227"/>
      <c r="P667" s="227"/>
      <c r="Q667" s="227"/>
      <c r="R667" s="227"/>
      <c r="S667" s="227"/>
      <c r="T667" s="227"/>
      <c r="U667" s="227"/>
    </row>
    <row r="668" spans="1:21" ht="12.75" customHeight="1" x14ac:dyDescent="0.25">
      <c r="A668" s="229"/>
      <c r="B668" s="227"/>
      <c r="C668" s="227"/>
      <c r="D668" s="243"/>
      <c r="E668" s="244"/>
      <c r="F668" s="245"/>
      <c r="G668" s="331"/>
      <c r="H668" s="332"/>
      <c r="I668" s="332"/>
      <c r="J668" s="332"/>
      <c r="K668" s="332"/>
      <c r="L668" s="332"/>
      <c r="M668" s="332"/>
      <c r="N668" s="332"/>
      <c r="O668" s="227"/>
      <c r="P668" s="227"/>
      <c r="Q668" s="227"/>
      <c r="R668" s="227"/>
      <c r="S668" s="227"/>
      <c r="T668" s="227"/>
      <c r="U668" s="227"/>
    </row>
    <row r="669" spans="1:21" ht="12.75" customHeight="1" x14ac:dyDescent="0.25">
      <c r="A669" s="229"/>
      <c r="B669" s="227"/>
      <c r="C669" s="227"/>
      <c r="D669" s="243"/>
      <c r="E669" s="244"/>
      <c r="F669" s="245"/>
      <c r="G669" s="331"/>
      <c r="H669" s="332"/>
      <c r="I669" s="332"/>
      <c r="J669" s="332"/>
      <c r="K669" s="332"/>
      <c r="L669" s="332"/>
      <c r="M669" s="332"/>
      <c r="N669" s="332"/>
      <c r="O669" s="227"/>
      <c r="P669" s="227"/>
      <c r="Q669" s="227"/>
      <c r="R669" s="227"/>
      <c r="S669" s="227"/>
      <c r="T669" s="227"/>
      <c r="U669" s="227"/>
    </row>
    <row r="670" spans="1:21" ht="12.75" customHeight="1" x14ac:dyDescent="0.25">
      <c r="A670" s="229"/>
      <c r="B670" s="227"/>
      <c r="C670" s="227"/>
      <c r="D670" s="243"/>
      <c r="E670" s="244"/>
      <c r="F670" s="245"/>
      <c r="G670" s="331"/>
      <c r="H670" s="332"/>
      <c r="I670" s="332"/>
      <c r="J670" s="332"/>
      <c r="K670" s="332"/>
      <c r="L670" s="332"/>
      <c r="M670" s="332"/>
      <c r="N670" s="332"/>
      <c r="O670" s="227"/>
      <c r="P670" s="227"/>
      <c r="Q670" s="227"/>
      <c r="R670" s="227"/>
      <c r="S670" s="227"/>
      <c r="T670" s="227"/>
      <c r="U670" s="227"/>
    </row>
    <row r="671" spans="1:21" ht="12.75" customHeight="1" x14ac:dyDescent="0.25">
      <c r="A671" s="229"/>
      <c r="B671" s="227"/>
      <c r="C671" s="227"/>
      <c r="D671" s="243"/>
      <c r="E671" s="244"/>
      <c r="F671" s="245"/>
      <c r="G671" s="331"/>
      <c r="H671" s="332"/>
      <c r="I671" s="332"/>
      <c r="J671" s="332"/>
      <c r="K671" s="332"/>
      <c r="L671" s="332"/>
      <c r="M671" s="332"/>
      <c r="N671" s="332"/>
      <c r="O671" s="227"/>
      <c r="P671" s="227"/>
      <c r="Q671" s="227"/>
      <c r="R671" s="227"/>
      <c r="S671" s="227"/>
      <c r="T671" s="227"/>
      <c r="U671" s="227"/>
    </row>
    <row r="672" spans="1:21" ht="12.75" customHeight="1" x14ac:dyDescent="0.25">
      <c r="A672" s="229"/>
      <c r="B672" s="227"/>
      <c r="C672" s="227"/>
      <c r="D672" s="243"/>
      <c r="E672" s="244"/>
      <c r="F672" s="245"/>
      <c r="G672" s="331"/>
      <c r="H672" s="332"/>
      <c r="I672" s="332"/>
      <c r="J672" s="332"/>
      <c r="K672" s="332"/>
      <c r="L672" s="332"/>
      <c r="M672" s="332"/>
      <c r="N672" s="332"/>
      <c r="O672" s="227"/>
      <c r="P672" s="227"/>
      <c r="Q672" s="227"/>
      <c r="R672" s="227"/>
      <c r="S672" s="227"/>
      <c r="T672" s="227"/>
      <c r="U672" s="227"/>
    </row>
    <row r="673" spans="1:21" ht="12.75" customHeight="1" x14ac:dyDescent="0.25">
      <c r="A673" s="229"/>
      <c r="B673" s="227"/>
      <c r="C673" s="227"/>
      <c r="D673" s="243"/>
      <c r="E673" s="244"/>
      <c r="F673" s="245"/>
      <c r="G673" s="331"/>
      <c r="H673" s="332"/>
      <c r="I673" s="332"/>
      <c r="J673" s="332"/>
      <c r="K673" s="332"/>
      <c r="L673" s="332"/>
      <c r="M673" s="332"/>
      <c r="N673" s="332"/>
      <c r="O673" s="227"/>
      <c r="P673" s="227"/>
      <c r="Q673" s="227"/>
      <c r="R673" s="227"/>
      <c r="S673" s="227"/>
      <c r="T673" s="227"/>
      <c r="U673" s="227"/>
    </row>
    <row r="674" spans="1:21" ht="12.75" customHeight="1" x14ac:dyDescent="0.25">
      <c r="A674" s="229"/>
      <c r="B674" s="227"/>
      <c r="C674" s="227"/>
      <c r="D674" s="243"/>
      <c r="E674" s="244"/>
      <c r="F674" s="245"/>
      <c r="G674" s="331"/>
      <c r="H674" s="332"/>
      <c r="I674" s="332"/>
      <c r="J674" s="332"/>
      <c r="K674" s="332"/>
      <c r="L674" s="332"/>
      <c r="M674" s="332"/>
      <c r="N674" s="332"/>
      <c r="O674" s="227"/>
      <c r="P674" s="227"/>
      <c r="Q674" s="227"/>
      <c r="R674" s="227"/>
      <c r="S674" s="227"/>
      <c r="T674" s="227"/>
      <c r="U674" s="227"/>
    </row>
    <row r="675" spans="1:21" ht="12.75" customHeight="1" x14ac:dyDescent="0.25">
      <c r="A675" s="229"/>
      <c r="B675" s="227"/>
      <c r="C675" s="227"/>
      <c r="D675" s="243"/>
      <c r="E675" s="244"/>
      <c r="F675" s="245"/>
      <c r="G675" s="331"/>
      <c r="H675" s="332"/>
      <c r="I675" s="332"/>
      <c r="J675" s="332"/>
      <c r="K675" s="332"/>
      <c r="L675" s="332"/>
      <c r="M675" s="332"/>
      <c r="N675" s="332"/>
      <c r="O675" s="227"/>
      <c r="P675" s="227"/>
      <c r="Q675" s="227"/>
      <c r="R675" s="227"/>
      <c r="S675" s="227"/>
      <c r="T675" s="227"/>
      <c r="U675" s="227"/>
    </row>
    <row r="676" spans="1:21" ht="12.75" customHeight="1" x14ac:dyDescent="0.25">
      <c r="A676" s="229"/>
      <c r="B676" s="227"/>
      <c r="C676" s="227"/>
      <c r="D676" s="243"/>
      <c r="E676" s="244"/>
      <c r="F676" s="245"/>
      <c r="G676" s="331"/>
      <c r="H676" s="332"/>
      <c r="I676" s="332"/>
      <c r="J676" s="332"/>
      <c r="K676" s="332"/>
      <c r="L676" s="332"/>
      <c r="M676" s="332"/>
      <c r="N676" s="332"/>
      <c r="O676" s="227"/>
      <c r="P676" s="227"/>
      <c r="Q676" s="227"/>
      <c r="R676" s="227"/>
      <c r="S676" s="227"/>
      <c r="T676" s="227"/>
      <c r="U676" s="227"/>
    </row>
    <row r="677" spans="1:21" ht="12.75" customHeight="1" x14ac:dyDescent="0.25">
      <c r="A677" s="229"/>
      <c r="B677" s="227"/>
      <c r="C677" s="227"/>
      <c r="D677" s="243"/>
      <c r="E677" s="244"/>
      <c r="F677" s="245"/>
      <c r="G677" s="331"/>
      <c r="H677" s="332"/>
      <c r="I677" s="332"/>
      <c r="J677" s="332"/>
      <c r="K677" s="332"/>
      <c r="L677" s="332"/>
      <c r="M677" s="332"/>
      <c r="N677" s="332"/>
      <c r="O677" s="227"/>
      <c r="P677" s="227"/>
      <c r="Q677" s="227"/>
      <c r="R677" s="227"/>
      <c r="S677" s="227"/>
      <c r="T677" s="227"/>
      <c r="U677" s="227"/>
    </row>
    <row r="678" spans="1:21" ht="12.75" customHeight="1" x14ac:dyDescent="0.25">
      <c r="A678" s="229"/>
      <c r="B678" s="227"/>
      <c r="C678" s="227"/>
      <c r="D678" s="243"/>
      <c r="E678" s="244"/>
      <c r="F678" s="245"/>
      <c r="G678" s="331"/>
      <c r="H678" s="332"/>
      <c r="I678" s="332"/>
      <c r="J678" s="332"/>
      <c r="K678" s="332"/>
      <c r="L678" s="332"/>
      <c r="M678" s="332"/>
      <c r="N678" s="332"/>
      <c r="O678" s="227"/>
      <c r="P678" s="227"/>
      <c r="Q678" s="227"/>
      <c r="R678" s="227"/>
      <c r="S678" s="227"/>
      <c r="T678" s="227"/>
      <c r="U678" s="227"/>
    </row>
    <row r="679" spans="1:21" ht="12.75" customHeight="1" x14ac:dyDescent="0.25">
      <c r="A679" s="229"/>
      <c r="B679" s="227"/>
      <c r="C679" s="227"/>
      <c r="D679" s="243"/>
      <c r="E679" s="244"/>
      <c r="F679" s="245"/>
      <c r="G679" s="331"/>
      <c r="H679" s="332"/>
      <c r="I679" s="332"/>
      <c r="J679" s="332"/>
      <c r="K679" s="332"/>
      <c r="L679" s="332"/>
      <c r="M679" s="332"/>
      <c r="N679" s="332"/>
      <c r="O679" s="227"/>
      <c r="P679" s="227"/>
      <c r="Q679" s="227"/>
      <c r="R679" s="227"/>
      <c r="S679" s="227"/>
      <c r="T679" s="227"/>
      <c r="U679" s="227"/>
    </row>
    <row r="680" spans="1:21" ht="12.75" customHeight="1" x14ac:dyDescent="0.25">
      <c r="A680" s="229"/>
      <c r="B680" s="227"/>
      <c r="C680" s="227"/>
      <c r="D680" s="243"/>
      <c r="E680" s="244"/>
      <c r="F680" s="245"/>
      <c r="G680" s="331"/>
      <c r="H680" s="332"/>
      <c r="I680" s="332"/>
      <c r="J680" s="332"/>
      <c r="K680" s="332"/>
      <c r="L680" s="332"/>
      <c r="M680" s="332"/>
      <c r="N680" s="332"/>
      <c r="O680" s="227"/>
      <c r="P680" s="227"/>
      <c r="Q680" s="227"/>
      <c r="R680" s="227"/>
      <c r="S680" s="227"/>
      <c r="T680" s="227"/>
      <c r="U680" s="227"/>
    </row>
    <row r="681" spans="1:21" ht="12.75" customHeight="1" x14ac:dyDescent="0.25">
      <c r="A681" s="229"/>
      <c r="B681" s="227"/>
      <c r="C681" s="227"/>
      <c r="D681" s="243"/>
      <c r="E681" s="244"/>
      <c r="F681" s="245"/>
      <c r="G681" s="331"/>
      <c r="H681" s="332"/>
      <c r="I681" s="332"/>
      <c r="J681" s="332"/>
      <c r="K681" s="332"/>
      <c r="L681" s="332"/>
      <c r="M681" s="332"/>
      <c r="N681" s="332"/>
      <c r="O681" s="227"/>
      <c r="P681" s="227"/>
      <c r="Q681" s="227"/>
      <c r="R681" s="227"/>
      <c r="S681" s="227"/>
      <c r="T681" s="227"/>
      <c r="U681" s="227"/>
    </row>
    <row r="682" spans="1:21" ht="12.75" customHeight="1" x14ac:dyDescent="0.25">
      <c r="A682" s="229"/>
      <c r="B682" s="227"/>
      <c r="C682" s="227"/>
      <c r="D682" s="243"/>
      <c r="E682" s="244"/>
      <c r="F682" s="245"/>
      <c r="G682" s="331"/>
      <c r="H682" s="332"/>
      <c r="I682" s="332"/>
      <c r="J682" s="332"/>
      <c r="K682" s="332"/>
      <c r="L682" s="332"/>
      <c r="M682" s="332"/>
      <c r="N682" s="332"/>
      <c r="O682" s="227"/>
      <c r="P682" s="227"/>
      <c r="Q682" s="227"/>
      <c r="R682" s="227"/>
      <c r="S682" s="227"/>
      <c r="T682" s="227"/>
      <c r="U682" s="227"/>
    </row>
    <row r="683" spans="1:21" ht="12.75" customHeight="1" x14ac:dyDescent="0.25">
      <c r="A683" s="229"/>
      <c r="B683" s="227"/>
      <c r="C683" s="227"/>
      <c r="D683" s="243"/>
      <c r="E683" s="244"/>
      <c r="F683" s="245"/>
      <c r="G683" s="331"/>
      <c r="H683" s="332"/>
      <c r="I683" s="332"/>
      <c r="J683" s="332"/>
      <c r="K683" s="332"/>
      <c r="L683" s="332"/>
      <c r="M683" s="332"/>
      <c r="N683" s="332"/>
      <c r="O683" s="227"/>
      <c r="P683" s="227"/>
      <c r="Q683" s="227"/>
      <c r="R683" s="227"/>
      <c r="S683" s="227"/>
      <c r="T683" s="227"/>
      <c r="U683" s="227"/>
    </row>
    <row r="684" spans="1:21" ht="12.75" customHeight="1" x14ac:dyDescent="0.25">
      <c r="A684" s="229"/>
      <c r="B684" s="227"/>
      <c r="C684" s="227"/>
      <c r="D684" s="243"/>
      <c r="E684" s="244"/>
      <c r="F684" s="245"/>
      <c r="G684" s="331"/>
      <c r="H684" s="332"/>
      <c r="I684" s="332"/>
      <c r="J684" s="332"/>
      <c r="K684" s="332"/>
      <c r="L684" s="332"/>
      <c r="M684" s="332"/>
      <c r="N684" s="332"/>
      <c r="O684" s="227"/>
      <c r="P684" s="227"/>
      <c r="Q684" s="227"/>
      <c r="R684" s="227"/>
      <c r="S684" s="227"/>
      <c r="T684" s="227"/>
      <c r="U684" s="227"/>
    </row>
    <row r="685" spans="1:21" ht="12.75" customHeight="1" x14ac:dyDescent="0.25">
      <c r="A685" s="229"/>
      <c r="B685" s="227"/>
      <c r="C685" s="227"/>
      <c r="D685" s="243"/>
      <c r="E685" s="244"/>
      <c r="F685" s="245"/>
      <c r="G685" s="331"/>
      <c r="H685" s="332"/>
      <c r="I685" s="332"/>
      <c r="J685" s="332"/>
      <c r="K685" s="332"/>
      <c r="L685" s="332"/>
      <c r="M685" s="332"/>
      <c r="N685" s="332"/>
      <c r="O685" s="227"/>
      <c r="P685" s="227"/>
      <c r="Q685" s="227"/>
      <c r="R685" s="227"/>
      <c r="S685" s="227"/>
      <c r="T685" s="227"/>
      <c r="U685" s="227"/>
    </row>
    <row r="686" spans="1:21" ht="12.75" customHeight="1" x14ac:dyDescent="0.25">
      <c r="A686" s="229"/>
      <c r="B686" s="227"/>
      <c r="C686" s="227"/>
      <c r="D686" s="243"/>
      <c r="E686" s="244"/>
      <c r="F686" s="245"/>
      <c r="G686" s="331"/>
      <c r="H686" s="332"/>
      <c r="I686" s="332"/>
      <c r="J686" s="332"/>
      <c r="K686" s="332"/>
      <c r="L686" s="332"/>
      <c r="M686" s="332"/>
      <c r="N686" s="332"/>
      <c r="O686" s="227"/>
      <c r="P686" s="227"/>
      <c r="Q686" s="227"/>
      <c r="R686" s="227"/>
      <c r="S686" s="227"/>
      <c r="T686" s="227"/>
      <c r="U686" s="227"/>
    </row>
    <row r="687" spans="1:21" ht="12.75" customHeight="1" x14ac:dyDescent="0.25">
      <c r="A687" s="229"/>
      <c r="B687" s="227"/>
      <c r="C687" s="227"/>
      <c r="D687" s="243"/>
      <c r="E687" s="244"/>
      <c r="F687" s="245"/>
      <c r="G687" s="331"/>
      <c r="H687" s="332"/>
      <c r="I687" s="332"/>
      <c r="J687" s="332"/>
      <c r="K687" s="332"/>
      <c r="L687" s="332"/>
      <c r="M687" s="332"/>
      <c r="N687" s="332"/>
      <c r="O687" s="227"/>
      <c r="P687" s="227"/>
      <c r="Q687" s="227"/>
      <c r="R687" s="227"/>
      <c r="S687" s="227"/>
      <c r="T687" s="227"/>
      <c r="U687" s="227"/>
    </row>
    <row r="688" spans="1:21" ht="12.75" customHeight="1" x14ac:dyDescent="0.25">
      <c r="A688" s="229"/>
      <c r="B688" s="227"/>
      <c r="C688" s="227"/>
      <c r="D688" s="243"/>
      <c r="E688" s="244"/>
      <c r="F688" s="245"/>
      <c r="G688" s="331"/>
      <c r="H688" s="332"/>
      <c r="I688" s="332"/>
      <c r="J688" s="332"/>
      <c r="K688" s="332"/>
      <c r="L688" s="332"/>
      <c r="M688" s="332"/>
      <c r="N688" s="332"/>
      <c r="O688" s="227"/>
      <c r="P688" s="227"/>
      <c r="Q688" s="227"/>
      <c r="R688" s="227"/>
      <c r="S688" s="227"/>
      <c r="T688" s="227"/>
      <c r="U688" s="227"/>
    </row>
    <row r="689" spans="1:21" ht="12.75" customHeight="1" x14ac:dyDescent="0.25">
      <c r="A689" s="229"/>
      <c r="B689" s="227"/>
      <c r="C689" s="227"/>
      <c r="D689" s="243"/>
      <c r="E689" s="244"/>
      <c r="F689" s="245"/>
      <c r="G689" s="331"/>
      <c r="H689" s="332"/>
      <c r="I689" s="332"/>
      <c r="J689" s="332"/>
      <c r="K689" s="332"/>
      <c r="L689" s="332"/>
      <c r="M689" s="332"/>
      <c r="N689" s="332"/>
      <c r="O689" s="227"/>
      <c r="P689" s="227"/>
      <c r="Q689" s="227"/>
      <c r="R689" s="227"/>
      <c r="S689" s="227"/>
      <c r="T689" s="227"/>
      <c r="U689" s="227"/>
    </row>
    <row r="690" spans="1:21" ht="12.75" customHeight="1" x14ac:dyDescent="0.25">
      <c r="A690" s="229"/>
      <c r="B690" s="227"/>
      <c r="C690" s="227"/>
      <c r="D690" s="243"/>
      <c r="E690" s="244"/>
      <c r="F690" s="245"/>
      <c r="G690" s="331"/>
      <c r="H690" s="332"/>
      <c r="I690" s="332"/>
      <c r="J690" s="332"/>
      <c r="K690" s="332"/>
      <c r="L690" s="332"/>
      <c r="M690" s="332"/>
      <c r="N690" s="332"/>
      <c r="O690" s="227"/>
      <c r="P690" s="227"/>
      <c r="Q690" s="227"/>
      <c r="R690" s="227"/>
      <c r="S690" s="227"/>
      <c r="T690" s="227"/>
      <c r="U690" s="227"/>
    </row>
    <row r="691" spans="1:21" ht="12.75" customHeight="1" x14ac:dyDescent="0.25">
      <c r="A691" s="229"/>
      <c r="B691" s="227"/>
      <c r="C691" s="227"/>
      <c r="D691" s="243"/>
      <c r="E691" s="244"/>
      <c r="F691" s="245"/>
      <c r="G691" s="331"/>
      <c r="H691" s="332"/>
      <c r="I691" s="332"/>
      <c r="J691" s="332"/>
      <c r="K691" s="332"/>
      <c r="L691" s="332"/>
      <c r="M691" s="332"/>
      <c r="N691" s="332"/>
      <c r="O691" s="227"/>
      <c r="P691" s="227"/>
      <c r="Q691" s="227"/>
      <c r="R691" s="227"/>
      <c r="S691" s="227"/>
      <c r="T691" s="227"/>
      <c r="U691" s="227"/>
    </row>
    <row r="692" spans="1:21" ht="12.75" customHeight="1" x14ac:dyDescent="0.25">
      <c r="A692" s="229"/>
      <c r="B692" s="227"/>
      <c r="C692" s="227"/>
      <c r="D692" s="243"/>
      <c r="E692" s="244"/>
      <c r="F692" s="245"/>
      <c r="G692" s="331"/>
      <c r="H692" s="332"/>
      <c r="I692" s="332"/>
      <c r="J692" s="332"/>
      <c r="K692" s="332"/>
      <c r="L692" s="332"/>
      <c r="M692" s="332"/>
      <c r="N692" s="332"/>
      <c r="O692" s="227"/>
      <c r="P692" s="227"/>
      <c r="Q692" s="227"/>
      <c r="R692" s="227"/>
      <c r="S692" s="227"/>
      <c r="T692" s="227"/>
      <c r="U692" s="227"/>
    </row>
    <row r="693" spans="1:21" ht="12.75" customHeight="1" x14ac:dyDescent="0.25">
      <c r="A693" s="229"/>
      <c r="B693" s="227"/>
      <c r="C693" s="227"/>
      <c r="D693" s="243"/>
      <c r="E693" s="244"/>
      <c r="F693" s="245"/>
      <c r="G693" s="331"/>
      <c r="H693" s="332"/>
      <c r="I693" s="332"/>
      <c r="J693" s="332"/>
      <c r="K693" s="332"/>
      <c r="L693" s="332"/>
      <c r="M693" s="332"/>
      <c r="N693" s="332"/>
      <c r="O693" s="227"/>
      <c r="P693" s="227"/>
      <c r="Q693" s="227"/>
      <c r="R693" s="227"/>
      <c r="S693" s="227"/>
      <c r="T693" s="227"/>
      <c r="U693" s="227"/>
    </row>
    <row r="694" spans="1:21" ht="12.75" customHeight="1" x14ac:dyDescent="0.25">
      <c r="A694" s="229"/>
      <c r="B694" s="227"/>
      <c r="C694" s="227"/>
      <c r="D694" s="243"/>
      <c r="E694" s="244"/>
      <c r="F694" s="245"/>
      <c r="G694" s="331"/>
      <c r="H694" s="332"/>
      <c r="I694" s="332"/>
      <c r="J694" s="332"/>
      <c r="K694" s="332"/>
      <c r="L694" s="332"/>
      <c r="M694" s="332"/>
      <c r="N694" s="332"/>
      <c r="O694" s="227"/>
      <c r="P694" s="227"/>
      <c r="Q694" s="227"/>
      <c r="R694" s="227"/>
      <c r="S694" s="227"/>
      <c r="T694" s="227"/>
      <c r="U694" s="227"/>
    </row>
    <row r="695" spans="1:21" ht="12.75" customHeight="1" x14ac:dyDescent="0.25">
      <c r="A695" s="229"/>
      <c r="B695" s="227"/>
      <c r="C695" s="227"/>
      <c r="D695" s="243"/>
      <c r="E695" s="244"/>
      <c r="F695" s="245"/>
      <c r="G695" s="331"/>
      <c r="H695" s="332"/>
      <c r="I695" s="332"/>
      <c r="J695" s="332"/>
      <c r="K695" s="332"/>
      <c r="L695" s="332"/>
      <c r="M695" s="332"/>
      <c r="N695" s="332"/>
      <c r="O695" s="227"/>
      <c r="P695" s="227"/>
      <c r="Q695" s="227"/>
      <c r="R695" s="227"/>
      <c r="S695" s="227"/>
      <c r="T695" s="227"/>
      <c r="U695" s="227"/>
    </row>
    <row r="696" spans="1:21" ht="12.75" customHeight="1" x14ac:dyDescent="0.25">
      <c r="A696" s="229"/>
      <c r="B696" s="227"/>
      <c r="C696" s="227"/>
      <c r="D696" s="243"/>
      <c r="E696" s="244"/>
      <c r="F696" s="245"/>
      <c r="G696" s="331"/>
      <c r="H696" s="332"/>
      <c r="I696" s="332"/>
      <c r="J696" s="332"/>
      <c r="K696" s="332"/>
      <c r="L696" s="332"/>
      <c r="M696" s="332"/>
      <c r="N696" s="332"/>
      <c r="O696" s="227"/>
      <c r="P696" s="227"/>
      <c r="Q696" s="227"/>
      <c r="R696" s="227"/>
      <c r="S696" s="227"/>
      <c r="T696" s="227"/>
      <c r="U696" s="227"/>
    </row>
    <row r="697" spans="1:21" ht="12.75" customHeight="1" x14ac:dyDescent="0.25">
      <c r="A697" s="229"/>
      <c r="B697" s="227"/>
      <c r="C697" s="227"/>
      <c r="D697" s="243"/>
      <c r="E697" s="244"/>
      <c r="F697" s="245"/>
      <c r="G697" s="331"/>
      <c r="H697" s="332"/>
      <c r="I697" s="332"/>
      <c r="J697" s="332"/>
      <c r="K697" s="332"/>
      <c r="L697" s="332"/>
      <c r="M697" s="332"/>
      <c r="N697" s="332"/>
      <c r="O697" s="227"/>
      <c r="P697" s="227"/>
      <c r="Q697" s="227"/>
      <c r="R697" s="227"/>
      <c r="S697" s="227"/>
      <c r="T697" s="227"/>
      <c r="U697" s="227"/>
    </row>
    <row r="698" spans="1:21" ht="12.75" customHeight="1" x14ac:dyDescent="0.25">
      <c r="A698" s="229"/>
      <c r="B698" s="227"/>
      <c r="C698" s="227"/>
      <c r="D698" s="243"/>
      <c r="E698" s="244"/>
      <c r="F698" s="245"/>
      <c r="G698" s="331"/>
      <c r="H698" s="332"/>
      <c r="I698" s="332"/>
      <c r="J698" s="332"/>
      <c r="K698" s="332"/>
      <c r="L698" s="332"/>
      <c r="M698" s="332"/>
      <c r="N698" s="332"/>
      <c r="O698" s="227"/>
      <c r="P698" s="227"/>
      <c r="Q698" s="227"/>
      <c r="R698" s="227"/>
      <c r="S698" s="227"/>
      <c r="T698" s="227"/>
      <c r="U698" s="227"/>
    </row>
    <row r="699" spans="1:21" ht="12.75" customHeight="1" x14ac:dyDescent="0.25">
      <c r="A699" s="229"/>
      <c r="B699" s="227"/>
      <c r="C699" s="227"/>
      <c r="D699" s="243"/>
      <c r="E699" s="244"/>
      <c r="F699" s="245"/>
      <c r="G699" s="331"/>
      <c r="H699" s="332"/>
      <c r="I699" s="332"/>
      <c r="J699" s="332"/>
      <c r="K699" s="332"/>
      <c r="L699" s="332"/>
      <c r="M699" s="332"/>
      <c r="N699" s="332"/>
      <c r="O699" s="227"/>
      <c r="P699" s="227"/>
      <c r="Q699" s="227"/>
      <c r="R699" s="227"/>
      <c r="S699" s="227"/>
      <c r="T699" s="227"/>
      <c r="U699" s="227"/>
    </row>
    <row r="700" spans="1:21" ht="12.75" customHeight="1" x14ac:dyDescent="0.25">
      <c r="A700" s="229"/>
      <c r="B700" s="227"/>
      <c r="C700" s="227"/>
      <c r="D700" s="243"/>
      <c r="E700" s="244"/>
      <c r="F700" s="245"/>
      <c r="G700" s="331"/>
      <c r="H700" s="332"/>
      <c r="I700" s="332"/>
      <c r="J700" s="332"/>
      <c r="K700" s="332"/>
      <c r="L700" s="332"/>
      <c r="M700" s="332"/>
      <c r="N700" s="332"/>
      <c r="O700" s="227"/>
      <c r="P700" s="227"/>
      <c r="Q700" s="227"/>
      <c r="R700" s="227"/>
      <c r="S700" s="227"/>
      <c r="T700" s="227"/>
      <c r="U700" s="227"/>
    </row>
    <row r="701" spans="1:21" ht="12.75" customHeight="1" x14ac:dyDescent="0.25">
      <c r="A701" s="229"/>
      <c r="B701" s="227"/>
      <c r="C701" s="227"/>
      <c r="D701" s="243"/>
      <c r="E701" s="244"/>
      <c r="F701" s="245"/>
      <c r="G701" s="331"/>
      <c r="H701" s="332"/>
      <c r="I701" s="332"/>
      <c r="J701" s="332"/>
      <c r="K701" s="332"/>
      <c r="L701" s="332"/>
      <c r="M701" s="332"/>
      <c r="N701" s="332"/>
      <c r="O701" s="227"/>
      <c r="P701" s="227"/>
      <c r="Q701" s="227"/>
      <c r="R701" s="227"/>
      <c r="S701" s="227"/>
      <c r="T701" s="227"/>
      <c r="U701" s="227"/>
    </row>
    <row r="702" spans="1:21" ht="12.75" customHeight="1" x14ac:dyDescent="0.25">
      <c r="A702" s="229"/>
      <c r="B702" s="227"/>
      <c r="C702" s="227"/>
      <c r="D702" s="243"/>
      <c r="E702" s="244"/>
      <c r="F702" s="245"/>
      <c r="G702" s="331"/>
      <c r="H702" s="332"/>
      <c r="I702" s="332"/>
      <c r="J702" s="332"/>
      <c r="K702" s="332"/>
      <c r="L702" s="332"/>
      <c r="M702" s="332"/>
      <c r="N702" s="332"/>
      <c r="O702" s="227"/>
      <c r="P702" s="227"/>
      <c r="Q702" s="227"/>
      <c r="R702" s="227"/>
      <c r="S702" s="227"/>
      <c r="T702" s="227"/>
      <c r="U702" s="227"/>
    </row>
    <row r="703" spans="1:21" ht="12.75" customHeight="1" x14ac:dyDescent="0.25">
      <c r="A703" s="229"/>
      <c r="B703" s="227"/>
      <c r="C703" s="227"/>
      <c r="D703" s="243"/>
      <c r="E703" s="244"/>
      <c r="F703" s="245"/>
      <c r="G703" s="331"/>
      <c r="H703" s="332"/>
      <c r="I703" s="332"/>
      <c r="J703" s="332"/>
      <c r="K703" s="332"/>
      <c r="L703" s="332"/>
      <c r="M703" s="332"/>
      <c r="N703" s="332"/>
      <c r="O703" s="227"/>
      <c r="P703" s="227"/>
      <c r="Q703" s="227"/>
      <c r="R703" s="227"/>
      <c r="S703" s="227"/>
      <c r="T703" s="227"/>
      <c r="U703" s="227"/>
    </row>
    <row r="704" spans="1:21" ht="12.75" customHeight="1" x14ac:dyDescent="0.25">
      <c r="A704" s="229"/>
      <c r="B704" s="227"/>
      <c r="C704" s="227"/>
      <c r="D704" s="243"/>
      <c r="E704" s="244"/>
      <c r="F704" s="245"/>
      <c r="G704" s="331"/>
      <c r="H704" s="332"/>
      <c r="I704" s="332"/>
      <c r="J704" s="332"/>
      <c r="K704" s="332"/>
      <c r="L704" s="332"/>
      <c r="M704" s="332"/>
      <c r="N704" s="332"/>
      <c r="O704" s="227"/>
      <c r="P704" s="227"/>
      <c r="Q704" s="227"/>
      <c r="R704" s="227"/>
      <c r="S704" s="227"/>
      <c r="T704" s="227"/>
      <c r="U704" s="227"/>
    </row>
    <row r="705" spans="1:21" ht="12.75" customHeight="1" x14ac:dyDescent="0.25">
      <c r="A705" s="229"/>
      <c r="B705" s="227"/>
      <c r="C705" s="227"/>
      <c r="D705" s="243"/>
      <c r="E705" s="244"/>
      <c r="F705" s="245"/>
      <c r="G705" s="331"/>
      <c r="H705" s="332"/>
      <c r="I705" s="332"/>
      <c r="J705" s="332"/>
      <c r="K705" s="332"/>
      <c r="L705" s="332"/>
      <c r="M705" s="332"/>
      <c r="N705" s="332"/>
      <c r="O705" s="227"/>
      <c r="P705" s="227"/>
      <c r="Q705" s="227"/>
      <c r="R705" s="227"/>
      <c r="S705" s="227"/>
      <c r="T705" s="227"/>
      <c r="U705" s="227"/>
    </row>
    <row r="706" spans="1:21" ht="12.75" customHeight="1" x14ac:dyDescent="0.25">
      <c r="A706" s="229"/>
      <c r="B706" s="227"/>
      <c r="C706" s="227"/>
      <c r="D706" s="243"/>
      <c r="E706" s="244"/>
      <c r="F706" s="245"/>
      <c r="G706" s="331"/>
      <c r="H706" s="332"/>
      <c r="I706" s="332"/>
      <c r="J706" s="332"/>
      <c r="K706" s="332"/>
      <c r="L706" s="332"/>
      <c r="M706" s="332"/>
      <c r="N706" s="332"/>
      <c r="O706" s="227"/>
      <c r="P706" s="227"/>
      <c r="Q706" s="227"/>
      <c r="R706" s="227"/>
      <c r="S706" s="227"/>
      <c r="T706" s="227"/>
      <c r="U706" s="227"/>
    </row>
    <row r="707" spans="1:21" ht="12.75" customHeight="1" x14ac:dyDescent="0.25">
      <c r="A707" s="229"/>
      <c r="B707" s="227"/>
      <c r="C707" s="227"/>
      <c r="D707" s="243"/>
      <c r="E707" s="244"/>
      <c r="F707" s="245"/>
      <c r="G707" s="331"/>
      <c r="H707" s="332"/>
      <c r="I707" s="332"/>
      <c r="J707" s="332"/>
      <c r="K707" s="332"/>
      <c r="L707" s="332"/>
      <c r="M707" s="332"/>
      <c r="N707" s="332"/>
      <c r="O707" s="227"/>
      <c r="P707" s="227"/>
      <c r="Q707" s="227"/>
      <c r="R707" s="227"/>
      <c r="S707" s="227"/>
      <c r="T707" s="227"/>
      <c r="U707" s="227"/>
    </row>
    <row r="708" spans="1:21" ht="12.75" customHeight="1" x14ac:dyDescent="0.25">
      <c r="A708" s="229"/>
      <c r="B708" s="227"/>
      <c r="C708" s="227"/>
      <c r="D708" s="243"/>
      <c r="E708" s="244"/>
      <c r="F708" s="245"/>
      <c r="G708" s="331"/>
      <c r="H708" s="332"/>
      <c r="I708" s="332"/>
      <c r="J708" s="332"/>
      <c r="K708" s="332"/>
      <c r="L708" s="332"/>
      <c r="M708" s="332"/>
      <c r="N708" s="332"/>
      <c r="O708" s="227"/>
      <c r="P708" s="227"/>
      <c r="Q708" s="227"/>
      <c r="R708" s="227"/>
      <c r="S708" s="227"/>
      <c r="T708" s="227"/>
      <c r="U708" s="227"/>
    </row>
    <row r="709" spans="1:21" ht="12.75" customHeight="1" x14ac:dyDescent="0.25">
      <c r="A709" s="229"/>
      <c r="B709" s="227"/>
      <c r="C709" s="227"/>
      <c r="D709" s="243"/>
      <c r="E709" s="244"/>
      <c r="F709" s="245"/>
      <c r="G709" s="331"/>
      <c r="H709" s="332"/>
      <c r="I709" s="332"/>
      <c r="J709" s="332"/>
      <c r="K709" s="332"/>
      <c r="L709" s="332"/>
      <c r="M709" s="332"/>
      <c r="N709" s="332"/>
      <c r="O709" s="227"/>
      <c r="P709" s="227"/>
      <c r="Q709" s="227"/>
      <c r="R709" s="227"/>
      <c r="S709" s="227"/>
      <c r="T709" s="227"/>
      <c r="U709" s="227"/>
    </row>
    <row r="710" spans="1:21" ht="12.75" customHeight="1" x14ac:dyDescent="0.25">
      <c r="A710" s="229"/>
      <c r="B710" s="227"/>
      <c r="C710" s="227"/>
      <c r="D710" s="243"/>
      <c r="E710" s="244"/>
      <c r="F710" s="245"/>
      <c r="G710" s="331"/>
      <c r="H710" s="332"/>
      <c r="I710" s="332"/>
      <c r="J710" s="332"/>
      <c r="K710" s="332"/>
      <c r="L710" s="332"/>
      <c r="M710" s="332"/>
      <c r="N710" s="332"/>
      <c r="O710" s="227"/>
      <c r="P710" s="227"/>
      <c r="Q710" s="227"/>
      <c r="R710" s="227"/>
      <c r="S710" s="227"/>
      <c r="T710" s="227"/>
      <c r="U710" s="227"/>
    </row>
    <row r="711" spans="1:21" ht="12.75" customHeight="1" x14ac:dyDescent="0.25">
      <c r="A711" s="229"/>
      <c r="B711" s="227"/>
      <c r="C711" s="227"/>
      <c r="D711" s="243"/>
      <c r="E711" s="244"/>
      <c r="F711" s="245"/>
      <c r="G711" s="331"/>
      <c r="H711" s="332"/>
      <c r="I711" s="332"/>
      <c r="J711" s="332"/>
      <c r="K711" s="332"/>
      <c r="L711" s="332"/>
      <c r="M711" s="332"/>
      <c r="N711" s="332"/>
      <c r="O711" s="227"/>
      <c r="P711" s="227"/>
      <c r="Q711" s="227"/>
      <c r="R711" s="227"/>
      <c r="S711" s="227"/>
      <c r="T711" s="227"/>
      <c r="U711" s="227"/>
    </row>
    <row r="712" spans="1:21" ht="12.75" customHeight="1" x14ac:dyDescent="0.25">
      <c r="A712" s="229"/>
      <c r="B712" s="227"/>
      <c r="C712" s="227"/>
      <c r="D712" s="243"/>
      <c r="E712" s="244"/>
      <c r="F712" s="245"/>
      <c r="G712" s="331"/>
      <c r="H712" s="332"/>
      <c r="I712" s="332"/>
      <c r="J712" s="332"/>
      <c r="K712" s="332"/>
      <c r="L712" s="332"/>
      <c r="M712" s="332"/>
      <c r="N712" s="332"/>
      <c r="O712" s="227"/>
      <c r="P712" s="227"/>
      <c r="Q712" s="227"/>
      <c r="R712" s="227"/>
      <c r="S712" s="227"/>
      <c r="T712" s="227"/>
      <c r="U712" s="227"/>
    </row>
    <row r="713" spans="1:21" ht="12.75" customHeight="1" x14ac:dyDescent="0.25">
      <c r="A713" s="229"/>
      <c r="B713" s="227"/>
      <c r="C713" s="227"/>
      <c r="D713" s="243"/>
      <c r="E713" s="244"/>
      <c r="F713" s="245"/>
      <c r="G713" s="331"/>
      <c r="H713" s="332"/>
      <c r="I713" s="332"/>
      <c r="J713" s="332"/>
      <c r="K713" s="332"/>
      <c r="L713" s="332"/>
      <c r="M713" s="332"/>
      <c r="N713" s="332"/>
      <c r="O713" s="227"/>
      <c r="P713" s="227"/>
      <c r="Q713" s="227"/>
      <c r="R713" s="227"/>
      <c r="S713" s="227"/>
      <c r="T713" s="227"/>
      <c r="U713" s="227"/>
    </row>
    <row r="714" spans="1:21" ht="12.75" customHeight="1" x14ac:dyDescent="0.25">
      <c r="A714" s="229"/>
      <c r="B714" s="227"/>
      <c r="C714" s="227"/>
      <c r="D714" s="243"/>
      <c r="E714" s="244"/>
      <c r="F714" s="245"/>
      <c r="G714" s="331"/>
      <c r="H714" s="332"/>
      <c r="I714" s="332"/>
      <c r="J714" s="332"/>
      <c r="K714" s="332"/>
      <c r="L714" s="332"/>
      <c r="M714" s="332"/>
      <c r="N714" s="332"/>
      <c r="O714" s="227"/>
      <c r="P714" s="227"/>
      <c r="Q714" s="227"/>
      <c r="R714" s="227"/>
      <c r="S714" s="227"/>
      <c r="T714" s="227"/>
      <c r="U714" s="227"/>
    </row>
    <row r="715" spans="1:21" ht="12.75" customHeight="1" x14ac:dyDescent="0.25">
      <c r="A715" s="229"/>
      <c r="B715" s="227"/>
      <c r="C715" s="227"/>
      <c r="D715" s="243"/>
      <c r="E715" s="244"/>
      <c r="F715" s="245"/>
      <c r="G715" s="331"/>
      <c r="H715" s="332"/>
      <c r="I715" s="332"/>
      <c r="J715" s="332"/>
      <c r="K715" s="332"/>
      <c r="L715" s="332"/>
      <c r="M715" s="332"/>
      <c r="N715" s="332"/>
      <c r="O715" s="227"/>
      <c r="P715" s="227"/>
      <c r="Q715" s="227"/>
      <c r="R715" s="227"/>
      <c r="S715" s="227"/>
      <c r="T715" s="227"/>
      <c r="U715" s="227"/>
    </row>
    <row r="716" spans="1:21" ht="12.75" customHeight="1" x14ac:dyDescent="0.25">
      <c r="A716" s="229"/>
      <c r="B716" s="227"/>
      <c r="C716" s="227"/>
      <c r="D716" s="243"/>
      <c r="E716" s="244"/>
      <c r="F716" s="245"/>
      <c r="G716" s="331"/>
      <c r="H716" s="332"/>
      <c r="I716" s="332"/>
      <c r="J716" s="332"/>
      <c r="K716" s="332"/>
      <c r="L716" s="332"/>
      <c r="M716" s="332"/>
      <c r="N716" s="332"/>
      <c r="O716" s="227"/>
      <c r="P716" s="227"/>
      <c r="Q716" s="227"/>
      <c r="R716" s="227"/>
      <c r="S716" s="227"/>
      <c r="T716" s="227"/>
      <c r="U716" s="227"/>
    </row>
    <row r="717" spans="1:21" ht="12.75" customHeight="1" x14ac:dyDescent="0.25">
      <c r="A717" s="229"/>
      <c r="B717" s="227"/>
      <c r="C717" s="227"/>
      <c r="D717" s="243"/>
      <c r="E717" s="244"/>
      <c r="F717" s="245"/>
      <c r="G717" s="331"/>
      <c r="H717" s="332"/>
      <c r="I717" s="332"/>
      <c r="J717" s="332"/>
      <c r="K717" s="332"/>
      <c r="L717" s="332"/>
      <c r="M717" s="332"/>
      <c r="N717" s="332"/>
      <c r="O717" s="227"/>
      <c r="P717" s="227"/>
      <c r="Q717" s="227"/>
      <c r="R717" s="227"/>
      <c r="S717" s="227"/>
      <c r="T717" s="227"/>
      <c r="U717" s="227"/>
    </row>
    <row r="718" spans="1:21" ht="12.75" customHeight="1" x14ac:dyDescent="0.25">
      <c r="A718" s="229"/>
      <c r="B718" s="227"/>
      <c r="C718" s="227"/>
      <c r="D718" s="243"/>
      <c r="E718" s="244"/>
      <c r="F718" s="245"/>
      <c r="G718" s="331"/>
      <c r="H718" s="332"/>
      <c r="I718" s="332"/>
      <c r="J718" s="332"/>
      <c r="K718" s="332"/>
      <c r="L718" s="332"/>
      <c r="M718" s="332"/>
      <c r="N718" s="332"/>
      <c r="O718" s="227"/>
      <c r="P718" s="227"/>
      <c r="Q718" s="227"/>
      <c r="R718" s="227"/>
      <c r="S718" s="227"/>
      <c r="T718" s="227"/>
      <c r="U718" s="227"/>
    </row>
    <row r="719" spans="1:21" ht="12.75" customHeight="1" x14ac:dyDescent="0.25">
      <c r="A719" s="229"/>
      <c r="B719" s="227"/>
      <c r="C719" s="227"/>
      <c r="D719" s="243"/>
      <c r="E719" s="244"/>
      <c r="F719" s="245"/>
      <c r="G719" s="331"/>
      <c r="H719" s="332"/>
      <c r="I719" s="332"/>
      <c r="J719" s="332"/>
      <c r="K719" s="332"/>
      <c r="L719" s="332"/>
      <c r="M719" s="332"/>
      <c r="N719" s="332"/>
      <c r="O719" s="227"/>
      <c r="P719" s="227"/>
      <c r="Q719" s="227"/>
      <c r="R719" s="227"/>
      <c r="S719" s="227"/>
      <c r="T719" s="227"/>
      <c r="U719" s="227"/>
    </row>
    <row r="720" spans="1:21" ht="12.75" customHeight="1" x14ac:dyDescent="0.25">
      <c r="A720" s="229"/>
      <c r="B720" s="227"/>
      <c r="C720" s="227"/>
      <c r="D720" s="243"/>
      <c r="E720" s="244"/>
      <c r="F720" s="245"/>
      <c r="G720" s="331"/>
      <c r="H720" s="332"/>
      <c r="I720" s="332"/>
      <c r="J720" s="332"/>
      <c r="K720" s="332"/>
      <c r="L720" s="332"/>
      <c r="M720" s="332"/>
      <c r="N720" s="332"/>
      <c r="O720" s="227"/>
      <c r="P720" s="227"/>
      <c r="Q720" s="227"/>
      <c r="R720" s="227"/>
      <c r="S720" s="227"/>
      <c r="T720" s="227"/>
      <c r="U720" s="227"/>
    </row>
    <row r="721" spans="1:21" ht="12.75" customHeight="1" x14ac:dyDescent="0.25">
      <c r="A721" s="229"/>
      <c r="B721" s="227"/>
      <c r="C721" s="227"/>
      <c r="D721" s="243"/>
      <c r="E721" s="244"/>
      <c r="F721" s="245"/>
      <c r="G721" s="331"/>
      <c r="H721" s="332"/>
      <c r="I721" s="332"/>
      <c r="J721" s="332"/>
      <c r="K721" s="332"/>
      <c r="L721" s="332"/>
      <c r="M721" s="332"/>
      <c r="N721" s="332"/>
      <c r="O721" s="227"/>
      <c r="P721" s="227"/>
      <c r="Q721" s="227"/>
      <c r="R721" s="227"/>
      <c r="S721" s="227"/>
      <c r="T721" s="227"/>
      <c r="U721" s="227"/>
    </row>
    <row r="722" spans="1:21" ht="12.75" customHeight="1" x14ac:dyDescent="0.25">
      <c r="A722" s="229"/>
      <c r="B722" s="227"/>
      <c r="C722" s="227"/>
      <c r="D722" s="243"/>
      <c r="E722" s="244"/>
      <c r="F722" s="245"/>
      <c r="G722" s="331"/>
      <c r="H722" s="332"/>
      <c r="I722" s="332"/>
      <c r="J722" s="332"/>
      <c r="K722" s="332"/>
      <c r="L722" s="332"/>
      <c r="M722" s="332"/>
      <c r="N722" s="332"/>
      <c r="O722" s="227"/>
      <c r="P722" s="227"/>
      <c r="Q722" s="227"/>
      <c r="R722" s="227"/>
      <c r="S722" s="227"/>
      <c r="T722" s="227"/>
      <c r="U722" s="227"/>
    </row>
    <row r="723" spans="1:21" ht="12.75" customHeight="1" x14ac:dyDescent="0.25">
      <c r="A723" s="229"/>
      <c r="B723" s="227"/>
      <c r="C723" s="227"/>
      <c r="D723" s="243"/>
      <c r="E723" s="244"/>
      <c r="F723" s="245"/>
      <c r="G723" s="331"/>
      <c r="H723" s="332"/>
      <c r="I723" s="332"/>
      <c r="J723" s="332"/>
      <c r="K723" s="332"/>
      <c r="L723" s="332"/>
      <c r="M723" s="332"/>
      <c r="N723" s="332"/>
      <c r="O723" s="227"/>
      <c r="P723" s="227"/>
      <c r="Q723" s="227"/>
      <c r="R723" s="227"/>
      <c r="S723" s="227"/>
      <c r="T723" s="227"/>
      <c r="U723" s="227"/>
    </row>
    <row r="724" spans="1:21" ht="12.75" customHeight="1" x14ac:dyDescent="0.25">
      <c r="A724" s="229"/>
      <c r="B724" s="227"/>
      <c r="C724" s="227"/>
      <c r="D724" s="243"/>
      <c r="E724" s="244"/>
      <c r="F724" s="245"/>
      <c r="G724" s="331"/>
      <c r="H724" s="332"/>
      <c r="I724" s="332"/>
      <c r="J724" s="332"/>
      <c r="K724" s="332"/>
      <c r="L724" s="332"/>
      <c r="M724" s="332"/>
      <c r="N724" s="332"/>
      <c r="O724" s="227"/>
      <c r="P724" s="227"/>
      <c r="Q724" s="227"/>
      <c r="R724" s="227"/>
      <c r="S724" s="227"/>
      <c r="T724" s="227"/>
      <c r="U724" s="227"/>
    </row>
    <row r="725" spans="1:21" ht="12.75" customHeight="1" x14ac:dyDescent="0.25">
      <c r="A725" s="229"/>
      <c r="B725" s="227"/>
      <c r="C725" s="227"/>
      <c r="D725" s="243"/>
      <c r="E725" s="244"/>
      <c r="F725" s="245"/>
      <c r="G725" s="331"/>
      <c r="H725" s="332"/>
      <c r="I725" s="332"/>
      <c r="J725" s="332"/>
      <c r="K725" s="332"/>
      <c r="L725" s="332"/>
      <c r="M725" s="332"/>
      <c r="N725" s="332"/>
      <c r="O725" s="227"/>
      <c r="P725" s="227"/>
      <c r="Q725" s="227"/>
      <c r="R725" s="227"/>
      <c r="S725" s="227"/>
      <c r="T725" s="227"/>
      <c r="U725" s="227"/>
    </row>
    <row r="726" spans="1:21" ht="12.75" customHeight="1" x14ac:dyDescent="0.25">
      <c r="A726" s="229"/>
      <c r="B726" s="227"/>
      <c r="C726" s="227"/>
      <c r="D726" s="243"/>
      <c r="E726" s="244"/>
      <c r="F726" s="245"/>
      <c r="G726" s="331"/>
      <c r="H726" s="332"/>
      <c r="I726" s="332"/>
      <c r="J726" s="332"/>
      <c r="K726" s="332"/>
      <c r="L726" s="332"/>
      <c r="M726" s="332"/>
      <c r="N726" s="332"/>
      <c r="O726" s="227"/>
      <c r="P726" s="227"/>
      <c r="Q726" s="227"/>
      <c r="R726" s="227"/>
      <c r="S726" s="227"/>
      <c r="T726" s="227"/>
      <c r="U726" s="227"/>
    </row>
    <row r="727" spans="1:21" ht="12.75" customHeight="1" x14ac:dyDescent="0.25">
      <c r="A727" s="229"/>
      <c r="B727" s="227"/>
      <c r="C727" s="227"/>
      <c r="D727" s="243"/>
      <c r="E727" s="244"/>
      <c r="F727" s="245"/>
      <c r="G727" s="331"/>
      <c r="H727" s="332"/>
      <c r="I727" s="332"/>
      <c r="J727" s="332"/>
      <c r="K727" s="332"/>
      <c r="L727" s="332"/>
      <c r="M727" s="332"/>
      <c r="N727" s="332"/>
      <c r="O727" s="227"/>
      <c r="P727" s="227"/>
      <c r="Q727" s="227"/>
      <c r="R727" s="227"/>
      <c r="S727" s="227"/>
      <c r="T727" s="227"/>
      <c r="U727" s="227"/>
    </row>
    <row r="728" spans="1:21" ht="12.75" customHeight="1" x14ac:dyDescent="0.25">
      <c r="A728" s="229"/>
      <c r="B728" s="227"/>
      <c r="C728" s="227"/>
      <c r="D728" s="243"/>
      <c r="E728" s="244"/>
      <c r="F728" s="245"/>
      <c r="G728" s="331"/>
      <c r="H728" s="332"/>
      <c r="I728" s="332"/>
      <c r="J728" s="332"/>
      <c r="K728" s="332"/>
      <c r="L728" s="332"/>
      <c r="M728" s="332"/>
      <c r="N728" s="332"/>
      <c r="O728" s="227"/>
      <c r="P728" s="227"/>
      <c r="Q728" s="227"/>
      <c r="R728" s="227"/>
      <c r="S728" s="227"/>
      <c r="T728" s="227"/>
      <c r="U728" s="227"/>
    </row>
    <row r="729" spans="1:21" ht="12.75" customHeight="1" x14ac:dyDescent="0.25">
      <c r="A729" s="229"/>
      <c r="B729" s="227"/>
      <c r="C729" s="227"/>
      <c r="D729" s="243"/>
      <c r="E729" s="244"/>
      <c r="F729" s="245"/>
      <c r="G729" s="331"/>
      <c r="H729" s="332"/>
      <c r="I729" s="332"/>
      <c r="J729" s="332"/>
      <c r="K729" s="332"/>
      <c r="L729" s="332"/>
      <c r="M729" s="332"/>
      <c r="N729" s="332"/>
      <c r="O729" s="227"/>
      <c r="P729" s="227"/>
      <c r="Q729" s="227"/>
      <c r="R729" s="227"/>
      <c r="S729" s="227"/>
      <c r="T729" s="227"/>
      <c r="U729" s="227"/>
    </row>
    <row r="730" spans="1:21" ht="12.75" customHeight="1" x14ac:dyDescent="0.25">
      <c r="A730" s="229"/>
      <c r="B730" s="227"/>
      <c r="C730" s="227"/>
      <c r="D730" s="243"/>
      <c r="E730" s="244"/>
      <c r="F730" s="245"/>
      <c r="G730" s="331"/>
      <c r="H730" s="332"/>
      <c r="I730" s="332"/>
      <c r="J730" s="332"/>
      <c r="K730" s="332"/>
      <c r="L730" s="332"/>
      <c r="M730" s="332"/>
      <c r="N730" s="332"/>
      <c r="O730" s="227"/>
      <c r="P730" s="227"/>
      <c r="Q730" s="227"/>
      <c r="R730" s="227"/>
      <c r="S730" s="227"/>
      <c r="T730" s="227"/>
      <c r="U730" s="227"/>
    </row>
    <row r="731" spans="1:21" ht="12.75" customHeight="1" x14ac:dyDescent="0.25">
      <c r="A731" s="229"/>
      <c r="B731" s="227"/>
      <c r="C731" s="227"/>
      <c r="D731" s="243"/>
      <c r="E731" s="244"/>
      <c r="F731" s="245"/>
      <c r="G731" s="331"/>
      <c r="H731" s="332"/>
      <c r="I731" s="332"/>
      <c r="J731" s="332"/>
      <c r="K731" s="332"/>
      <c r="L731" s="332"/>
      <c r="M731" s="332"/>
      <c r="N731" s="332"/>
      <c r="O731" s="227"/>
      <c r="P731" s="227"/>
      <c r="Q731" s="227"/>
      <c r="R731" s="227"/>
      <c r="S731" s="227"/>
      <c r="T731" s="227"/>
      <c r="U731" s="227"/>
    </row>
    <row r="732" spans="1:21" ht="12.75" customHeight="1" x14ac:dyDescent="0.25">
      <c r="A732" s="229"/>
      <c r="B732" s="227"/>
      <c r="C732" s="227"/>
      <c r="D732" s="243"/>
      <c r="E732" s="244"/>
      <c r="F732" s="245"/>
      <c r="G732" s="331"/>
      <c r="H732" s="332"/>
      <c r="I732" s="332"/>
      <c r="J732" s="332"/>
      <c r="K732" s="332"/>
      <c r="L732" s="332"/>
      <c r="M732" s="332"/>
      <c r="N732" s="332"/>
      <c r="O732" s="227"/>
      <c r="P732" s="227"/>
      <c r="Q732" s="227"/>
      <c r="R732" s="227"/>
      <c r="S732" s="227"/>
      <c r="T732" s="227"/>
      <c r="U732" s="227"/>
    </row>
    <row r="733" spans="1:21" ht="12.75" customHeight="1" x14ac:dyDescent="0.25">
      <c r="A733" s="229"/>
      <c r="B733" s="227"/>
      <c r="C733" s="227"/>
      <c r="D733" s="243"/>
      <c r="E733" s="244"/>
      <c r="F733" s="245"/>
      <c r="G733" s="331"/>
      <c r="H733" s="332"/>
      <c r="I733" s="332"/>
      <c r="J733" s="332"/>
      <c r="K733" s="332"/>
      <c r="L733" s="332"/>
      <c r="M733" s="332"/>
      <c r="N733" s="332"/>
      <c r="O733" s="227"/>
      <c r="P733" s="227"/>
      <c r="Q733" s="227"/>
      <c r="R733" s="227"/>
      <c r="S733" s="227"/>
      <c r="T733" s="227"/>
      <c r="U733" s="227"/>
    </row>
    <row r="734" spans="1:21" ht="12.75" customHeight="1" x14ac:dyDescent="0.25">
      <c r="A734" s="229"/>
      <c r="B734" s="227"/>
      <c r="C734" s="227"/>
      <c r="D734" s="243"/>
      <c r="E734" s="244"/>
      <c r="F734" s="245"/>
      <c r="G734" s="331"/>
      <c r="H734" s="332"/>
      <c r="I734" s="332"/>
      <c r="J734" s="332"/>
      <c r="K734" s="332"/>
      <c r="L734" s="332"/>
      <c r="M734" s="332"/>
      <c r="N734" s="332"/>
      <c r="O734" s="227"/>
      <c r="P734" s="227"/>
      <c r="Q734" s="227"/>
      <c r="R734" s="227"/>
      <c r="S734" s="227"/>
      <c r="T734" s="227"/>
      <c r="U734" s="227"/>
    </row>
    <row r="735" spans="1:21" ht="12.75" customHeight="1" x14ac:dyDescent="0.25">
      <c r="A735" s="229"/>
      <c r="B735" s="227"/>
      <c r="C735" s="227"/>
      <c r="D735" s="243"/>
      <c r="E735" s="244"/>
      <c r="F735" s="245"/>
      <c r="G735" s="331"/>
      <c r="H735" s="332"/>
      <c r="I735" s="332"/>
      <c r="J735" s="332"/>
      <c r="K735" s="332"/>
      <c r="L735" s="332"/>
      <c r="M735" s="332"/>
      <c r="N735" s="332"/>
      <c r="O735" s="227"/>
      <c r="P735" s="227"/>
      <c r="Q735" s="227"/>
      <c r="R735" s="227"/>
      <c r="S735" s="227"/>
      <c r="T735" s="227"/>
      <c r="U735" s="227"/>
    </row>
    <row r="736" spans="1:21" ht="12.75" customHeight="1" x14ac:dyDescent="0.25">
      <c r="A736" s="229"/>
      <c r="B736" s="227"/>
      <c r="C736" s="227"/>
      <c r="D736" s="243"/>
      <c r="E736" s="244"/>
      <c r="F736" s="245"/>
      <c r="G736" s="331"/>
      <c r="H736" s="332"/>
      <c r="I736" s="332"/>
      <c r="J736" s="332"/>
      <c r="K736" s="332"/>
      <c r="L736" s="332"/>
      <c r="M736" s="332"/>
      <c r="N736" s="332"/>
      <c r="O736" s="227"/>
      <c r="P736" s="227"/>
      <c r="Q736" s="227"/>
      <c r="R736" s="227"/>
      <c r="S736" s="227"/>
      <c r="T736" s="227"/>
      <c r="U736" s="227"/>
    </row>
    <row r="737" spans="1:21" ht="12.75" customHeight="1" x14ac:dyDescent="0.25">
      <c r="A737" s="229"/>
      <c r="B737" s="227"/>
      <c r="C737" s="227"/>
      <c r="D737" s="243"/>
      <c r="E737" s="244"/>
      <c r="F737" s="245"/>
      <c r="G737" s="331"/>
      <c r="H737" s="332"/>
      <c r="I737" s="332"/>
      <c r="J737" s="332"/>
      <c r="K737" s="332"/>
      <c r="L737" s="332"/>
      <c r="M737" s="332"/>
      <c r="N737" s="332"/>
      <c r="O737" s="227"/>
      <c r="P737" s="227"/>
      <c r="Q737" s="227"/>
      <c r="R737" s="227"/>
      <c r="S737" s="227"/>
      <c r="T737" s="227"/>
      <c r="U737" s="227"/>
    </row>
    <row r="738" spans="1:21" ht="12.75" customHeight="1" x14ac:dyDescent="0.25">
      <c r="A738" s="229"/>
      <c r="B738" s="227"/>
      <c r="C738" s="227"/>
      <c r="D738" s="243"/>
      <c r="E738" s="244"/>
      <c r="F738" s="245"/>
      <c r="G738" s="331"/>
      <c r="H738" s="332"/>
      <c r="I738" s="332"/>
      <c r="J738" s="332"/>
      <c r="K738" s="332"/>
      <c r="L738" s="332"/>
      <c r="M738" s="332"/>
      <c r="N738" s="332"/>
      <c r="O738" s="227"/>
      <c r="P738" s="227"/>
      <c r="Q738" s="227"/>
      <c r="R738" s="227"/>
      <c r="S738" s="227"/>
      <c r="T738" s="227"/>
      <c r="U738" s="227"/>
    </row>
    <row r="739" spans="1:21" ht="12.75" customHeight="1" x14ac:dyDescent="0.25">
      <c r="A739" s="229"/>
      <c r="B739" s="227"/>
      <c r="C739" s="227"/>
      <c r="D739" s="243"/>
      <c r="E739" s="244"/>
      <c r="F739" s="245"/>
      <c r="G739" s="331"/>
      <c r="H739" s="332"/>
      <c r="I739" s="332"/>
      <c r="J739" s="332"/>
      <c r="K739" s="332"/>
      <c r="L739" s="332"/>
      <c r="M739" s="332"/>
      <c r="N739" s="332"/>
      <c r="O739" s="227"/>
      <c r="P739" s="227"/>
      <c r="Q739" s="227"/>
      <c r="R739" s="227"/>
      <c r="S739" s="227"/>
      <c r="T739" s="227"/>
      <c r="U739" s="227"/>
    </row>
    <row r="740" spans="1:21" ht="12.75" customHeight="1" x14ac:dyDescent="0.25">
      <c r="A740" s="229"/>
      <c r="B740" s="227"/>
      <c r="C740" s="227"/>
      <c r="D740" s="243"/>
      <c r="E740" s="244"/>
      <c r="F740" s="245"/>
      <c r="G740" s="331"/>
      <c r="H740" s="332"/>
      <c r="I740" s="332"/>
      <c r="J740" s="332"/>
      <c r="K740" s="332"/>
      <c r="L740" s="332"/>
      <c r="M740" s="332"/>
      <c r="N740" s="332"/>
      <c r="O740" s="227"/>
      <c r="P740" s="227"/>
      <c r="Q740" s="227"/>
      <c r="R740" s="227"/>
      <c r="S740" s="227"/>
      <c r="T740" s="227"/>
      <c r="U740" s="227"/>
    </row>
    <row r="741" spans="1:21" ht="12.75" customHeight="1" x14ac:dyDescent="0.25">
      <c r="A741" s="229"/>
      <c r="B741" s="227"/>
      <c r="C741" s="227"/>
      <c r="D741" s="243"/>
      <c r="E741" s="244"/>
      <c r="F741" s="245"/>
      <c r="G741" s="331"/>
      <c r="H741" s="332"/>
      <c r="I741" s="332"/>
      <c r="J741" s="332"/>
      <c r="K741" s="332"/>
      <c r="L741" s="332"/>
      <c r="M741" s="332"/>
      <c r="N741" s="332"/>
      <c r="O741" s="227"/>
      <c r="P741" s="227"/>
      <c r="Q741" s="227"/>
      <c r="R741" s="227"/>
      <c r="S741" s="227"/>
      <c r="T741" s="227"/>
      <c r="U741" s="227"/>
    </row>
    <row r="742" spans="1:21" ht="12.75" customHeight="1" x14ac:dyDescent="0.25">
      <c r="A742" s="229"/>
      <c r="B742" s="227"/>
      <c r="C742" s="227"/>
      <c r="D742" s="243"/>
      <c r="E742" s="244"/>
      <c r="F742" s="245"/>
      <c r="G742" s="331"/>
      <c r="H742" s="332"/>
      <c r="I742" s="332"/>
      <c r="J742" s="332"/>
      <c r="K742" s="332"/>
      <c r="L742" s="332"/>
      <c r="M742" s="332"/>
      <c r="N742" s="332"/>
      <c r="O742" s="227"/>
      <c r="P742" s="227"/>
      <c r="Q742" s="227"/>
      <c r="R742" s="227"/>
      <c r="S742" s="227"/>
      <c r="T742" s="227"/>
      <c r="U742" s="227"/>
    </row>
    <row r="743" spans="1:21" ht="12.75" customHeight="1" x14ac:dyDescent="0.25">
      <c r="A743" s="229"/>
      <c r="B743" s="227"/>
      <c r="C743" s="227"/>
      <c r="D743" s="243"/>
      <c r="E743" s="244"/>
      <c r="F743" s="245"/>
      <c r="G743" s="331"/>
      <c r="H743" s="332"/>
      <c r="I743" s="332"/>
      <c r="J743" s="332"/>
      <c r="K743" s="332"/>
      <c r="L743" s="332"/>
      <c r="M743" s="332"/>
      <c r="N743" s="332"/>
      <c r="O743" s="227"/>
      <c r="P743" s="227"/>
      <c r="Q743" s="227"/>
      <c r="R743" s="227"/>
      <c r="S743" s="227"/>
      <c r="T743" s="227"/>
      <c r="U743" s="227"/>
    </row>
    <row r="744" spans="1:21" ht="12.75" customHeight="1" x14ac:dyDescent="0.25">
      <c r="A744" s="229"/>
      <c r="B744" s="227"/>
      <c r="C744" s="227"/>
      <c r="D744" s="243"/>
      <c r="E744" s="244"/>
      <c r="F744" s="245"/>
      <c r="G744" s="331"/>
      <c r="H744" s="332"/>
      <c r="I744" s="332"/>
      <c r="J744" s="332"/>
      <c r="K744" s="332"/>
      <c r="L744" s="332"/>
      <c r="M744" s="332"/>
      <c r="N744" s="332"/>
      <c r="O744" s="227"/>
      <c r="P744" s="227"/>
      <c r="Q744" s="227"/>
      <c r="R744" s="227"/>
      <c r="S744" s="227"/>
      <c r="T744" s="227"/>
      <c r="U744" s="227"/>
    </row>
    <row r="745" spans="1:21" ht="12.75" customHeight="1" x14ac:dyDescent="0.25">
      <c r="A745" s="229"/>
      <c r="B745" s="227"/>
      <c r="C745" s="227"/>
      <c r="D745" s="243"/>
      <c r="E745" s="244"/>
      <c r="F745" s="245"/>
      <c r="G745" s="331"/>
      <c r="H745" s="332"/>
      <c r="I745" s="332"/>
      <c r="J745" s="332"/>
      <c r="K745" s="332"/>
      <c r="L745" s="332"/>
      <c r="M745" s="332"/>
      <c r="N745" s="332"/>
      <c r="O745" s="227"/>
      <c r="P745" s="227"/>
      <c r="Q745" s="227"/>
      <c r="R745" s="227"/>
      <c r="S745" s="227"/>
      <c r="T745" s="227"/>
      <c r="U745" s="227"/>
    </row>
    <row r="746" spans="1:21" ht="12.75" customHeight="1" x14ac:dyDescent="0.25">
      <c r="A746" s="229"/>
      <c r="B746" s="227"/>
      <c r="C746" s="227"/>
      <c r="D746" s="243"/>
      <c r="E746" s="244"/>
      <c r="F746" s="245"/>
      <c r="G746" s="331"/>
      <c r="H746" s="332"/>
      <c r="I746" s="332"/>
      <c r="J746" s="332"/>
      <c r="K746" s="332"/>
      <c r="L746" s="332"/>
      <c r="M746" s="332"/>
      <c r="N746" s="332"/>
      <c r="O746" s="227"/>
      <c r="P746" s="227"/>
      <c r="Q746" s="227"/>
      <c r="R746" s="227"/>
      <c r="S746" s="227"/>
      <c r="T746" s="227"/>
      <c r="U746" s="227"/>
    </row>
    <row r="747" spans="1:21" ht="12.75" customHeight="1" x14ac:dyDescent="0.25">
      <c r="A747" s="229"/>
      <c r="B747" s="227"/>
      <c r="C747" s="227"/>
      <c r="D747" s="243"/>
      <c r="E747" s="244"/>
      <c r="F747" s="245"/>
      <c r="G747" s="331"/>
      <c r="H747" s="332"/>
      <c r="I747" s="332"/>
      <c r="J747" s="332"/>
      <c r="K747" s="332"/>
      <c r="L747" s="332"/>
      <c r="M747" s="332"/>
      <c r="N747" s="332"/>
      <c r="O747" s="227"/>
      <c r="P747" s="227"/>
      <c r="Q747" s="227"/>
      <c r="R747" s="227"/>
      <c r="S747" s="227"/>
      <c r="T747" s="227"/>
      <c r="U747" s="227"/>
    </row>
    <row r="748" spans="1:21" ht="12.75" customHeight="1" x14ac:dyDescent="0.25">
      <c r="A748" s="229"/>
      <c r="B748" s="227"/>
      <c r="C748" s="227"/>
      <c r="D748" s="243"/>
      <c r="E748" s="244"/>
      <c r="F748" s="245"/>
      <c r="G748" s="331"/>
      <c r="H748" s="332"/>
      <c r="I748" s="332"/>
      <c r="J748" s="332"/>
      <c r="K748" s="332"/>
      <c r="L748" s="332"/>
      <c r="M748" s="332"/>
      <c r="N748" s="332"/>
      <c r="O748" s="227"/>
      <c r="P748" s="227"/>
      <c r="Q748" s="227"/>
      <c r="R748" s="227"/>
      <c r="S748" s="227"/>
      <c r="T748" s="227"/>
      <c r="U748" s="227"/>
    </row>
    <row r="749" spans="1:21" ht="12.75" customHeight="1" x14ac:dyDescent="0.25">
      <c r="A749" s="229"/>
      <c r="B749" s="227"/>
      <c r="C749" s="227"/>
      <c r="D749" s="243"/>
      <c r="E749" s="244"/>
      <c r="F749" s="245"/>
      <c r="G749" s="331"/>
      <c r="H749" s="332"/>
      <c r="I749" s="332"/>
      <c r="J749" s="332"/>
      <c r="K749" s="332"/>
      <c r="L749" s="332"/>
      <c r="M749" s="332"/>
      <c r="N749" s="332"/>
      <c r="O749" s="227"/>
      <c r="P749" s="227"/>
      <c r="Q749" s="227"/>
      <c r="R749" s="227"/>
      <c r="S749" s="227"/>
      <c r="T749" s="227"/>
      <c r="U749" s="227"/>
    </row>
    <row r="750" spans="1:21" ht="12.75" customHeight="1" x14ac:dyDescent="0.25">
      <c r="A750" s="229"/>
      <c r="B750" s="227"/>
      <c r="C750" s="227"/>
      <c r="D750" s="243"/>
      <c r="E750" s="244"/>
      <c r="F750" s="245"/>
      <c r="G750" s="331"/>
      <c r="H750" s="332"/>
      <c r="I750" s="332"/>
      <c r="J750" s="332"/>
      <c r="K750" s="332"/>
      <c r="L750" s="332"/>
      <c r="M750" s="332"/>
      <c r="N750" s="332"/>
      <c r="O750" s="227"/>
      <c r="P750" s="227"/>
      <c r="Q750" s="227"/>
      <c r="R750" s="227"/>
      <c r="S750" s="227"/>
      <c r="T750" s="227"/>
      <c r="U750" s="227"/>
    </row>
    <row r="751" spans="1:21" ht="12.75" customHeight="1" x14ac:dyDescent="0.25">
      <c r="A751" s="229"/>
      <c r="B751" s="227"/>
      <c r="C751" s="227"/>
      <c r="D751" s="243"/>
      <c r="E751" s="244"/>
      <c r="F751" s="245"/>
      <c r="G751" s="331"/>
      <c r="H751" s="332"/>
      <c r="I751" s="332"/>
      <c r="J751" s="332"/>
      <c r="K751" s="332"/>
      <c r="L751" s="332"/>
      <c r="M751" s="332"/>
      <c r="N751" s="332"/>
      <c r="O751" s="227"/>
      <c r="P751" s="227"/>
      <c r="Q751" s="227"/>
      <c r="R751" s="227"/>
      <c r="S751" s="227"/>
      <c r="T751" s="227"/>
      <c r="U751" s="227"/>
    </row>
    <row r="752" spans="1:21" ht="12.75" customHeight="1" x14ac:dyDescent="0.25">
      <c r="A752" s="229"/>
      <c r="B752" s="227"/>
      <c r="C752" s="227"/>
      <c r="D752" s="243"/>
      <c r="E752" s="244"/>
      <c r="F752" s="245"/>
      <c r="G752" s="331"/>
      <c r="H752" s="332"/>
      <c r="I752" s="332"/>
      <c r="J752" s="332"/>
      <c r="K752" s="332"/>
      <c r="L752" s="332"/>
      <c r="M752" s="332"/>
      <c r="N752" s="332"/>
      <c r="O752" s="227"/>
      <c r="P752" s="227"/>
      <c r="Q752" s="227"/>
      <c r="R752" s="227"/>
      <c r="S752" s="227"/>
      <c r="T752" s="227"/>
      <c r="U752" s="227"/>
    </row>
    <row r="753" spans="1:21" ht="12.75" customHeight="1" x14ac:dyDescent="0.25">
      <c r="A753" s="229"/>
      <c r="B753" s="227"/>
      <c r="C753" s="227"/>
      <c r="D753" s="243"/>
      <c r="E753" s="244"/>
      <c r="F753" s="245"/>
      <c r="G753" s="331"/>
      <c r="H753" s="332"/>
      <c r="I753" s="332"/>
      <c r="J753" s="332"/>
      <c r="K753" s="332"/>
      <c r="L753" s="332"/>
      <c r="M753" s="332"/>
      <c r="N753" s="332"/>
      <c r="O753" s="227"/>
      <c r="P753" s="227"/>
      <c r="Q753" s="227"/>
      <c r="R753" s="227"/>
      <c r="S753" s="227"/>
      <c r="T753" s="227"/>
      <c r="U753" s="227"/>
    </row>
    <row r="754" spans="1:21" ht="12.75" customHeight="1" x14ac:dyDescent="0.25">
      <c r="A754" s="229"/>
      <c r="B754" s="227"/>
      <c r="C754" s="227"/>
      <c r="D754" s="243"/>
      <c r="E754" s="244"/>
      <c r="F754" s="245"/>
      <c r="G754" s="331"/>
      <c r="H754" s="332"/>
      <c r="I754" s="332"/>
      <c r="J754" s="332"/>
      <c r="K754" s="332"/>
      <c r="L754" s="332"/>
      <c r="M754" s="332"/>
      <c r="N754" s="332"/>
      <c r="O754" s="227"/>
      <c r="P754" s="227"/>
      <c r="Q754" s="227"/>
      <c r="R754" s="227"/>
      <c r="S754" s="227"/>
      <c r="T754" s="227"/>
      <c r="U754" s="227"/>
    </row>
    <row r="755" spans="1:21" ht="12.75" customHeight="1" x14ac:dyDescent="0.25">
      <c r="A755" s="229"/>
      <c r="B755" s="227"/>
      <c r="C755" s="227"/>
      <c r="D755" s="243"/>
      <c r="E755" s="244"/>
      <c r="F755" s="245"/>
      <c r="G755" s="331"/>
      <c r="H755" s="332"/>
      <c r="I755" s="332"/>
      <c r="J755" s="332"/>
      <c r="K755" s="332"/>
      <c r="L755" s="332"/>
      <c r="M755" s="332"/>
      <c r="N755" s="332"/>
      <c r="O755" s="227"/>
      <c r="P755" s="227"/>
      <c r="Q755" s="227"/>
      <c r="R755" s="227"/>
      <c r="S755" s="227"/>
      <c r="T755" s="227"/>
      <c r="U755" s="227"/>
    </row>
    <row r="756" spans="1:21" ht="12.75" customHeight="1" x14ac:dyDescent="0.25">
      <c r="A756" s="229"/>
      <c r="B756" s="227"/>
      <c r="C756" s="227"/>
      <c r="D756" s="243"/>
      <c r="E756" s="244"/>
      <c r="F756" s="245"/>
      <c r="G756" s="331"/>
      <c r="H756" s="332"/>
      <c r="I756" s="332"/>
      <c r="J756" s="332"/>
      <c r="K756" s="332"/>
      <c r="L756" s="332"/>
      <c r="M756" s="332"/>
      <c r="N756" s="332"/>
      <c r="O756" s="227"/>
      <c r="P756" s="227"/>
      <c r="Q756" s="227"/>
      <c r="R756" s="227"/>
      <c r="S756" s="227"/>
      <c r="T756" s="227"/>
      <c r="U756" s="227"/>
    </row>
    <row r="757" spans="1:21" ht="12.75" customHeight="1" x14ac:dyDescent="0.25">
      <c r="A757" s="229"/>
      <c r="B757" s="227"/>
      <c r="C757" s="227"/>
      <c r="D757" s="243"/>
      <c r="E757" s="244"/>
      <c r="F757" s="245"/>
      <c r="G757" s="331"/>
      <c r="H757" s="332"/>
      <c r="I757" s="332"/>
      <c r="J757" s="332"/>
      <c r="K757" s="332"/>
      <c r="L757" s="332"/>
      <c r="M757" s="332"/>
      <c r="N757" s="332"/>
      <c r="O757" s="227"/>
      <c r="P757" s="227"/>
      <c r="Q757" s="227"/>
      <c r="R757" s="227"/>
      <c r="S757" s="227"/>
      <c r="T757" s="227"/>
      <c r="U757" s="227"/>
    </row>
    <row r="758" spans="1:21" ht="12.75" customHeight="1" x14ac:dyDescent="0.25">
      <c r="A758" s="229"/>
      <c r="B758" s="227"/>
      <c r="C758" s="227"/>
      <c r="D758" s="243"/>
      <c r="E758" s="244"/>
      <c r="F758" s="245"/>
      <c r="G758" s="331"/>
      <c r="H758" s="332"/>
      <c r="I758" s="332"/>
      <c r="J758" s="332"/>
      <c r="K758" s="332"/>
      <c r="L758" s="332"/>
      <c r="M758" s="332"/>
      <c r="N758" s="332"/>
      <c r="O758" s="227"/>
      <c r="P758" s="227"/>
      <c r="Q758" s="227"/>
      <c r="R758" s="227"/>
      <c r="S758" s="227"/>
      <c r="T758" s="227"/>
      <c r="U758" s="227"/>
    </row>
    <row r="759" spans="1:21" ht="12.75" customHeight="1" x14ac:dyDescent="0.25">
      <c r="A759" s="229"/>
      <c r="B759" s="227"/>
      <c r="C759" s="227"/>
      <c r="D759" s="243"/>
      <c r="E759" s="244"/>
      <c r="F759" s="245"/>
      <c r="G759" s="331"/>
      <c r="H759" s="332"/>
      <c r="I759" s="332"/>
      <c r="J759" s="332"/>
      <c r="K759" s="332"/>
      <c r="L759" s="332"/>
      <c r="M759" s="332"/>
      <c r="N759" s="332"/>
      <c r="O759" s="227"/>
      <c r="P759" s="227"/>
      <c r="Q759" s="227"/>
      <c r="R759" s="227"/>
      <c r="S759" s="227"/>
      <c r="T759" s="227"/>
      <c r="U759" s="227"/>
    </row>
    <row r="760" spans="1:21" ht="12.75" customHeight="1" x14ac:dyDescent="0.25">
      <c r="A760" s="229"/>
      <c r="B760" s="227"/>
      <c r="C760" s="227"/>
      <c r="D760" s="243"/>
      <c r="E760" s="244"/>
      <c r="F760" s="245"/>
      <c r="G760" s="331"/>
      <c r="H760" s="332"/>
      <c r="I760" s="332"/>
      <c r="J760" s="332"/>
      <c r="K760" s="332"/>
      <c r="L760" s="332"/>
      <c r="M760" s="332"/>
      <c r="N760" s="332"/>
      <c r="O760" s="227"/>
      <c r="P760" s="227"/>
      <c r="Q760" s="227"/>
      <c r="R760" s="227"/>
      <c r="S760" s="227"/>
      <c r="T760" s="227"/>
      <c r="U760" s="227"/>
    </row>
    <row r="761" spans="1:21" ht="12.75" customHeight="1" x14ac:dyDescent="0.25">
      <c r="A761" s="229"/>
      <c r="B761" s="227"/>
      <c r="C761" s="227"/>
      <c r="D761" s="243"/>
      <c r="E761" s="244"/>
      <c r="F761" s="245"/>
      <c r="G761" s="331"/>
      <c r="H761" s="332"/>
      <c r="I761" s="332"/>
      <c r="J761" s="332"/>
      <c r="K761" s="332"/>
      <c r="L761" s="332"/>
      <c r="M761" s="332"/>
      <c r="N761" s="332"/>
      <c r="O761" s="227"/>
      <c r="P761" s="227"/>
      <c r="Q761" s="227"/>
      <c r="R761" s="227"/>
      <c r="S761" s="227"/>
      <c r="T761" s="227"/>
      <c r="U761" s="227"/>
    </row>
    <row r="762" spans="1:21" ht="12.75" customHeight="1" x14ac:dyDescent="0.25">
      <c r="A762" s="229"/>
      <c r="B762" s="227"/>
      <c r="C762" s="227"/>
      <c r="D762" s="243"/>
      <c r="E762" s="244"/>
      <c r="F762" s="245"/>
      <c r="G762" s="331"/>
      <c r="H762" s="332"/>
      <c r="I762" s="332"/>
      <c r="J762" s="332"/>
      <c r="K762" s="332"/>
      <c r="L762" s="332"/>
      <c r="M762" s="332"/>
      <c r="N762" s="332"/>
      <c r="O762" s="227"/>
      <c r="P762" s="227"/>
      <c r="Q762" s="227"/>
      <c r="R762" s="227"/>
      <c r="S762" s="227"/>
      <c r="T762" s="227"/>
      <c r="U762" s="227"/>
    </row>
    <row r="763" spans="1:21" ht="12.75" customHeight="1" x14ac:dyDescent="0.25">
      <c r="A763" s="229"/>
      <c r="B763" s="227"/>
      <c r="C763" s="227"/>
      <c r="D763" s="243"/>
      <c r="E763" s="244"/>
      <c r="F763" s="245"/>
      <c r="G763" s="331"/>
      <c r="H763" s="332"/>
      <c r="I763" s="332"/>
      <c r="J763" s="332"/>
      <c r="K763" s="332"/>
      <c r="L763" s="332"/>
      <c r="M763" s="332"/>
      <c r="N763" s="332"/>
      <c r="O763" s="227"/>
      <c r="P763" s="227"/>
      <c r="Q763" s="227"/>
      <c r="R763" s="227"/>
      <c r="S763" s="227"/>
      <c r="T763" s="227"/>
      <c r="U763" s="227"/>
    </row>
    <row r="764" spans="1:21" ht="12.75" customHeight="1" x14ac:dyDescent="0.25">
      <c r="A764" s="229"/>
      <c r="B764" s="227"/>
      <c r="C764" s="227"/>
      <c r="D764" s="243"/>
      <c r="E764" s="244"/>
      <c r="F764" s="245"/>
      <c r="G764" s="331"/>
      <c r="H764" s="332"/>
      <c r="I764" s="332"/>
      <c r="J764" s="332"/>
      <c r="K764" s="332"/>
      <c r="L764" s="332"/>
      <c r="M764" s="332"/>
      <c r="N764" s="332"/>
      <c r="O764" s="227"/>
      <c r="P764" s="227"/>
      <c r="Q764" s="227"/>
      <c r="R764" s="227"/>
      <c r="S764" s="227"/>
      <c r="T764" s="227"/>
      <c r="U764" s="227"/>
    </row>
    <row r="765" spans="1:21" ht="12.75" customHeight="1" x14ac:dyDescent="0.25">
      <c r="A765" s="229"/>
      <c r="B765" s="227"/>
      <c r="C765" s="227"/>
      <c r="D765" s="243"/>
      <c r="E765" s="244"/>
      <c r="F765" s="245"/>
      <c r="G765" s="331"/>
      <c r="H765" s="332"/>
      <c r="I765" s="332"/>
      <c r="J765" s="332"/>
      <c r="K765" s="332"/>
      <c r="L765" s="332"/>
      <c r="M765" s="332"/>
      <c r="N765" s="332"/>
      <c r="O765" s="227"/>
      <c r="P765" s="227"/>
      <c r="Q765" s="227"/>
      <c r="R765" s="227"/>
      <c r="S765" s="227"/>
      <c r="T765" s="227"/>
      <c r="U765" s="227"/>
    </row>
    <row r="766" spans="1:21" ht="12.75" customHeight="1" x14ac:dyDescent="0.25">
      <c r="A766" s="229"/>
      <c r="B766" s="227"/>
      <c r="C766" s="227"/>
      <c r="D766" s="243"/>
      <c r="E766" s="244"/>
      <c r="F766" s="245"/>
      <c r="G766" s="331"/>
      <c r="H766" s="332"/>
      <c r="I766" s="332"/>
      <c r="J766" s="332"/>
      <c r="K766" s="332"/>
      <c r="L766" s="332"/>
      <c r="M766" s="332"/>
      <c r="N766" s="332"/>
      <c r="O766" s="227"/>
      <c r="P766" s="227"/>
      <c r="Q766" s="227"/>
      <c r="R766" s="227"/>
      <c r="S766" s="227"/>
      <c r="T766" s="227"/>
      <c r="U766" s="227"/>
    </row>
    <row r="767" spans="1:21" ht="12.75" customHeight="1" x14ac:dyDescent="0.25">
      <c r="A767" s="229"/>
      <c r="B767" s="227"/>
      <c r="C767" s="227"/>
      <c r="D767" s="243"/>
      <c r="E767" s="244"/>
      <c r="F767" s="245"/>
      <c r="G767" s="331"/>
      <c r="H767" s="332"/>
      <c r="I767" s="332"/>
      <c r="J767" s="332"/>
      <c r="K767" s="332"/>
      <c r="L767" s="332"/>
      <c r="M767" s="332"/>
      <c r="N767" s="332"/>
      <c r="O767" s="227"/>
      <c r="P767" s="227"/>
      <c r="Q767" s="227"/>
      <c r="R767" s="227"/>
      <c r="S767" s="227"/>
      <c r="T767" s="227"/>
      <c r="U767" s="227"/>
    </row>
    <row r="768" spans="1:21" ht="12.75" customHeight="1" x14ac:dyDescent="0.25">
      <c r="A768" s="229"/>
      <c r="B768" s="227"/>
      <c r="C768" s="227"/>
      <c r="D768" s="243"/>
      <c r="E768" s="244"/>
      <c r="F768" s="245"/>
      <c r="G768" s="331"/>
      <c r="H768" s="332"/>
      <c r="I768" s="332"/>
      <c r="J768" s="332"/>
      <c r="K768" s="332"/>
      <c r="L768" s="332"/>
      <c r="M768" s="332"/>
      <c r="N768" s="332"/>
      <c r="O768" s="227"/>
      <c r="P768" s="227"/>
      <c r="Q768" s="227"/>
      <c r="R768" s="227"/>
      <c r="S768" s="227"/>
      <c r="T768" s="227"/>
      <c r="U768" s="227"/>
    </row>
    <row r="769" spans="1:21" ht="12.75" customHeight="1" x14ac:dyDescent="0.25">
      <c r="A769" s="229"/>
      <c r="B769" s="227"/>
      <c r="C769" s="227"/>
      <c r="D769" s="243"/>
      <c r="E769" s="244"/>
      <c r="F769" s="245"/>
      <c r="G769" s="331"/>
      <c r="H769" s="332"/>
      <c r="I769" s="332"/>
      <c r="J769" s="332"/>
      <c r="K769" s="332"/>
      <c r="L769" s="332"/>
      <c r="M769" s="332"/>
      <c r="N769" s="332"/>
      <c r="O769" s="227"/>
      <c r="P769" s="227"/>
      <c r="Q769" s="227"/>
      <c r="R769" s="227"/>
      <c r="S769" s="227"/>
      <c r="T769" s="227"/>
      <c r="U769" s="227"/>
    </row>
    <row r="770" spans="1:21" ht="12.75" customHeight="1" x14ac:dyDescent="0.25">
      <c r="A770" s="229"/>
      <c r="B770" s="227"/>
      <c r="C770" s="227"/>
      <c r="D770" s="243"/>
      <c r="E770" s="244"/>
      <c r="F770" s="245"/>
      <c r="G770" s="331"/>
      <c r="H770" s="332"/>
      <c r="I770" s="332"/>
      <c r="J770" s="332"/>
      <c r="K770" s="332"/>
      <c r="L770" s="332"/>
      <c r="M770" s="332"/>
      <c r="N770" s="332"/>
      <c r="O770" s="227"/>
      <c r="P770" s="227"/>
      <c r="Q770" s="227"/>
      <c r="R770" s="227"/>
      <c r="S770" s="227"/>
      <c r="T770" s="227"/>
      <c r="U770" s="227"/>
    </row>
    <row r="771" spans="1:21" ht="12.75" customHeight="1" x14ac:dyDescent="0.25">
      <c r="A771" s="229"/>
      <c r="B771" s="227"/>
      <c r="C771" s="227"/>
      <c r="D771" s="243"/>
      <c r="E771" s="244"/>
      <c r="F771" s="245"/>
      <c r="G771" s="331"/>
      <c r="H771" s="332"/>
      <c r="I771" s="332"/>
      <c r="J771" s="332"/>
      <c r="K771" s="332"/>
      <c r="L771" s="332"/>
      <c r="M771" s="332"/>
      <c r="N771" s="332"/>
      <c r="O771" s="227"/>
      <c r="P771" s="227"/>
      <c r="Q771" s="227"/>
      <c r="R771" s="227"/>
      <c r="S771" s="227"/>
      <c r="T771" s="227"/>
      <c r="U771" s="227"/>
    </row>
    <row r="772" spans="1:21" ht="12.75" customHeight="1" x14ac:dyDescent="0.25">
      <c r="A772" s="229"/>
      <c r="B772" s="227"/>
      <c r="C772" s="227"/>
      <c r="D772" s="243"/>
      <c r="E772" s="244"/>
      <c r="F772" s="245"/>
      <c r="G772" s="331"/>
      <c r="H772" s="332"/>
      <c r="I772" s="332"/>
      <c r="J772" s="332"/>
      <c r="K772" s="332"/>
      <c r="L772" s="332"/>
      <c r="M772" s="332"/>
      <c r="N772" s="332"/>
      <c r="O772" s="227"/>
      <c r="P772" s="227"/>
      <c r="Q772" s="227"/>
      <c r="R772" s="227"/>
      <c r="S772" s="227"/>
      <c r="T772" s="227"/>
      <c r="U772" s="227"/>
    </row>
    <row r="773" spans="1:21" ht="12.75" customHeight="1" x14ac:dyDescent="0.25">
      <c r="A773" s="229"/>
      <c r="B773" s="227"/>
      <c r="C773" s="227"/>
      <c r="D773" s="243"/>
      <c r="E773" s="244"/>
      <c r="F773" s="245"/>
      <c r="G773" s="331"/>
      <c r="H773" s="332"/>
      <c r="I773" s="332"/>
      <c r="J773" s="332"/>
      <c r="K773" s="332"/>
      <c r="L773" s="332"/>
      <c r="M773" s="332"/>
      <c r="N773" s="332"/>
      <c r="O773" s="227"/>
      <c r="P773" s="227"/>
      <c r="Q773" s="227"/>
      <c r="R773" s="227"/>
      <c r="S773" s="227"/>
      <c r="T773" s="227"/>
      <c r="U773" s="227"/>
    </row>
    <row r="774" spans="1:21" ht="12.75" customHeight="1" x14ac:dyDescent="0.25">
      <c r="A774" s="229"/>
      <c r="B774" s="227"/>
      <c r="C774" s="227"/>
      <c r="D774" s="243"/>
      <c r="E774" s="244"/>
      <c r="F774" s="245"/>
      <c r="G774" s="331"/>
      <c r="H774" s="332"/>
      <c r="I774" s="332"/>
      <c r="J774" s="332"/>
      <c r="K774" s="332"/>
      <c r="L774" s="332"/>
      <c r="M774" s="332"/>
      <c r="N774" s="332"/>
      <c r="O774" s="227"/>
      <c r="P774" s="227"/>
      <c r="Q774" s="227"/>
      <c r="R774" s="227"/>
      <c r="S774" s="227"/>
      <c r="T774" s="227"/>
      <c r="U774" s="227"/>
    </row>
    <row r="775" spans="1:21" ht="12.75" customHeight="1" x14ac:dyDescent="0.25">
      <c r="A775" s="229"/>
      <c r="B775" s="227"/>
      <c r="C775" s="227"/>
      <c r="D775" s="243"/>
      <c r="E775" s="244"/>
      <c r="F775" s="245"/>
      <c r="G775" s="331"/>
      <c r="H775" s="332"/>
      <c r="I775" s="332"/>
      <c r="J775" s="332"/>
      <c r="K775" s="332"/>
      <c r="L775" s="332"/>
      <c r="M775" s="332"/>
      <c r="N775" s="332"/>
      <c r="O775" s="227"/>
      <c r="P775" s="227"/>
      <c r="Q775" s="227"/>
      <c r="R775" s="227"/>
      <c r="S775" s="227"/>
      <c r="T775" s="227"/>
      <c r="U775" s="227"/>
    </row>
    <row r="776" spans="1:21" ht="12.75" customHeight="1" x14ac:dyDescent="0.25">
      <c r="A776" s="229"/>
      <c r="B776" s="227"/>
      <c r="C776" s="227"/>
      <c r="D776" s="243"/>
      <c r="E776" s="244"/>
      <c r="F776" s="245"/>
      <c r="G776" s="331"/>
      <c r="H776" s="332"/>
      <c r="I776" s="332"/>
      <c r="J776" s="332"/>
      <c r="K776" s="332"/>
      <c r="L776" s="332"/>
      <c r="M776" s="332"/>
      <c r="N776" s="332"/>
      <c r="O776" s="227"/>
      <c r="P776" s="227"/>
      <c r="Q776" s="227"/>
      <c r="R776" s="227"/>
      <c r="S776" s="227"/>
      <c r="T776" s="227"/>
      <c r="U776" s="227"/>
    </row>
    <row r="777" spans="1:21" ht="12.75" customHeight="1" x14ac:dyDescent="0.25">
      <c r="A777" s="229"/>
      <c r="B777" s="227"/>
      <c r="C777" s="227"/>
      <c r="D777" s="243"/>
      <c r="E777" s="244"/>
      <c r="F777" s="245"/>
      <c r="G777" s="331"/>
      <c r="H777" s="332"/>
      <c r="I777" s="332"/>
      <c r="J777" s="332"/>
      <c r="K777" s="332"/>
      <c r="L777" s="332"/>
      <c r="M777" s="332"/>
      <c r="N777" s="332"/>
      <c r="O777" s="227"/>
      <c r="P777" s="227"/>
      <c r="Q777" s="227"/>
      <c r="R777" s="227"/>
      <c r="S777" s="227"/>
      <c r="T777" s="227"/>
      <c r="U777" s="227"/>
    </row>
    <row r="778" spans="1:21" ht="12.75" customHeight="1" x14ac:dyDescent="0.25">
      <c r="A778" s="229"/>
      <c r="B778" s="227"/>
      <c r="C778" s="227"/>
      <c r="D778" s="243"/>
      <c r="E778" s="244"/>
      <c r="F778" s="245"/>
      <c r="G778" s="331"/>
      <c r="H778" s="332"/>
      <c r="I778" s="332"/>
      <c r="J778" s="332"/>
      <c r="K778" s="332"/>
      <c r="L778" s="332"/>
      <c r="M778" s="332"/>
      <c r="N778" s="332"/>
      <c r="O778" s="227"/>
      <c r="P778" s="227"/>
      <c r="Q778" s="227"/>
      <c r="R778" s="227"/>
      <c r="S778" s="227"/>
      <c r="T778" s="227"/>
      <c r="U778" s="227"/>
    </row>
    <row r="779" spans="1:21" ht="12.75" customHeight="1" x14ac:dyDescent="0.25">
      <c r="A779" s="229"/>
      <c r="B779" s="227"/>
      <c r="C779" s="227"/>
      <c r="D779" s="243"/>
      <c r="E779" s="244"/>
      <c r="F779" s="245"/>
      <c r="G779" s="331"/>
      <c r="H779" s="332"/>
      <c r="I779" s="332"/>
      <c r="J779" s="332"/>
      <c r="K779" s="332"/>
      <c r="L779" s="332"/>
      <c r="M779" s="332"/>
      <c r="N779" s="332"/>
      <c r="O779" s="227"/>
      <c r="P779" s="227"/>
      <c r="Q779" s="227"/>
      <c r="R779" s="227"/>
      <c r="S779" s="227"/>
      <c r="T779" s="227"/>
      <c r="U779" s="227"/>
    </row>
    <row r="780" spans="1:21" ht="12.75" customHeight="1" x14ac:dyDescent="0.25">
      <c r="A780" s="229"/>
      <c r="B780" s="227"/>
      <c r="C780" s="227"/>
      <c r="D780" s="243"/>
      <c r="E780" s="244"/>
      <c r="F780" s="245"/>
      <c r="G780" s="331"/>
      <c r="H780" s="332"/>
      <c r="I780" s="332"/>
      <c r="J780" s="332"/>
      <c r="K780" s="332"/>
      <c r="L780" s="332"/>
      <c r="M780" s="332"/>
      <c r="N780" s="332"/>
      <c r="O780" s="227"/>
      <c r="P780" s="227"/>
      <c r="Q780" s="227"/>
      <c r="R780" s="227"/>
      <c r="S780" s="227"/>
      <c r="T780" s="227"/>
      <c r="U780" s="227"/>
    </row>
    <row r="781" spans="1:21" ht="12.75" customHeight="1" x14ac:dyDescent="0.25">
      <c r="A781" s="229"/>
      <c r="B781" s="227"/>
      <c r="C781" s="227"/>
      <c r="D781" s="243"/>
      <c r="E781" s="244"/>
      <c r="F781" s="245"/>
      <c r="G781" s="331"/>
      <c r="H781" s="332"/>
      <c r="I781" s="332"/>
      <c r="J781" s="332"/>
      <c r="K781" s="332"/>
      <c r="L781" s="332"/>
      <c r="M781" s="332"/>
      <c r="N781" s="332"/>
      <c r="O781" s="227"/>
      <c r="P781" s="227"/>
      <c r="Q781" s="227"/>
      <c r="R781" s="227"/>
      <c r="S781" s="227"/>
      <c r="T781" s="227"/>
      <c r="U781" s="227"/>
    </row>
    <row r="782" spans="1:21" ht="12.75" customHeight="1" x14ac:dyDescent="0.25">
      <c r="A782" s="229"/>
      <c r="B782" s="227"/>
      <c r="C782" s="227"/>
      <c r="D782" s="243"/>
      <c r="E782" s="244"/>
      <c r="F782" s="245"/>
      <c r="G782" s="331"/>
      <c r="H782" s="332"/>
      <c r="I782" s="332"/>
      <c r="J782" s="332"/>
      <c r="K782" s="332"/>
      <c r="L782" s="332"/>
      <c r="M782" s="332"/>
      <c r="N782" s="332"/>
      <c r="O782" s="227"/>
      <c r="P782" s="227"/>
      <c r="Q782" s="227"/>
      <c r="R782" s="227"/>
      <c r="S782" s="227"/>
      <c r="T782" s="227"/>
      <c r="U782" s="227"/>
    </row>
    <row r="783" spans="1:21" ht="12.75" customHeight="1" x14ac:dyDescent="0.25">
      <c r="A783" s="229"/>
      <c r="B783" s="227"/>
      <c r="C783" s="227"/>
      <c r="D783" s="243"/>
      <c r="E783" s="244"/>
      <c r="F783" s="245"/>
      <c r="G783" s="331"/>
      <c r="H783" s="332"/>
      <c r="I783" s="332"/>
      <c r="J783" s="332"/>
      <c r="K783" s="332"/>
      <c r="L783" s="332"/>
      <c r="M783" s="332"/>
      <c r="N783" s="332"/>
      <c r="O783" s="227"/>
      <c r="P783" s="227"/>
      <c r="Q783" s="227"/>
      <c r="R783" s="227"/>
      <c r="S783" s="227"/>
      <c r="T783" s="227"/>
      <c r="U783" s="227"/>
    </row>
    <row r="784" spans="1:21" ht="12.75" customHeight="1" x14ac:dyDescent="0.25">
      <c r="A784" s="229"/>
      <c r="B784" s="227"/>
      <c r="C784" s="227"/>
      <c r="D784" s="243"/>
      <c r="E784" s="244"/>
      <c r="F784" s="245"/>
      <c r="G784" s="331"/>
      <c r="H784" s="332"/>
      <c r="I784" s="332"/>
      <c r="J784" s="332"/>
      <c r="K784" s="332"/>
      <c r="L784" s="332"/>
      <c r="M784" s="332"/>
      <c r="N784" s="332"/>
      <c r="O784" s="227"/>
      <c r="P784" s="227"/>
      <c r="Q784" s="227"/>
      <c r="R784" s="227"/>
      <c r="S784" s="227"/>
      <c r="T784" s="227"/>
      <c r="U784" s="227"/>
    </row>
    <row r="785" spans="1:21" ht="12.75" customHeight="1" x14ac:dyDescent="0.25">
      <c r="A785" s="229"/>
      <c r="B785" s="227"/>
      <c r="C785" s="227"/>
      <c r="D785" s="243"/>
      <c r="E785" s="244"/>
      <c r="F785" s="245"/>
      <c r="G785" s="331"/>
      <c r="H785" s="332"/>
      <c r="I785" s="332"/>
      <c r="J785" s="332"/>
      <c r="K785" s="332"/>
      <c r="L785" s="332"/>
      <c r="M785" s="332"/>
      <c r="N785" s="332"/>
      <c r="O785" s="227"/>
      <c r="P785" s="227"/>
      <c r="Q785" s="227"/>
      <c r="R785" s="227"/>
      <c r="S785" s="227"/>
      <c r="T785" s="227"/>
      <c r="U785" s="227"/>
    </row>
    <row r="786" spans="1:21" ht="12.75" customHeight="1" x14ac:dyDescent="0.25">
      <c r="A786" s="229"/>
      <c r="B786" s="227"/>
      <c r="C786" s="227"/>
      <c r="D786" s="243"/>
      <c r="E786" s="244"/>
      <c r="F786" s="245"/>
      <c r="G786" s="331"/>
      <c r="H786" s="332"/>
      <c r="I786" s="332"/>
      <c r="J786" s="332"/>
      <c r="K786" s="332"/>
      <c r="L786" s="332"/>
      <c r="M786" s="332"/>
      <c r="N786" s="332"/>
      <c r="O786" s="227"/>
      <c r="P786" s="227"/>
      <c r="Q786" s="227"/>
      <c r="R786" s="227"/>
      <c r="S786" s="227"/>
      <c r="T786" s="227"/>
      <c r="U786" s="227"/>
    </row>
    <row r="787" spans="1:21" ht="12.75" customHeight="1" x14ac:dyDescent="0.25">
      <c r="A787" s="229"/>
      <c r="B787" s="227"/>
      <c r="C787" s="227"/>
      <c r="D787" s="243"/>
      <c r="E787" s="244"/>
      <c r="F787" s="245"/>
      <c r="G787" s="331"/>
      <c r="H787" s="332"/>
      <c r="I787" s="332"/>
      <c r="J787" s="332"/>
      <c r="K787" s="332"/>
      <c r="L787" s="332"/>
      <c r="M787" s="332"/>
      <c r="N787" s="332"/>
      <c r="O787" s="227"/>
      <c r="P787" s="227"/>
      <c r="Q787" s="227"/>
      <c r="R787" s="227"/>
      <c r="S787" s="227"/>
      <c r="T787" s="227"/>
      <c r="U787" s="227"/>
    </row>
    <row r="788" spans="1:21" ht="12.75" customHeight="1" x14ac:dyDescent="0.25">
      <c r="A788" s="229"/>
      <c r="B788" s="227"/>
      <c r="C788" s="227"/>
      <c r="D788" s="243"/>
      <c r="E788" s="244"/>
      <c r="F788" s="245"/>
      <c r="G788" s="331"/>
      <c r="H788" s="332"/>
      <c r="I788" s="332"/>
      <c r="J788" s="332"/>
      <c r="K788" s="332"/>
      <c r="L788" s="332"/>
      <c r="M788" s="332"/>
      <c r="N788" s="332"/>
      <c r="O788" s="227"/>
      <c r="P788" s="227"/>
      <c r="Q788" s="227"/>
      <c r="R788" s="227"/>
      <c r="S788" s="227"/>
      <c r="T788" s="227"/>
      <c r="U788" s="227"/>
    </row>
    <row r="789" spans="1:21" ht="12.75" customHeight="1" x14ac:dyDescent="0.25">
      <c r="A789" s="229"/>
      <c r="B789" s="227"/>
      <c r="C789" s="227"/>
      <c r="D789" s="243"/>
      <c r="E789" s="244"/>
      <c r="F789" s="245"/>
      <c r="G789" s="331"/>
      <c r="H789" s="332"/>
      <c r="I789" s="332"/>
      <c r="J789" s="332"/>
      <c r="K789" s="332"/>
      <c r="L789" s="332"/>
      <c r="M789" s="332"/>
      <c r="N789" s="332"/>
      <c r="O789" s="227"/>
      <c r="P789" s="227"/>
      <c r="Q789" s="227"/>
      <c r="R789" s="227"/>
      <c r="S789" s="227"/>
      <c r="T789" s="227"/>
      <c r="U789" s="227"/>
    </row>
    <row r="790" spans="1:21" ht="12.75" customHeight="1" x14ac:dyDescent="0.25">
      <c r="A790" s="229"/>
      <c r="B790" s="227"/>
      <c r="C790" s="227"/>
      <c r="D790" s="243"/>
      <c r="E790" s="244"/>
      <c r="F790" s="245"/>
      <c r="G790" s="331"/>
      <c r="H790" s="332"/>
      <c r="I790" s="332"/>
      <c r="J790" s="332"/>
      <c r="K790" s="332"/>
      <c r="L790" s="332"/>
      <c r="M790" s="332"/>
      <c r="N790" s="332"/>
      <c r="O790" s="227"/>
      <c r="P790" s="227"/>
      <c r="Q790" s="227"/>
      <c r="R790" s="227"/>
      <c r="S790" s="227"/>
      <c r="T790" s="227"/>
      <c r="U790" s="227"/>
    </row>
    <row r="791" spans="1:21" ht="12.75" customHeight="1" x14ac:dyDescent="0.25">
      <c r="A791" s="229"/>
      <c r="B791" s="227"/>
      <c r="C791" s="227"/>
      <c r="D791" s="243"/>
      <c r="E791" s="244"/>
      <c r="F791" s="245"/>
      <c r="G791" s="331"/>
      <c r="H791" s="332"/>
      <c r="I791" s="332"/>
      <c r="J791" s="332"/>
      <c r="K791" s="332"/>
      <c r="L791" s="332"/>
      <c r="M791" s="332"/>
      <c r="N791" s="332"/>
      <c r="O791" s="227"/>
      <c r="P791" s="227"/>
      <c r="Q791" s="227"/>
      <c r="R791" s="227"/>
      <c r="S791" s="227"/>
      <c r="T791" s="227"/>
      <c r="U791" s="227"/>
    </row>
    <row r="792" spans="1:21" ht="12.75" customHeight="1" x14ac:dyDescent="0.25">
      <c r="A792" s="229"/>
      <c r="B792" s="227"/>
      <c r="C792" s="227"/>
      <c r="D792" s="243"/>
      <c r="E792" s="244"/>
      <c r="F792" s="245"/>
      <c r="G792" s="331"/>
      <c r="H792" s="332"/>
      <c r="I792" s="332"/>
      <c r="J792" s="332"/>
      <c r="K792" s="332"/>
      <c r="L792" s="332"/>
      <c r="M792" s="332"/>
      <c r="N792" s="332"/>
      <c r="O792" s="227"/>
      <c r="P792" s="227"/>
      <c r="Q792" s="227"/>
      <c r="R792" s="227"/>
      <c r="S792" s="227"/>
      <c r="T792" s="227"/>
      <c r="U792" s="227"/>
    </row>
    <row r="793" spans="1:21" ht="12.75" customHeight="1" x14ac:dyDescent="0.25">
      <c r="A793" s="229"/>
      <c r="B793" s="227"/>
      <c r="C793" s="227"/>
      <c r="D793" s="243"/>
      <c r="E793" s="244"/>
      <c r="F793" s="245"/>
      <c r="G793" s="331"/>
      <c r="H793" s="332"/>
      <c r="I793" s="332"/>
      <c r="J793" s="332"/>
      <c r="K793" s="332"/>
      <c r="L793" s="332"/>
      <c r="M793" s="332"/>
      <c r="N793" s="332"/>
      <c r="O793" s="227"/>
      <c r="P793" s="227"/>
      <c r="Q793" s="227"/>
      <c r="R793" s="227"/>
      <c r="S793" s="227"/>
      <c r="T793" s="227"/>
      <c r="U793" s="227"/>
    </row>
    <row r="794" spans="1:21" ht="12.75" customHeight="1" x14ac:dyDescent="0.25">
      <c r="A794" s="229"/>
      <c r="B794" s="227"/>
      <c r="C794" s="227"/>
      <c r="D794" s="243"/>
      <c r="E794" s="244"/>
      <c r="F794" s="245"/>
      <c r="G794" s="331"/>
      <c r="H794" s="332"/>
      <c r="I794" s="332"/>
      <c r="J794" s="332"/>
      <c r="K794" s="332"/>
      <c r="L794" s="332"/>
      <c r="M794" s="332"/>
      <c r="N794" s="332"/>
      <c r="O794" s="227"/>
      <c r="P794" s="227"/>
      <c r="Q794" s="227"/>
      <c r="R794" s="227"/>
      <c r="S794" s="227"/>
      <c r="T794" s="227"/>
      <c r="U794" s="227"/>
    </row>
    <row r="795" spans="1:21" ht="12.75" customHeight="1" x14ac:dyDescent="0.25">
      <c r="A795" s="229"/>
      <c r="B795" s="227"/>
      <c r="C795" s="227"/>
      <c r="D795" s="243"/>
      <c r="E795" s="244"/>
      <c r="F795" s="245"/>
      <c r="G795" s="331"/>
      <c r="H795" s="332"/>
      <c r="I795" s="332"/>
      <c r="J795" s="332"/>
      <c r="K795" s="332"/>
      <c r="L795" s="332"/>
      <c r="M795" s="332"/>
      <c r="N795" s="332"/>
      <c r="O795" s="227"/>
      <c r="P795" s="227"/>
      <c r="Q795" s="227"/>
      <c r="R795" s="227"/>
      <c r="S795" s="227"/>
      <c r="T795" s="227"/>
      <c r="U795" s="227"/>
    </row>
    <row r="796" spans="1:21" ht="12.75" customHeight="1" x14ac:dyDescent="0.25">
      <c r="A796" s="229"/>
      <c r="B796" s="227"/>
      <c r="C796" s="227"/>
      <c r="D796" s="243"/>
      <c r="E796" s="244"/>
      <c r="F796" s="245"/>
      <c r="G796" s="331"/>
      <c r="H796" s="332"/>
      <c r="I796" s="332"/>
      <c r="J796" s="332"/>
      <c r="K796" s="332"/>
      <c r="L796" s="332"/>
      <c r="M796" s="332"/>
      <c r="N796" s="332"/>
      <c r="O796" s="227"/>
      <c r="P796" s="227"/>
      <c r="Q796" s="227"/>
      <c r="R796" s="227"/>
      <c r="S796" s="227"/>
      <c r="T796" s="227"/>
      <c r="U796" s="227"/>
    </row>
    <row r="797" spans="1:21" ht="12.75" customHeight="1" x14ac:dyDescent="0.25">
      <c r="A797" s="229"/>
      <c r="B797" s="227"/>
      <c r="C797" s="227"/>
      <c r="D797" s="243"/>
      <c r="E797" s="244"/>
      <c r="F797" s="245"/>
      <c r="G797" s="331"/>
      <c r="H797" s="332"/>
      <c r="I797" s="332"/>
      <c r="J797" s="332"/>
      <c r="K797" s="332"/>
      <c r="L797" s="332"/>
      <c r="M797" s="332"/>
      <c r="N797" s="332"/>
      <c r="O797" s="227"/>
      <c r="P797" s="227"/>
      <c r="Q797" s="227"/>
      <c r="R797" s="227"/>
      <c r="S797" s="227"/>
      <c r="T797" s="227"/>
      <c r="U797" s="227"/>
    </row>
    <row r="798" spans="1:21" ht="12.75" customHeight="1" x14ac:dyDescent="0.25">
      <c r="A798" s="229"/>
      <c r="B798" s="227"/>
      <c r="C798" s="227"/>
      <c r="D798" s="243"/>
      <c r="E798" s="244"/>
      <c r="F798" s="245"/>
      <c r="G798" s="331"/>
      <c r="H798" s="332"/>
      <c r="I798" s="332"/>
      <c r="J798" s="332"/>
      <c r="K798" s="332"/>
      <c r="L798" s="332"/>
      <c r="M798" s="332"/>
      <c r="N798" s="332"/>
      <c r="O798" s="227"/>
      <c r="P798" s="227"/>
      <c r="Q798" s="227"/>
      <c r="R798" s="227"/>
      <c r="S798" s="227"/>
      <c r="T798" s="227"/>
      <c r="U798" s="227"/>
    </row>
    <row r="799" spans="1:21" ht="12.75" customHeight="1" x14ac:dyDescent="0.25">
      <c r="A799" s="229"/>
      <c r="B799" s="227"/>
      <c r="C799" s="227"/>
      <c r="D799" s="243"/>
      <c r="E799" s="244"/>
      <c r="F799" s="245"/>
      <c r="G799" s="331"/>
      <c r="H799" s="332"/>
      <c r="I799" s="332"/>
      <c r="J799" s="332"/>
      <c r="K799" s="332"/>
      <c r="L799" s="332"/>
      <c r="M799" s="332"/>
      <c r="N799" s="332"/>
      <c r="O799" s="227"/>
      <c r="P799" s="227"/>
      <c r="Q799" s="227"/>
      <c r="R799" s="227"/>
      <c r="S799" s="227"/>
      <c r="T799" s="227"/>
      <c r="U799" s="227"/>
    </row>
    <row r="800" spans="1:21" ht="12.75" customHeight="1" x14ac:dyDescent="0.25">
      <c r="A800" s="229"/>
      <c r="B800" s="227"/>
      <c r="C800" s="227"/>
      <c r="D800" s="243"/>
      <c r="E800" s="244"/>
      <c r="F800" s="245"/>
      <c r="G800" s="331"/>
      <c r="H800" s="332"/>
      <c r="I800" s="332"/>
      <c r="J800" s="332"/>
      <c r="K800" s="332"/>
      <c r="L800" s="332"/>
      <c r="M800" s="332"/>
      <c r="N800" s="332"/>
      <c r="O800" s="227"/>
      <c r="P800" s="227"/>
      <c r="Q800" s="227"/>
      <c r="R800" s="227"/>
      <c r="S800" s="227"/>
      <c r="T800" s="227"/>
      <c r="U800" s="227"/>
    </row>
    <row r="801" spans="1:21" ht="12.75" customHeight="1" x14ac:dyDescent="0.25">
      <c r="A801" s="229"/>
      <c r="B801" s="227"/>
      <c r="C801" s="227"/>
      <c r="D801" s="243"/>
      <c r="E801" s="244"/>
      <c r="F801" s="245"/>
      <c r="G801" s="331"/>
      <c r="H801" s="332"/>
      <c r="I801" s="332"/>
      <c r="J801" s="332"/>
      <c r="K801" s="332"/>
      <c r="L801" s="332"/>
      <c r="M801" s="332"/>
      <c r="N801" s="332"/>
      <c r="O801" s="227"/>
      <c r="P801" s="227"/>
      <c r="Q801" s="227"/>
      <c r="R801" s="227"/>
      <c r="S801" s="227"/>
      <c r="T801" s="227"/>
      <c r="U801" s="227"/>
    </row>
    <row r="802" spans="1:21" ht="12.75" customHeight="1" x14ac:dyDescent="0.25">
      <c r="A802" s="229"/>
      <c r="B802" s="227"/>
      <c r="C802" s="227"/>
      <c r="D802" s="243"/>
      <c r="E802" s="244"/>
      <c r="F802" s="245"/>
      <c r="G802" s="331"/>
      <c r="H802" s="332"/>
      <c r="I802" s="332"/>
      <c r="J802" s="332"/>
      <c r="K802" s="332"/>
      <c r="L802" s="332"/>
      <c r="M802" s="332"/>
      <c r="N802" s="332"/>
      <c r="O802" s="227"/>
      <c r="P802" s="227"/>
      <c r="Q802" s="227"/>
      <c r="R802" s="227"/>
      <c r="S802" s="227"/>
      <c r="T802" s="227"/>
      <c r="U802" s="227"/>
    </row>
    <row r="803" spans="1:21" ht="12.75" customHeight="1" x14ac:dyDescent="0.25">
      <c r="A803" s="229"/>
      <c r="B803" s="227"/>
      <c r="C803" s="227"/>
      <c r="D803" s="243"/>
      <c r="E803" s="244"/>
      <c r="F803" s="245"/>
      <c r="G803" s="331"/>
      <c r="H803" s="332"/>
      <c r="I803" s="332"/>
      <c r="J803" s="332"/>
      <c r="K803" s="332"/>
      <c r="L803" s="332"/>
      <c r="M803" s="332"/>
      <c r="N803" s="332"/>
      <c r="O803" s="227"/>
      <c r="P803" s="227"/>
      <c r="Q803" s="227"/>
      <c r="R803" s="227"/>
      <c r="S803" s="227"/>
      <c r="T803" s="227"/>
      <c r="U803" s="227"/>
    </row>
    <row r="804" spans="1:21" ht="12.75" customHeight="1" x14ac:dyDescent="0.25">
      <c r="A804" s="229"/>
      <c r="B804" s="227"/>
      <c r="C804" s="227"/>
      <c r="D804" s="243"/>
      <c r="E804" s="244"/>
      <c r="F804" s="245"/>
      <c r="G804" s="331"/>
      <c r="H804" s="332"/>
      <c r="I804" s="332"/>
      <c r="J804" s="332"/>
      <c r="K804" s="332"/>
      <c r="L804" s="332"/>
      <c r="M804" s="332"/>
      <c r="N804" s="332"/>
      <c r="O804" s="227"/>
      <c r="P804" s="227"/>
      <c r="Q804" s="227"/>
      <c r="R804" s="227"/>
      <c r="S804" s="227"/>
      <c r="T804" s="227"/>
      <c r="U804" s="227"/>
    </row>
    <row r="805" spans="1:21" ht="12.75" customHeight="1" x14ac:dyDescent="0.25">
      <c r="A805" s="229"/>
      <c r="B805" s="227"/>
      <c r="C805" s="227"/>
      <c r="D805" s="243"/>
      <c r="E805" s="244"/>
      <c r="F805" s="245"/>
      <c r="G805" s="331"/>
      <c r="H805" s="332"/>
      <c r="I805" s="332"/>
      <c r="J805" s="332"/>
      <c r="K805" s="332"/>
      <c r="L805" s="332"/>
      <c r="M805" s="332"/>
      <c r="N805" s="332"/>
      <c r="O805" s="227"/>
      <c r="P805" s="227"/>
      <c r="Q805" s="227"/>
      <c r="R805" s="227"/>
      <c r="S805" s="227"/>
      <c r="T805" s="227"/>
      <c r="U805" s="227"/>
    </row>
    <row r="806" spans="1:21" ht="12.75" customHeight="1" x14ac:dyDescent="0.25">
      <c r="A806" s="229"/>
      <c r="B806" s="227"/>
      <c r="C806" s="227"/>
      <c r="D806" s="243"/>
      <c r="E806" s="244"/>
      <c r="F806" s="245"/>
      <c r="G806" s="331"/>
      <c r="H806" s="332"/>
      <c r="I806" s="332"/>
      <c r="J806" s="332"/>
      <c r="K806" s="332"/>
      <c r="L806" s="332"/>
      <c r="M806" s="332"/>
      <c r="N806" s="332"/>
      <c r="O806" s="227"/>
      <c r="P806" s="227"/>
      <c r="Q806" s="227"/>
      <c r="R806" s="227"/>
      <c r="S806" s="227"/>
      <c r="T806" s="227"/>
      <c r="U806" s="227"/>
    </row>
    <row r="807" spans="1:21" ht="12.75" customHeight="1" x14ac:dyDescent="0.25">
      <c r="A807" s="229"/>
      <c r="B807" s="227"/>
      <c r="C807" s="227"/>
      <c r="D807" s="243"/>
      <c r="E807" s="244"/>
      <c r="F807" s="245"/>
      <c r="G807" s="331"/>
      <c r="H807" s="332"/>
      <c r="I807" s="332"/>
      <c r="J807" s="332"/>
      <c r="K807" s="332"/>
      <c r="L807" s="332"/>
      <c r="M807" s="332"/>
      <c r="N807" s="332"/>
      <c r="O807" s="227"/>
      <c r="P807" s="227"/>
      <c r="Q807" s="227"/>
      <c r="R807" s="227"/>
      <c r="S807" s="227"/>
      <c r="T807" s="227"/>
      <c r="U807" s="227"/>
    </row>
    <row r="808" spans="1:21" ht="12.75" customHeight="1" x14ac:dyDescent="0.25">
      <c r="A808" s="229"/>
      <c r="B808" s="227"/>
      <c r="C808" s="227"/>
      <c r="D808" s="243"/>
      <c r="E808" s="244"/>
      <c r="F808" s="245"/>
      <c r="G808" s="331"/>
      <c r="H808" s="332"/>
      <c r="I808" s="332"/>
      <c r="J808" s="332"/>
      <c r="K808" s="332"/>
      <c r="L808" s="332"/>
      <c r="M808" s="332"/>
      <c r="N808" s="332"/>
      <c r="O808" s="227"/>
      <c r="P808" s="227"/>
      <c r="Q808" s="227"/>
      <c r="R808" s="227"/>
      <c r="S808" s="227"/>
      <c r="T808" s="227"/>
      <c r="U808" s="227"/>
    </row>
    <row r="809" spans="1:21" ht="12.75" customHeight="1" x14ac:dyDescent="0.25">
      <c r="A809" s="229"/>
      <c r="B809" s="227"/>
      <c r="C809" s="227"/>
      <c r="D809" s="243"/>
      <c r="E809" s="244"/>
      <c r="F809" s="245"/>
      <c r="G809" s="331"/>
      <c r="H809" s="332"/>
      <c r="I809" s="332"/>
      <c r="J809" s="332"/>
      <c r="K809" s="332"/>
      <c r="L809" s="332"/>
      <c r="M809" s="332"/>
      <c r="N809" s="332"/>
      <c r="O809" s="227"/>
      <c r="P809" s="227"/>
      <c r="Q809" s="227"/>
      <c r="R809" s="227"/>
      <c r="S809" s="227"/>
      <c r="T809" s="227"/>
      <c r="U809" s="227"/>
    </row>
    <row r="810" spans="1:21" ht="12.75" customHeight="1" x14ac:dyDescent="0.25">
      <c r="A810" s="229"/>
      <c r="B810" s="227"/>
      <c r="C810" s="227"/>
      <c r="D810" s="243"/>
      <c r="E810" s="244"/>
      <c r="F810" s="245"/>
      <c r="G810" s="331"/>
      <c r="H810" s="332"/>
      <c r="I810" s="332"/>
      <c r="J810" s="332"/>
      <c r="K810" s="332"/>
      <c r="L810" s="332"/>
      <c r="M810" s="332"/>
      <c r="N810" s="332"/>
      <c r="O810" s="227"/>
      <c r="P810" s="227"/>
      <c r="Q810" s="227"/>
      <c r="R810" s="227"/>
      <c r="S810" s="227"/>
      <c r="T810" s="227"/>
      <c r="U810" s="227"/>
    </row>
    <row r="811" spans="1:21" ht="12.75" customHeight="1" x14ac:dyDescent="0.25">
      <c r="A811" s="229"/>
      <c r="B811" s="227"/>
      <c r="C811" s="227"/>
      <c r="D811" s="243"/>
      <c r="E811" s="244"/>
      <c r="F811" s="245"/>
      <c r="G811" s="331"/>
      <c r="H811" s="332"/>
      <c r="I811" s="332"/>
      <c r="J811" s="332"/>
      <c r="K811" s="332"/>
      <c r="L811" s="332"/>
      <c r="M811" s="332"/>
      <c r="N811" s="332"/>
      <c r="O811" s="227"/>
      <c r="P811" s="227"/>
      <c r="Q811" s="227"/>
      <c r="R811" s="227"/>
      <c r="S811" s="227"/>
      <c r="T811" s="227"/>
      <c r="U811" s="227"/>
    </row>
    <row r="812" spans="1:21" ht="12.75" customHeight="1" x14ac:dyDescent="0.25">
      <c r="A812" s="229"/>
      <c r="B812" s="227"/>
      <c r="C812" s="227"/>
      <c r="D812" s="243"/>
      <c r="E812" s="244"/>
      <c r="F812" s="245"/>
      <c r="G812" s="331"/>
      <c r="H812" s="332"/>
      <c r="I812" s="332"/>
      <c r="J812" s="332"/>
      <c r="K812" s="332"/>
      <c r="L812" s="332"/>
      <c r="M812" s="332"/>
      <c r="N812" s="332"/>
      <c r="O812" s="227"/>
      <c r="P812" s="227"/>
      <c r="Q812" s="227"/>
      <c r="R812" s="227"/>
      <c r="S812" s="227"/>
      <c r="T812" s="227"/>
      <c r="U812" s="227"/>
    </row>
    <row r="813" spans="1:21" ht="12.75" customHeight="1" x14ac:dyDescent="0.25">
      <c r="A813" s="229"/>
      <c r="B813" s="227"/>
      <c r="C813" s="227"/>
      <c r="D813" s="243"/>
      <c r="E813" s="244"/>
      <c r="F813" s="245"/>
      <c r="G813" s="331"/>
      <c r="H813" s="332"/>
      <c r="I813" s="332"/>
      <c r="J813" s="332"/>
      <c r="K813" s="332"/>
      <c r="L813" s="332"/>
      <c r="M813" s="332"/>
      <c r="N813" s="332"/>
      <c r="O813" s="227"/>
      <c r="P813" s="227"/>
      <c r="Q813" s="227"/>
      <c r="R813" s="227"/>
      <c r="S813" s="227"/>
      <c r="T813" s="227"/>
      <c r="U813" s="227"/>
    </row>
    <row r="814" spans="1:21" ht="12.75" customHeight="1" x14ac:dyDescent="0.25">
      <c r="A814" s="229"/>
      <c r="B814" s="227"/>
      <c r="C814" s="227"/>
      <c r="D814" s="243"/>
      <c r="E814" s="244"/>
      <c r="F814" s="245"/>
      <c r="G814" s="331"/>
      <c r="H814" s="332"/>
      <c r="I814" s="332"/>
      <c r="J814" s="332"/>
      <c r="K814" s="332"/>
      <c r="L814" s="332"/>
      <c r="M814" s="332"/>
      <c r="N814" s="332"/>
      <c r="O814" s="227"/>
      <c r="P814" s="227"/>
      <c r="Q814" s="227"/>
      <c r="R814" s="227"/>
      <c r="S814" s="227"/>
      <c r="T814" s="227"/>
      <c r="U814" s="227"/>
    </row>
    <row r="815" spans="1:21" ht="12.75" customHeight="1" x14ac:dyDescent="0.25">
      <c r="A815" s="229"/>
      <c r="B815" s="227"/>
      <c r="C815" s="227"/>
      <c r="D815" s="243"/>
      <c r="E815" s="244"/>
      <c r="F815" s="245"/>
      <c r="G815" s="331"/>
      <c r="H815" s="332"/>
      <c r="I815" s="332"/>
      <c r="J815" s="332"/>
      <c r="K815" s="332"/>
      <c r="L815" s="332"/>
      <c r="M815" s="332"/>
      <c r="N815" s="332"/>
      <c r="O815" s="227"/>
      <c r="P815" s="227"/>
      <c r="Q815" s="227"/>
      <c r="R815" s="227"/>
      <c r="S815" s="227"/>
      <c r="T815" s="227"/>
      <c r="U815" s="227"/>
    </row>
    <row r="816" spans="1:21" ht="12.75" customHeight="1" x14ac:dyDescent="0.25">
      <c r="A816" s="229"/>
      <c r="B816" s="227"/>
      <c r="C816" s="227"/>
      <c r="D816" s="243"/>
      <c r="E816" s="244"/>
      <c r="F816" s="245"/>
      <c r="G816" s="331"/>
      <c r="H816" s="332"/>
      <c r="I816" s="332"/>
      <c r="J816" s="332"/>
      <c r="K816" s="332"/>
      <c r="L816" s="332"/>
      <c r="M816" s="332"/>
      <c r="N816" s="332"/>
      <c r="O816" s="227"/>
      <c r="P816" s="227"/>
      <c r="Q816" s="227"/>
      <c r="R816" s="227"/>
      <c r="S816" s="227"/>
      <c r="T816" s="227"/>
      <c r="U816" s="227"/>
    </row>
    <row r="817" spans="1:21" ht="12.75" customHeight="1" x14ac:dyDescent="0.25">
      <c r="A817" s="229"/>
      <c r="B817" s="227"/>
      <c r="C817" s="227"/>
      <c r="D817" s="243"/>
      <c r="E817" s="244"/>
      <c r="F817" s="245"/>
      <c r="G817" s="331"/>
      <c r="H817" s="332"/>
      <c r="I817" s="332"/>
      <c r="J817" s="332"/>
      <c r="K817" s="332"/>
      <c r="L817" s="332"/>
      <c r="M817" s="332"/>
      <c r="N817" s="332"/>
      <c r="O817" s="227"/>
      <c r="P817" s="227"/>
      <c r="Q817" s="227"/>
      <c r="R817" s="227"/>
      <c r="S817" s="227"/>
      <c r="T817" s="227"/>
      <c r="U817" s="227"/>
    </row>
    <row r="818" spans="1:21" ht="12.75" customHeight="1" x14ac:dyDescent="0.25">
      <c r="A818" s="229"/>
      <c r="B818" s="227"/>
      <c r="C818" s="227"/>
      <c r="D818" s="243"/>
      <c r="E818" s="244"/>
      <c r="F818" s="245"/>
      <c r="G818" s="331"/>
      <c r="H818" s="332"/>
      <c r="I818" s="332"/>
      <c r="J818" s="332"/>
      <c r="K818" s="332"/>
      <c r="L818" s="332"/>
      <c r="M818" s="332"/>
      <c r="N818" s="332"/>
      <c r="O818" s="227"/>
      <c r="P818" s="227"/>
      <c r="Q818" s="227"/>
      <c r="R818" s="227"/>
      <c r="S818" s="227"/>
      <c r="T818" s="227"/>
      <c r="U818" s="227"/>
    </row>
    <row r="819" spans="1:21" ht="12.75" customHeight="1" x14ac:dyDescent="0.25">
      <c r="A819" s="229"/>
      <c r="B819" s="227"/>
      <c r="C819" s="227"/>
      <c r="D819" s="243"/>
      <c r="E819" s="244"/>
      <c r="F819" s="245"/>
      <c r="G819" s="331"/>
      <c r="H819" s="332"/>
      <c r="I819" s="332"/>
      <c r="J819" s="332"/>
      <c r="K819" s="332"/>
      <c r="L819" s="332"/>
      <c r="M819" s="332"/>
      <c r="N819" s="332"/>
      <c r="O819" s="227"/>
      <c r="P819" s="227"/>
      <c r="Q819" s="227"/>
      <c r="R819" s="227"/>
      <c r="S819" s="227"/>
      <c r="T819" s="227"/>
      <c r="U819" s="227"/>
    </row>
    <row r="820" spans="1:21" ht="12.75" customHeight="1" x14ac:dyDescent="0.25">
      <c r="A820" s="229"/>
      <c r="B820" s="227"/>
      <c r="C820" s="227"/>
      <c r="D820" s="243"/>
      <c r="E820" s="244"/>
      <c r="F820" s="245"/>
      <c r="G820" s="331"/>
      <c r="H820" s="332"/>
      <c r="I820" s="332"/>
      <c r="J820" s="332"/>
      <c r="K820" s="332"/>
      <c r="L820" s="332"/>
      <c r="M820" s="332"/>
      <c r="N820" s="332"/>
      <c r="O820" s="227"/>
      <c r="P820" s="227"/>
      <c r="Q820" s="227"/>
      <c r="R820" s="227"/>
      <c r="S820" s="227"/>
      <c r="T820" s="227"/>
      <c r="U820" s="227"/>
    </row>
    <row r="821" spans="1:21" ht="12.75" customHeight="1" x14ac:dyDescent="0.25">
      <c r="A821" s="229"/>
      <c r="B821" s="227"/>
      <c r="C821" s="227"/>
      <c r="D821" s="243"/>
      <c r="E821" s="244"/>
      <c r="F821" s="245"/>
      <c r="G821" s="331"/>
      <c r="H821" s="332"/>
      <c r="I821" s="332"/>
      <c r="J821" s="332"/>
      <c r="K821" s="332"/>
      <c r="L821" s="332"/>
      <c r="M821" s="332"/>
      <c r="N821" s="332"/>
      <c r="O821" s="227"/>
      <c r="P821" s="227"/>
      <c r="Q821" s="227"/>
      <c r="R821" s="227"/>
      <c r="S821" s="227"/>
      <c r="T821" s="227"/>
      <c r="U821" s="227"/>
    </row>
    <row r="822" spans="1:21" ht="12.75" customHeight="1" x14ac:dyDescent="0.25">
      <c r="A822" s="229"/>
      <c r="B822" s="227"/>
      <c r="C822" s="227"/>
      <c r="D822" s="243"/>
      <c r="E822" s="244"/>
      <c r="F822" s="245"/>
      <c r="G822" s="331"/>
      <c r="H822" s="332"/>
      <c r="I822" s="332"/>
      <c r="J822" s="332"/>
      <c r="K822" s="332"/>
      <c r="L822" s="332"/>
      <c r="M822" s="332"/>
      <c r="N822" s="332"/>
      <c r="O822" s="227"/>
      <c r="P822" s="227"/>
      <c r="Q822" s="227"/>
      <c r="R822" s="227"/>
      <c r="S822" s="227"/>
      <c r="T822" s="227"/>
      <c r="U822" s="227"/>
    </row>
    <row r="823" spans="1:21" ht="12.75" customHeight="1" x14ac:dyDescent="0.25">
      <c r="A823" s="229"/>
      <c r="B823" s="227"/>
      <c r="C823" s="227"/>
      <c r="D823" s="243"/>
      <c r="E823" s="244"/>
      <c r="F823" s="245"/>
      <c r="G823" s="331"/>
      <c r="H823" s="332"/>
      <c r="I823" s="332"/>
      <c r="J823" s="332"/>
      <c r="K823" s="332"/>
      <c r="L823" s="332"/>
      <c r="M823" s="332"/>
      <c r="N823" s="332"/>
      <c r="O823" s="227"/>
      <c r="P823" s="227"/>
      <c r="Q823" s="227"/>
      <c r="R823" s="227"/>
      <c r="S823" s="227"/>
      <c r="T823" s="227"/>
      <c r="U823" s="227"/>
    </row>
    <row r="824" spans="1:21" ht="12.75" customHeight="1" x14ac:dyDescent="0.25">
      <c r="A824" s="229"/>
      <c r="B824" s="227"/>
      <c r="C824" s="227"/>
      <c r="D824" s="243"/>
      <c r="E824" s="244"/>
      <c r="F824" s="245"/>
      <c r="G824" s="331"/>
      <c r="H824" s="332"/>
      <c r="I824" s="332"/>
      <c r="J824" s="332"/>
      <c r="K824" s="332"/>
      <c r="L824" s="332"/>
      <c r="M824" s="332"/>
      <c r="N824" s="332"/>
      <c r="O824" s="227"/>
      <c r="P824" s="227"/>
      <c r="Q824" s="227"/>
      <c r="R824" s="227"/>
      <c r="S824" s="227"/>
      <c r="T824" s="227"/>
      <c r="U824" s="227"/>
    </row>
    <row r="825" spans="1:21" ht="12.75" customHeight="1" x14ac:dyDescent="0.25">
      <c r="A825" s="229"/>
      <c r="B825" s="227"/>
      <c r="C825" s="227"/>
      <c r="D825" s="243"/>
      <c r="E825" s="244"/>
      <c r="F825" s="245"/>
      <c r="G825" s="331"/>
      <c r="H825" s="332"/>
      <c r="I825" s="332"/>
      <c r="J825" s="332"/>
      <c r="K825" s="332"/>
      <c r="L825" s="332"/>
      <c r="M825" s="332"/>
      <c r="N825" s="332"/>
      <c r="O825" s="227"/>
      <c r="P825" s="227"/>
      <c r="Q825" s="227"/>
      <c r="R825" s="227"/>
      <c r="S825" s="227"/>
      <c r="T825" s="227"/>
      <c r="U825" s="227"/>
    </row>
    <row r="826" spans="1:21" ht="12.75" customHeight="1" x14ac:dyDescent="0.25">
      <c r="A826" s="229"/>
      <c r="B826" s="227"/>
      <c r="C826" s="227"/>
      <c r="D826" s="243"/>
      <c r="E826" s="244"/>
      <c r="F826" s="245"/>
      <c r="G826" s="331"/>
      <c r="H826" s="332"/>
      <c r="I826" s="332"/>
      <c r="J826" s="332"/>
      <c r="K826" s="332"/>
      <c r="L826" s="332"/>
      <c r="M826" s="332"/>
      <c r="N826" s="332"/>
      <c r="O826" s="227"/>
      <c r="P826" s="227"/>
      <c r="Q826" s="227"/>
      <c r="R826" s="227"/>
      <c r="S826" s="227"/>
      <c r="T826" s="227"/>
      <c r="U826" s="227"/>
    </row>
    <row r="827" spans="1:21" ht="12.75" customHeight="1" x14ac:dyDescent="0.25">
      <c r="A827" s="229"/>
      <c r="B827" s="227"/>
      <c r="C827" s="227"/>
      <c r="D827" s="243"/>
      <c r="E827" s="244"/>
      <c r="F827" s="245"/>
      <c r="G827" s="331"/>
      <c r="H827" s="332"/>
      <c r="I827" s="332"/>
      <c r="J827" s="332"/>
      <c r="K827" s="332"/>
      <c r="L827" s="332"/>
      <c r="M827" s="332"/>
      <c r="N827" s="332"/>
      <c r="O827" s="227"/>
      <c r="P827" s="227"/>
      <c r="Q827" s="227"/>
      <c r="R827" s="227"/>
      <c r="S827" s="227"/>
      <c r="T827" s="227"/>
      <c r="U827" s="227"/>
    </row>
    <row r="828" spans="1:21" ht="12.75" customHeight="1" x14ac:dyDescent="0.25">
      <c r="A828" s="229"/>
      <c r="B828" s="227"/>
      <c r="C828" s="227"/>
      <c r="D828" s="243"/>
      <c r="E828" s="244"/>
      <c r="F828" s="245"/>
      <c r="G828" s="331"/>
      <c r="H828" s="332"/>
      <c r="I828" s="332"/>
      <c r="J828" s="332"/>
      <c r="K828" s="332"/>
      <c r="L828" s="332"/>
      <c r="M828" s="332"/>
      <c r="N828" s="332"/>
      <c r="O828" s="227"/>
      <c r="P828" s="227"/>
      <c r="Q828" s="227"/>
      <c r="R828" s="227"/>
      <c r="S828" s="227"/>
      <c r="T828" s="227"/>
      <c r="U828" s="227"/>
    </row>
    <row r="829" spans="1:21" ht="12.75" customHeight="1" x14ac:dyDescent="0.25">
      <c r="A829" s="229"/>
      <c r="B829" s="227"/>
      <c r="C829" s="227"/>
      <c r="D829" s="243"/>
      <c r="E829" s="244"/>
      <c r="F829" s="245"/>
      <c r="G829" s="331"/>
      <c r="H829" s="332"/>
      <c r="I829" s="332"/>
      <c r="J829" s="332"/>
      <c r="K829" s="332"/>
      <c r="L829" s="332"/>
      <c r="M829" s="332"/>
      <c r="N829" s="332"/>
      <c r="O829" s="227"/>
      <c r="P829" s="227"/>
      <c r="Q829" s="227"/>
      <c r="R829" s="227"/>
      <c r="S829" s="227"/>
      <c r="T829" s="227"/>
      <c r="U829" s="227"/>
    </row>
    <row r="830" spans="1:21" ht="12.75" customHeight="1" x14ac:dyDescent="0.25">
      <c r="A830" s="229"/>
      <c r="B830" s="227"/>
      <c r="C830" s="227"/>
      <c r="D830" s="243"/>
      <c r="E830" s="244"/>
      <c r="F830" s="245"/>
      <c r="G830" s="331"/>
      <c r="H830" s="332"/>
      <c r="I830" s="332"/>
      <c r="J830" s="332"/>
      <c r="K830" s="332"/>
      <c r="L830" s="332"/>
      <c r="M830" s="332"/>
      <c r="N830" s="332"/>
      <c r="O830" s="227"/>
      <c r="P830" s="227"/>
      <c r="Q830" s="227"/>
      <c r="R830" s="227"/>
      <c r="S830" s="227"/>
      <c r="T830" s="227"/>
      <c r="U830" s="227"/>
    </row>
    <row r="831" spans="1:21" ht="12.75" customHeight="1" x14ac:dyDescent="0.25">
      <c r="A831" s="229"/>
      <c r="B831" s="227"/>
      <c r="C831" s="227"/>
      <c r="D831" s="243"/>
      <c r="E831" s="244"/>
      <c r="F831" s="245"/>
      <c r="G831" s="331"/>
      <c r="H831" s="332"/>
      <c r="I831" s="332"/>
      <c r="J831" s="332"/>
      <c r="K831" s="332"/>
      <c r="L831" s="332"/>
      <c r="M831" s="332"/>
      <c r="N831" s="332"/>
      <c r="O831" s="227"/>
      <c r="P831" s="227"/>
      <c r="Q831" s="227"/>
      <c r="R831" s="227"/>
      <c r="S831" s="227"/>
      <c r="T831" s="227"/>
      <c r="U831" s="227"/>
    </row>
    <row r="832" spans="1:21" ht="12.75" customHeight="1" x14ac:dyDescent="0.25">
      <c r="A832" s="229"/>
      <c r="B832" s="227"/>
      <c r="C832" s="227"/>
      <c r="D832" s="243"/>
      <c r="E832" s="244"/>
      <c r="F832" s="245"/>
      <c r="G832" s="331"/>
      <c r="H832" s="332"/>
      <c r="I832" s="332"/>
      <c r="J832" s="332"/>
      <c r="K832" s="332"/>
      <c r="L832" s="332"/>
      <c r="M832" s="332"/>
      <c r="N832" s="332"/>
      <c r="O832" s="227"/>
      <c r="P832" s="227"/>
      <c r="Q832" s="227"/>
      <c r="R832" s="227"/>
      <c r="S832" s="227"/>
      <c r="T832" s="227"/>
      <c r="U832" s="227"/>
    </row>
    <row r="833" spans="1:21" ht="12.75" customHeight="1" x14ac:dyDescent="0.25">
      <c r="A833" s="229"/>
      <c r="B833" s="227"/>
      <c r="C833" s="227"/>
      <c r="D833" s="243"/>
      <c r="E833" s="244"/>
      <c r="F833" s="245"/>
      <c r="G833" s="331"/>
      <c r="H833" s="332"/>
      <c r="I833" s="332"/>
      <c r="J833" s="332"/>
      <c r="K833" s="332"/>
      <c r="L833" s="332"/>
      <c r="M833" s="332"/>
      <c r="N833" s="332"/>
      <c r="O833" s="227"/>
      <c r="P833" s="227"/>
      <c r="Q833" s="227"/>
      <c r="R833" s="227"/>
      <c r="S833" s="227"/>
      <c r="T833" s="227"/>
      <c r="U833" s="227"/>
    </row>
    <row r="834" spans="1:21" ht="12.75" customHeight="1" x14ac:dyDescent="0.25">
      <c r="A834" s="229"/>
      <c r="B834" s="227"/>
      <c r="C834" s="227"/>
      <c r="D834" s="243"/>
      <c r="E834" s="244"/>
      <c r="F834" s="245"/>
      <c r="G834" s="331"/>
      <c r="H834" s="332"/>
      <c r="I834" s="332"/>
      <c r="J834" s="332"/>
      <c r="K834" s="332"/>
      <c r="L834" s="332"/>
      <c r="M834" s="332"/>
      <c r="N834" s="332"/>
      <c r="O834" s="227"/>
      <c r="P834" s="227"/>
      <c r="Q834" s="227"/>
      <c r="R834" s="227"/>
      <c r="S834" s="227"/>
      <c r="T834" s="227"/>
      <c r="U834" s="227"/>
    </row>
    <row r="835" spans="1:21" ht="12.75" customHeight="1" x14ac:dyDescent="0.25">
      <c r="A835" s="229"/>
      <c r="B835" s="227"/>
      <c r="C835" s="227"/>
      <c r="D835" s="243"/>
      <c r="E835" s="244"/>
      <c r="F835" s="245"/>
      <c r="G835" s="331"/>
      <c r="H835" s="332"/>
      <c r="I835" s="332"/>
      <c r="J835" s="332"/>
      <c r="K835" s="332"/>
      <c r="L835" s="332"/>
      <c r="M835" s="332"/>
      <c r="N835" s="332"/>
      <c r="O835" s="227"/>
      <c r="P835" s="227"/>
      <c r="Q835" s="227"/>
      <c r="R835" s="227"/>
      <c r="S835" s="227"/>
      <c r="T835" s="227"/>
      <c r="U835" s="227"/>
    </row>
    <row r="836" spans="1:21" ht="12.75" customHeight="1" x14ac:dyDescent="0.25">
      <c r="A836" s="229"/>
      <c r="B836" s="227"/>
      <c r="C836" s="227"/>
      <c r="D836" s="243"/>
      <c r="E836" s="244"/>
      <c r="F836" s="245"/>
      <c r="G836" s="331"/>
      <c r="H836" s="332"/>
      <c r="I836" s="332"/>
      <c r="J836" s="332"/>
      <c r="K836" s="332"/>
      <c r="L836" s="332"/>
      <c r="M836" s="332"/>
      <c r="N836" s="332"/>
      <c r="O836" s="227"/>
      <c r="P836" s="227"/>
      <c r="Q836" s="227"/>
      <c r="R836" s="227"/>
      <c r="S836" s="227"/>
      <c r="T836" s="227"/>
      <c r="U836" s="227"/>
    </row>
    <row r="837" spans="1:21" ht="12.75" customHeight="1" x14ac:dyDescent="0.25">
      <c r="A837" s="229"/>
      <c r="B837" s="227"/>
      <c r="C837" s="227"/>
      <c r="D837" s="243"/>
      <c r="E837" s="244"/>
      <c r="F837" s="245"/>
      <c r="G837" s="331"/>
      <c r="H837" s="332"/>
      <c r="I837" s="332"/>
      <c r="J837" s="332"/>
      <c r="K837" s="332"/>
      <c r="L837" s="332"/>
      <c r="M837" s="332"/>
      <c r="N837" s="332"/>
      <c r="O837" s="227"/>
      <c r="P837" s="227"/>
      <c r="Q837" s="227"/>
      <c r="R837" s="227"/>
      <c r="S837" s="227"/>
      <c r="T837" s="227"/>
      <c r="U837" s="227"/>
    </row>
    <row r="838" spans="1:21" ht="12.75" customHeight="1" x14ac:dyDescent="0.25">
      <c r="A838" s="229"/>
      <c r="B838" s="227"/>
      <c r="C838" s="227"/>
      <c r="D838" s="243"/>
      <c r="E838" s="244"/>
      <c r="F838" s="245"/>
      <c r="G838" s="331"/>
      <c r="H838" s="332"/>
      <c r="I838" s="332"/>
      <c r="J838" s="332"/>
      <c r="K838" s="332"/>
      <c r="L838" s="332"/>
      <c r="M838" s="332"/>
      <c r="N838" s="332"/>
      <c r="O838" s="227"/>
      <c r="P838" s="227"/>
      <c r="Q838" s="227"/>
      <c r="R838" s="227"/>
      <c r="S838" s="227"/>
      <c r="T838" s="227"/>
      <c r="U838" s="227"/>
    </row>
    <row r="839" spans="1:21" ht="12.75" customHeight="1" x14ac:dyDescent="0.25">
      <c r="A839" s="229"/>
      <c r="B839" s="227"/>
      <c r="C839" s="227"/>
      <c r="D839" s="243"/>
      <c r="E839" s="244"/>
      <c r="F839" s="245"/>
      <c r="G839" s="331"/>
      <c r="H839" s="332"/>
      <c r="I839" s="332"/>
      <c r="J839" s="332"/>
      <c r="K839" s="332"/>
      <c r="L839" s="332"/>
      <c r="M839" s="332"/>
      <c r="N839" s="332"/>
      <c r="O839" s="227"/>
      <c r="P839" s="227"/>
      <c r="Q839" s="227"/>
      <c r="R839" s="227"/>
      <c r="S839" s="227"/>
      <c r="T839" s="227"/>
      <c r="U839" s="227"/>
    </row>
    <row r="840" spans="1:21" ht="12.75" customHeight="1" x14ac:dyDescent="0.25">
      <c r="A840" s="229"/>
      <c r="B840" s="227"/>
      <c r="C840" s="227"/>
      <c r="D840" s="243"/>
      <c r="E840" s="244"/>
      <c r="F840" s="245"/>
      <c r="G840" s="331"/>
      <c r="H840" s="332"/>
      <c r="I840" s="332"/>
      <c r="J840" s="332"/>
      <c r="K840" s="332"/>
      <c r="L840" s="332"/>
      <c r="M840" s="332"/>
      <c r="N840" s="332"/>
      <c r="O840" s="227"/>
      <c r="P840" s="227"/>
      <c r="Q840" s="227"/>
      <c r="R840" s="227"/>
      <c r="S840" s="227"/>
      <c r="T840" s="227"/>
      <c r="U840" s="227"/>
    </row>
    <row r="841" spans="1:21" ht="12.75" customHeight="1" x14ac:dyDescent="0.25">
      <c r="A841" s="229"/>
      <c r="B841" s="227"/>
      <c r="C841" s="227"/>
      <c r="D841" s="243"/>
      <c r="E841" s="244"/>
      <c r="F841" s="245"/>
      <c r="G841" s="331"/>
      <c r="H841" s="332"/>
      <c r="I841" s="332"/>
      <c r="J841" s="332"/>
      <c r="K841" s="332"/>
      <c r="L841" s="332"/>
      <c r="M841" s="332"/>
      <c r="N841" s="332"/>
      <c r="O841" s="227"/>
      <c r="P841" s="227"/>
      <c r="Q841" s="227"/>
      <c r="R841" s="227"/>
      <c r="S841" s="227"/>
      <c r="T841" s="227"/>
      <c r="U841" s="227"/>
    </row>
    <row r="842" spans="1:21" ht="12.75" customHeight="1" x14ac:dyDescent="0.25">
      <c r="A842" s="229"/>
      <c r="B842" s="227"/>
      <c r="C842" s="227"/>
      <c r="D842" s="243"/>
      <c r="E842" s="244"/>
      <c r="F842" s="245"/>
      <c r="G842" s="331"/>
      <c r="H842" s="332"/>
      <c r="I842" s="332"/>
      <c r="J842" s="332"/>
      <c r="K842" s="332"/>
      <c r="L842" s="332"/>
      <c r="M842" s="332"/>
      <c r="N842" s="332"/>
      <c r="O842" s="227"/>
      <c r="P842" s="227"/>
      <c r="Q842" s="227"/>
      <c r="R842" s="227"/>
      <c r="S842" s="227"/>
      <c r="T842" s="227"/>
      <c r="U842" s="227"/>
    </row>
    <row r="843" spans="1:21" ht="12.75" customHeight="1" x14ac:dyDescent="0.25">
      <c r="A843" s="229"/>
      <c r="B843" s="227"/>
      <c r="C843" s="227"/>
      <c r="D843" s="243"/>
      <c r="E843" s="244"/>
      <c r="F843" s="245"/>
      <c r="G843" s="331"/>
      <c r="H843" s="332"/>
      <c r="I843" s="332"/>
      <c r="J843" s="332"/>
      <c r="K843" s="332"/>
      <c r="L843" s="332"/>
      <c r="M843" s="332"/>
      <c r="N843" s="332"/>
      <c r="O843" s="227"/>
      <c r="P843" s="227"/>
      <c r="Q843" s="227"/>
      <c r="R843" s="227"/>
      <c r="S843" s="227"/>
      <c r="T843" s="227"/>
      <c r="U843" s="227"/>
    </row>
    <row r="844" spans="1:21" ht="12.75" customHeight="1" x14ac:dyDescent="0.25">
      <c r="A844" s="229"/>
      <c r="B844" s="227"/>
      <c r="C844" s="227"/>
      <c r="D844" s="243"/>
      <c r="E844" s="244"/>
      <c r="F844" s="245"/>
      <c r="G844" s="331"/>
      <c r="H844" s="332"/>
      <c r="I844" s="332"/>
      <c r="J844" s="332"/>
      <c r="K844" s="332"/>
      <c r="L844" s="332"/>
      <c r="M844" s="332"/>
      <c r="N844" s="332"/>
      <c r="O844" s="227"/>
      <c r="P844" s="227"/>
      <c r="Q844" s="227"/>
      <c r="R844" s="227"/>
      <c r="S844" s="227"/>
      <c r="T844" s="227"/>
      <c r="U844" s="227"/>
    </row>
    <row r="845" spans="1:21" ht="12.75" customHeight="1" x14ac:dyDescent="0.25">
      <c r="A845" s="229"/>
      <c r="B845" s="227"/>
      <c r="C845" s="227"/>
      <c r="D845" s="243"/>
      <c r="E845" s="244"/>
      <c r="F845" s="245"/>
      <c r="G845" s="331"/>
      <c r="H845" s="332"/>
      <c r="I845" s="332"/>
      <c r="J845" s="332"/>
      <c r="K845" s="332"/>
      <c r="L845" s="332"/>
      <c r="M845" s="332"/>
      <c r="N845" s="332"/>
      <c r="O845" s="227"/>
      <c r="P845" s="227"/>
      <c r="Q845" s="227"/>
      <c r="R845" s="227"/>
      <c r="S845" s="227"/>
      <c r="T845" s="227"/>
      <c r="U845" s="227"/>
    </row>
    <row r="846" spans="1:21" ht="12.75" customHeight="1" x14ac:dyDescent="0.25">
      <c r="A846" s="229"/>
      <c r="B846" s="227"/>
      <c r="C846" s="227"/>
      <c r="D846" s="243"/>
      <c r="E846" s="244"/>
      <c r="F846" s="245"/>
      <c r="G846" s="331"/>
      <c r="H846" s="332"/>
      <c r="I846" s="332"/>
      <c r="J846" s="332"/>
      <c r="K846" s="332"/>
      <c r="L846" s="332"/>
      <c r="M846" s="332"/>
      <c r="N846" s="332"/>
      <c r="O846" s="227"/>
      <c r="P846" s="227"/>
      <c r="Q846" s="227"/>
      <c r="R846" s="227"/>
      <c r="S846" s="227"/>
      <c r="T846" s="227"/>
      <c r="U846" s="227"/>
    </row>
    <row r="847" spans="1:21" ht="12.75" customHeight="1" x14ac:dyDescent="0.25">
      <c r="A847" s="229"/>
      <c r="B847" s="227"/>
      <c r="C847" s="227"/>
      <c r="D847" s="243"/>
      <c r="E847" s="244"/>
      <c r="F847" s="245"/>
      <c r="G847" s="331"/>
      <c r="H847" s="332"/>
      <c r="I847" s="332"/>
      <c r="J847" s="332"/>
      <c r="K847" s="332"/>
      <c r="L847" s="332"/>
      <c r="M847" s="332"/>
      <c r="N847" s="332"/>
      <c r="O847" s="227"/>
      <c r="P847" s="227"/>
      <c r="Q847" s="227"/>
      <c r="R847" s="227"/>
      <c r="S847" s="227"/>
      <c r="T847" s="227"/>
      <c r="U847" s="227"/>
    </row>
    <row r="848" spans="1:21" ht="12.75" customHeight="1" x14ac:dyDescent="0.25">
      <c r="A848" s="229"/>
      <c r="B848" s="227"/>
      <c r="C848" s="227"/>
      <c r="D848" s="243"/>
      <c r="E848" s="244"/>
      <c r="F848" s="245"/>
      <c r="G848" s="331"/>
      <c r="H848" s="332"/>
      <c r="I848" s="332"/>
      <c r="J848" s="332"/>
      <c r="K848" s="332"/>
      <c r="L848" s="332"/>
      <c r="M848" s="332"/>
      <c r="N848" s="332"/>
      <c r="O848" s="227"/>
      <c r="P848" s="227"/>
      <c r="Q848" s="227"/>
      <c r="R848" s="227"/>
      <c r="S848" s="227"/>
      <c r="T848" s="227"/>
      <c r="U848" s="227"/>
    </row>
    <row r="849" spans="1:21" ht="12.75" customHeight="1" x14ac:dyDescent="0.25">
      <c r="A849" s="229"/>
      <c r="B849" s="227"/>
      <c r="C849" s="227"/>
      <c r="D849" s="243"/>
      <c r="E849" s="244"/>
      <c r="F849" s="245"/>
      <c r="G849" s="331"/>
      <c r="H849" s="332"/>
      <c r="I849" s="332"/>
      <c r="J849" s="332"/>
      <c r="K849" s="332"/>
      <c r="L849" s="332"/>
      <c r="M849" s="332"/>
      <c r="N849" s="332"/>
      <c r="O849" s="227"/>
      <c r="P849" s="227"/>
      <c r="Q849" s="227"/>
      <c r="R849" s="227"/>
      <c r="S849" s="227"/>
      <c r="T849" s="227"/>
      <c r="U849" s="227"/>
    </row>
    <row r="850" spans="1:21" ht="12.75" customHeight="1" x14ac:dyDescent="0.25">
      <c r="A850" s="229"/>
      <c r="B850" s="227"/>
      <c r="C850" s="227"/>
      <c r="D850" s="243"/>
      <c r="E850" s="244"/>
      <c r="F850" s="245"/>
      <c r="G850" s="331"/>
      <c r="H850" s="332"/>
      <c r="I850" s="332"/>
      <c r="J850" s="332"/>
      <c r="K850" s="332"/>
      <c r="L850" s="332"/>
      <c r="M850" s="332"/>
      <c r="N850" s="332"/>
      <c r="O850" s="227"/>
      <c r="P850" s="227"/>
      <c r="Q850" s="227"/>
      <c r="R850" s="227"/>
      <c r="S850" s="227"/>
      <c r="T850" s="227"/>
      <c r="U850" s="227"/>
    </row>
    <row r="851" spans="1:21" ht="12.75" customHeight="1" x14ac:dyDescent="0.25">
      <c r="A851" s="229"/>
      <c r="B851" s="227"/>
      <c r="C851" s="227"/>
      <c r="D851" s="243"/>
      <c r="E851" s="244"/>
      <c r="F851" s="245"/>
      <c r="G851" s="331"/>
      <c r="H851" s="332"/>
      <c r="I851" s="332"/>
      <c r="J851" s="332"/>
      <c r="K851" s="332"/>
      <c r="L851" s="332"/>
      <c r="M851" s="332"/>
      <c r="N851" s="332"/>
      <c r="O851" s="227"/>
      <c r="P851" s="227"/>
      <c r="Q851" s="227"/>
      <c r="R851" s="227"/>
      <c r="S851" s="227"/>
      <c r="T851" s="227"/>
      <c r="U851" s="227"/>
    </row>
    <row r="852" spans="1:21" ht="12.75" customHeight="1" x14ac:dyDescent="0.25">
      <c r="A852" s="229"/>
      <c r="B852" s="227"/>
      <c r="C852" s="227"/>
      <c r="D852" s="243"/>
      <c r="E852" s="244"/>
      <c r="F852" s="245"/>
      <c r="G852" s="331"/>
      <c r="H852" s="332"/>
      <c r="I852" s="332"/>
      <c r="J852" s="332"/>
      <c r="K852" s="332"/>
      <c r="L852" s="332"/>
      <c r="M852" s="332"/>
      <c r="N852" s="332"/>
      <c r="O852" s="227"/>
      <c r="P852" s="227"/>
      <c r="Q852" s="227"/>
      <c r="R852" s="227"/>
      <c r="S852" s="227"/>
      <c r="T852" s="227"/>
      <c r="U852" s="227"/>
    </row>
    <row r="853" spans="1:21" ht="12.75" customHeight="1" x14ac:dyDescent="0.25">
      <c r="A853" s="229"/>
      <c r="B853" s="227"/>
      <c r="C853" s="227"/>
      <c r="D853" s="243"/>
      <c r="E853" s="244"/>
      <c r="F853" s="245"/>
      <c r="G853" s="331"/>
      <c r="H853" s="332"/>
      <c r="I853" s="332"/>
      <c r="J853" s="332"/>
      <c r="K853" s="332"/>
      <c r="L853" s="332"/>
      <c r="M853" s="332"/>
      <c r="N853" s="332"/>
      <c r="O853" s="227"/>
      <c r="P853" s="227"/>
      <c r="Q853" s="227"/>
      <c r="R853" s="227"/>
      <c r="S853" s="227"/>
      <c r="T853" s="227"/>
      <c r="U853" s="227"/>
    </row>
    <row r="854" spans="1:21" ht="12.75" customHeight="1" x14ac:dyDescent="0.25">
      <c r="A854" s="229"/>
      <c r="B854" s="227"/>
      <c r="C854" s="227"/>
      <c r="D854" s="243"/>
      <c r="E854" s="244"/>
      <c r="F854" s="245"/>
      <c r="G854" s="331"/>
      <c r="H854" s="332"/>
      <c r="I854" s="332"/>
      <c r="J854" s="332"/>
      <c r="K854" s="332"/>
      <c r="L854" s="332"/>
      <c r="M854" s="332"/>
      <c r="N854" s="332"/>
      <c r="O854" s="227"/>
      <c r="P854" s="227"/>
      <c r="Q854" s="227"/>
      <c r="R854" s="227"/>
      <c r="S854" s="227"/>
      <c r="T854" s="227"/>
      <c r="U854" s="227"/>
    </row>
    <row r="855" spans="1:21" ht="12.75" customHeight="1" x14ac:dyDescent="0.25">
      <c r="A855" s="229"/>
      <c r="B855" s="227"/>
      <c r="C855" s="227"/>
      <c r="D855" s="243"/>
      <c r="E855" s="244"/>
      <c r="F855" s="245"/>
      <c r="G855" s="331"/>
      <c r="H855" s="332"/>
      <c r="I855" s="332"/>
      <c r="J855" s="332"/>
      <c r="K855" s="332"/>
      <c r="L855" s="332"/>
      <c r="M855" s="332"/>
      <c r="N855" s="332"/>
      <c r="O855" s="227"/>
      <c r="P855" s="227"/>
      <c r="Q855" s="227"/>
      <c r="R855" s="227"/>
      <c r="S855" s="227"/>
      <c r="T855" s="227"/>
      <c r="U855" s="227"/>
    </row>
    <row r="856" spans="1:21" ht="12.75" customHeight="1" x14ac:dyDescent="0.25">
      <c r="A856" s="229"/>
      <c r="B856" s="227"/>
      <c r="C856" s="227"/>
      <c r="D856" s="243"/>
      <c r="E856" s="244"/>
      <c r="F856" s="245"/>
      <c r="G856" s="331"/>
      <c r="H856" s="332"/>
      <c r="I856" s="332"/>
      <c r="J856" s="332"/>
      <c r="K856" s="332"/>
      <c r="L856" s="332"/>
      <c r="M856" s="332"/>
      <c r="N856" s="332"/>
      <c r="O856" s="227"/>
      <c r="P856" s="227"/>
      <c r="Q856" s="227"/>
      <c r="R856" s="227"/>
      <c r="S856" s="227"/>
      <c r="T856" s="227"/>
      <c r="U856" s="227"/>
    </row>
    <row r="857" spans="1:21" ht="12.75" customHeight="1" x14ac:dyDescent="0.25">
      <c r="A857" s="229"/>
      <c r="B857" s="227"/>
      <c r="C857" s="227"/>
      <c r="D857" s="243"/>
      <c r="E857" s="244"/>
      <c r="F857" s="245"/>
      <c r="G857" s="331"/>
      <c r="H857" s="332"/>
      <c r="I857" s="332"/>
      <c r="J857" s="332"/>
      <c r="K857" s="332"/>
      <c r="L857" s="332"/>
      <c r="M857" s="332"/>
      <c r="N857" s="332"/>
      <c r="O857" s="227"/>
      <c r="P857" s="227"/>
      <c r="Q857" s="227"/>
      <c r="R857" s="227"/>
      <c r="S857" s="227"/>
      <c r="T857" s="227"/>
      <c r="U857" s="227"/>
    </row>
    <row r="858" spans="1:21" ht="12.75" customHeight="1" x14ac:dyDescent="0.25">
      <c r="A858" s="229"/>
      <c r="B858" s="227"/>
      <c r="C858" s="227"/>
      <c r="D858" s="243"/>
      <c r="E858" s="244"/>
      <c r="F858" s="245"/>
      <c r="G858" s="331"/>
      <c r="H858" s="332"/>
      <c r="I858" s="332"/>
      <c r="J858" s="332"/>
      <c r="K858" s="332"/>
      <c r="L858" s="332"/>
      <c r="M858" s="332"/>
      <c r="N858" s="332"/>
      <c r="O858" s="227"/>
      <c r="P858" s="227"/>
      <c r="Q858" s="227"/>
      <c r="R858" s="227"/>
      <c r="S858" s="227"/>
      <c r="T858" s="227"/>
      <c r="U858" s="227"/>
    </row>
    <row r="859" spans="1:21" ht="12.75" customHeight="1" x14ac:dyDescent="0.25">
      <c r="A859" s="229"/>
      <c r="B859" s="227"/>
      <c r="C859" s="227"/>
      <c r="D859" s="243"/>
      <c r="E859" s="244"/>
      <c r="F859" s="245"/>
      <c r="G859" s="331"/>
      <c r="H859" s="332"/>
      <c r="I859" s="332"/>
      <c r="J859" s="332"/>
      <c r="K859" s="332"/>
      <c r="L859" s="332"/>
      <c r="M859" s="332"/>
      <c r="N859" s="332"/>
      <c r="O859" s="227"/>
      <c r="P859" s="227"/>
      <c r="Q859" s="227"/>
      <c r="R859" s="227"/>
      <c r="S859" s="227"/>
      <c r="T859" s="227"/>
      <c r="U859" s="227"/>
    </row>
    <row r="860" spans="1:21" ht="12.75" customHeight="1" x14ac:dyDescent="0.25">
      <c r="A860" s="229"/>
      <c r="B860" s="227"/>
      <c r="C860" s="227"/>
      <c r="D860" s="243"/>
      <c r="E860" s="244"/>
      <c r="F860" s="245"/>
      <c r="G860" s="331"/>
      <c r="H860" s="332"/>
      <c r="I860" s="332"/>
      <c r="J860" s="332"/>
      <c r="K860" s="332"/>
      <c r="L860" s="332"/>
      <c r="M860" s="332"/>
      <c r="N860" s="332"/>
      <c r="O860" s="227"/>
      <c r="P860" s="227"/>
      <c r="Q860" s="227"/>
      <c r="R860" s="227"/>
      <c r="S860" s="227"/>
      <c r="T860" s="227"/>
      <c r="U860" s="227"/>
    </row>
    <row r="861" spans="1:21" ht="12.75" customHeight="1" x14ac:dyDescent="0.25">
      <c r="A861" s="229"/>
      <c r="B861" s="227"/>
      <c r="C861" s="227"/>
      <c r="D861" s="243"/>
      <c r="E861" s="244"/>
      <c r="F861" s="245"/>
      <c r="G861" s="331"/>
      <c r="H861" s="332"/>
      <c r="I861" s="332"/>
      <c r="J861" s="332"/>
      <c r="K861" s="332"/>
      <c r="L861" s="332"/>
      <c r="M861" s="332"/>
      <c r="N861" s="332"/>
      <c r="O861" s="227"/>
      <c r="P861" s="227"/>
      <c r="Q861" s="227"/>
      <c r="R861" s="227"/>
      <c r="S861" s="227"/>
      <c r="T861" s="227"/>
      <c r="U861" s="227"/>
    </row>
    <row r="862" spans="1:21" ht="12.75" customHeight="1" x14ac:dyDescent="0.25">
      <c r="A862" s="229"/>
      <c r="B862" s="227"/>
      <c r="C862" s="227"/>
      <c r="D862" s="243"/>
      <c r="E862" s="244"/>
      <c r="F862" s="245"/>
      <c r="G862" s="331"/>
      <c r="H862" s="332"/>
      <c r="I862" s="332"/>
      <c r="J862" s="332"/>
      <c r="K862" s="332"/>
      <c r="L862" s="332"/>
      <c r="M862" s="332"/>
      <c r="N862" s="332"/>
      <c r="O862" s="227"/>
      <c r="P862" s="227"/>
      <c r="Q862" s="227"/>
      <c r="R862" s="227"/>
      <c r="S862" s="227"/>
      <c r="T862" s="227"/>
      <c r="U862" s="227"/>
    </row>
    <row r="863" spans="1:21" ht="12.75" customHeight="1" x14ac:dyDescent="0.25">
      <c r="A863" s="229"/>
      <c r="B863" s="227"/>
      <c r="C863" s="227"/>
      <c r="D863" s="243"/>
      <c r="E863" s="244"/>
      <c r="F863" s="245"/>
      <c r="G863" s="331"/>
      <c r="H863" s="332"/>
      <c r="I863" s="332"/>
      <c r="J863" s="332"/>
      <c r="K863" s="332"/>
      <c r="L863" s="332"/>
      <c r="M863" s="332"/>
      <c r="N863" s="332"/>
      <c r="O863" s="227"/>
      <c r="P863" s="227"/>
      <c r="Q863" s="227"/>
      <c r="R863" s="227"/>
      <c r="S863" s="227"/>
      <c r="T863" s="227"/>
      <c r="U863" s="227"/>
    </row>
    <row r="864" spans="1:21" ht="12.75" customHeight="1" x14ac:dyDescent="0.25">
      <c r="A864" s="229"/>
      <c r="B864" s="227"/>
      <c r="C864" s="227"/>
      <c r="D864" s="243"/>
      <c r="E864" s="244"/>
      <c r="F864" s="245"/>
      <c r="G864" s="331"/>
      <c r="H864" s="332"/>
      <c r="I864" s="332"/>
      <c r="J864" s="332"/>
      <c r="K864" s="332"/>
      <c r="L864" s="332"/>
      <c r="M864" s="332"/>
      <c r="N864" s="332"/>
      <c r="O864" s="227"/>
      <c r="P864" s="227"/>
      <c r="Q864" s="227"/>
      <c r="R864" s="227"/>
      <c r="S864" s="227"/>
      <c r="T864" s="227"/>
      <c r="U864" s="227"/>
    </row>
    <row r="865" spans="1:21" ht="12.75" customHeight="1" x14ac:dyDescent="0.25">
      <c r="A865" s="229"/>
      <c r="B865" s="227"/>
      <c r="C865" s="227"/>
      <c r="D865" s="243"/>
      <c r="E865" s="244"/>
      <c r="F865" s="245"/>
      <c r="G865" s="331"/>
      <c r="H865" s="332"/>
      <c r="I865" s="332"/>
      <c r="J865" s="332"/>
      <c r="K865" s="332"/>
      <c r="L865" s="332"/>
      <c r="M865" s="332"/>
      <c r="N865" s="332"/>
      <c r="O865" s="227"/>
      <c r="P865" s="227"/>
      <c r="Q865" s="227"/>
      <c r="R865" s="227"/>
      <c r="S865" s="227"/>
      <c r="T865" s="227"/>
      <c r="U865" s="227"/>
    </row>
    <row r="866" spans="1:21" ht="12.75" customHeight="1" x14ac:dyDescent="0.25">
      <c r="A866" s="229"/>
      <c r="B866" s="227"/>
      <c r="C866" s="227"/>
      <c r="D866" s="243"/>
      <c r="E866" s="244"/>
      <c r="F866" s="245"/>
      <c r="G866" s="331"/>
      <c r="H866" s="332"/>
      <c r="I866" s="332"/>
      <c r="J866" s="332"/>
      <c r="K866" s="332"/>
      <c r="L866" s="332"/>
      <c r="M866" s="332"/>
      <c r="N866" s="332"/>
      <c r="O866" s="227"/>
      <c r="P866" s="227"/>
      <c r="Q866" s="227"/>
      <c r="R866" s="227"/>
      <c r="S866" s="227"/>
      <c r="T866" s="227"/>
      <c r="U866" s="227"/>
    </row>
    <row r="867" spans="1:21" ht="12.75" customHeight="1" x14ac:dyDescent="0.25">
      <c r="A867" s="229"/>
      <c r="B867" s="227"/>
      <c r="C867" s="227"/>
      <c r="D867" s="243"/>
      <c r="E867" s="244"/>
      <c r="F867" s="245"/>
      <c r="G867" s="331"/>
      <c r="H867" s="332"/>
      <c r="I867" s="332"/>
      <c r="J867" s="332"/>
      <c r="K867" s="332"/>
      <c r="L867" s="332"/>
      <c r="M867" s="332"/>
      <c r="N867" s="332"/>
      <c r="O867" s="227"/>
      <c r="P867" s="227"/>
      <c r="Q867" s="227"/>
      <c r="R867" s="227"/>
      <c r="S867" s="227"/>
      <c r="T867" s="227"/>
      <c r="U867" s="227"/>
    </row>
    <row r="868" spans="1:21" ht="12.75" customHeight="1" x14ac:dyDescent="0.25">
      <c r="A868" s="229"/>
      <c r="B868" s="227"/>
      <c r="C868" s="227"/>
      <c r="D868" s="243"/>
      <c r="E868" s="244"/>
      <c r="F868" s="245"/>
      <c r="G868" s="331"/>
      <c r="H868" s="332"/>
      <c r="I868" s="332"/>
      <c r="J868" s="332"/>
      <c r="K868" s="332"/>
      <c r="L868" s="332"/>
      <c r="M868" s="332"/>
      <c r="N868" s="332"/>
      <c r="O868" s="227"/>
      <c r="P868" s="227"/>
      <c r="Q868" s="227"/>
      <c r="R868" s="227"/>
      <c r="S868" s="227"/>
      <c r="T868" s="227"/>
      <c r="U868" s="227"/>
    </row>
    <row r="869" spans="1:21" ht="12.75" customHeight="1" x14ac:dyDescent="0.25">
      <c r="A869" s="229"/>
      <c r="B869" s="227"/>
      <c r="C869" s="227"/>
      <c r="D869" s="243"/>
      <c r="E869" s="244"/>
      <c r="F869" s="245"/>
      <c r="G869" s="331"/>
      <c r="H869" s="332"/>
      <c r="I869" s="332"/>
      <c r="J869" s="332"/>
      <c r="K869" s="332"/>
      <c r="L869" s="332"/>
      <c r="M869" s="332"/>
      <c r="N869" s="332"/>
      <c r="O869" s="227"/>
      <c r="P869" s="227"/>
      <c r="Q869" s="227"/>
      <c r="R869" s="227"/>
      <c r="S869" s="227"/>
      <c r="T869" s="227"/>
      <c r="U869" s="227"/>
    </row>
    <row r="870" spans="1:21" ht="12.75" customHeight="1" x14ac:dyDescent="0.25">
      <c r="A870" s="229"/>
      <c r="B870" s="227"/>
      <c r="C870" s="227"/>
      <c r="D870" s="243"/>
      <c r="E870" s="244"/>
      <c r="F870" s="245"/>
      <c r="G870" s="331"/>
      <c r="H870" s="332"/>
      <c r="I870" s="332"/>
      <c r="J870" s="332"/>
      <c r="K870" s="332"/>
      <c r="L870" s="332"/>
      <c r="M870" s="332"/>
      <c r="N870" s="332"/>
      <c r="O870" s="227"/>
      <c r="P870" s="227"/>
      <c r="Q870" s="227"/>
      <c r="R870" s="227"/>
      <c r="S870" s="227"/>
      <c r="T870" s="227"/>
      <c r="U870" s="227"/>
    </row>
    <row r="871" spans="1:21" ht="12.75" customHeight="1" x14ac:dyDescent="0.25">
      <c r="A871" s="229"/>
      <c r="B871" s="227"/>
      <c r="C871" s="227"/>
      <c r="D871" s="243"/>
      <c r="E871" s="244"/>
      <c r="F871" s="245"/>
      <c r="G871" s="331"/>
      <c r="H871" s="332"/>
      <c r="I871" s="332"/>
      <c r="J871" s="332"/>
      <c r="K871" s="332"/>
      <c r="L871" s="332"/>
      <c r="M871" s="332"/>
      <c r="N871" s="332"/>
      <c r="O871" s="227"/>
      <c r="P871" s="227"/>
      <c r="Q871" s="227"/>
      <c r="R871" s="227"/>
      <c r="S871" s="227"/>
      <c r="T871" s="227"/>
      <c r="U871" s="227"/>
    </row>
    <row r="872" spans="1:21" ht="12.75" customHeight="1" x14ac:dyDescent="0.25">
      <c r="A872" s="229"/>
      <c r="B872" s="227"/>
      <c r="C872" s="227"/>
      <c r="D872" s="243"/>
      <c r="E872" s="244"/>
      <c r="F872" s="245"/>
      <c r="G872" s="331"/>
      <c r="H872" s="332"/>
      <c r="I872" s="332"/>
      <c r="J872" s="332"/>
      <c r="K872" s="332"/>
      <c r="L872" s="332"/>
      <c r="M872" s="332"/>
      <c r="N872" s="332"/>
      <c r="O872" s="227"/>
      <c r="P872" s="227"/>
      <c r="Q872" s="227"/>
      <c r="R872" s="227"/>
      <c r="S872" s="227"/>
      <c r="T872" s="227"/>
      <c r="U872" s="227"/>
    </row>
    <row r="873" spans="1:21" ht="12.75" customHeight="1" x14ac:dyDescent="0.25">
      <c r="A873" s="229"/>
      <c r="B873" s="227"/>
      <c r="C873" s="227"/>
      <c r="D873" s="243"/>
      <c r="E873" s="244"/>
      <c r="F873" s="245"/>
      <c r="G873" s="331"/>
      <c r="H873" s="332"/>
      <c r="I873" s="332"/>
      <c r="J873" s="332"/>
      <c r="K873" s="332"/>
      <c r="L873" s="332"/>
      <c r="M873" s="332"/>
      <c r="N873" s="332"/>
      <c r="O873" s="227"/>
      <c r="P873" s="227"/>
      <c r="Q873" s="227"/>
      <c r="R873" s="227"/>
      <c r="S873" s="227"/>
      <c r="T873" s="227"/>
      <c r="U873" s="227"/>
    </row>
    <row r="874" spans="1:21" ht="12.75" customHeight="1" x14ac:dyDescent="0.25">
      <c r="A874" s="229"/>
      <c r="B874" s="227"/>
      <c r="C874" s="227"/>
      <c r="D874" s="243"/>
      <c r="E874" s="244"/>
      <c r="F874" s="245"/>
      <c r="G874" s="331"/>
      <c r="H874" s="332"/>
      <c r="I874" s="332"/>
      <c r="J874" s="332"/>
      <c r="K874" s="332"/>
      <c r="L874" s="332"/>
      <c r="M874" s="332"/>
      <c r="N874" s="332"/>
      <c r="O874" s="227"/>
      <c r="P874" s="227"/>
      <c r="Q874" s="227"/>
      <c r="R874" s="227"/>
      <c r="S874" s="227"/>
      <c r="T874" s="227"/>
      <c r="U874" s="227"/>
    </row>
    <row r="875" spans="1:21" ht="12.75" customHeight="1" x14ac:dyDescent="0.25">
      <c r="A875" s="229"/>
      <c r="B875" s="227"/>
      <c r="C875" s="227"/>
      <c r="D875" s="243"/>
      <c r="E875" s="244"/>
      <c r="F875" s="245"/>
      <c r="G875" s="331"/>
      <c r="H875" s="332"/>
      <c r="I875" s="332"/>
      <c r="J875" s="332"/>
      <c r="K875" s="332"/>
      <c r="L875" s="332"/>
      <c r="M875" s="332"/>
      <c r="N875" s="332"/>
      <c r="O875" s="227"/>
      <c r="P875" s="227"/>
      <c r="Q875" s="227"/>
      <c r="R875" s="227"/>
      <c r="S875" s="227"/>
      <c r="T875" s="227"/>
      <c r="U875" s="227"/>
    </row>
    <row r="876" spans="1:21" ht="12.75" customHeight="1" x14ac:dyDescent="0.25">
      <c r="A876" s="229"/>
      <c r="B876" s="227"/>
      <c r="C876" s="227"/>
      <c r="D876" s="243"/>
      <c r="E876" s="244"/>
      <c r="F876" s="245"/>
      <c r="G876" s="331"/>
      <c r="H876" s="332"/>
      <c r="I876" s="332"/>
      <c r="J876" s="332"/>
      <c r="K876" s="332"/>
      <c r="L876" s="332"/>
      <c r="M876" s="332"/>
      <c r="N876" s="332"/>
      <c r="O876" s="227"/>
      <c r="P876" s="227"/>
      <c r="Q876" s="227"/>
      <c r="R876" s="227"/>
      <c r="S876" s="227"/>
      <c r="T876" s="227"/>
      <c r="U876" s="227"/>
    </row>
    <row r="877" spans="1:21" ht="12.75" customHeight="1" x14ac:dyDescent="0.25">
      <c r="A877" s="229"/>
      <c r="B877" s="227"/>
      <c r="C877" s="227"/>
      <c r="D877" s="243"/>
      <c r="E877" s="244"/>
      <c r="F877" s="245"/>
      <c r="G877" s="331"/>
      <c r="H877" s="332"/>
      <c r="I877" s="332"/>
      <c r="J877" s="332"/>
      <c r="K877" s="332"/>
      <c r="L877" s="332"/>
      <c r="M877" s="332"/>
      <c r="N877" s="332"/>
      <c r="O877" s="227"/>
      <c r="P877" s="227"/>
      <c r="Q877" s="227"/>
      <c r="R877" s="227"/>
      <c r="S877" s="227"/>
      <c r="T877" s="227"/>
      <c r="U877" s="227"/>
    </row>
    <row r="878" spans="1:21" ht="12.75" customHeight="1" x14ac:dyDescent="0.25">
      <c r="A878" s="229"/>
      <c r="B878" s="227"/>
      <c r="C878" s="227"/>
      <c r="D878" s="243"/>
      <c r="E878" s="244"/>
      <c r="F878" s="245"/>
      <c r="G878" s="331"/>
      <c r="H878" s="332"/>
      <c r="I878" s="332"/>
      <c r="J878" s="332"/>
      <c r="K878" s="332"/>
      <c r="L878" s="332"/>
      <c r="M878" s="332"/>
      <c r="N878" s="332"/>
      <c r="O878" s="227"/>
      <c r="P878" s="227"/>
      <c r="Q878" s="227"/>
      <c r="R878" s="227"/>
      <c r="S878" s="227"/>
      <c r="T878" s="227"/>
      <c r="U878" s="227"/>
    </row>
    <row r="879" spans="1:21" ht="12.75" customHeight="1" x14ac:dyDescent="0.25">
      <c r="A879" s="229"/>
      <c r="B879" s="227"/>
      <c r="C879" s="227"/>
      <c r="D879" s="243"/>
      <c r="E879" s="244"/>
      <c r="F879" s="245"/>
      <c r="G879" s="331"/>
      <c r="H879" s="332"/>
      <c r="I879" s="332"/>
      <c r="J879" s="332"/>
      <c r="K879" s="332"/>
      <c r="L879" s="332"/>
      <c r="M879" s="332"/>
      <c r="N879" s="332"/>
      <c r="O879" s="227"/>
      <c r="P879" s="227"/>
      <c r="Q879" s="227"/>
      <c r="R879" s="227"/>
      <c r="S879" s="227"/>
      <c r="T879" s="227"/>
      <c r="U879" s="227"/>
    </row>
    <row r="880" spans="1:21" ht="12.75" customHeight="1" x14ac:dyDescent="0.25">
      <c r="A880" s="229"/>
      <c r="B880" s="227"/>
      <c r="C880" s="227"/>
      <c r="D880" s="243"/>
      <c r="E880" s="244"/>
      <c r="F880" s="245"/>
      <c r="G880" s="331"/>
      <c r="H880" s="332"/>
      <c r="I880" s="332"/>
      <c r="J880" s="332"/>
      <c r="K880" s="332"/>
      <c r="L880" s="332"/>
      <c r="M880" s="332"/>
      <c r="N880" s="332"/>
      <c r="O880" s="227"/>
      <c r="P880" s="227"/>
      <c r="Q880" s="227"/>
      <c r="R880" s="227"/>
      <c r="S880" s="227"/>
      <c r="T880" s="227"/>
      <c r="U880" s="227"/>
    </row>
    <row r="881" spans="1:21" ht="12.75" customHeight="1" x14ac:dyDescent="0.25">
      <c r="A881" s="229"/>
      <c r="B881" s="227"/>
      <c r="C881" s="227"/>
      <c r="D881" s="243"/>
      <c r="E881" s="244"/>
      <c r="F881" s="245"/>
      <c r="G881" s="331"/>
      <c r="H881" s="332"/>
      <c r="I881" s="332"/>
      <c r="J881" s="332"/>
      <c r="K881" s="332"/>
      <c r="L881" s="332"/>
      <c r="M881" s="332"/>
      <c r="N881" s="332"/>
      <c r="O881" s="227"/>
      <c r="P881" s="227"/>
      <c r="Q881" s="227"/>
      <c r="R881" s="227"/>
      <c r="S881" s="227"/>
      <c r="T881" s="227"/>
      <c r="U881" s="227"/>
    </row>
    <row r="882" spans="1:21" ht="12.75" customHeight="1" x14ac:dyDescent="0.25">
      <c r="A882" s="229"/>
      <c r="B882" s="227"/>
      <c r="C882" s="227"/>
      <c r="D882" s="243"/>
      <c r="E882" s="244"/>
      <c r="F882" s="245"/>
      <c r="G882" s="331"/>
      <c r="H882" s="332"/>
      <c r="I882" s="332"/>
      <c r="J882" s="332"/>
      <c r="K882" s="332"/>
      <c r="L882" s="332"/>
      <c r="M882" s="332"/>
      <c r="N882" s="332"/>
      <c r="O882" s="227"/>
      <c r="P882" s="227"/>
      <c r="Q882" s="227"/>
      <c r="R882" s="227"/>
      <c r="S882" s="227"/>
      <c r="T882" s="227"/>
      <c r="U882" s="227"/>
    </row>
    <row r="883" spans="1:21" ht="12.75" customHeight="1" x14ac:dyDescent="0.25">
      <c r="A883" s="229"/>
      <c r="B883" s="227"/>
      <c r="C883" s="227"/>
      <c r="D883" s="243"/>
      <c r="E883" s="244"/>
      <c r="F883" s="245"/>
      <c r="G883" s="331"/>
      <c r="H883" s="332"/>
      <c r="I883" s="332"/>
      <c r="J883" s="332"/>
      <c r="K883" s="332"/>
      <c r="L883" s="332"/>
      <c r="M883" s="332"/>
      <c r="N883" s="332"/>
      <c r="O883" s="227"/>
      <c r="P883" s="227"/>
      <c r="Q883" s="227"/>
      <c r="R883" s="227"/>
      <c r="S883" s="227"/>
      <c r="T883" s="227"/>
      <c r="U883" s="227"/>
    </row>
    <row r="884" spans="1:21" ht="12.75" customHeight="1" x14ac:dyDescent="0.25">
      <c r="A884" s="229"/>
      <c r="B884" s="227"/>
      <c r="C884" s="227"/>
      <c r="D884" s="243"/>
      <c r="E884" s="244"/>
      <c r="F884" s="245"/>
      <c r="G884" s="331"/>
      <c r="H884" s="332"/>
      <c r="I884" s="332"/>
      <c r="J884" s="332"/>
      <c r="K884" s="332"/>
      <c r="L884" s="332"/>
      <c r="M884" s="332"/>
      <c r="N884" s="332"/>
      <c r="O884" s="227"/>
      <c r="P884" s="227"/>
      <c r="Q884" s="227"/>
      <c r="R884" s="227"/>
      <c r="S884" s="227"/>
      <c r="T884" s="227"/>
      <c r="U884" s="227"/>
    </row>
    <row r="885" spans="1:21" ht="12.75" customHeight="1" x14ac:dyDescent="0.25">
      <c r="A885" s="229"/>
      <c r="B885" s="227"/>
      <c r="C885" s="227"/>
      <c r="D885" s="243"/>
      <c r="E885" s="244"/>
      <c r="F885" s="245"/>
      <c r="G885" s="331"/>
      <c r="H885" s="332"/>
      <c r="I885" s="332"/>
      <c r="J885" s="332"/>
      <c r="K885" s="332"/>
      <c r="L885" s="332"/>
      <c r="M885" s="332"/>
      <c r="N885" s="332"/>
      <c r="O885" s="227"/>
      <c r="P885" s="227"/>
      <c r="Q885" s="227"/>
      <c r="R885" s="227"/>
      <c r="S885" s="227"/>
      <c r="T885" s="227"/>
      <c r="U885" s="227"/>
    </row>
    <row r="886" spans="1:21" ht="12.75" customHeight="1" x14ac:dyDescent="0.25">
      <c r="A886" s="229"/>
      <c r="B886" s="227"/>
      <c r="C886" s="227"/>
      <c r="D886" s="243"/>
      <c r="E886" s="244"/>
      <c r="F886" s="245"/>
      <c r="G886" s="331"/>
      <c r="H886" s="332"/>
      <c r="I886" s="332"/>
      <c r="J886" s="332"/>
      <c r="K886" s="332"/>
      <c r="L886" s="332"/>
      <c r="M886" s="332"/>
      <c r="N886" s="332"/>
      <c r="O886" s="227"/>
      <c r="P886" s="227"/>
      <c r="Q886" s="227"/>
      <c r="R886" s="227"/>
      <c r="S886" s="227"/>
      <c r="T886" s="227"/>
      <c r="U886" s="227"/>
    </row>
    <row r="887" spans="1:21" ht="12.75" customHeight="1" x14ac:dyDescent="0.25">
      <c r="A887" s="229"/>
      <c r="B887" s="227"/>
      <c r="C887" s="227"/>
      <c r="D887" s="243"/>
      <c r="E887" s="244"/>
      <c r="F887" s="245"/>
      <c r="G887" s="331"/>
      <c r="H887" s="332"/>
      <c r="I887" s="332"/>
      <c r="J887" s="332"/>
      <c r="K887" s="332"/>
      <c r="L887" s="332"/>
      <c r="M887" s="332"/>
      <c r="N887" s="332"/>
      <c r="O887" s="227"/>
      <c r="P887" s="227"/>
      <c r="Q887" s="227"/>
      <c r="R887" s="227"/>
      <c r="S887" s="227"/>
      <c r="T887" s="227"/>
      <c r="U887" s="227"/>
    </row>
    <row r="888" spans="1:21" ht="12.75" customHeight="1" x14ac:dyDescent="0.25">
      <c r="A888" s="229"/>
      <c r="B888" s="227"/>
      <c r="C888" s="227"/>
      <c r="D888" s="243"/>
      <c r="E888" s="244"/>
      <c r="F888" s="245"/>
      <c r="G888" s="331"/>
      <c r="H888" s="332"/>
      <c r="I888" s="332"/>
      <c r="J888" s="332"/>
      <c r="K888" s="332"/>
      <c r="L888" s="332"/>
      <c r="M888" s="332"/>
      <c r="N888" s="332"/>
      <c r="O888" s="227"/>
      <c r="P888" s="227"/>
      <c r="Q888" s="227"/>
      <c r="R888" s="227"/>
      <c r="S888" s="227"/>
      <c r="T888" s="227"/>
      <c r="U888" s="227"/>
    </row>
    <row r="889" spans="1:21" ht="12.75" customHeight="1" x14ac:dyDescent="0.25">
      <c r="A889" s="229"/>
      <c r="B889" s="227"/>
      <c r="C889" s="227"/>
      <c r="D889" s="243"/>
      <c r="E889" s="244"/>
      <c r="F889" s="245"/>
      <c r="G889" s="331"/>
      <c r="H889" s="332"/>
      <c r="I889" s="332"/>
      <c r="J889" s="332"/>
      <c r="K889" s="332"/>
      <c r="L889" s="332"/>
      <c r="M889" s="332"/>
      <c r="N889" s="332"/>
      <c r="O889" s="227"/>
      <c r="P889" s="227"/>
      <c r="Q889" s="227"/>
      <c r="R889" s="227"/>
      <c r="S889" s="227"/>
      <c r="T889" s="227"/>
      <c r="U889" s="227"/>
    </row>
    <row r="890" spans="1:21" ht="12.75" customHeight="1" x14ac:dyDescent="0.25">
      <c r="A890" s="229"/>
      <c r="B890" s="227"/>
      <c r="C890" s="227"/>
      <c r="D890" s="243"/>
      <c r="E890" s="244"/>
      <c r="F890" s="245"/>
      <c r="G890" s="331"/>
      <c r="H890" s="332"/>
      <c r="I890" s="332"/>
      <c r="J890" s="332"/>
      <c r="K890" s="332"/>
      <c r="L890" s="332"/>
      <c r="M890" s="332"/>
      <c r="N890" s="332"/>
      <c r="O890" s="227"/>
      <c r="P890" s="227"/>
      <c r="Q890" s="227"/>
      <c r="R890" s="227"/>
      <c r="S890" s="227"/>
      <c r="T890" s="227"/>
      <c r="U890" s="227"/>
    </row>
    <row r="891" spans="1:21" ht="12.75" customHeight="1" x14ac:dyDescent="0.25">
      <c r="A891" s="229"/>
      <c r="B891" s="227"/>
      <c r="C891" s="227"/>
      <c r="D891" s="243"/>
      <c r="E891" s="244"/>
      <c r="F891" s="245"/>
      <c r="G891" s="331"/>
      <c r="H891" s="332"/>
      <c r="I891" s="332"/>
      <c r="J891" s="332"/>
      <c r="K891" s="332"/>
      <c r="L891" s="332"/>
      <c r="M891" s="332"/>
      <c r="N891" s="332"/>
      <c r="O891" s="227"/>
      <c r="P891" s="227"/>
      <c r="Q891" s="227"/>
      <c r="R891" s="227"/>
      <c r="S891" s="227"/>
      <c r="T891" s="227"/>
      <c r="U891" s="227"/>
    </row>
    <row r="892" spans="1:21" ht="12.75" customHeight="1" x14ac:dyDescent="0.25">
      <c r="A892" s="229"/>
      <c r="B892" s="227"/>
      <c r="C892" s="227"/>
      <c r="D892" s="243"/>
      <c r="E892" s="244"/>
      <c r="F892" s="245"/>
      <c r="G892" s="331"/>
      <c r="H892" s="332"/>
      <c r="I892" s="332"/>
      <c r="J892" s="332"/>
      <c r="K892" s="332"/>
      <c r="L892" s="332"/>
      <c r="M892" s="332"/>
      <c r="N892" s="332"/>
      <c r="O892" s="227"/>
      <c r="P892" s="227"/>
      <c r="Q892" s="227"/>
      <c r="R892" s="227"/>
      <c r="S892" s="227"/>
      <c r="T892" s="227"/>
      <c r="U892" s="227"/>
    </row>
    <row r="893" spans="1:21" ht="12.75" customHeight="1" x14ac:dyDescent="0.25">
      <c r="A893" s="229"/>
      <c r="B893" s="227"/>
      <c r="C893" s="227"/>
      <c r="D893" s="243"/>
      <c r="E893" s="244"/>
      <c r="F893" s="245"/>
      <c r="G893" s="331"/>
      <c r="H893" s="332"/>
      <c r="I893" s="332"/>
      <c r="J893" s="332"/>
      <c r="K893" s="332"/>
      <c r="L893" s="332"/>
      <c r="M893" s="332"/>
      <c r="N893" s="332"/>
      <c r="O893" s="227"/>
      <c r="P893" s="227"/>
      <c r="Q893" s="227"/>
      <c r="R893" s="227"/>
      <c r="S893" s="227"/>
      <c r="T893" s="227"/>
      <c r="U893" s="227"/>
    </row>
    <row r="894" spans="1:21" ht="12.75" customHeight="1" x14ac:dyDescent="0.25">
      <c r="A894" s="229"/>
      <c r="B894" s="227"/>
      <c r="C894" s="227"/>
      <c r="D894" s="243"/>
      <c r="E894" s="244"/>
      <c r="F894" s="245"/>
      <c r="G894" s="331"/>
      <c r="H894" s="332"/>
      <c r="I894" s="332"/>
      <c r="J894" s="332"/>
      <c r="K894" s="332"/>
      <c r="L894" s="332"/>
      <c r="M894" s="332"/>
      <c r="N894" s="332"/>
      <c r="O894" s="227"/>
      <c r="P894" s="227"/>
      <c r="Q894" s="227"/>
      <c r="R894" s="227"/>
      <c r="S894" s="227"/>
      <c r="T894" s="227"/>
      <c r="U894" s="227"/>
    </row>
    <row r="895" spans="1:21" ht="12.75" customHeight="1" x14ac:dyDescent="0.25">
      <c r="A895" s="229"/>
      <c r="B895" s="227"/>
      <c r="C895" s="227"/>
      <c r="D895" s="243"/>
      <c r="E895" s="244"/>
      <c r="F895" s="245"/>
      <c r="G895" s="331"/>
      <c r="H895" s="332"/>
      <c r="I895" s="332"/>
      <c r="J895" s="332"/>
      <c r="K895" s="332"/>
      <c r="L895" s="332"/>
      <c r="M895" s="332"/>
      <c r="N895" s="332"/>
      <c r="O895" s="227"/>
      <c r="P895" s="227"/>
      <c r="Q895" s="227"/>
      <c r="R895" s="227"/>
      <c r="S895" s="227"/>
      <c r="T895" s="227"/>
      <c r="U895" s="227"/>
    </row>
    <row r="896" spans="1:21" ht="12.75" customHeight="1" x14ac:dyDescent="0.25">
      <c r="A896" s="229"/>
      <c r="B896" s="227"/>
      <c r="C896" s="227"/>
      <c r="D896" s="243"/>
      <c r="E896" s="244"/>
      <c r="F896" s="245"/>
      <c r="G896" s="331"/>
      <c r="H896" s="332"/>
      <c r="I896" s="332"/>
      <c r="J896" s="332"/>
      <c r="K896" s="332"/>
      <c r="L896" s="332"/>
      <c r="M896" s="332"/>
      <c r="N896" s="332"/>
      <c r="O896" s="227"/>
      <c r="P896" s="227"/>
      <c r="Q896" s="227"/>
      <c r="R896" s="227"/>
      <c r="S896" s="227"/>
      <c r="T896" s="227"/>
      <c r="U896" s="227"/>
    </row>
    <row r="897" spans="1:21" ht="12.75" customHeight="1" x14ac:dyDescent="0.25">
      <c r="A897" s="229"/>
      <c r="B897" s="227"/>
      <c r="C897" s="227"/>
      <c r="D897" s="243"/>
      <c r="E897" s="244"/>
      <c r="F897" s="245"/>
      <c r="G897" s="331"/>
      <c r="H897" s="332"/>
      <c r="I897" s="332"/>
      <c r="J897" s="332"/>
      <c r="K897" s="332"/>
      <c r="L897" s="332"/>
      <c r="M897" s="332"/>
      <c r="N897" s="332"/>
      <c r="O897" s="227"/>
      <c r="P897" s="227"/>
      <c r="Q897" s="227"/>
      <c r="R897" s="227"/>
      <c r="S897" s="227"/>
      <c r="T897" s="227"/>
      <c r="U897" s="227"/>
    </row>
    <row r="898" spans="1:21" ht="12.75" customHeight="1" x14ac:dyDescent="0.25">
      <c r="A898" s="229"/>
      <c r="B898" s="227"/>
      <c r="C898" s="227"/>
      <c r="D898" s="243"/>
      <c r="E898" s="244"/>
      <c r="F898" s="245"/>
      <c r="G898" s="331"/>
      <c r="H898" s="332"/>
      <c r="I898" s="332"/>
      <c r="J898" s="332"/>
      <c r="K898" s="332"/>
      <c r="L898" s="332"/>
      <c r="M898" s="332"/>
      <c r="N898" s="332"/>
      <c r="O898" s="227"/>
      <c r="P898" s="227"/>
      <c r="Q898" s="227"/>
      <c r="R898" s="227"/>
      <c r="S898" s="227"/>
      <c r="T898" s="227"/>
      <c r="U898" s="227"/>
    </row>
    <row r="899" spans="1:21" ht="12.75" customHeight="1" x14ac:dyDescent="0.25">
      <c r="A899" s="229"/>
      <c r="B899" s="227"/>
      <c r="C899" s="227"/>
      <c r="D899" s="243"/>
      <c r="E899" s="244"/>
      <c r="F899" s="245"/>
      <c r="G899" s="331"/>
      <c r="H899" s="332"/>
      <c r="I899" s="332"/>
      <c r="J899" s="332"/>
      <c r="K899" s="332"/>
      <c r="L899" s="332"/>
      <c r="M899" s="332"/>
      <c r="N899" s="332"/>
      <c r="O899" s="227"/>
      <c r="P899" s="227"/>
      <c r="Q899" s="227"/>
      <c r="R899" s="227"/>
      <c r="S899" s="227"/>
      <c r="T899" s="227"/>
      <c r="U899" s="227"/>
    </row>
    <row r="900" spans="1:21" ht="12.75" customHeight="1" x14ac:dyDescent="0.25">
      <c r="A900" s="229"/>
      <c r="B900" s="227"/>
      <c r="C900" s="227"/>
      <c r="D900" s="243"/>
      <c r="E900" s="244"/>
      <c r="F900" s="245"/>
      <c r="G900" s="331"/>
      <c r="H900" s="332"/>
      <c r="I900" s="332"/>
      <c r="J900" s="332"/>
      <c r="K900" s="332"/>
      <c r="L900" s="332"/>
      <c r="M900" s="332"/>
      <c r="N900" s="332"/>
      <c r="O900" s="227"/>
      <c r="P900" s="227"/>
      <c r="Q900" s="227"/>
      <c r="R900" s="227"/>
      <c r="S900" s="227"/>
      <c r="T900" s="227"/>
      <c r="U900" s="227"/>
    </row>
    <row r="901" spans="1:21" ht="12.75" customHeight="1" x14ac:dyDescent="0.25">
      <c r="A901" s="229"/>
      <c r="B901" s="227"/>
      <c r="C901" s="227"/>
      <c r="D901" s="243"/>
      <c r="E901" s="244"/>
      <c r="F901" s="245"/>
      <c r="G901" s="331"/>
      <c r="H901" s="332"/>
      <c r="I901" s="332"/>
      <c r="J901" s="332"/>
      <c r="K901" s="332"/>
      <c r="L901" s="332"/>
      <c r="M901" s="332"/>
      <c r="N901" s="332"/>
      <c r="O901" s="227"/>
      <c r="P901" s="227"/>
      <c r="Q901" s="227"/>
      <c r="R901" s="227"/>
      <c r="S901" s="227"/>
      <c r="T901" s="227"/>
      <c r="U901" s="227"/>
    </row>
    <row r="902" spans="1:21" ht="12.75" customHeight="1" x14ac:dyDescent="0.25">
      <c r="A902" s="229"/>
      <c r="B902" s="227"/>
      <c r="C902" s="227"/>
      <c r="D902" s="243"/>
      <c r="E902" s="244"/>
      <c r="F902" s="245"/>
      <c r="G902" s="331"/>
      <c r="H902" s="332"/>
      <c r="I902" s="332"/>
      <c r="J902" s="332"/>
      <c r="K902" s="332"/>
      <c r="L902" s="332"/>
      <c r="M902" s="332"/>
      <c r="N902" s="332"/>
      <c r="O902" s="227"/>
      <c r="P902" s="227"/>
      <c r="Q902" s="227"/>
      <c r="R902" s="227"/>
      <c r="S902" s="227"/>
      <c r="T902" s="227"/>
      <c r="U902" s="227"/>
    </row>
    <row r="903" spans="1:21" ht="12.75" customHeight="1" x14ac:dyDescent="0.25">
      <c r="A903" s="229"/>
      <c r="B903" s="227"/>
      <c r="C903" s="227"/>
      <c r="D903" s="243"/>
      <c r="E903" s="244"/>
      <c r="F903" s="245"/>
      <c r="G903" s="331"/>
      <c r="H903" s="332"/>
      <c r="I903" s="332"/>
      <c r="J903" s="332"/>
      <c r="K903" s="332"/>
      <c r="L903" s="332"/>
      <c r="M903" s="332"/>
      <c r="N903" s="332"/>
      <c r="O903" s="227"/>
      <c r="P903" s="227"/>
      <c r="Q903" s="227"/>
      <c r="R903" s="227"/>
      <c r="S903" s="227"/>
      <c r="T903" s="227"/>
      <c r="U903" s="227"/>
    </row>
    <row r="904" spans="1:21" ht="12.75" customHeight="1" x14ac:dyDescent="0.25">
      <c r="A904" s="229"/>
      <c r="B904" s="227"/>
      <c r="C904" s="227"/>
      <c r="D904" s="243"/>
      <c r="E904" s="244"/>
      <c r="F904" s="245"/>
      <c r="G904" s="331"/>
      <c r="H904" s="332"/>
      <c r="I904" s="332"/>
      <c r="J904" s="332"/>
      <c r="K904" s="332"/>
      <c r="L904" s="332"/>
      <c r="M904" s="332"/>
      <c r="N904" s="332"/>
      <c r="O904" s="227"/>
      <c r="P904" s="227"/>
      <c r="Q904" s="227"/>
      <c r="R904" s="227"/>
      <c r="S904" s="227"/>
      <c r="T904" s="227"/>
      <c r="U904" s="227"/>
    </row>
    <row r="905" spans="1:21" ht="12.75" customHeight="1" x14ac:dyDescent="0.25">
      <c r="A905" s="229"/>
      <c r="B905" s="227"/>
      <c r="C905" s="227"/>
      <c r="D905" s="243"/>
      <c r="E905" s="244"/>
      <c r="F905" s="245"/>
      <c r="G905" s="331"/>
      <c r="H905" s="332"/>
      <c r="I905" s="332"/>
      <c r="J905" s="332"/>
      <c r="K905" s="332"/>
      <c r="L905" s="332"/>
      <c r="M905" s="332"/>
      <c r="N905" s="332"/>
      <c r="O905" s="227"/>
      <c r="P905" s="227"/>
      <c r="Q905" s="227"/>
      <c r="R905" s="227"/>
      <c r="S905" s="227"/>
      <c r="T905" s="227"/>
      <c r="U905" s="227"/>
    </row>
    <row r="906" spans="1:21" ht="12.75" customHeight="1" x14ac:dyDescent="0.25">
      <c r="A906" s="229"/>
      <c r="B906" s="227"/>
      <c r="C906" s="227"/>
      <c r="D906" s="243"/>
      <c r="E906" s="244"/>
      <c r="F906" s="245"/>
      <c r="G906" s="331"/>
      <c r="H906" s="332"/>
      <c r="I906" s="332"/>
      <c r="J906" s="332"/>
      <c r="K906" s="332"/>
      <c r="L906" s="332"/>
      <c r="M906" s="332"/>
      <c r="N906" s="332"/>
      <c r="O906" s="227"/>
      <c r="P906" s="227"/>
      <c r="Q906" s="227"/>
      <c r="R906" s="227"/>
      <c r="S906" s="227"/>
      <c r="T906" s="227"/>
      <c r="U906" s="227"/>
    </row>
    <row r="907" spans="1:21" ht="12.75" customHeight="1" x14ac:dyDescent="0.25">
      <c r="A907" s="229"/>
      <c r="B907" s="227"/>
      <c r="C907" s="227"/>
      <c r="D907" s="243"/>
      <c r="E907" s="244"/>
      <c r="F907" s="245"/>
      <c r="G907" s="331"/>
      <c r="H907" s="332"/>
      <c r="I907" s="332"/>
      <c r="J907" s="332"/>
      <c r="K907" s="332"/>
      <c r="L907" s="332"/>
      <c r="M907" s="332"/>
      <c r="N907" s="332"/>
      <c r="O907" s="227"/>
      <c r="P907" s="227"/>
      <c r="Q907" s="227"/>
      <c r="R907" s="227"/>
      <c r="S907" s="227"/>
      <c r="T907" s="227"/>
      <c r="U907" s="227"/>
    </row>
    <row r="908" spans="1:21" ht="12.75" customHeight="1" x14ac:dyDescent="0.25">
      <c r="A908" s="229"/>
      <c r="B908" s="227"/>
      <c r="C908" s="227"/>
      <c r="D908" s="243"/>
      <c r="E908" s="244"/>
      <c r="F908" s="245"/>
      <c r="G908" s="331"/>
      <c r="H908" s="332"/>
      <c r="I908" s="332"/>
      <c r="J908" s="332"/>
      <c r="K908" s="332"/>
      <c r="L908" s="332"/>
      <c r="M908" s="332"/>
      <c r="N908" s="332"/>
      <c r="O908" s="227"/>
      <c r="P908" s="227"/>
      <c r="Q908" s="227"/>
      <c r="R908" s="227"/>
      <c r="S908" s="227"/>
      <c r="T908" s="227"/>
      <c r="U908" s="227"/>
    </row>
    <row r="909" spans="1:21" ht="12.75" customHeight="1" x14ac:dyDescent="0.25">
      <c r="A909" s="229"/>
      <c r="B909" s="227"/>
      <c r="C909" s="227"/>
      <c r="D909" s="243"/>
      <c r="E909" s="244"/>
      <c r="F909" s="245"/>
      <c r="G909" s="331"/>
      <c r="H909" s="332"/>
      <c r="I909" s="332"/>
      <c r="J909" s="332"/>
      <c r="K909" s="332"/>
      <c r="L909" s="332"/>
      <c r="M909" s="332"/>
      <c r="N909" s="332"/>
      <c r="O909" s="227"/>
      <c r="P909" s="227"/>
      <c r="Q909" s="227"/>
      <c r="R909" s="227"/>
      <c r="S909" s="227"/>
      <c r="T909" s="227"/>
      <c r="U909" s="227"/>
    </row>
    <row r="910" spans="1:21" ht="12.75" customHeight="1" x14ac:dyDescent="0.25">
      <c r="A910" s="229"/>
      <c r="B910" s="227"/>
      <c r="C910" s="227"/>
      <c r="D910" s="243"/>
      <c r="E910" s="244"/>
      <c r="F910" s="245"/>
      <c r="G910" s="331"/>
      <c r="H910" s="332"/>
      <c r="I910" s="332"/>
      <c r="J910" s="332"/>
      <c r="K910" s="332"/>
      <c r="L910" s="332"/>
      <c r="M910" s="332"/>
      <c r="N910" s="332"/>
      <c r="O910" s="227"/>
      <c r="P910" s="227"/>
      <c r="Q910" s="227"/>
      <c r="R910" s="227"/>
      <c r="S910" s="227"/>
      <c r="T910" s="227"/>
      <c r="U910" s="227"/>
    </row>
    <row r="911" spans="1:21" ht="12.75" customHeight="1" x14ac:dyDescent="0.25">
      <c r="A911" s="229"/>
      <c r="B911" s="227"/>
      <c r="C911" s="227"/>
      <c r="D911" s="243"/>
      <c r="E911" s="244"/>
      <c r="F911" s="245"/>
      <c r="G911" s="331"/>
      <c r="H911" s="332"/>
      <c r="I911" s="332"/>
      <c r="J911" s="332"/>
      <c r="K911" s="332"/>
      <c r="L911" s="332"/>
      <c r="M911" s="332"/>
      <c r="N911" s="332"/>
      <c r="O911" s="227"/>
      <c r="P911" s="227"/>
      <c r="Q911" s="227"/>
      <c r="R911" s="227"/>
      <c r="S911" s="227"/>
      <c r="T911" s="227"/>
      <c r="U911" s="227"/>
    </row>
    <row r="912" spans="1:21" ht="12.75" customHeight="1" x14ac:dyDescent="0.25">
      <c r="A912" s="229"/>
      <c r="B912" s="227"/>
      <c r="C912" s="227"/>
      <c r="D912" s="243"/>
      <c r="E912" s="244"/>
      <c r="F912" s="245"/>
      <c r="G912" s="331"/>
      <c r="H912" s="332"/>
      <c r="I912" s="332"/>
      <c r="J912" s="332"/>
      <c r="K912" s="332"/>
      <c r="L912" s="332"/>
      <c r="M912" s="332"/>
      <c r="N912" s="332"/>
      <c r="O912" s="227"/>
      <c r="P912" s="227"/>
      <c r="Q912" s="227"/>
      <c r="R912" s="227"/>
      <c r="S912" s="227"/>
      <c r="T912" s="227"/>
      <c r="U912" s="227"/>
    </row>
    <row r="913" spans="1:21" ht="12.75" customHeight="1" x14ac:dyDescent="0.25">
      <c r="A913" s="229"/>
      <c r="B913" s="227"/>
      <c r="C913" s="227"/>
      <c r="D913" s="243"/>
      <c r="E913" s="244"/>
      <c r="F913" s="245"/>
      <c r="G913" s="331"/>
      <c r="H913" s="332"/>
      <c r="I913" s="332"/>
      <c r="J913" s="332"/>
      <c r="K913" s="332"/>
      <c r="L913" s="332"/>
      <c r="M913" s="332"/>
      <c r="N913" s="332"/>
      <c r="O913" s="227"/>
      <c r="P913" s="227"/>
      <c r="Q913" s="227"/>
      <c r="R913" s="227"/>
      <c r="S913" s="227"/>
      <c r="T913" s="227"/>
      <c r="U913" s="227"/>
    </row>
    <row r="914" spans="1:21" ht="12.75" customHeight="1" x14ac:dyDescent="0.25">
      <c r="A914" s="229"/>
      <c r="B914" s="227"/>
      <c r="C914" s="227"/>
      <c r="D914" s="243"/>
      <c r="E914" s="244"/>
      <c r="F914" s="245"/>
      <c r="G914" s="331"/>
      <c r="H914" s="332"/>
      <c r="I914" s="332"/>
      <c r="J914" s="332"/>
      <c r="K914" s="332"/>
      <c r="L914" s="332"/>
      <c r="M914" s="332"/>
      <c r="N914" s="332"/>
      <c r="O914" s="227"/>
      <c r="P914" s="227"/>
      <c r="Q914" s="227"/>
      <c r="R914" s="227"/>
      <c r="S914" s="227"/>
      <c r="T914" s="227"/>
      <c r="U914" s="227"/>
    </row>
    <row r="915" spans="1:21" ht="12.75" customHeight="1" x14ac:dyDescent="0.25">
      <c r="A915" s="229"/>
      <c r="B915" s="227"/>
      <c r="C915" s="227"/>
      <c r="D915" s="243"/>
      <c r="E915" s="244"/>
      <c r="F915" s="245"/>
      <c r="G915" s="331"/>
      <c r="H915" s="332"/>
      <c r="I915" s="332"/>
      <c r="J915" s="332"/>
      <c r="K915" s="332"/>
      <c r="L915" s="332"/>
      <c r="M915" s="332"/>
      <c r="N915" s="332"/>
      <c r="O915" s="227"/>
      <c r="P915" s="227"/>
      <c r="Q915" s="227"/>
      <c r="R915" s="227"/>
      <c r="S915" s="227"/>
      <c r="T915" s="227"/>
      <c r="U915" s="227"/>
    </row>
    <row r="916" spans="1:21" ht="12.75" customHeight="1" x14ac:dyDescent="0.25">
      <c r="A916" s="229"/>
      <c r="B916" s="227"/>
      <c r="C916" s="227"/>
      <c r="D916" s="243"/>
      <c r="E916" s="244"/>
      <c r="F916" s="245"/>
      <c r="G916" s="331"/>
      <c r="H916" s="332"/>
      <c r="I916" s="332"/>
      <c r="J916" s="332"/>
      <c r="K916" s="332"/>
      <c r="L916" s="332"/>
      <c r="M916" s="332"/>
      <c r="N916" s="332"/>
      <c r="O916" s="227"/>
      <c r="P916" s="227"/>
      <c r="Q916" s="227"/>
      <c r="R916" s="227"/>
      <c r="S916" s="227"/>
      <c r="T916" s="227"/>
      <c r="U916" s="227"/>
    </row>
    <row r="917" spans="1:21" ht="12.75" customHeight="1" x14ac:dyDescent="0.25">
      <c r="A917" s="229"/>
      <c r="B917" s="227"/>
      <c r="C917" s="227"/>
      <c r="D917" s="243"/>
      <c r="E917" s="244"/>
      <c r="F917" s="245"/>
      <c r="G917" s="331"/>
      <c r="H917" s="332"/>
      <c r="I917" s="332"/>
      <c r="J917" s="332"/>
      <c r="K917" s="332"/>
      <c r="L917" s="332"/>
      <c r="M917" s="332"/>
      <c r="N917" s="332"/>
      <c r="O917" s="227"/>
      <c r="P917" s="227"/>
      <c r="Q917" s="227"/>
      <c r="R917" s="227"/>
      <c r="S917" s="227"/>
      <c r="T917" s="227"/>
      <c r="U917" s="227"/>
    </row>
    <row r="918" spans="1:21" ht="12.75" customHeight="1" x14ac:dyDescent="0.25">
      <c r="A918" s="229"/>
      <c r="B918" s="227"/>
      <c r="C918" s="227"/>
      <c r="D918" s="243"/>
      <c r="E918" s="244"/>
      <c r="F918" s="245"/>
      <c r="G918" s="331"/>
      <c r="H918" s="332"/>
      <c r="I918" s="332"/>
      <c r="J918" s="332"/>
      <c r="K918" s="332"/>
      <c r="L918" s="332"/>
      <c r="M918" s="332"/>
      <c r="N918" s="332"/>
      <c r="O918" s="227"/>
      <c r="P918" s="227"/>
      <c r="Q918" s="227"/>
      <c r="R918" s="227"/>
      <c r="S918" s="227"/>
      <c r="T918" s="227"/>
      <c r="U918" s="227"/>
    </row>
    <row r="919" spans="1:21" ht="12.75" customHeight="1" x14ac:dyDescent="0.25">
      <c r="A919" s="229"/>
      <c r="B919" s="227"/>
      <c r="C919" s="227"/>
      <c r="D919" s="243"/>
      <c r="E919" s="244"/>
      <c r="F919" s="245"/>
      <c r="G919" s="331"/>
      <c r="H919" s="332"/>
      <c r="I919" s="332"/>
      <c r="J919" s="332"/>
      <c r="K919" s="332"/>
      <c r="L919" s="332"/>
      <c r="M919" s="332"/>
      <c r="N919" s="332"/>
      <c r="O919" s="227"/>
      <c r="P919" s="227"/>
      <c r="Q919" s="227"/>
      <c r="R919" s="227"/>
      <c r="S919" s="227"/>
      <c r="T919" s="227"/>
      <c r="U919" s="227"/>
    </row>
    <row r="920" spans="1:21" ht="12.75" customHeight="1" x14ac:dyDescent="0.25">
      <c r="A920" s="229"/>
      <c r="B920" s="227"/>
      <c r="C920" s="227"/>
      <c r="D920" s="243"/>
      <c r="E920" s="244"/>
      <c r="F920" s="245"/>
      <c r="G920" s="331"/>
      <c r="H920" s="332"/>
      <c r="I920" s="332"/>
      <c r="J920" s="332"/>
      <c r="K920" s="332"/>
      <c r="L920" s="332"/>
      <c r="M920" s="332"/>
      <c r="N920" s="332"/>
      <c r="O920" s="227"/>
      <c r="P920" s="227"/>
      <c r="Q920" s="227"/>
      <c r="R920" s="227"/>
      <c r="S920" s="227"/>
      <c r="T920" s="227"/>
      <c r="U920" s="227"/>
    </row>
    <row r="921" spans="1:21" ht="12.75" customHeight="1" x14ac:dyDescent="0.25">
      <c r="A921" s="229"/>
      <c r="B921" s="227"/>
      <c r="C921" s="227"/>
      <c r="D921" s="243"/>
      <c r="E921" s="244"/>
      <c r="F921" s="245"/>
      <c r="G921" s="331"/>
      <c r="H921" s="332"/>
      <c r="I921" s="332"/>
      <c r="J921" s="332"/>
      <c r="K921" s="332"/>
      <c r="L921" s="332"/>
      <c r="M921" s="332"/>
      <c r="N921" s="332"/>
      <c r="O921" s="227"/>
      <c r="P921" s="227"/>
      <c r="Q921" s="227"/>
      <c r="R921" s="227"/>
      <c r="S921" s="227"/>
      <c r="T921" s="227"/>
      <c r="U921" s="227"/>
    </row>
    <row r="922" spans="1:21" ht="12.75" customHeight="1" x14ac:dyDescent="0.25">
      <c r="A922" s="229"/>
      <c r="B922" s="227"/>
      <c r="C922" s="227"/>
      <c r="D922" s="243"/>
      <c r="E922" s="244"/>
      <c r="F922" s="245"/>
      <c r="G922" s="331"/>
      <c r="H922" s="332"/>
      <c r="I922" s="332"/>
      <c r="J922" s="332"/>
      <c r="K922" s="332"/>
      <c r="L922" s="332"/>
      <c r="M922" s="332"/>
      <c r="N922" s="332"/>
      <c r="O922" s="227"/>
      <c r="P922" s="227"/>
      <c r="Q922" s="227"/>
      <c r="R922" s="227"/>
      <c r="S922" s="227"/>
      <c r="T922" s="227"/>
      <c r="U922" s="227"/>
    </row>
    <row r="923" spans="1:21" ht="12.75" customHeight="1" x14ac:dyDescent="0.25">
      <c r="A923" s="229"/>
      <c r="B923" s="227"/>
      <c r="C923" s="227"/>
      <c r="D923" s="243"/>
      <c r="E923" s="244"/>
      <c r="F923" s="245"/>
      <c r="G923" s="331"/>
      <c r="H923" s="332"/>
      <c r="I923" s="332"/>
      <c r="J923" s="332"/>
      <c r="K923" s="332"/>
      <c r="L923" s="332"/>
      <c r="M923" s="332"/>
      <c r="N923" s="332"/>
      <c r="O923" s="227"/>
      <c r="P923" s="227"/>
      <c r="Q923" s="227"/>
      <c r="R923" s="227"/>
      <c r="S923" s="227"/>
      <c r="T923" s="227"/>
      <c r="U923" s="227"/>
    </row>
    <row r="924" spans="1:21" ht="12.75" customHeight="1" x14ac:dyDescent="0.25">
      <c r="A924" s="229"/>
      <c r="B924" s="227"/>
      <c r="C924" s="227"/>
      <c r="D924" s="243"/>
      <c r="E924" s="244"/>
      <c r="F924" s="245"/>
      <c r="G924" s="331"/>
      <c r="H924" s="332"/>
      <c r="I924" s="332"/>
      <c r="J924" s="332"/>
      <c r="K924" s="332"/>
      <c r="L924" s="332"/>
      <c r="M924" s="332"/>
      <c r="N924" s="332"/>
      <c r="O924" s="227"/>
      <c r="P924" s="227"/>
      <c r="Q924" s="227"/>
      <c r="R924" s="227"/>
      <c r="S924" s="227"/>
      <c r="T924" s="227"/>
      <c r="U924" s="227"/>
    </row>
    <row r="925" spans="1:21" ht="12.75" customHeight="1" x14ac:dyDescent="0.25">
      <c r="A925" s="229"/>
      <c r="B925" s="227"/>
      <c r="C925" s="227"/>
      <c r="D925" s="243"/>
      <c r="E925" s="244"/>
      <c r="F925" s="245"/>
      <c r="G925" s="331"/>
      <c r="H925" s="332"/>
      <c r="I925" s="332"/>
      <c r="J925" s="332"/>
      <c r="K925" s="332"/>
      <c r="L925" s="332"/>
      <c r="M925" s="332"/>
      <c r="N925" s="332"/>
      <c r="O925" s="227"/>
      <c r="P925" s="227"/>
      <c r="Q925" s="227"/>
      <c r="R925" s="227"/>
      <c r="S925" s="227"/>
      <c r="T925" s="227"/>
      <c r="U925" s="227"/>
    </row>
    <row r="926" spans="1:21" ht="12.75" customHeight="1" x14ac:dyDescent="0.25">
      <c r="A926" s="229"/>
      <c r="B926" s="227"/>
      <c r="C926" s="227"/>
      <c r="D926" s="243"/>
      <c r="E926" s="244"/>
      <c r="F926" s="245"/>
      <c r="G926" s="331"/>
      <c r="H926" s="332"/>
      <c r="I926" s="332"/>
      <c r="J926" s="332"/>
      <c r="K926" s="332"/>
      <c r="L926" s="332"/>
      <c r="M926" s="332"/>
      <c r="N926" s="332"/>
      <c r="O926" s="227"/>
      <c r="P926" s="227"/>
      <c r="Q926" s="227"/>
      <c r="R926" s="227"/>
      <c r="S926" s="227"/>
      <c r="T926" s="227"/>
      <c r="U926" s="227"/>
    </row>
    <row r="927" spans="1:21" ht="12.75" customHeight="1" x14ac:dyDescent="0.25">
      <c r="A927" s="229"/>
      <c r="B927" s="227"/>
      <c r="C927" s="227"/>
      <c r="D927" s="243"/>
      <c r="E927" s="244"/>
      <c r="F927" s="245"/>
      <c r="G927" s="331"/>
      <c r="H927" s="332"/>
      <c r="I927" s="332"/>
      <c r="J927" s="332"/>
      <c r="K927" s="332"/>
      <c r="L927" s="332"/>
      <c r="M927" s="332"/>
      <c r="N927" s="332"/>
      <c r="O927" s="227"/>
      <c r="P927" s="227"/>
      <c r="Q927" s="227"/>
      <c r="R927" s="227"/>
      <c r="S927" s="227"/>
      <c r="T927" s="227"/>
      <c r="U927" s="227"/>
    </row>
    <row r="928" spans="1:21" ht="12.75" customHeight="1" x14ac:dyDescent="0.25">
      <c r="A928" s="229"/>
      <c r="B928" s="227"/>
      <c r="C928" s="227"/>
      <c r="D928" s="243"/>
      <c r="E928" s="244"/>
      <c r="F928" s="245"/>
      <c r="G928" s="331"/>
      <c r="H928" s="332"/>
      <c r="I928" s="332"/>
      <c r="J928" s="332"/>
      <c r="K928" s="332"/>
      <c r="L928" s="332"/>
      <c r="M928" s="332"/>
      <c r="N928" s="332"/>
      <c r="O928" s="227"/>
      <c r="P928" s="227"/>
      <c r="Q928" s="227"/>
      <c r="R928" s="227"/>
      <c r="S928" s="227"/>
      <c r="T928" s="227"/>
      <c r="U928" s="227"/>
    </row>
    <row r="929" spans="1:21" ht="12.75" customHeight="1" x14ac:dyDescent="0.25">
      <c r="A929" s="229"/>
      <c r="B929" s="227"/>
      <c r="C929" s="227"/>
      <c r="D929" s="243"/>
      <c r="E929" s="244"/>
      <c r="F929" s="245"/>
      <c r="G929" s="331"/>
      <c r="H929" s="332"/>
      <c r="I929" s="332"/>
      <c r="J929" s="332"/>
      <c r="K929" s="332"/>
      <c r="L929" s="332"/>
      <c r="M929" s="332"/>
      <c r="N929" s="332"/>
      <c r="O929" s="227"/>
      <c r="P929" s="227"/>
      <c r="Q929" s="227"/>
      <c r="R929" s="227"/>
      <c r="S929" s="227"/>
      <c r="T929" s="227"/>
      <c r="U929" s="227"/>
    </row>
    <row r="930" spans="1:21" ht="12.75" customHeight="1" x14ac:dyDescent="0.25">
      <c r="A930" s="229"/>
      <c r="B930" s="227"/>
      <c r="C930" s="227"/>
      <c r="D930" s="243"/>
      <c r="E930" s="244"/>
      <c r="F930" s="245"/>
      <c r="G930" s="331"/>
      <c r="H930" s="332"/>
      <c r="I930" s="332"/>
      <c r="J930" s="332"/>
      <c r="K930" s="332"/>
      <c r="L930" s="332"/>
      <c r="M930" s="332"/>
      <c r="N930" s="332"/>
      <c r="O930" s="227"/>
      <c r="P930" s="227"/>
      <c r="Q930" s="227"/>
      <c r="R930" s="227"/>
      <c r="S930" s="227"/>
      <c r="T930" s="227"/>
      <c r="U930" s="227"/>
    </row>
    <row r="931" spans="1:21" ht="12.75" customHeight="1" x14ac:dyDescent="0.25">
      <c r="A931" s="229"/>
      <c r="B931" s="227"/>
      <c r="C931" s="227"/>
      <c r="D931" s="243"/>
      <c r="E931" s="244"/>
      <c r="F931" s="245"/>
      <c r="G931" s="331"/>
      <c r="H931" s="332"/>
      <c r="I931" s="332"/>
      <c r="J931" s="332"/>
      <c r="K931" s="332"/>
      <c r="L931" s="332"/>
      <c r="M931" s="332"/>
      <c r="N931" s="332"/>
      <c r="O931" s="227"/>
      <c r="P931" s="227"/>
      <c r="Q931" s="227"/>
      <c r="R931" s="227"/>
      <c r="S931" s="227"/>
      <c r="T931" s="227"/>
      <c r="U931" s="227"/>
    </row>
    <row r="932" spans="1:21" ht="12.75" customHeight="1" x14ac:dyDescent="0.25">
      <c r="A932" s="229"/>
      <c r="B932" s="227"/>
      <c r="C932" s="227"/>
      <c r="D932" s="243"/>
      <c r="E932" s="244"/>
      <c r="F932" s="245"/>
      <c r="G932" s="331"/>
      <c r="H932" s="332"/>
      <c r="I932" s="332"/>
      <c r="J932" s="332"/>
      <c r="K932" s="332"/>
      <c r="L932" s="332"/>
      <c r="M932" s="332"/>
      <c r="N932" s="332"/>
      <c r="O932" s="227"/>
      <c r="P932" s="227"/>
      <c r="Q932" s="227"/>
      <c r="R932" s="227"/>
      <c r="S932" s="227"/>
      <c r="T932" s="227"/>
      <c r="U932" s="227"/>
    </row>
    <row r="933" spans="1:21" ht="12.75" customHeight="1" x14ac:dyDescent="0.25">
      <c r="A933" s="229"/>
      <c r="B933" s="227"/>
      <c r="C933" s="227"/>
      <c r="D933" s="243"/>
      <c r="E933" s="244"/>
      <c r="F933" s="245"/>
      <c r="G933" s="331"/>
      <c r="H933" s="332"/>
      <c r="I933" s="332"/>
      <c r="J933" s="332"/>
      <c r="K933" s="332"/>
      <c r="L933" s="332"/>
      <c r="M933" s="332"/>
      <c r="N933" s="332"/>
      <c r="O933" s="227"/>
      <c r="P933" s="227"/>
      <c r="Q933" s="227"/>
      <c r="R933" s="227"/>
      <c r="S933" s="227"/>
      <c r="T933" s="227"/>
      <c r="U933" s="227"/>
    </row>
    <row r="934" spans="1:21" ht="12.75" customHeight="1" x14ac:dyDescent="0.25">
      <c r="A934" s="229"/>
      <c r="B934" s="227"/>
      <c r="C934" s="227"/>
      <c r="D934" s="243"/>
      <c r="E934" s="244"/>
      <c r="F934" s="245"/>
      <c r="G934" s="331"/>
      <c r="H934" s="332"/>
      <c r="I934" s="332"/>
      <c r="J934" s="332"/>
      <c r="K934" s="332"/>
      <c r="L934" s="332"/>
      <c r="M934" s="332"/>
      <c r="N934" s="332"/>
      <c r="O934" s="227"/>
      <c r="P934" s="227"/>
      <c r="Q934" s="227"/>
      <c r="R934" s="227"/>
      <c r="S934" s="227"/>
      <c r="T934" s="227"/>
      <c r="U934" s="227"/>
    </row>
    <row r="935" spans="1:21" ht="12.75" customHeight="1" x14ac:dyDescent="0.25">
      <c r="A935" s="229"/>
      <c r="B935" s="227"/>
      <c r="C935" s="227"/>
      <c r="D935" s="243"/>
      <c r="E935" s="244"/>
      <c r="F935" s="245"/>
      <c r="G935" s="331"/>
      <c r="H935" s="332"/>
      <c r="I935" s="332"/>
      <c r="J935" s="332"/>
      <c r="K935" s="332"/>
      <c r="L935" s="332"/>
      <c r="M935" s="332"/>
      <c r="N935" s="332"/>
      <c r="O935" s="227"/>
      <c r="P935" s="227"/>
      <c r="Q935" s="227"/>
      <c r="R935" s="227"/>
      <c r="S935" s="227"/>
      <c r="T935" s="227"/>
      <c r="U935" s="227"/>
    </row>
    <row r="936" spans="1:21" ht="12.75" customHeight="1" x14ac:dyDescent="0.25">
      <c r="A936" s="229"/>
      <c r="B936" s="227"/>
      <c r="C936" s="227"/>
      <c r="D936" s="243"/>
      <c r="E936" s="244"/>
      <c r="F936" s="245"/>
      <c r="G936" s="331"/>
      <c r="H936" s="332"/>
      <c r="I936" s="332"/>
      <c r="J936" s="332"/>
      <c r="K936" s="332"/>
      <c r="L936" s="332"/>
      <c r="M936" s="332"/>
      <c r="N936" s="332"/>
      <c r="O936" s="227"/>
      <c r="P936" s="227"/>
      <c r="Q936" s="227"/>
      <c r="R936" s="227"/>
      <c r="S936" s="227"/>
      <c r="T936" s="227"/>
      <c r="U936" s="227"/>
    </row>
    <row r="937" spans="1:21" ht="12.75" customHeight="1" x14ac:dyDescent="0.25">
      <c r="A937" s="229"/>
      <c r="B937" s="227"/>
      <c r="C937" s="227"/>
      <c r="D937" s="243"/>
      <c r="E937" s="244"/>
      <c r="F937" s="245"/>
      <c r="G937" s="331"/>
      <c r="H937" s="332"/>
      <c r="I937" s="332"/>
      <c r="J937" s="332"/>
      <c r="K937" s="332"/>
      <c r="L937" s="332"/>
      <c r="M937" s="332"/>
      <c r="N937" s="332"/>
      <c r="O937" s="227"/>
      <c r="P937" s="227"/>
      <c r="Q937" s="227"/>
      <c r="R937" s="227"/>
      <c r="S937" s="227"/>
      <c r="T937" s="227"/>
      <c r="U937" s="227"/>
    </row>
    <row r="938" spans="1:21" ht="12.75" customHeight="1" x14ac:dyDescent="0.25">
      <c r="A938" s="229"/>
      <c r="B938" s="227"/>
      <c r="C938" s="227"/>
      <c r="D938" s="243"/>
      <c r="E938" s="244"/>
      <c r="F938" s="245"/>
      <c r="G938" s="331"/>
      <c r="H938" s="332"/>
      <c r="I938" s="332"/>
      <c r="J938" s="332"/>
      <c r="K938" s="332"/>
      <c r="L938" s="332"/>
      <c r="M938" s="332"/>
      <c r="N938" s="332"/>
      <c r="O938" s="227"/>
      <c r="P938" s="227"/>
      <c r="Q938" s="227"/>
      <c r="R938" s="227"/>
      <c r="S938" s="227"/>
      <c r="T938" s="227"/>
      <c r="U938" s="227"/>
    </row>
    <row r="939" spans="1:21" ht="12.75" customHeight="1" x14ac:dyDescent="0.25">
      <c r="A939" s="229"/>
      <c r="B939" s="227"/>
      <c r="C939" s="227"/>
      <c r="D939" s="243"/>
      <c r="E939" s="244"/>
      <c r="F939" s="245"/>
      <c r="G939" s="331"/>
      <c r="H939" s="332"/>
      <c r="I939" s="332"/>
      <c r="J939" s="332"/>
      <c r="K939" s="332"/>
      <c r="L939" s="332"/>
      <c r="M939" s="332"/>
      <c r="N939" s="332"/>
      <c r="O939" s="227"/>
      <c r="P939" s="227"/>
      <c r="Q939" s="227"/>
      <c r="R939" s="227"/>
      <c r="S939" s="227"/>
      <c r="T939" s="227"/>
      <c r="U939" s="227"/>
    </row>
    <row r="940" spans="1:21" ht="12.75" customHeight="1" x14ac:dyDescent="0.25">
      <c r="A940" s="229"/>
      <c r="B940" s="227"/>
      <c r="C940" s="227"/>
      <c r="D940" s="243"/>
      <c r="E940" s="244"/>
      <c r="F940" s="245"/>
      <c r="G940" s="331"/>
      <c r="H940" s="332"/>
      <c r="I940" s="332"/>
      <c r="J940" s="332"/>
      <c r="K940" s="332"/>
      <c r="L940" s="332"/>
      <c r="M940" s="332"/>
      <c r="N940" s="332"/>
      <c r="O940" s="227"/>
      <c r="P940" s="227"/>
      <c r="Q940" s="227"/>
      <c r="R940" s="227"/>
      <c r="S940" s="227"/>
      <c r="T940" s="227"/>
      <c r="U940" s="227"/>
    </row>
    <row r="941" spans="1:21" ht="12.75" customHeight="1" x14ac:dyDescent="0.25">
      <c r="A941" s="229"/>
      <c r="B941" s="227"/>
      <c r="C941" s="227"/>
      <c r="D941" s="243"/>
      <c r="E941" s="244"/>
      <c r="F941" s="245"/>
      <c r="G941" s="331"/>
      <c r="H941" s="332"/>
      <c r="I941" s="332"/>
      <c r="J941" s="332"/>
      <c r="K941" s="332"/>
      <c r="L941" s="332"/>
      <c r="M941" s="332"/>
      <c r="N941" s="332"/>
      <c r="O941" s="227"/>
      <c r="P941" s="227"/>
      <c r="Q941" s="227"/>
      <c r="R941" s="227"/>
      <c r="S941" s="227"/>
      <c r="T941" s="227"/>
      <c r="U941" s="227"/>
    </row>
    <row r="942" spans="1:21" ht="12.75" customHeight="1" x14ac:dyDescent="0.25">
      <c r="A942" s="229"/>
      <c r="B942" s="227"/>
      <c r="C942" s="227"/>
      <c r="D942" s="243"/>
      <c r="E942" s="244"/>
      <c r="F942" s="245"/>
      <c r="G942" s="331"/>
      <c r="H942" s="332"/>
      <c r="I942" s="332"/>
      <c r="J942" s="332"/>
      <c r="K942" s="332"/>
      <c r="L942" s="332"/>
      <c r="M942" s="332"/>
      <c r="N942" s="332"/>
      <c r="O942" s="227"/>
      <c r="P942" s="227"/>
      <c r="Q942" s="227"/>
      <c r="R942" s="227"/>
      <c r="S942" s="227"/>
      <c r="T942" s="227"/>
      <c r="U942" s="227"/>
    </row>
    <row r="943" spans="1:21" ht="12.75" customHeight="1" x14ac:dyDescent="0.25">
      <c r="A943" s="229"/>
      <c r="B943" s="227"/>
      <c r="C943" s="227"/>
      <c r="D943" s="243"/>
      <c r="E943" s="244"/>
      <c r="F943" s="245"/>
      <c r="G943" s="331"/>
      <c r="H943" s="332"/>
      <c r="I943" s="332"/>
      <c r="J943" s="332"/>
      <c r="K943" s="332"/>
      <c r="L943" s="332"/>
      <c r="M943" s="332"/>
      <c r="N943" s="332"/>
      <c r="O943" s="227"/>
      <c r="P943" s="227"/>
      <c r="Q943" s="227"/>
      <c r="R943" s="227"/>
      <c r="S943" s="227"/>
      <c r="T943" s="227"/>
      <c r="U943" s="227"/>
    </row>
    <row r="944" spans="1:21" ht="12.75" customHeight="1" x14ac:dyDescent="0.25">
      <c r="A944" s="229"/>
      <c r="B944" s="227"/>
      <c r="C944" s="227"/>
      <c r="D944" s="243"/>
      <c r="E944" s="244"/>
      <c r="F944" s="245"/>
      <c r="G944" s="331"/>
      <c r="H944" s="332"/>
      <c r="I944" s="332"/>
      <c r="J944" s="332"/>
      <c r="K944" s="332"/>
      <c r="L944" s="332"/>
      <c r="M944" s="332"/>
      <c r="N944" s="332"/>
      <c r="O944" s="227"/>
      <c r="P944" s="227"/>
      <c r="Q944" s="227"/>
      <c r="R944" s="227"/>
      <c r="S944" s="227"/>
      <c r="T944" s="227"/>
      <c r="U944" s="227"/>
    </row>
    <row r="945" spans="1:21" ht="12.75" customHeight="1" x14ac:dyDescent="0.25">
      <c r="A945" s="229"/>
      <c r="B945" s="227"/>
      <c r="C945" s="227"/>
      <c r="D945" s="243"/>
      <c r="E945" s="244"/>
      <c r="F945" s="245"/>
      <c r="G945" s="331"/>
      <c r="H945" s="332"/>
      <c r="I945" s="332"/>
      <c r="J945" s="332"/>
      <c r="K945" s="332"/>
      <c r="L945" s="332"/>
      <c r="M945" s="332"/>
      <c r="N945" s="332"/>
      <c r="O945" s="227"/>
      <c r="P945" s="227"/>
      <c r="Q945" s="227"/>
      <c r="R945" s="227"/>
      <c r="S945" s="227"/>
      <c r="T945" s="227"/>
      <c r="U945" s="227"/>
    </row>
    <row r="946" spans="1:21" ht="12.75" customHeight="1" x14ac:dyDescent="0.25">
      <c r="A946" s="229"/>
      <c r="B946" s="227"/>
      <c r="C946" s="227"/>
      <c r="D946" s="243"/>
      <c r="E946" s="244"/>
      <c r="F946" s="245"/>
      <c r="G946" s="331"/>
      <c r="H946" s="332"/>
      <c r="I946" s="332"/>
      <c r="J946" s="332"/>
      <c r="K946" s="332"/>
      <c r="L946" s="332"/>
      <c r="M946" s="332"/>
      <c r="N946" s="332"/>
      <c r="O946" s="227"/>
      <c r="P946" s="227"/>
      <c r="Q946" s="227"/>
      <c r="R946" s="227"/>
      <c r="S946" s="227"/>
      <c r="T946" s="227"/>
      <c r="U946" s="227"/>
    </row>
    <row r="947" spans="1:21" ht="12.75" customHeight="1" x14ac:dyDescent="0.25">
      <c r="A947" s="229"/>
      <c r="B947" s="227"/>
      <c r="C947" s="227"/>
      <c r="D947" s="243"/>
      <c r="E947" s="244"/>
      <c r="F947" s="245"/>
      <c r="G947" s="331"/>
      <c r="H947" s="332"/>
      <c r="I947" s="332"/>
      <c r="J947" s="332"/>
      <c r="K947" s="332"/>
      <c r="L947" s="332"/>
      <c r="M947" s="332"/>
      <c r="N947" s="332"/>
      <c r="O947" s="227"/>
      <c r="P947" s="227"/>
      <c r="Q947" s="227"/>
      <c r="R947" s="227"/>
      <c r="S947" s="227"/>
      <c r="T947" s="227"/>
      <c r="U947" s="227"/>
    </row>
    <row r="948" spans="1:21" ht="12.75" customHeight="1" x14ac:dyDescent="0.25">
      <c r="A948" s="229"/>
      <c r="B948" s="227"/>
      <c r="C948" s="227"/>
      <c r="D948" s="243"/>
      <c r="E948" s="244"/>
      <c r="F948" s="245"/>
      <c r="G948" s="331"/>
      <c r="H948" s="332"/>
      <c r="I948" s="332"/>
      <c r="J948" s="332"/>
      <c r="K948" s="332"/>
      <c r="L948" s="332"/>
      <c r="M948" s="332"/>
      <c r="N948" s="332"/>
      <c r="O948" s="227"/>
      <c r="P948" s="227"/>
      <c r="Q948" s="227"/>
      <c r="R948" s="227"/>
      <c r="S948" s="227"/>
      <c r="T948" s="227"/>
      <c r="U948" s="227"/>
    </row>
    <row r="949" spans="1:21" ht="12.75" customHeight="1" x14ac:dyDescent="0.25">
      <c r="A949" s="229"/>
      <c r="B949" s="227"/>
      <c r="C949" s="227"/>
      <c r="D949" s="243"/>
      <c r="E949" s="244"/>
      <c r="F949" s="245"/>
      <c r="G949" s="331"/>
      <c r="H949" s="332"/>
      <c r="I949" s="332"/>
      <c r="J949" s="332"/>
      <c r="K949" s="332"/>
      <c r="L949" s="332"/>
      <c r="M949" s="332"/>
      <c r="N949" s="332"/>
      <c r="O949" s="227"/>
      <c r="P949" s="227"/>
      <c r="Q949" s="227"/>
      <c r="R949" s="227"/>
      <c r="S949" s="227"/>
      <c r="T949" s="227"/>
      <c r="U949" s="227"/>
    </row>
    <row r="950" spans="1:21" ht="12.75" customHeight="1" x14ac:dyDescent="0.25">
      <c r="A950" s="229"/>
      <c r="B950" s="227"/>
      <c r="C950" s="227"/>
      <c r="D950" s="243"/>
      <c r="E950" s="244"/>
      <c r="F950" s="245"/>
      <c r="G950" s="331"/>
      <c r="H950" s="332"/>
      <c r="I950" s="332"/>
      <c r="J950" s="332"/>
      <c r="K950" s="332"/>
      <c r="L950" s="332"/>
      <c r="M950" s="332"/>
      <c r="N950" s="332"/>
      <c r="O950" s="227"/>
      <c r="P950" s="227"/>
      <c r="Q950" s="227"/>
      <c r="R950" s="227"/>
      <c r="S950" s="227"/>
      <c r="T950" s="227"/>
      <c r="U950" s="227"/>
    </row>
    <row r="951" spans="1:21" ht="12.75" customHeight="1" x14ac:dyDescent="0.25">
      <c r="A951" s="229"/>
      <c r="B951" s="227"/>
      <c r="C951" s="227"/>
      <c r="D951" s="243"/>
      <c r="E951" s="244"/>
      <c r="F951" s="245"/>
      <c r="G951" s="331"/>
      <c r="H951" s="332"/>
      <c r="I951" s="332"/>
      <c r="J951" s="332"/>
      <c r="K951" s="332"/>
      <c r="L951" s="332"/>
      <c r="M951" s="332"/>
      <c r="N951" s="332"/>
      <c r="O951" s="227"/>
      <c r="P951" s="227"/>
      <c r="Q951" s="227"/>
      <c r="R951" s="227"/>
      <c r="S951" s="227"/>
      <c r="T951" s="227"/>
      <c r="U951" s="227"/>
    </row>
    <row r="952" spans="1:21" ht="12.75" customHeight="1" x14ac:dyDescent="0.25">
      <c r="A952" s="229"/>
      <c r="B952" s="227"/>
      <c r="C952" s="227"/>
      <c r="D952" s="243"/>
      <c r="E952" s="244"/>
      <c r="F952" s="245"/>
      <c r="G952" s="331"/>
      <c r="H952" s="332"/>
      <c r="I952" s="332"/>
      <c r="J952" s="332"/>
      <c r="K952" s="332"/>
      <c r="L952" s="332"/>
      <c r="M952" s="332"/>
      <c r="N952" s="332"/>
      <c r="O952" s="227"/>
      <c r="P952" s="227"/>
      <c r="Q952" s="227"/>
      <c r="R952" s="227"/>
      <c r="S952" s="227"/>
      <c r="T952" s="227"/>
      <c r="U952" s="227"/>
    </row>
    <row r="953" spans="1:21" ht="12.75" customHeight="1" x14ac:dyDescent="0.25">
      <c r="A953" s="229"/>
      <c r="B953" s="227"/>
      <c r="C953" s="227"/>
      <c r="D953" s="243"/>
      <c r="E953" s="244"/>
      <c r="F953" s="245"/>
      <c r="G953" s="331"/>
      <c r="H953" s="332"/>
      <c r="I953" s="332"/>
      <c r="J953" s="332"/>
      <c r="K953" s="332"/>
      <c r="L953" s="332"/>
      <c r="M953" s="332"/>
      <c r="N953" s="332"/>
      <c r="O953" s="227"/>
      <c r="P953" s="227"/>
      <c r="Q953" s="227"/>
      <c r="R953" s="227"/>
      <c r="S953" s="227"/>
      <c r="T953" s="227"/>
      <c r="U953" s="227"/>
    </row>
    <row r="954" spans="1:21" ht="12.75" customHeight="1" x14ac:dyDescent="0.25">
      <c r="A954" s="229"/>
      <c r="B954" s="227"/>
      <c r="C954" s="227"/>
      <c r="D954" s="243"/>
      <c r="E954" s="244"/>
      <c r="F954" s="245"/>
      <c r="G954" s="331"/>
      <c r="H954" s="332"/>
      <c r="I954" s="332"/>
      <c r="J954" s="332"/>
      <c r="K954" s="332"/>
      <c r="L954" s="332"/>
      <c r="M954" s="332"/>
      <c r="N954" s="332"/>
      <c r="O954" s="227"/>
      <c r="P954" s="227"/>
      <c r="Q954" s="227"/>
      <c r="R954" s="227"/>
      <c r="S954" s="227"/>
      <c r="T954" s="227"/>
      <c r="U954" s="227"/>
    </row>
    <row r="955" spans="1:21" ht="12.75" customHeight="1" x14ac:dyDescent="0.25">
      <c r="A955" s="229"/>
      <c r="B955" s="227"/>
      <c r="C955" s="227"/>
      <c r="D955" s="243"/>
      <c r="E955" s="244"/>
      <c r="F955" s="245"/>
      <c r="G955" s="331"/>
      <c r="H955" s="332"/>
      <c r="I955" s="332"/>
      <c r="J955" s="332"/>
      <c r="K955" s="332"/>
      <c r="L955" s="332"/>
      <c r="M955" s="332"/>
      <c r="N955" s="332"/>
      <c r="O955" s="227"/>
      <c r="P955" s="227"/>
      <c r="Q955" s="227"/>
      <c r="R955" s="227"/>
      <c r="S955" s="227"/>
      <c r="T955" s="227"/>
      <c r="U955" s="227"/>
    </row>
    <row r="956" spans="1:21" ht="12.75" customHeight="1" x14ac:dyDescent="0.25">
      <c r="A956" s="229"/>
      <c r="B956" s="227"/>
      <c r="C956" s="227"/>
      <c r="D956" s="243"/>
      <c r="E956" s="244"/>
      <c r="F956" s="245"/>
      <c r="G956" s="331"/>
      <c r="H956" s="332"/>
      <c r="I956" s="332"/>
      <c r="J956" s="332"/>
      <c r="K956" s="332"/>
      <c r="L956" s="332"/>
      <c r="M956" s="332"/>
      <c r="N956" s="332"/>
      <c r="O956" s="227"/>
      <c r="P956" s="227"/>
      <c r="Q956" s="227"/>
      <c r="R956" s="227"/>
      <c r="S956" s="227"/>
      <c r="T956" s="227"/>
      <c r="U956" s="227"/>
    </row>
    <row r="957" spans="1:21" ht="12.75" customHeight="1" x14ac:dyDescent="0.25">
      <c r="A957" s="229"/>
      <c r="B957" s="227"/>
      <c r="C957" s="227"/>
      <c r="D957" s="243"/>
      <c r="E957" s="244"/>
      <c r="F957" s="245"/>
      <c r="G957" s="331"/>
      <c r="H957" s="332"/>
      <c r="I957" s="332"/>
      <c r="J957" s="332"/>
      <c r="K957" s="332"/>
      <c r="L957" s="332"/>
      <c r="M957" s="332"/>
      <c r="N957" s="332"/>
      <c r="O957" s="227"/>
      <c r="P957" s="227"/>
      <c r="Q957" s="227"/>
      <c r="R957" s="227"/>
      <c r="S957" s="227"/>
      <c r="T957" s="227"/>
      <c r="U957" s="227"/>
    </row>
    <row r="958" spans="1:21" ht="12.75" customHeight="1" x14ac:dyDescent="0.25">
      <c r="A958" s="229"/>
      <c r="B958" s="227"/>
      <c r="C958" s="227"/>
      <c r="D958" s="243"/>
      <c r="E958" s="244"/>
      <c r="F958" s="245"/>
      <c r="G958" s="331"/>
      <c r="H958" s="332"/>
      <c r="I958" s="332"/>
      <c r="J958" s="332"/>
      <c r="K958" s="332"/>
      <c r="L958" s="332"/>
      <c r="M958" s="332"/>
      <c r="N958" s="332"/>
      <c r="O958" s="227"/>
      <c r="P958" s="227"/>
      <c r="Q958" s="227"/>
      <c r="R958" s="227"/>
      <c r="S958" s="227"/>
      <c r="T958" s="227"/>
      <c r="U958" s="227"/>
    </row>
    <row r="959" spans="1:21" ht="12.75" customHeight="1" x14ac:dyDescent="0.25">
      <c r="A959" s="229"/>
      <c r="B959" s="227"/>
      <c r="C959" s="227"/>
      <c r="D959" s="243"/>
      <c r="E959" s="244"/>
      <c r="F959" s="245"/>
      <c r="G959" s="331"/>
      <c r="H959" s="332"/>
      <c r="I959" s="332"/>
      <c r="J959" s="332"/>
      <c r="K959" s="332"/>
      <c r="L959" s="332"/>
      <c r="M959" s="332"/>
      <c r="N959" s="332"/>
      <c r="O959" s="227"/>
      <c r="P959" s="227"/>
      <c r="Q959" s="227"/>
      <c r="R959" s="227"/>
      <c r="S959" s="227"/>
      <c r="T959" s="227"/>
      <c r="U959" s="227"/>
    </row>
    <row r="960" spans="1:21" ht="12.75" customHeight="1" x14ac:dyDescent="0.25">
      <c r="A960" s="229"/>
      <c r="B960" s="227"/>
      <c r="C960" s="227"/>
      <c r="D960" s="243"/>
      <c r="E960" s="244"/>
      <c r="F960" s="245"/>
      <c r="G960" s="331"/>
      <c r="H960" s="332"/>
      <c r="I960" s="332"/>
      <c r="J960" s="332"/>
      <c r="K960" s="332"/>
      <c r="L960" s="332"/>
      <c r="M960" s="332"/>
      <c r="N960" s="332"/>
      <c r="O960" s="227"/>
      <c r="P960" s="227"/>
      <c r="Q960" s="227"/>
      <c r="R960" s="227"/>
      <c r="S960" s="227"/>
      <c r="T960" s="227"/>
      <c r="U960" s="227"/>
    </row>
    <row r="961" spans="1:21" ht="12.75" customHeight="1" x14ac:dyDescent="0.25">
      <c r="A961" s="229"/>
      <c r="B961" s="227"/>
      <c r="C961" s="227"/>
      <c r="D961" s="243"/>
      <c r="E961" s="244"/>
      <c r="F961" s="245"/>
      <c r="G961" s="331"/>
      <c r="H961" s="332"/>
      <c r="I961" s="332"/>
      <c r="J961" s="332"/>
      <c r="K961" s="332"/>
      <c r="L961" s="332"/>
      <c r="M961" s="332"/>
      <c r="N961" s="332"/>
      <c r="O961" s="227"/>
      <c r="P961" s="227"/>
      <c r="Q961" s="227"/>
      <c r="R961" s="227"/>
      <c r="S961" s="227"/>
      <c r="T961" s="227"/>
      <c r="U961" s="227"/>
    </row>
    <row r="962" spans="1:21" ht="12.75" customHeight="1" x14ac:dyDescent="0.25">
      <c r="A962" s="229"/>
      <c r="B962" s="227"/>
      <c r="C962" s="227"/>
      <c r="D962" s="243"/>
      <c r="E962" s="244"/>
      <c r="F962" s="245"/>
      <c r="G962" s="331"/>
      <c r="H962" s="332"/>
      <c r="I962" s="332"/>
      <c r="J962" s="332"/>
      <c r="K962" s="332"/>
      <c r="L962" s="332"/>
      <c r="M962" s="332"/>
      <c r="N962" s="332"/>
      <c r="O962" s="227"/>
      <c r="P962" s="227"/>
      <c r="Q962" s="227"/>
      <c r="R962" s="227"/>
      <c r="S962" s="227"/>
      <c r="T962" s="227"/>
      <c r="U962" s="227"/>
    </row>
    <row r="963" spans="1:21" ht="12.75" customHeight="1" x14ac:dyDescent="0.25">
      <c r="A963" s="229"/>
      <c r="B963" s="227"/>
      <c r="C963" s="227"/>
      <c r="D963" s="243"/>
      <c r="E963" s="244"/>
      <c r="F963" s="245"/>
      <c r="G963" s="331"/>
      <c r="H963" s="332"/>
      <c r="I963" s="332"/>
      <c r="J963" s="332"/>
      <c r="K963" s="332"/>
      <c r="L963" s="332"/>
      <c r="M963" s="332"/>
      <c r="N963" s="332"/>
      <c r="O963" s="227"/>
      <c r="P963" s="227"/>
      <c r="Q963" s="227"/>
      <c r="R963" s="227"/>
      <c r="S963" s="227"/>
      <c r="T963" s="227"/>
      <c r="U963" s="227"/>
    </row>
    <row r="964" spans="1:21" ht="12.75" customHeight="1" x14ac:dyDescent="0.25">
      <c r="A964" s="229"/>
      <c r="B964" s="227"/>
      <c r="C964" s="227"/>
      <c r="D964" s="243"/>
      <c r="E964" s="244"/>
      <c r="F964" s="245"/>
      <c r="G964" s="331"/>
      <c r="H964" s="332"/>
      <c r="I964" s="332"/>
      <c r="J964" s="332"/>
      <c r="K964" s="332"/>
      <c r="L964" s="332"/>
      <c r="M964" s="332"/>
      <c r="N964" s="332"/>
      <c r="O964" s="227"/>
      <c r="P964" s="227"/>
      <c r="Q964" s="227"/>
      <c r="R964" s="227"/>
      <c r="S964" s="227"/>
      <c r="T964" s="227"/>
      <c r="U964" s="227"/>
    </row>
    <row r="965" spans="1:21" ht="12.75" customHeight="1" x14ac:dyDescent="0.25">
      <c r="A965" s="229"/>
      <c r="B965" s="227"/>
      <c r="C965" s="227"/>
      <c r="D965" s="243"/>
      <c r="E965" s="244"/>
      <c r="F965" s="245"/>
      <c r="G965" s="331"/>
      <c r="H965" s="332"/>
      <c r="I965" s="332"/>
      <c r="J965" s="332"/>
      <c r="K965" s="332"/>
      <c r="L965" s="332"/>
      <c r="M965" s="332"/>
      <c r="N965" s="332"/>
      <c r="O965" s="227"/>
      <c r="P965" s="227"/>
      <c r="Q965" s="227"/>
      <c r="R965" s="227"/>
      <c r="S965" s="227"/>
      <c r="T965" s="227"/>
      <c r="U965" s="227"/>
    </row>
    <row r="966" spans="1:21" ht="12.75" customHeight="1" x14ac:dyDescent="0.25">
      <c r="A966" s="229"/>
      <c r="B966" s="227"/>
      <c r="C966" s="227"/>
      <c r="D966" s="243"/>
      <c r="E966" s="244"/>
      <c r="F966" s="245"/>
      <c r="G966" s="331"/>
      <c r="H966" s="332"/>
      <c r="I966" s="332"/>
      <c r="J966" s="332"/>
      <c r="K966" s="332"/>
      <c r="L966" s="332"/>
      <c r="M966" s="332"/>
      <c r="N966" s="332"/>
      <c r="O966" s="227"/>
      <c r="P966" s="227"/>
      <c r="Q966" s="227"/>
      <c r="R966" s="227"/>
      <c r="S966" s="227"/>
      <c r="T966" s="227"/>
      <c r="U966" s="227"/>
    </row>
    <row r="967" spans="1:21" ht="12.75" customHeight="1" x14ac:dyDescent="0.25">
      <c r="A967" s="229"/>
      <c r="B967" s="227"/>
      <c r="C967" s="227"/>
      <c r="D967" s="243"/>
      <c r="E967" s="244"/>
      <c r="F967" s="245"/>
      <c r="G967" s="331"/>
      <c r="H967" s="332"/>
      <c r="I967" s="332"/>
      <c r="J967" s="332"/>
      <c r="K967" s="332"/>
      <c r="L967" s="332"/>
      <c r="M967" s="332"/>
      <c r="N967" s="332"/>
      <c r="O967" s="227"/>
      <c r="P967" s="227"/>
      <c r="Q967" s="227"/>
      <c r="R967" s="227"/>
      <c r="S967" s="227"/>
      <c r="T967" s="227"/>
      <c r="U967" s="227"/>
    </row>
    <row r="968" spans="1:21" ht="12.75" customHeight="1" x14ac:dyDescent="0.25">
      <c r="A968" s="229"/>
      <c r="B968" s="227"/>
      <c r="C968" s="227"/>
      <c r="D968" s="243"/>
      <c r="E968" s="244"/>
      <c r="F968" s="245"/>
      <c r="G968" s="331"/>
      <c r="H968" s="332"/>
      <c r="I968" s="332"/>
      <c r="J968" s="332"/>
      <c r="K968" s="332"/>
      <c r="L968" s="332"/>
      <c r="M968" s="332"/>
      <c r="N968" s="332"/>
      <c r="O968" s="227"/>
      <c r="P968" s="227"/>
      <c r="Q968" s="227"/>
      <c r="R968" s="227"/>
      <c r="S968" s="227"/>
      <c r="T968" s="227"/>
      <c r="U968" s="227"/>
    </row>
    <row r="969" spans="1:21" ht="12.75" customHeight="1" x14ac:dyDescent="0.25">
      <c r="A969" s="229"/>
      <c r="B969" s="227"/>
      <c r="C969" s="227"/>
      <c r="D969" s="243"/>
      <c r="E969" s="244"/>
      <c r="F969" s="245"/>
      <c r="G969" s="331"/>
      <c r="H969" s="332"/>
      <c r="I969" s="332"/>
      <c r="J969" s="332"/>
      <c r="K969" s="332"/>
      <c r="L969" s="332"/>
      <c r="M969" s="332"/>
      <c r="N969" s="332"/>
      <c r="O969" s="227"/>
      <c r="P969" s="227"/>
      <c r="Q969" s="227"/>
      <c r="R969" s="227"/>
      <c r="S969" s="227"/>
      <c r="T969" s="227"/>
      <c r="U969" s="227"/>
    </row>
    <row r="970" spans="1:21" ht="12.75" customHeight="1" x14ac:dyDescent="0.25">
      <c r="A970" s="229"/>
      <c r="B970" s="227"/>
      <c r="C970" s="227"/>
      <c r="D970" s="243"/>
      <c r="E970" s="244"/>
      <c r="F970" s="245"/>
      <c r="G970" s="331"/>
      <c r="H970" s="332"/>
      <c r="I970" s="332"/>
      <c r="J970" s="332"/>
      <c r="K970" s="332"/>
      <c r="L970" s="332"/>
      <c r="M970" s="332"/>
      <c r="N970" s="332"/>
      <c r="O970" s="227"/>
      <c r="P970" s="227"/>
      <c r="Q970" s="227"/>
      <c r="R970" s="227"/>
      <c r="S970" s="227"/>
      <c r="T970" s="227"/>
      <c r="U970" s="227"/>
    </row>
    <row r="971" spans="1:21" ht="12.75" customHeight="1" x14ac:dyDescent="0.25">
      <c r="A971" s="229"/>
      <c r="B971" s="227"/>
      <c r="C971" s="227"/>
      <c r="D971" s="243"/>
      <c r="E971" s="244"/>
      <c r="F971" s="245"/>
      <c r="G971" s="331"/>
      <c r="H971" s="332"/>
      <c r="I971" s="332"/>
      <c r="J971" s="332"/>
      <c r="K971" s="332"/>
      <c r="L971" s="332"/>
      <c r="M971" s="332"/>
      <c r="N971" s="332"/>
      <c r="O971" s="227"/>
      <c r="P971" s="227"/>
      <c r="Q971" s="227"/>
      <c r="R971" s="227"/>
      <c r="S971" s="227"/>
      <c r="T971" s="227"/>
      <c r="U971" s="227"/>
    </row>
    <row r="972" spans="1:21" ht="12.75" customHeight="1" x14ac:dyDescent="0.25">
      <c r="A972" s="229"/>
      <c r="B972" s="227"/>
      <c r="C972" s="227"/>
      <c r="D972" s="243"/>
      <c r="E972" s="244"/>
      <c r="F972" s="245"/>
      <c r="G972" s="331"/>
      <c r="H972" s="332"/>
      <c r="I972" s="332"/>
      <c r="J972" s="332"/>
      <c r="K972" s="332"/>
      <c r="L972" s="332"/>
      <c r="M972" s="332"/>
      <c r="N972" s="332"/>
      <c r="O972" s="227"/>
      <c r="P972" s="227"/>
      <c r="Q972" s="227"/>
      <c r="R972" s="227"/>
      <c r="S972" s="227"/>
      <c r="T972" s="227"/>
      <c r="U972" s="227"/>
    </row>
    <row r="973" spans="1:21" ht="12.75" customHeight="1" x14ac:dyDescent="0.25">
      <c r="A973" s="229"/>
      <c r="B973" s="227"/>
      <c r="C973" s="227"/>
      <c r="D973" s="243"/>
      <c r="E973" s="244"/>
      <c r="F973" s="245"/>
      <c r="G973" s="331"/>
      <c r="H973" s="332"/>
      <c r="I973" s="332"/>
      <c r="J973" s="332"/>
      <c r="K973" s="332"/>
      <c r="L973" s="332"/>
      <c r="M973" s="332"/>
      <c r="N973" s="332"/>
      <c r="O973" s="227"/>
      <c r="P973" s="227"/>
      <c r="Q973" s="227"/>
      <c r="R973" s="227"/>
      <c r="S973" s="227"/>
      <c r="T973" s="227"/>
      <c r="U973" s="227"/>
    </row>
    <row r="974" spans="1:21" ht="12.75" customHeight="1" x14ac:dyDescent="0.25">
      <c r="A974" s="229"/>
      <c r="B974" s="227"/>
      <c r="C974" s="227"/>
      <c r="D974" s="243"/>
      <c r="E974" s="244"/>
      <c r="F974" s="245"/>
      <c r="G974" s="331"/>
      <c r="H974" s="332"/>
      <c r="I974" s="332"/>
      <c r="J974" s="332"/>
      <c r="K974" s="332"/>
      <c r="L974" s="332"/>
      <c r="M974" s="332"/>
      <c r="N974" s="332"/>
      <c r="O974" s="227"/>
      <c r="P974" s="227"/>
      <c r="Q974" s="227"/>
      <c r="R974" s="227"/>
      <c r="S974" s="227"/>
      <c r="T974" s="227"/>
      <c r="U974" s="227"/>
    </row>
    <row r="975" spans="1:21" ht="12.75" customHeight="1" x14ac:dyDescent="0.25">
      <c r="A975" s="229"/>
      <c r="B975" s="227"/>
      <c r="C975" s="227"/>
      <c r="D975" s="243"/>
      <c r="E975" s="244"/>
      <c r="F975" s="245"/>
      <c r="G975" s="331"/>
      <c r="H975" s="332"/>
      <c r="I975" s="332"/>
      <c r="J975" s="332"/>
      <c r="K975" s="332"/>
      <c r="L975" s="332"/>
      <c r="M975" s="332"/>
      <c r="N975" s="332"/>
      <c r="O975" s="227"/>
      <c r="P975" s="227"/>
      <c r="Q975" s="227"/>
      <c r="R975" s="227"/>
      <c r="S975" s="227"/>
      <c r="T975" s="227"/>
      <c r="U975" s="227"/>
    </row>
    <row r="976" spans="1:21" ht="12.75" customHeight="1" x14ac:dyDescent="0.25">
      <c r="A976" s="229"/>
      <c r="B976" s="227"/>
      <c r="C976" s="227"/>
      <c r="D976" s="243"/>
      <c r="E976" s="244"/>
      <c r="F976" s="245"/>
      <c r="G976" s="331"/>
      <c r="H976" s="332"/>
      <c r="I976" s="332"/>
      <c r="J976" s="332"/>
      <c r="K976" s="332"/>
      <c r="L976" s="332"/>
      <c r="M976" s="332"/>
      <c r="N976" s="332"/>
      <c r="O976" s="227"/>
      <c r="P976" s="227"/>
      <c r="Q976" s="227"/>
      <c r="R976" s="227"/>
      <c r="S976" s="227"/>
      <c r="T976" s="227"/>
      <c r="U976" s="227"/>
    </row>
    <row r="977" spans="1:21" ht="12.75" customHeight="1" x14ac:dyDescent="0.25">
      <c r="A977" s="229"/>
      <c r="B977" s="227"/>
      <c r="C977" s="227"/>
      <c r="D977" s="243"/>
      <c r="E977" s="244"/>
      <c r="F977" s="245"/>
      <c r="G977" s="331"/>
      <c r="H977" s="332"/>
      <c r="I977" s="332"/>
      <c r="J977" s="332"/>
      <c r="K977" s="332"/>
      <c r="L977" s="332"/>
      <c r="M977" s="332"/>
      <c r="N977" s="332"/>
      <c r="O977" s="227"/>
      <c r="P977" s="227"/>
      <c r="Q977" s="227"/>
      <c r="R977" s="227"/>
      <c r="S977" s="227"/>
      <c r="T977" s="227"/>
      <c r="U977" s="227"/>
    </row>
    <row r="978" spans="1:21" ht="12.75" customHeight="1" x14ac:dyDescent="0.25">
      <c r="A978" s="229"/>
      <c r="B978" s="227"/>
      <c r="C978" s="227"/>
      <c r="D978" s="243"/>
      <c r="E978" s="244"/>
      <c r="F978" s="245"/>
      <c r="G978" s="331"/>
      <c r="H978" s="332"/>
      <c r="I978" s="332"/>
      <c r="J978" s="332"/>
      <c r="K978" s="332"/>
      <c r="L978" s="332"/>
      <c r="M978" s="332"/>
      <c r="N978" s="332"/>
      <c r="O978" s="227"/>
      <c r="P978" s="227"/>
      <c r="Q978" s="227"/>
      <c r="R978" s="227"/>
      <c r="S978" s="227"/>
      <c r="T978" s="227"/>
      <c r="U978" s="227"/>
    </row>
    <row r="979" spans="1:21" ht="12.75" customHeight="1" x14ac:dyDescent="0.25">
      <c r="A979" s="229"/>
      <c r="B979" s="227"/>
      <c r="C979" s="227"/>
      <c r="D979" s="243"/>
      <c r="E979" s="244"/>
      <c r="F979" s="245"/>
      <c r="G979" s="331"/>
      <c r="H979" s="332"/>
      <c r="I979" s="332"/>
      <c r="J979" s="332"/>
      <c r="K979" s="332"/>
      <c r="L979" s="332"/>
      <c r="M979" s="332"/>
      <c r="N979" s="332"/>
      <c r="O979" s="227"/>
      <c r="P979" s="227"/>
      <c r="Q979" s="227"/>
      <c r="R979" s="227"/>
      <c r="S979" s="227"/>
      <c r="T979" s="227"/>
      <c r="U979" s="227"/>
    </row>
    <row r="980" spans="1:21" ht="12.75" customHeight="1" x14ac:dyDescent="0.25">
      <c r="A980" s="229"/>
      <c r="B980" s="227"/>
      <c r="C980" s="227"/>
      <c r="D980" s="243"/>
      <c r="E980" s="244"/>
      <c r="F980" s="245"/>
      <c r="G980" s="331"/>
      <c r="H980" s="332"/>
      <c r="I980" s="332"/>
      <c r="J980" s="332"/>
      <c r="K980" s="332"/>
      <c r="L980" s="332"/>
      <c r="M980" s="332"/>
      <c r="N980" s="332"/>
      <c r="O980" s="227"/>
      <c r="P980" s="227"/>
      <c r="Q980" s="227"/>
      <c r="R980" s="227"/>
      <c r="S980" s="227"/>
      <c r="T980" s="227"/>
      <c r="U980" s="227"/>
    </row>
    <row r="981" spans="1:21" ht="12.75" customHeight="1" x14ac:dyDescent="0.25">
      <c r="A981" s="229"/>
      <c r="B981" s="227"/>
      <c r="C981" s="227"/>
      <c r="D981" s="243"/>
      <c r="E981" s="244"/>
      <c r="F981" s="245"/>
      <c r="G981" s="331"/>
      <c r="H981" s="332"/>
      <c r="I981" s="332"/>
      <c r="J981" s="332"/>
      <c r="K981" s="332"/>
      <c r="L981" s="332"/>
      <c r="M981" s="332"/>
      <c r="N981" s="332"/>
      <c r="O981" s="227"/>
      <c r="P981" s="227"/>
      <c r="Q981" s="227"/>
      <c r="R981" s="227"/>
      <c r="S981" s="227"/>
      <c r="T981" s="227"/>
      <c r="U981" s="227"/>
    </row>
    <row r="982" spans="1:21" ht="12.75" customHeight="1" x14ac:dyDescent="0.25">
      <c r="A982" s="229"/>
      <c r="B982" s="227"/>
      <c r="C982" s="227"/>
      <c r="D982" s="243"/>
      <c r="E982" s="244"/>
      <c r="F982" s="245"/>
      <c r="G982" s="331"/>
      <c r="H982" s="332"/>
      <c r="I982" s="332"/>
      <c r="J982" s="332"/>
      <c r="K982" s="332"/>
      <c r="L982" s="332"/>
      <c r="M982" s="332"/>
      <c r="N982" s="332"/>
      <c r="O982" s="227"/>
      <c r="P982" s="227"/>
      <c r="Q982" s="227"/>
      <c r="R982" s="227"/>
      <c r="S982" s="227"/>
      <c r="T982" s="227"/>
      <c r="U982" s="227"/>
    </row>
    <row r="983" spans="1:21" ht="12.75" customHeight="1" x14ac:dyDescent="0.25">
      <c r="A983" s="229"/>
      <c r="B983" s="227"/>
      <c r="C983" s="227"/>
      <c r="D983" s="243"/>
      <c r="E983" s="244"/>
      <c r="F983" s="245"/>
      <c r="G983" s="331"/>
      <c r="H983" s="332"/>
      <c r="I983" s="332"/>
      <c r="J983" s="332"/>
      <c r="K983" s="332"/>
      <c r="L983" s="332"/>
      <c r="M983" s="332"/>
      <c r="N983" s="332"/>
      <c r="O983" s="227"/>
      <c r="P983" s="227"/>
      <c r="Q983" s="227"/>
      <c r="R983" s="227"/>
      <c r="S983" s="227"/>
      <c r="T983" s="227"/>
      <c r="U983" s="227"/>
    </row>
    <row r="984" spans="1:21" ht="12.75" customHeight="1" x14ac:dyDescent="0.25">
      <c r="A984" s="229"/>
      <c r="B984" s="227"/>
      <c r="C984" s="227"/>
      <c r="D984" s="243"/>
      <c r="E984" s="244"/>
      <c r="F984" s="245"/>
      <c r="G984" s="331"/>
      <c r="H984" s="332"/>
      <c r="I984" s="332"/>
      <c r="J984" s="332"/>
      <c r="K984" s="332"/>
      <c r="L984" s="332"/>
      <c r="M984" s="332"/>
      <c r="N984" s="332"/>
      <c r="O984" s="227"/>
      <c r="P984" s="227"/>
      <c r="Q984" s="227"/>
      <c r="R984" s="227"/>
      <c r="S984" s="227"/>
      <c r="T984" s="227"/>
      <c r="U984" s="227"/>
    </row>
    <row r="985" spans="1:21" ht="12.75" customHeight="1" x14ac:dyDescent="0.25">
      <c r="A985" s="229"/>
      <c r="B985" s="227"/>
      <c r="C985" s="227"/>
      <c r="D985" s="243"/>
      <c r="E985" s="244"/>
      <c r="F985" s="245"/>
      <c r="G985" s="331"/>
      <c r="H985" s="332"/>
      <c r="I985" s="332"/>
      <c r="J985" s="332"/>
      <c r="K985" s="332"/>
      <c r="L985" s="332"/>
      <c r="M985" s="332"/>
      <c r="N985" s="332"/>
      <c r="O985" s="227"/>
      <c r="P985" s="227"/>
      <c r="Q985" s="227"/>
      <c r="R985" s="227"/>
      <c r="S985" s="227"/>
      <c r="T985" s="227"/>
      <c r="U985" s="227"/>
    </row>
    <row r="986" spans="1:21" ht="12.75" customHeight="1" x14ac:dyDescent="0.25">
      <c r="A986" s="229"/>
      <c r="B986" s="227"/>
      <c r="C986" s="227"/>
      <c r="D986" s="243"/>
      <c r="E986" s="244"/>
      <c r="F986" s="245"/>
      <c r="G986" s="331"/>
      <c r="H986" s="332"/>
      <c r="I986" s="332"/>
      <c r="J986" s="332"/>
      <c r="K986" s="332"/>
      <c r="L986" s="332"/>
      <c r="M986" s="332"/>
      <c r="N986" s="332"/>
      <c r="O986" s="227"/>
      <c r="P986" s="227"/>
      <c r="Q986" s="227"/>
      <c r="R986" s="227"/>
      <c r="S986" s="227"/>
      <c r="T986" s="227"/>
      <c r="U986" s="227"/>
    </row>
    <row r="987" spans="1:21" ht="12.75" customHeight="1" x14ac:dyDescent="0.25">
      <c r="A987" s="229"/>
      <c r="B987" s="227"/>
      <c r="C987" s="227"/>
      <c r="D987" s="243"/>
      <c r="E987" s="244"/>
      <c r="F987" s="245"/>
      <c r="G987" s="331"/>
      <c r="H987" s="332"/>
      <c r="I987" s="332"/>
      <c r="J987" s="332"/>
      <c r="K987" s="332"/>
      <c r="L987" s="332"/>
      <c r="M987" s="332"/>
      <c r="N987" s="332"/>
      <c r="O987" s="227"/>
      <c r="P987" s="227"/>
      <c r="Q987" s="227"/>
      <c r="R987" s="227"/>
      <c r="S987" s="227"/>
      <c r="T987" s="227"/>
      <c r="U987" s="227"/>
    </row>
    <row r="988" spans="1:21" ht="12.75" customHeight="1" x14ac:dyDescent="0.25">
      <c r="A988" s="229"/>
      <c r="B988" s="227"/>
      <c r="C988" s="227"/>
      <c r="D988" s="243"/>
      <c r="E988" s="244"/>
      <c r="F988" s="245"/>
      <c r="G988" s="331"/>
      <c r="H988" s="332"/>
      <c r="I988" s="332"/>
      <c r="J988" s="332"/>
      <c r="K988" s="332"/>
      <c r="L988" s="332"/>
      <c r="M988" s="332"/>
      <c r="N988" s="332"/>
      <c r="O988" s="227"/>
      <c r="P988" s="227"/>
      <c r="Q988" s="227"/>
      <c r="R988" s="227"/>
      <c r="S988" s="227"/>
      <c r="T988" s="227"/>
      <c r="U988" s="227"/>
    </row>
    <row r="989" spans="1:21" ht="12.75" customHeight="1" x14ac:dyDescent="0.25">
      <c r="A989" s="229"/>
      <c r="B989" s="227"/>
      <c r="C989" s="227"/>
      <c r="D989" s="243"/>
      <c r="E989" s="244"/>
      <c r="F989" s="245"/>
      <c r="G989" s="331"/>
      <c r="H989" s="332"/>
      <c r="I989" s="332"/>
      <c r="J989" s="332"/>
      <c r="K989" s="332"/>
      <c r="L989" s="332"/>
      <c r="M989" s="332"/>
      <c r="N989" s="332"/>
      <c r="O989" s="227"/>
      <c r="P989" s="227"/>
      <c r="Q989" s="227"/>
      <c r="R989" s="227"/>
      <c r="S989" s="227"/>
      <c r="T989" s="227"/>
      <c r="U989" s="227"/>
    </row>
    <row r="990" spans="1:21" ht="12.75" customHeight="1" x14ac:dyDescent="0.25">
      <c r="A990" s="229"/>
      <c r="B990" s="227"/>
      <c r="C990" s="227"/>
      <c r="D990" s="243"/>
      <c r="E990" s="244"/>
      <c r="F990" s="245"/>
      <c r="G990" s="331"/>
      <c r="H990" s="332"/>
      <c r="I990" s="332"/>
      <c r="J990" s="332"/>
      <c r="K990" s="332"/>
      <c r="L990" s="332"/>
      <c r="M990" s="332"/>
      <c r="N990" s="332"/>
      <c r="O990" s="227"/>
      <c r="P990" s="227"/>
      <c r="Q990" s="227"/>
      <c r="R990" s="227"/>
      <c r="S990" s="227"/>
      <c r="T990" s="227"/>
      <c r="U990" s="227"/>
    </row>
    <row r="991" spans="1:21" ht="12.75" customHeight="1" x14ac:dyDescent="0.25">
      <c r="A991" s="229"/>
      <c r="B991" s="227"/>
      <c r="C991" s="227"/>
      <c r="D991" s="243"/>
      <c r="E991" s="244"/>
      <c r="F991" s="245"/>
      <c r="G991" s="331"/>
      <c r="H991" s="332"/>
      <c r="I991" s="332"/>
      <c r="J991" s="332"/>
      <c r="K991" s="332"/>
      <c r="L991" s="332"/>
      <c r="M991" s="332"/>
      <c r="N991" s="332"/>
      <c r="O991" s="227"/>
      <c r="P991" s="227"/>
      <c r="Q991" s="227"/>
      <c r="R991" s="227"/>
      <c r="S991" s="227"/>
      <c r="T991" s="227"/>
      <c r="U991" s="227"/>
    </row>
    <row r="992" spans="1:21" ht="12.75" customHeight="1" x14ac:dyDescent="0.25">
      <c r="A992" s="229"/>
      <c r="B992" s="227"/>
      <c r="C992" s="227"/>
      <c r="D992" s="243"/>
      <c r="E992" s="244"/>
      <c r="F992" s="245"/>
      <c r="G992" s="331"/>
      <c r="H992" s="332"/>
      <c r="I992" s="332"/>
      <c r="J992" s="332"/>
      <c r="K992" s="332"/>
      <c r="L992" s="332"/>
      <c r="M992" s="332"/>
      <c r="N992" s="332"/>
      <c r="O992" s="227"/>
      <c r="P992" s="227"/>
      <c r="Q992" s="227"/>
      <c r="R992" s="227"/>
      <c r="S992" s="227"/>
      <c r="T992" s="227"/>
      <c r="U992" s="227"/>
    </row>
    <row r="993" spans="1:21" ht="12.75" customHeight="1" x14ac:dyDescent="0.25">
      <c r="A993" s="229"/>
      <c r="B993" s="227"/>
      <c r="C993" s="227"/>
      <c r="D993" s="243"/>
      <c r="E993" s="244"/>
      <c r="F993" s="245"/>
      <c r="G993" s="331"/>
      <c r="H993" s="332"/>
      <c r="I993" s="332"/>
      <c r="J993" s="332"/>
      <c r="K993" s="332"/>
      <c r="L993" s="332"/>
      <c r="M993" s="332"/>
      <c r="N993" s="332"/>
      <c r="O993" s="227"/>
      <c r="P993" s="227"/>
      <c r="Q993" s="227"/>
      <c r="R993" s="227"/>
      <c r="S993" s="227"/>
      <c r="T993" s="227"/>
      <c r="U993" s="227"/>
    </row>
    <row r="994" spans="1:21" ht="12.75" customHeight="1" x14ac:dyDescent="0.25">
      <c r="A994" s="229"/>
      <c r="B994" s="227"/>
      <c r="C994" s="227"/>
      <c r="D994" s="243"/>
      <c r="E994" s="244"/>
      <c r="F994" s="245"/>
      <c r="G994" s="331"/>
      <c r="H994" s="332"/>
      <c r="I994" s="332"/>
      <c r="J994" s="332"/>
      <c r="K994" s="332"/>
      <c r="L994" s="332"/>
      <c r="M994" s="332"/>
      <c r="N994" s="332"/>
      <c r="O994" s="227"/>
      <c r="P994" s="227"/>
      <c r="Q994" s="227"/>
      <c r="R994" s="227"/>
      <c r="S994" s="227"/>
      <c r="T994" s="227"/>
      <c r="U994" s="227"/>
    </row>
    <row r="995" spans="1:21" ht="12.75" customHeight="1" x14ac:dyDescent="0.25">
      <c r="A995" s="229"/>
      <c r="B995" s="227"/>
      <c r="C995" s="227"/>
      <c r="D995" s="243"/>
      <c r="E995" s="244"/>
      <c r="F995" s="245"/>
      <c r="G995" s="331"/>
      <c r="H995" s="332"/>
      <c r="I995" s="332"/>
      <c r="J995" s="332"/>
      <c r="K995" s="332"/>
      <c r="L995" s="332"/>
      <c r="M995" s="332"/>
      <c r="N995" s="332"/>
      <c r="O995" s="227"/>
      <c r="P995" s="227"/>
      <c r="Q995" s="227"/>
      <c r="R995" s="227"/>
      <c r="S995" s="227"/>
      <c r="T995" s="227"/>
      <c r="U995" s="227"/>
    </row>
    <row r="996" spans="1:21" ht="12.75" customHeight="1" x14ac:dyDescent="0.25">
      <c r="A996" s="229"/>
      <c r="B996" s="227"/>
      <c r="C996" s="227"/>
      <c r="D996" s="243"/>
      <c r="E996" s="244"/>
      <c r="F996" s="245"/>
      <c r="G996" s="331"/>
      <c r="H996" s="332"/>
      <c r="I996" s="332"/>
      <c r="J996" s="332"/>
      <c r="K996" s="332"/>
      <c r="L996" s="332"/>
      <c r="M996" s="332"/>
      <c r="N996" s="332"/>
      <c r="O996" s="227"/>
      <c r="P996" s="227"/>
      <c r="Q996" s="227"/>
      <c r="R996" s="227"/>
      <c r="S996" s="227"/>
      <c r="T996" s="227"/>
      <c r="U996" s="227"/>
    </row>
    <row r="997" spans="1:21" ht="12.75" customHeight="1" x14ac:dyDescent="0.25">
      <c r="A997" s="229"/>
      <c r="B997" s="227"/>
      <c r="C997" s="227"/>
      <c r="D997" s="243"/>
      <c r="E997" s="244"/>
      <c r="F997" s="245"/>
      <c r="G997" s="331"/>
      <c r="H997" s="332"/>
      <c r="I997" s="332"/>
      <c r="J997" s="332"/>
      <c r="K997" s="332"/>
      <c r="L997" s="332"/>
      <c r="M997" s="332"/>
      <c r="N997" s="332"/>
      <c r="O997" s="227"/>
      <c r="P997" s="227"/>
      <c r="Q997" s="227"/>
      <c r="R997" s="227"/>
      <c r="S997" s="227"/>
      <c r="T997" s="227"/>
      <c r="U997" s="227"/>
    </row>
  </sheetData>
  <autoFilter ref="A16:N23" xr:uid="{00000000-0009-0000-0000-000002000000}"/>
  <mergeCells count="12">
    <mergeCell ref="G13:H13"/>
    <mergeCell ref="I13:J13"/>
    <mergeCell ref="K13:L13"/>
    <mergeCell ref="M13:N13"/>
    <mergeCell ref="E14:F15"/>
    <mergeCell ref="G14:H14"/>
    <mergeCell ref="I14:J14"/>
    <mergeCell ref="K14:L14"/>
    <mergeCell ref="M14:N14"/>
    <mergeCell ref="G15:H15"/>
    <mergeCell ref="I15:J15"/>
    <mergeCell ref="M15:N15"/>
  </mergeCells>
  <phoneticPr fontId="50" type="noConversion"/>
  <pageMargins left="0.7" right="0.7" top="0.75" bottom="0.75" header="0" footer="0"/>
  <pageSetup paperSize="9" scale="1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01"/>
  <sheetViews>
    <sheetView zoomScale="85" zoomScaleNormal="85" workbookViewId="0">
      <selection activeCell="C27" sqref="C27"/>
    </sheetView>
  </sheetViews>
  <sheetFormatPr defaultColWidth="14.42578125" defaultRowHeight="15" customHeight="1" x14ac:dyDescent="0.25"/>
  <cols>
    <col min="1" max="1" width="11.140625" style="344" customWidth="1"/>
    <col min="2" max="2" width="14.7109375" customWidth="1"/>
    <col min="3" max="3" width="44.140625" customWidth="1"/>
    <col min="4" max="4" width="8.5703125" style="137" customWidth="1"/>
    <col min="5" max="5" width="13.85546875" customWidth="1"/>
    <col min="6" max="6" width="12.85546875" customWidth="1"/>
    <col min="7" max="7" width="12" customWidth="1"/>
    <col min="8" max="8" width="10.5703125" customWidth="1"/>
    <col min="9" max="9" width="12.7109375" customWidth="1"/>
    <col min="10" max="10" width="10.5703125" customWidth="1"/>
    <col min="11" max="11" width="12.7109375" customWidth="1"/>
    <col min="12" max="12" width="11.28515625" customWidth="1"/>
    <col min="13" max="13" width="14.140625" customWidth="1"/>
    <col min="14" max="14" width="10.5703125" customWidth="1"/>
    <col min="15" max="15" width="12.5703125" customWidth="1"/>
    <col min="16" max="20" width="9.140625" customWidth="1"/>
  </cols>
  <sheetData>
    <row r="1" spans="1:20" ht="27" customHeight="1" x14ac:dyDescent="0.25">
      <c r="A1" s="341"/>
      <c r="B1" s="428">
        <v>46023</v>
      </c>
      <c r="C1" s="26" t="s">
        <v>70</v>
      </c>
      <c r="D1" s="140"/>
      <c r="E1" s="27"/>
      <c r="F1" s="28"/>
      <c r="G1" s="29"/>
      <c r="H1" s="29"/>
      <c r="I1" s="29"/>
      <c r="J1" s="29"/>
      <c r="K1" s="29"/>
      <c r="L1" s="41"/>
      <c r="M1" s="29"/>
      <c r="N1" s="29"/>
      <c r="O1" s="30"/>
      <c r="P1" s="30"/>
      <c r="Q1" s="30"/>
      <c r="R1" s="30"/>
      <c r="S1" s="30"/>
      <c r="T1" s="30"/>
    </row>
    <row r="2" spans="1:20" ht="12" customHeight="1" x14ac:dyDescent="0.25">
      <c r="A2" s="37"/>
      <c r="B2" s="30"/>
      <c r="C2" s="24" t="s">
        <v>10</v>
      </c>
      <c r="D2" s="42"/>
      <c r="E2" s="30"/>
      <c r="F2" s="31"/>
      <c r="G2" s="32"/>
      <c r="H2" s="33"/>
      <c r="I2" s="34"/>
      <c r="J2" s="33"/>
      <c r="K2" s="34"/>
      <c r="L2" s="33"/>
      <c r="M2" s="34"/>
      <c r="N2" s="33"/>
      <c r="O2" s="30"/>
      <c r="P2" s="30"/>
      <c r="Q2" s="30"/>
      <c r="R2" s="30"/>
      <c r="S2" s="30"/>
      <c r="T2" s="30"/>
    </row>
    <row r="3" spans="1:20" ht="12" customHeight="1" x14ac:dyDescent="0.25">
      <c r="A3" s="35"/>
      <c r="B3" s="60"/>
      <c r="C3" s="30"/>
      <c r="D3" s="27"/>
      <c r="E3" s="25" t="s">
        <v>11</v>
      </c>
      <c r="F3" s="31"/>
      <c r="G3" s="34"/>
      <c r="H3" s="33" t="s">
        <v>12</v>
      </c>
      <c r="I3" s="34"/>
      <c r="J3" s="33" t="s">
        <v>12</v>
      </c>
      <c r="K3" s="34"/>
      <c r="L3" s="33" t="s">
        <v>12</v>
      </c>
      <c r="M3" s="34"/>
      <c r="N3" s="33" t="s">
        <v>12</v>
      </c>
      <c r="O3" s="30"/>
      <c r="P3" s="30"/>
      <c r="Q3" s="30"/>
      <c r="R3" s="30"/>
      <c r="S3" s="30"/>
      <c r="T3" s="30"/>
    </row>
    <row r="4" spans="1:20" ht="12" customHeight="1" x14ac:dyDescent="0.25">
      <c r="A4" s="517"/>
      <c r="B4" s="517"/>
      <c r="C4" s="217" t="s">
        <v>191</v>
      </c>
      <c r="D4" s="35"/>
      <c r="E4" s="35" t="s">
        <v>14</v>
      </c>
      <c r="F4" s="28"/>
      <c r="G4" s="35" t="s">
        <v>14</v>
      </c>
      <c r="H4" s="35"/>
      <c r="I4" s="35" t="s">
        <v>14</v>
      </c>
      <c r="J4" s="35"/>
      <c r="K4" s="35" t="s">
        <v>14</v>
      </c>
      <c r="L4" s="35"/>
      <c r="M4" s="35" t="s">
        <v>14</v>
      </c>
      <c r="N4" s="35"/>
      <c r="O4" s="30"/>
      <c r="P4" s="30"/>
      <c r="Q4" s="30"/>
      <c r="R4" s="30"/>
      <c r="S4" s="30"/>
      <c r="T4" s="30"/>
    </row>
    <row r="5" spans="1:20" ht="12" customHeight="1" x14ac:dyDescent="0.25">
      <c r="A5" s="710">
        <v>140925.9</v>
      </c>
      <c r="B5" s="710"/>
      <c r="C5" s="446" t="s">
        <v>193</v>
      </c>
      <c r="D5" s="37"/>
      <c r="E5" s="37" t="s">
        <v>15</v>
      </c>
      <c r="F5" s="38">
        <f>+'[1]LANDCO MET CASH'!$F$9</f>
        <v>-143050.53749999992</v>
      </c>
      <c r="G5" s="37" t="s">
        <v>15</v>
      </c>
      <c r="H5" s="39">
        <v>0</v>
      </c>
      <c r="I5" s="37" t="s">
        <v>15</v>
      </c>
      <c r="J5" s="39">
        <v>0</v>
      </c>
      <c r="K5" s="37" t="s">
        <v>15</v>
      </c>
      <c r="L5" s="39">
        <v>0</v>
      </c>
      <c r="M5" s="37" t="s">
        <v>15</v>
      </c>
      <c r="N5" s="39">
        <v>0</v>
      </c>
      <c r="O5" s="30"/>
      <c r="P5" s="30"/>
      <c r="Q5" s="30"/>
      <c r="R5" s="30"/>
      <c r="S5" s="30"/>
      <c r="T5" s="30"/>
    </row>
    <row r="6" spans="1:20" ht="12" customHeight="1" x14ac:dyDescent="0.25">
      <c r="A6" s="710">
        <v>170900</v>
      </c>
      <c r="B6" s="710"/>
      <c r="C6" s="446" t="s">
        <v>21</v>
      </c>
      <c r="D6" s="37"/>
      <c r="E6" s="37" t="s">
        <v>16</v>
      </c>
      <c r="F6" s="38">
        <f>E74</f>
        <v>812375</v>
      </c>
      <c r="G6" s="37" t="s">
        <v>16</v>
      </c>
      <c r="H6" s="39">
        <f>G74</f>
        <v>0</v>
      </c>
      <c r="I6" s="37" t="s">
        <v>16</v>
      </c>
      <c r="J6" s="39">
        <f>I74</f>
        <v>0</v>
      </c>
      <c r="K6" s="37" t="s">
        <v>16</v>
      </c>
      <c r="L6" s="39">
        <f>K74</f>
        <v>0</v>
      </c>
      <c r="M6" s="37" t="s">
        <v>16</v>
      </c>
      <c r="N6" s="39">
        <f>M74</f>
        <v>0</v>
      </c>
      <c r="O6" s="30"/>
      <c r="P6" s="30"/>
      <c r="Q6" s="30"/>
      <c r="R6" s="30"/>
      <c r="S6" s="30"/>
      <c r="T6" s="30"/>
    </row>
    <row r="7" spans="1:20" ht="12" customHeight="1" x14ac:dyDescent="0.25">
      <c r="A7" s="710">
        <v>70000</v>
      </c>
      <c r="B7" s="710"/>
      <c r="C7" s="446" t="s">
        <v>190</v>
      </c>
      <c r="D7" s="37"/>
      <c r="E7" s="37" t="s">
        <v>17</v>
      </c>
      <c r="F7" s="38">
        <f>+F5+F6</f>
        <v>669324.46250000014</v>
      </c>
      <c r="G7" s="37" t="s">
        <v>17</v>
      </c>
      <c r="H7" s="39">
        <f>+H5+H6</f>
        <v>0</v>
      </c>
      <c r="I7" s="37" t="s">
        <v>17</v>
      </c>
      <c r="J7" s="39">
        <f>+J5+J6</f>
        <v>0</v>
      </c>
      <c r="K7" s="37" t="s">
        <v>17</v>
      </c>
      <c r="L7" s="39">
        <f>+L5+L6</f>
        <v>0</v>
      </c>
      <c r="M7" s="37" t="s">
        <v>17</v>
      </c>
      <c r="N7" s="39">
        <f>+N5+N6</f>
        <v>0</v>
      </c>
      <c r="O7" s="30"/>
      <c r="P7" s="30"/>
      <c r="Q7" s="30"/>
      <c r="R7" s="30"/>
      <c r="S7" s="30"/>
      <c r="T7" s="30"/>
    </row>
    <row r="8" spans="1:20" ht="12" customHeight="1" x14ac:dyDescent="0.25">
      <c r="A8" s="710"/>
      <c r="B8" s="710"/>
      <c r="C8" s="446" t="s">
        <v>116</v>
      </c>
      <c r="D8" s="37"/>
      <c r="E8" s="37" t="s">
        <v>18</v>
      </c>
      <c r="F8" s="38">
        <f>F74</f>
        <v>111660</v>
      </c>
      <c r="G8" s="37" t="s">
        <v>18</v>
      </c>
      <c r="H8" s="39">
        <f>H74</f>
        <v>0</v>
      </c>
      <c r="I8" s="37" t="s">
        <v>18</v>
      </c>
      <c r="J8" s="39">
        <f>J74</f>
        <v>0</v>
      </c>
      <c r="K8" s="37" t="s">
        <v>18</v>
      </c>
      <c r="L8" s="39">
        <f>L74</f>
        <v>0</v>
      </c>
      <c r="M8" s="37" t="s">
        <v>18</v>
      </c>
      <c r="N8" s="39">
        <f>N74</f>
        <v>0</v>
      </c>
      <c r="O8" s="30"/>
      <c r="P8" s="30"/>
      <c r="Q8" s="30"/>
      <c r="R8" s="30"/>
      <c r="S8" s="30"/>
      <c r="T8" s="30"/>
    </row>
    <row r="9" spans="1:20" ht="12" customHeight="1" x14ac:dyDescent="0.25">
      <c r="A9" s="710"/>
      <c r="B9" s="710">
        <f>1375*70</f>
        <v>96250</v>
      </c>
      <c r="C9" s="446" t="s">
        <v>192</v>
      </c>
      <c r="D9" s="37"/>
      <c r="E9" s="37" t="s">
        <v>19</v>
      </c>
      <c r="F9" s="40">
        <f>+F7-F8</f>
        <v>557664.46250000014</v>
      </c>
      <c r="G9" s="37" t="s">
        <v>19</v>
      </c>
      <c r="H9" s="41">
        <f>+H7-H8</f>
        <v>0</v>
      </c>
      <c r="I9" s="37" t="s">
        <v>19</v>
      </c>
      <c r="J9" s="41">
        <f>+J7-J8</f>
        <v>0</v>
      </c>
      <c r="K9" s="37" t="s">
        <v>19</v>
      </c>
      <c r="L9" s="15">
        <f>L7-L8</f>
        <v>0</v>
      </c>
      <c r="M9" s="37" t="s">
        <v>19</v>
      </c>
      <c r="N9" s="41">
        <f>+N7-N8</f>
        <v>0</v>
      </c>
      <c r="O9" s="30"/>
      <c r="P9" s="30"/>
      <c r="Q9" s="30"/>
      <c r="R9" s="30"/>
      <c r="S9" s="30"/>
      <c r="T9" s="30"/>
    </row>
    <row r="10" spans="1:20" ht="15.75" customHeight="1" x14ac:dyDescent="0.25">
      <c r="A10" s="712"/>
      <c r="B10" s="710">
        <f>1375*70</f>
        <v>96250</v>
      </c>
      <c r="C10" s="446" t="s">
        <v>116</v>
      </c>
      <c r="D10" s="881"/>
      <c r="E10" s="882"/>
      <c r="F10" s="45"/>
      <c r="G10" s="45"/>
      <c r="H10" s="45"/>
      <c r="I10" s="30"/>
      <c r="J10" s="30"/>
      <c r="K10" s="885" t="s">
        <v>35</v>
      </c>
      <c r="L10" s="886"/>
      <c r="M10" s="30"/>
      <c r="N10" s="30"/>
      <c r="O10" s="30"/>
      <c r="P10" s="30"/>
      <c r="Q10" s="30"/>
      <c r="R10" s="30"/>
      <c r="S10" s="30"/>
      <c r="T10" s="30"/>
    </row>
    <row r="11" spans="1:20" ht="12.75" customHeight="1" x14ac:dyDescent="0.25">
      <c r="A11" s="710"/>
      <c r="B11" s="711">
        <v>0</v>
      </c>
      <c r="C11" s="446" t="s">
        <v>43</v>
      </c>
      <c r="E11" s="37"/>
      <c r="F11" s="43"/>
      <c r="G11" s="883" t="s">
        <v>21</v>
      </c>
      <c r="H11" s="884"/>
      <c r="I11" s="883" t="s">
        <v>22</v>
      </c>
      <c r="J11" s="884"/>
      <c r="K11" s="883" t="s">
        <v>23</v>
      </c>
      <c r="L11" s="884"/>
      <c r="M11" s="883" t="s">
        <v>21</v>
      </c>
      <c r="N11" s="884"/>
      <c r="O11" s="30"/>
      <c r="P11" s="30"/>
      <c r="Q11" s="30"/>
      <c r="R11" s="30"/>
      <c r="S11" s="30"/>
      <c r="T11" s="30"/>
    </row>
    <row r="12" spans="1:20" ht="12.75" customHeight="1" x14ac:dyDescent="0.25">
      <c r="A12" s="710">
        <f>SUM(A5:A11)</f>
        <v>381825.9</v>
      </c>
      <c r="B12" s="711">
        <f>SUM(B9:B11)</f>
        <v>192500</v>
      </c>
      <c r="C12" s="429"/>
      <c r="D12" s="142"/>
      <c r="E12" s="887" t="s">
        <v>24</v>
      </c>
      <c r="F12" s="888"/>
      <c r="G12" s="891" t="s">
        <v>25</v>
      </c>
      <c r="H12" s="892"/>
      <c r="I12" s="893" t="s">
        <v>26</v>
      </c>
      <c r="J12" s="892"/>
      <c r="K12" s="896" t="s">
        <v>27</v>
      </c>
      <c r="L12" s="892"/>
      <c r="M12" s="897" t="s">
        <v>28</v>
      </c>
      <c r="N12" s="892"/>
      <c r="O12" s="30"/>
      <c r="P12" s="30"/>
      <c r="Q12" s="30"/>
      <c r="R12" s="30"/>
      <c r="S12" s="30"/>
      <c r="T12" s="30"/>
    </row>
    <row r="13" spans="1:20" ht="12.75" customHeight="1" x14ac:dyDescent="0.25">
      <c r="A13" s="342"/>
      <c r="B13" s="30"/>
      <c r="C13" s="46" t="s">
        <v>29</v>
      </c>
      <c r="D13" s="141"/>
      <c r="E13" s="889"/>
      <c r="F13" s="890"/>
      <c r="G13" s="898" t="s">
        <v>5</v>
      </c>
      <c r="H13" s="895"/>
      <c r="I13" s="899" t="s">
        <v>6</v>
      </c>
      <c r="J13" s="895"/>
      <c r="K13" s="900" t="s">
        <v>7</v>
      </c>
      <c r="L13" s="901"/>
      <c r="M13" s="894" t="s">
        <v>8</v>
      </c>
      <c r="N13" s="895"/>
      <c r="O13" s="30"/>
      <c r="P13" s="30"/>
      <c r="Q13" s="30"/>
      <c r="R13" s="30"/>
      <c r="S13" s="30"/>
      <c r="T13" s="30"/>
    </row>
    <row r="14" spans="1:20" ht="19.899999999999999" customHeight="1" x14ac:dyDescent="0.25">
      <c r="A14" s="343" t="s">
        <v>1</v>
      </c>
      <c r="B14" s="47" t="s">
        <v>2</v>
      </c>
      <c r="C14" s="61" t="s">
        <v>30</v>
      </c>
      <c r="D14" s="48" t="s">
        <v>31</v>
      </c>
      <c r="E14" s="49" t="s">
        <v>34</v>
      </c>
      <c r="F14" s="50" t="s">
        <v>33</v>
      </c>
      <c r="G14" s="51" t="s">
        <v>32</v>
      </c>
      <c r="H14" s="52" t="s">
        <v>33</v>
      </c>
      <c r="I14" s="53" t="s">
        <v>32</v>
      </c>
      <c r="J14" s="54" t="s">
        <v>33</v>
      </c>
      <c r="K14" s="55" t="s">
        <v>32</v>
      </c>
      <c r="L14" s="56" t="s">
        <v>33</v>
      </c>
      <c r="M14" s="57" t="s">
        <v>32</v>
      </c>
      <c r="N14" s="58" t="s">
        <v>33</v>
      </c>
      <c r="O14" s="30"/>
      <c r="P14" s="30"/>
      <c r="Q14" s="30"/>
      <c r="R14" s="30"/>
      <c r="S14" s="30"/>
      <c r="T14" s="30"/>
    </row>
    <row r="15" spans="1:20" ht="19.899999999999999" customHeight="1" x14ac:dyDescent="0.25">
      <c r="A15" s="763">
        <v>46023</v>
      </c>
      <c r="B15" s="708" t="s">
        <v>43</v>
      </c>
      <c r="C15" s="709" t="s">
        <v>293</v>
      </c>
      <c r="D15" s="706" t="s">
        <v>162</v>
      </c>
      <c r="E15" s="764"/>
      <c r="F15" s="707">
        <v>3000</v>
      </c>
      <c r="G15" s="765"/>
      <c r="H15" s="766"/>
      <c r="I15" s="767"/>
      <c r="J15" s="768"/>
      <c r="K15" s="769"/>
      <c r="L15" s="770"/>
      <c r="M15" s="771"/>
      <c r="N15" s="772"/>
      <c r="O15" s="773"/>
      <c r="P15" s="30"/>
      <c r="Q15" s="30"/>
      <c r="R15" s="30"/>
      <c r="S15" s="30"/>
      <c r="T15" s="30"/>
    </row>
    <row r="16" spans="1:20" ht="19.899999999999999" customHeight="1" x14ac:dyDescent="0.25">
      <c r="A16" s="763">
        <v>46023</v>
      </c>
      <c r="B16" s="708" t="s">
        <v>88</v>
      </c>
      <c r="C16" s="709" t="s">
        <v>193</v>
      </c>
      <c r="D16" s="706"/>
      <c r="E16" s="764"/>
      <c r="F16" s="707">
        <v>10000</v>
      </c>
      <c r="G16" s="765"/>
      <c r="H16" s="766"/>
      <c r="I16" s="767"/>
      <c r="J16" s="768"/>
      <c r="K16" s="769"/>
      <c r="L16" s="770"/>
      <c r="M16" s="771"/>
      <c r="N16" s="772"/>
      <c r="O16" s="773"/>
      <c r="P16" s="30"/>
      <c r="Q16" s="30"/>
      <c r="R16" s="30"/>
      <c r="S16" s="30"/>
      <c r="T16" s="30"/>
    </row>
    <row r="17" spans="1:22" ht="19.899999999999999" customHeight="1" x14ac:dyDescent="0.25">
      <c r="A17" s="763">
        <v>46025</v>
      </c>
      <c r="B17" s="518" t="s">
        <v>281</v>
      </c>
      <c r="C17" s="519" t="s">
        <v>282</v>
      </c>
      <c r="D17" s="706" t="s">
        <v>162</v>
      </c>
      <c r="E17" s="450"/>
      <c r="F17" s="498">
        <v>3000</v>
      </c>
      <c r="G17" s="51"/>
      <c r="H17" s="52"/>
      <c r="I17" s="53"/>
      <c r="J17" s="54"/>
      <c r="K17" s="55"/>
      <c r="L17" s="56"/>
      <c r="M17" s="57"/>
      <c r="N17" s="58"/>
      <c r="O17" s="30"/>
      <c r="P17" s="30"/>
      <c r="Q17" s="30"/>
      <c r="R17" s="30"/>
      <c r="S17" s="30"/>
      <c r="T17" s="30"/>
    </row>
    <row r="18" spans="1:22" ht="18" customHeight="1" x14ac:dyDescent="0.25">
      <c r="A18" s="432">
        <v>46034</v>
      </c>
      <c r="B18" s="518" t="s">
        <v>256</v>
      </c>
      <c r="C18" s="519" t="s">
        <v>288</v>
      </c>
      <c r="D18" s="706" t="s">
        <v>162</v>
      </c>
      <c r="E18" s="462"/>
      <c r="F18" s="451">
        <v>7000</v>
      </c>
      <c r="G18" s="438"/>
      <c r="H18" s="439"/>
      <c r="I18" s="440"/>
      <c r="J18" s="441"/>
      <c r="K18" s="442"/>
      <c r="L18" s="443"/>
      <c r="M18" s="444"/>
      <c r="N18" s="445"/>
      <c r="O18" s="446"/>
      <c r="P18" s="446"/>
      <c r="Q18" s="446"/>
      <c r="R18" s="446"/>
      <c r="S18" s="446"/>
      <c r="T18" s="446"/>
      <c r="U18" s="447"/>
      <c r="V18" s="447"/>
    </row>
    <row r="19" spans="1:22" ht="18" customHeight="1" x14ac:dyDescent="0.25">
      <c r="A19" s="432">
        <v>46043</v>
      </c>
      <c r="B19" s="433" t="s">
        <v>88</v>
      </c>
      <c r="C19" s="520" t="s">
        <v>287</v>
      </c>
      <c r="D19" s="706" t="s">
        <v>162</v>
      </c>
      <c r="E19" s="450"/>
      <c r="F19" s="451">
        <v>21000</v>
      </c>
      <c r="G19" s="521"/>
      <c r="H19" s="522"/>
      <c r="I19" s="523"/>
      <c r="J19" s="524"/>
      <c r="K19" s="525"/>
      <c r="L19" s="526"/>
      <c r="M19" s="527"/>
      <c r="N19" s="528"/>
      <c r="O19" s="460"/>
      <c r="P19" s="447"/>
      <c r="Q19" s="446"/>
      <c r="R19" s="446"/>
      <c r="S19" s="446"/>
      <c r="T19" s="446"/>
      <c r="U19" s="446"/>
      <c r="V19" s="447"/>
    </row>
    <row r="20" spans="1:22" ht="18" customHeight="1" x14ac:dyDescent="0.25">
      <c r="A20" s="432">
        <v>46046</v>
      </c>
      <c r="B20" s="433" t="s">
        <v>199</v>
      </c>
      <c r="C20" s="520" t="s">
        <v>295</v>
      </c>
      <c r="D20" s="761" t="s">
        <v>162</v>
      </c>
      <c r="E20" s="450">
        <f>12125*67</f>
        <v>812375</v>
      </c>
      <c r="F20" s="762"/>
      <c r="G20" s="521"/>
      <c r="H20" s="522"/>
      <c r="I20" s="523"/>
      <c r="J20" s="524"/>
      <c r="K20" s="525"/>
      <c r="L20" s="526"/>
      <c r="M20" s="527"/>
      <c r="N20" s="528"/>
      <c r="O20" s="460"/>
      <c r="P20" s="447"/>
      <c r="Q20" s="446"/>
      <c r="R20" s="446"/>
      <c r="S20" s="446"/>
      <c r="T20" s="446"/>
      <c r="U20" s="446"/>
      <c r="V20" s="447"/>
    </row>
    <row r="21" spans="1:22" ht="18" customHeight="1" x14ac:dyDescent="0.25">
      <c r="A21" s="432">
        <v>46052</v>
      </c>
      <c r="B21" s="433" t="s">
        <v>260</v>
      </c>
      <c r="C21" s="520" t="s">
        <v>289</v>
      </c>
      <c r="D21" s="761" t="s">
        <v>162</v>
      </c>
      <c r="E21" s="450"/>
      <c r="F21" s="762">
        <v>9000</v>
      </c>
      <c r="G21" s="521"/>
      <c r="H21" s="522"/>
      <c r="I21" s="523"/>
      <c r="J21" s="524"/>
      <c r="K21" s="525"/>
      <c r="L21" s="526"/>
      <c r="M21" s="527"/>
      <c r="N21" s="528"/>
      <c r="O21" s="460"/>
      <c r="P21" s="447"/>
      <c r="Q21" s="446"/>
      <c r="R21" s="446"/>
      <c r="S21" s="446"/>
      <c r="T21" s="446"/>
      <c r="U21" s="446"/>
      <c r="V21" s="447"/>
    </row>
    <row r="22" spans="1:22" ht="18" customHeight="1" x14ac:dyDescent="0.25">
      <c r="A22" s="432">
        <v>46053</v>
      </c>
      <c r="B22" s="433" t="s">
        <v>290</v>
      </c>
      <c r="C22" s="434" t="s">
        <v>291</v>
      </c>
      <c r="D22" s="706"/>
      <c r="E22" s="436"/>
      <c r="F22" s="437">
        <f>500*70</f>
        <v>35000</v>
      </c>
      <c r="G22" s="521"/>
      <c r="H22" s="522"/>
      <c r="I22" s="523"/>
      <c r="J22" s="524"/>
      <c r="K22" s="525"/>
      <c r="L22" s="526"/>
      <c r="M22" s="527"/>
      <c r="N22" s="528"/>
      <c r="O22" s="460"/>
      <c r="P22" s="447"/>
      <c r="Q22" s="446"/>
      <c r="R22" s="446"/>
      <c r="S22" s="446"/>
      <c r="T22" s="446"/>
      <c r="U22" s="446"/>
      <c r="V22" s="447"/>
    </row>
    <row r="23" spans="1:22" ht="18" customHeight="1" x14ac:dyDescent="0.25">
      <c r="A23" s="432">
        <v>46053</v>
      </c>
      <c r="B23" s="518" t="s">
        <v>88</v>
      </c>
      <c r="C23" s="853" t="s">
        <v>294</v>
      </c>
      <c r="D23" s="706"/>
      <c r="E23" s="450"/>
      <c r="F23" s="498">
        <f>+'[2]181'!$F$50</f>
        <v>2220</v>
      </c>
      <c r="G23" s="521"/>
      <c r="H23" s="522"/>
      <c r="I23" s="523"/>
      <c r="J23" s="524"/>
      <c r="K23" s="525"/>
      <c r="L23" s="526"/>
      <c r="M23" s="527"/>
      <c r="N23" s="528"/>
      <c r="O23" s="460"/>
      <c r="P23" s="447"/>
      <c r="Q23" s="446"/>
      <c r="R23" s="446"/>
      <c r="S23" s="446"/>
      <c r="T23" s="446"/>
      <c r="U23" s="446"/>
      <c r="V23" s="447"/>
    </row>
    <row r="24" spans="1:22" ht="18" customHeight="1" x14ac:dyDescent="0.25">
      <c r="A24" s="432">
        <v>46053</v>
      </c>
      <c r="B24" s="518" t="s">
        <v>88</v>
      </c>
      <c r="C24" s="520" t="s">
        <v>296</v>
      </c>
      <c r="D24" s="495"/>
      <c r="E24" s="450"/>
      <c r="F24" s="451">
        <f>320*67</f>
        <v>21440</v>
      </c>
      <c r="G24" s="521"/>
      <c r="H24" s="522"/>
      <c r="I24" s="523"/>
      <c r="J24" s="524"/>
      <c r="K24" s="525"/>
      <c r="L24" s="526"/>
      <c r="M24" s="527"/>
      <c r="N24" s="528"/>
      <c r="O24" s="460"/>
      <c r="P24" s="447"/>
      <c r="Q24" s="446"/>
      <c r="R24" s="446"/>
      <c r="S24" s="446"/>
      <c r="T24" s="446"/>
      <c r="U24" s="446"/>
      <c r="V24" s="447"/>
    </row>
    <row r="25" spans="1:22" ht="18" customHeight="1" x14ac:dyDescent="0.25">
      <c r="A25" s="432"/>
      <c r="B25" s="518"/>
      <c r="C25" s="520"/>
      <c r="D25" s="495"/>
      <c r="E25" s="450"/>
      <c r="F25" s="451"/>
      <c r="G25" s="521"/>
      <c r="H25" s="522"/>
      <c r="I25" s="523"/>
      <c r="J25" s="524"/>
      <c r="K25" s="525"/>
      <c r="L25" s="526"/>
      <c r="M25" s="527"/>
      <c r="N25" s="528"/>
      <c r="O25" s="460"/>
      <c r="P25" s="447"/>
      <c r="Q25" s="446"/>
      <c r="R25" s="446"/>
      <c r="S25" s="446"/>
      <c r="T25" s="446"/>
      <c r="U25" s="446"/>
      <c r="V25" s="447"/>
    </row>
    <row r="26" spans="1:22" ht="18" customHeight="1" x14ac:dyDescent="0.25">
      <c r="A26" s="432"/>
      <c r="B26" s="518"/>
      <c r="C26" s="520"/>
      <c r="D26" s="495"/>
      <c r="E26" s="450"/>
      <c r="F26" s="451"/>
      <c r="G26" s="521"/>
      <c r="H26" s="522"/>
      <c r="I26" s="523"/>
      <c r="J26" s="524"/>
      <c r="K26" s="525"/>
      <c r="L26" s="526"/>
      <c r="M26" s="527"/>
      <c r="N26" s="528"/>
      <c r="O26" s="460"/>
      <c r="P26" s="447"/>
      <c r="Q26" s="446"/>
      <c r="R26" s="446"/>
      <c r="S26" s="446"/>
      <c r="T26" s="446"/>
      <c r="U26" s="446"/>
      <c r="V26" s="447"/>
    </row>
    <row r="27" spans="1:22" ht="18" customHeight="1" x14ac:dyDescent="0.25">
      <c r="A27" s="432"/>
      <c r="B27" s="518"/>
      <c r="C27" s="520"/>
      <c r="D27" s="495"/>
      <c r="E27" s="450"/>
      <c r="F27" s="451"/>
      <c r="G27" s="521"/>
      <c r="H27" s="522"/>
      <c r="I27" s="523"/>
      <c r="J27" s="524"/>
      <c r="K27" s="525"/>
      <c r="L27" s="526"/>
      <c r="M27" s="527"/>
      <c r="N27" s="528"/>
      <c r="O27" s="460"/>
      <c r="P27" s="447"/>
      <c r="Q27" s="446"/>
      <c r="R27" s="446"/>
      <c r="S27" s="446"/>
      <c r="T27" s="446"/>
      <c r="U27" s="446"/>
      <c r="V27" s="447"/>
    </row>
    <row r="28" spans="1:22" ht="18" customHeight="1" x14ac:dyDescent="0.25">
      <c r="A28" s="432"/>
      <c r="B28" s="518"/>
      <c r="C28" s="520"/>
      <c r="D28" s="495"/>
      <c r="E28" s="450"/>
      <c r="F28" s="451"/>
      <c r="G28" s="521"/>
      <c r="H28" s="522"/>
      <c r="I28" s="523"/>
      <c r="J28" s="524"/>
      <c r="K28" s="525"/>
      <c r="L28" s="526"/>
      <c r="M28" s="527"/>
      <c r="N28" s="528"/>
      <c r="O28" s="460"/>
      <c r="P28" s="447"/>
      <c r="Q28" s="446"/>
      <c r="R28" s="446"/>
      <c r="S28" s="446"/>
      <c r="T28" s="446"/>
      <c r="U28" s="446"/>
      <c r="V28" s="447"/>
    </row>
    <row r="29" spans="1:22" ht="18" customHeight="1" x14ac:dyDescent="0.25">
      <c r="A29" s="432"/>
      <c r="B29" s="705"/>
      <c r="C29" s="520"/>
      <c r="D29" s="495"/>
      <c r="E29" s="450"/>
      <c r="F29" s="451"/>
      <c r="G29" s="521"/>
      <c r="H29" s="522"/>
      <c r="I29" s="523"/>
      <c r="J29" s="524"/>
      <c r="K29" s="525"/>
      <c r="L29" s="526"/>
      <c r="M29" s="527"/>
      <c r="N29" s="528"/>
      <c r="O29" s="460"/>
      <c r="P29" s="447"/>
      <c r="Q29" s="446"/>
      <c r="R29" s="446"/>
      <c r="S29" s="446"/>
      <c r="T29" s="446"/>
      <c r="U29" s="446"/>
      <c r="V29" s="447"/>
    </row>
    <row r="30" spans="1:22" ht="18" customHeight="1" x14ac:dyDescent="0.25">
      <c r="A30" s="432"/>
      <c r="B30" s="518"/>
      <c r="C30" s="520"/>
      <c r="D30" s="495"/>
      <c r="E30" s="450"/>
      <c r="F30" s="451"/>
      <c r="G30" s="521"/>
      <c r="H30" s="522"/>
      <c r="I30" s="523"/>
      <c r="J30" s="524"/>
      <c r="K30" s="525"/>
      <c r="L30" s="526"/>
      <c r="M30" s="527"/>
      <c r="N30" s="528"/>
      <c r="O30" s="460"/>
      <c r="P30" s="447"/>
      <c r="Q30" s="446"/>
      <c r="R30" s="446"/>
      <c r="S30" s="446"/>
      <c r="T30" s="446"/>
      <c r="U30" s="446"/>
      <c r="V30" s="447"/>
    </row>
    <row r="31" spans="1:22" ht="18" customHeight="1" x14ac:dyDescent="0.25">
      <c r="A31" s="432"/>
      <c r="B31" s="518"/>
      <c r="C31" s="520"/>
      <c r="D31" s="495"/>
      <c r="E31" s="450"/>
      <c r="F31" s="529"/>
      <c r="G31" s="521"/>
      <c r="H31" s="522"/>
      <c r="I31" s="523"/>
      <c r="J31" s="524"/>
      <c r="K31" s="525"/>
      <c r="L31" s="526"/>
      <c r="M31" s="527"/>
      <c r="N31" s="528"/>
      <c r="O31" s="460"/>
      <c r="P31" s="447"/>
      <c r="Q31" s="446"/>
      <c r="R31" s="446"/>
      <c r="S31" s="446"/>
      <c r="T31" s="446"/>
      <c r="U31" s="446"/>
      <c r="V31" s="447"/>
    </row>
    <row r="32" spans="1:22" ht="18" customHeight="1" x14ac:dyDescent="0.25">
      <c r="A32" s="432"/>
      <c r="B32" s="518"/>
      <c r="C32" s="434"/>
      <c r="D32" s="435"/>
      <c r="E32" s="450"/>
      <c r="F32" s="437"/>
      <c r="G32" s="521"/>
      <c r="H32" s="522"/>
      <c r="I32" s="523"/>
      <c r="J32" s="524"/>
      <c r="K32" s="525"/>
      <c r="L32" s="526"/>
      <c r="M32" s="527"/>
      <c r="N32" s="528"/>
      <c r="O32" s="460"/>
      <c r="P32" s="447"/>
      <c r="Q32" s="446"/>
      <c r="R32" s="446"/>
      <c r="S32" s="446"/>
      <c r="T32" s="446"/>
      <c r="U32" s="446"/>
      <c r="V32" s="447"/>
    </row>
    <row r="33" spans="1:22" ht="18" customHeight="1" x14ac:dyDescent="0.25">
      <c r="A33" s="432"/>
      <c r="B33" s="518"/>
      <c r="C33" s="520"/>
      <c r="D33" s="435"/>
      <c r="E33" s="450"/>
      <c r="F33" s="451"/>
      <c r="G33" s="521"/>
      <c r="H33" s="522"/>
      <c r="I33" s="523"/>
      <c r="J33" s="524"/>
      <c r="K33" s="525"/>
      <c r="L33" s="526"/>
      <c r="M33" s="527"/>
      <c r="N33" s="528"/>
      <c r="O33" s="460"/>
      <c r="P33" s="447"/>
      <c r="Q33" s="446"/>
      <c r="R33" s="446"/>
      <c r="S33" s="446"/>
      <c r="T33" s="446"/>
      <c r="U33" s="446"/>
      <c r="V33" s="447"/>
    </row>
    <row r="34" spans="1:22" ht="18" customHeight="1" x14ac:dyDescent="0.25">
      <c r="A34" s="432"/>
      <c r="B34" s="518"/>
      <c r="C34" s="709"/>
      <c r="D34" s="435"/>
      <c r="E34" s="450"/>
      <c r="F34" s="451"/>
      <c r="G34" s="521"/>
      <c r="H34" s="522"/>
      <c r="I34" s="523"/>
      <c r="J34" s="524"/>
      <c r="K34" s="525"/>
      <c r="L34" s="526"/>
      <c r="M34" s="527"/>
      <c r="N34" s="528"/>
      <c r="O34" s="460"/>
      <c r="P34" s="447"/>
      <c r="Q34" s="446"/>
      <c r="R34" s="446"/>
      <c r="S34" s="446"/>
      <c r="T34" s="446"/>
      <c r="U34" s="446"/>
      <c r="V34" s="447"/>
    </row>
    <row r="35" spans="1:22" ht="18" customHeight="1" x14ac:dyDescent="0.25">
      <c r="A35" s="432"/>
      <c r="B35" s="518"/>
      <c r="C35" s="520"/>
      <c r="D35" s="435"/>
      <c r="E35" s="450"/>
      <c r="F35" s="451"/>
      <c r="G35" s="521"/>
      <c r="H35" s="522"/>
      <c r="I35" s="523"/>
      <c r="J35" s="524"/>
      <c r="K35" s="525"/>
      <c r="L35" s="526"/>
      <c r="M35" s="527"/>
      <c r="N35" s="528"/>
      <c r="O35" s="460"/>
      <c r="P35" s="447"/>
      <c r="Q35" s="446"/>
      <c r="R35" s="446"/>
      <c r="S35" s="446"/>
      <c r="T35" s="446"/>
      <c r="U35" s="446"/>
      <c r="V35" s="447"/>
    </row>
    <row r="36" spans="1:22" ht="18" customHeight="1" x14ac:dyDescent="0.25">
      <c r="A36" s="432"/>
      <c r="B36" s="518"/>
      <c r="C36" s="520"/>
      <c r="D36" s="435"/>
      <c r="E36" s="450"/>
      <c r="F36" s="451"/>
      <c r="G36" s="521"/>
      <c r="H36" s="522"/>
      <c r="I36" s="523"/>
      <c r="J36" s="524"/>
      <c r="K36" s="525"/>
      <c r="L36" s="526"/>
      <c r="M36" s="527"/>
      <c r="N36" s="528"/>
      <c r="O36" s="460"/>
      <c r="P36" s="447"/>
      <c r="Q36" s="446"/>
      <c r="R36" s="446"/>
      <c r="S36" s="446"/>
      <c r="T36" s="446"/>
      <c r="U36" s="446"/>
      <c r="V36" s="447"/>
    </row>
    <row r="37" spans="1:22" ht="18" customHeight="1" x14ac:dyDescent="0.25">
      <c r="A37" s="432"/>
      <c r="B37" s="518"/>
      <c r="C37" s="520"/>
      <c r="D37" s="435"/>
      <c r="E37" s="450"/>
      <c r="F37" s="451"/>
      <c r="G37" s="521"/>
      <c r="H37" s="522"/>
      <c r="I37" s="523"/>
      <c r="J37" s="524"/>
      <c r="K37" s="525"/>
      <c r="L37" s="526"/>
      <c r="M37" s="527"/>
      <c r="N37" s="528"/>
      <c r="O37" s="460"/>
      <c r="P37" s="447"/>
      <c r="Q37" s="446"/>
      <c r="R37" s="446"/>
      <c r="S37" s="446"/>
      <c r="T37" s="446"/>
      <c r="U37" s="446"/>
      <c r="V37" s="447"/>
    </row>
    <row r="38" spans="1:22" ht="18" customHeight="1" x14ac:dyDescent="0.25">
      <c r="A38" s="432"/>
      <c r="B38" s="518"/>
      <c r="C38" s="797"/>
      <c r="D38" s="435"/>
      <c r="E38" s="450"/>
      <c r="F38" s="437"/>
      <c r="G38" s="521"/>
      <c r="H38" s="522"/>
      <c r="I38" s="523"/>
      <c r="J38" s="524"/>
      <c r="K38" s="525"/>
      <c r="L38" s="526"/>
      <c r="M38" s="527"/>
      <c r="N38" s="528"/>
      <c r="O38" s="460"/>
      <c r="P38" s="447"/>
      <c r="Q38" s="446"/>
      <c r="R38" s="446"/>
      <c r="S38" s="446"/>
      <c r="T38" s="446"/>
      <c r="U38" s="446"/>
      <c r="V38" s="447"/>
    </row>
    <row r="39" spans="1:22" ht="19.149999999999999" customHeight="1" x14ac:dyDescent="0.25">
      <c r="A39" s="432"/>
      <c r="B39" s="518"/>
      <c r="C39" s="798"/>
      <c r="D39" s="495"/>
      <c r="E39" s="450"/>
      <c r="F39" s="437"/>
      <c r="G39" s="521"/>
      <c r="H39" s="522"/>
      <c r="I39" s="523"/>
      <c r="J39" s="524"/>
      <c r="K39" s="525"/>
      <c r="L39" s="526"/>
      <c r="M39" s="527"/>
      <c r="N39" s="528"/>
      <c r="O39" s="460"/>
      <c r="P39" s="447"/>
      <c r="Q39" s="446"/>
      <c r="R39" s="446"/>
      <c r="S39" s="446"/>
      <c r="T39" s="446"/>
      <c r="U39" s="446"/>
      <c r="V39" s="447"/>
    </row>
    <row r="40" spans="1:22" ht="18" customHeight="1" x14ac:dyDescent="0.25">
      <c r="A40" s="432"/>
      <c r="B40" s="518"/>
      <c r="C40" s="798"/>
      <c r="D40" s="495"/>
      <c r="E40" s="450"/>
      <c r="F40" s="437"/>
      <c r="G40" s="521"/>
      <c r="H40" s="522"/>
      <c r="I40" s="523"/>
      <c r="J40" s="524"/>
      <c r="K40" s="525"/>
      <c r="L40" s="526"/>
      <c r="M40" s="527"/>
      <c r="N40" s="528"/>
      <c r="O40" s="460"/>
      <c r="P40" s="447"/>
      <c r="Q40" s="446"/>
      <c r="R40" s="446"/>
      <c r="S40" s="446"/>
      <c r="T40" s="446"/>
      <c r="U40" s="446"/>
      <c r="V40" s="447"/>
    </row>
    <row r="41" spans="1:22" ht="18" customHeight="1" x14ac:dyDescent="0.25">
      <c r="A41" s="432"/>
      <c r="B41" s="518"/>
      <c r="C41" s="798"/>
      <c r="D41" s="495"/>
      <c r="E41" s="450"/>
      <c r="F41" s="437"/>
      <c r="G41" s="521"/>
      <c r="H41" s="522"/>
      <c r="I41" s="523"/>
      <c r="J41" s="524"/>
      <c r="K41" s="525"/>
      <c r="L41" s="526"/>
      <c r="M41" s="527"/>
      <c r="N41" s="528"/>
      <c r="O41" s="460"/>
      <c r="P41" s="447"/>
      <c r="Q41" s="446"/>
      <c r="R41" s="446"/>
      <c r="S41" s="446"/>
      <c r="T41" s="446"/>
      <c r="U41" s="446"/>
      <c r="V41" s="447"/>
    </row>
    <row r="42" spans="1:22" ht="18" customHeight="1" x14ac:dyDescent="0.25">
      <c r="A42" s="432"/>
      <c r="B42" s="518"/>
      <c r="C42" s="796"/>
      <c r="D42" s="495"/>
      <c r="E42" s="466"/>
      <c r="F42" s="437"/>
      <c r="G42" s="531"/>
      <c r="H42" s="532"/>
      <c r="I42" s="533"/>
      <c r="J42" s="534"/>
      <c r="K42" s="535"/>
      <c r="L42" s="536"/>
      <c r="M42" s="537"/>
      <c r="N42" s="528"/>
      <c r="O42" s="474"/>
      <c r="P42" s="446"/>
      <c r="Q42" s="447"/>
      <c r="R42" s="447"/>
      <c r="S42" s="447"/>
      <c r="T42" s="447"/>
      <c r="U42" s="447"/>
      <c r="V42" s="447"/>
    </row>
    <row r="43" spans="1:22" ht="18" customHeight="1" x14ac:dyDescent="0.25">
      <c r="A43" s="432"/>
      <c r="B43" s="518"/>
      <c r="C43" s="796"/>
      <c r="D43" s="475"/>
      <c r="E43" s="466"/>
      <c r="F43" s="437"/>
      <c r="G43" s="531"/>
      <c r="H43" s="532"/>
      <c r="I43" s="533"/>
      <c r="J43" s="534"/>
      <c r="K43" s="535"/>
      <c r="L43" s="536"/>
      <c r="M43" s="537"/>
      <c r="N43" s="528"/>
      <c r="O43" s="474"/>
      <c r="P43" s="446"/>
      <c r="Q43" s="447"/>
      <c r="R43" s="447"/>
      <c r="S43" s="447"/>
      <c r="T43" s="447"/>
      <c r="U43" s="447"/>
      <c r="V43" s="447"/>
    </row>
    <row r="44" spans="1:22" ht="18" customHeight="1" x14ac:dyDescent="0.25">
      <c r="A44" s="432"/>
      <c r="B44" s="518"/>
      <c r="C44" s="799"/>
      <c r="D44" s="475"/>
      <c r="E44" s="466"/>
      <c r="F44" s="437"/>
      <c r="G44" s="467"/>
      <c r="H44" s="468"/>
      <c r="I44" s="469"/>
      <c r="J44" s="470"/>
      <c r="K44" s="471"/>
      <c r="L44" s="472"/>
      <c r="M44" s="473"/>
      <c r="N44" s="478"/>
      <c r="O44" s="479"/>
      <c r="P44" s="480"/>
      <c r="Q44" s="480"/>
      <c r="R44" s="480"/>
      <c r="S44" s="446"/>
      <c r="T44" s="446"/>
      <c r="U44" s="447"/>
      <c r="V44" s="447"/>
    </row>
    <row r="45" spans="1:22" ht="18" customHeight="1" x14ac:dyDescent="0.25">
      <c r="A45" s="432"/>
      <c r="B45" s="800"/>
      <c r="C45" s="798"/>
      <c r="D45" s="475"/>
      <c r="E45" s="481"/>
      <c r="F45" s="437"/>
      <c r="G45" s="467"/>
      <c r="H45" s="468"/>
      <c r="I45" s="469"/>
      <c r="J45" s="470"/>
      <c r="K45" s="471"/>
      <c r="L45" s="472"/>
      <c r="M45" s="473"/>
      <c r="N45" s="478"/>
      <c r="O45" s="479"/>
      <c r="P45" s="480"/>
      <c r="Q45" s="480"/>
      <c r="R45" s="480"/>
      <c r="S45" s="446"/>
      <c r="T45" s="446"/>
      <c r="U45" s="447"/>
      <c r="V45" s="447"/>
    </row>
    <row r="46" spans="1:22" ht="18" customHeight="1" x14ac:dyDescent="0.25">
      <c r="A46" s="432"/>
      <c r="B46" s="800"/>
      <c r="C46" s="798"/>
      <c r="D46" s="475"/>
      <c r="E46" s="481"/>
      <c r="F46" s="437"/>
      <c r="G46" s="467"/>
      <c r="H46" s="468"/>
      <c r="I46" s="469"/>
      <c r="J46" s="470"/>
      <c r="K46" s="471"/>
      <c r="L46" s="472"/>
      <c r="M46" s="473"/>
      <c r="N46" s="478"/>
      <c r="O46" s="479"/>
      <c r="P46" s="480"/>
      <c r="Q46" s="480"/>
      <c r="R46" s="480"/>
      <c r="S46" s="446"/>
      <c r="T46" s="446"/>
      <c r="U46" s="447"/>
      <c r="V46" s="447"/>
    </row>
    <row r="47" spans="1:22" ht="18" customHeight="1" x14ac:dyDescent="0.25">
      <c r="A47" s="482"/>
      <c r="B47" s="483"/>
      <c r="C47" s="484"/>
      <c r="D47" s="475"/>
      <c r="E47" s="466"/>
      <c r="F47" s="437"/>
      <c r="G47" s="467"/>
      <c r="H47" s="468"/>
      <c r="I47" s="469"/>
      <c r="J47" s="470"/>
      <c r="K47" s="471"/>
      <c r="L47" s="472"/>
      <c r="M47" s="473"/>
      <c r="N47" s="478"/>
      <c r="O47" s="479"/>
      <c r="P47" s="480"/>
      <c r="Q47" s="480"/>
      <c r="R47" s="480"/>
      <c r="S47" s="446"/>
      <c r="T47" s="446"/>
      <c r="U47" s="447"/>
      <c r="V47" s="447"/>
    </row>
    <row r="48" spans="1:22" ht="18" customHeight="1" x14ac:dyDescent="0.25">
      <c r="A48" s="482"/>
      <c r="B48" s="483"/>
      <c r="C48" s="484"/>
      <c r="D48" s="475"/>
      <c r="E48" s="466"/>
      <c r="F48" s="437"/>
      <c r="G48" s="467"/>
      <c r="H48" s="468"/>
      <c r="I48" s="469"/>
      <c r="J48" s="470"/>
      <c r="K48" s="471"/>
      <c r="L48" s="472"/>
      <c r="M48" s="473"/>
      <c r="N48" s="478"/>
      <c r="O48" s="479"/>
      <c r="P48" s="480"/>
      <c r="Q48" s="480"/>
      <c r="R48" s="480"/>
      <c r="S48" s="446"/>
      <c r="T48" s="446"/>
      <c r="U48" s="447"/>
      <c r="V48" s="447"/>
    </row>
    <row r="49" spans="1:22" ht="18" customHeight="1" x14ac:dyDescent="0.25">
      <c r="A49" s="482"/>
      <c r="B49" s="476"/>
      <c r="C49" s="485"/>
      <c r="D49" s="475"/>
      <c r="E49" s="466"/>
      <c r="F49" s="437"/>
      <c r="G49" s="467"/>
      <c r="H49" s="468"/>
      <c r="I49" s="469"/>
      <c r="J49" s="470"/>
      <c r="K49" s="471"/>
      <c r="L49" s="472"/>
      <c r="M49" s="473"/>
      <c r="N49" s="478"/>
      <c r="O49" s="479"/>
      <c r="P49" s="480"/>
      <c r="Q49" s="480"/>
      <c r="R49" s="480"/>
      <c r="S49" s="446"/>
      <c r="T49" s="446"/>
      <c r="U49" s="447"/>
      <c r="V49" s="447"/>
    </row>
    <row r="50" spans="1:22" ht="18" customHeight="1" x14ac:dyDescent="0.25">
      <c r="A50" s="482"/>
      <c r="B50" s="476"/>
      <c r="C50" s="485"/>
      <c r="D50" s="475"/>
      <c r="E50" s="466"/>
      <c r="F50" s="437"/>
      <c r="G50" s="467"/>
      <c r="H50" s="468"/>
      <c r="I50" s="469"/>
      <c r="J50" s="470"/>
      <c r="K50" s="471"/>
      <c r="L50" s="472"/>
      <c r="M50" s="473"/>
      <c r="N50" s="478"/>
      <c r="O50" s="479"/>
      <c r="P50" s="480"/>
      <c r="Q50" s="480"/>
      <c r="R50" s="480"/>
      <c r="S50" s="446"/>
      <c r="T50" s="446"/>
      <c r="U50" s="447"/>
      <c r="V50" s="447"/>
    </row>
    <row r="51" spans="1:22" ht="18" customHeight="1" x14ac:dyDescent="0.25">
      <c r="A51" s="486"/>
      <c r="B51" s="487"/>
      <c r="C51" s="485"/>
      <c r="D51" s="475"/>
      <c r="E51" s="466"/>
      <c r="F51" s="437"/>
      <c r="G51" s="467"/>
      <c r="H51" s="468"/>
      <c r="I51" s="469"/>
      <c r="J51" s="470"/>
      <c r="K51" s="471"/>
      <c r="L51" s="472"/>
      <c r="M51" s="473"/>
      <c r="N51" s="478"/>
      <c r="O51" s="479"/>
      <c r="P51" s="480"/>
      <c r="Q51" s="480"/>
      <c r="R51" s="480"/>
      <c r="S51" s="446"/>
      <c r="T51" s="446"/>
      <c r="U51" s="447"/>
      <c r="V51" s="447"/>
    </row>
    <row r="52" spans="1:22" ht="18" customHeight="1" x14ac:dyDescent="0.25">
      <c r="A52" s="486"/>
      <c r="B52" s="487"/>
      <c r="C52" s="485"/>
      <c r="D52" s="475"/>
      <c r="E52" s="466"/>
      <c r="F52" s="437"/>
      <c r="G52" s="467"/>
      <c r="H52" s="468"/>
      <c r="I52" s="469"/>
      <c r="J52" s="470"/>
      <c r="K52" s="471"/>
      <c r="L52" s="472"/>
      <c r="M52" s="473"/>
      <c r="N52" s="478"/>
      <c r="O52" s="479"/>
      <c r="P52" s="480"/>
      <c r="Q52" s="480"/>
      <c r="R52" s="480"/>
      <c r="S52" s="446"/>
      <c r="T52" s="446"/>
      <c r="U52" s="447"/>
      <c r="V52" s="447"/>
    </row>
    <row r="53" spans="1:22" ht="18" customHeight="1" x14ac:dyDescent="0.25">
      <c r="A53" s="486"/>
      <c r="B53" s="487"/>
      <c r="C53" s="485"/>
      <c r="D53" s="475"/>
      <c r="E53" s="466"/>
      <c r="F53" s="437"/>
      <c r="G53" s="467"/>
      <c r="H53" s="468"/>
      <c r="I53" s="469"/>
      <c r="J53" s="470"/>
      <c r="K53" s="471"/>
      <c r="L53" s="472"/>
      <c r="M53" s="473"/>
      <c r="N53" s="478"/>
      <c r="O53" s="479"/>
      <c r="P53" s="480"/>
      <c r="Q53" s="480"/>
      <c r="R53" s="480"/>
      <c r="S53" s="446"/>
      <c r="T53" s="446"/>
      <c r="U53" s="447"/>
      <c r="V53" s="447"/>
    </row>
    <row r="54" spans="1:22" ht="18" customHeight="1" x14ac:dyDescent="0.25">
      <c r="A54" s="486"/>
      <c r="B54" s="487"/>
      <c r="C54" s="485"/>
      <c r="D54" s="475"/>
      <c r="E54" s="466"/>
      <c r="F54" s="437"/>
      <c r="G54" s="467"/>
      <c r="H54" s="468"/>
      <c r="I54" s="469"/>
      <c r="J54" s="470"/>
      <c r="K54" s="471"/>
      <c r="L54" s="472"/>
      <c r="M54" s="473"/>
      <c r="N54" s="478"/>
      <c r="O54" s="479"/>
      <c r="P54" s="480"/>
      <c r="Q54" s="480"/>
      <c r="R54" s="480"/>
      <c r="S54" s="446"/>
      <c r="T54" s="446"/>
      <c r="U54" s="447"/>
      <c r="V54" s="447"/>
    </row>
    <row r="55" spans="1:22" ht="18" customHeight="1" x14ac:dyDescent="0.25">
      <c r="A55" s="486"/>
      <c r="B55" s="487"/>
      <c r="C55" s="485"/>
      <c r="D55" s="475"/>
      <c r="E55" s="466"/>
      <c r="F55" s="437"/>
      <c r="G55" s="467"/>
      <c r="H55" s="468"/>
      <c r="I55" s="469"/>
      <c r="J55" s="470"/>
      <c r="K55" s="471"/>
      <c r="L55" s="472"/>
      <c r="M55" s="473"/>
      <c r="N55" s="478"/>
      <c r="O55" s="479"/>
      <c r="P55" s="480"/>
      <c r="Q55" s="480"/>
      <c r="R55" s="480"/>
      <c r="S55" s="446"/>
      <c r="T55" s="446"/>
      <c r="U55" s="447"/>
      <c r="V55" s="447"/>
    </row>
    <row r="56" spans="1:22" ht="18" customHeight="1" x14ac:dyDescent="0.25">
      <c r="A56" s="486"/>
      <c r="B56" s="488"/>
      <c r="C56" s="477"/>
      <c r="D56" s="475"/>
      <c r="E56" s="466"/>
      <c r="F56" s="437"/>
      <c r="G56" s="467"/>
      <c r="H56" s="468"/>
      <c r="I56" s="469"/>
      <c r="J56" s="470"/>
      <c r="K56" s="471"/>
      <c r="L56" s="472"/>
      <c r="M56" s="473"/>
      <c r="N56" s="478"/>
      <c r="O56" s="479"/>
      <c r="P56" s="480"/>
      <c r="Q56" s="480"/>
      <c r="R56" s="480"/>
      <c r="S56" s="446"/>
      <c r="T56" s="446"/>
      <c r="U56" s="447"/>
      <c r="V56" s="447"/>
    </row>
    <row r="57" spans="1:22" ht="18" customHeight="1" x14ac:dyDescent="0.25">
      <c r="A57" s="486"/>
      <c r="B57" s="488"/>
      <c r="C57" s="477"/>
      <c r="D57" s="475"/>
      <c r="E57" s="466"/>
      <c r="F57" s="437"/>
      <c r="G57" s="467"/>
      <c r="H57" s="468"/>
      <c r="I57" s="469"/>
      <c r="J57" s="470"/>
      <c r="K57" s="471"/>
      <c r="L57" s="472"/>
      <c r="M57" s="473"/>
      <c r="N57" s="478"/>
      <c r="O57" s="479"/>
      <c r="P57" s="480"/>
      <c r="Q57" s="480"/>
      <c r="R57" s="480"/>
      <c r="S57" s="446"/>
      <c r="T57" s="446"/>
      <c r="U57" s="447"/>
      <c r="V57" s="447"/>
    </row>
    <row r="58" spans="1:22" ht="18" customHeight="1" x14ac:dyDescent="0.25">
      <c r="A58" s="486"/>
      <c r="B58" s="488"/>
      <c r="C58" s="489"/>
      <c r="D58" s="475"/>
      <c r="E58" s="466"/>
      <c r="F58" s="437"/>
      <c r="G58" s="467"/>
      <c r="H58" s="468"/>
      <c r="I58" s="469"/>
      <c r="J58" s="470"/>
      <c r="K58" s="471"/>
      <c r="L58" s="472"/>
      <c r="M58" s="473"/>
      <c r="N58" s="478"/>
      <c r="O58" s="479"/>
      <c r="P58" s="480"/>
      <c r="Q58" s="480"/>
      <c r="R58" s="480"/>
      <c r="S58" s="446"/>
      <c r="T58" s="446"/>
      <c r="U58" s="447"/>
      <c r="V58" s="447"/>
    </row>
    <row r="59" spans="1:22" ht="18" customHeight="1" x14ac:dyDescent="0.25">
      <c r="A59" s="486"/>
      <c r="B59" s="488"/>
      <c r="C59" s="490"/>
      <c r="D59" s="491"/>
      <c r="E59" s="466"/>
      <c r="F59" s="492"/>
      <c r="G59" s="467"/>
      <c r="H59" s="468"/>
      <c r="I59" s="469"/>
      <c r="J59" s="470"/>
      <c r="K59" s="471"/>
      <c r="L59" s="472"/>
      <c r="M59" s="473"/>
      <c r="N59" s="478"/>
      <c r="O59" s="479"/>
      <c r="P59" s="480"/>
      <c r="Q59" s="480"/>
      <c r="R59" s="480"/>
      <c r="S59" s="446"/>
      <c r="T59" s="446"/>
      <c r="U59" s="447"/>
      <c r="V59" s="447"/>
    </row>
    <row r="60" spans="1:22" ht="18" customHeight="1" x14ac:dyDescent="0.25">
      <c r="A60" s="486"/>
      <c r="B60" s="488"/>
      <c r="C60" s="477"/>
      <c r="D60" s="491"/>
      <c r="E60" s="466"/>
      <c r="F60" s="437"/>
      <c r="G60" s="467"/>
      <c r="H60" s="468"/>
      <c r="I60" s="469"/>
      <c r="J60" s="470"/>
      <c r="K60" s="471"/>
      <c r="L60" s="472"/>
      <c r="M60" s="473"/>
      <c r="N60" s="478"/>
      <c r="O60" s="479"/>
      <c r="P60" s="480"/>
      <c r="Q60" s="480"/>
      <c r="R60" s="480"/>
      <c r="S60" s="446"/>
      <c r="T60" s="446"/>
      <c r="U60" s="447"/>
      <c r="V60" s="447"/>
    </row>
    <row r="61" spans="1:22" ht="18" customHeight="1" x14ac:dyDescent="0.25">
      <c r="A61" s="486"/>
      <c r="B61" s="448"/>
      <c r="C61" s="463"/>
      <c r="D61" s="461"/>
      <c r="E61" s="450"/>
      <c r="F61" s="451"/>
      <c r="G61" s="452"/>
      <c r="H61" s="453"/>
      <c r="I61" s="454"/>
      <c r="J61" s="455"/>
      <c r="K61" s="456"/>
      <c r="L61" s="457"/>
      <c r="M61" s="458"/>
      <c r="N61" s="459"/>
      <c r="O61" s="460"/>
      <c r="P61" s="446"/>
      <c r="Q61" s="446"/>
      <c r="R61" s="446"/>
      <c r="S61" s="446"/>
      <c r="T61" s="446"/>
      <c r="U61" s="447"/>
      <c r="V61" s="447"/>
    </row>
    <row r="62" spans="1:22" ht="18" customHeight="1" x14ac:dyDescent="0.25">
      <c r="A62" s="486"/>
      <c r="B62" s="448"/>
      <c r="C62" s="463"/>
      <c r="D62" s="461"/>
      <c r="E62" s="450"/>
      <c r="F62" s="451"/>
      <c r="G62" s="452"/>
      <c r="H62" s="453"/>
      <c r="I62" s="454"/>
      <c r="J62" s="455"/>
      <c r="K62" s="456"/>
      <c r="L62" s="457"/>
      <c r="M62" s="458"/>
      <c r="N62" s="459"/>
      <c r="O62" s="460"/>
      <c r="P62" s="446"/>
      <c r="Q62" s="446"/>
      <c r="R62" s="446"/>
      <c r="S62" s="446"/>
      <c r="T62" s="446"/>
      <c r="U62" s="447"/>
      <c r="V62" s="447"/>
    </row>
    <row r="63" spans="1:22" ht="18" customHeight="1" x14ac:dyDescent="0.25">
      <c r="A63" s="482"/>
      <c r="B63" s="493"/>
      <c r="C63" s="494"/>
      <c r="D63" s="495"/>
      <c r="E63" s="450"/>
      <c r="F63" s="451"/>
      <c r="G63" s="452"/>
      <c r="H63" s="453"/>
      <c r="I63" s="454"/>
      <c r="J63" s="455"/>
      <c r="K63" s="456"/>
      <c r="L63" s="457"/>
      <c r="M63" s="458"/>
      <c r="N63" s="459"/>
      <c r="O63" s="460"/>
      <c r="P63" s="446"/>
      <c r="Q63" s="446"/>
      <c r="R63" s="446"/>
      <c r="S63" s="446"/>
      <c r="T63" s="446"/>
      <c r="U63" s="447"/>
      <c r="V63" s="447"/>
    </row>
    <row r="64" spans="1:22" ht="18" customHeight="1" x14ac:dyDescent="0.25">
      <c r="A64" s="496"/>
      <c r="B64" s="448"/>
      <c r="C64" s="497"/>
      <c r="D64" s="461"/>
      <c r="E64" s="462"/>
      <c r="F64" s="451"/>
      <c r="G64" s="452"/>
      <c r="H64" s="453"/>
      <c r="I64" s="454"/>
      <c r="J64" s="455"/>
      <c r="K64" s="456"/>
      <c r="L64" s="457"/>
      <c r="M64" s="458"/>
      <c r="N64" s="459"/>
      <c r="O64" s="460"/>
      <c r="P64" s="446"/>
      <c r="Q64" s="446"/>
      <c r="R64" s="446"/>
      <c r="S64" s="446"/>
      <c r="T64" s="446"/>
      <c r="U64" s="447"/>
      <c r="V64" s="447"/>
    </row>
    <row r="65" spans="1:22" ht="18" customHeight="1" x14ac:dyDescent="0.25">
      <c r="A65" s="486"/>
      <c r="B65" s="448"/>
      <c r="C65" s="463"/>
      <c r="D65" s="461"/>
      <c r="E65" s="450"/>
      <c r="F65" s="451"/>
      <c r="G65" s="452"/>
      <c r="H65" s="453"/>
      <c r="I65" s="454"/>
      <c r="J65" s="455"/>
      <c r="K65" s="456"/>
      <c r="L65" s="457"/>
      <c r="M65" s="458"/>
      <c r="N65" s="459"/>
      <c r="O65" s="460"/>
      <c r="P65" s="446"/>
      <c r="Q65" s="446"/>
      <c r="R65" s="446"/>
      <c r="S65" s="446"/>
      <c r="T65" s="446"/>
      <c r="U65" s="447"/>
      <c r="V65" s="447"/>
    </row>
    <row r="66" spans="1:22" ht="18" customHeight="1" x14ac:dyDescent="0.25">
      <c r="A66" s="486"/>
      <c r="B66" s="448"/>
      <c r="C66" s="449"/>
      <c r="D66" s="461"/>
      <c r="E66" s="450"/>
      <c r="F66" s="498"/>
      <c r="G66" s="452"/>
      <c r="H66" s="453"/>
      <c r="I66" s="454"/>
      <c r="J66" s="455"/>
      <c r="K66" s="456"/>
      <c r="L66" s="457"/>
      <c r="M66" s="458"/>
      <c r="N66" s="459"/>
      <c r="O66" s="460"/>
      <c r="P66" s="446"/>
      <c r="Q66" s="446"/>
      <c r="R66" s="446"/>
      <c r="S66" s="446"/>
      <c r="T66" s="446"/>
      <c r="U66" s="447"/>
      <c r="V66" s="447"/>
    </row>
    <row r="67" spans="1:22" ht="18" customHeight="1" x14ac:dyDescent="0.25">
      <c r="A67" s="486"/>
      <c r="B67" s="448"/>
      <c r="C67" s="449"/>
      <c r="D67" s="461"/>
      <c r="E67" s="450"/>
      <c r="F67" s="451"/>
      <c r="G67" s="452"/>
      <c r="H67" s="453"/>
      <c r="I67" s="454"/>
      <c r="J67" s="455"/>
      <c r="K67" s="456"/>
      <c r="L67" s="457"/>
      <c r="M67" s="458"/>
      <c r="N67" s="459"/>
      <c r="O67" s="460">
        <f t="shared" ref="O67:O73" si="0">N67+L67+J67+H67</f>
        <v>0</v>
      </c>
      <c r="P67" s="446"/>
      <c r="Q67" s="446"/>
      <c r="R67" s="446"/>
      <c r="S67" s="446"/>
      <c r="T67" s="446"/>
      <c r="U67" s="447"/>
      <c r="V67" s="447"/>
    </row>
    <row r="68" spans="1:22" ht="18" customHeight="1" x14ac:dyDescent="0.25">
      <c r="A68" s="486"/>
      <c r="B68" s="448"/>
      <c r="C68" s="449"/>
      <c r="D68" s="461"/>
      <c r="E68" s="450"/>
      <c r="F68" s="451"/>
      <c r="G68" s="452"/>
      <c r="H68" s="453"/>
      <c r="I68" s="454"/>
      <c r="J68" s="455"/>
      <c r="K68" s="456"/>
      <c r="L68" s="457"/>
      <c r="M68" s="458"/>
      <c r="N68" s="459"/>
      <c r="O68" s="460">
        <f t="shared" si="0"/>
        <v>0</v>
      </c>
      <c r="P68" s="446"/>
      <c r="Q68" s="446"/>
      <c r="R68" s="446"/>
      <c r="S68" s="446"/>
      <c r="T68" s="446"/>
      <c r="U68" s="447"/>
      <c r="V68" s="447"/>
    </row>
    <row r="69" spans="1:22" ht="18" customHeight="1" x14ac:dyDescent="0.25">
      <c r="A69" s="486"/>
      <c r="B69" s="448"/>
      <c r="C69" s="449"/>
      <c r="D69" s="461"/>
      <c r="E69" s="450"/>
      <c r="F69" s="451"/>
      <c r="G69" s="452"/>
      <c r="H69" s="453"/>
      <c r="I69" s="454"/>
      <c r="J69" s="455"/>
      <c r="K69" s="456"/>
      <c r="L69" s="457"/>
      <c r="M69" s="458"/>
      <c r="N69" s="459"/>
      <c r="O69" s="460">
        <f t="shared" si="0"/>
        <v>0</v>
      </c>
      <c r="P69" s="446"/>
      <c r="Q69" s="446"/>
      <c r="R69" s="446"/>
      <c r="S69" s="446"/>
      <c r="T69" s="446"/>
      <c r="U69" s="447"/>
      <c r="V69" s="447"/>
    </row>
    <row r="70" spans="1:22" ht="18" customHeight="1" x14ac:dyDescent="0.25">
      <c r="A70" s="486"/>
      <c r="B70" s="448"/>
      <c r="C70" s="449"/>
      <c r="D70" s="461"/>
      <c r="E70" s="450"/>
      <c r="F70" s="451"/>
      <c r="G70" s="452"/>
      <c r="H70" s="453"/>
      <c r="I70" s="454"/>
      <c r="J70" s="455"/>
      <c r="K70" s="456"/>
      <c r="L70" s="457"/>
      <c r="M70" s="458"/>
      <c r="N70" s="459"/>
      <c r="O70" s="460">
        <f t="shared" si="0"/>
        <v>0</v>
      </c>
      <c r="P70" s="446"/>
      <c r="Q70" s="446"/>
      <c r="R70" s="446"/>
      <c r="S70" s="446"/>
      <c r="T70" s="446"/>
      <c r="U70" s="447"/>
      <c r="V70" s="447"/>
    </row>
    <row r="71" spans="1:22" ht="18" customHeight="1" x14ac:dyDescent="0.25">
      <c r="A71" s="486"/>
      <c r="B71" s="448"/>
      <c r="C71" s="499"/>
      <c r="D71" s="461"/>
      <c r="E71" s="450"/>
      <c r="F71" s="451"/>
      <c r="G71" s="452"/>
      <c r="H71" s="453"/>
      <c r="I71" s="454"/>
      <c r="J71" s="455"/>
      <c r="K71" s="456"/>
      <c r="L71" s="457"/>
      <c r="M71" s="458"/>
      <c r="N71" s="459"/>
      <c r="O71" s="460">
        <f t="shared" si="0"/>
        <v>0</v>
      </c>
      <c r="P71" s="446"/>
      <c r="Q71" s="446"/>
      <c r="R71" s="446"/>
      <c r="S71" s="446"/>
      <c r="T71" s="446"/>
      <c r="U71" s="447"/>
      <c r="V71" s="447"/>
    </row>
    <row r="72" spans="1:22" ht="18" customHeight="1" x14ac:dyDescent="0.25">
      <c r="A72" s="486"/>
      <c r="B72" s="448"/>
      <c r="C72" s="499"/>
      <c r="D72" s="461"/>
      <c r="E72" s="450"/>
      <c r="F72" s="451"/>
      <c r="G72" s="452"/>
      <c r="H72" s="453"/>
      <c r="I72" s="454"/>
      <c r="J72" s="455"/>
      <c r="K72" s="456"/>
      <c r="L72" s="457"/>
      <c r="M72" s="458"/>
      <c r="N72" s="459"/>
      <c r="O72" s="460">
        <f t="shared" si="0"/>
        <v>0</v>
      </c>
      <c r="P72" s="446"/>
      <c r="Q72" s="446"/>
      <c r="R72" s="446"/>
      <c r="S72" s="446"/>
      <c r="T72" s="446"/>
      <c r="U72" s="447"/>
      <c r="V72" s="447"/>
    </row>
    <row r="73" spans="1:22" ht="18" customHeight="1" x14ac:dyDescent="0.25">
      <c r="A73" s="486"/>
      <c r="B73" s="448"/>
      <c r="C73" s="499"/>
      <c r="D73" s="461"/>
      <c r="E73" s="450"/>
      <c r="F73" s="451"/>
      <c r="G73" s="452"/>
      <c r="H73" s="453"/>
      <c r="I73" s="454"/>
      <c r="J73" s="455"/>
      <c r="K73" s="456"/>
      <c r="L73" s="457"/>
      <c r="M73" s="458"/>
      <c r="N73" s="459"/>
      <c r="O73" s="460">
        <f t="shared" si="0"/>
        <v>0</v>
      </c>
      <c r="P73" s="446"/>
      <c r="Q73" s="446"/>
      <c r="R73" s="446"/>
      <c r="S73" s="446"/>
      <c r="T73" s="446"/>
      <c r="U73" s="447"/>
      <c r="V73" s="447"/>
    </row>
    <row r="74" spans="1:22" ht="18" customHeight="1" x14ac:dyDescent="0.25">
      <c r="A74" s="500"/>
      <c r="B74" s="501"/>
      <c r="C74" s="502"/>
      <c r="D74" s="503"/>
      <c r="E74" s="504">
        <f>SUM(E18:E73)</f>
        <v>812375</v>
      </c>
      <c r="F74" s="714">
        <f>SUM(F15:F73)</f>
        <v>111660</v>
      </c>
      <c r="G74" s="713">
        <f t="shared" ref="G74:N74" si="1">SUM(G17:G73)</f>
        <v>0</v>
      </c>
      <c r="H74" s="713">
        <f t="shared" si="1"/>
        <v>0</v>
      </c>
      <c r="I74" s="713">
        <f t="shared" si="1"/>
        <v>0</v>
      </c>
      <c r="J74" s="713">
        <f t="shared" si="1"/>
        <v>0</v>
      </c>
      <c r="K74" s="713">
        <f t="shared" si="1"/>
        <v>0</v>
      </c>
      <c r="L74" s="713">
        <f t="shared" si="1"/>
        <v>0</v>
      </c>
      <c r="M74" s="713">
        <f t="shared" si="1"/>
        <v>0</v>
      </c>
      <c r="N74" s="713">
        <f t="shared" si="1"/>
        <v>0</v>
      </c>
      <c r="O74" s="511">
        <f>SUM(O44:O73)</f>
        <v>0</v>
      </c>
      <c r="P74" s="446"/>
      <c r="Q74" s="446"/>
      <c r="R74" s="446"/>
      <c r="S74" s="446"/>
      <c r="T74" s="446"/>
      <c r="U74" s="447"/>
      <c r="V74" s="447"/>
    </row>
    <row r="75" spans="1:22" ht="18" customHeight="1" x14ac:dyDescent="0.25">
      <c r="A75" s="512"/>
      <c r="B75" s="446"/>
      <c r="C75" s="446"/>
      <c r="D75" s="513"/>
      <c r="E75" s="514"/>
      <c r="F75" s="515"/>
      <c r="G75" s="516"/>
      <c r="H75" s="517"/>
      <c r="I75" s="517"/>
      <c r="J75" s="517"/>
      <c r="K75" s="517"/>
      <c r="L75" s="517"/>
      <c r="M75" s="517"/>
      <c r="N75" s="517"/>
      <c r="O75" s="446"/>
      <c r="P75" s="446"/>
      <c r="Q75" s="446"/>
      <c r="R75" s="446"/>
      <c r="S75" s="446"/>
      <c r="T75" s="446"/>
      <c r="U75" s="447"/>
      <c r="V75" s="447"/>
    </row>
    <row r="76" spans="1:22" ht="18" customHeight="1" x14ac:dyDescent="0.25">
      <c r="A76" s="512"/>
      <c r="B76" s="446"/>
      <c r="C76" s="446"/>
      <c r="D76" s="513"/>
      <c r="E76" s="514"/>
      <c r="F76" s="515"/>
      <c r="G76" s="516"/>
      <c r="H76" s="517"/>
      <c r="I76" s="517"/>
      <c r="J76" s="517"/>
      <c r="K76" s="517"/>
      <c r="L76" s="517"/>
      <c r="M76" s="517"/>
      <c r="N76" s="517"/>
      <c r="O76" s="446"/>
      <c r="P76" s="446"/>
      <c r="Q76" s="446"/>
      <c r="R76" s="446"/>
      <c r="S76" s="446"/>
      <c r="T76" s="446"/>
      <c r="U76" s="447"/>
      <c r="V76" s="447"/>
    </row>
    <row r="77" spans="1:22" ht="18" customHeight="1" x14ac:dyDescent="0.25">
      <c r="A77" s="512"/>
      <c r="B77" s="446"/>
      <c r="C77" s="446"/>
      <c r="D77" s="513"/>
      <c r="E77" s="514"/>
      <c r="F77" s="515"/>
      <c r="G77" s="516"/>
      <c r="H77" s="517"/>
      <c r="I77" s="517"/>
      <c r="J77" s="517"/>
      <c r="K77" s="517"/>
      <c r="L77" s="517"/>
      <c r="M77" s="517"/>
      <c r="N77" s="517"/>
      <c r="O77" s="446"/>
      <c r="P77" s="446"/>
      <c r="Q77" s="446"/>
      <c r="R77" s="446"/>
      <c r="S77" s="446"/>
      <c r="T77" s="446"/>
      <c r="U77" s="447"/>
      <c r="V77" s="447"/>
    </row>
    <row r="78" spans="1:22" ht="18" customHeight="1" x14ac:dyDescent="0.25">
      <c r="A78" s="512"/>
      <c r="B78" s="446"/>
      <c r="C78" s="446"/>
      <c r="D78" s="513"/>
      <c r="E78" s="514"/>
      <c r="F78" s="515"/>
      <c r="G78" s="516"/>
      <c r="H78" s="517"/>
      <c r="I78" s="517"/>
      <c r="J78" s="517"/>
      <c r="K78" s="517"/>
      <c r="L78" s="517"/>
      <c r="M78" s="517"/>
      <c r="N78" s="517"/>
      <c r="O78" s="446"/>
      <c r="P78" s="446"/>
      <c r="Q78" s="446"/>
      <c r="R78" s="446"/>
      <c r="S78" s="446"/>
      <c r="T78" s="446"/>
      <c r="U78" s="447"/>
      <c r="V78" s="447"/>
    </row>
    <row r="79" spans="1:22" ht="18" customHeight="1" x14ac:dyDescent="0.25">
      <c r="A79" s="512"/>
      <c r="B79" s="446"/>
      <c r="C79" s="446"/>
      <c r="D79" s="513"/>
      <c r="E79" s="514"/>
      <c r="F79" s="515"/>
      <c r="G79" s="516"/>
      <c r="H79" s="517"/>
      <c r="I79" s="517"/>
      <c r="J79" s="517"/>
      <c r="K79" s="517"/>
      <c r="L79" s="517"/>
      <c r="M79" s="517"/>
      <c r="N79" s="517"/>
      <c r="O79" s="446"/>
      <c r="P79" s="446"/>
      <c r="Q79" s="446"/>
      <c r="R79" s="446"/>
      <c r="S79" s="446"/>
      <c r="T79" s="446"/>
      <c r="U79" s="447"/>
      <c r="V79" s="447"/>
    </row>
    <row r="80" spans="1:22" ht="18" customHeight="1" x14ac:dyDescent="0.25">
      <c r="A80" s="512"/>
      <c r="B80" s="446"/>
      <c r="C80" s="446"/>
      <c r="D80" s="513"/>
      <c r="E80" s="514"/>
      <c r="F80" s="515"/>
      <c r="G80" s="516"/>
      <c r="H80" s="517"/>
      <c r="I80" s="517"/>
      <c r="J80" s="517"/>
      <c r="K80" s="517"/>
      <c r="L80" s="517"/>
      <c r="M80" s="517"/>
      <c r="N80" s="517"/>
      <c r="O80" s="446"/>
      <c r="P80" s="446"/>
      <c r="Q80" s="446"/>
      <c r="R80" s="446"/>
      <c r="S80" s="446"/>
      <c r="T80" s="446"/>
      <c r="U80" s="447"/>
      <c r="V80" s="447"/>
    </row>
    <row r="81" spans="1:22" ht="18" customHeight="1" x14ac:dyDescent="0.25">
      <c r="A81" s="512"/>
      <c r="B81" s="446"/>
      <c r="C81" s="446"/>
      <c r="D81" s="513"/>
      <c r="E81" s="514"/>
      <c r="F81" s="515"/>
      <c r="G81" s="516"/>
      <c r="H81" s="517"/>
      <c r="I81" s="517"/>
      <c r="J81" s="517"/>
      <c r="K81" s="517"/>
      <c r="L81" s="517"/>
      <c r="M81" s="517"/>
      <c r="N81" s="517"/>
      <c r="O81" s="446"/>
      <c r="P81" s="446"/>
      <c r="Q81" s="446"/>
      <c r="R81" s="446"/>
      <c r="S81" s="446"/>
      <c r="T81" s="446"/>
      <c r="U81" s="447"/>
      <c r="V81" s="447"/>
    </row>
    <row r="82" spans="1:22" ht="18" customHeight="1" x14ac:dyDescent="0.25">
      <c r="A82" s="512"/>
      <c r="B82" s="446"/>
      <c r="C82" s="446"/>
      <c r="D82" s="513"/>
      <c r="E82" s="514"/>
      <c r="F82" s="515"/>
      <c r="G82" s="516"/>
      <c r="H82" s="517"/>
      <c r="I82" s="517"/>
      <c r="J82" s="517"/>
      <c r="K82" s="517"/>
      <c r="L82" s="517"/>
      <c r="M82" s="517"/>
      <c r="N82" s="517"/>
      <c r="O82" s="446"/>
      <c r="P82" s="446"/>
      <c r="Q82" s="446"/>
      <c r="R82" s="446"/>
      <c r="S82" s="446"/>
      <c r="T82" s="446"/>
      <c r="U82" s="447"/>
      <c r="V82" s="447"/>
    </row>
    <row r="83" spans="1:22" ht="18" customHeight="1" x14ac:dyDescent="0.25">
      <c r="A83" s="512"/>
      <c r="B83" s="446"/>
      <c r="C83" s="446"/>
      <c r="D83" s="513"/>
      <c r="E83" s="514"/>
      <c r="F83" s="515"/>
      <c r="G83" s="516"/>
      <c r="H83" s="517"/>
      <c r="I83" s="517"/>
      <c r="J83" s="517"/>
      <c r="K83" s="517"/>
      <c r="L83" s="517"/>
      <c r="M83" s="517"/>
      <c r="N83" s="517"/>
      <c r="O83" s="446"/>
      <c r="P83" s="446"/>
      <c r="Q83" s="446"/>
      <c r="R83" s="446"/>
      <c r="S83" s="446"/>
      <c r="T83" s="446"/>
      <c r="U83" s="447"/>
      <c r="V83" s="447"/>
    </row>
    <row r="84" spans="1:22" ht="18" customHeight="1" x14ac:dyDescent="0.25">
      <c r="A84" s="512"/>
      <c r="B84" s="446"/>
      <c r="C84" s="446"/>
      <c r="D84" s="513"/>
      <c r="E84" s="514"/>
      <c r="F84" s="515"/>
      <c r="G84" s="516"/>
      <c r="H84" s="517"/>
      <c r="I84" s="517"/>
      <c r="J84" s="517"/>
      <c r="K84" s="517"/>
      <c r="L84" s="517"/>
      <c r="M84" s="517"/>
      <c r="N84" s="517"/>
      <c r="O84" s="446"/>
      <c r="P84" s="446"/>
      <c r="Q84" s="446"/>
      <c r="R84" s="446"/>
      <c r="S84" s="446"/>
      <c r="T84" s="446"/>
      <c r="U84" s="447"/>
      <c r="V84" s="447"/>
    </row>
    <row r="85" spans="1:22" ht="18" customHeight="1" x14ac:dyDescent="0.25">
      <c r="A85" s="512"/>
      <c r="B85" s="446"/>
      <c r="C85" s="446"/>
      <c r="D85" s="513"/>
      <c r="E85" s="514"/>
      <c r="F85" s="515"/>
      <c r="G85" s="516"/>
      <c r="H85" s="517"/>
      <c r="I85" s="517"/>
      <c r="J85" s="517"/>
      <c r="K85" s="517"/>
      <c r="L85" s="517"/>
      <c r="M85" s="517"/>
      <c r="N85" s="517"/>
      <c r="O85" s="446"/>
      <c r="P85" s="446"/>
      <c r="Q85" s="446"/>
      <c r="R85" s="446"/>
      <c r="S85" s="446"/>
      <c r="T85" s="446"/>
      <c r="U85" s="447"/>
      <c r="V85" s="447"/>
    </row>
    <row r="86" spans="1:22" ht="18" customHeight="1" x14ac:dyDescent="0.25">
      <c r="A86" s="512"/>
      <c r="B86" s="446"/>
      <c r="C86" s="446"/>
      <c r="D86" s="513"/>
      <c r="E86" s="514"/>
      <c r="F86" s="515"/>
      <c r="G86" s="516"/>
      <c r="H86" s="517"/>
      <c r="I86" s="517"/>
      <c r="J86" s="517"/>
      <c r="K86" s="517"/>
      <c r="L86" s="517"/>
      <c r="M86" s="517"/>
      <c r="N86" s="517"/>
      <c r="O86" s="446"/>
      <c r="P86" s="446"/>
      <c r="Q86" s="446"/>
      <c r="R86" s="446"/>
      <c r="S86" s="446"/>
      <c r="T86" s="446"/>
      <c r="U86" s="447"/>
      <c r="V86" s="447"/>
    </row>
    <row r="87" spans="1:22" ht="18" customHeight="1" x14ac:dyDescent="0.25">
      <c r="A87" s="512"/>
      <c r="B87" s="446"/>
      <c r="C87" s="446"/>
      <c r="D87" s="513"/>
      <c r="E87" s="514"/>
      <c r="F87" s="515"/>
      <c r="G87" s="516"/>
      <c r="H87" s="517"/>
      <c r="I87" s="517"/>
      <c r="J87" s="517"/>
      <c r="K87" s="517"/>
      <c r="L87" s="517"/>
      <c r="M87" s="517"/>
      <c r="N87" s="517"/>
      <c r="O87" s="446"/>
      <c r="P87" s="446"/>
      <c r="Q87" s="446"/>
      <c r="R87" s="446"/>
      <c r="S87" s="446"/>
      <c r="T87" s="446"/>
      <c r="U87" s="447"/>
      <c r="V87" s="447"/>
    </row>
    <row r="88" spans="1:22" ht="18" customHeight="1" x14ac:dyDescent="0.25">
      <c r="A88" s="512"/>
      <c r="B88" s="446"/>
      <c r="C88" s="446"/>
      <c r="D88" s="513"/>
      <c r="E88" s="514"/>
      <c r="F88" s="515"/>
      <c r="G88" s="516"/>
      <c r="H88" s="517"/>
      <c r="I88" s="517"/>
      <c r="J88" s="517"/>
      <c r="K88" s="517"/>
      <c r="L88" s="517"/>
      <c r="M88" s="517"/>
      <c r="N88" s="517"/>
      <c r="O88" s="446"/>
      <c r="P88" s="446"/>
      <c r="Q88" s="446"/>
      <c r="R88" s="446"/>
      <c r="S88" s="446"/>
      <c r="T88" s="446"/>
      <c r="U88" s="447"/>
      <c r="V88" s="447"/>
    </row>
    <row r="89" spans="1:22" ht="18" customHeight="1" x14ac:dyDescent="0.25">
      <c r="A89" s="512"/>
      <c r="B89" s="446"/>
      <c r="C89" s="446"/>
      <c r="D89" s="513"/>
      <c r="E89" s="514"/>
      <c r="F89" s="515"/>
      <c r="G89" s="516"/>
      <c r="H89" s="517"/>
      <c r="I89" s="517"/>
      <c r="J89" s="517"/>
      <c r="K89" s="517"/>
      <c r="L89" s="517"/>
      <c r="M89" s="517"/>
      <c r="N89" s="517"/>
      <c r="O89" s="446"/>
      <c r="P89" s="446"/>
      <c r="Q89" s="446"/>
      <c r="R89" s="446"/>
      <c r="S89" s="446"/>
      <c r="T89" s="446"/>
      <c r="U89" s="447"/>
      <c r="V89" s="447"/>
    </row>
    <row r="90" spans="1:22" ht="18" customHeight="1" x14ac:dyDescent="0.25">
      <c r="A90" s="512"/>
      <c r="B90" s="446"/>
      <c r="C90" s="446"/>
      <c r="D90" s="513"/>
      <c r="E90" s="514"/>
      <c r="F90" s="515"/>
      <c r="G90" s="516"/>
      <c r="H90" s="517"/>
      <c r="I90" s="517"/>
      <c r="J90" s="517"/>
      <c r="K90" s="517"/>
      <c r="L90" s="517"/>
      <c r="M90" s="517"/>
      <c r="N90" s="517"/>
      <c r="O90" s="446"/>
      <c r="P90" s="446"/>
      <c r="Q90" s="446"/>
      <c r="R90" s="446"/>
      <c r="S90" s="446"/>
      <c r="T90" s="446"/>
      <c r="U90" s="447"/>
      <c r="V90" s="447"/>
    </row>
    <row r="91" spans="1:22" ht="18" customHeight="1" x14ac:dyDescent="0.25">
      <c r="A91" s="512"/>
      <c r="B91" s="446"/>
      <c r="C91" s="446"/>
      <c r="D91" s="513"/>
      <c r="E91" s="514"/>
      <c r="F91" s="515"/>
      <c r="G91" s="516"/>
      <c r="H91" s="517"/>
      <c r="I91" s="517"/>
      <c r="J91" s="517"/>
      <c r="K91" s="517"/>
      <c r="L91" s="517"/>
      <c r="M91" s="517"/>
      <c r="N91" s="517"/>
      <c r="O91" s="446"/>
      <c r="P91" s="446"/>
      <c r="Q91" s="446"/>
      <c r="R91" s="446"/>
      <c r="S91" s="446"/>
      <c r="T91" s="446"/>
      <c r="U91" s="447"/>
      <c r="V91" s="447"/>
    </row>
    <row r="92" spans="1:22" ht="12.75" customHeight="1" x14ac:dyDescent="0.25">
      <c r="A92" s="512"/>
      <c r="B92" s="446"/>
      <c r="C92" s="446"/>
      <c r="D92" s="513"/>
      <c r="E92" s="514"/>
      <c r="F92" s="515"/>
      <c r="G92" s="516"/>
      <c r="H92" s="517"/>
      <c r="I92" s="517"/>
      <c r="J92" s="517"/>
      <c r="K92" s="517"/>
      <c r="L92" s="517"/>
      <c r="M92" s="517"/>
      <c r="N92" s="517"/>
      <c r="O92" s="446"/>
      <c r="P92" s="446"/>
      <c r="Q92" s="446"/>
      <c r="R92" s="446"/>
      <c r="S92" s="446"/>
      <c r="T92" s="446"/>
      <c r="U92" s="447"/>
      <c r="V92" s="447"/>
    </row>
    <row r="93" spans="1:22" ht="12.75" customHeight="1" x14ac:dyDescent="0.25">
      <c r="A93" s="512"/>
      <c r="B93" s="446"/>
      <c r="C93" s="446"/>
      <c r="D93" s="513"/>
      <c r="E93" s="514"/>
      <c r="F93" s="515"/>
      <c r="G93" s="516"/>
      <c r="H93" s="517"/>
      <c r="I93" s="517"/>
      <c r="J93" s="517"/>
      <c r="K93" s="517"/>
      <c r="L93" s="517"/>
      <c r="M93" s="517"/>
      <c r="N93" s="517"/>
      <c r="O93" s="446"/>
      <c r="P93" s="446"/>
      <c r="Q93" s="446"/>
      <c r="R93" s="446"/>
      <c r="S93" s="446"/>
      <c r="T93" s="446"/>
      <c r="U93" s="447"/>
      <c r="V93" s="447"/>
    </row>
    <row r="94" spans="1:22" ht="12.75" customHeight="1" x14ac:dyDescent="0.25">
      <c r="A94" s="512"/>
      <c r="B94" s="446"/>
      <c r="C94" s="446"/>
      <c r="D94" s="513"/>
      <c r="E94" s="514"/>
      <c r="F94" s="515"/>
      <c r="G94" s="516"/>
      <c r="H94" s="517"/>
      <c r="I94" s="517"/>
      <c r="J94" s="517"/>
      <c r="K94" s="517"/>
      <c r="L94" s="517"/>
      <c r="M94" s="517"/>
      <c r="N94" s="517"/>
      <c r="O94" s="446"/>
      <c r="P94" s="446"/>
      <c r="Q94" s="446"/>
      <c r="R94" s="446"/>
      <c r="S94" s="446"/>
      <c r="T94" s="446"/>
      <c r="U94" s="447"/>
      <c r="V94" s="447"/>
    </row>
    <row r="95" spans="1:22" ht="12.75" customHeight="1" x14ac:dyDescent="0.25">
      <c r="A95" s="512"/>
      <c r="B95" s="446"/>
      <c r="C95" s="446"/>
      <c r="D95" s="513"/>
      <c r="E95" s="514"/>
      <c r="F95" s="515"/>
      <c r="G95" s="516"/>
      <c r="H95" s="517"/>
      <c r="I95" s="517"/>
      <c r="J95" s="517"/>
      <c r="K95" s="517"/>
      <c r="L95" s="517"/>
      <c r="M95" s="517"/>
      <c r="N95" s="517"/>
      <c r="O95" s="446"/>
      <c r="P95" s="446"/>
      <c r="Q95" s="446"/>
      <c r="R95" s="446"/>
      <c r="S95" s="446"/>
      <c r="T95" s="446"/>
      <c r="U95" s="447"/>
      <c r="V95" s="447"/>
    </row>
    <row r="96" spans="1:22" ht="12.75" customHeight="1" x14ac:dyDescent="0.25">
      <c r="A96" s="512"/>
      <c r="B96" s="446"/>
      <c r="C96" s="446"/>
      <c r="D96" s="513"/>
      <c r="E96" s="514"/>
      <c r="F96" s="515"/>
      <c r="G96" s="516"/>
      <c r="H96" s="517"/>
      <c r="I96" s="517"/>
      <c r="J96" s="517"/>
      <c r="K96" s="517"/>
      <c r="L96" s="517"/>
      <c r="M96" s="517"/>
      <c r="N96" s="517"/>
      <c r="O96" s="446"/>
      <c r="P96" s="446"/>
      <c r="Q96" s="446"/>
      <c r="R96" s="446"/>
      <c r="S96" s="446"/>
      <c r="T96" s="446"/>
      <c r="U96" s="447"/>
      <c r="V96" s="447"/>
    </row>
    <row r="97" spans="1:22" ht="12.75" customHeight="1" x14ac:dyDescent="0.25">
      <c r="A97" s="512"/>
      <c r="B97" s="446"/>
      <c r="C97" s="446"/>
      <c r="D97" s="513"/>
      <c r="E97" s="514"/>
      <c r="F97" s="515"/>
      <c r="G97" s="516"/>
      <c r="H97" s="517"/>
      <c r="I97" s="517"/>
      <c r="J97" s="517"/>
      <c r="K97" s="517"/>
      <c r="L97" s="517"/>
      <c r="M97" s="517"/>
      <c r="N97" s="517"/>
      <c r="O97" s="446"/>
      <c r="P97" s="446"/>
      <c r="Q97" s="446"/>
      <c r="R97" s="446"/>
      <c r="S97" s="446"/>
      <c r="T97" s="446"/>
      <c r="U97" s="447"/>
      <c r="V97" s="447"/>
    </row>
    <row r="98" spans="1:22" ht="12.75" customHeight="1" x14ac:dyDescent="0.25">
      <c r="A98" s="512"/>
      <c r="B98" s="446"/>
      <c r="C98" s="446"/>
      <c r="D98" s="513"/>
      <c r="E98" s="514"/>
      <c r="F98" s="515"/>
      <c r="G98" s="516"/>
      <c r="H98" s="517"/>
      <c r="I98" s="517"/>
      <c r="J98" s="517"/>
      <c r="K98" s="517"/>
      <c r="L98" s="517"/>
      <c r="M98" s="517"/>
      <c r="N98" s="517"/>
      <c r="O98" s="446"/>
      <c r="P98" s="446"/>
      <c r="Q98" s="446"/>
      <c r="R98" s="446"/>
      <c r="S98" s="446"/>
      <c r="T98" s="446"/>
      <c r="U98" s="447"/>
      <c r="V98" s="447"/>
    </row>
    <row r="99" spans="1:22" ht="12.75" customHeight="1" x14ac:dyDescent="0.25">
      <c r="A99" s="512"/>
      <c r="B99" s="446"/>
      <c r="C99" s="446"/>
      <c r="D99" s="513"/>
      <c r="E99" s="514"/>
      <c r="F99" s="515"/>
      <c r="G99" s="516"/>
      <c r="H99" s="517"/>
      <c r="I99" s="517"/>
      <c r="J99" s="517"/>
      <c r="K99" s="517"/>
      <c r="L99" s="517"/>
      <c r="M99" s="517"/>
      <c r="N99" s="517"/>
      <c r="O99" s="446"/>
      <c r="P99" s="446"/>
      <c r="Q99" s="446"/>
      <c r="R99" s="446"/>
      <c r="S99" s="446"/>
      <c r="T99" s="446"/>
      <c r="U99" s="447"/>
      <c r="V99" s="447"/>
    </row>
    <row r="100" spans="1:22" ht="12.75" customHeight="1" x14ac:dyDescent="0.25">
      <c r="A100" s="512"/>
      <c r="B100" s="446"/>
      <c r="C100" s="446"/>
      <c r="D100" s="513"/>
      <c r="E100" s="514"/>
      <c r="F100" s="515"/>
      <c r="G100" s="516"/>
      <c r="H100" s="517"/>
      <c r="I100" s="517"/>
      <c r="J100" s="517"/>
      <c r="K100" s="517"/>
      <c r="L100" s="517"/>
      <c r="M100" s="517"/>
      <c r="N100" s="517"/>
      <c r="O100" s="446"/>
      <c r="P100" s="446"/>
      <c r="Q100" s="446"/>
      <c r="R100" s="446"/>
      <c r="S100" s="446"/>
      <c r="T100" s="446"/>
      <c r="U100" s="447"/>
      <c r="V100" s="447"/>
    </row>
    <row r="101" spans="1:22" ht="12.75" customHeight="1" x14ac:dyDescent="0.25">
      <c r="A101" s="512"/>
      <c r="B101" s="446"/>
      <c r="C101" s="446"/>
      <c r="D101" s="513"/>
      <c r="E101" s="514"/>
      <c r="F101" s="515"/>
      <c r="G101" s="516"/>
      <c r="H101" s="517"/>
      <c r="I101" s="517"/>
      <c r="J101" s="517"/>
      <c r="K101" s="517"/>
      <c r="L101" s="517"/>
      <c r="M101" s="517"/>
      <c r="N101" s="517"/>
      <c r="O101" s="446"/>
      <c r="P101" s="446"/>
      <c r="Q101" s="446"/>
      <c r="R101" s="446"/>
      <c r="S101" s="446"/>
      <c r="T101" s="446"/>
      <c r="U101" s="447"/>
      <c r="V101" s="447"/>
    </row>
    <row r="102" spans="1:22" ht="12.75" customHeight="1" x14ac:dyDescent="0.25">
      <c r="A102" s="512"/>
      <c r="B102" s="446"/>
      <c r="C102" s="446"/>
      <c r="D102" s="513"/>
      <c r="E102" s="514"/>
      <c r="F102" s="515"/>
      <c r="G102" s="516"/>
      <c r="H102" s="517"/>
      <c r="I102" s="517"/>
      <c r="J102" s="517"/>
      <c r="K102" s="517"/>
      <c r="L102" s="517"/>
      <c r="M102" s="517"/>
      <c r="N102" s="517"/>
      <c r="O102" s="446"/>
      <c r="P102" s="446"/>
      <c r="Q102" s="446"/>
      <c r="R102" s="446"/>
      <c r="S102" s="446"/>
      <c r="T102" s="446"/>
      <c r="U102" s="447"/>
      <c r="V102" s="447"/>
    </row>
    <row r="103" spans="1:22" ht="12.75" customHeight="1" x14ac:dyDescent="0.25">
      <c r="A103" s="512"/>
      <c r="B103" s="446"/>
      <c r="C103" s="446"/>
      <c r="D103" s="513"/>
      <c r="E103" s="514"/>
      <c r="F103" s="515"/>
      <c r="G103" s="516"/>
      <c r="H103" s="517"/>
      <c r="I103" s="517"/>
      <c r="J103" s="517"/>
      <c r="K103" s="517"/>
      <c r="L103" s="517"/>
      <c r="M103" s="517"/>
      <c r="N103" s="517"/>
      <c r="O103" s="446"/>
      <c r="P103" s="446"/>
      <c r="Q103" s="446"/>
      <c r="R103" s="446"/>
      <c r="S103" s="446"/>
      <c r="T103" s="446"/>
      <c r="U103" s="447"/>
      <c r="V103" s="447"/>
    </row>
    <row r="104" spans="1:22" ht="12.75" customHeight="1" x14ac:dyDescent="0.25">
      <c r="A104" s="512"/>
      <c r="B104" s="446"/>
      <c r="C104" s="446"/>
      <c r="D104" s="513"/>
      <c r="E104" s="514"/>
      <c r="F104" s="515"/>
      <c r="G104" s="516"/>
      <c r="H104" s="517"/>
      <c r="I104" s="517"/>
      <c r="J104" s="517"/>
      <c r="K104" s="517"/>
      <c r="L104" s="517"/>
      <c r="M104" s="517"/>
      <c r="N104" s="517"/>
      <c r="O104" s="446"/>
      <c r="P104" s="446"/>
      <c r="Q104" s="446"/>
      <c r="R104" s="446"/>
      <c r="S104" s="446"/>
      <c r="T104" s="446"/>
      <c r="U104" s="447"/>
      <c r="V104" s="447"/>
    </row>
    <row r="105" spans="1:22" ht="12.75" customHeight="1" x14ac:dyDescent="0.25">
      <c r="A105" s="512"/>
      <c r="B105" s="446"/>
      <c r="C105" s="446"/>
      <c r="D105" s="513"/>
      <c r="E105" s="514"/>
      <c r="F105" s="515"/>
      <c r="G105" s="516"/>
      <c r="H105" s="517"/>
      <c r="I105" s="517"/>
      <c r="J105" s="517"/>
      <c r="K105" s="517"/>
      <c r="L105" s="517"/>
      <c r="M105" s="517"/>
      <c r="N105" s="517"/>
      <c r="O105" s="446"/>
      <c r="P105" s="446"/>
      <c r="Q105" s="446"/>
      <c r="R105" s="446"/>
      <c r="S105" s="446"/>
      <c r="T105" s="446"/>
      <c r="U105" s="447"/>
      <c r="V105" s="447"/>
    </row>
    <row r="106" spans="1:22" ht="12.75" customHeight="1" x14ac:dyDescent="0.25">
      <c r="A106" s="512"/>
      <c r="B106" s="446"/>
      <c r="C106" s="446"/>
      <c r="D106" s="513"/>
      <c r="E106" s="514"/>
      <c r="F106" s="515"/>
      <c r="G106" s="516"/>
      <c r="H106" s="517"/>
      <c r="I106" s="517"/>
      <c r="J106" s="517"/>
      <c r="K106" s="517"/>
      <c r="L106" s="517"/>
      <c r="M106" s="517"/>
      <c r="N106" s="517"/>
      <c r="O106" s="446"/>
      <c r="P106" s="446"/>
      <c r="Q106" s="446"/>
      <c r="R106" s="446"/>
      <c r="S106" s="446"/>
      <c r="T106" s="446"/>
      <c r="U106" s="447"/>
      <c r="V106" s="447"/>
    </row>
    <row r="107" spans="1:22" ht="12.75" customHeight="1" x14ac:dyDescent="0.25">
      <c r="A107" s="512"/>
      <c r="B107" s="446"/>
      <c r="C107" s="446"/>
      <c r="D107" s="513"/>
      <c r="E107" s="514"/>
      <c r="F107" s="515"/>
      <c r="G107" s="516"/>
      <c r="H107" s="517"/>
      <c r="I107" s="517"/>
      <c r="J107" s="517"/>
      <c r="K107" s="517"/>
      <c r="L107" s="517"/>
      <c r="M107" s="517"/>
      <c r="N107" s="517"/>
      <c r="O107" s="446"/>
      <c r="P107" s="446"/>
      <c r="Q107" s="446"/>
      <c r="R107" s="446"/>
      <c r="S107" s="446"/>
      <c r="T107" s="446"/>
      <c r="U107" s="447"/>
      <c r="V107" s="447"/>
    </row>
    <row r="108" spans="1:22" ht="12.75" customHeight="1" x14ac:dyDescent="0.25">
      <c r="A108" s="512"/>
      <c r="B108" s="446"/>
      <c r="C108" s="446"/>
      <c r="D108" s="513"/>
      <c r="E108" s="514"/>
      <c r="F108" s="515"/>
      <c r="G108" s="516"/>
      <c r="H108" s="517"/>
      <c r="I108" s="517"/>
      <c r="J108" s="517"/>
      <c r="K108" s="517"/>
      <c r="L108" s="517"/>
      <c r="M108" s="517"/>
      <c r="N108" s="517"/>
      <c r="O108" s="446"/>
      <c r="P108" s="446"/>
      <c r="Q108" s="446"/>
      <c r="R108" s="446"/>
      <c r="S108" s="446"/>
      <c r="T108" s="446"/>
      <c r="U108" s="447"/>
      <c r="V108" s="447"/>
    </row>
    <row r="109" spans="1:22" ht="12.75" customHeight="1" x14ac:dyDescent="0.25">
      <c r="A109" s="512"/>
      <c r="B109" s="446"/>
      <c r="C109" s="446"/>
      <c r="D109" s="513"/>
      <c r="E109" s="514"/>
      <c r="F109" s="515"/>
      <c r="G109" s="516"/>
      <c r="H109" s="517"/>
      <c r="I109" s="517"/>
      <c r="J109" s="517"/>
      <c r="K109" s="517"/>
      <c r="L109" s="517"/>
      <c r="M109" s="517"/>
      <c r="N109" s="517"/>
      <c r="O109" s="446"/>
      <c r="P109" s="446"/>
      <c r="Q109" s="446"/>
      <c r="R109" s="446"/>
      <c r="S109" s="446"/>
      <c r="T109" s="446"/>
      <c r="U109" s="447"/>
      <c r="V109" s="447"/>
    </row>
    <row r="110" spans="1:22" ht="12.75" customHeight="1" x14ac:dyDescent="0.25">
      <c r="A110" s="512"/>
      <c r="B110" s="446"/>
      <c r="C110" s="446"/>
      <c r="D110" s="513"/>
      <c r="E110" s="514"/>
      <c r="F110" s="515"/>
      <c r="G110" s="516"/>
      <c r="H110" s="517"/>
      <c r="I110" s="517"/>
      <c r="J110" s="517"/>
      <c r="K110" s="517"/>
      <c r="L110" s="517"/>
      <c r="M110" s="517"/>
      <c r="N110" s="517"/>
      <c r="O110" s="446"/>
      <c r="P110" s="446"/>
      <c r="Q110" s="446"/>
      <c r="R110" s="446"/>
      <c r="S110" s="446"/>
      <c r="T110" s="446"/>
      <c r="U110" s="447"/>
      <c r="V110" s="447"/>
    </row>
    <row r="111" spans="1:22" ht="12.75" customHeight="1" x14ac:dyDescent="0.25">
      <c r="A111" s="512"/>
      <c r="B111" s="446"/>
      <c r="C111" s="446"/>
      <c r="D111" s="513"/>
      <c r="E111" s="514"/>
      <c r="F111" s="515"/>
      <c r="G111" s="516"/>
      <c r="H111" s="517"/>
      <c r="I111" s="517"/>
      <c r="J111" s="517"/>
      <c r="K111" s="517"/>
      <c r="L111" s="517"/>
      <c r="M111" s="517"/>
      <c r="N111" s="517"/>
      <c r="O111" s="446"/>
      <c r="P111" s="446"/>
      <c r="Q111" s="446"/>
      <c r="R111" s="446"/>
      <c r="S111" s="446"/>
      <c r="T111" s="446"/>
      <c r="U111" s="447"/>
      <c r="V111" s="447"/>
    </row>
    <row r="112" spans="1:22" ht="12.75" customHeight="1" x14ac:dyDescent="0.25">
      <c r="A112" s="512"/>
      <c r="B112" s="446"/>
      <c r="C112" s="446"/>
      <c r="D112" s="513"/>
      <c r="E112" s="514"/>
      <c r="F112" s="515"/>
      <c r="G112" s="516"/>
      <c r="H112" s="517"/>
      <c r="I112" s="517"/>
      <c r="J112" s="517"/>
      <c r="K112" s="517"/>
      <c r="L112" s="517"/>
      <c r="M112" s="517"/>
      <c r="N112" s="517"/>
      <c r="O112" s="446"/>
      <c r="P112" s="446"/>
      <c r="Q112" s="446"/>
      <c r="R112" s="446"/>
      <c r="S112" s="446"/>
      <c r="T112" s="446"/>
      <c r="U112" s="447"/>
      <c r="V112" s="447"/>
    </row>
    <row r="113" spans="1:22" ht="12.75" customHeight="1" x14ac:dyDescent="0.25">
      <c r="A113" s="512"/>
      <c r="B113" s="446"/>
      <c r="C113" s="446"/>
      <c r="D113" s="513"/>
      <c r="E113" s="514"/>
      <c r="F113" s="515"/>
      <c r="G113" s="516"/>
      <c r="H113" s="517"/>
      <c r="I113" s="517"/>
      <c r="J113" s="517"/>
      <c r="K113" s="517"/>
      <c r="L113" s="517"/>
      <c r="M113" s="517"/>
      <c r="N113" s="517"/>
      <c r="O113" s="446"/>
      <c r="P113" s="446"/>
      <c r="Q113" s="446"/>
      <c r="R113" s="446"/>
      <c r="S113" s="446"/>
      <c r="T113" s="446"/>
      <c r="U113" s="447"/>
      <c r="V113" s="447"/>
    </row>
    <row r="114" spans="1:22" ht="12.75" customHeight="1" x14ac:dyDescent="0.25">
      <c r="A114" s="512"/>
      <c r="B114" s="446"/>
      <c r="C114" s="446"/>
      <c r="D114" s="513"/>
      <c r="E114" s="514"/>
      <c r="F114" s="515"/>
      <c r="G114" s="516"/>
      <c r="H114" s="517"/>
      <c r="I114" s="517"/>
      <c r="J114" s="517"/>
      <c r="K114" s="517"/>
      <c r="L114" s="517"/>
      <c r="M114" s="517"/>
      <c r="N114" s="517"/>
      <c r="O114" s="446"/>
      <c r="P114" s="446"/>
      <c r="Q114" s="446"/>
      <c r="R114" s="446"/>
      <c r="S114" s="446"/>
      <c r="T114" s="446"/>
      <c r="U114" s="447"/>
      <c r="V114" s="447"/>
    </row>
    <row r="115" spans="1:22" ht="12.75" customHeight="1" x14ac:dyDescent="0.25">
      <c r="A115" s="512"/>
      <c r="B115" s="446"/>
      <c r="C115" s="446"/>
      <c r="D115" s="513"/>
      <c r="E115" s="514"/>
      <c r="F115" s="515"/>
      <c r="G115" s="516"/>
      <c r="H115" s="517"/>
      <c r="I115" s="517"/>
      <c r="J115" s="517"/>
      <c r="K115" s="517"/>
      <c r="L115" s="517"/>
      <c r="M115" s="517"/>
      <c r="N115" s="517"/>
      <c r="O115" s="446"/>
      <c r="P115" s="446"/>
      <c r="Q115" s="446"/>
      <c r="R115" s="446"/>
      <c r="S115" s="446"/>
      <c r="T115" s="446"/>
      <c r="U115" s="447"/>
      <c r="V115" s="447"/>
    </row>
    <row r="116" spans="1:22" ht="12.75" customHeight="1" x14ac:dyDescent="0.25">
      <c r="A116" s="512"/>
      <c r="B116" s="446"/>
      <c r="C116" s="446"/>
      <c r="D116" s="513"/>
      <c r="E116" s="514"/>
      <c r="F116" s="515"/>
      <c r="G116" s="516"/>
      <c r="H116" s="517"/>
      <c r="I116" s="517"/>
      <c r="J116" s="517"/>
      <c r="K116" s="517"/>
      <c r="L116" s="517"/>
      <c r="M116" s="517"/>
      <c r="N116" s="517"/>
      <c r="O116" s="446"/>
      <c r="P116" s="446"/>
      <c r="Q116" s="446"/>
      <c r="R116" s="446"/>
      <c r="S116" s="446"/>
      <c r="T116" s="446"/>
      <c r="U116" s="447"/>
      <c r="V116" s="447"/>
    </row>
    <row r="117" spans="1:22" ht="12.75" customHeight="1" x14ac:dyDescent="0.25">
      <c r="A117" s="512"/>
      <c r="B117" s="446"/>
      <c r="C117" s="446"/>
      <c r="D117" s="513"/>
      <c r="E117" s="514"/>
      <c r="F117" s="515"/>
      <c r="G117" s="516"/>
      <c r="H117" s="517"/>
      <c r="I117" s="517"/>
      <c r="J117" s="517"/>
      <c r="K117" s="517"/>
      <c r="L117" s="517"/>
      <c r="M117" s="517"/>
      <c r="N117" s="517"/>
      <c r="O117" s="446"/>
      <c r="P117" s="446"/>
      <c r="Q117" s="446"/>
      <c r="R117" s="446"/>
      <c r="S117" s="446"/>
      <c r="T117" s="446"/>
      <c r="U117" s="447"/>
      <c r="V117" s="447"/>
    </row>
    <row r="118" spans="1:22" ht="12.75" customHeight="1" x14ac:dyDescent="0.25">
      <c r="A118" s="512"/>
      <c r="B118" s="446"/>
      <c r="C118" s="446"/>
      <c r="D118" s="513"/>
      <c r="E118" s="514"/>
      <c r="F118" s="515"/>
      <c r="G118" s="516"/>
      <c r="H118" s="517"/>
      <c r="I118" s="517"/>
      <c r="J118" s="517"/>
      <c r="K118" s="517"/>
      <c r="L118" s="517"/>
      <c r="M118" s="517"/>
      <c r="N118" s="517"/>
      <c r="O118" s="446"/>
      <c r="P118" s="446"/>
      <c r="Q118" s="446"/>
      <c r="R118" s="446"/>
      <c r="S118" s="446"/>
      <c r="T118" s="446"/>
      <c r="U118" s="447"/>
      <c r="V118" s="447"/>
    </row>
    <row r="119" spans="1:22" ht="12.75" customHeight="1" x14ac:dyDescent="0.25">
      <c r="A119" s="512"/>
      <c r="B119" s="446"/>
      <c r="C119" s="446"/>
      <c r="D119" s="513"/>
      <c r="E119" s="514"/>
      <c r="F119" s="515"/>
      <c r="G119" s="516"/>
      <c r="H119" s="517"/>
      <c r="I119" s="517"/>
      <c r="J119" s="517"/>
      <c r="K119" s="517"/>
      <c r="L119" s="517"/>
      <c r="M119" s="517"/>
      <c r="N119" s="517"/>
      <c r="O119" s="446"/>
      <c r="P119" s="446"/>
      <c r="Q119" s="446"/>
      <c r="R119" s="446"/>
      <c r="S119" s="446"/>
      <c r="T119" s="446"/>
      <c r="U119" s="447"/>
      <c r="V119" s="447"/>
    </row>
    <row r="120" spans="1:22" ht="12.75" customHeight="1" x14ac:dyDescent="0.25">
      <c r="A120" s="512"/>
      <c r="B120" s="446"/>
      <c r="C120" s="446"/>
      <c r="D120" s="513"/>
      <c r="E120" s="514"/>
      <c r="F120" s="515"/>
      <c r="G120" s="516"/>
      <c r="H120" s="517"/>
      <c r="I120" s="517"/>
      <c r="J120" s="517"/>
      <c r="K120" s="517"/>
      <c r="L120" s="517"/>
      <c r="M120" s="517"/>
      <c r="N120" s="517"/>
      <c r="O120" s="446"/>
      <c r="P120" s="446"/>
      <c r="Q120" s="446"/>
      <c r="R120" s="446"/>
      <c r="S120" s="446"/>
      <c r="T120" s="446"/>
      <c r="U120" s="447"/>
      <c r="V120" s="447"/>
    </row>
    <row r="121" spans="1:22" ht="12.75" customHeight="1" x14ac:dyDescent="0.25">
      <c r="A121" s="512"/>
      <c r="B121" s="446"/>
      <c r="C121" s="446"/>
      <c r="D121" s="513"/>
      <c r="E121" s="514"/>
      <c r="F121" s="515"/>
      <c r="G121" s="516"/>
      <c r="H121" s="517"/>
      <c r="I121" s="517"/>
      <c r="J121" s="517"/>
      <c r="K121" s="517"/>
      <c r="L121" s="517"/>
      <c r="M121" s="517"/>
      <c r="N121" s="517"/>
      <c r="O121" s="446"/>
      <c r="P121" s="446"/>
      <c r="Q121" s="446"/>
      <c r="R121" s="446"/>
      <c r="S121" s="446"/>
      <c r="T121" s="446"/>
      <c r="U121" s="447"/>
      <c r="V121" s="447"/>
    </row>
    <row r="122" spans="1:22" ht="12.75" customHeight="1" x14ac:dyDescent="0.25">
      <c r="A122" s="512"/>
      <c r="B122" s="446"/>
      <c r="C122" s="446"/>
      <c r="D122" s="513"/>
      <c r="E122" s="514"/>
      <c r="F122" s="515"/>
      <c r="G122" s="516"/>
      <c r="H122" s="517"/>
      <c r="I122" s="517"/>
      <c r="J122" s="517"/>
      <c r="K122" s="517"/>
      <c r="L122" s="517"/>
      <c r="M122" s="517"/>
      <c r="N122" s="517"/>
      <c r="O122" s="446"/>
      <c r="P122" s="446"/>
      <c r="Q122" s="446"/>
      <c r="R122" s="446"/>
      <c r="S122" s="446"/>
      <c r="T122" s="446"/>
      <c r="U122" s="447"/>
      <c r="V122" s="447"/>
    </row>
    <row r="123" spans="1:22" ht="12.75" customHeight="1" x14ac:dyDescent="0.25">
      <c r="A123" s="512"/>
      <c r="B123" s="446"/>
      <c r="C123" s="446"/>
      <c r="D123" s="513"/>
      <c r="E123" s="514"/>
      <c r="F123" s="515"/>
      <c r="G123" s="516"/>
      <c r="H123" s="517"/>
      <c r="I123" s="517"/>
      <c r="J123" s="517"/>
      <c r="K123" s="517"/>
      <c r="L123" s="517"/>
      <c r="M123" s="517"/>
      <c r="N123" s="517"/>
      <c r="O123" s="446"/>
      <c r="P123" s="446"/>
      <c r="Q123" s="446"/>
      <c r="R123" s="446"/>
      <c r="S123" s="446"/>
      <c r="T123" s="446"/>
      <c r="U123" s="447"/>
      <c r="V123" s="447"/>
    </row>
    <row r="124" spans="1:22" ht="12.75" customHeight="1" x14ac:dyDescent="0.25">
      <c r="A124" s="512"/>
      <c r="B124" s="446"/>
      <c r="C124" s="446"/>
      <c r="D124" s="513"/>
      <c r="E124" s="514"/>
      <c r="F124" s="515"/>
      <c r="G124" s="516"/>
      <c r="H124" s="517"/>
      <c r="I124" s="517"/>
      <c r="J124" s="517"/>
      <c r="K124" s="517"/>
      <c r="L124" s="517"/>
      <c r="M124" s="517"/>
      <c r="N124" s="517"/>
      <c r="O124" s="446"/>
      <c r="P124" s="446"/>
      <c r="Q124" s="446"/>
      <c r="R124" s="446"/>
      <c r="S124" s="446"/>
      <c r="T124" s="446"/>
      <c r="U124" s="447"/>
      <c r="V124" s="447"/>
    </row>
    <row r="125" spans="1:22" ht="12.75" customHeight="1" x14ac:dyDescent="0.25">
      <c r="A125" s="512"/>
      <c r="B125" s="446"/>
      <c r="C125" s="446"/>
      <c r="D125" s="513"/>
      <c r="E125" s="514"/>
      <c r="F125" s="515"/>
      <c r="G125" s="516"/>
      <c r="H125" s="517"/>
      <c r="I125" s="517"/>
      <c r="J125" s="517"/>
      <c r="K125" s="517"/>
      <c r="L125" s="517"/>
      <c r="M125" s="517"/>
      <c r="N125" s="517"/>
      <c r="O125" s="446"/>
      <c r="P125" s="446"/>
      <c r="Q125" s="446"/>
      <c r="R125" s="446"/>
      <c r="S125" s="446"/>
      <c r="T125" s="446"/>
      <c r="U125" s="447"/>
      <c r="V125" s="447"/>
    </row>
    <row r="126" spans="1:22" ht="12.75" customHeight="1" x14ac:dyDescent="0.25">
      <c r="A126" s="512"/>
      <c r="B126" s="446"/>
      <c r="C126" s="446"/>
      <c r="D126" s="513"/>
      <c r="E126" s="514"/>
      <c r="F126" s="515"/>
      <c r="G126" s="516"/>
      <c r="H126" s="517"/>
      <c r="I126" s="517"/>
      <c r="J126" s="517"/>
      <c r="K126" s="517"/>
      <c r="L126" s="517"/>
      <c r="M126" s="517"/>
      <c r="N126" s="517"/>
      <c r="O126" s="446"/>
      <c r="P126" s="446"/>
      <c r="Q126" s="446"/>
      <c r="R126" s="446"/>
      <c r="S126" s="446"/>
      <c r="T126" s="446"/>
      <c r="U126" s="447"/>
      <c r="V126" s="447"/>
    </row>
    <row r="127" spans="1:22" ht="12.75" customHeight="1" x14ac:dyDescent="0.25">
      <c r="A127" s="512"/>
      <c r="B127" s="446"/>
      <c r="C127" s="446"/>
      <c r="D127" s="513"/>
      <c r="E127" s="514"/>
      <c r="F127" s="515"/>
      <c r="G127" s="516"/>
      <c r="H127" s="517"/>
      <c r="I127" s="517"/>
      <c r="J127" s="517"/>
      <c r="K127" s="517"/>
      <c r="L127" s="517"/>
      <c r="M127" s="517"/>
      <c r="N127" s="517"/>
      <c r="O127" s="446"/>
      <c r="P127" s="446"/>
      <c r="Q127" s="446"/>
      <c r="R127" s="446"/>
      <c r="S127" s="446"/>
      <c r="T127" s="446"/>
      <c r="U127" s="447"/>
      <c r="V127" s="447"/>
    </row>
    <row r="128" spans="1:22" ht="12.75" customHeight="1" x14ac:dyDescent="0.25">
      <c r="A128" s="512"/>
      <c r="B128" s="446"/>
      <c r="C128" s="446"/>
      <c r="D128" s="513"/>
      <c r="E128" s="514"/>
      <c r="F128" s="515"/>
      <c r="G128" s="516"/>
      <c r="H128" s="517"/>
      <c r="I128" s="517"/>
      <c r="J128" s="517"/>
      <c r="K128" s="517"/>
      <c r="L128" s="517"/>
      <c r="M128" s="517"/>
      <c r="N128" s="517"/>
      <c r="O128" s="446"/>
      <c r="P128" s="446"/>
      <c r="Q128" s="446"/>
      <c r="R128" s="446"/>
      <c r="S128" s="446"/>
      <c r="T128" s="446"/>
      <c r="U128" s="447"/>
      <c r="V128" s="447"/>
    </row>
    <row r="129" spans="1:22" ht="12.75" customHeight="1" x14ac:dyDescent="0.25">
      <c r="A129" s="512"/>
      <c r="B129" s="446"/>
      <c r="C129" s="446"/>
      <c r="D129" s="513"/>
      <c r="E129" s="514"/>
      <c r="F129" s="515"/>
      <c r="G129" s="516"/>
      <c r="H129" s="517"/>
      <c r="I129" s="517"/>
      <c r="J129" s="517"/>
      <c r="K129" s="517"/>
      <c r="L129" s="517"/>
      <c r="M129" s="517"/>
      <c r="N129" s="517"/>
      <c r="O129" s="446"/>
      <c r="P129" s="446"/>
      <c r="Q129" s="446"/>
      <c r="R129" s="446"/>
      <c r="S129" s="446"/>
      <c r="T129" s="446"/>
      <c r="U129" s="447"/>
      <c r="V129" s="447"/>
    </row>
    <row r="130" spans="1:22" ht="12.75" customHeight="1" x14ac:dyDescent="0.25">
      <c r="A130" s="512"/>
      <c r="B130" s="446"/>
      <c r="C130" s="446"/>
      <c r="D130" s="513"/>
      <c r="E130" s="514"/>
      <c r="F130" s="515"/>
      <c r="G130" s="516"/>
      <c r="H130" s="517"/>
      <c r="I130" s="517"/>
      <c r="J130" s="517"/>
      <c r="K130" s="517"/>
      <c r="L130" s="517"/>
      <c r="M130" s="517"/>
      <c r="N130" s="517"/>
      <c r="O130" s="446"/>
      <c r="P130" s="446"/>
      <c r="Q130" s="446"/>
      <c r="R130" s="446"/>
      <c r="S130" s="446"/>
      <c r="T130" s="446"/>
      <c r="U130" s="447"/>
      <c r="V130" s="447"/>
    </row>
    <row r="131" spans="1:22" ht="12.75" customHeight="1" x14ac:dyDescent="0.25">
      <c r="A131" s="512"/>
      <c r="B131" s="446"/>
      <c r="C131" s="446"/>
      <c r="D131" s="513"/>
      <c r="E131" s="514"/>
      <c r="F131" s="515"/>
      <c r="G131" s="516"/>
      <c r="H131" s="517"/>
      <c r="I131" s="517"/>
      <c r="J131" s="517"/>
      <c r="K131" s="517"/>
      <c r="L131" s="517"/>
      <c r="M131" s="517"/>
      <c r="N131" s="517"/>
      <c r="O131" s="446"/>
      <c r="P131" s="446"/>
      <c r="Q131" s="446"/>
      <c r="R131" s="446"/>
      <c r="S131" s="446"/>
      <c r="T131" s="446"/>
      <c r="U131" s="447"/>
      <c r="V131" s="447"/>
    </row>
    <row r="132" spans="1:22" ht="12.75" customHeight="1" x14ac:dyDescent="0.25">
      <c r="A132" s="512"/>
      <c r="B132" s="446"/>
      <c r="C132" s="446"/>
      <c r="D132" s="513"/>
      <c r="E132" s="514"/>
      <c r="F132" s="515"/>
      <c r="G132" s="516"/>
      <c r="H132" s="517"/>
      <c r="I132" s="517"/>
      <c r="J132" s="517"/>
      <c r="K132" s="517"/>
      <c r="L132" s="517"/>
      <c r="M132" s="517"/>
      <c r="N132" s="517"/>
      <c r="O132" s="446"/>
      <c r="P132" s="446"/>
      <c r="Q132" s="446"/>
      <c r="R132" s="446"/>
      <c r="S132" s="446"/>
      <c r="T132" s="446"/>
      <c r="U132" s="447"/>
      <c r="V132" s="447"/>
    </row>
    <row r="133" spans="1:22" ht="12.75" customHeight="1" x14ac:dyDescent="0.25">
      <c r="A133" s="512"/>
      <c r="B133" s="446"/>
      <c r="C133" s="446"/>
      <c r="D133" s="513"/>
      <c r="E133" s="514"/>
      <c r="F133" s="515"/>
      <c r="G133" s="516"/>
      <c r="H133" s="517"/>
      <c r="I133" s="517"/>
      <c r="J133" s="517"/>
      <c r="K133" s="517"/>
      <c r="L133" s="517"/>
      <c r="M133" s="517"/>
      <c r="N133" s="517"/>
      <c r="O133" s="446"/>
      <c r="P133" s="446"/>
      <c r="Q133" s="446"/>
      <c r="R133" s="446"/>
      <c r="S133" s="446"/>
      <c r="T133" s="446"/>
      <c r="U133" s="447"/>
      <c r="V133" s="447"/>
    </row>
    <row r="134" spans="1:22" ht="12.75" customHeight="1" x14ac:dyDescent="0.25">
      <c r="A134" s="512"/>
      <c r="B134" s="446"/>
      <c r="C134" s="446"/>
      <c r="D134" s="513"/>
      <c r="E134" s="514"/>
      <c r="F134" s="515"/>
      <c r="G134" s="516"/>
      <c r="H134" s="517"/>
      <c r="I134" s="517"/>
      <c r="J134" s="517"/>
      <c r="K134" s="517"/>
      <c r="L134" s="517"/>
      <c r="M134" s="517"/>
      <c r="N134" s="517"/>
      <c r="O134" s="446"/>
      <c r="P134" s="446"/>
      <c r="Q134" s="446"/>
      <c r="R134" s="446"/>
      <c r="S134" s="446"/>
      <c r="T134" s="446"/>
      <c r="U134" s="447"/>
      <c r="V134" s="447"/>
    </row>
    <row r="135" spans="1:22" ht="12.75" customHeight="1" x14ac:dyDescent="0.25">
      <c r="A135" s="512"/>
      <c r="B135" s="446"/>
      <c r="C135" s="446"/>
      <c r="D135" s="513"/>
      <c r="E135" s="514"/>
      <c r="F135" s="515"/>
      <c r="G135" s="516"/>
      <c r="H135" s="517"/>
      <c r="I135" s="517"/>
      <c r="J135" s="517"/>
      <c r="K135" s="517"/>
      <c r="L135" s="517"/>
      <c r="M135" s="517"/>
      <c r="N135" s="517"/>
      <c r="O135" s="446"/>
      <c r="P135" s="446"/>
      <c r="Q135" s="446"/>
      <c r="R135" s="446"/>
      <c r="S135" s="446"/>
      <c r="T135" s="446"/>
      <c r="U135" s="447"/>
      <c r="V135" s="447"/>
    </row>
    <row r="136" spans="1:22" ht="12.75" customHeight="1" x14ac:dyDescent="0.25">
      <c r="A136" s="512"/>
      <c r="B136" s="446"/>
      <c r="C136" s="446"/>
      <c r="D136" s="513"/>
      <c r="E136" s="514"/>
      <c r="F136" s="515"/>
      <c r="G136" s="516"/>
      <c r="H136" s="517"/>
      <c r="I136" s="517"/>
      <c r="J136" s="517"/>
      <c r="K136" s="517"/>
      <c r="L136" s="517"/>
      <c r="M136" s="517"/>
      <c r="N136" s="517"/>
      <c r="O136" s="446"/>
      <c r="P136" s="446"/>
      <c r="Q136" s="446"/>
      <c r="R136" s="446"/>
      <c r="S136" s="446"/>
      <c r="T136" s="446"/>
      <c r="U136" s="447"/>
      <c r="V136" s="447"/>
    </row>
    <row r="137" spans="1:22" ht="12.75" customHeight="1" x14ac:dyDescent="0.25">
      <c r="A137" s="512"/>
      <c r="B137" s="446"/>
      <c r="C137" s="446"/>
      <c r="D137" s="513"/>
      <c r="E137" s="514"/>
      <c r="F137" s="515"/>
      <c r="G137" s="516"/>
      <c r="H137" s="517"/>
      <c r="I137" s="517"/>
      <c r="J137" s="517"/>
      <c r="K137" s="517"/>
      <c r="L137" s="517"/>
      <c r="M137" s="517"/>
      <c r="N137" s="517"/>
      <c r="O137" s="446"/>
      <c r="P137" s="446"/>
      <c r="Q137" s="446"/>
      <c r="R137" s="446"/>
      <c r="S137" s="446"/>
      <c r="T137" s="446"/>
      <c r="U137" s="447"/>
      <c r="V137" s="447"/>
    </row>
    <row r="138" spans="1:22" ht="12.75" customHeight="1" x14ac:dyDescent="0.25">
      <c r="A138" s="512"/>
      <c r="B138" s="446"/>
      <c r="C138" s="446"/>
      <c r="D138" s="513"/>
      <c r="E138" s="514"/>
      <c r="F138" s="515"/>
      <c r="G138" s="516"/>
      <c r="H138" s="517"/>
      <c r="I138" s="517"/>
      <c r="J138" s="517"/>
      <c r="K138" s="517"/>
      <c r="L138" s="517"/>
      <c r="M138" s="517"/>
      <c r="N138" s="517"/>
      <c r="O138" s="446"/>
      <c r="P138" s="446"/>
      <c r="Q138" s="446"/>
      <c r="R138" s="446"/>
      <c r="S138" s="446"/>
      <c r="T138" s="446"/>
      <c r="U138" s="447"/>
      <c r="V138" s="447"/>
    </row>
    <row r="139" spans="1:22" ht="12.75" customHeight="1" x14ac:dyDescent="0.25">
      <c r="A139" s="512"/>
      <c r="B139" s="446"/>
      <c r="C139" s="446"/>
      <c r="D139" s="513"/>
      <c r="E139" s="514"/>
      <c r="F139" s="515"/>
      <c r="G139" s="516"/>
      <c r="H139" s="517"/>
      <c r="I139" s="517"/>
      <c r="J139" s="517"/>
      <c r="K139" s="517"/>
      <c r="L139" s="517"/>
      <c r="M139" s="517"/>
      <c r="N139" s="517"/>
      <c r="O139" s="446"/>
      <c r="P139" s="446"/>
      <c r="Q139" s="446"/>
      <c r="R139" s="446"/>
      <c r="S139" s="446"/>
      <c r="T139" s="446"/>
      <c r="U139" s="447"/>
      <c r="V139" s="447"/>
    </row>
    <row r="140" spans="1:22" ht="12.75" customHeight="1" x14ac:dyDescent="0.25">
      <c r="A140" s="512"/>
      <c r="B140" s="446"/>
      <c r="C140" s="446"/>
      <c r="D140" s="513"/>
      <c r="E140" s="514"/>
      <c r="F140" s="515"/>
      <c r="G140" s="516"/>
      <c r="H140" s="517"/>
      <c r="I140" s="517"/>
      <c r="J140" s="517"/>
      <c r="K140" s="517"/>
      <c r="L140" s="517"/>
      <c r="M140" s="517"/>
      <c r="N140" s="517"/>
      <c r="O140" s="446"/>
      <c r="P140" s="446"/>
      <c r="Q140" s="446"/>
      <c r="R140" s="446"/>
      <c r="S140" s="446"/>
      <c r="T140" s="446"/>
      <c r="U140" s="447"/>
      <c r="V140" s="447"/>
    </row>
    <row r="141" spans="1:22" ht="12.75" customHeight="1" x14ac:dyDescent="0.25">
      <c r="A141" s="512"/>
      <c r="B141" s="446"/>
      <c r="C141" s="446"/>
      <c r="D141" s="513"/>
      <c r="E141" s="514"/>
      <c r="F141" s="515"/>
      <c r="G141" s="516"/>
      <c r="H141" s="517"/>
      <c r="I141" s="517"/>
      <c r="J141" s="517"/>
      <c r="K141" s="517"/>
      <c r="L141" s="517"/>
      <c r="M141" s="517"/>
      <c r="N141" s="517"/>
      <c r="O141" s="446"/>
      <c r="P141" s="446"/>
      <c r="Q141" s="446"/>
      <c r="R141" s="446"/>
      <c r="S141" s="446"/>
      <c r="T141" s="446"/>
      <c r="U141" s="447"/>
      <c r="V141" s="447"/>
    </row>
    <row r="142" spans="1:22" ht="12.75" customHeight="1" x14ac:dyDescent="0.25">
      <c r="A142" s="512"/>
      <c r="B142" s="446"/>
      <c r="C142" s="446"/>
      <c r="D142" s="513"/>
      <c r="E142" s="514"/>
      <c r="F142" s="515"/>
      <c r="G142" s="516"/>
      <c r="H142" s="517"/>
      <c r="I142" s="517"/>
      <c r="J142" s="517"/>
      <c r="K142" s="517"/>
      <c r="L142" s="517"/>
      <c r="M142" s="517"/>
      <c r="N142" s="517"/>
      <c r="O142" s="446"/>
      <c r="P142" s="446"/>
      <c r="Q142" s="446"/>
      <c r="R142" s="446"/>
      <c r="S142" s="446"/>
      <c r="T142" s="446"/>
      <c r="U142" s="447"/>
      <c r="V142" s="447"/>
    </row>
    <row r="143" spans="1:22" ht="12.75" customHeight="1" x14ac:dyDescent="0.25">
      <c r="A143" s="512"/>
      <c r="B143" s="446"/>
      <c r="C143" s="446"/>
      <c r="D143" s="513"/>
      <c r="E143" s="514"/>
      <c r="F143" s="515"/>
      <c r="G143" s="516"/>
      <c r="H143" s="517"/>
      <c r="I143" s="517"/>
      <c r="J143" s="517"/>
      <c r="K143" s="517"/>
      <c r="L143" s="517"/>
      <c r="M143" s="517"/>
      <c r="N143" s="517"/>
      <c r="O143" s="446"/>
      <c r="P143" s="446"/>
      <c r="Q143" s="446"/>
      <c r="R143" s="446"/>
      <c r="S143" s="446"/>
      <c r="T143" s="446"/>
      <c r="U143" s="447"/>
      <c r="V143" s="447"/>
    </row>
    <row r="144" spans="1:22" ht="12.75" customHeight="1" x14ac:dyDescent="0.25">
      <c r="A144" s="512"/>
      <c r="B144" s="446"/>
      <c r="C144" s="446"/>
      <c r="D144" s="513"/>
      <c r="E144" s="514"/>
      <c r="F144" s="515"/>
      <c r="G144" s="516"/>
      <c r="H144" s="517"/>
      <c r="I144" s="517"/>
      <c r="J144" s="517"/>
      <c r="K144" s="517"/>
      <c r="L144" s="517"/>
      <c r="M144" s="517"/>
      <c r="N144" s="517"/>
      <c r="O144" s="446"/>
      <c r="P144" s="446"/>
      <c r="Q144" s="446"/>
      <c r="R144" s="446"/>
      <c r="S144" s="446"/>
      <c r="T144" s="446"/>
      <c r="U144" s="447"/>
      <c r="V144" s="447"/>
    </row>
    <row r="145" spans="1:22" ht="12.75" customHeight="1" x14ac:dyDescent="0.25">
      <c r="A145" s="512"/>
      <c r="B145" s="446"/>
      <c r="C145" s="446"/>
      <c r="D145" s="513"/>
      <c r="E145" s="514"/>
      <c r="F145" s="515"/>
      <c r="G145" s="516"/>
      <c r="H145" s="517"/>
      <c r="I145" s="517"/>
      <c r="J145" s="517"/>
      <c r="K145" s="517"/>
      <c r="L145" s="517"/>
      <c r="M145" s="517"/>
      <c r="N145" s="517"/>
      <c r="O145" s="446"/>
      <c r="P145" s="446"/>
      <c r="Q145" s="446"/>
      <c r="R145" s="446"/>
      <c r="S145" s="446"/>
      <c r="T145" s="446"/>
      <c r="U145" s="447"/>
      <c r="V145" s="447"/>
    </row>
    <row r="146" spans="1:22" ht="12.75" customHeight="1" x14ac:dyDescent="0.25">
      <c r="A146" s="512"/>
      <c r="B146" s="446"/>
      <c r="C146" s="446"/>
      <c r="D146" s="513"/>
      <c r="E146" s="514"/>
      <c r="F146" s="515"/>
      <c r="G146" s="516"/>
      <c r="H146" s="517"/>
      <c r="I146" s="517"/>
      <c r="J146" s="517"/>
      <c r="K146" s="517"/>
      <c r="L146" s="517"/>
      <c r="M146" s="517"/>
      <c r="N146" s="517"/>
      <c r="O146" s="446"/>
      <c r="P146" s="446"/>
      <c r="Q146" s="446"/>
      <c r="R146" s="446"/>
      <c r="S146" s="446"/>
      <c r="T146" s="446"/>
      <c r="U146" s="447"/>
      <c r="V146" s="447"/>
    </row>
    <row r="147" spans="1:22" ht="12.75" customHeight="1" x14ac:dyDescent="0.25">
      <c r="A147" s="512"/>
      <c r="B147" s="446"/>
      <c r="C147" s="446"/>
      <c r="D147" s="513"/>
      <c r="E147" s="514"/>
      <c r="F147" s="515"/>
      <c r="G147" s="516"/>
      <c r="H147" s="517"/>
      <c r="I147" s="517"/>
      <c r="J147" s="517"/>
      <c r="K147" s="517"/>
      <c r="L147" s="517"/>
      <c r="M147" s="517"/>
      <c r="N147" s="517"/>
      <c r="O147" s="446"/>
      <c r="P147" s="446"/>
      <c r="Q147" s="446"/>
      <c r="R147" s="446"/>
      <c r="S147" s="446"/>
      <c r="T147" s="446"/>
      <c r="U147" s="447"/>
      <c r="V147" s="447"/>
    </row>
    <row r="148" spans="1:22" ht="12.75" customHeight="1" x14ac:dyDescent="0.25">
      <c r="A148" s="512"/>
      <c r="B148" s="446"/>
      <c r="C148" s="446"/>
      <c r="D148" s="513"/>
      <c r="E148" s="514"/>
      <c r="F148" s="515"/>
      <c r="G148" s="516"/>
      <c r="H148" s="517"/>
      <c r="I148" s="517"/>
      <c r="J148" s="517"/>
      <c r="K148" s="517"/>
      <c r="L148" s="517"/>
      <c r="M148" s="517"/>
      <c r="N148" s="517"/>
      <c r="O148" s="446"/>
      <c r="P148" s="446"/>
      <c r="Q148" s="446"/>
      <c r="R148" s="446"/>
      <c r="S148" s="446"/>
      <c r="T148" s="446"/>
      <c r="U148" s="447"/>
      <c r="V148" s="447"/>
    </row>
    <row r="149" spans="1:22" ht="12.75" customHeight="1" x14ac:dyDescent="0.25">
      <c r="A149" s="512"/>
      <c r="B149" s="446"/>
      <c r="C149" s="446"/>
      <c r="D149" s="513"/>
      <c r="E149" s="514"/>
      <c r="F149" s="515"/>
      <c r="G149" s="516"/>
      <c r="H149" s="517"/>
      <c r="I149" s="517"/>
      <c r="J149" s="517"/>
      <c r="K149" s="517"/>
      <c r="L149" s="517"/>
      <c r="M149" s="517"/>
      <c r="N149" s="517"/>
      <c r="O149" s="446"/>
      <c r="P149" s="446"/>
      <c r="Q149" s="446"/>
      <c r="R149" s="446"/>
      <c r="S149" s="446"/>
      <c r="T149" s="446"/>
      <c r="U149" s="447"/>
      <c r="V149" s="447"/>
    </row>
    <row r="150" spans="1:22" ht="12.75" customHeight="1" x14ac:dyDescent="0.25">
      <c r="A150" s="512"/>
      <c r="B150" s="446"/>
      <c r="C150" s="446"/>
      <c r="D150" s="513"/>
      <c r="E150" s="514"/>
      <c r="F150" s="515"/>
      <c r="G150" s="516"/>
      <c r="H150" s="517"/>
      <c r="I150" s="517"/>
      <c r="J150" s="517"/>
      <c r="K150" s="517"/>
      <c r="L150" s="517"/>
      <c r="M150" s="517"/>
      <c r="N150" s="517"/>
      <c r="O150" s="446"/>
      <c r="P150" s="446"/>
      <c r="Q150" s="446"/>
      <c r="R150" s="446"/>
      <c r="S150" s="446"/>
      <c r="T150" s="446"/>
      <c r="U150" s="447"/>
      <c r="V150" s="447"/>
    </row>
    <row r="151" spans="1:22" ht="12.75" customHeight="1" x14ac:dyDescent="0.25">
      <c r="A151" s="512"/>
      <c r="B151" s="446"/>
      <c r="C151" s="446"/>
      <c r="D151" s="513"/>
      <c r="E151" s="514"/>
      <c r="F151" s="515"/>
      <c r="G151" s="516"/>
      <c r="H151" s="517"/>
      <c r="I151" s="517"/>
      <c r="J151" s="517"/>
      <c r="K151" s="517"/>
      <c r="L151" s="517"/>
      <c r="M151" s="517"/>
      <c r="N151" s="517"/>
      <c r="O151" s="446"/>
      <c r="P151" s="446"/>
      <c r="Q151" s="446"/>
      <c r="R151" s="446"/>
      <c r="S151" s="446"/>
      <c r="T151" s="446"/>
      <c r="U151" s="447"/>
      <c r="V151" s="447"/>
    </row>
    <row r="152" spans="1:22" ht="12.75" customHeight="1" x14ac:dyDescent="0.25">
      <c r="A152" s="512"/>
      <c r="B152" s="446"/>
      <c r="C152" s="446"/>
      <c r="D152" s="513"/>
      <c r="E152" s="514"/>
      <c r="F152" s="515"/>
      <c r="G152" s="516"/>
      <c r="H152" s="517"/>
      <c r="I152" s="517"/>
      <c r="J152" s="517"/>
      <c r="K152" s="517"/>
      <c r="L152" s="517"/>
      <c r="M152" s="517"/>
      <c r="N152" s="517"/>
      <c r="O152" s="446"/>
      <c r="P152" s="446"/>
      <c r="Q152" s="446"/>
      <c r="R152" s="446"/>
      <c r="S152" s="446"/>
      <c r="T152" s="446"/>
      <c r="U152" s="447"/>
      <c r="V152" s="447"/>
    </row>
    <row r="153" spans="1:22" ht="12.75" customHeight="1" x14ac:dyDescent="0.25">
      <c r="A153" s="512"/>
      <c r="B153" s="446"/>
      <c r="C153" s="446"/>
      <c r="D153" s="513"/>
      <c r="E153" s="514"/>
      <c r="F153" s="515"/>
      <c r="G153" s="516"/>
      <c r="H153" s="517"/>
      <c r="I153" s="517"/>
      <c r="J153" s="517"/>
      <c r="K153" s="517"/>
      <c r="L153" s="517"/>
      <c r="M153" s="517"/>
      <c r="N153" s="517"/>
      <c r="O153" s="446"/>
      <c r="P153" s="446"/>
      <c r="Q153" s="446"/>
      <c r="R153" s="446"/>
      <c r="S153" s="446"/>
      <c r="T153" s="446"/>
      <c r="U153" s="447"/>
      <c r="V153" s="447"/>
    </row>
    <row r="154" spans="1:22" ht="12.75" customHeight="1" x14ac:dyDescent="0.25">
      <c r="A154" s="512"/>
      <c r="B154" s="446"/>
      <c r="C154" s="446"/>
      <c r="D154" s="513"/>
      <c r="E154" s="514"/>
      <c r="F154" s="515"/>
      <c r="G154" s="516"/>
      <c r="H154" s="517"/>
      <c r="I154" s="517"/>
      <c r="J154" s="517"/>
      <c r="K154" s="517"/>
      <c r="L154" s="517"/>
      <c r="M154" s="517"/>
      <c r="N154" s="517"/>
      <c r="O154" s="446"/>
      <c r="P154" s="446"/>
      <c r="Q154" s="446"/>
      <c r="R154" s="446"/>
      <c r="S154" s="446"/>
      <c r="T154" s="446"/>
      <c r="U154" s="447"/>
      <c r="V154" s="447"/>
    </row>
    <row r="155" spans="1:22" ht="12.75" customHeight="1" x14ac:dyDescent="0.25">
      <c r="A155" s="512"/>
      <c r="B155" s="446"/>
      <c r="C155" s="446"/>
      <c r="D155" s="513"/>
      <c r="E155" s="514"/>
      <c r="F155" s="515"/>
      <c r="G155" s="516"/>
      <c r="H155" s="517"/>
      <c r="I155" s="517"/>
      <c r="J155" s="517"/>
      <c r="K155" s="517"/>
      <c r="L155" s="517"/>
      <c r="M155" s="517"/>
      <c r="N155" s="517"/>
      <c r="O155" s="446"/>
      <c r="P155" s="446"/>
      <c r="Q155" s="446"/>
      <c r="R155" s="446"/>
      <c r="S155" s="446"/>
      <c r="T155" s="446"/>
      <c r="U155" s="447"/>
      <c r="V155" s="447"/>
    </row>
    <row r="156" spans="1:22" ht="12.75" customHeight="1" x14ac:dyDescent="0.25">
      <c r="A156" s="512"/>
      <c r="B156" s="446"/>
      <c r="C156" s="446"/>
      <c r="D156" s="513"/>
      <c r="E156" s="514"/>
      <c r="F156" s="515"/>
      <c r="G156" s="516"/>
      <c r="H156" s="517"/>
      <c r="I156" s="517"/>
      <c r="J156" s="517"/>
      <c r="K156" s="517"/>
      <c r="L156" s="517"/>
      <c r="M156" s="517"/>
      <c r="N156" s="517"/>
      <c r="O156" s="446"/>
      <c r="P156" s="446"/>
      <c r="Q156" s="446"/>
      <c r="R156" s="446"/>
      <c r="S156" s="446"/>
      <c r="T156" s="446"/>
      <c r="U156" s="447"/>
      <c r="V156" s="447"/>
    </row>
    <row r="157" spans="1:22" ht="12.75" customHeight="1" x14ac:dyDescent="0.25">
      <c r="A157" s="512"/>
      <c r="B157" s="446"/>
      <c r="C157" s="446"/>
      <c r="D157" s="513"/>
      <c r="E157" s="514"/>
      <c r="F157" s="515"/>
      <c r="G157" s="516"/>
      <c r="H157" s="517"/>
      <c r="I157" s="517"/>
      <c r="J157" s="517"/>
      <c r="K157" s="517"/>
      <c r="L157" s="517"/>
      <c r="M157" s="517"/>
      <c r="N157" s="517"/>
      <c r="O157" s="446"/>
      <c r="P157" s="446"/>
      <c r="Q157" s="446"/>
      <c r="R157" s="446"/>
      <c r="S157" s="446"/>
      <c r="T157" s="446"/>
      <c r="U157" s="447"/>
      <c r="V157" s="447"/>
    </row>
    <row r="158" spans="1:22" ht="12.75" customHeight="1" x14ac:dyDescent="0.25">
      <c r="A158" s="512"/>
      <c r="B158" s="446"/>
      <c r="C158" s="446"/>
      <c r="D158" s="513"/>
      <c r="E158" s="514"/>
      <c r="F158" s="515"/>
      <c r="G158" s="516"/>
      <c r="H158" s="517"/>
      <c r="I158" s="517"/>
      <c r="J158" s="517"/>
      <c r="K158" s="517"/>
      <c r="L158" s="517"/>
      <c r="M158" s="517"/>
      <c r="N158" s="517"/>
      <c r="O158" s="446"/>
      <c r="P158" s="446"/>
      <c r="Q158" s="446"/>
      <c r="R158" s="446"/>
      <c r="S158" s="446"/>
      <c r="T158" s="446"/>
      <c r="U158" s="447"/>
      <c r="V158" s="447"/>
    </row>
    <row r="159" spans="1:22" ht="12.75" customHeight="1" x14ac:dyDescent="0.25">
      <c r="A159" s="512"/>
      <c r="B159" s="446"/>
      <c r="C159" s="446"/>
      <c r="D159" s="513"/>
      <c r="E159" s="514"/>
      <c r="F159" s="515"/>
      <c r="G159" s="516"/>
      <c r="H159" s="517"/>
      <c r="I159" s="517"/>
      <c r="J159" s="517"/>
      <c r="K159" s="517"/>
      <c r="L159" s="517"/>
      <c r="M159" s="517"/>
      <c r="N159" s="517"/>
      <c r="O159" s="446"/>
      <c r="P159" s="446"/>
      <c r="Q159" s="446"/>
      <c r="R159" s="446"/>
      <c r="S159" s="446"/>
      <c r="T159" s="446"/>
      <c r="U159" s="447"/>
      <c r="V159" s="447"/>
    </row>
    <row r="160" spans="1:22" ht="12.75" customHeight="1" x14ac:dyDescent="0.25">
      <c r="A160" s="512"/>
      <c r="B160" s="446"/>
      <c r="C160" s="446"/>
      <c r="D160" s="513"/>
      <c r="E160" s="514"/>
      <c r="F160" s="515"/>
      <c r="G160" s="516"/>
      <c r="H160" s="517"/>
      <c r="I160" s="517"/>
      <c r="J160" s="517"/>
      <c r="K160" s="517"/>
      <c r="L160" s="517"/>
      <c r="M160" s="517"/>
      <c r="N160" s="517"/>
      <c r="O160" s="446"/>
      <c r="P160" s="446"/>
      <c r="Q160" s="446"/>
      <c r="R160" s="446"/>
      <c r="S160" s="446"/>
      <c r="T160" s="446"/>
      <c r="U160" s="447"/>
      <c r="V160" s="447"/>
    </row>
    <row r="161" spans="1:22" ht="12.75" customHeight="1" x14ac:dyDescent="0.25">
      <c r="A161" s="512"/>
      <c r="B161" s="446"/>
      <c r="C161" s="446"/>
      <c r="D161" s="513"/>
      <c r="E161" s="514"/>
      <c r="F161" s="515"/>
      <c r="G161" s="516"/>
      <c r="H161" s="517"/>
      <c r="I161" s="517"/>
      <c r="J161" s="517"/>
      <c r="K161" s="517"/>
      <c r="L161" s="517"/>
      <c r="M161" s="517"/>
      <c r="N161" s="517"/>
      <c r="O161" s="446"/>
      <c r="P161" s="446"/>
      <c r="Q161" s="446"/>
      <c r="R161" s="446"/>
      <c r="S161" s="446"/>
      <c r="T161" s="446"/>
      <c r="U161" s="447"/>
      <c r="V161" s="447"/>
    </row>
    <row r="162" spans="1:22" ht="12.75" customHeight="1" x14ac:dyDescent="0.25">
      <c r="A162" s="512"/>
      <c r="B162" s="446"/>
      <c r="C162" s="446"/>
      <c r="D162" s="513"/>
      <c r="E162" s="514"/>
      <c r="F162" s="515"/>
      <c r="G162" s="516"/>
      <c r="H162" s="517"/>
      <c r="I162" s="517"/>
      <c r="J162" s="517"/>
      <c r="K162" s="517"/>
      <c r="L162" s="517"/>
      <c r="M162" s="517"/>
      <c r="N162" s="517"/>
      <c r="O162" s="446"/>
      <c r="P162" s="446"/>
      <c r="Q162" s="446"/>
      <c r="R162" s="446"/>
      <c r="S162" s="446"/>
      <c r="T162" s="446"/>
      <c r="U162" s="447"/>
      <c r="V162" s="447"/>
    </row>
    <row r="163" spans="1:22" ht="12.75" customHeight="1" x14ac:dyDescent="0.25">
      <c r="A163" s="512"/>
      <c r="B163" s="446"/>
      <c r="C163" s="446"/>
      <c r="D163" s="513"/>
      <c r="E163" s="514"/>
      <c r="F163" s="515"/>
      <c r="G163" s="516"/>
      <c r="H163" s="517"/>
      <c r="I163" s="517"/>
      <c r="J163" s="517"/>
      <c r="K163" s="517"/>
      <c r="L163" s="517"/>
      <c r="M163" s="517"/>
      <c r="N163" s="517"/>
      <c r="O163" s="446"/>
      <c r="P163" s="446"/>
      <c r="Q163" s="446"/>
      <c r="R163" s="446"/>
      <c r="S163" s="446"/>
      <c r="T163" s="446"/>
      <c r="U163" s="447"/>
      <c r="V163" s="447"/>
    </row>
    <row r="164" spans="1:22" ht="12.75" customHeight="1" x14ac:dyDescent="0.25">
      <c r="A164" s="512"/>
      <c r="B164" s="446"/>
      <c r="C164" s="446"/>
      <c r="D164" s="513"/>
      <c r="E164" s="514"/>
      <c r="F164" s="515"/>
      <c r="G164" s="516"/>
      <c r="H164" s="517"/>
      <c r="I164" s="517"/>
      <c r="J164" s="517"/>
      <c r="K164" s="517"/>
      <c r="L164" s="517"/>
      <c r="M164" s="517"/>
      <c r="N164" s="517"/>
      <c r="O164" s="446"/>
      <c r="P164" s="446"/>
      <c r="Q164" s="446"/>
      <c r="R164" s="446"/>
      <c r="S164" s="446"/>
      <c r="T164" s="446"/>
      <c r="U164" s="447"/>
      <c r="V164" s="447"/>
    </row>
    <row r="165" spans="1:22" ht="12.75" customHeight="1" x14ac:dyDescent="0.25">
      <c r="A165" s="512"/>
      <c r="B165" s="446"/>
      <c r="C165" s="446"/>
      <c r="D165" s="513"/>
      <c r="E165" s="514"/>
      <c r="F165" s="515"/>
      <c r="G165" s="516"/>
      <c r="H165" s="517"/>
      <c r="I165" s="517"/>
      <c r="J165" s="517"/>
      <c r="K165" s="517"/>
      <c r="L165" s="517"/>
      <c r="M165" s="517"/>
      <c r="N165" s="517"/>
      <c r="O165" s="446"/>
      <c r="P165" s="446"/>
      <c r="Q165" s="446"/>
      <c r="R165" s="446"/>
      <c r="S165" s="446"/>
      <c r="T165" s="446"/>
      <c r="U165" s="447"/>
      <c r="V165" s="447"/>
    </row>
    <row r="166" spans="1:22" ht="12.75" customHeight="1" x14ac:dyDescent="0.25">
      <c r="A166" s="512"/>
      <c r="B166" s="446"/>
      <c r="C166" s="446"/>
      <c r="D166" s="513"/>
      <c r="E166" s="514"/>
      <c r="F166" s="515"/>
      <c r="G166" s="516"/>
      <c r="H166" s="517"/>
      <c r="I166" s="517"/>
      <c r="J166" s="517"/>
      <c r="K166" s="517"/>
      <c r="L166" s="517"/>
      <c r="M166" s="517"/>
      <c r="N166" s="517"/>
      <c r="O166" s="446"/>
      <c r="P166" s="446"/>
      <c r="Q166" s="446"/>
      <c r="R166" s="446"/>
      <c r="S166" s="446"/>
      <c r="T166" s="446"/>
      <c r="U166" s="447"/>
      <c r="V166" s="447"/>
    </row>
    <row r="167" spans="1:22" ht="12.75" customHeight="1" x14ac:dyDescent="0.25">
      <c r="A167" s="512"/>
      <c r="B167" s="446"/>
      <c r="C167" s="446"/>
      <c r="D167" s="513"/>
      <c r="E167" s="514"/>
      <c r="F167" s="515"/>
      <c r="G167" s="516"/>
      <c r="H167" s="517"/>
      <c r="I167" s="517"/>
      <c r="J167" s="517"/>
      <c r="K167" s="517"/>
      <c r="L167" s="517"/>
      <c r="M167" s="517"/>
      <c r="N167" s="517"/>
      <c r="O167" s="446"/>
      <c r="P167" s="446"/>
      <c r="Q167" s="446"/>
      <c r="R167" s="446"/>
      <c r="S167" s="446"/>
      <c r="T167" s="446"/>
      <c r="U167" s="447"/>
      <c r="V167" s="447"/>
    </row>
    <row r="168" spans="1:22" ht="12.75" customHeight="1" x14ac:dyDescent="0.25">
      <c r="A168" s="512"/>
      <c r="B168" s="446"/>
      <c r="C168" s="446"/>
      <c r="D168" s="513"/>
      <c r="E168" s="514"/>
      <c r="F168" s="515"/>
      <c r="G168" s="516"/>
      <c r="H168" s="517"/>
      <c r="I168" s="517"/>
      <c r="J168" s="517"/>
      <c r="K168" s="517"/>
      <c r="L168" s="517"/>
      <c r="M168" s="517"/>
      <c r="N168" s="517"/>
      <c r="O168" s="446"/>
      <c r="P168" s="446"/>
      <c r="Q168" s="446"/>
      <c r="R168" s="446"/>
      <c r="S168" s="446"/>
      <c r="T168" s="446"/>
      <c r="U168" s="447"/>
      <c r="V168" s="447"/>
    </row>
    <row r="169" spans="1:22" ht="12.75" customHeight="1" x14ac:dyDescent="0.25">
      <c r="A169" s="512"/>
      <c r="B169" s="446"/>
      <c r="C169" s="446"/>
      <c r="D169" s="513"/>
      <c r="E169" s="514"/>
      <c r="F169" s="515"/>
      <c r="G169" s="516"/>
      <c r="H169" s="517"/>
      <c r="I169" s="517"/>
      <c r="J169" s="517"/>
      <c r="K169" s="517"/>
      <c r="L169" s="517"/>
      <c r="M169" s="517"/>
      <c r="N169" s="517"/>
      <c r="O169" s="446"/>
      <c r="P169" s="446"/>
      <c r="Q169" s="446"/>
      <c r="R169" s="446"/>
      <c r="S169" s="446"/>
      <c r="T169" s="446"/>
      <c r="U169" s="447"/>
      <c r="V169" s="447"/>
    </row>
    <row r="170" spans="1:22" ht="12.75" customHeight="1" x14ac:dyDescent="0.25">
      <c r="A170" s="512"/>
      <c r="B170" s="446"/>
      <c r="C170" s="446"/>
      <c r="D170" s="513"/>
      <c r="E170" s="514"/>
      <c r="F170" s="515"/>
      <c r="G170" s="516"/>
      <c r="H170" s="517"/>
      <c r="I170" s="517"/>
      <c r="J170" s="517"/>
      <c r="K170" s="517"/>
      <c r="L170" s="517"/>
      <c r="M170" s="517"/>
      <c r="N170" s="517"/>
      <c r="O170" s="446"/>
      <c r="P170" s="446"/>
      <c r="Q170" s="446"/>
      <c r="R170" s="446"/>
      <c r="S170" s="446"/>
      <c r="T170" s="446"/>
      <c r="U170" s="447"/>
      <c r="V170" s="447"/>
    </row>
    <row r="171" spans="1:22" ht="12.75" customHeight="1" x14ac:dyDescent="0.25">
      <c r="A171" s="512"/>
      <c r="B171" s="446"/>
      <c r="C171" s="446"/>
      <c r="D171" s="513"/>
      <c r="E171" s="514"/>
      <c r="F171" s="515"/>
      <c r="G171" s="516"/>
      <c r="H171" s="517"/>
      <c r="I171" s="517"/>
      <c r="J171" s="517"/>
      <c r="K171" s="517"/>
      <c r="L171" s="517"/>
      <c r="M171" s="517"/>
      <c r="N171" s="517"/>
      <c r="O171" s="446"/>
      <c r="P171" s="446"/>
      <c r="Q171" s="446"/>
      <c r="R171" s="446"/>
      <c r="S171" s="446"/>
      <c r="T171" s="446"/>
      <c r="U171" s="447"/>
      <c r="V171" s="447"/>
    </row>
    <row r="172" spans="1:22" ht="12.75" customHeight="1" x14ac:dyDescent="0.25">
      <c r="A172" s="512"/>
      <c r="B172" s="446"/>
      <c r="C172" s="446"/>
      <c r="D172" s="513"/>
      <c r="E172" s="514"/>
      <c r="F172" s="515"/>
      <c r="G172" s="516"/>
      <c r="H172" s="517"/>
      <c r="I172" s="517"/>
      <c r="J172" s="517"/>
      <c r="K172" s="517"/>
      <c r="L172" s="517"/>
      <c r="M172" s="517"/>
      <c r="N172" s="517"/>
      <c r="O172" s="446"/>
      <c r="P172" s="446"/>
      <c r="Q172" s="446"/>
      <c r="R172" s="446"/>
      <c r="S172" s="446"/>
      <c r="T172" s="446"/>
      <c r="U172" s="447"/>
      <c r="V172" s="447"/>
    </row>
    <row r="173" spans="1:22" ht="12.75" customHeight="1" x14ac:dyDescent="0.25">
      <c r="A173" s="512"/>
      <c r="B173" s="446"/>
      <c r="C173" s="446"/>
      <c r="D173" s="513"/>
      <c r="E173" s="514"/>
      <c r="F173" s="515"/>
      <c r="G173" s="516"/>
      <c r="H173" s="517"/>
      <c r="I173" s="517"/>
      <c r="J173" s="517"/>
      <c r="K173" s="517"/>
      <c r="L173" s="517"/>
      <c r="M173" s="517"/>
      <c r="N173" s="517"/>
      <c r="O173" s="446"/>
      <c r="P173" s="446"/>
      <c r="Q173" s="446"/>
      <c r="R173" s="446"/>
      <c r="S173" s="446"/>
      <c r="T173" s="446"/>
      <c r="U173" s="447"/>
      <c r="V173" s="447"/>
    </row>
    <row r="174" spans="1:22" ht="12.75" customHeight="1" x14ac:dyDescent="0.25">
      <c r="A174" s="512"/>
      <c r="B174" s="446"/>
      <c r="C174" s="446"/>
      <c r="D174" s="513"/>
      <c r="E174" s="514"/>
      <c r="F174" s="515"/>
      <c r="G174" s="516"/>
      <c r="H174" s="517"/>
      <c r="I174" s="517"/>
      <c r="J174" s="517"/>
      <c r="K174" s="517"/>
      <c r="L174" s="517"/>
      <c r="M174" s="517"/>
      <c r="N174" s="517"/>
      <c r="O174" s="446"/>
      <c r="P174" s="446"/>
      <c r="Q174" s="446"/>
      <c r="R174" s="446"/>
      <c r="S174" s="446"/>
      <c r="T174" s="446"/>
      <c r="U174" s="447"/>
      <c r="V174" s="447"/>
    </row>
    <row r="175" spans="1:22" ht="12.75" customHeight="1" x14ac:dyDescent="0.25">
      <c r="A175" s="512"/>
      <c r="B175" s="446"/>
      <c r="C175" s="446"/>
      <c r="D175" s="513"/>
      <c r="E175" s="514"/>
      <c r="F175" s="515"/>
      <c r="G175" s="516"/>
      <c r="H175" s="517"/>
      <c r="I175" s="517"/>
      <c r="J175" s="517"/>
      <c r="K175" s="517"/>
      <c r="L175" s="517"/>
      <c r="M175" s="517"/>
      <c r="N175" s="517"/>
      <c r="O175" s="446"/>
      <c r="P175" s="446"/>
      <c r="Q175" s="446"/>
      <c r="R175" s="446"/>
      <c r="S175" s="446"/>
      <c r="T175" s="446"/>
      <c r="U175" s="447"/>
      <c r="V175" s="447"/>
    </row>
    <row r="176" spans="1:22" ht="12.75" customHeight="1" x14ac:dyDescent="0.25">
      <c r="A176" s="512"/>
      <c r="B176" s="446"/>
      <c r="C176" s="446"/>
      <c r="D176" s="513"/>
      <c r="E176" s="514"/>
      <c r="F176" s="515"/>
      <c r="G176" s="516"/>
      <c r="H176" s="517"/>
      <c r="I176" s="517"/>
      <c r="J176" s="517"/>
      <c r="K176" s="517"/>
      <c r="L176" s="517"/>
      <c r="M176" s="517"/>
      <c r="N176" s="517"/>
      <c r="O176" s="446"/>
      <c r="P176" s="446"/>
      <c r="Q176" s="446"/>
      <c r="R176" s="446"/>
      <c r="S176" s="446"/>
      <c r="T176" s="446"/>
      <c r="U176" s="447"/>
      <c r="V176" s="447"/>
    </row>
    <row r="177" spans="1:22" ht="12.75" customHeight="1" x14ac:dyDescent="0.25">
      <c r="A177" s="512"/>
      <c r="B177" s="446"/>
      <c r="C177" s="446"/>
      <c r="D177" s="513"/>
      <c r="E177" s="514"/>
      <c r="F177" s="515"/>
      <c r="G177" s="516"/>
      <c r="H177" s="517"/>
      <c r="I177" s="517"/>
      <c r="J177" s="517"/>
      <c r="K177" s="517"/>
      <c r="L177" s="517"/>
      <c r="M177" s="517"/>
      <c r="N177" s="517"/>
      <c r="O177" s="446"/>
      <c r="P177" s="446"/>
      <c r="Q177" s="446"/>
      <c r="R177" s="446"/>
      <c r="S177" s="446"/>
      <c r="T177" s="446"/>
      <c r="U177" s="447"/>
      <c r="V177" s="447"/>
    </row>
    <row r="178" spans="1:22" ht="12.75" customHeight="1" x14ac:dyDescent="0.25">
      <c r="A178" s="512"/>
      <c r="B178" s="446"/>
      <c r="C178" s="446"/>
      <c r="D178" s="513"/>
      <c r="E178" s="514"/>
      <c r="F178" s="515"/>
      <c r="G178" s="516"/>
      <c r="H178" s="517"/>
      <c r="I178" s="517"/>
      <c r="J178" s="517"/>
      <c r="K178" s="517"/>
      <c r="L178" s="517"/>
      <c r="M178" s="517"/>
      <c r="N178" s="517"/>
      <c r="O178" s="446"/>
      <c r="P178" s="446"/>
      <c r="Q178" s="446"/>
      <c r="R178" s="446"/>
      <c r="S178" s="446"/>
      <c r="T178" s="446"/>
      <c r="U178" s="447"/>
      <c r="V178" s="447"/>
    </row>
    <row r="179" spans="1:22" ht="12.75" customHeight="1" x14ac:dyDescent="0.25">
      <c r="A179" s="512"/>
      <c r="B179" s="446"/>
      <c r="C179" s="446"/>
      <c r="D179" s="513"/>
      <c r="E179" s="514"/>
      <c r="F179" s="515"/>
      <c r="G179" s="516"/>
      <c r="H179" s="517"/>
      <c r="I179" s="517"/>
      <c r="J179" s="517"/>
      <c r="K179" s="517"/>
      <c r="L179" s="517"/>
      <c r="M179" s="517"/>
      <c r="N179" s="517"/>
      <c r="O179" s="446"/>
      <c r="P179" s="446"/>
      <c r="Q179" s="446"/>
      <c r="R179" s="446"/>
      <c r="S179" s="446"/>
      <c r="T179" s="446"/>
      <c r="U179" s="447"/>
      <c r="V179" s="447"/>
    </row>
    <row r="180" spans="1:22" ht="12.75" customHeight="1" x14ac:dyDescent="0.25">
      <c r="A180" s="512"/>
      <c r="B180" s="446"/>
      <c r="C180" s="446"/>
      <c r="D180" s="513"/>
      <c r="E180" s="514"/>
      <c r="F180" s="515"/>
      <c r="G180" s="516"/>
      <c r="H180" s="517"/>
      <c r="I180" s="517"/>
      <c r="J180" s="517"/>
      <c r="K180" s="517"/>
      <c r="L180" s="517"/>
      <c r="M180" s="517"/>
      <c r="N180" s="517"/>
      <c r="O180" s="446"/>
      <c r="P180" s="446"/>
      <c r="Q180" s="446"/>
      <c r="R180" s="446"/>
      <c r="S180" s="446"/>
      <c r="T180" s="446"/>
      <c r="U180" s="447"/>
      <c r="V180" s="447"/>
    </row>
    <row r="181" spans="1:22" ht="12.75" customHeight="1" x14ac:dyDescent="0.25">
      <c r="A181" s="512"/>
      <c r="B181" s="446"/>
      <c r="C181" s="446"/>
      <c r="D181" s="513"/>
      <c r="E181" s="514"/>
      <c r="F181" s="515"/>
      <c r="G181" s="516"/>
      <c r="H181" s="517"/>
      <c r="I181" s="517"/>
      <c r="J181" s="517"/>
      <c r="K181" s="517"/>
      <c r="L181" s="517"/>
      <c r="M181" s="517"/>
      <c r="N181" s="517"/>
      <c r="O181" s="446"/>
      <c r="P181" s="446"/>
      <c r="Q181" s="446"/>
      <c r="R181" s="446"/>
      <c r="S181" s="446"/>
      <c r="T181" s="446"/>
      <c r="U181" s="447"/>
      <c r="V181" s="447"/>
    </row>
    <row r="182" spans="1:22" ht="12.75" customHeight="1" x14ac:dyDescent="0.25">
      <c r="A182" s="512"/>
      <c r="B182" s="446"/>
      <c r="C182" s="446"/>
      <c r="D182" s="513"/>
      <c r="E182" s="514"/>
      <c r="F182" s="515"/>
      <c r="G182" s="516"/>
      <c r="H182" s="517"/>
      <c r="I182" s="517"/>
      <c r="J182" s="517"/>
      <c r="K182" s="517"/>
      <c r="L182" s="517"/>
      <c r="M182" s="517"/>
      <c r="N182" s="517"/>
      <c r="O182" s="446"/>
      <c r="P182" s="446"/>
      <c r="Q182" s="446"/>
      <c r="R182" s="446"/>
      <c r="S182" s="446"/>
      <c r="T182" s="446"/>
      <c r="U182" s="447"/>
      <c r="V182" s="447"/>
    </row>
    <row r="183" spans="1:22" ht="12.75" customHeight="1" x14ac:dyDescent="0.25">
      <c r="A183" s="512"/>
      <c r="B183" s="446"/>
      <c r="C183" s="446"/>
      <c r="D183" s="513"/>
      <c r="E183" s="514"/>
      <c r="F183" s="515"/>
      <c r="G183" s="516"/>
      <c r="H183" s="517"/>
      <c r="I183" s="517"/>
      <c r="J183" s="517"/>
      <c r="K183" s="517"/>
      <c r="L183" s="517"/>
      <c r="M183" s="517"/>
      <c r="N183" s="517"/>
      <c r="O183" s="446"/>
      <c r="P183" s="446"/>
      <c r="Q183" s="446"/>
      <c r="R183" s="446"/>
      <c r="S183" s="446"/>
      <c r="T183" s="446"/>
      <c r="U183" s="447"/>
      <c r="V183" s="447"/>
    </row>
    <row r="184" spans="1:22" ht="12.75" customHeight="1" x14ac:dyDescent="0.25">
      <c r="A184" s="512"/>
      <c r="B184" s="446"/>
      <c r="C184" s="446"/>
      <c r="D184" s="513"/>
      <c r="E184" s="514"/>
      <c r="F184" s="515"/>
      <c r="G184" s="516"/>
      <c r="H184" s="517"/>
      <c r="I184" s="517"/>
      <c r="J184" s="517"/>
      <c r="K184" s="517"/>
      <c r="L184" s="517"/>
      <c r="M184" s="517"/>
      <c r="N184" s="517"/>
      <c r="O184" s="446"/>
      <c r="P184" s="446"/>
      <c r="Q184" s="446"/>
      <c r="R184" s="446"/>
      <c r="S184" s="446"/>
      <c r="T184" s="446"/>
      <c r="U184" s="447"/>
      <c r="V184" s="447"/>
    </row>
    <row r="185" spans="1:22" ht="12.75" customHeight="1" x14ac:dyDescent="0.25">
      <c r="A185" s="512"/>
      <c r="B185" s="446"/>
      <c r="C185" s="446"/>
      <c r="D185" s="513"/>
      <c r="E185" s="514"/>
      <c r="F185" s="515"/>
      <c r="G185" s="516"/>
      <c r="H185" s="517"/>
      <c r="I185" s="517"/>
      <c r="J185" s="517"/>
      <c r="K185" s="517"/>
      <c r="L185" s="517"/>
      <c r="M185" s="517"/>
      <c r="N185" s="517"/>
      <c r="O185" s="446"/>
      <c r="P185" s="446"/>
      <c r="Q185" s="446"/>
      <c r="R185" s="446"/>
      <c r="S185" s="446"/>
      <c r="T185" s="446"/>
      <c r="U185" s="447"/>
      <c r="V185" s="447"/>
    </row>
    <row r="186" spans="1:22" ht="12.75" customHeight="1" x14ac:dyDescent="0.25">
      <c r="A186" s="512"/>
      <c r="B186" s="446"/>
      <c r="C186" s="446"/>
      <c r="D186" s="513"/>
      <c r="E186" s="514"/>
      <c r="F186" s="515"/>
      <c r="G186" s="516"/>
      <c r="H186" s="517"/>
      <c r="I186" s="517"/>
      <c r="J186" s="517"/>
      <c r="K186" s="517"/>
      <c r="L186" s="517"/>
      <c r="M186" s="517"/>
      <c r="N186" s="517"/>
      <c r="O186" s="446"/>
      <c r="P186" s="446"/>
      <c r="Q186" s="446"/>
      <c r="R186" s="446"/>
      <c r="S186" s="446"/>
      <c r="T186" s="446"/>
      <c r="U186" s="447"/>
      <c r="V186" s="447"/>
    </row>
    <row r="187" spans="1:22" ht="12.75" customHeight="1" x14ac:dyDescent="0.25">
      <c r="A187" s="512"/>
      <c r="B187" s="446"/>
      <c r="C187" s="446"/>
      <c r="D187" s="513"/>
      <c r="E187" s="514"/>
      <c r="F187" s="515"/>
      <c r="G187" s="516"/>
      <c r="H187" s="517"/>
      <c r="I187" s="517"/>
      <c r="J187" s="517"/>
      <c r="K187" s="517"/>
      <c r="L187" s="517"/>
      <c r="M187" s="517"/>
      <c r="N187" s="517"/>
      <c r="O187" s="446"/>
      <c r="P187" s="446"/>
      <c r="Q187" s="446"/>
      <c r="R187" s="446"/>
      <c r="S187" s="446"/>
      <c r="T187" s="446"/>
      <c r="U187" s="447"/>
      <c r="V187" s="447"/>
    </row>
    <row r="188" spans="1:22" ht="12.75" customHeight="1" x14ac:dyDescent="0.25">
      <c r="A188" s="512"/>
      <c r="B188" s="446"/>
      <c r="C188" s="446"/>
      <c r="D188" s="513"/>
      <c r="E188" s="514"/>
      <c r="F188" s="515"/>
      <c r="G188" s="516"/>
      <c r="H188" s="517"/>
      <c r="I188" s="517"/>
      <c r="J188" s="517"/>
      <c r="K188" s="517"/>
      <c r="L188" s="517"/>
      <c r="M188" s="517"/>
      <c r="N188" s="517"/>
      <c r="O188" s="446"/>
      <c r="P188" s="446"/>
      <c r="Q188" s="446"/>
      <c r="R188" s="446"/>
      <c r="S188" s="446"/>
      <c r="T188" s="446"/>
      <c r="U188" s="447"/>
      <c r="V188" s="447"/>
    </row>
    <row r="189" spans="1:22" ht="12.75" customHeight="1" x14ac:dyDescent="0.25">
      <c r="A189" s="512"/>
      <c r="B189" s="446"/>
      <c r="C189" s="446"/>
      <c r="D189" s="513"/>
      <c r="E189" s="514"/>
      <c r="F189" s="515"/>
      <c r="G189" s="516"/>
      <c r="H189" s="517"/>
      <c r="I189" s="517"/>
      <c r="J189" s="517"/>
      <c r="K189" s="517"/>
      <c r="L189" s="517"/>
      <c r="M189" s="517"/>
      <c r="N189" s="517"/>
      <c r="O189" s="446"/>
      <c r="P189" s="446"/>
      <c r="Q189" s="446"/>
      <c r="R189" s="446"/>
      <c r="S189" s="446"/>
      <c r="T189" s="446"/>
      <c r="U189" s="447"/>
      <c r="V189" s="447"/>
    </row>
    <row r="190" spans="1:22" ht="12.75" customHeight="1" x14ac:dyDescent="0.25">
      <c r="A190" s="512"/>
      <c r="B190" s="446"/>
      <c r="C190" s="446"/>
      <c r="D190" s="513"/>
      <c r="E190" s="514"/>
      <c r="F190" s="515"/>
      <c r="G190" s="516"/>
      <c r="H190" s="517"/>
      <c r="I190" s="517"/>
      <c r="J190" s="517"/>
      <c r="K190" s="517"/>
      <c r="L190" s="517"/>
      <c r="M190" s="517"/>
      <c r="N190" s="517"/>
      <c r="O190" s="446"/>
      <c r="P190" s="446"/>
      <c r="Q190" s="446"/>
      <c r="R190" s="446"/>
      <c r="S190" s="446"/>
      <c r="T190" s="446"/>
      <c r="U190" s="447"/>
      <c r="V190" s="447"/>
    </row>
    <row r="191" spans="1:22" ht="12.75" customHeight="1" x14ac:dyDescent="0.25">
      <c r="A191" s="512"/>
      <c r="B191" s="446"/>
      <c r="C191" s="446"/>
      <c r="D191" s="513"/>
      <c r="E191" s="514"/>
      <c r="F191" s="515"/>
      <c r="G191" s="516"/>
      <c r="H191" s="517"/>
      <c r="I191" s="517"/>
      <c r="J191" s="517"/>
      <c r="K191" s="517"/>
      <c r="L191" s="517"/>
      <c r="M191" s="517"/>
      <c r="N191" s="517"/>
      <c r="O191" s="446"/>
      <c r="P191" s="446"/>
      <c r="Q191" s="446"/>
      <c r="R191" s="446"/>
      <c r="S191" s="446"/>
      <c r="T191" s="446"/>
      <c r="U191" s="447"/>
      <c r="V191" s="447"/>
    </row>
    <row r="192" spans="1:22" ht="12.75" customHeight="1" x14ac:dyDescent="0.25">
      <c r="A192" s="512"/>
      <c r="B192" s="446"/>
      <c r="C192" s="446"/>
      <c r="D192" s="513"/>
      <c r="E192" s="514"/>
      <c r="F192" s="515"/>
      <c r="G192" s="516"/>
      <c r="H192" s="517"/>
      <c r="I192" s="517"/>
      <c r="J192" s="517"/>
      <c r="K192" s="517"/>
      <c r="L192" s="517"/>
      <c r="M192" s="517"/>
      <c r="N192" s="517"/>
      <c r="O192" s="446"/>
      <c r="P192" s="446"/>
      <c r="Q192" s="446"/>
      <c r="R192" s="446"/>
      <c r="S192" s="446"/>
      <c r="T192" s="446"/>
      <c r="U192" s="447"/>
      <c r="V192" s="447"/>
    </row>
    <row r="193" spans="1:22" ht="12.75" customHeight="1" x14ac:dyDescent="0.25">
      <c r="A193" s="512"/>
      <c r="B193" s="446"/>
      <c r="C193" s="446"/>
      <c r="D193" s="513"/>
      <c r="E193" s="514"/>
      <c r="F193" s="515"/>
      <c r="G193" s="516"/>
      <c r="H193" s="517"/>
      <c r="I193" s="517"/>
      <c r="J193" s="517"/>
      <c r="K193" s="517"/>
      <c r="L193" s="517"/>
      <c r="M193" s="517"/>
      <c r="N193" s="517"/>
      <c r="O193" s="446"/>
      <c r="P193" s="446"/>
      <c r="Q193" s="446"/>
      <c r="R193" s="446"/>
      <c r="S193" s="446"/>
      <c r="T193" s="446"/>
      <c r="U193" s="447"/>
      <c r="V193" s="447"/>
    </row>
    <row r="194" spans="1:22" ht="12.75" customHeight="1" x14ac:dyDescent="0.25">
      <c r="A194" s="512"/>
      <c r="B194" s="446"/>
      <c r="C194" s="446"/>
      <c r="D194" s="513"/>
      <c r="E194" s="514"/>
      <c r="F194" s="515"/>
      <c r="G194" s="516"/>
      <c r="H194" s="517"/>
      <c r="I194" s="517"/>
      <c r="J194" s="517"/>
      <c r="K194" s="517"/>
      <c r="L194" s="517"/>
      <c r="M194" s="517"/>
      <c r="N194" s="517"/>
      <c r="O194" s="446"/>
      <c r="P194" s="446"/>
      <c r="Q194" s="446"/>
      <c r="R194" s="446"/>
      <c r="S194" s="446"/>
      <c r="T194" s="446"/>
      <c r="U194" s="447"/>
      <c r="V194" s="447"/>
    </row>
    <row r="195" spans="1:22" ht="12.75" customHeight="1" x14ac:dyDescent="0.25">
      <c r="A195" s="512"/>
      <c r="B195" s="446"/>
      <c r="C195" s="446"/>
      <c r="D195" s="513"/>
      <c r="E195" s="514"/>
      <c r="F195" s="515"/>
      <c r="G195" s="516"/>
      <c r="H195" s="517"/>
      <c r="I195" s="517"/>
      <c r="J195" s="517"/>
      <c r="K195" s="517"/>
      <c r="L195" s="517"/>
      <c r="M195" s="517"/>
      <c r="N195" s="517"/>
      <c r="O195" s="446"/>
      <c r="P195" s="446"/>
      <c r="Q195" s="446"/>
      <c r="R195" s="446"/>
      <c r="S195" s="446"/>
      <c r="T195" s="446"/>
      <c r="U195" s="447"/>
      <c r="V195" s="447"/>
    </row>
    <row r="196" spans="1:22" ht="12.75" customHeight="1" x14ac:dyDescent="0.25">
      <c r="A196" s="512"/>
      <c r="B196" s="446"/>
      <c r="C196" s="446"/>
      <c r="D196" s="513"/>
      <c r="E196" s="514"/>
      <c r="F196" s="515"/>
      <c r="G196" s="516"/>
      <c r="H196" s="517"/>
      <c r="I196" s="517"/>
      <c r="J196" s="517"/>
      <c r="K196" s="517"/>
      <c r="L196" s="517"/>
      <c r="M196" s="517"/>
      <c r="N196" s="517"/>
      <c r="O196" s="446"/>
      <c r="P196" s="446"/>
      <c r="Q196" s="446"/>
      <c r="R196" s="446"/>
      <c r="S196" s="446"/>
      <c r="T196" s="446"/>
      <c r="U196" s="447"/>
      <c r="V196" s="447"/>
    </row>
    <row r="197" spans="1:22" ht="12.75" customHeight="1" x14ac:dyDescent="0.25">
      <c r="A197" s="512"/>
      <c r="B197" s="446"/>
      <c r="C197" s="446"/>
      <c r="D197" s="513"/>
      <c r="E197" s="514"/>
      <c r="F197" s="515"/>
      <c r="G197" s="516"/>
      <c r="H197" s="517"/>
      <c r="I197" s="517"/>
      <c r="J197" s="517"/>
      <c r="K197" s="517"/>
      <c r="L197" s="517"/>
      <c r="M197" s="517"/>
      <c r="N197" s="517"/>
      <c r="O197" s="446"/>
      <c r="P197" s="446"/>
      <c r="Q197" s="446"/>
      <c r="R197" s="446"/>
      <c r="S197" s="446"/>
      <c r="T197" s="446"/>
      <c r="U197" s="447"/>
      <c r="V197" s="447"/>
    </row>
    <row r="198" spans="1:22" ht="12.75" customHeight="1" x14ac:dyDescent="0.25">
      <c r="A198" s="512"/>
      <c r="B198" s="446"/>
      <c r="C198" s="446"/>
      <c r="D198" s="513"/>
      <c r="E198" s="514"/>
      <c r="F198" s="515"/>
      <c r="G198" s="516"/>
      <c r="H198" s="517"/>
      <c r="I198" s="517"/>
      <c r="J198" s="517"/>
      <c r="K198" s="517"/>
      <c r="L198" s="517"/>
      <c r="M198" s="517"/>
      <c r="N198" s="517"/>
      <c r="O198" s="446"/>
      <c r="P198" s="446"/>
      <c r="Q198" s="446"/>
      <c r="R198" s="446"/>
      <c r="S198" s="446"/>
      <c r="T198" s="446"/>
      <c r="U198" s="447"/>
      <c r="V198" s="447"/>
    </row>
    <row r="199" spans="1:22" ht="12.75" customHeight="1" x14ac:dyDescent="0.25">
      <c r="A199" s="512"/>
      <c r="B199" s="446"/>
      <c r="C199" s="446"/>
      <c r="D199" s="513"/>
      <c r="E199" s="514"/>
      <c r="F199" s="515"/>
      <c r="G199" s="516"/>
      <c r="H199" s="517"/>
      <c r="I199" s="517"/>
      <c r="J199" s="517"/>
      <c r="K199" s="517"/>
      <c r="L199" s="517"/>
      <c r="M199" s="517"/>
      <c r="N199" s="517"/>
      <c r="O199" s="446"/>
      <c r="P199" s="446"/>
      <c r="Q199" s="446"/>
      <c r="R199" s="446"/>
      <c r="S199" s="446"/>
      <c r="T199" s="446"/>
      <c r="U199" s="447"/>
      <c r="V199" s="447"/>
    </row>
    <row r="200" spans="1:22" ht="12.75" customHeight="1" x14ac:dyDescent="0.25">
      <c r="A200" s="512"/>
      <c r="B200" s="446"/>
      <c r="C200" s="446"/>
      <c r="D200" s="513"/>
      <c r="E200" s="514"/>
      <c r="F200" s="515"/>
      <c r="G200" s="516"/>
      <c r="H200" s="517"/>
      <c r="I200" s="517"/>
      <c r="J200" s="517"/>
      <c r="K200" s="517"/>
      <c r="L200" s="517"/>
      <c r="M200" s="517"/>
      <c r="N200" s="517"/>
      <c r="O200" s="446"/>
      <c r="P200" s="446"/>
      <c r="Q200" s="446"/>
      <c r="R200" s="446"/>
      <c r="S200" s="446"/>
      <c r="T200" s="446"/>
      <c r="U200" s="447"/>
      <c r="V200" s="447"/>
    </row>
    <row r="201" spans="1:22" ht="12.75" customHeight="1" x14ac:dyDescent="0.25">
      <c r="A201" s="512"/>
      <c r="B201" s="446"/>
      <c r="C201" s="446"/>
      <c r="D201" s="513"/>
      <c r="E201" s="514"/>
      <c r="F201" s="515"/>
      <c r="G201" s="516"/>
      <c r="H201" s="517"/>
      <c r="I201" s="517"/>
      <c r="J201" s="517"/>
      <c r="K201" s="517"/>
      <c r="L201" s="517"/>
      <c r="M201" s="517"/>
      <c r="N201" s="517"/>
      <c r="O201" s="446"/>
      <c r="P201" s="446"/>
      <c r="Q201" s="446"/>
      <c r="R201" s="446"/>
      <c r="S201" s="446"/>
      <c r="T201" s="446"/>
      <c r="U201" s="447"/>
      <c r="V201" s="447"/>
    </row>
    <row r="202" spans="1:22" ht="12.75" customHeight="1" x14ac:dyDescent="0.25">
      <c r="A202" s="512"/>
      <c r="B202" s="446"/>
      <c r="C202" s="446"/>
      <c r="D202" s="513"/>
      <c r="E202" s="514"/>
      <c r="F202" s="515"/>
      <c r="G202" s="516"/>
      <c r="H202" s="517"/>
      <c r="I202" s="517"/>
      <c r="J202" s="517"/>
      <c r="K202" s="517"/>
      <c r="L202" s="517"/>
      <c r="M202" s="517"/>
      <c r="N202" s="517"/>
      <c r="O202" s="446"/>
      <c r="P202" s="446"/>
      <c r="Q202" s="446"/>
      <c r="R202" s="446"/>
      <c r="S202" s="446"/>
      <c r="T202" s="446"/>
      <c r="U202" s="447"/>
      <c r="V202" s="447"/>
    </row>
    <row r="203" spans="1:22" ht="12.75" customHeight="1" x14ac:dyDescent="0.25">
      <c r="A203" s="512"/>
      <c r="B203" s="446"/>
      <c r="C203" s="446"/>
      <c r="D203" s="513"/>
      <c r="E203" s="514"/>
      <c r="F203" s="515"/>
      <c r="G203" s="516"/>
      <c r="H203" s="517"/>
      <c r="I203" s="517"/>
      <c r="J203" s="517"/>
      <c r="K203" s="517"/>
      <c r="L203" s="517"/>
      <c r="M203" s="517"/>
      <c r="N203" s="517"/>
      <c r="O203" s="446"/>
      <c r="P203" s="446"/>
      <c r="Q203" s="446"/>
      <c r="R203" s="446"/>
      <c r="S203" s="446"/>
      <c r="T203" s="446"/>
      <c r="U203" s="447"/>
      <c r="V203" s="447"/>
    </row>
    <row r="204" spans="1:22" ht="12.75" customHeight="1" x14ac:dyDescent="0.25">
      <c r="A204" s="512"/>
      <c r="B204" s="446"/>
      <c r="C204" s="446"/>
      <c r="D204" s="513"/>
      <c r="E204" s="514"/>
      <c r="F204" s="515"/>
      <c r="G204" s="516"/>
      <c r="H204" s="517"/>
      <c r="I204" s="517"/>
      <c r="J204" s="517"/>
      <c r="K204" s="517"/>
      <c r="L204" s="517"/>
      <c r="M204" s="517"/>
      <c r="N204" s="517"/>
      <c r="O204" s="446"/>
      <c r="P204" s="446"/>
      <c r="Q204" s="446"/>
      <c r="R204" s="446"/>
      <c r="S204" s="446"/>
      <c r="T204" s="446"/>
      <c r="U204" s="447"/>
      <c r="V204" s="447"/>
    </row>
    <row r="205" spans="1:22" ht="12.75" customHeight="1" x14ac:dyDescent="0.25">
      <c r="A205" s="512"/>
      <c r="B205" s="446"/>
      <c r="C205" s="446"/>
      <c r="D205" s="513"/>
      <c r="E205" s="514"/>
      <c r="F205" s="515"/>
      <c r="G205" s="516"/>
      <c r="H205" s="517"/>
      <c r="I205" s="517"/>
      <c r="J205" s="517"/>
      <c r="K205" s="517"/>
      <c r="L205" s="517"/>
      <c r="M205" s="517"/>
      <c r="N205" s="517"/>
      <c r="O205" s="446"/>
      <c r="P205" s="446"/>
      <c r="Q205" s="446"/>
      <c r="R205" s="446"/>
      <c r="S205" s="446"/>
      <c r="T205" s="446"/>
      <c r="U205" s="447"/>
      <c r="V205" s="447"/>
    </row>
    <row r="206" spans="1:22" ht="12.75" customHeight="1" x14ac:dyDescent="0.25">
      <c r="A206" s="512"/>
      <c r="B206" s="446"/>
      <c r="C206" s="446"/>
      <c r="D206" s="513"/>
      <c r="E206" s="514"/>
      <c r="F206" s="515"/>
      <c r="G206" s="516"/>
      <c r="H206" s="517"/>
      <c r="I206" s="517"/>
      <c r="J206" s="517"/>
      <c r="K206" s="517"/>
      <c r="L206" s="517"/>
      <c r="M206" s="517"/>
      <c r="N206" s="517"/>
      <c r="O206" s="446"/>
      <c r="P206" s="446"/>
      <c r="Q206" s="446"/>
      <c r="R206" s="446"/>
      <c r="S206" s="446"/>
      <c r="T206" s="446"/>
      <c r="U206" s="447"/>
      <c r="V206" s="447"/>
    </row>
    <row r="207" spans="1:22" ht="12.75" customHeight="1" x14ac:dyDescent="0.25">
      <c r="A207" s="512"/>
      <c r="B207" s="446"/>
      <c r="C207" s="446"/>
      <c r="D207" s="513"/>
      <c r="E207" s="514"/>
      <c r="F207" s="515"/>
      <c r="G207" s="516"/>
      <c r="H207" s="517"/>
      <c r="I207" s="517"/>
      <c r="J207" s="517"/>
      <c r="K207" s="517"/>
      <c r="L207" s="517"/>
      <c r="M207" s="517"/>
      <c r="N207" s="517"/>
      <c r="O207" s="446"/>
      <c r="P207" s="446"/>
      <c r="Q207" s="446"/>
      <c r="R207" s="446"/>
      <c r="S207" s="446"/>
      <c r="T207" s="446"/>
      <c r="U207" s="447"/>
      <c r="V207" s="447"/>
    </row>
    <row r="208" spans="1:22" ht="12.75" customHeight="1" x14ac:dyDescent="0.25">
      <c r="A208" s="512"/>
      <c r="B208" s="446"/>
      <c r="C208" s="446"/>
      <c r="D208" s="513"/>
      <c r="E208" s="514"/>
      <c r="F208" s="515"/>
      <c r="G208" s="516"/>
      <c r="H208" s="517"/>
      <c r="I208" s="517"/>
      <c r="J208" s="517"/>
      <c r="K208" s="517"/>
      <c r="L208" s="517"/>
      <c r="M208" s="517"/>
      <c r="N208" s="517"/>
      <c r="O208" s="446"/>
      <c r="P208" s="446"/>
      <c r="Q208" s="446"/>
      <c r="R208" s="446"/>
      <c r="S208" s="446"/>
      <c r="T208" s="446"/>
      <c r="U208" s="447"/>
      <c r="V208" s="447"/>
    </row>
    <row r="209" spans="1:22" ht="12.75" customHeight="1" x14ac:dyDescent="0.25">
      <c r="A209" s="512"/>
      <c r="B209" s="446"/>
      <c r="C209" s="446"/>
      <c r="D209" s="513"/>
      <c r="E209" s="514"/>
      <c r="F209" s="515"/>
      <c r="G209" s="516"/>
      <c r="H209" s="517"/>
      <c r="I209" s="517"/>
      <c r="J209" s="517"/>
      <c r="K209" s="517"/>
      <c r="L209" s="517"/>
      <c r="M209" s="517"/>
      <c r="N209" s="517"/>
      <c r="O209" s="446"/>
      <c r="P209" s="446"/>
      <c r="Q209" s="446"/>
      <c r="R209" s="446"/>
      <c r="S209" s="446"/>
      <c r="T209" s="446"/>
      <c r="U209" s="447"/>
      <c r="V209" s="447"/>
    </row>
    <row r="210" spans="1:22" ht="12.75" customHeight="1" x14ac:dyDescent="0.25">
      <c r="A210" s="512"/>
      <c r="B210" s="446"/>
      <c r="C210" s="446"/>
      <c r="D210" s="513"/>
      <c r="E210" s="514"/>
      <c r="F210" s="515"/>
      <c r="G210" s="516"/>
      <c r="H210" s="517"/>
      <c r="I210" s="517"/>
      <c r="J210" s="517"/>
      <c r="K210" s="517"/>
      <c r="L210" s="517"/>
      <c r="M210" s="517"/>
      <c r="N210" s="517"/>
      <c r="O210" s="446"/>
      <c r="P210" s="446"/>
      <c r="Q210" s="446"/>
      <c r="R210" s="446"/>
      <c r="S210" s="446"/>
      <c r="T210" s="446"/>
      <c r="U210" s="447"/>
      <c r="V210" s="447"/>
    </row>
    <row r="211" spans="1:22" ht="12.75" customHeight="1" x14ac:dyDescent="0.25">
      <c r="A211" s="512"/>
      <c r="B211" s="446"/>
      <c r="C211" s="446"/>
      <c r="D211" s="513"/>
      <c r="E211" s="514"/>
      <c r="F211" s="515"/>
      <c r="G211" s="516"/>
      <c r="H211" s="517"/>
      <c r="I211" s="517"/>
      <c r="J211" s="517"/>
      <c r="K211" s="517"/>
      <c r="L211" s="517"/>
      <c r="M211" s="517"/>
      <c r="N211" s="517"/>
      <c r="O211" s="446"/>
      <c r="P211" s="446"/>
      <c r="Q211" s="446"/>
      <c r="R211" s="446"/>
      <c r="S211" s="446"/>
      <c r="T211" s="446"/>
      <c r="U211" s="447"/>
      <c r="V211" s="447"/>
    </row>
    <row r="212" spans="1:22" ht="12.75" customHeight="1" x14ac:dyDescent="0.25">
      <c r="A212" s="512"/>
      <c r="B212" s="446"/>
      <c r="C212" s="446"/>
      <c r="D212" s="513"/>
      <c r="E212" s="514"/>
      <c r="F212" s="515"/>
      <c r="G212" s="516"/>
      <c r="H212" s="517"/>
      <c r="I212" s="517"/>
      <c r="J212" s="517"/>
      <c r="K212" s="517"/>
      <c r="L212" s="517"/>
      <c r="M212" s="517"/>
      <c r="N212" s="517"/>
      <c r="O212" s="446"/>
      <c r="P212" s="446"/>
      <c r="Q212" s="446"/>
      <c r="R212" s="446"/>
      <c r="S212" s="446"/>
      <c r="T212" s="446"/>
      <c r="U212" s="447"/>
      <c r="V212" s="447"/>
    </row>
    <row r="213" spans="1:22" ht="12.75" customHeight="1" x14ac:dyDescent="0.25">
      <c r="A213" s="512"/>
      <c r="B213" s="446"/>
      <c r="C213" s="446"/>
      <c r="D213" s="513"/>
      <c r="E213" s="514"/>
      <c r="F213" s="515"/>
      <c r="G213" s="516"/>
      <c r="H213" s="517"/>
      <c r="I213" s="517"/>
      <c r="J213" s="517"/>
      <c r="K213" s="517"/>
      <c r="L213" s="517"/>
      <c r="M213" s="517"/>
      <c r="N213" s="517"/>
      <c r="O213" s="446"/>
      <c r="P213" s="446"/>
      <c r="Q213" s="446"/>
      <c r="R213" s="446"/>
      <c r="S213" s="446"/>
      <c r="T213" s="446"/>
      <c r="U213" s="447"/>
      <c r="V213" s="447"/>
    </row>
    <row r="214" spans="1:22" ht="12.75" customHeight="1" x14ac:dyDescent="0.25">
      <c r="A214" s="512"/>
      <c r="B214" s="446"/>
      <c r="C214" s="446"/>
      <c r="D214" s="513"/>
      <c r="E214" s="514"/>
      <c r="F214" s="515"/>
      <c r="G214" s="516"/>
      <c r="H214" s="517"/>
      <c r="I214" s="517"/>
      <c r="J214" s="517"/>
      <c r="K214" s="517"/>
      <c r="L214" s="517"/>
      <c r="M214" s="517"/>
      <c r="N214" s="517"/>
      <c r="O214" s="446"/>
      <c r="P214" s="446"/>
      <c r="Q214" s="446"/>
      <c r="R214" s="446"/>
      <c r="S214" s="446"/>
      <c r="T214" s="446"/>
      <c r="U214" s="447"/>
      <c r="V214" s="447"/>
    </row>
    <row r="215" spans="1:22" ht="12.75" customHeight="1" x14ac:dyDescent="0.25">
      <c r="A215" s="512"/>
      <c r="B215" s="446"/>
      <c r="C215" s="446"/>
      <c r="D215" s="513"/>
      <c r="E215" s="514"/>
      <c r="F215" s="515"/>
      <c r="G215" s="516"/>
      <c r="H215" s="517"/>
      <c r="I215" s="517"/>
      <c r="J215" s="517"/>
      <c r="K215" s="517"/>
      <c r="L215" s="517"/>
      <c r="M215" s="517"/>
      <c r="N215" s="517"/>
      <c r="O215" s="446"/>
      <c r="P215" s="446"/>
      <c r="Q215" s="446"/>
      <c r="R215" s="446"/>
      <c r="S215" s="446"/>
      <c r="T215" s="446"/>
      <c r="U215" s="447"/>
      <c r="V215" s="447"/>
    </row>
    <row r="216" spans="1:22" ht="12.75" customHeight="1" x14ac:dyDescent="0.25">
      <c r="A216" s="512"/>
      <c r="B216" s="446"/>
      <c r="C216" s="446"/>
      <c r="D216" s="513"/>
      <c r="E216" s="514"/>
      <c r="F216" s="515"/>
      <c r="G216" s="516"/>
      <c r="H216" s="517"/>
      <c r="I216" s="517"/>
      <c r="J216" s="517"/>
      <c r="K216" s="517"/>
      <c r="L216" s="517"/>
      <c r="M216" s="517"/>
      <c r="N216" s="517"/>
      <c r="O216" s="446"/>
      <c r="P216" s="446"/>
      <c r="Q216" s="446"/>
      <c r="R216" s="446"/>
      <c r="S216" s="446"/>
      <c r="T216" s="446"/>
      <c r="U216" s="447"/>
      <c r="V216" s="447"/>
    </row>
    <row r="217" spans="1:22" ht="12.75" customHeight="1" x14ac:dyDescent="0.25">
      <c r="A217" s="512"/>
      <c r="B217" s="446"/>
      <c r="C217" s="446"/>
      <c r="D217" s="513"/>
      <c r="E217" s="514"/>
      <c r="F217" s="515"/>
      <c r="G217" s="516"/>
      <c r="H217" s="517"/>
      <c r="I217" s="517"/>
      <c r="J217" s="517"/>
      <c r="K217" s="517"/>
      <c r="L217" s="517"/>
      <c r="M217" s="517"/>
      <c r="N217" s="517"/>
      <c r="O217" s="446"/>
      <c r="P217" s="446"/>
      <c r="Q217" s="446"/>
      <c r="R217" s="446"/>
      <c r="S217" s="446"/>
      <c r="T217" s="446"/>
      <c r="U217" s="447"/>
      <c r="V217" s="447"/>
    </row>
    <row r="218" spans="1:22" ht="12.75" customHeight="1" x14ac:dyDescent="0.25">
      <c r="A218" s="512"/>
      <c r="B218" s="446"/>
      <c r="C218" s="446"/>
      <c r="D218" s="513"/>
      <c r="E218" s="514"/>
      <c r="F218" s="515"/>
      <c r="G218" s="516"/>
      <c r="H218" s="517"/>
      <c r="I218" s="517"/>
      <c r="J218" s="517"/>
      <c r="K218" s="517"/>
      <c r="L218" s="517"/>
      <c r="M218" s="517"/>
      <c r="N218" s="517"/>
      <c r="O218" s="446"/>
      <c r="P218" s="446"/>
      <c r="Q218" s="446"/>
      <c r="R218" s="446"/>
      <c r="S218" s="446"/>
      <c r="T218" s="446"/>
      <c r="U218" s="447"/>
      <c r="V218" s="447"/>
    </row>
    <row r="219" spans="1:22" ht="12.75" customHeight="1" x14ac:dyDescent="0.25">
      <c r="A219" s="512"/>
      <c r="B219" s="446"/>
      <c r="C219" s="446"/>
      <c r="D219" s="513"/>
      <c r="E219" s="514"/>
      <c r="F219" s="515"/>
      <c r="G219" s="516"/>
      <c r="H219" s="517"/>
      <c r="I219" s="517"/>
      <c r="J219" s="517"/>
      <c r="K219" s="517"/>
      <c r="L219" s="517"/>
      <c r="M219" s="517"/>
      <c r="N219" s="517"/>
      <c r="O219" s="446"/>
      <c r="P219" s="446"/>
      <c r="Q219" s="446"/>
      <c r="R219" s="446"/>
      <c r="S219" s="446"/>
      <c r="T219" s="446"/>
      <c r="U219" s="447"/>
      <c r="V219" s="447"/>
    </row>
    <row r="220" spans="1:22" ht="12.75" customHeight="1" x14ac:dyDescent="0.25">
      <c r="A220" s="512"/>
      <c r="B220" s="446"/>
      <c r="C220" s="446"/>
      <c r="D220" s="513"/>
      <c r="E220" s="514"/>
      <c r="F220" s="515"/>
      <c r="G220" s="516"/>
      <c r="H220" s="517"/>
      <c r="I220" s="517"/>
      <c r="J220" s="517"/>
      <c r="K220" s="517"/>
      <c r="L220" s="517"/>
      <c r="M220" s="517"/>
      <c r="N220" s="517"/>
      <c r="O220" s="446"/>
      <c r="P220" s="446"/>
      <c r="Q220" s="446"/>
      <c r="R220" s="446"/>
      <c r="S220" s="446"/>
      <c r="T220" s="446"/>
      <c r="U220" s="447"/>
      <c r="V220" s="447"/>
    </row>
    <row r="221" spans="1:22" ht="12.75" customHeight="1" x14ac:dyDescent="0.25">
      <c r="A221" s="512"/>
      <c r="B221" s="446"/>
      <c r="C221" s="446"/>
      <c r="D221" s="513"/>
      <c r="E221" s="514"/>
      <c r="F221" s="515"/>
      <c r="G221" s="516"/>
      <c r="H221" s="517"/>
      <c r="I221" s="517"/>
      <c r="J221" s="517"/>
      <c r="K221" s="517"/>
      <c r="L221" s="517"/>
      <c r="M221" s="517"/>
      <c r="N221" s="517"/>
      <c r="O221" s="446"/>
      <c r="P221" s="446"/>
      <c r="Q221" s="446"/>
      <c r="R221" s="446"/>
      <c r="S221" s="446"/>
      <c r="T221" s="446"/>
      <c r="U221" s="447"/>
      <c r="V221" s="447"/>
    </row>
    <row r="222" spans="1:22" ht="12.75" customHeight="1" x14ac:dyDescent="0.25">
      <c r="A222" s="512"/>
      <c r="B222" s="446"/>
      <c r="C222" s="446"/>
      <c r="D222" s="513"/>
      <c r="E222" s="514"/>
      <c r="F222" s="515"/>
      <c r="G222" s="516"/>
      <c r="H222" s="517"/>
      <c r="I222" s="517"/>
      <c r="J222" s="517"/>
      <c r="K222" s="517"/>
      <c r="L222" s="517"/>
      <c r="M222" s="517"/>
      <c r="N222" s="517"/>
      <c r="O222" s="446"/>
      <c r="P222" s="446"/>
      <c r="Q222" s="446"/>
      <c r="R222" s="446"/>
      <c r="S222" s="446"/>
      <c r="T222" s="446"/>
      <c r="U222" s="447"/>
      <c r="V222" s="447"/>
    </row>
    <row r="223" spans="1:22" ht="12.75" customHeight="1" x14ac:dyDescent="0.25">
      <c r="A223" s="512"/>
      <c r="B223" s="446"/>
      <c r="C223" s="446"/>
      <c r="D223" s="513"/>
      <c r="E223" s="514"/>
      <c r="F223" s="515"/>
      <c r="G223" s="516"/>
      <c r="H223" s="517"/>
      <c r="I223" s="517"/>
      <c r="J223" s="517"/>
      <c r="K223" s="517"/>
      <c r="L223" s="517"/>
      <c r="M223" s="517"/>
      <c r="N223" s="517"/>
      <c r="O223" s="446"/>
      <c r="P223" s="446"/>
      <c r="Q223" s="446"/>
      <c r="R223" s="446"/>
      <c r="S223" s="446"/>
      <c r="T223" s="446"/>
      <c r="U223" s="447"/>
      <c r="V223" s="447"/>
    </row>
    <row r="224" spans="1:22" ht="12.75" customHeight="1" x14ac:dyDescent="0.25">
      <c r="A224" s="512"/>
      <c r="B224" s="446"/>
      <c r="C224" s="446"/>
      <c r="D224" s="513"/>
      <c r="E224" s="514"/>
      <c r="F224" s="515"/>
      <c r="G224" s="516"/>
      <c r="H224" s="517"/>
      <c r="I224" s="517"/>
      <c r="J224" s="517"/>
      <c r="K224" s="517"/>
      <c r="L224" s="517"/>
      <c r="M224" s="517"/>
      <c r="N224" s="517"/>
      <c r="O224" s="446"/>
      <c r="P224" s="446"/>
      <c r="Q224" s="446"/>
      <c r="R224" s="446"/>
      <c r="S224" s="446"/>
      <c r="T224" s="446"/>
      <c r="U224" s="447"/>
      <c r="V224" s="447"/>
    </row>
    <row r="225" spans="1:22" ht="12.75" customHeight="1" x14ac:dyDescent="0.25">
      <c r="A225" s="512"/>
      <c r="B225" s="446"/>
      <c r="C225" s="446"/>
      <c r="D225" s="513"/>
      <c r="E225" s="514"/>
      <c r="F225" s="515"/>
      <c r="G225" s="516"/>
      <c r="H225" s="517"/>
      <c r="I225" s="517"/>
      <c r="J225" s="517"/>
      <c r="K225" s="517"/>
      <c r="L225" s="517"/>
      <c r="M225" s="517"/>
      <c r="N225" s="517"/>
      <c r="O225" s="446"/>
      <c r="P225" s="446"/>
      <c r="Q225" s="446"/>
      <c r="R225" s="446"/>
      <c r="S225" s="446"/>
      <c r="T225" s="446"/>
      <c r="U225" s="447"/>
      <c r="V225" s="447"/>
    </row>
    <row r="226" spans="1:22" ht="12.75" customHeight="1" x14ac:dyDescent="0.25">
      <c r="A226" s="512"/>
      <c r="B226" s="446"/>
      <c r="C226" s="446"/>
      <c r="D226" s="513"/>
      <c r="E226" s="514"/>
      <c r="F226" s="515"/>
      <c r="G226" s="516"/>
      <c r="H226" s="517"/>
      <c r="I226" s="517"/>
      <c r="J226" s="517"/>
      <c r="K226" s="517"/>
      <c r="L226" s="517"/>
      <c r="M226" s="517"/>
      <c r="N226" s="517"/>
      <c r="O226" s="446"/>
      <c r="P226" s="446"/>
      <c r="Q226" s="446"/>
      <c r="R226" s="446"/>
      <c r="S226" s="446"/>
      <c r="T226" s="446"/>
      <c r="U226" s="447"/>
      <c r="V226" s="447"/>
    </row>
    <row r="227" spans="1:22" ht="12.75" customHeight="1" x14ac:dyDescent="0.25">
      <c r="A227" s="512"/>
      <c r="B227" s="446"/>
      <c r="C227" s="446"/>
      <c r="D227" s="513"/>
      <c r="E227" s="514"/>
      <c r="F227" s="515"/>
      <c r="G227" s="516"/>
      <c r="H227" s="517"/>
      <c r="I227" s="517"/>
      <c r="J227" s="517"/>
      <c r="K227" s="517"/>
      <c r="L227" s="517"/>
      <c r="M227" s="517"/>
      <c r="N227" s="517"/>
      <c r="O227" s="446"/>
      <c r="P227" s="446"/>
      <c r="Q227" s="446"/>
      <c r="R227" s="446"/>
      <c r="S227" s="446"/>
      <c r="T227" s="446"/>
      <c r="U227" s="447"/>
      <c r="V227" s="447"/>
    </row>
    <row r="228" spans="1:22" ht="12.75" customHeight="1" x14ac:dyDescent="0.25">
      <c r="A228" s="512"/>
      <c r="B228" s="446"/>
      <c r="C228" s="446"/>
      <c r="D228" s="513"/>
      <c r="E228" s="514"/>
      <c r="F228" s="515"/>
      <c r="G228" s="516"/>
      <c r="H228" s="517"/>
      <c r="I228" s="517"/>
      <c r="J228" s="517"/>
      <c r="K228" s="517"/>
      <c r="L228" s="517"/>
      <c r="M228" s="517"/>
      <c r="N228" s="517"/>
      <c r="O228" s="446"/>
      <c r="P228" s="446"/>
      <c r="Q228" s="446"/>
      <c r="R228" s="446"/>
      <c r="S228" s="446"/>
      <c r="T228" s="446"/>
      <c r="U228" s="447"/>
      <c r="V228" s="447"/>
    </row>
    <row r="229" spans="1:22" ht="12.75" customHeight="1" x14ac:dyDescent="0.25">
      <c r="A229" s="512"/>
      <c r="B229" s="446"/>
      <c r="C229" s="446"/>
      <c r="D229" s="513"/>
      <c r="E229" s="514"/>
      <c r="F229" s="515"/>
      <c r="G229" s="516"/>
      <c r="H229" s="517"/>
      <c r="I229" s="517"/>
      <c r="J229" s="517"/>
      <c r="K229" s="517"/>
      <c r="L229" s="517"/>
      <c r="M229" s="517"/>
      <c r="N229" s="517"/>
      <c r="O229" s="446"/>
      <c r="P229" s="446"/>
      <c r="Q229" s="446"/>
      <c r="R229" s="446"/>
      <c r="S229" s="446"/>
      <c r="T229" s="446"/>
      <c r="U229" s="447"/>
      <c r="V229" s="447"/>
    </row>
    <row r="230" spans="1:22" ht="12.75" customHeight="1" x14ac:dyDescent="0.25">
      <c r="A230" s="512"/>
      <c r="B230" s="446"/>
      <c r="C230" s="446"/>
      <c r="D230" s="513"/>
      <c r="E230" s="514"/>
      <c r="F230" s="515"/>
      <c r="G230" s="516"/>
      <c r="H230" s="517"/>
      <c r="I230" s="517"/>
      <c r="J230" s="517"/>
      <c r="K230" s="517"/>
      <c r="L230" s="517"/>
      <c r="M230" s="517"/>
      <c r="N230" s="517"/>
      <c r="O230" s="446"/>
      <c r="P230" s="446"/>
      <c r="Q230" s="446"/>
      <c r="R230" s="446"/>
      <c r="S230" s="446"/>
      <c r="T230" s="446"/>
      <c r="U230" s="447"/>
      <c r="V230" s="447"/>
    </row>
    <row r="231" spans="1:22" ht="12.75" customHeight="1" x14ac:dyDescent="0.25">
      <c r="A231" s="512"/>
      <c r="B231" s="446"/>
      <c r="C231" s="446"/>
      <c r="D231" s="513"/>
      <c r="E231" s="514"/>
      <c r="F231" s="515"/>
      <c r="G231" s="516"/>
      <c r="H231" s="517"/>
      <c r="I231" s="517"/>
      <c r="J231" s="517"/>
      <c r="K231" s="517"/>
      <c r="L231" s="517"/>
      <c r="M231" s="517"/>
      <c r="N231" s="517"/>
      <c r="O231" s="446"/>
      <c r="P231" s="446"/>
      <c r="Q231" s="446"/>
      <c r="R231" s="446"/>
      <c r="S231" s="446"/>
      <c r="T231" s="446"/>
      <c r="U231" s="447"/>
      <c r="V231" s="447"/>
    </row>
    <row r="232" spans="1:22" ht="12.75" customHeight="1" x14ac:dyDescent="0.25">
      <c r="A232" s="512"/>
      <c r="B232" s="446"/>
      <c r="C232" s="446"/>
      <c r="D232" s="513"/>
      <c r="E232" s="514"/>
      <c r="F232" s="515"/>
      <c r="G232" s="516"/>
      <c r="H232" s="517"/>
      <c r="I232" s="517"/>
      <c r="J232" s="517"/>
      <c r="K232" s="517"/>
      <c r="L232" s="517"/>
      <c r="M232" s="517"/>
      <c r="N232" s="517"/>
      <c r="O232" s="446"/>
      <c r="P232" s="446"/>
      <c r="Q232" s="446"/>
      <c r="R232" s="446"/>
      <c r="S232" s="446"/>
      <c r="T232" s="446"/>
      <c r="U232" s="447"/>
      <c r="V232" s="447"/>
    </row>
    <row r="233" spans="1:22" ht="12.75" customHeight="1" x14ac:dyDescent="0.25">
      <c r="A233" s="512"/>
      <c r="B233" s="446"/>
      <c r="C233" s="446"/>
      <c r="D233" s="513"/>
      <c r="E233" s="514"/>
      <c r="F233" s="515"/>
      <c r="G233" s="516"/>
      <c r="H233" s="517"/>
      <c r="I233" s="517"/>
      <c r="J233" s="517"/>
      <c r="K233" s="517"/>
      <c r="L233" s="517"/>
      <c r="M233" s="517"/>
      <c r="N233" s="517"/>
      <c r="O233" s="446"/>
      <c r="P233" s="446"/>
      <c r="Q233" s="446"/>
      <c r="R233" s="446"/>
      <c r="S233" s="446"/>
      <c r="T233" s="446"/>
      <c r="U233" s="447"/>
      <c r="V233" s="447"/>
    </row>
    <row r="234" spans="1:22" ht="12.75" customHeight="1" x14ac:dyDescent="0.25">
      <c r="A234" s="512"/>
      <c r="B234" s="446"/>
      <c r="C234" s="446"/>
      <c r="D234" s="513"/>
      <c r="E234" s="514"/>
      <c r="F234" s="515"/>
      <c r="G234" s="516"/>
      <c r="H234" s="517"/>
      <c r="I234" s="517"/>
      <c r="J234" s="517"/>
      <c r="K234" s="517"/>
      <c r="L234" s="517"/>
      <c r="M234" s="517"/>
      <c r="N234" s="517"/>
      <c r="O234" s="446"/>
      <c r="P234" s="446"/>
      <c r="Q234" s="446"/>
      <c r="R234" s="446"/>
      <c r="S234" s="446"/>
      <c r="T234" s="446"/>
      <c r="U234" s="447"/>
      <c r="V234" s="447"/>
    </row>
    <row r="235" spans="1:22" ht="12.75" customHeight="1" x14ac:dyDescent="0.25">
      <c r="A235" s="512"/>
      <c r="B235" s="446"/>
      <c r="C235" s="446"/>
      <c r="D235" s="513"/>
      <c r="E235" s="514"/>
      <c r="F235" s="515"/>
      <c r="G235" s="516"/>
      <c r="H235" s="517"/>
      <c r="I235" s="517"/>
      <c r="J235" s="517"/>
      <c r="K235" s="517"/>
      <c r="L235" s="517"/>
      <c r="M235" s="517"/>
      <c r="N235" s="517"/>
      <c r="O235" s="446"/>
      <c r="P235" s="446"/>
      <c r="Q235" s="446"/>
      <c r="R235" s="446"/>
      <c r="S235" s="446"/>
      <c r="T235" s="446"/>
      <c r="U235" s="447"/>
      <c r="V235" s="447"/>
    </row>
    <row r="236" spans="1:22" ht="12.75" customHeight="1" x14ac:dyDescent="0.25">
      <c r="A236" s="512"/>
      <c r="B236" s="446"/>
      <c r="C236" s="446"/>
      <c r="D236" s="513"/>
      <c r="E236" s="514"/>
      <c r="F236" s="515"/>
      <c r="G236" s="516"/>
      <c r="H236" s="517"/>
      <c r="I236" s="517"/>
      <c r="J236" s="517"/>
      <c r="K236" s="517"/>
      <c r="L236" s="517"/>
      <c r="M236" s="517"/>
      <c r="N236" s="517"/>
      <c r="O236" s="446"/>
      <c r="P236" s="446"/>
      <c r="Q236" s="446"/>
      <c r="R236" s="446"/>
      <c r="S236" s="446"/>
      <c r="T236" s="446"/>
      <c r="U236" s="447"/>
      <c r="V236" s="447"/>
    </row>
    <row r="237" spans="1:22" ht="12.75" customHeight="1" x14ac:dyDescent="0.25">
      <c r="A237" s="512"/>
      <c r="B237" s="446"/>
      <c r="C237" s="446"/>
      <c r="D237" s="513"/>
      <c r="E237" s="514"/>
      <c r="F237" s="515"/>
      <c r="G237" s="516"/>
      <c r="H237" s="517"/>
      <c r="I237" s="517"/>
      <c r="J237" s="517"/>
      <c r="K237" s="517"/>
      <c r="L237" s="517"/>
      <c r="M237" s="517"/>
      <c r="N237" s="517"/>
      <c r="O237" s="446"/>
      <c r="P237" s="446"/>
      <c r="Q237" s="446"/>
      <c r="R237" s="446"/>
      <c r="S237" s="446"/>
      <c r="T237" s="446"/>
      <c r="U237" s="447"/>
      <c r="V237" s="447"/>
    </row>
    <row r="238" spans="1:22" ht="12.75" customHeight="1" x14ac:dyDescent="0.25">
      <c r="A238" s="512"/>
      <c r="B238" s="446"/>
      <c r="C238" s="446"/>
      <c r="D238" s="513"/>
      <c r="E238" s="514"/>
      <c r="F238" s="515"/>
      <c r="G238" s="516"/>
      <c r="H238" s="517"/>
      <c r="I238" s="517"/>
      <c r="J238" s="517"/>
      <c r="K238" s="517"/>
      <c r="L238" s="517"/>
      <c r="M238" s="517"/>
      <c r="N238" s="517"/>
      <c r="O238" s="446"/>
      <c r="P238" s="446"/>
      <c r="Q238" s="446"/>
      <c r="R238" s="446"/>
      <c r="S238" s="446"/>
      <c r="T238" s="446"/>
      <c r="U238" s="447"/>
      <c r="V238" s="447"/>
    </row>
    <row r="239" spans="1:22" ht="12.75" customHeight="1" x14ac:dyDescent="0.25">
      <c r="A239" s="512"/>
      <c r="B239" s="446"/>
      <c r="C239" s="446"/>
      <c r="D239" s="513"/>
      <c r="E239" s="514"/>
      <c r="F239" s="515"/>
      <c r="G239" s="516"/>
      <c r="H239" s="517"/>
      <c r="I239" s="517"/>
      <c r="J239" s="517"/>
      <c r="K239" s="517"/>
      <c r="L239" s="517"/>
      <c r="M239" s="517"/>
      <c r="N239" s="517"/>
      <c r="O239" s="446"/>
      <c r="P239" s="446"/>
      <c r="Q239" s="446"/>
      <c r="R239" s="446"/>
      <c r="S239" s="446"/>
      <c r="T239" s="446"/>
      <c r="U239" s="447"/>
      <c r="V239" s="447"/>
    </row>
    <row r="240" spans="1:22" ht="12.75" customHeight="1" x14ac:dyDescent="0.25">
      <c r="A240" s="512"/>
      <c r="B240" s="446"/>
      <c r="C240" s="446"/>
      <c r="D240" s="513"/>
      <c r="E240" s="514"/>
      <c r="F240" s="515"/>
      <c r="G240" s="516"/>
      <c r="H240" s="517"/>
      <c r="I240" s="517"/>
      <c r="J240" s="517"/>
      <c r="K240" s="517"/>
      <c r="L240" s="517"/>
      <c r="M240" s="517"/>
      <c r="N240" s="517"/>
      <c r="O240" s="446"/>
      <c r="P240" s="446"/>
      <c r="Q240" s="446"/>
      <c r="R240" s="446"/>
      <c r="S240" s="446"/>
      <c r="T240" s="446"/>
      <c r="U240" s="447"/>
      <c r="V240" s="447"/>
    </row>
    <row r="241" spans="1:22" ht="12.75" customHeight="1" x14ac:dyDescent="0.25">
      <c r="A241" s="512"/>
      <c r="B241" s="446"/>
      <c r="C241" s="446"/>
      <c r="D241" s="513"/>
      <c r="E241" s="514"/>
      <c r="F241" s="515"/>
      <c r="G241" s="516"/>
      <c r="H241" s="517"/>
      <c r="I241" s="517"/>
      <c r="J241" s="517"/>
      <c r="K241" s="517"/>
      <c r="L241" s="517"/>
      <c r="M241" s="517"/>
      <c r="N241" s="517"/>
      <c r="O241" s="446"/>
      <c r="P241" s="446"/>
      <c r="Q241" s="446"/>
      <c r="R241" s="446"/>
      <c r="S241" s="446"/>
      <c r="T241" s="446"/>
      <c r="U241" s="447"/>
      <c r="V241" s="447"/>
    </row>
    <row r="242" spans="1:22" ht="12.75" customHeight="1" x14ac:dyDescent="0.25">
      <c r="A242" s="512"/>
      <c r="B242" s="446"/>
      <c r="C242" s="446"/>
      <c r="D242" s="513"/>
      <c r="E242" s="514"/>
      <c r="F242" s="515"/>
      <c r="G242" s="516"/>
      <c r="H242" s="517"/>
      <c r="I242" s="517"/>
      <c r="J242" s="517"/>
      <c r="K242" s="517"/>
      <c r="L242" s="517"/>
      <c r="M242" s="517"/>
      <c r="N242" s="517"/>
      <c r="O242" s="446"/>
      <c r="P242" s="446"/>
      <c r="Q242" s="446"/>
      <c r="R242" s="446"/>
      <c r="S242" s="446"/>
      <c r="T242" s="446"/>
      <c r="U242" s="447"/>
      <c r="V242" s="447"/>
    </row>
    <row r="243" spans="1:22" ht="12.75" customHeight="1" x14ac:dyDescent="0.25">
      <c r="A243" s="512"/>
      <c r="B243" s="446"/>
      <c r="C243" s="446"/>
      <c r="D243" s="513"/>
      <c r="E243" s="514"/>
      <c r="F243" s="515"/>
      <c r="G243" s="516"/>
      <c r="H243" s="517"/>
      <c r="I243" s="517"/>
      <c r="J243" s="517"/>
      <c r="K243" s="517"/>
      <c r="L243" s="517"/>
      <c r="M243" s="517"/>
      <c r="N243" s="517"/>
      <c r="O243" s="446"/>
      <c r="P243" s="446"/>
      <c r="Q243" s="446"/>
      <c r="R243" s="446"/>
      <c r="S243" s="446"/>
      <c r="T243" s="446"/>
      <c r="U243" s="447"/>
      <c r="V243" s="447"/>
    </row>
    <row r="244" spans="1:22" ht="12.75" customHeight="1" x14ac:dyDescent="0.25">
      <c r="A244" s="512"/>
      <c r="B244" s="446"/>
      <c r="C244" s="446"/>
      <c r="D244" s="513"/>
      <c r="E244" s="514"/>
      <c r="F244" s="515"/>
      <c r="G244" s="516"/>
      <c r="H244" s="517"/>
      <c r="I244" s="517"/>
      <c r="J244" s="517"/>
      <c r="K244" s="517"/>
      <c r="L244" s="517"/>
      <c r="M244" s="517"/>
      <c r="N244" s="517"/>
      <c r="O244" s="446"/>
      <c r="P244" s="446"/>
      <c r="Q244" s="446"/>
      <c r="R244" s="446"/>
      <c r="S244" s="446"/>
      <c r="T244" s="446"/>
      <c r="U244" s="447"/>
      <c r="V244" s="447"/>
    </row>
    <row r="245" spans="1:22" ht="12.75" customHeight="1" x14ac:dyDescent="0.25">
      <c r="A245" s="512"/>
      <c r="B245" s="446"/>
      <c r="C245" s="446"/>
      <c r="D245" s="513"/>
      <c r="E245" s="514"/>
      <c r="F245" s="515"/>
      <c r="G245" s="516"/>
      <c r="H245" s="517"/>
      <c r="I245" s="517"/>
      <c r="J245" s="517"/>
      <c r="K245" s="517"/>
      <c r="L245" s="517"/>
      <c r="M245" s="517"/>
      <c r="N245" s="517"/>
      <c r="O245" s="446"/>
      <c r="P245" s="446"/>
      <c r="Q245" s="446"/>
      <c r="R245" s="446"/>
      <c r="S245" s="446"/>
      <c r="T245" s="446"/>
      <c r="U245" s="447"/>
      <c r="V245" s="447"/>
    </row>
    <row r="246" spans="1:22" ht="12.75" customHeight="1" x14ac:dyDescent="0.25">
      <c r="A246" s="512"/>
      <c r="B246" s="446"/>
      <c r="C246" s="446"/>
      <c r="D246" s="513"/>
      <c r="E246" s="514"/>
      <c r="F246" s="515"/>
      <c r="G246" s="516"/>
      <c r="H246" s="517"/>
      <c r="I246" s="517"/>
      <c r="J246" s="517"/>
      <c r="K246" s="517"/>
      <c r="L246" s="517"/>
      <c r="M246" s="517"/>
      <c r="N246" s="517"/>
      <c r="O246" s="446"/>
      <c r="P246" s="446"/>
      <c r="Q246" s="446"/>
      <c r="R246" s="446"/>
      <c r="S246" s="446"/>
      <c r="T246" s="446"/>
      <c r="U246" s="447"/>
      <c r="V246" s="447"/>
    </row>
    <row r="247" spans="1:22" ht="12.75" customHeight="1" x14ac:dyDescent="0.25">
      <c r="A247" s="512"/>
      <c r="B247" s="446"/>
      <c r="C247" s="446"/>
      <c r="D247" s="513"/>
      <c r="E247" s="514"/>
      <c r="F247" s="515"/>
      <c r="G247" s="516"/>
      <c r="H247" s="517"/>
      <c r="I247" s="517"/>
      <c r="J247" s="517"/>
      <c r="K247" s="517"/>
      <c r="L247" s="517"/>
      <c r="M247" s="517"/>
      <c r="N247" s="517"/>
      <c r="O247" s="446"/>
      <c r="P247" s="446"/>
      <c r="Q247" s="446"/>
      <c r="R247" s="446"/>
      <c r="S247" s="446"/>
      <c r="T247" s="446"/>
      <c r="U247" s="447"/>
      <c r="V247" s="447"/>
    </row>
    <row r="248" spans="1:22" ht="12.75" customHeight="1" x14ac:dyDescent="0.25">
      <c r="A248" s="512"/>
      <c r="B248" s="446"/>
      <c r="C248" s="446"/>
      <c r="D248" s="513"/>
      <c r="E248" s="514"/>
      <c r="F248" s="515"/>
      <c r="G248" s="516"/>
      <c r="H248" s="517"/>
      <c r="I248" s="517"/>
      <c r="J248" s="517"/>
      <c r="K248" s="517"/>
      <c r="L248" s="517"/>
      <c r="M248" s="517"/>
      <c r="N248" s="517"/>
      <c r="O248" s="446"/>
      <c r="P248" s="446"/>
      <c r="Q248" s="446"/>
      <c r="R248" s="446"/>
      <c r="S248" s="446"/>
      <c r="T248" s="446"/>
      <c r="U248" s="447"/>
      <c r="V248" s="447"/>
    </row>
    <row r="249" spans="1:22" ht="12.75" customHeight="1" x14ac:dyDescent="0.25">
      <c r="A249" s="512"/>
      <c r="B249" s="446"/>
      <c r="C249" s="446"/>
      <c r="D249" s="513"/>
      <c r="E249" s="514"/>
      <c r="F249" s="515"/>
      <c r="G249" s="516"/>
      <c r="H249" s="517"/>
      <c r="I249" s="517"/>
      <c r="J249" s="517"/>
      <c r="K249" s="517"/>
      <c r="L249" s="517"/>
      <c r="M249" s="517"/>
      <c r="N249" s="517"/>
      <c r="O249" s="446"/>
      <c r="P249" s="446"/>
      <c r="Q249" s="446"/>
      <c r="R249" s="446"/>
      <c r="S249" s="446"/>
      <c r="T249" s="446"/>
      <c r="U249" s="447"/>
      <c r="V249" s="447"/>
    </row>
    <row r="250" spans="1:22" ht="12.75" customHeight="1" x14ac:dyDescent="0.25">
      <c r="A250" s="512"/>
      <c r="B250" s="446"/>
      <c r="C250" s="446"/>
      <c r="D250" s="513"/>
      <c r="E250" s="514"/>
      <c r="F250" s="515"/>
      <c r="G250" s="516"/>
      <c r="H250" s="517"/>
      <c r="I250" s="517"/>
      <c r="J250" s="517"/>
      <c r="K250" s="517"/>
      <c r="L250" s="517"/>
      <c r="M250" s="517"/>
      <c r="N250" s="517"/>
      <c r="O250" s="446"/>
      <c r="P250" s="446"/>
      <c r="Q250" s="446"/>
      <c r="R250" s="446"/>
      <c r="S250" s="446"/>
      <c r="T250" s="446"/>
      <c r="U250" s="447"/>
      <c r="V250" s="447"/>
    </row>
    <row r="251" spans="1:22" ht="12.75" customHeight="1" x14ac:dyDescent="0.25">
      <c r="A251" s="512"/>
      <c r="B251" s="446"/>
      <c r="C251" s="446"/>
      <c r="D251" s="513"/>
      <c r="E251" s="514"/>
      <c r="F251" s="515"/>
      <c r="G251" s="516"/>
      <c r="H251" s="517"/>
      <c r="I251" s="517"/>
      <c r="J251" s="517"/>
      <c r="K251" s="517"/>
      <c r="L251" s="517"/>
      <c r="M251" s="517"/>
      <c r="N251" s="517"/>
      <c r="O251" s="446"/>
      <c r="P251" s="446"/>
      <c r="Q251" s="446"/>
      <c r="R251" s="446"/>
      <c r="S251" s="446"/>
      <c r="T251" s="446"/>
      <c r="U251" s="447"/>
      <c r="V251" s="447"/>
    </row>
    <row r="252" spans="1:22" ht="12.75" customHeight="1" x14ac:dyDescent="0.25">
      <c r="A252" s="512"/>
      <c r="B252" s="446"/>
      <c r="C252" s="446"/>
      <c r="D252" s="513"/>
      <c r="E252" s="514"/>
      <c r="F252" s="515"/>
      <c r="G252" s="516"/>
      <c r="H252" s="517"/>
      <c r="I252" s="517"/>
      <c r="J252" s="517"/>
      <c r="K252" s="517"/>
      <c r="L252" s="517"/>
      <c r="M252" s="517"/>
      <c r="N252" s="517"/>
      <c r="O252" s="446"/>
      <c r="P252" s="446"/>
      <c r="Q252" s="446"/>
      <c r="R252" s="446"/>
      <c r="S252" s="446"/>
      <c r="T252" s="446"/>
      <c r="U252" s="447"/>
      <c r="V252" s="447"/>
    </row>
    <row r="253" spans="1:22" ht="12.75" customHeight="1" x14ac:dyDescent="0.25">
      <c r="A253" s="512"/>
      <c r="B253" s="446"/>
      <c r="C253" s="446"/>
      <c r="D253" s="513"/>
      <c r="E253" s="514"/>
      <c r="F253" s="515"/>
      <c r="G253" s="516"/>
      <c r="H253" s="517"/>
      <c r="I253" s="517"/>
      <c r="J253" s="517"/>
      <c r="K253" s="517"/>
      <c r="L253" s="517"/>
      <c r="M253" s="517"/>
      <c r="N253" s="517"/>
      <c r="O253" s="446"/>
      <c r="P253" s="446"/>
      <c r="Q253" s="446"/>
      <c r="R253" s="446"/>
      <c r="S253" s="446"/>
      <c r="T253" s="446"/>
      <c r="U253" s="447"/>
      <c r="V253" s="447"/>
    </row>
    <row r="254" spans="1:22" ht="12.75" customHeight="1" x14ac:dyDescent="0.25">
      <c r="A254" s="512"/>
      <c r="B254" s="446"/>
      <c r="C254" s="446"/>
      <c r="D254" s="513"/>
      <c r="E254" s="514"/>
      <c r="F254" s="515"/>
      <c r="G254" s="516"/>
      <c r="H254" s="517"/>
      <c r="I254" s="517"/>
      <c r="J254" s="517"/>
      <c r="K254" s="517"/>
      <c r="L254" s="517"/>
      <c r="M254" s="517"/>
      <c r="N254" s="517"/>
      <c r="O254" s="446"/>
      <c r="P254" s="446"/>
      <c r="Q254" s="446"/>
      <c r="R254" s="446"/>
      <c r="S254" s="446"/>
      <c r="T254" s="446"/>
      <c r="U254" s="447"/>
      <c r="V254" s="447"/>
    </row>
    <row r="255" spans="1:22" ht="12.75" customHeight="1" x14ac:dyDescent="0.25">
      <c r="A255" s="512"/>
      <c r="B255" s="446"/>
      <c r="C255" s="446"/>
      <c r="D255" s="513"/>
      <c r="E255" s="514"/>
      <c r="F255" s="515"/>
      <c r="G255" s="516"/>
      <c r="H255" s="517"/>
      <c r="I255" s="517"/>
      <c r="J255" s="517"/>
      <c r="K255" s="517"/>
      <c r="L255" s="517"/>
      <c r="M255" s="517"/>
      <c r="N255" s="517"/>
      <c r="O255" s="446"/>
      <c r="P255" s="446"/>
      <c r="Q255" s="446"/>
      <c r="R255" s="446"/>
      <c r="S255" s="446"/>
      <c r="T255" s="446"/>
      <c r="U255" s="447"/>
      <c r="V255" s="447"/>
    </row>
    <row r="256" spans="1:22" ht="12.75" customHeight="1" x14ac:dyDescent="0.25">
      <c r="A256" s="512"/>
      <c r="B256" s="446"/>
      <c r="C256" s="446"/>
      <c r="D256" s="513"/>
      <c r="E256" s="514"/>
      <c r="F256" s="515"/>
      <c r="G256" s="516"/>
      <c r="H256" s="517"/>
      <c r="I256" s="517"/>
      <c r="J256" s="517"/>
      <c r="K256" s="517"/>
      <c r="L256" s="517"/>
      <c r="M256" s="517"/>
      <c r="N256" s="517"/>
      <c r="O256" s="446"/>
      <c r="P256" s="446"/>
      <c r="Q256" s="446"/>
      <c r="R256" s="446"/>
      <c r="S256" s="446"/>
      <c r="T256" s="446"/>
      <c r="U256" s="447"/>
      <c r="V256" s="447"/>
    </row>
    <row r="257" spans="1:22" ht="12.75" customHeight="1" x14ac:dyDescent="0.25">
      <c r="A257" s="512"/>
      <c r="B257" s="446"/>
      <c r="C257" s="446"/>
      <c r="D257" s="513"/>
      <c r="E257" s="514"/>
      <c r="F257" s="515"/>
      <c r="G257" s="516"/>
      <c r="H257" s="517"/>
      <c r="I257" s="517"/>
      <c r="J257" s="517"/>
      <c r="K257" s="517"/>
      <c r="L257" s="517"/>
      <c r="M257" s="517"/>
      <c r="N257" s="517"/>
      <c r="O257" s="446"/>
      <c r="P257" s="446"/>
      <c r="Q257" s="446"/>
      <c r="R257" s="446"/>
      <c r="S257" s="446"/>
      <c r="T257" s="446"/>
      <c r="U257" s="447"/>
      <c r="V257" s="447"/>
    </row>
    <row r="258" spans="1:22" ht="12.75" customHeight="1" x14ac:dyDescent="0.25">
      <c r="A258" s="512"/>
      <c r="B258" s="446"/>
      <c r="C258" s="446"/>
      <c r="D258" s="513"/>
      <c r="E258" s="514"/>
      <c r="F258" s="515"/>
      <c r="G258" s="516"/>
      <c r="H258" s="517"/>
      <c r="I258" s="517"/>
      <c r="J258" s="517"/>
      <c r="K258" s="517"/>
      <c r="L258" s="517"/>
      <c r="M258" s="517"/>
      <c r="N258" s="517"/>
      <c r="O258" s="446"/>
      <c r="P258" s="446"/>
      <c r="Q258" s="446"/>
      <c r="R258" s="446"/>
      <c r="S258" s="446"/>
      <c r="T258" s="446"/>
      <c r="U258" s="447"/>
      <c r="V258" s="447"/>
    </row>
    <row r="259" spans="1:22" ht="12.75" customHeight="1" x14ac:dyDescent="0.25">
      <c r="A259" s="512"/>
      <c r="B259" s="446"/>
      <c r="C259" s="446"/>
      <c r="D259" s="513"/>
      <c r="E259" s="514"/>
      <c r="F259" s="515"/>
      <c r="G259" s="516"/>
      <c r="H259" s="517"/>
      <c r="I259" s="517"/>
      <c r="J259" s="517"/>
      <c r="K259" s="517"/>
      <c r="L259" s="517"/>
      <c r="M259" s="517"/>
      <c r="N259" s="517"/>
      <c r="O259" s="446"/>
      <c r="P259" s="446"/>
      <c r="Q259" s="446"/>
      <c r="R259" s="446"/>
      <c r="S259" s="446"/>
      <c r="T259" s="446"/>
      <c r="U259" s="447"/>
      <c r="V259" s="447"/>
    </row>
    <row r="260" spans="1:22" ht="12.75" customHeight="1" x14ac:dyDescent="0.25">
      <c r="A260" s="512"/>
      <c r="B260" s="446"/>
      <c r="C260" s="446"/>
      <c r="D260" s="513"/>
      <c r="E260" s="514"/>
      <c r="F260" s="515"/>
      <c r="G260" s="516"/>
      <c r="H260" s="517"/>
      <c r="I260" s="517"/>
      <c r="J260" s="517"/>
      <c r="K260" s="517"/>
      <c r="L260" s="517"/>
      <c r="M260" s="517"/>
      <c r="N260" s="517"/>
      <c r="O260" s="446"/>
      <c r="P260" s="446"/>
      <c r="Q260" s="446"/>
      <c r="R260" s="446"/>
      <c r="S260" s="446"/>
      <c r="T260" s="446"/>
      <c r="U260" s="447"/>
      <c r="V260" s="447"/>
    </row>
    <row r="261" spans="1:22" ht="12.75" customHeight="1" x14ac:dyDescent="0.25">
      <c r="A261" s="512"/>
      <c r="B261" s="446"/>
      <c r="C261" s="446"/>
      <c r="D261" s="513"/>
      <c r="E261" s="514"/>
      <c r="F261" s="515"/>
      <c r="G261" s="516"/>
      <c r="H261" s="517"/>
      <c r="I261" s="517"/>
      <c r="J261" s="517"/>
      <c r="K261" s="517"/>
      <c r="L261" s="517"/>
      <c r="M261" s="517"/>
      <c r="N261" s="517"/>
      <c r="O261" s="446"/>
      <c r="P261" s="446"/>
      <c r="Q261" s="446"/>
      <c r="R261" s="446"/>
      <c r="S261" s="446"/>
      <c r="T261" s="446"/>
      <c r="U261" s="447"/>
      <c r="V261" s="447"/>
    </row>
    <row r="262" spans="1:22" ht="12.75" customHeight="1" x14ac:dyDescent="0.25">
      <c r="A262" s="512"/>
      <c r="B262" s="446"/>
      <c r="C262" s="446"/>
      <c r="D262" s="513"/>
      <c r="E262" s="514"/>
      <c r="F262" s="515"/>
      <c r="G262" s="516"/>
      <c r="H262" s="517"/>
      <c r="I262" s="517"/>
      <c r="J262" s="517"/>
      <c r="K262" s="517"/>
      <c r="L262" s="517"/>
      <c r="M262" s="517"/>
      <c r="N262" s="517"/>
      <c r="O262" s="446"/>
      <c r="P262" s="446"/>
      <c r="Q262" s="446"/>
      <c r="R262" s="446"/>
      <c r="S262" s="446"/>
      <c r="T262" s="446"/>
      <c r="U262" s="447"/>
      <c r="V262" s="447"/>
    </row>
    <row r="263" spans="1:22" ht="12.75" customHeight="1" x14ac:dyDescent="0.25">
      <c r="A263" s="342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30"/>
      <c r="R263" s="30"/>
      <c r="S263" s="30"/>
      <c r="T263" s="30"/>
    </row>
    <row r="264" spans="1:22" ht="12.75" customHeight="1" x14ac:dyDescent="0.25">
      <c r="A264" s="342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30"/>
      <c r="R264" s="30"/>
      <c r="S264" s="30"/>
      <c r="T264" s="30"/>
    </row>
    <row r="265" spans="1:22" ht="12.75" customHeight="1" x14ac:dyDescent="0.25">
      <c r="A265" s="342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30"/>
      <c r="R265" s="30"/>
      <c r="S265" s="30"/>
      <c r="T265" s="30"/>
    </row>
    <row r="266" spans="1:22" ht="12.75" customHeight="1" x14ac:dyDescent="0.25">
      <c r="A266" s="342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30"/>
      <c r="R266" s="30"/>
      <c r="S266" s="30"/>
      <c r="T266" s="30"/>
    </row>
    <row r="267" spans="1:22" ht="12.75" customHeight="1" x14ac:dyDescent="0.25">
      <c r="A267" s="342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30"/>
      <c r="R267" s="30"/>
      <c r="S267" s="30"/>
      <c r="T267" s="30"/>
    </row>
    <row r="268" spans="1:22" ht="12.75" customHeight="1" x14ac:dyDescent="0.25">
      <c r="A268" s="342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30"/>
      <c r="R268" s="30"/>
      <c r="S268" s="30"/>
      <c r="T268" s="30"/>
    </row>
    <row r="269" spans="1:22" ht="12.75" customHeight="1" x14ac:dyDescent="0.25">
      <c r="A269" s="342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30"/>
      <c r="R269" s="30"/>
      <c r="S269" s="30"/>
      <c r="T269" s="30"/>
    </row>
    <row r="270" spans="1:22" ht="12.75" customHeight="1" x14ac:dyDescent="0.25">
      <c r="A270" s="342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30"/>
      <c r="R270" s="30"/>
      <c r="S270" s="30"/>
      <c r="T270" s="30"/>
    </row>
    <row r="271" spans="1:22" ht="12.75" customHeight="1" x14ac:dyDescent="0.25">
      <c r="A271" s="342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30"/>
      <c r="R271" s="30"/>
      <c r="S271" s="30"/>
      <c r="T271" s="30"/>
    </row>
    <row r="272" spans="1:22" ht="12.75" customHeight="1" x14ac:dyDescent="0.25">
      <c r="A272" s="342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30"/>
      <c r="R272" s="30"/>
      <c r="S272" s="30"/>
      <c r="T272" s="30"/>
    </row>
    <row r="273" spans="1:20" ht="12.75" customHeight="1" x14ac:dyDescent="0.25">
      <c r="A273" s="342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30"/>
      <c r="R273" s="30"/>
      <c r="S273" s="30"/>
      <c r="T273" s="30"/>
    </row>
    <row r="274" spans="1:20" ht="12.75" customHeight="1" x14ac:dyDescent="0.25">
      <c r="A274" s="342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30"/>
      <c r="R274" s="30"/>
      <c r="S274" s="30"/>
      <c r="T274" s="30"/>
    </row>
    <row r="275" spans="1:20" ht="12.75" customHeight="1" x14ac:dyDescent="0.25">
      <c r="A275" s="342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30"/>
      <c r="R275" s="30"/>
      <c r="S275" s="30"/>
      <c r="T275" s="30"/>
    </row>
    <row r="276" spans="1:20" ht="12.75" customHeight="1" x14ac:dyDescent="0.25">
      <c r="A276" s="342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30"/>
      <c r="R276" s="30"/>
      <c r="S276" s="30"/>
      <c r="T276" s="30"/>
    </row>
    <row r="277" spans="1:20" ht="12.75" customHeight="1" x14ac:dyDescent="0.25">
      <c r="A277" s="342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30"/>
      <c r="R277" s="30"/>
      <c r="S277" s="30"/>
      <c r="T277" s="30"/>
    </row>
    <row r="278" spans="1:20" ht="12.75" customHeight="1" x14ac:dyDescent="0.25">
      <c r="A278" s="342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30"/>
      <c r="R278" s="30"/>
      <c r="S278" s="30"/>
      <c r="T278" s="30"/>
    </row>
    <row r="279" spans="1:20" ht="12.75" customHeight="1" x14ac:dyDescent="0.25">
      <c r="A279" s="342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30"/>
      <c r="R279" s="30"/>
      <c r="S279" s="30"/>
      <c r="T279" s="30"/>
    </row>
    <row r="280" spans="1:20" ht="12.75" customHeight="1" x14ac:dyDescent="0.25">
      <c r="A280" s="342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30"/>
      <c r="R280" s="30"/>
      <c r="S280" s="30"/>
      <c r="T280" s="30"/>
    </row>
    <row r="281" spans="1:20" ht="12.75" customHeight="1" x14ac:dyDescent="0.25">
      <c r="A281" s="342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30"/>
      <c r="R281" s="30"/>
      <c r="S281" s="30"/>
      <c r="T281" s="30"/>
    </row>
    <row r="282" spans="1:20" ht="12.75" customHeight="1" x14ac:dyDescent="0.25">
      <c r="A282" s="342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30"/>
      <c r="R282" s="30"/>
      <c r="S282" s="30"/>
      <c r="T282" s="30"/>
    </row>
    <row r="283" spans="1:20" ht="12.75" customHeight="1" x14ac:dyDescent="0.25">
      <c r="A283" s="342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30"/>
      <c r="R283" s="30"/>
      <c r="S283" s="30"/>
      <c r="T283" s="30"/>
    </row>
    <row r="284" spans="1:20" ht="12.75" customHeight="1" x14ac:dyDescent="0.25">
      <c r="A284" s="342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30"/>
      <c r="R284" s="30"/>
      <c r="S284" s="30"/>
      <c r="T284" s="30"/>
    </row>
    <row r="285" spans="1:20" ht="12.75" customHeight="1" x14ac:dyDescent="0.25">
      <c r="A285" s="342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30"/>
      <c r="R285" s="30"/>
      <c r="S285" s="30"/>
      <c r="T285" s="30"/>
    </row>
    <row r="286" spans="1:20" ht="12.75" customHeight="1" x14ac:dyDescent="0.25">
      <c r="A286" s="342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30"/>
      <c r="R286" s="30"/>
      <c r="S286" s="30"/>
      <c r="T286" s="30"/>
    </row>
    <row r="287" spans="1:20" ht="12.75" customHeight="1" x14ac:dyDescent="0.25">
      <c r="A287" s="342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30"/>
      <c r="R287" s="30"/>
      <c r="S287" s="30"/>
      <c r="T287" s="30"/>
    </row>
    <row r="288" spans="1:20" ht="12.75" customHeight="1" x14ac:dyDescent="0.25">
      <c r="A288" s="342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30"/>
      <c r="R288" s="30"/>
      <c r="S288" s="30"/>
      <c r="T288" s="30"/>
    </row>
    <row r="289" spans="1:20" ht="12.75" customHeight="1" x14ac:dyDescent="0.25">
      <c r="A289" s="342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30"/>
      <c r="R289" s="30"/>
      <c r="S289" s="30"/>
      <c r="T289" s="30"/>
    </row>
    <row r="290" spans="1:20" ht="12.75" customHeight="1" x14ac:dyDescent="0.25">
      <c r="A290" s="342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30"/>
      <c r="R290" s="30"/>
      <c r="S290" s="30"/>
      <c r="T290" s="30"/>
    </row>
    <row r="291" spans="1:20" ht="12.75" customHeight="1" x14ac:dyDescent="0.25">
      <c r="A291" s="342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30"/>
      <c r="R291" s="30"/>
      <c r="S291" s="30"/>
      <c r="T291" s="30"/>
    </row>
    <row r="292" spans="1:20" ht="12.75" customHeight="1" x14ac:dyDescent="0.25">
      <c r="A292" s="342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30"/>
      <c r="R292" s="30"/>
      <c r="S292" s="30"/>
      <c r="T292" s="30"/>
    </row>
    <row r="293" spans="1:20" ht="12.75" customHeight="1" x14ac:dyDescent="0.25">
      <c r="A293" s="342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30"/>
      <c r="R293" s="30"/>
      <c r="S293" s="30"/>
      <c r="T293" s="30"/>
    </row>
    <row r="294" spans="1:20" ht="12.75" customHeight="1" x14ac:dyDescent="0.25">
      <c r="A294" s="342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30"/>
      <c r="R294" s="30"/>
      <c r="S294" s="30"/>
      <c r="T294" s="30"/>
    </row>
    <row r="295" spans="1:20" ht="12.75" customHeight="1" x14ac:dyDescent="0.25">
      <c r="A295" s="342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30"/>
      <c r="R295" s="30"/>
      <c r="S295" s="30"/>
      <c r="T295" s="30"/>
    </row>
    <row r="296" spans="1:20" ht="12.75" customHeight="1" x14ac:dyDescent="0.25">
      <c r="A296" s="342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30"/>
      <c r="R296" s="30"/>
      <c r="S296" s="30"/>
      <c r="T296" s="30"/>
    </row>
    <row r="297" spans="1:20" ht="12.75" customHeight="1" x14ac:dyDescent="0.25">
      <c r="A297" s="342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30"/>
      <c r="R297" s="30"/>
      <c r="S297" s="30"/>
      <c r="T297" s="30"/>
    </row>
    <row r="298" spans="1:20" ht="12.75" customHeight="1" x14ac:dyDescent="0.25">
      <c r="A298" s="342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30"/>
      <c r="R298" s="30"/>
      <c r="S298" s="30"/>
      <c r="T298" s="30"/>
    </row>
    <row r="299" spans="1:20" ht="12.75" customHeight="1" x14ac:dyDescent="0.25">
      <c r="A299" s="342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30"/>
      <c r="R299" s="30"/>
      <c r="S299" s="30"/>
      <c r="T299" s="30"/>
    </row>
    <row r="300" spans="1:20" ht="12.75" customHeight="1" x14ac:dyDescent="0.25">
      <c r="A300" s="342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30"/>
      <c r="R300" s="30"/>
      <c r="S300" s="30"/>
      <c r="T300" s="30"/>
    </row>
    <row r="301" spans="1:20" ht="12.75" customHeight="1" x14ac:dyDescent="0.25">
      <c r="A301" s="342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30"/>
      <c r="R301" s="30"/>
      <c r="S301" s="30"/>
      <c r="T301" s="30"/>
    </row>
    <row r="302" spans="1:20" ht="12.75" customHeight="1" x14ac:dyDescent="0.25">
      <c r="A302" s="342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30"/>
      <c r="R302" s="30"/>
      <c r="S302" s="30"/>
      <c r="T302" s="30"/>
    </row>
    <row r="303" spans="1:20" ht="12.75" customHeight="1" x14ac:dyDescent="0.25">
      <c r="A303" s="342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30"/>
      <c r="R303" s="30"/>
      <c r="S303" s="30"/>
      <c r="T303" s="30"/>
    </row>
    <row r="304" spans="1:20" ht="12.75" customHeight="1" x14ac:dyDescent="0.25">
      <c r="A304" s="342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30"/>
      <c r="R304" s="30"/>
      <c r="S304" s="30"/>
      <c r="T304" s="30"/>
    </row>
    <row r="305" spans="1:20" ht="12.75" customHeight="1" x14ac:dyDescent="0.25">
      <c r="A305" s="342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30"/>
      <c r="R305" s="30"/>
      <c r="S305" s="30"/>
      <c r="T305" s="30"/>
    </row>
    <row r="306" spans="1:20" ht="12.75" customHeight="1" x14ac:dyDescent="0.25">
      <c r="A306" s="342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30"/>
      <c r="R306" s="30"/>
      <c r="S306" s="30"/>
      <c r="T306" s="30"/>
    </row>
    <row r="307" spans="1:20" ht="12.75" customHeight="1" x14ac:dyDescent="0.25">
      <c r="A307" s="342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30"/>
      <c r="R307" s="30"/>
      <c r="S307" s="30"/>
      <c r="T307" s="30"/>
    </row>
    <row r="308" spans="1:20" ht="12.75" customHeight="1" x14ac:dyDescent="0.25">
      <c r="A308" s="342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30"/>
      <c r="R308" s="30"/>
      <c r="S308" s="30"/>
      <c r="T308" s="30"/>
    </row>
    <row r="309" spans="1:20" ht="12.75" customHeight="1" x14ac:dyDescent="0.25">
      <c r="A309" s="342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30"/>
      <c r="R309" s="30"/>
      <c r="S309" s="30"/>
      <c r="T309" s="30"/>
    </row>
    <row r="310" spans="1:20" ht="12.75" customHeight="1" x14ac:dyDescent="0.25">
      <c r="A310" s="342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30"/>
      <c r="R310" s="30"/>
      <c r="S310" s="30"/>
      <c r="T310" s="30"/>
    </row>
    <row r="311" spans="1:20" ht="12.75" customHeight="1" x14ac:dyDescent="0.25">
      <c r="A311" s="342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30"/>
      <c r="R311" s="30"/>
      <c r="S311" s="30"/>
      <c r="T311" s="30"/>
    </row>
    <row r="312" spans="1:20" ht="12.75" customHeight="1" x14ac:dyDescent="0.25">
      <c r="A312" s="342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30"/>
      <c r="R312" s="30"/>
      <c r="S312" s="30"/>
      <c r="T312" s="30"/>
    </row>
    <row r="313" spans="1:20" ht="12.75" customHeight="1" x14ac:dyDescent="0.25">
      <c r="A313" s="342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30"/>
      <c r="R313" s="30"/>
      <c r="S313" s="30"/>
      <c r="T313" s="30"/>
    </row>
    <row r="314" spans="1:20" ht="12.75" customHeight="1" x14ac:dyDescent="0.25">
      <c r="A314" s="342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30"/>
      <c r="R314" s="30"/>
      <c r="S314" s="30"/>
      <c r="T314" s="30"/>
    </row>
    <row r="315" spans="1:20" ht="12.75" customHeight="1" x14ac:dyDescent="0.25">
      <c r="A315" s="342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30"/>
      <c r="R315" s="30"/>
      <c r="S315" s="30"/>
      <c r="T315" s="30"/>
    </row>
    <row r="316" spans="1:20" ht="12.75" customHeight="1" x14ac:dyDescent="0.25">
      <c r="A316" s="342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30"/>
      <c r="R316" s="30"/>
      <c r="S316" s="30"/>
      <c r="T316" s="30"/>
    </row>
    <row r="317" spans="1:20" ht="12.75" customHeight="1" x14ac:dyDescent="0.25">
      <c r="A317" s="342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30"/>
      <c r="R317" s="30"/>
      <c r="S317" s="30"/>
      <c r="T317" s="30"/>
    </row>
    <row r="318" spans="1:20" ht="12.75" customHeight="1" x14ac:dyDescent="0.25">
      <c r="A318" s="342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30"/>
      <c r="R318" s="30"/>
      <c r="S318" s="30"/>
      <c r="T318" s="30"/>
    </row>
    <row r="319" spans="1:20" ht="12.75" customHeight="1" x14ac:dyDescent="0.25">
      <c r="A319" s="342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30"/>
      <c r="R319" s="30"/>
      <c r="S319" s="30"/>
      <c r="T319" s="30"/>
    </row>
    <row r="320" spans="1:20" ht="12.75" customHeight="1" x14ac:dyDescent="0.25">
      <c r="A320" s="342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30"/>
      <c r="R320" s="30"/>
      <c r="S320" s="30"/>
      <c r="T320" s="30"/>
    </row>
    <row r="321" spans="1:20" ht="12.75" customHeight="1" x14ac:dyDescent="0.25">
      <c r="A321" s="342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30"/>
      <c r="R321" s="30"/>
      <c r="S321" s="30"/>
      <c r="T321" s="30"/>
    </row>
    <row r="322" spans="1:20" ht="12.75" customHeight="1" x14ac:dyDescent="0.25">
      <c r="A322" s="342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30"/>
      <c r="R322" s="30"/>
      <c r="S322" s="30"/>
      <c r="T322" s="30"/>
    </row>
    <row r="323" spans="1:20" ht="12.75" customHeight="1" x14ac:dyDescent="0.25">
      <c r="A323" s="342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30"/>
      <c r="R323" s="30"/>
      <c r="S323" s="30"/>
      <c r="T323" s="30"/>
    </row>
    <row r="324" spans="1:20" ht="12.75" customHeight="1" x14ac:dyDescent="0.25">
      <c r="A324" s="342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30"/>
      <c r="R324" s="30"/>
      <c r="S324" s="30"/>
      <c r="T324" s="30"/>
    </row>
    <row r="325" spans="1:20" ht="12.75" customHeight="1" x14ac:dyDescent="0.25">
      <c r="A325" s="342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30"/>
      <c r="R325" s="30"/>
      <c r="S325" s="30"/>
      <c r="T325" s="30"/>
    </row>
    <row r="326" spans="1:20" ht="12.75" customHeight="1" x14ac:dyDescent="0.25">
      <c r="A326" s="342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30"/>
      <c r="R326" s="30"/>
      <c r="S326" s="30"/>
      <c r="T326" s="30"/>
    </row>
    <row r="327" spans="1:20" ht="12.75" customHeight="1" x14ac:dyDescent="0.25">
      <c r="A327" s="342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30"/>
      <c r="R327" s="30"/>
      <c r="S327" s="30"/>
      <c r="T327" s="30"/>
    </row>
    <row r="328" spans="1:20" ht="12.75" customHeight="1" x14ac:dyDescent="0.25">
      <c r="A328" s="342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30"/>
      <c r="R328" s="30"/>
      <c r="S328" s="30"/>
      <c r="T328" s="30"/>
    </row>
    <row r="329" spans="1:20" ht="12.75" customHeight="1" x14ac:dyDescent="0.25">
      <c r="A329" s="342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30"/>
      <c r="R329" s="30"/>
      <c r="S329" s="30"/>
      <c r="T329" s="30"/>
    </row>
    <row r="330" spans="1:20" ht="12.75" customHeight="1" x14ac:dyDescent="0.25">
      <c r="A330" s="342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30"/>
      <c r="R330" s="30"/>
      <c r="S330" s="30"/>
      <c r="T330" s="30"/>
    </row>
    <row r="331" spans="1:20" ht="12.75" customHeight="1" x14ac:dyDescent="0.25">
      <c r="A331" s="342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30"/>
      <c r="R331" s="30"/>
      <c r="S331" s="30"/>
      <c r="T331" s="30"/>
    </row>
    <row r="332" spans="1:20" ht="12.75" customHeight="1" x14ac:dyDescent="0.25">
      <c r="A332" s="342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30"/>
      <c r="R332" s="30"/>
      <c r="S332" s="30"/>
      <c r="T332" s="30"/>
    </row>
    <row r="333" spans="1:20" ht="12.75" customHeight="1" x14ac:dyDescent="0.25">
      <c r="A333" s="342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30"/>
      <c r="R333" s="30"/>
      <c r="S333" s="30"/>
      <c r="T333" s="30"/>
    </row>
    <row r="334" spans="1:20" ht="12.75" customHeight="1" x14ac:dyDescent="0.25">
      <c r="A334" s="342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30"/>
      <c r="R334" s="30"/>
      <c r="S334" s="30"/>
      <c r="T334" s="30"/>
    </row>
    <row r="335" spans="1:20" ht="12.75" customHeight="1" x14ac:dyDescent="0.25">
      <c r="A335" s="342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30"/>
      <c r="R335" s="30"/>
      <c r="S335" s="30"/>
      <c r="T335" s="30"/>
    </row>
    <row r="336" spans="1:20" ht="12.75" customHeight="1" x14ac:dyDescent="0.25">
      <c r="A336" s="342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30"/>
      <c r="R336" s="30"/>
      <c r="S336" s="30"/>
      <c r="T336" s="30"/>
    </row>
    <row r="337" spans="1:20" ht="12.75" customHeight="1" x14ac:dyDescent="0.25">
      <c r="A337" s="342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30"/>
      <c r="R337" s="30"/>
      <c r="S337" s="30"/>
      <c r="T337" s="30"/>
    </row>
    <row r="338" spans="1:20" ht="12.75" customHeight="1" x14ac:dyDescent="0.25">
      <c r="A338" s="342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30"/>
      <c r="R338" s="30"/>
      <c r="S338" s="30"/>
      <c r="T338" s="30"/>
    </row>
    <row r="339" spans="1:20" ht="12.75" customHeight="1" x14ac:dyDescent="0.25">
      <c r="A339" s="342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30"/>
      <c r="R339" s="30"/>
      <c r="S339" s="30"/>
      <c r="T339" s="30"/>
    </row>
    <row r="340" spans="1:20" ht="12.75" customHeight="1" x14ac:dyDescent="0.25">
      <c r="A340" s="342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30"/>
      <c r="R340" s="30"/>
      <c r="S340" s="30"/>
      <c r="T340" s="30"/>
    </row>
    <row r="341" spans="1:20" ht="12.75" customHeight="1" x14ac:dyDescent="0.25">
      <c r="A341" s="342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30"/>
      <c r="R341" s="30"/>
      <c r="S341" s="30"/>
      <c r="T341" s="30"/>
    </row>
    <row r="342" spans="1:20" ht="12.75" customHeight="1" x14ac:dyDescent="0.25">
      <c r="A342" s="342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30"/>
      <c r="R342" s="30"/>
      <c r="S342" s="30"/>
      <c r="T342" s="30"/>
    </row>
    <row r="343" spans="1:20" ht="12.75" customHeight="1" x14ac:dyDescent="0.25">
      <c r="A343" s="342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30"/>
      <c r="R343" s="30"/>
      <c r="S343" s="30"/>
      <c r="T343" s="30"/>
    </row>
    <row r="344" spans="1:20" ht="12.75" customHeight="1" x14ac:dyDescent="0.25">
      <c r="A344" s="342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30"/>
      <c r="R344" s="30"/>
      <c r="S344" s="30"/>
      <c r="T344" s="30"/>
    </row>
    <row r="345" spans="1:20" ht="12.75" customHeight="1" x14ac:dyDescent="0.25">
      <c r="A345" s="342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30"/>
      <c r="R345" s="30"/>
      <c r="S345" s="30"/>
      <c r="T345" s="30"/>
    </row>
    <row r="346" spans="1:20" ht="12.75" customHeight="1" x14ac:dyDescent="0.25">
      <c r="A346" s="342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30"/>
      <c r="R346" s="30"/>
      <c r="S346" s="30"/>
      <c r="T346" s="30"/>
    </row>
    <row r="347" spans="1:20" ht="12.75" customHeight="1" x14ac:dyDescent="0.25">
      <c r="A347" s="342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30"/>
      <c r="R347" s="30"/>
      <c r="S347" s="30"/>
      <c r="T347" s="30"/>
    </row>
    <row r="348" spans="1:20" ht="12.75" customHeight="1" x14ac:dyDescent="0.25">
      <c r="A348" s="342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30"/>
      <c r="R348" s="30"/>
      <c r="S348" s="30"/>
      <c r="T348" s="30"/>
    </row>
    <row r="349" spans="1:20" ht="12.75" customHeight="1" x14ac:dyDescent="0.25">
      <c r="A349" s="342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30"/>
      <c r="R349" s="30"/>
      <c r="S349" s="30"/>
      <c r="T349" s="30"/>
    </row>
    <row r="350" spans="1:20" ht="12.75" customHeight="1" x14ac:dyDescent="0.25">
      <c r="A350" s="342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30"/>
      <c r="R350" s="30"/>
      <c r="S350" s="30"/>
      <c r="T350" s="30"/>
    </row>
    <row r="351" spans="1:20" ht="12.75" customHeight="1" x14ac:dyDescent="0.25">
      <c r="A351" s="342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30"/>
      <c r="R351" s="30"/>
      <c r="S351" s="30"/>
      <c r="T351" s="30"/>
    </row>
    <row r="352" spans="1:20" ht="12.75" customHeight="1" x14ac:dyDescent="0.25">
      <c r="A352" s="342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30"/>
      <c r="R352" s="30"/>
      <c r="S352" s="30"/>
      <c r="T352" s="30"/>
    </row>
    <row r="353" spans="1:20" ht="12.75" customHeight="1" x14ac:dyDescent="0.25">
      <c r="A353" s="342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30"/>
      <c r="R353" s="30"/>
      <c r="S353" s="30"/>
      <c r="T353" s="30"/>
    </row>
    <row r="354" spans="1:20" ht="12.75" customHeight="1" x14ac:dyDescent="0.25">
      <c r="A354" s="342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30"/>
      <c r="R354" s="30"/>
      <c r="S354" s="30"/>
      <c r="T354" s="30"/>
    </row>
    <row r="355" spans="1:20" ht="12.75" customHeight="1" x14ac:dyDescent="0.25">
      <c r="A355" s="342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30"/>
      <c r="R355" s="30"/>
      <c r="S355" s="30"/>
      <c r="T355" s="30"/>
    </row>
    <row r="356" spans="1:20" ht="12.75" customHeight="1" x14ac:dyDescent="0.25">
      <c r="A356" s="342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30"/>
      <c r="R356" s="30"/>
      <c r="S356" s="30"/>
      <c r="T356" s="30"/>
    </row>
    <row r="357" spans="1:20" ht="12.75" customHeight="1" x14ac:dyDescent="0.25">
      <c r="A357" s="342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30"/>
      <c r="R357" s="30"/>
      <c r="S357" s="30"/>
      <c r="T357" s="30"/>
    </row>
    <row r="358" spans="1:20" ht="12.75" customHeight="1" x14ac:dyDescent="0.25">
      <c r="A358" s="342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30"/>
      <c r="R358" s="30"/>
      <c r="S358" s="30"/>
      <c r="T358" s="30"/>
    </row>
    <row r="359" spans="1:20" ht="12.75" customHeight="1" x14ac:dyDescent="0.25">
      <c r="A359" s="342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30"/>
      <c r="R359" s="30"/>
      <c r="S359" s="30"/>
      <c r="T359" s="30"/>
    </row>
    <row r="360" spans="1:20" ht="12.75" customHeight="1" x14ac:dyDescent="0.25">
      <c r="A360" s="342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30"/>
      <c r="R360" s="30"/>
      <c r="S360" s="30"/>
      <c r="T360" s="30"/>
    </row>
    <row r="361" spans="1:20" ht="12.75" customHeight="1" x14ac:dyDescent="0.25">
      <c r="A361" s="342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30"/>
      <c r="R361" s="30"/>
      <c r="S361" s="30"/>
      <c r="T361" s="30"/>
    </row>
    <row r="362" spans="1:20" ht="12.75" customHeight="1" x14ac:dyDescent="0.25">
      <c r="A362" s="342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30"/>
      <c r="R362" s="30"/>
      <c r="S362" s="30"/>
      <c r="T362" s="30"/>
    </row>
    <row r="363" spans="1:20" ht="12.75" customHeight="1" x14ac:dyDescent="0.25">
      <c r="A363" s="342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30"/>
      <c r="R363" s="30"/>
      <c r="S363" s="30"/>
      <c r="T363" s="30"/>
    </row>
    <row r="364" spans="1:20" ht="12.75" customHeight="1" x14ac:dyDescent="0.25">
      <c r="A364" s="342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30"/>
      <c r="R364" s="30"/>
      <c r="S364" s="30"/>
      <c r="T364" s="30"/>
    </row>
    <row r="365" spans="1:20" ht="12.75" customHeight="1" x14ac:dyDescent="0.25">
      <c r="A365" s="342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30"/>
      <c r="R365" s="30"/>
      <c r="S365" s="30"/>
      <c r="T365" s="30"/>
    </row>
    <row r="366" spans="1:20" ht="12.75" customHeight="1" x14ac:dyDescent="0.25">
      <c r="A366" s="342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30"/>
      <c r="R366" s="30"/>
      <c r="S366" s="30"/>
      <c r="T366" s="30"/>
    </row>
    <row r="367" spans="1:20" ht="12.75" customHeight="1" x14ac:dyDescent="0.25">
      <c r="A367" s="342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30"/>
      <c r="R367" s="30"/>
      <c r="S367" s="30"/>
      <c r="T367" s="30"/>
    </row>
    <row r="368" spans="1:20" ht="12.75" customHeight="1" x14ac:dyDescent="0.25">
      <c r="A368" s="342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30"/>
      <c r="R368" s="30"/>
      <c r="S368" s="30"/>
      <c r="T368" s="30"/>
    </row>
    <row r="369" spans="1:20" ht="12.75" customHeight="1" x14ac:dyDescent="0.25">
      <c r="A369" s="342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30"/>
      <c r="R369" s="30"/>
      <c r="S369" s="30"/>
      <c r="T369" s="30"/>
    </row>
    <row r="370" spans="1:20" ht="12.75" customHeight="1" x14ac:dyDescent="0.25">
      <c r="A370" s="342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30"/>
      <c r="R370" s="30"/>
      <c r="S370" s="30"/>
      <c r="T370" s="30"/>
    </row>
    <row r="371" spans="1:20" ht="12.75" customHeight="1" x14ac:dyDescent="0.25">
      <c r="A371" s="342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30"/>
      <c r="R371" s="30"/>
      <c r="S371" s="30"/>
      <c r="T371" s="30"/>
    </row>
    <row r="372" spans="1:20" ht="12.75" customHeight="1" x14ac:dyDescent="0.25">
      <c r="A372" s="342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30"/>
      <c r="R372" s="30"/>
      <c r="S372" s="30"/>
      <c r="T372" s="30"/>
    </row>
    <row r="373" spans="1:20" ht="12.75" customHeight="1" x14ac:dyDescent="0.25">
      <c r="A373" s="342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30"/>
      <c r="R373" s="30"/>
      <c r="S373" s="30"/>
      <c r="T373" s="30"/>
    </row>
    <row r="374" spans="1:20" ht="12.75" customHeight="1" x14ac:dyDescent="0.25">
      <c r="A374" s="342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30"/>
      <c r="R374" s="30"/>
      <c r="S374" s="30"/>
      <c r="T374" s="30"/>
    </row>
    <row r="375" spans="1:20" ht="12.75" customHeight="1" x14ac:dyDescent="0.25">
      <c r="A375" s="342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30"/>
      <c r="R375" s="30"/>
      <c r="S375" s="30"/>
      <c r="T375" s="30"/>
    </row>
    <row r="376" spans="1:20" ht="12.75" customHeight="1" x14ac:dyDescent="0.25">
      <c r="A376" s="342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30"/>
      <c r="R376" s="30"/>
      <c r="S376" s="30"/>
      <c r="T376" s="30"/>
    </row>
    <row r="377" spans="1:20" ht="12.75" customHeight="1" x14ac:dyDescent="0.25">
      <c r="A377" s="342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30"/>
      <c r="R377" s="30"/>
      <c r="S377" s="30"/>
      <c r="T377" s="30"/>
    </row>
    <row r="378" spans="1:20" ht="12.75" customHeight="1" x14ac:dyDescent="0.25">
      <c r="A378" s="342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30"/>
      <c r="R378" s="30"/>
      <c r="S378" s="30"/>
      <c r="T378" s="30"/>
    </row>
    <row r="379" spans="1:20" ht="12.75" customHeight="1" x14ac:dyDescent="0.25">
      <c r="A379" s="342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30"/>
      <c r="R379" s="30"/>
      <c r="S379" s="30"/>
      <c r="T379" s="30"/>
    </row>
    <row r="380" spans="1:20" ht="12.75" customHeight="1" x14ac:dyDescent="0.25">
      <c r="A380" s="342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30"/>
      <c r="R380" s="30"/>
      <c r="S380" s="30"/>
      <c r="T380" s="30"/>
    </row>
    <row r="381" spans="1:20" ht="12.75" customHeight="1" x14ac:dyDescent="0.25">
      <c r="A381" s="342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30"/>
      <c r="R381" s="30"/>
      <c r="S381" s="30"/>
      <c r="T381" s="30"/>
    </row>
    <row r="382" spans="1:20" ht="12.75" customHeight="1" x14ac:dyDescent="0.25">
      <c r="A382" s="342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30"/>
      <c r="R382" s="30"/>
      <c r="S382" s="30"/>
      <c r="T382" s="30"/>
    </row>
    <row r="383" spans="1:20" ht="12.75" customHeight="1" x14ac:dyDescent="0.25">
      <c r="A383" s="342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30"/>
      <c r="R383" s="30"/>
      <c r="S383" s="30"/>
      <c r="T383" s="30"/>
    </row>
    <row r="384" spans="1:20" ht="12.75" customHeight="1" x14ac:dyDescent="0.25">
      <c r="A384" s="342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30"/>
      <c r="R384" s="30"/>
      <c r="S384" s="30"/>
      <c r="T384" s="30"/>
    </row>
    <row r="385" spans="1:20" ht="12.75" customHeight="1" x14ac:dyDescent="0.25">
      <c r="A385" s="342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30"/>
      <c r="R385" s="30"/>
      <c r="S385" s="30"/>
      <c r="T385" s="30"/>
    </row>
    <row r="386" spans="1:20" ht="12.75" customHeight="1" x14ac:dyDescent="0.25">
      <c r="A386" s="342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30"/>
      <c r="R386" s="30"/>
      <c r="S386" s="30"/>
      <c r="T386" s="30"/>
    </row>
    <row r="387" spans="1:20" ht="12.75" customHeight="1" x14ac:dyDescent="0.25">
      <c r="A387" s="342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30"/>
      <c r="R387" s="30"/>
      <c r="S387" s="30"/>
      <c r="T387" s="30"/>
    </row>
    <row r="388" spans="1:20" ht="12.75" customHeight="1" x14ac:dyDescent="0.25">
      <c r="A388" s="342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30"/>
      <c r="R388" s="30"/>
      <c r="S388" s="30"/>
      <c r="T388" s="30"/>
    </row>
    <row r="389" spans="1:20" ht="12.75" customHeight="1" x14ac:dyDescent="0.25">
      <c r="A389" s="342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30"/>
      <c r="R389" s="30"/>
      <c r="S389" s="30"/>
      <c r="T389" s="30"/>
    </row>
    <row r="390" spans="1:20" ht="12.75" customHeight="1" x14ac:dyDescent="0.25">
      <c r="A390" s="342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30"/>
      <c r="R390" s="30"/>
      <c r="S390" s="30"/>
      <c r="T390" s="30"/>
    </row>
    <row r="391" spans="1:20" ht="12.75" customHeight="1" x14ac:dyDescent="0.25">
      <c r="A391" s="342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30"/>
      <c r="R391" s="30"/>
      <c r="S391" s="30"/>
      <c r="T391" s="30"/>
    </row>
    <row r="392" spans="1:20" ht="12.75" customHeight="1" x14ac:dyDescent="0.25">
      <c r="A392" s="342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30"/>
      <c r="R392" s="30"/>
      <c r="S392" s="30"/>
      <c r="T392" s="30"/>
    </row>
    <row r="393" spans="1:20" ht="12.75" customHeight="1" x14ac:dyDescent="0.25">
      <c r="A393" s="342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30"/>
      <c r="R393" s="30"/>
      <c r="S393" s="30"/>
      <c r="T393" s="30"/>
    </row>
    <row r="394" spans="1:20" ht="12.75" customHeight="1" x14ac:dyDescent="0.25">
      <c r="A394" s="342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30"/>
      <c r="R394" s="30"/>
      <c r="S394" s="30"/>
      <c r="T394" s="30"/>
    </row>
    <row r="395" spans="1:20" ht="12.75" customHeight="1" x14ac:dyDescent="0.25">
      <c r="A395" s="342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30"/>
      <c r="R395" s="30"/>
      <c r="S395" s="30"/>
      <c r="T395" s="30"/>
    </row>
    <row r="396" spans="1:20" ht="12.75" customHeight="1" x14ac:dyDescent="0.25">
      <c r="A396" s="342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30"/>
      <c r="R396" s="30"/>
      <c r="S396" s="30"/>
      <c r="T396" s="30"/>
    </row>
    <row r="397" spans="1:20" ht="12.75" customHeight="1" x14ac:dyDescent="0.25">
      <c r="A397" s="342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30"/>
      <c r="R397" s="30"/>
      <c r="S397" s="30"/>
      <c r="T397" s="30"/>
    </row>
    <row r="398" spans="1:20" ht="12.75" customHeight="1" x14ac:dyDescent="0.25">
      <c r="A398" s="342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30"/>
      <c r="R398" s="30"/>
      <c r="S398" s="30"/>
      <c r="T398" s="30"/>
    </row>
    <row r="399" spans="1:20" ht="12.75" customHeight="1" x14ac:dyDescent="0.25">
      <c r="A399" s="342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30"/>
      <c r="R399" s="30"/>
      <c r="S399" s="30"/>
      <c r="T399" s="30"/>
    </row>
    <row r="400" spans="1:20" ht="12.75" customHeight="1" x14ac:dyDescent="0.25">
      <c r="A400" s="342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30"/>
      <c r="R400" s="30"/>
      <c r="S400" s="30"/>
      <c r="T400" s="30"/>
    </row>
    <row r="401" spans="1:20" ht="12.75" customHeight="1" x14ac:dyDescent="0.25">
      <c r="A401" s="342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30"/>
      <c r="R401" s="30"/>
      <c r="S401" s="30"/>
      <c r="T401" s="30"/>
    </row>
    <row r="402" spans="1:20" ht="12.75" customHeight="1" x14ac:dyDescent="0.25">
      <c r="A402" s="342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30"/>
      <c r="R402" s="30"/>
      <c r="S402" s="30"/>
      <c r="T402" s="30"/>
    </row>
    <row r="403" spans="1:20" ht="12.75" customHeight="1" x14ac:dyDescent="0.25">
      <c r="A403" s="342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30"/>
      <c r="R403" s="30"/>
      <c r="S403" s="30"/>
      <c r="T403" s="30"/>
    </row>
    <row r="404" spans="1:20" ht="12.75" customHeight="1" x14ac:dyDescent="0.25">
      <c r="A404" s="342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30"/>
      <c r="R404" s="30"/>
      <c r="S404" s="30"/>
      <c r="T404" s="30"/>
    </row>
    <row r="405" spans="1:20" ht="12.75" customHeight="1" x14ac:dyDescent="0.25">
      <c r="A405" s="342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30"/>
      <c r="R405" s="30"/>
      <c r="S405" s="30"/>
      <c r="T405" s="30"/>
    </row>
    <row r="406" spans="1:20" ht="12.75" customHeight="1" x14ac:dyDescent="0.25">
      <c r="A406" s="342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30"/>
      <c r="R406" s="30"/>
      <c r="S406" s="30"/>
      <c r="T406" s="30"/>
    </row>
    <row r="407" spans="1:20" ht="12.75" customHeight="1" x14ac:dyDescent="0.25">
      <c r="A407" s="342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30"/>
      <c r="R407" s="30"/>
      <c r="S407" s="30"/>
      <c r="T407" s="30"/>
    </row>
    <row r="408" spans="1:20" ht="12.75" customHeight="1" x14ac:dyDescent="0.25">
      <c r="A408" s="342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30"/>
      <c r="R408" s="30"/>
      <c r="S408" s="30"/>
      <c r="T408" s="30"/>
    </row>
    <row r="409" spans="1:20" ht="12.75" customHeight="1" x14ac:dyDescent="0.25">
      <c r="A409" s="342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30"/>
      <c r="R409" s="30"/>
      <c r="S409" s="30"/>
      <c r="T409" s="30"/>
    </row>
    <row r="410" spans="1:20" ht="12.75" customHeight="1" x14ac:dyDescent="0.25">
      <c r="A410" s="342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30"/>
      <c r="R410" s="30"/>
      <c r="S410" s="30"/>
      <c r="T410" s="30"/>
    </row>
    <row r="411" spans="1:20" ht="12.75" customHeight="1" x14ac:dyDescent="0.25">
      <c r="A411" s="342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30"/>
      <c r="R411" s="30"/>
      <c r="S411" s="30"/>
      <c r="T411" s="30"/>
    </row>
    <row r="412" spans="1:20" ht="12.75" customHeight="1" x14ac:dyDescent="0.25">
      <c r="A412" s="342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30"/>
      <c r="R412" s="30"/>
      <c r="S412" s="30"/>
      <c r="T412" s="30"/>
    </row>
    <row r="413" spans="1:20" ht="12.75" customHeight="1" x14ac:dyDescent="0.25">
      <c r="A413" s="342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30"/>
      <c r="R413" s="30"/>
      <c r="S413" s="30"/>
      <c r="T413" s="30"/>
    </row>
    <row r="414" spans="1:20" ht="12.75" customHeight="1" x14ac:dyDescent="0.25">
      <c r="A414" s="342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30"/>
      <c r="R414" s="30"/>
      <c r="S414" s="30"/>
      <c r="T414" s="30"/>
    </row>
    <row r="415" spans="1:20" ht="12.75" customHeight="1" x14ac:dyDescent="0.25">
      <c r="A415" s="342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30"/>
      <c r="R415" s="30"/>
      <c r="S415" s="30"/>
      <c r="T415" s="30"/>
    </row>
    <row r="416" spans="1:20" ht="12.75" customHeight="1" x14ac:dyDescent="0.25">
      <c r="A416" s="342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30"/>
      <c r="R416" s="30"/>
      <c r="S416" s="30"/>
      <c r="T416" s="30"/>
    </row>
    <row r="417" spans="1:20" ht="12.75" customHeight="1" x14ac:dyDescent="0.25">
      <c r="A417" s="342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30"/>
      <c r="R417" s="30"/>
      <c r="S417" s="30"/>
      <c r="T417" s="30"/>
    </row>
    <row r="418" spans="1:20" ht="12.75" customHeight="1" x14ac:dyDescent="0.25">
      <c r="A418" s="342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30"/>
      <c r="R418" s="30"/>
      <c r="S418" s="30"/>
      <c r="T418" s="30"/>
    </row>
    <row r="419" spans="1:20" ht="12.75" customHeight="1" x14ac:dyDescent="0.25">
      <c r="A419" s="342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30"/>
      <c r="R419" s="30"/>
      <c r="S419" s="30"/>
      <c r="T419" s="30"/>
    </row>
    <row r="420" spans="1:20" ht="12.75" customHeight="1" x14ac:dyDescent="0.25">
      <c r="A420" s="342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30"/>
      <c r="R420" s="30"/>
      <c r="S420" s="30"/>
      <c r="T420" s="30"/>
    </row>
    <row r="421" spans="1:20" ht="12.75" customHeight="1" x14ac:dyDescent="0.25">
      <c r="A421" s="342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30"/>
      <c r="R421" s="30"/>
      <c r="S421" s="30"/>
      <c r="T421" s="30"/>
    </row>
    <row r="422" spans="1:20" ht="12.75" customHeight="1" x14ac:dyDescent="0.25">
      <c r="A422" s="342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30"/>
      <c r="R422" s="30"/>
      <c r="S422" s="30"/>
      <c r="T422" s="30"/>
    </row>
    <row r="423" spans="1:20" ht="12.75" customHeight="1" x14ac:dyDescent="0.25">
      <c r="A423" s="342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30"/>
      <c r="R423" s="30"/>
      <c r="S423" s="30"/>
      <c r="T423" s="30"/>
    </row>
    <row r="424" spans="1:20" ht="12.75" customHeight="1" x14ac:dyDescent="0.25">
      <c r="A424" s="342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30"/>
      <c r="R424" s="30"/>
      <c r="S424" s="30"/>
      <c r="T424" s="30"/>
    </row>
    <row r="425" spans="1:20" ht="12.75" customHeight="1" x14ac:dyDescent="0.25">
      <c r="A425" s="342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30"/>
      <c r="R425" s="30"/>
      <c r="S425" s="30"/>
      <c r="T425" s="30"/>
    </row>
    <row r="426" spans="1:20" ht="12.75" customHeight="1" x14ac:dyDescent="0.25">
      <c r="A426" s="342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30"/>
      <c r="R426" s="30"/>
      <c r="S426" s="30"/>
      <c r="T426" s="30"/>
    </row>
    <row r="427" spans="1:20" ht="12.75" customHeight="1" x14ac:dyDescent="0.25">
      <c r="A427" s="342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30"/>
      <c r="R427" s="30"/>
      <c r="S427" s="30"/>
      <c r="T427" s="30"/>
    </row>
    <row r="428" spans="1:20" ht="12.75" customHeight="1" x14ac:dyDescent="0.25">
      <c r="A428" s="342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30"/>
      <c r="R428" s="30"/>
      <c r="S428" s="30"/>
      <c r="T428" s="30"/>
    </row>
    <row r="429" spans="1:20" ht="12.75" customHeight="1" x14ac:dyDescent="0.25">
      <c r="A429" s="342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30"/>
      <c r="R429" s="30"/>
      <c r="S429" s="30"/>
      <c r="T429" s="30"/>
    </row>
    <row r="430" spans="1:20" ht="12.75" customHeight="1" x14ac:dyDescent="0.25">
      <c r="A430" s="342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30"/>
      <c r="R430" s="30"/>
      <c r="S430" s="30"/>
      <c r="T430" s="30"/>
    </row>
    <row r="431" spans="1:20" ht="12.75" customHeight="1" x14ac:dyDescent="0.25">
      <c r="A431" s="342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30"/>
      <c r="R431" s="30"/>
      <c r="S431" s="30"/>
      <c r="T431" s="30"/>
    </row>
    <row r="432" spans="1:20" ht="12.75" customHeight="1" x14ac:dyDescent="0.25">
      <c r="A432" s="342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30"/>
      <c r="R432" s="30"/>
      <c r="S432" s="30"/>
      <c r="T432" s="30"/>
    </row>
    <row r="433" spans="1:20" ht="12.75" customHeight="1" x14ac:dyDescent="0.25">
      <c r="A433" s="342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30"/>
      <c r="R433" s="30"/>
      <c r="S433" s="30"/>
      <c r="T433" s="30"/>
    </row>
    <row r="434" spans="1:20" ht="12.75" customHeight="1" x14ac:dyDescent="0.25">
      <c r="A434" s="342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30"/>
      <c r="R434" s="30"/>
      <c r="S434" s="30"/>
      <c r="T434" s="30"/>
    </row>
    <row r="435" spans="1:20" ht="12.75" customHeight="1" x14ac:dyDescent="0.25">
      <c r="A435" s="342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30"/>
      <c r="R435" s="30"/>
      <c r="S435" s="30"/>
      <c r="T435" s="30"/>
    </row>
    <row r="436" spans="1:20" ht="12.75" customHeight="1" x14ac:dyDescent="0.25">
      <c r="A436" s="342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30"/>
      <c r="R436" s="30"/>
      <c r="S436" s="30"/>
      <c r="T436" s="30"/>
    </row>
    <row r="437" spans="1:20" ht="12.75" customHeight="1" x14ac:dyDescent="0.25">
      <c r="A437" s="342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30"/>
      <c r="R437" s="30"/>
      <c r="S437" s="30"/>
      <c r="T437" s="30"/>
    </row>
    <row r="438" spans="1:20" ht="12.75" customHeight="1" x14ac:dyDescent="0.25">
      <c r="A438" s="342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30"/>
      <c r="R438" s="30"/>
      <c r="S438" s="30"/>
      <c r="T438" s="30"/>
    </row>
    <row r="439" spans="1:20" ht="12.75" customHeight="1" x14ac:dyDescent="0.25">
      <c r="A439" s="342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30"/>
      <c r="R439" s="30"/>
      <c r="S439" s="30"/>
      <c r="T439" s="30"/>
    </row>
    <row r="440" spans="1:20" ht="12.75" customHeight="1" x14ac:dyDescent="0.25">
      <c r="A440" s="342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30"/>
      <c r="R440" s="30"/>
      <c r="S440" s="30"/>
      <c r="T440" s="30"/>
    </row>
    <row r="441" spans="1:20" ht="12.75" customHeight="1" x14ac:dyDescent="0.25">
      <c r="A441" s="342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30"/>
      <c r="R441" s="30"/>
      <c r="S441" s="30"/>
      <c r="T441" s="30"/>
    </row>
    <row r="442" spans="1:20" ht="12.75" customHeight="1" x14ac:dyDescent="0.25">
      <c r="A442" s="342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30"/>
      <c r="R442" s="30"/>
      <c r="S442" s="30"/>
      <c r="T442" s="30"/>
    </row>
    <row r="443" spans="1:20" ht="12.75" customHeight="1" x14ac:dyDescent="0.25">
      <c r="A443" s="342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30"/>
      <c r="R443" s="30"/>
      <c r="S443" s="30"/>
      <c r="T443" s="30"/>
    </row>
    <row r="444" spans="1:20" ht="12.75" customHeight="1" x14ac:dyDescent="0.25">
      <c r="A444" s="342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30"/>
      <c r="R444" s="30"/>
      <c r="S444" s="30"/>
      <c r="T444" s="30"/>
    </row>
    <row r="445" spans="1:20" ht="12.75" customHeight="1" x14ac:dyDescent="0.25">
      <c r="A445" s="342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30"/>
      <c r="R445" s="30"/>
      <c r="S445" s="30"/>
      <c r="T445" s="30"/>
    </row>
    <row r="446" spans="1:20" ht="12.75" customHeight="1" x14ac:dyDescent="0.25">
      <c r="A446" s="342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30"/>
      <c r="R446" s="30"/>
      <c r="S446" s="30"/>
      <c r="T446" s="30"/>
    </row>
    <row r="447" spans="1:20" ht="12.75" customHeight="1" x14ac:dyDescent="0.25">
      <c r="A447" s="342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30"/>
      <c r="R447" s="30"/>
      <c r="S447" s="30"/>
      <c r="T447" s="30"/>
    </row>
    <row r="448" spans="1:20" ht="12.75" customHeight="1" x14ac:dyDescent="0.25">
      <c r="A448" s="342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30"/>
      <c r="R448" s="30"/>
      <c r="S448" s="30"/>
      <c r="T448" s="30"/>
    </row>
    <row r="449" spans="1:20" ht="12.75" customHeight="1" x14ac:dyDescent="0.25">
      <c r="A449" s="342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30"/>
      <c r="R449" s="30"/>
      <c r="S449" s="30"/>
      <c r="T449" s="30"/>
    </row>
    <row r="450" spans="1:20" ht="12.75" customHeight="1" x14ac:dyDescent="0.25">
      <c r="A450" s="342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30"/>
      <c r="R450" s="30"/>
      <c r="S450" s="30"/>
      <c r="T450" s="30"/>
    </row>
    <row r="451" spans="1:20" ht="12.75" customHeight="1" x14ac:dyDescent="0.25">
      <c r="A451" s="342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30"/>
      <c r="R451" s="30"/>
      <c r="S451" s="30"/>
      <c r="T451" s="30"/>
    </row>
    <row r="452" spans="1:20" ht="12.75" customHeight="1" x14ac:dyDescent="0.25">
      <c r="A452" s="342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30"/>
      <c r="R452" s="30"/>
      <c r="S452" s="30"/>
      <c r="T452" s="30"/>
    </row>
    <row r="453" spans="1:20" ht="12.75" customHeight="1" x14ac:dyDescent="0.25">
      <c r="A453" s="342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30"/>
      <c r="R453" s="30"/>
      <c r="S453" s="30"/>
      <c r="T453" s="30"/>
    </row>
    <row r="454" spans="1:20" ht="12.75" customHeight="1" x14ac:dyDescent="0.25">
      <c r="A454" s="342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30"/>
      <c r="R454" s="30"/>
      <c r="S454" s="30"/>
      <c r="T454" s="30"/>
    </row>
    <row r="455" spans="1:20" ht="12.75" customHeight="1" x14ac:dyDescent="0.25">
      <c r="A455" s="342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30"/>
      <c r="R455" s="30"/>
      <c r="S455" s="30"/>
      <c r="T455" s="30"/>
    </row>
    <row r="456" spans="1:20" ht="12.75" customHeight="1" x14ac:dyDescent="0.25">
      <c r="A456" s="342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30"/>
      <c r="R456" s="30"/>
      <c r="S456" s="30"/>
      <c r="T456" s="30"/>
    </row>
    <row r="457" spans="1:20" ht="12.75" customHeight="1" x14ac:dyDescent="0.25">
      <c r="A457" s="342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30"/>
      <c r="R457" s="30"/>
      <c r="S457" s="30"/>
      <c r="T457" s="30"/>
    </row>
    <row r="458" spans="1:20" ht="12.75" customHeight="1" x14ac:dyDescent="0.25">
      <c r="A458" s="342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30"/>
      <c r="R458" s="30"/>
      <c r="S458" s="30"/>
      <c r="T458" s="30"/>
    </row>
    <row r="459" spans="1:20" ht="12.75" customHeight="1" x14ac:dyDescent="0.25">
      <c r="A459" s="342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30"/>
      <c r="R459" s="30"/>
      <c r="S459" s="30"/>
      <c r="T459" s="30"/>
    </row>
    <row r="460" spans="1:20" ht="12.75" customHeight="1" x14ac:dyDescent="0.25">
      <c r="A460" s="342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30"/>
      <c r="R460" s="30"/>
      <c r="S460" s="30"/>
      <c r="T460" s="30"/>
    </row>
    <row r="461" spans="1:20" ht="12.75" customHeight="1" x14ac:dyDescent="0.25">
      <c r="A461" s="342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30"/>
      <c r="R461" s="30"/>
      <c r="S461" s="30"/>
      <c r="T461" s="30"/>
    </row>
    <row r="462" spans="1:20" ht="12.75" customHeight="1" x14ac:dyDescent="0.25">
      <c r="A462" s="342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30"/>
      <c r="R462" s="30"/>
      <c r="S462" s="30"/>
      <c r="T462" s="30"/>
    </row>
    <row r="463" spans="1:20" ht="12.75" customHeight="1" x14ac:dyDescent="0.25">
      <c r="A463" s="342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30"/>
      <c r="R463" s="30"/>
      <c r="S463" s="30"/>
      <c r="T463" s="30"/>
    </row>
    <row r="464" spans="1:20" ht="12.75" customHeight="1" x14ac:dyDescent="0.25">
      <c r="A464" s="342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30"/>
      <c r="R464" s="30"/>
      <c r="S464" s="30"/>
      <c r="T464" s="30"/>
    </row>
    <row r="465" spans="1:20" ht="12.75" customHeight="1" x14ac:dyDescent="0.25">
      <c r="A465" s="342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30"/>
      <c r="R465" s="30"/>
      <c r="S465" s="30"/>
      <c r="T465" s="30"/>
    </row>
    <row r="466" spans="1:20" ht="12.75" customHeight="1" x14ac:dyDescent="0.25">
      <c r="A466" s="342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30"/>
      <c r="R466" s="30"/>
      <c r="S466" s="30"/>
      <c r="T466" s="30"/>
    </row>
    <row r="467" spans="1:20" ht="12.75" customHeight="1" x14ac:dyDescent="0.25">
      <c r="A467" s="342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30"/>
      <c r="R467" s="30"/>
      <c r="S467" s="30"/>
      <c r="T467" s="30"/>
    </row>
    <row r="468" spans="1:20" ht="12.75" customHeight="1" x14ac:dyDescent="0.25">
      <c r="A468" s="342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30"/>
      <c r="R468" s="30"/>
      <c r="S468" s="30"/>
      <c r="T468" s="30"/>
    </row>
    <row r="469" spans="1:20" ht="12.75" customHeight="1" x14ac:dyDescent="0.25">
      <c r="A469" s="342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30"/>
      <c r="R469" s="30"/>
      <c r="S469" s="30"/>
      <c r="T469" s="30"/>
    </row>
    <row r="470" spans="1:20" ht="12.75" customHeight="1" x14ac:dyDescent="0.25">
      <c r="A470" s="342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30"/>
      <c r="R470" s="30"/>
      <c r="S470" s="30"/>
      <c r="T470" s="30"/>
    </row>
    <row r="471" spans="1:20" ht="12.75" customHeight="1" x14ac:dyDescent="0.25">
      <c r="A471" s="342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30"/>
      <c r="R471" s="30"/>
      <c r="S471" s="30"/>
      <c r="T471" s="30"/>
    </row>
    <row r="472" spans="1:20" ht="12.75" customHeight="1" x14ac:dyDescent="0.25">
      <c r="A472" s="342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30"/>
      <c r="R472" s="30"/>
      <c r="S472" s="30"/>
      <c r="T472" s="30"/>
    </row>
    <row r="473" spans="1:20" ht="12.75" customHeight="1" x14ac:dyDescent="0.25">
      <c r="A473" s="342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30"/>
      <c r="R473" s="30"/>
      <c r="S473" s="30"/>
      <c r="T473" s="30"/>
    </row>
    <row r="474" spans="1:20" ht="12.75" customHeight="1" x14ac:dyDescent="0.25">
      <c r="A474" s="342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30"/>
      <c r="R474" s="30"/>
      <c r="S474" s="30"/>
      <c r="T474" s="30"/>
    </row>
    <row r="475" spans="1:20" ht="12.75" customHeight="1" x14ac:dyDescent="0.25">
      <c r="A475" s="342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30"/>
      <c r="R475" s="30"/>
      <c r="S475" s="30"/>
      <c r="T475" s="30"/>
    </row>
    <row r="476" spans="1:20" ht="12.75" customHeight="1" x14ac:dyDescent="0.25">
      <c r="A476" s="342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30"/>
      <c r="R476" s="30"/>
      <c r="S476" s="30"/>
      <c r="T476" s="30"/>
    </row>
    <row r="477" spans="1:20" ht="12.75" customHeight="1" x14ac:dyDescent="0.25">
      <c r="A477" s="342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30"/>
      <c r="R477" s="30"/>
      <c r="S477" s="30"/>
      <c r="T477" s="30"/>
    </row>
    <row r="478" spans="1:20" ht="12.75" customHeight="1" x14ac:dyDescent="0.25">
      <c r="A478" s="342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30"/>
      <c r="R478" s="30"/>
      <c r="S478" s="30"/>
      <c r="T478" s="30"/>
    </row>
    <row r="479" spans="1:20" ht="12.75" customHeight="1" x14ac:dyDescent="0.25">
      <c r="A479" s="342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30"/>
      <c r="R479" s="30"/>
      <c r="S479" s="30"/>
      <c r="T479" s="30"/>
    </row>
    <row r="480" spans="1:20" ht="12.75" customHeight="1" x14ac:dyDescent="0.25">
      <c r="A480" s="342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30"/>
      <c r="R480" s="30"/>
      <c r="S480" s="30"/>
      <c r="T480" s="30"/>
    </row>
    <row r="481" spans="1:20" ht="12.75" customHeight="1" x14ac:dyDescent="0.25">
      <c r="A481" s="342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30"/>
      <c r="R481" s="30"/>
      <c r="S481" s="30"/>
      <c r="T481" s="30"/>
    </row>
    <row r="482" spans="1:20" ht="12.75" customHeight="1" x14ac:dyDescent="0.25">
      <c r="A482" s="342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30"/>
      <c r="R482" s="30"/>
      <c r="S482" s="30"/>
      <c r="T482" s="30"/>
    </row>
    <row r="483" spans="1:20" ht="12.75" customHeight="1" x14ac:dyDescent="0.25">
      <c r="A483" s="342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30"/>
      <c r="R483" s="30"/>
      <c r="S483" s="30"/>
      <c r="T483" s="30"/>
    </row>
    <row r="484" spans="1:20" ht="12.75" customHeight="1" x14ac:dyDescent="0.25">
      <c r="A484" s="342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30"/>
      <c r="R484" s="30"/>
      <c r="S484" s="30"/>
      <c r="T484" s="30"/>
    </row>
    <row r="485" spans="1:20" ht="12.75" customHeight="1" x14ac:dyDescent="0.25">
      <c r="A485" s="342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30"/>
      <c r="R485" s="30"/>
      <c r="S485" s="30"/>
      <c r="T485" s="30"/>
    </row>
    <row r="486" spans="1:20" ht="12.75" customHeight="1" x14ac:dyDescent="0.25">
      <c r="A486" s="342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30"/>
      <c r="R486" s="30"/>
      <c r="S486" s="30"/>
      <c r="T486" s="30"/>
    </row>
    <row r="487" spans="1:20" ht="12.75" customHeight="1" x14ac:dyDescent="0.25">
      <c r="A487" s="342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30"/>
      <c r="R487" s="30"/>
      <c r="S487" s="30"/>
      <c r="T487" s="30"/>
    </row>
    <row r="488" spans="1:20" ht="12.75" customHeight="1" x14ac:dyDescent="0.25">
      <c r="A488" s="342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30"/>
      <c r="R488" s="30"/>
      <c r="S488" s="30"/>
      <c r="T488" s="30"/>
    </row>
    <row r="489" spans="1:20" ht="12.75" customHeight="1" x14ac:dyDescent="0.25">
      <c r="A489" s="342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30"/>
      <c r="R489" s="30"/>
      <c r="S489" s="30"/>
      <c r="T489" s="30"/>
    </row>
    <row r="490" spans="1:20" ht="12.75" customHeight="1" x14ac:dyDescent="0.25">
      <c r="A490" s="342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30"/>
      <c r="R490" s="30"/>
      <c r="S490" s="30"/>
      <c r="T490" s="30"/>
    </row>
    <row r="491" spans="1:20" ht="12.75" customHeight="1" x14ac:dyDescent="0.25">
      <c r="A491" s="342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30"/>
      <c r="R491" s="30"/>
      <c r="S491" s="30"/>
      <c r="T491" s="30"/>
    </row>
    <row r="492" spans="1:20" ht="12.75" customHeight="1" x14ac:dyDescent="0.25">
      <c r="A492" s="342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30"/>
      <c r="R492" s="30"/>
      <c r="S492" s="30"/>
      <c r="T492" s="30"/>
    </row>
    <row r="493" spans="1:20" ht="12.75" customHeight="1" x14ac:dyDescent="0.25">
      <c r="A493" s="342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30"/>
      <c r="R493" s="30"/>
      <c r="S493" s="30"/>
      <c r="T493" s="30"/>
    </row>
    <row r="494" spans="1:20" ht="12.75" customHeight="1" x14ac:dyDescent="0.25">
      <c r="A494" s="342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30"/>
      <c r="R494" s="30"/>
      <c r="S494" s="30"/>
      <c r="T494" s="30"/>
    </row>
    <row r="495" spans="1:20" ht="12.75" customHeight="1" x14ac:dyDescent="0.25">
      <c r="A495" s="342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30"/>
      <c r="R495" s="30"/>
      <c r="S495" s="30"/>
      <c r="T495" s="30"/>
    </row>
    <row r="496" spans="1:20" ht="12.75" customHeight="1" x14ac:dyDescent="0.25">
      <c r="A496" s="342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30"/>
      <c r="R496" s="30"/>
      <c r="S496" s="30"/>
      <c r="T496" s="30"/>
    </row>
    <row r="497" spans="1:20" ht="12.75" customHeight="1" x14ac:dyDescent="0.25">
      <c r="A497" s="342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30"/>
      <c r="R497" s="30"/>
      <c r="S497" s="30"/>
      <c r="T497" s="30"/>
    </row>
    <row r="498" spans="1:20" ht="12.75" customHeight="1" x14ac:dyDescent="0.25">
      <c r="A498" s="342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30"/>
      <c r="R498" s="30"/>
      <c r="S498" s="30"/>
      <c r="T498" s="30"/>
    </row>
    <row r="499" spans="1:20" ht="12.75" customHeight="1" x14ac:dyDescent="0.25">
      <c r="A499" s="342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30"/>
      <c r="R499" s="30"/>
      <c r="S499" s="30"/>
      <c r="T499" s="30"/>
    </row>
    <row r="500" spans="1:20" ht="12.75" customHeight="1" x14ac:dyDescent="0.25">
      <c r="A500" s="342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30"/>
      <c r="R500" s="30"/>
      <c r="S500" s="30"/>
      <c r="T500" s="30"/>
    </row>
    <row r="501" spans="1:20" ht="12.75" customHeight="1" x14ac:dyDescent="0.25">
      <c r="A501" s="342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30"/>
      <c r="R501" s="30"/>
      <c r="S501" s="30"/>
      <c r="T501" s="30"/>
    </row>
    <row r="502" spans="1:20" ht="12.75" customHeight="1" x14ac:dyDescent="0.25">
      <c r="A502" s="342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30"/>
      <c r="R502" s="30"/>
      <c r="S502" s="30"/>
      <c r="T502" s="30"/>
    </row>
    <row r="503" spans="1:20" ht="12.75" customHeight="1" x14ac:dyDescent="0.25">
      <c r="A503" s="342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30"/>
      <c r="R503" s="30"/>
      <c r="S503" s="30"/>
      <c r="T503" s="30"/>
    </row>
    <row r="504" spans="1:20" ht="12.75" customHeight="1" x14ac:dyDescent="0.25">
      <c r="A504" s="342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30"/>
      <c r="R504" s="30"/>
      <c r="S504" s="30"/>
      <c r="T504" s="30"/>
    </row>
    <row r="505" spans="1:20" ht="12.75" customHeight="1" x14ac:dyDescent="0.25">
      <c r="A505" s="342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30"/>
      <c r="R505" s="30"/>
      <c r="S505" s="30"/>
      <c r="T505" s="30"/>
    </row>
    <row r="506" spans="1:20" ht="12.75" customHeight="1" x14ac:dyDescent="0.25">
      <c r="A506" s="342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30"/>
      <c r="R506" s="30"/>
      <c r="S506" s="30"/>
      <c r="T506" s="30"/>
    </row>
    <row r="507" spans="1:20" ht="12.75" customHeight="1" x14ac:dyDescent="0.25">
      <c r="A507" s="342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30"/>
      <c r="R507" s="30"/>
      <c r="S507" s="30"/>
      <c r="T507" s="30"/>
    </row>
    <row r="508" spans="1:20" ht="12.75" customHeight="1" x14ac:dyDescent="0.25">
      <c r="A508" s="342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30"/>
      <c r="R508" s="30"/>
      <c r="S508" s="30"/>
      <c r="T508" s="30"/>
    </row>
    <row r="509" spans="1:20" ht="12.75" customHeight="1" x14ac:dyDescent="0.25">
      <c r="A509" s="342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30"/>
      <c r="R509" s="30"/>
      <c r="S509" s="30"/>
      <c r="T509" s="30"/>
    </row>
    <row r="510" spans="1:20" ht="12.75" customHeight="1" x14ac:dyDescent="0.25">
      <c r="A510" s="342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30"/>
      <c r="R510" s="30"/>
      <c r="S510" s="30"/>
      <c r="T510" s="30"/>
    </row>
    <row r="511" spans="1:20" ht="12.75" customHeight="1" x14ac:dyDescent="0.25">
      <c r="A511" s="342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30"/>
      <c r="R511" s="30"/>
      <c r="S511" s="30"/>
      <c r="T511" s="30"/>
    </row>
    <row r="512" spans="1:20" ht="12.75" customHeight="1" x14ac:dyDescent="0.25">
      <c r="A512" s="342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30"/>
      <c r="R512" s="30"/>
      <c r="S512" s="30"/>
      <c r="T512" s="30"/>
    </row>
    <row r="513" spans="1:20" ht="12.75" customHeight="1" x14ac:dyDescent="0.25">
      <c r="A513" s="342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30"/>
      <c r="R513" s="30"/>
      <c r="S513" s="30"/>
      <c r="T513" s="30"/>
    </row>
    <row r="514" spans="1:20" ht="12.75" customHeight="1" x14ac:dyDescent="0.25">
      <c r="A514" s="342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30"/>
      <c r="R514" s="30"/>
      <c r="S514" s="30"/>
      <c r="T514" s="30"/>
    </row>
    <row r="515" spans="1:20" ht="12.75" customHeight="1" x14ac:dyDescent="0.25">
      <c r="A515" s="342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30"/>
      <c r="R515" s="30"/>
      <c r="S515" s="30"/>
      <c r="T515" s="30"/>
    </row>
    <row r="516" spans="1:20" ht="12.75" customHeight="1" x14ac:dyDescent="0.25">
      <c r="A516" s="342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30"/>
      <c r="R516" s="30"/>
      <c r="S516" s="30"/>
      <c r="T516" s="30"/>
    </row>
    <row r="517" spans="1:20" ht="12.75" customHeight="1" x14ac:dyDescent="0.25">
      <c r="A517" s="342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30"/>
      <c r="R517" s="30"/>
      <c r="S517" s="30"/>
      <c r="T517" s="30"/>
    </row>
    <row r="518" spans="1:20" ht="12.75" customHeight="1" x14ac:dyDescent="0.25">
      <c r="A518" s="342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30"/>
      <c r="R518" s="30"/>
      <c r="S518" s="30"/>
      <c r="T518" s="30"/>
    </row>
    <row r="519" spans="1:20" ht="12.75" customHeight="1" x14ac:dyDescent="0.25">
      <c r="A519" s="342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30"/>
      <c r="R519" s="30"/>
      <c r="S519" s="30"/>
      <c r="T519" s="30"/>
    </row>
    <row r="520" spans="1:20" ht="12.75" customHeight="1" x14ac:dyDescent="0.25">
      <c r="A520" s="342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30"/>
      <c r="R520" s="30"/>
      <c r="S520" s="30"/>
      <c r="T520" s="30"/>
    </row>
    <row r="521" spans="1:20" ht="12.75" customHeight="1" x14ac:dyDescent="0.25">
      <c r="A521" s="342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30"/>
      <c r="R521" s="30"/>
      <c r="S521" s="30"/>
      <c r="T521" s="30"/>
    </row>
    <row r="522" spans="1:20" ht="12.75" customHeight="1" x14ac:dyDescent="0.25">
      <c r="A522" s="342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30"/>
      <c r="R522" s="30"/>
      <c r="S522" s="30"/>
      <c r="T522" s="30"/>
    </row>
    <row r="523" spans="1:20" ht="12.75" customHeight="1" x14ac:dyDescent="0.25">
      <c r="A523" s="342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30"/>
      <c r="R523" s="30"/>
      <c r="S523" s="30"/>
      <c r="T523" s="30"/>
    </row>
    <row r="524" spans="1:20" ht="12.75" customHeight="1" x14ac:dyDescent="0.25">
      <c r="A524" s="342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30"/>
      <c r="R524" s="30"/>
      <c r="S524" s="30"/>
      <c r="T524" s="30"/>
    </row>
    <row r="525" spans="1:20" ht="12.75" customHeight="1" x14ac:dyDescent="0.25">
      <c r="A525" s="342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30"/>
      <c r="R525" s="30"/>
      <c r="S525" s="30"/>
      <c r="T525" s="30"/>
    </row>
    <row r="526" spans="1:20" ht="12.75" customHeight="1" x14ac:dyDescent="0.25">
      <c r="A526" s="342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30"/>
      <c r="R526" s="30"/>
      <c r="S526" s="30"/>
      <c r="T526" s="30"/>
    </row>
    <row r="527" spans="1:20" ht="12.75" customHeight="1" x14ac:dyDescent="0.25">
      <c r="A527" s="342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30"/>
      <c r="R527" s="30"/>
      <c r="S527" s="30"/>
      <c r="T527" s="30"/>
    </row>
    <row r="528" spans="1:20" ht="12.75" customHeight="1" x14ac:dyDescent="0.25">
      <c r="A528" s="342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30"/>
      <c r="R528" s="30"/>
      <c r="S528" s="30"/>
      <c r="T528" s="30"/>
    </row>
    <row r="529" spans="1:20" ht="12.75" customHeight="1" x14ac:dyDescent="0.25">
      <c r="A529" s="342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30"/>
      <c r="R529" s="30"/>
      <c r="S529" s="30"/>
      <c r="T529" s="30"/>
    </row>
    <row r="530" spans="1:20" ht="12.75" customHeight="1" x14ac:dyDescent="0.25">
      <c r="A530" s="342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30"/>
      <c r="R530" s="30"/>
      <c r="S530" s="30"/>
      <c r="T530" s="30"/>
    </row>
    <row r="531" spans="1:20" ht="12.75" customHeight="1" x14ac:dyDescent="0.25">
      <c r="A531" s="342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30"/>
      <c r="R531" s="30"/>
      <c r="S531" s="30"/>
      <c r="T531" s="30"/>
    </row>
    <row r="532" spans="1:20" ht="12.75" customHeight="1" x14ac:dyDescent="0.25">
      <c r="A532" s="342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30"/>
      <c r="R532" s="30"/>
      <c r="S532" s="30"/>
      <c r="T532" s="30"/>
    </row>
    <row r="533" spans="1:20" ht="12.75" customHeight="1" x14ac:dyDescent="0.25">
      <c r="A533" s="342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30"/>
      <c r="R533" s="30"/>
      <c r="S533" s="30"/>
      <c r="T533" s="30"/>
    </row>
    <row r="534" spans="1:20" ht="12.75" customHeight="1" x14ac:dyDescent="0.25">
      <c r="A534" s="342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30"/>
      <c r="R534" s="30"/>
      <c r="S534" s="30"/>
      <c r="T534" s="30"/>
    </row>
    <row r="535" spans="1:20" ht="12.75" customHeight="1" x14ac:dyDescent="0.25">
      <c r="A535" s="342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30"/>
      <c r="R535" s="30"/>
      <c r="S535" s="30"/>
      <c r="T535" s="30"/>
    </row>
    <row r="536" spans="1:20" ht="12.75" customHeight="1" x14ac:dyDescent="0.25">
      <c r="A536" s="342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30"/>
      <c r="R536" s="30"/>
      <c r="S536" s="30"/>
      <c r="T536" s="30"/>
    </row>
    <row r="537" spans="1:20" ht="12.75" customHeight="1" x14ac:dyDescent="0.25">
      <c r="A537" s="342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30"/>
      <c r="R537" s="30"/>
      <c r="S537" s="30"/>
      <c r="T537" s="30"/>
    </row>
    <row r="538" spans="1:20" ht="12.75" customHeight="1" x14ac:dyDescent="0.25">
      <c r="A538" s="342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30"/>
      <c r="R538" s="30"/>
      <c r="S538" s="30"/>
      <c r="T538" s="30"/>
    </row>
    <row r="539" spans="1:20" ht="12.75" customHeight="1" x14ac:dyDescent="0.25">
      <c r="A539" s="342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30"/>
      <c r="R539" s="30"/>
      <c r="S539" s="30"/>
      <c r="T539" s="30"/>
    </row>
    <row r="540" spans="1:20" ht="12.75" customHeight="1" x14ac:dyDescent="0.25">
      <c r="A540" s="342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30"/>
      <c r="R540" s="30"/>
      <c r="S540" s="30"/>
      <c r="T540" s="30"/>
    </row>
    <row r="541" spans="1:20" ht="12.75" customHeight="1" x14ac:dyDescent="0.25">
      <c r="A541" s="342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30"/>
      <c r="R541" s="30"/>
      <c r="S541" s="30"/>
      <c r="T541" s="30"/>
    </row>
    <row r="542" spans="1:20" ht="12.75" customHeight="1" x14ac:dyDescent="0.25">
      <c r="A542" s="342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30"/>
      <c r="R542" s="30"/>
      <c r="S542" s="30"/>
      <c r="T542" s="30"/>
    </row>
    <row r="543" spans="1:20" ht="12.75" customHeight="1" x14ac:dyDescent="0.25">
      <c r="A543" s="342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30"/>
      <c r="R543" s="30"/>
      <c r="S543" s="30"/>
      <c r="T543" s="30"/>
    </row>
    <row r="544" spans="1:20" ht="12.75" customHeight="1" x14ac:dyDescent="0.25">
      <c r="A544" s="342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30"/>
      <c r="R544" s="30"/>
      <c r="S544" s="30"/>
      <c r="T544" s="30"/>
    </row>
    <row r="545" spans="1:20" ht="12.75" customHeight="1" x14ac:dyDescent="0.25">
      <c r="A545" s="342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30"/>
      <c r="R545" s="30"/>
      <c r="S545" s="30"/>
      <c r="T545" s="30"/>
    </row>
    <row r="546" spans="1:20" ht="12.75" customHeight="1" x14ac:dyDescent="0.25">
      <c r="A546" s="342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30"/>
      <c r="R546" s="30"/>
      <c r="S546" s="30"/>
      <c r="T546" s="30"/>
    </row>
    <row r="547" spans="1:20" ht="12.75" customHeight="1" x14ac:dyDescent="0.25">
      <c r="A547" s="342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30"/>
      <c r="R547" s="30"/>
      <c r="S547" s="30"/>
      <c r="T547" s="30"/>
    </row>
    <row r="548" spans="1:20" ht="12.75" customHeight="1" x14ac:dyDescent="0.25">
      <c r="A548" s="342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30"/>
      <c r="R548" s="30"/>
      <c r="S548" s="30"/>
      <c r="T548" s="30"/>
    </row>
    <row r="549" spans="1:20" ht="12.75" customHeight="1" x14ac:dyDescent="0.25">
      <c r="A549" s="342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30"/>
      <c r="R549" s="30"/>
      <c r="S549" s="30"/>
      <c r="T549" s="30"/>
    </row>
    <row r="550" spans="1:20" ht="12.75" customHeight="1" x14ac:dyDescent="0.25">
      <c r="A550" s="342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30"/>
      <c r="R550" s="30"/>
      <c r="S550" s="30"/>
      <c r="T550" s="30"/>
    </row>
    <row r="551" spans="1:20" ht="12.75" customHeight="1" x14ac:dyDescent="0.25">
      <c r="A551" s="342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30"/>
      <c r="R551" s="30"/>
      <c r="S551" s="30"/>
      <c r="T551" s="30"/>
    </row>
    <row r="552" spans="1:20" ht="12.75" customHeight="1" x14ac:dyDescent="0.25">
      <c r="A552" s="342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30"/>
      <c r="R552" s="30"/>
      <c r="S552" s="30"/>
      <c r="T552" s="30"/>
    </row>
    <row r="553" spans="1:20" ht="12.75" customHeight="1" x14ac:dyDescent="0.25">
      <c r="A553" s="342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30"/>
      <c r="R553" s="30"/>
      <c r="S553" s="30"/>
      <c r="T553" s="30"/>
    </row>
    <row r="554" spans="1:20" ht="12.75" customHeight="1" x14ac:dyDescent="0.25">
      <c r="A554" s="342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30"/>
      <c r="R554" s="30"/>
      <c r="S554" s="30"/>
      <c r="T554" s="30"/>
    </row>
    <row r="555" spans="1:20" ht="12.75" customHeight="1" x14ac:dyDescent="0.25">
      <c r="A555" s="342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30"/>
      <c r="R555" s="30"/>
      <c r="S555" s="30"/>
      <c r="T555" s="30"/>
    </row>
    <row r="556" spans="1:20" ht="12.75" customHeight="1" x14ac:dyDescent="0.25">
      <c r="A556" s="342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30"/>
      <c r="R556" s="30"/>
      <c r="S556" s="30"/>
      <c r="T556" s="30"/>
    </row>
    <row r="557" spans="1:20" ht="12.75" customHeight="1" x14ac:dyDescent="0.25">
      <c r="A557" s="342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30"/>
      <c r="R557" s="30"/>
      <c r="S557" s="30"/>
      <c r="T557" s="30"/>
    </row>
    <row r="558" spans="1:20" ht="12.75" customHeight="1" x14ac:dyDescent="0.25">
      <c r="A558" s="342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30"/>
      <c r="R558" s="30"/>
      <c r="S558" s="30"/>
      <c r="T558" s="30"/>
    </row>
    <row r="559" spans="1:20" ht="12.75" customHeight="1" x14ac:dyDescent="0.25">
      <c r="A559" s="342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30"/>
      <c r="R559" s="30"/>
      <c r="S559" s="30"/>
      <c r="T559" s="30"/>
    </row>
    <row r="560" spans="1:20" ht="12.75" customHeight="1" x14ac:dyDescent="0.25">
      <c r="A560" s="342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30"/>
      <c r="R560" s="30"/>
      <c r="S560" s="30"/>
      <c r="T560" s="30"/>
    </row>
    <row r="561" spans="1:20" ht="12.75" customHeight="1" x14ac:dyDescent="0.25">
      <c r="A561" s="342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30"/>
      <c r="R561" s="30"/>
      <c r="S561" s="30"/>
      <c r="T561" s="30"/>
    </row>
    <row r="562" spans="1:20" ht="12.75" customHeight="1" x14ac:dyDescent="0.25">
      <c r="A562" s="342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30"/>
      <c r="R562" s="30"/>
      <c r="S562" s="30"/>
      <c r="T562" s="30"/>
    </row>
    <row r="563" spans="1:20" ht="12.75" customHeight="1" x14ac:dyDescent="0.25">
      <c r="A563" s="342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30"/>
      <c r="R563" s="30"/>
      <c r="S563" s="30"/>
      <c r="T563" s="30"/>
    </row>
    <row r="564" spans="1:20" ht="12.75" customHeight="1" x14ac:dyDescent="0.25">
      <c r="A564" s="342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30"/>
      <c r="R564" s="30"/>
      <c r="S564" s="30"/>
      <c r="T564" s="30"/>
    </row>
    <row r="565" spans="1:20" ht="12.75" customHeight="1" x14ac:dyDescent="0.25">
      <c r="A565" s="342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30"/>
      <c r="R565" s="30"/>
      <c r="S565" s="30"/>
      <c r="T565" s="30"/>
    </row>
    <row r="566" spans="1:20" ht="12.75" customHeight="1" x14ac:dyDescent="0.25">
      <c r="A566" s="342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30"/>
      <c r="R566" s="30"/>
      <c r="S566" s="30"/>
      <c r="T566" s="30"/>
    </row>
    <row r="567" spans="1:20" ht="12.75" customHeight="1" x14ac:dyDescent="0.25">
      <c r="A567" s="342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30"/>
      <c r="R567" s="30"/>
      <c r="S567" s="30"/>
      <c r="T567" s="30"/>
    </row>
    <row r="568" spans="1:20" ht="12.75" customHeight="1" x14ac:dyDescent="0.25">
      <c r="A568" s="342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30"/>
      <c r="R568" s="30"/>
      <c r="S568" s="30"/>
      <c r="T568" s="30"/>
    </row>
    <row r="569" spans="1:20" ht="12.75" customHeight="1" x14ac:dyDescent="0.25">
      <c r="A569" s="342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30"/>
      <c r="R569" s="30"/>
      <c r="S569" s="30"/>
      <c r="T569" s="30"/>
    </row>
    <row r="570" spans="1:20" ht="12.75" customHeight="1" x14ac:dyDescent="0.25">
      <c r="A570" s="342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30"/>
      <c r="R570" s="30"/>
      <c r="S570" s="30"/>
      <c r="T570" s="30"/>
    </row>
    <row r="571" spans="1:20" ht="12.75" customHeight="1" x14ac:dyDescent="0.25">
      <c r="A571" s="342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30"/>
      <c r="R571" s="30"/>
      <c r="S571" s="30"/>
      <c r="T571" s="30"/>
    </row>
    <row r="572" spans="1:20" ht="12.75" customHeight="1" x14ac:dyDescent="0.25">
      <c r="A572" s="342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30"/>
      <c r="R572" s="30"/>
      <c r="S572" s="30"/>
      <c r="T572" s="30"/>
    </row>
    <row r="573" spans="1:20" ht="12.75" customHeight="1" x14ac:dyDescent="0.25">
      <c r="A573" s="342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30"/>
      <c r="R573" s="30"/>
      <c r="S573" s="30"/>
      <c r="T573" s="30"/>
    </row>
    <row r="574" spans="1:20" ht="12.75" customHeight="1" x14ac:dyDescent="0.25">
      <c r="A574" s="342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30"/>
      <c r="R574" s="30"/>
      <c r="S574" s="30"/>
      <c r="T574" s="30"/>
    </row>
    <row r="575" spans="1:20" ht="12.75" customHeight="1" x14ac:dyDescent="0.25">
      <c r="A575" s="342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30"/>
      <c r="R575" s="30"/>
      <c r="S575" s="30"/>
      <c r="T575" s="30"/>
    </row>
    <row r="576" spans="1:20" ht="12.75" customHeight="1" x14ac:dyDescent="0.25">
      <c r="A576" s="342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30"/>
      <c r="R576" s="30"/>
      <c r="S576" s="30"/>
      <c r="T576" s="30"/>
    </row>
    <row r="577" spans="1:20" ht="12.75" customHeight="1" x14ac:dyDescent="0.25">
      <c r="A577" s="342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30"/>
      <c r="R577" s="30"/>
      <c r="S577" s="30"/>
      <c r="T577" s="30"/>
    </row>
    <row r="578" spans="1:20" ht="12.75" customHeight="1" x14ac:dyDescent="0.25">
      <c r="A578" s="342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30"/>
      <c r="R578" s="30"/>
      <c r="S578" s="30"/>
      <c r="T578" s="30"/>
    </row>
    <row r="579" spans="1:20" ht="12.75" customHeight="1" x14ac:dyDescent="0.25">
      <c r="A579" s="342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30"/>
      <c r="R579" s="30"/>
      <c r="S579" s="30"/>
      <c r="T579" s="30"/>
    </row>
    <row r="580" spans="1:20" ht="12.75" customHeight="1" x14ac:dyDescent="0.25">
      <c r="A580" s="342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30"/>
      <c r="R580" s="30"/>
      <c r="S580" s="30"/>
      <c r="T580" s="30"/>
    </row>
    <row r="581" spans="1:20" ht="12.75" customHeight="1" x14ac:dyDescent="0.25">
      <c r="A581" s="342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30"/>
      <c r="R581" s="30"/>
      <c r="S581" s="30"/>
      <c r="T581" s="30"/>
    </row>
    <row r="582" spans="1:20" ht="12.75" customHeight="1" x14ac:dyDescent="0.25">
      <c r="A582" s="342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30"/>
      <c r="R582" s="30"/>
      <c r="S582" s="30"/>
      <c r="T582" s="30"/>
    </row>
    <row r="583" spans="1:20" ht="12.75" customHeight="1" x14ac:dyDescent="0.25">
      <c r="A583" s="342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30"/>
      <c r="R583" s="30"/>
      <c r="S583" s="30"/>
      <c r="T583" s="30"/>
    </row>
    <row r="584" spans="1:20" ht="12.75" customHeight="1" x14ac:dyDescent="0.25">
      <c r="A584" s="342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30"/>
      <c r="R584" s="30"/>
      <c r="S584" s="30"/>
      <c r="T584" s="30"/>
    </row>
    <row r="585" spans="1:20" ht="12.75" customHeight="1" x14ac:dyDescent="0.25">
      <c r="A585" s="342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30"/>
      <c r="R585" s="30"/>
      <c r="S585" s="30"/>
      <c r="T585" s="30"/>
    </row>
    <row r="586" spans="1:20" ht="12.75" customHeight="1" x14ac:dyDescent="0.25">
      <c r="A586" s="342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30"/>
      <c r="R586" s="30"/>
      <c r="S586" s="30"/>
      <c r="T586" s="30"/>
    </row>
    <row r="587" spans="1:20" ht="12.75" customHeight="1" x14ac:dyDescent="0.25">
      <c r="A587" s="342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30"/>
      <c r="R587" s="30"/>
      <c r="S587" s="30"/>
      <c r="T587" s="30"/>
    </row>
    <row r="588" spans="1:20" ht="12.75" customHeight="1" x14ac:dyDescent="0.25">
      <c r="A588" s="342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30"/>
      <c r="R588" s="30"/>
      <c r="S588" s="30"/>
      <c r="T588" s="30"/>
    </row>
    <row r="589" spans="1:20" ht="12.75" customHeight="1" x14ac:dyDescent="0.25">
      <c r="A589" s="342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30"/>
      <c r="R589" s="30"/>
      <c r="S589" s="30"/>
      <c r="T589" s="30"/>
    </row>
    <row r="590" spans="1:20" ht="12.75" customHeight="1" x14ac:dyDescent="0.25">
      <c r="A590" s="342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30"/>
      <c r="R590" s="30"/>
      <c r="S590" s="30"/>
      <c r="T590" s="30"/>
    </row>
    <row r="591" spans="1:20" ht="12.75" customHeight="1" x14ac:dyDescent="0.25">
      <c r="A591" s="342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30"/>
      <c r="R591" s="30"/>
      <c r="S591" s="30"/>
      <c r="T591" s="30"/>
    </row>
    <row r="592" spans="1:20" ht="12.75" customHeight="1" x14ac:dyDescent="0.25">
      <c r="A592" s="342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30"/>
      <c r="R592" s="30"/>
      <c r="S592" s="30"/>
      <c r="T592" s="30"/>
    </row>
    <row r="593" spans="1:20" ht="12.75" customHeight="1" x14ac:dyDescent="0.25">
      <c r="A593" s="342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30"/>
      <c r="R593" s="30"/>
      <c r="S593" s="30"/>
      <c r="T593" s="30"/>
    </row>
    <row r="594" spans="1:20" ht="12.75" customHeight="1" x14ac:dyDescent="0.25">
      <c r="A594" s="342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30"/>
      <c r="R594" s="30"/>
      <c r="S594" s="30"/>
      <c r="T594" s="30"/>
    </row>
    <row r="595" spans="1:20" ht="12.75" customHeight="1" x14ac:dyDescent="0.25">
      <c r="A595" s="342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30"/>
      <c r="R595" s="30"/>
      <c r="S595" s="30"/>
      <c r="T595" s="30"/>
    </row>
    <row r="596" spans="1:20" ht="12.75" customHeight="1" x14ac:dyDescent="0.25">
      <c r="A596" s="342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30"/>
      <c r="R596" s="30"/>
      <c r="S596" s="30"/>
      <c r="T596" s="30"/>
    </row>
    <row r="597" spans="1:20" ht="12.75" customHeight="1" x14ac:dyDescent="0.25">
      <c r="A597" s="342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30"/>
      <c r="R597" s="30"/>
      <c r="S597" s="30"/>
      <c r="T597" s="30"/>
    </row>
    <row r="598" spans="1:20" ht="12.75" customHeight="1" x14ac:dyDescent="0.25">
      <c r="A598" s="342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30"/>
      <c r="R598" s="30"/>
      <c r="S598" s="30"/>
      <c r="T598" s="30"/>
    </row>
    <row r="599" spans="1:20" ht="12.75" customHeight="1" x14ac:dyDescent="0.25">
      <c r="A599" s="342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30"/>
      <c r="R599" s="30"/>
      <c r="S599" s="30"/>
      <c r="T599" s="30"/>
    </row>
    <row r="600" spans="1:20" ht="12.75" customHeight="1" x14ac:dyDescent="0.25">
      <c r="A600" s="342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30"/>
      <c r="R600" s="30"/>
      <c r="S600" s="30"/>
      <c r="T600" s="30"/>
    </row>
    <row r="601" spans="1:20" ht="12.75" customHeight="1" x14ac:dyDescent="0.25">
      <c r="A601" s="342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30"/>
      <c r="R601" s="30"/>
      <c r="S601" s="30"/>
      <c r="T601" s="30"/>
    </row>
    <row r="602" spans="1:20" ht="12.75" customHeight="1" x14ac:dyDescent="0.25">
      <c r="A602" s="342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30"/>
      <c r="R602" s="30"/>
      <c r="S602" s="30"/>
      <c r="T602" s="30"/>
    </row>
    <row r="603" spans="1:20" ht="12.75" customHeight="1" x14ac:dyDescent="0.25">
      <c r="A603" s="342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30"/>
      <c r="R603" s="30"/>
      <c r="S603" s="30"/>
      <c r="T603" s="30"/>
    </row>
    <row r="604" spans="1:20" ht="12.75" customHeight="1" x14ac:dyDescent="0.25">
      <c r="A604" s="342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30"/>
      <c r="R604" s="30"/>
      <c r="S604" s="30"/>
      <c r="T604" s="30"/>
    </row>
    <row r="605" spans="1:20" ht="12.75" customHeight="1" x14ac:dyDescent="0.25">
      <c r="A605" s="342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30"/>
      <c r="R605" s="30"/>
      <c r="S605" s="30"/>
      <c r="T605" s="30"/>
    </row>
    <row r="606" spans="1:20" ht="12.75" customHeight="1" x14ac:dyDescent="0.25">
      <c r="A606" s="342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30"/>
      <c r="R606" s="30"/>
      <c r="S606" s="30"/>
      <c r="T606" s="30"/>
    </row>
    <row r="607" spans="1:20" ht="12.75" customHeight="1" x14ac:dyDescent="0.25">
      <c r="A607" s="342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30"/>
      <c r="R607" s="30"/>
      <c r="S607" s="30"/>
      <c r="T607" s="30"/>
    </row>
    <row r="608" spans="1:20" ht="12.75" customHeight="1" x14ac:dyDescent="0.25">
      <c r="A608" s="342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30"/>
      <c r="R608" s="30"/>
      <c r="S608" s="30"/>
      <c r="T608" s="30"/>
    </row>
    <row r="609" spans="1:20" ht="12.75" customHeight="1" x14ac:dyDescent="0.25">
      <c r="A609" s="342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30"/>
      <c r="R609" s="30"/>
      <c r="S609" s="30"/>
      <c r="T609" s="30"/>
    </row>
    <row r="610" spans="1:20" ht="12.75" customHeight="1" x14ac:dyDescent="0.25">
      <c r="A610" s="342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30"/>
      <c r="R610" s="30"/>
      <c r="S610" s="30"/>
      <c r="T610" s="30"/>
    </row>
    <row r="611" spans="1:20" ht="12.75" customHeight="1" x14ac:dyDescent="0.25">
      <c r="A611" s="342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30"/>
      <c r="R611" s="30"/>
      <c r="S611" s="30"/>
      <c r="T611" s="30"/>
    </row>
    <row r="612" spans="1:20" ht="12.75" customHeight="1" x14ac:dyDescent="0.25">
      <c r="A612" s="342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30"/>
      <c r="R612" s="30"/>
      <c r="S612" s="30"/>
      <c r="T612" s="30"/>
    </row>
    <row r="613" spans="1:20" ht="12.75" customHeight="1" x14ac:dyDescent="0.25">
      <c r="A613" s="342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30"/>
      <c r="R613" s="30"/>
      <c r="S613" s="30"/>
      <c r="T613" s="30"/>
    </row>
    <row r="614" spans="1:20" ht="12.75" customHeight="1" x14ac:dyDescent="0.25">
      <c r="A614" s="342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30"/>
      <c r="R614" s="30"/>
      <c r="S614" s="30"/>
      <c r="T614" s="30"/>
    </row>
    <row r="615" spans="1:20" ht="12.75" customHeight="1" x14ac:dyDescent="0.25">
      <c r="A615" s="342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30"/>
      <c r="R615" s="30"/>
      <c r="S615" s="30"/>
      <c r="T615" s="30"/>
    </row>
    <row r="616" spans="1:20" ht="12.75" customHeight="1" x14ac:dyDescent="0.25">
      <c r="A616" s="342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30"/>
      <c r="R616" s="30"/>
      <c r="S616" s="30"/>
      <c r="T616" s="30"/>
    </row>
    <row r="617" spans="1:20" ht="12.75" customHeight="1" x14ac:dyDescent="0.25">
      <c r="A617" s="342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30"/>
      <c r="R617" s="30"/>
      <c r="S617" s="30"/>
      <c r="T617" s="30"/>
    </row>
    <row r="618" spans="1:20" ht="12.75" customHeight="1" x14ac:dyDescent="0.25">
      <c r="A618" s="342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30"/>
      <c r="R618" s="30"/>
      <c r="S618" s="30"/>
      <c r="T618" s="30"/>
    </row>
    <row r="619" spans="1:20" ht="12.75" customHeight="1" x14ac:dyDescent="0.25">
      <c r="A619" s="342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30"/>
      <c r="R619" s="30"/>
      <c r="S619" s="30"/>
      <c r="T619" s="30"/>
    </row>
    <row r="620" spans="1:20" ht="12.75" customHeight="1" x14ac:dyDescent="0.25">
      <c r="A620" s="342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30"/>
      <c r="R620" s="30"/>
      <c r="S620" s="30"/>
      <c r="T620" s="30"/>
    </row>
    <row r="621" spans="1:20" ht="12.75" customHeight="1" x14ac:dyDescent="0.25">
      <c r="A621" s="342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30"/>
      <c r="R621" s="30"/>
      <c r="S621" s="30"/>
      <c r="T621" s="30"/>
    </row>
    <row r="622" spans="1:20" ht="12.75" customHeight="1" x14ac:dyDescent="0.25">
      <c r="A622" s="342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30"/>
      <c r="R622" s="30"/>
      <c r="S622" s="30"/>
      <c r="T622" s="30"/>
    </row>
    <row r="623" spans="1:20" ht="12.75" customHeight="1" x14ac:dyDescent="0.25">
      <c r="A623" s="342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30"/>
      <c r="R623" s="30"/>
      <c r="S623" s="30"/>
      <c r="T623" s="30"/>
    </row>
    <row r="624" spans="1:20" ht="12.75" customHeight="1" x14ac:dyDescent="0.25">
      <c r="A624" s="342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30"/>
      <c r="R624" s="30"/>
      <c r="S624" s="30"/>
      <c r="T624" s="30"/>
    </row>
    <row r="625" spans="1:20" ht="12.75" customHeight="1" x14ac:dyDescent="0.25">
      <c r="A625" s="342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30"/>
      <c r="R625" s="30"/>
      <c r="S625" s="30"/>
      <c r="T625" s="30"/>
    </row>
    <row r="626" spans="1:20" ht="12.75" customHeight="1" x14ac:dyDescent="0.25">
      <c r="A626" s="342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30"/>
      <c r="R626" s="30"/>
      <c r="S626" s="30"/>
      <c r="T626" s="30"/>
    </row>
    <row r="627" spans="1:20" ht="12.75" customHeight="1" x14ac:dyDescent="0.25">
      <c r="A627" s="342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30"/>
      <c r="R627" s="30"/>
      <c r="S627" s="30"/>
      <c r="T627" s="30"/>
    </row>
    <row r="628" spans="1:20" ht="12.75" customHeight="1" x14ac:dyDescent="0.25">
      <c r="A628" s="342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30"/>
      <c r="R628" s="30"/>
      <c r="S628" s="30"/>
      <c r="T628" s="30"/>
    </row>
    <row r="629" spans="1:20" ht="12.75" customHeight="1" x14ac:dyDescent="0.25">
      <c r="A629" s="342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30"/>
      <c r="R629" s="30"/>
      <c r="S629" s="30"/>
      <c r="T629" s="30"/>
    </row>
    <row r="630" spans="1:20" ht="12.75" customHeight="1" x14ac:dyDescent="0.25">
      <c r="A630" s="342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30"/>
      <c r="R630" s="30"/>
      <c r="S630" s="30"/>
      <c r="T630" s="30"/>
    </row>
    <row r="631" spans="1:20" ht="12.75" customHeight="1" x14ac:dyDescent="0.25">
      <c r="A631" s="342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30"/>
      <c r="R631" s="30"/>
      <c r="S631" s="30"/>
      <c r="T631" s="30"/>
    </row>
    <row r="632" spans="1:20" ht="12.75" customHeight="1" x14ac:dyDescent="0.25">
      <c r="A632" s="342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30"/>
      <c r="R632" s="30"/>
      <c r="S632" s="30"/>
      <c r="T632" s="30"/>
    </row>
    <row r="633" spans="1:20" ht="12.75" customHeight="1" x14ac:dyDescent="0.25">
      <c r="A633" s="342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30"/>
      <c r="R633" s="30"/>
      <c r="S633" s="30"/>
      <c r="T633" s="30"/>
    </row>
    <row r="634" spans="1:20" ht="12.75" customHeight="1" x14ac:dyDescent="0.25">
      <c r="A634" s="342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30"/>
      <c r="R634" s="30"/>
      <c r="S634" s="30"/>
      <c r="T634" s="30"/>
    </row>
    <row r="635" spans="1:20" ht="12.75" customHeight="1" x14ac:dyDescent="0.25">
      <c r="A635" s="342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30"/>
      <c r="R635" s="30"/>
      <c r="S635" s="30"/>
      <c r="T635" s="30"/>
    </row>
    <row r="636" spans="1:20" ht="12.75" customHeight="1" x14ac:dyDescent="0.25">
      <c r="A636" s="342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30"/>
      <c r="R636" s="30"/>
      <c r="S636" s="30"/>
      <c r="T636" s="30"/>
    </row>
    <row r="637" spans="1:20" ht="12.75" customHeight="1" x14ac:dyDescent="0.25">
      <c r="A637" s="342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30"/>
      <c r="R637" s="30"/>
      <c r="S637" s="30"/>
      <c r="T637" s="30"/>
    </row>
    <row r="638" spans="1:20" ht="12.75" customHeight="1" x14ac:dyDescent="0.25">
      <c r="A638" s="342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30"/>
      <c r="R638" s="30"/>
      <c r="S638" s="30"/>
      <c r="T638" s="30"/>
    </row>
    <row r="639" spans="1:20" ht="12.75" customHeight="1" x14ac:dyDescent="0.25">
      <c r="A639" s="342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30"/>
      <c r="R639" s="30"/>
      <c r="S639" s="30"/>
      <c r="T639" s="30"/>
    </row>
    <row r="640" spans="1:20" ht="12.75" customHeight="1" x14ac:dyDescent="0.25">
      <c r="A640" s="342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30"/>
      <c r="R640" s="30"/>
      <c r="S640" s="30"/>
      <c r="T640" s="30"/>
    </row>
    <row r="641" spans="1:20" ht="12.75" customHeight="1" x14ac:dyDescent="0.25">
      <c r="A641" s="342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30"/>
      <c r="R641" s="30"/>
      <c r="S641" s="30"/>
      <c r="T641" s="30"/>
    </row>
    <row r="642" spans="1:20" ht="12.75" customHeight="1" x14ac:dyDescent="0.25">
      <c r="A642" s="342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30"/>
      <c r="R642" s="30"/>
      <c r="S642" s="30"/>
      <c r="T642" s="30"/>
    </row>
    <row r="643" spans="1:20" ht="12.75" customHeight="1" x14ac:dyDescent="0.25">
      <c r="A643" s="342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30"/>
      <c r="R643" s="30"/>
      <c r="S643" s="30"/>
      <c r="T643" s="30"/>
    </row>
    <row r="644" spans="1:20" ht="12.75" customHeight="1" x14ac:dyDescent="0.25">
      <c r="A644" s="342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30"/>
      <c r="R644" s="30"/>
      <c r="S644" s="30"/>
      <c r="T644" s="30"/>
    </row>
    <row r="645" spans="1:20" ht="12.75" customHeight="1" x14ac:dyDescent="0.25">
      <c r="A645" s="342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30"/>
      <c r="R645" s="30"/>
      <c r="S645" s="30"/>
      <c r="T645" s="30"/>
    </row>
    <row r="646" spans="1:20" ht="12.75" customHeight="1" x14ac:dyDescent="0.25">
      <c r="A646" s="342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30"/>
      <c r="R646" s="30"/>
      <c r="S646" s="30"/>
      <c r="T646" s="30"/>
    </row>
    <row r="647" spans="1:20" ht="12.75" customHeight="1" x14ac:dyDescent="0.25">
      <c r="A647" s="342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30"/>
      <c r="R647" s="30"/>
      <c r="S647" s="30"/>
      <c r="T647" s="30"/>
    </row>
    <row r="648" spans="1:20" ht="12.75" customHeight="1" x14ac:dyDescent="0.25">
      <c r="A648" s="342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30"/>
      <c r="R648" s="30"/>
      <c r="S648" s="30"/>
      <c r="T648" s="30"/>
    </row>
    <row r="649" spans="1:20" ht="12.75" customHeight="1" x14ac:dyDescent="0.25">
      <c r="A649" s="342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30"/>
      <c r="R649" s="30"/>
      <c r="S649" s="30"/>
      <c r="T649" s="30"/>
    </row>
    <row r="650" spans="1:20" ht="12.75" customHeight="1" x14ac:dyDescent="0.25">
      <c r="A650" s="342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30"/>
      <c r="R650" s="30"/>
      <c r="S650" s="30"/>
      <c r="T650" s="30"/>
    </row>
    <row r="651" spans="1:20" ht="12.75" customHeight="1" x14ac:dyDescent="0.25">
      <c r="A651" s="342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30"/>
      <c r="R651" s="30"/>
      <c r="S651" s="30"/>
      <c r="T651" s="30"/>
    </row>
    <row r="652" spans="1:20" ht="12.75" customHeight="1" x14ac:dyDescent="0.25">
      <c r="A652" s="342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30"/>
      <c r="R652" s="30"/>
      <c r="S652" s="30"/>
      <c r="T652" s="30"/>
    </row>
    <row r="653" spans="1:20" ht="12.75" customHeight="1" x14ac:dyDescent="0.25">
      <c r="A653" s="342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30"/>
      <c r="R653" s="30"/>
      <c r="S653" s="30"/>
      <c r="T653" s="30"/>
    </row>
    <row r="654" spans="1:20" ht="12.75" customHeight="1" x14ac:dyDescent="0.25">
      <c r="A654" s="342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30"/>
      <c r="R654" s="30"/>
      <c r="S654" s="30"/>
      <c r="T654" s="30"/>
    </row>
    <row r="655" spans="1:20" ht="12.75" customHeight="1" x14ac:dyDescent="0.25">
      <c r="A655" s="342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30"/>
      <c r="R655" s="30"/>
      <c r="S655" s="30"/>
      <c r="T655" s="30"/>
    </row>
    <row r="656" spans="1:20" ht="12.75" customHeight="1" x14ac:dyDescent="0.25">
      <c r="A656" s="342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30"/>
      <c r="R656" s="30"/>
      <c r="S656" s="30"/>
      <c r="T656" s="30"/>
    </row>
    <row r="657" spans="1:20" ht="12.75" customHeight="1" x14ac:dyDescent="0.25">
      <c r="A657" s="342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30"/>
      <c r="R657" s="30"/>
      <c r="S657" s="30"/>
      <c r="T657" s="30"/>
    </row>
    <row r="658" spans="1:20" ht="12.75" customHeight="1" x14ac:dyDescent="0.25">
      <c r="A658" s="342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30"/>
      <c r="R658" s="30"/>
      <c r="S658" s="30"/>
      <c r="T658" s="30"/>
    </row>
    <row r="659" spans="1:20" ht="12.75" customHeight="1" x14ac:dyDescent="0.25">
      <c r="A659" s="342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30"/>
      <c r="R659" s="30"/>
      <c r="S659" s="30"/>
      <c r="T659" s="30"/>
    </row>
    <row r="660" spans="1:20" ht="12.75" customHeight="1" x14ac:dyDescent="0.25">
      <c r="A660" s="342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30"/>
      <c r="R660" s="30"/>
      <c r="S660" s="30"/>
      <c r="T660" s="30"/>
    </row>
    <row r="661" spans="1:20" ht="12.75" customHeight="1" x14ac:dyDescent="0.25">
      <c r="A661" s="342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30"/>
      <c r="R661" s="30"/>
      <c r="S661" s="30"/>
      <c r="T661" s="30"/>
    </row>
    <row r="662" spans="1:20" ht="12.75" customHeight="1" x14ac:dyDescent="0.25">
      <c r="A662" s="342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30"/>
      <c r="R662" s="30"/>
      <c r="S662" s="30"/>
      <c r="T662" s="30"/>
    </row>
    <row r="663" spans="1:20" ht="12.75" customHeight="1" x14ac:dyDescent="0.25">
      <c r="A663" s="342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30"/>
      <c r="R663" s="30"/>
      <c r="S663" s="30"/>
      <c r="T663" s="30"/>
    </row>
    <row r="664" spans="1:20" ht="12.75" customHeight="1" x14ac:dyDescent="0.25">
      <c r="A664" s="342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30"/>
      <c r="R664" s="30"/>
      <c r="S664" s="30"/>
      <c r="T664" s="30"/>
    </row>
    <row r="665" spans="1:20" ht="12.75" customHeight="1" x14ac:dyDescent="0.25">
      <c r="A665" s="342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30"/>
      <c r="R665" s="30"/>
      <c r="S665" s="30"/>
      <c r="T665" s="30"/>
    </row>
    <row r="666" spans="1:20" ht="12.75" customHeight="1" x14ac:dyDescent="0.25">
      <c r="A666" s="342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30"/>
      <c r="R666" s="30"/>
      <c r="S666" s="30"/>
      <c r="T666" s="30"/>
    </row>
    <row r="667" spans="1:20" ht="12.75" customHeight="1" x14ac:dyDescent="0.25">
      <c r="A667" s="342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30"/>
      <c r="R667" s="30"/>
      <c r="S667" s="30"/>
      <c r="T667" s="30"/>
    </row>
    <row r="668" spans="1:20" ht="12.75" customHeight="1" x14ac:dyDescent="0.25">
      <c r="A668" s="342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30"/>
      <c r="R668" s="30"/>
      <c r="S668" s="30"/>
      <c r="T668" s="30"/>
    </row>
    <row r="669" spans="1:20" ht="12.75" customHeight="1" x14ac:dyDescent="0.25">
      <c r="A669" s="342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30"/>
      <c r="R669" s="30"/>
      <c r="S669" s="30"/>
      <c r="T669" s="30"/>
    </row>
    <row r="670" spans="1:20" ht="12.75" customHeight="1" x14ac:dyDescent="0.25">
      <c r="A670" s="342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30"/>
      <c r="R670" s="30"/>
      <c r="S670" s="30"/>
      <c r="T670" s="30"/>
    </row>
    <row r="671" spans="1:20" ht="12.75" customHeight="1" x14ac:dyDescent="0.25">
      <c r="A671" s="342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30"/>
      <c r="R671" s="30"/>
      <c r="S671" s="30"/>
      <c r="T671" s="30"/>
    </row>
    <row r="672" spans="1:20" ht="12.75" customHeight="1" x14ac:dyDescent="0.25">
      <c r="A672" s="342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30"/>
      <c r="R672" s="30"/>
      <c r="S672" s="30"/>
      <c r="T672" s="30"/>
    </row>
    <row r="673" spans="1:20" ht="12.75" customHeight="1" x14ac:dyDescent="0.25">
      <c r="A673" s="342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30"/>
      <c r="R673" s="30"/>
      <c r="S673" s="30"/>
      <c r="T673" s="30"/>
    </row>
    <row r="674" spans="1:20" ht="12.75" customHeight="1" x14ac:dyDescent="0.25">
      <c r="A674" s="342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30"/>
      <c r="R674" s="30"/>
      <c r="S674" s="30"/>
      <c r="T674" s="30"/>
    </row>
    <row r="675" spans="1:20" ht="12.75" customHeight="1" x14ac:dyDescent="0.25">
      <c r="A675" s="342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30"/>
      <c r="R675" s="30"/>
      <c r="S675" s="30"/>
      <c r="T675" s="30"/>
    </row>
    <row r="676" spans="1:20" ht="12.75" customHeight="1" x14ac:dyDescent="0.25">
      <c r="A676" s="342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30"/>
      <c r="R676" s="30"/>
      <c r="S676" s="30"/>
      <c r="T676" s="30"/>
    </row>
    <row r="677" spans="1:20" ht="12.75" customHeight="1" x14ac:dyDescent="0.25">
      <c r="A677" s="342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30"/>
      <c r="R677" s="30"/>
      <c r="S677" s="30"/>
      <c r="T677" s="30"/>
    </row>
    <row r="678" spans="1:20" ht="12.75" customHeight="1" x14ac:dyDescent="0.25">
      <c r="A678" s="342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30"/>
      <c r="R678" s="30"/>
      <c r="S678" s="30"/>
      <c r="T678" s="30"/>
    </row>
    <row r="679" spans="1:20" ht="12.75" customHeight="1" x14ac:dyDescent="0.25">
      <c r="A679" s="342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30"/>
      <c r="R679" s="30"/>
      <c r="S679" s="30"/>
      <c r="T679" s="30"/>
    </row>
    <row r="680" spans="1:20" ht="12.75" customHeight="1" x14ac:dyDescent="0.25">
      <c r="A680" s="342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30"/>
      <c r="R680" s="30"/>
      <c r="S680" s="30"/>
      <c r="T680" s="30"/>
    </row>
    <row r="681" spans="1:20" ht="12.75" customHeight="1" x14ac:dyDescent="0.25">
      <c r="A681" s="342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30"/>
      <c r="R681" s="30"/>
      <c r="S681" s="30"/>
      <c r="T681" s="30"/>
    </row>
    <row r="682" spans="1:20" ht="12.75" customHeight="1" x14ac:dyDescent="0.25">
      <c r="A682" s="342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30"/>
      <c r="R682" s="30"/>
      <c r="S682" s="30"/>
      <c r="T682" s="30"/>
    </row>
    <row r="683" spans="1:20" ht="12.75" customHeight="1" x14ac:dyDescent="0.25">
      <c r="A683" s="342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30"/>
      <c r="R683" s="30"/>
      <c r="S683" s="30"/>
      <c r="T683" s="30"/>
    </row>
    <row r="684" spans="1:20" ht="12.75" customHeight="1" x14ac:dyDescent="0.25">
      <c r="A684" s="342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30"/>
      <c r="R684" s="30"/>
      <c r="S684" s="30"/>
      <c r="T684" s="30"/>
    </row>
    <row r="685" spans="1:20" ht="12.75" customHeight="1" x14ac:dyDescent="0.25">
      <c r="A685" s="342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30"/>
      <c r="R685" s="30"/>
      <c r="S685" s="30"/>
      <c r="T685" s="30"/>
    </row>
    <row r="686" spans="1:20" ht="12.75" customHeight="1" x14ac:dyDescent="0.25">
      <c r="A686" s="342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30"/>
      <c r="R686" s="30"/>
      <c r="S686" s="30"/>
      <c r="T686" s="30"/>
    </row>
    <row r="687" spans="1:20" ht="12.75" customHeight="1" x14ac:dyDescent="0.25">
      <c r="A687" s="342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30"/>
      <c r="R687" s="30"/>
      <c r="S687" s="30"/>
      <c r="T687" s="30"/>
    </row>
    <row r="688" spans="1:20" ht="12.75" customHeight="1" x14ac:dyDescent="0.25">
      <c r="A688" s="342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30"/>
      <c r="R688" s="30"/>
      <c r="S688" s="30"/>
      <c r="T688" s="30"/>
    </row>
    <row r="689" spans="1:20" ht="12.75" customHeight="1" x14ac:dyDescent="0.25">
      <c r="A689" s="342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30"/>
      <c r="R689" s="30"/>
      <c r="S689" s="30"/>
      <c r="T689" s="30"/>
    </row>
    <row r="690" spans="1:20" ht="12.75" customHeight="1" x14ac:dyDescent="0.25">
      <c r="A690" s="342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30"/>
      <c r="R690" s="30"/>
      <c r="S690" s="30"/>
      <c r="T690" s="30"/>
    </row>
    <row r="691" spans="1:20" ht="12.75" customHeight="1" x14ac:dyDescent="0.25">
      <c r="A691" s="342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30"/>
      <c r="R691" s="30"/>
      <c r="S691" s="30"/>
      <c r="T691" s="30"/>
    </row>
    <row r="692" spans="1:20" ht="12.75" customHeight="1" x14ac:dyDescent="0.25">
      <c r="A692" s="342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30"/>
      <c r="R692" s="30"/>
      <c r="S692" s="30"/>
      <c r="T692" s="30"/>
    </row>
    <row r="693" spans="1:20" ht="12.75" customHeight="1" x14ac:dyDescent="0.25">
      <c r="A693" s="342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30"/>
      <c r="R693" s="30"/>
      <c r="S693" s="30"/>
      <c r="T693" s="30"/>
    </row>
    <row r="694" spans="1:20" ht="12.75" customHeight="1" x14ac:dyDescent="0.25">
      <c r="A694" s="342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30"/>
      <c r="R694" s="30"/>
      <c r="S694" s="30"/>
      <c r="T694" s="30"/>
    </row>
    <row r="695" spans="1:20" ht="12.75" customHeight="1" x14ac:dyDescent="0.25">
      <c r="A695" s="342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30"/>
      <c r="R695" s="30"/>
      <c r="S695" s="30"/>
      <c r="T695" s="30"/>
    </row>
    <row r="696" spans="1:20" ht="12.75" customHeight="1" x14ac:dyDescent="0.25">
      <c r="A696" s="342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30"/>
      <c r="R696" s="30"/>
      <c r="S696" s="30"/>
      <c r="T696" s="30"/>
    </row>
    <row r="697" spans="1:20" ht="12.75" customHeight="1" x14ac:dyDescent="0.25">
      <c r="A697" s="342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30"/>
      <c r="R697" s="30"/>
      <c r="S697" s="30"/>
      <c r="T697" s="30"/>
    </row>
    <row r="698" spans="1:20" ht="12.75" customHeight="1" x14ac:dyDescent="0.25">
      <c r="A698" s="342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30"/>
      <c r="R698" s="30"/>
      <c r="S698" s="30"/>
      <c r="T698" s="30"/>
    </row>
    <row r="699" spans="1:20" ht="12.75" customHeight="1" x14ac:dyDescent="0.25">
      <c r="A699" s="342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30"/>
      <c r="R699" s="30"/>
      <c r="S699" s="30"/>
      <c r="T699" s="30"/>
    </row>
    <row r="700" spans="1:20" ht="12.75" customHeight="1" x14ac:dyDescent="0.25">
      <c r="A700" s="342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30"/>
      <c r="R700" s="30"/>
      <c r="S700" s="30"/>
      <c r="T700" s="30"/>
    </row>
    <row r="701" spans="1:20" ht="12.75" customHeight="1" x14ac:dyDescent="0.25">
      <c r="A701" s="342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30"/>
      <c r="R701" s="30"/>
      <c r="S701" s="30"/>
      <c r="T701" s="30"/>
    </row>
    <row r="702" spans="1:20" ht="12.75" customHeight="1" x14ac:dyDescent="0.25">
      <c r="A702" s="342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30"/>
      <c r="R702" s="30"/>
      <c r="S702" s="30"/>
      <c r="T702" s="30"/>
    </row>
    <row r="703" spans="1:20" ht="12.75" customHeight="1" x14ac:dyDescent="0.25">
      <c r="A703" s="342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30"/>
      <c r="R703" s="30"/>
      <c r="S703" s="30"/>
      <c r="T703" s="30"/>
    </row>
    <row r="704" spans="1:20" ht="12.75" customHeight="1" x14ac:dyDescent="0.25">
      <c r="A704" s="342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30"/>
      <c r="R704" s="30"/>
      <c r="S704" s="30"/>
      <c r="T704" s="30"/>
    </row>
    <row r="705" spans="1:20" ht="12.75" customHeight="1" x14ac:dyDescent="0.25">
      <c r="A705" s="342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30"/>
      <c r="R705" s="30"/>
      <c r="S705" s="30"/>
      <c r="T705" s="30"/>
    </row>
    <row r="706" spans="1:20" ht="12.75" customHeight="1" x14ac:dyDescent="0.25">
      <c r="A706" s="342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30"/>
      <c r="R706" s="30"/>
      <c r="S706" s="30"/>
      <c r="T706" s="30"/>
    </row>
    <row r="707" spans="1:20" ht="12.75" customHeight="1" x14ac:dyDescent="0.25">
      <c r="A707" s="342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30"/>
      <c r="R707" s="30"/>
      <c r="S707" s="30"/>
      <c r="T707" s="30"/>
    </row>
    <row r="708" spans="1:20" ht="12.75" customHeight="1" x14ac:dyDescent="0.25">
      <c r="A708" s="342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30"/>
      <c r="R708" s="30"/>
      <c r="S708" s="30"/>
      <c r="T708" s="30"/>
    </row>
    <row r="709" spans="1:20" ht="12.75" customHeight="1" x14ac:dyDescent="0.25">
      <c r="A709" s="342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30"/>
      <c r="R709" s="30"/>
      <c r="S709" s="30"/>
      <c r="T709" s="30"/>
    </row>
    <row r="710" spans="1:20" ht="12.75" customHeight="1" x14ac:dyDescent="0.25">
      <c r="A710" s="342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30"/>
      <c r="R710" s="30"/>
      <c r="S710" s="30"/>
      <c r="T710" s="30"/>
    </row>
    <row r="711" spans="1:20" ht="12.75" customHeight="1" x14ac:dyDescent="0.25">
      <c r="A711" s="342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30"/>
      <c r="R711" s="30"/>
      <c r="S711" s="30"/>
      <c r="T711" s="30"/>
    </row>
    <row r="712" spans="1:20" ht="12.75" customHeight="1" x14ac:dyDescent="0.25">
      <c r="A712" s="342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30"/>
      <c r="R712" s="30"/>
      <c r="S712" s="30"/>
      <c r="T712" s="30"/>
    </row>
    <row r="713" spans="1:20" ht="12.75" customHeight="1" x14ac:dyDescent="0.25">
      <c r="A713" s="342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30"/>
      <c r="R713" s="30"/>
      <c r="S713" s="30"/>
      <c r="T713" s="30"/>
    </row>
    <row r="714" spans="1:20" ht="12.75" customHeight="1" x14ac:dyDescent="0.25">
      <c r="A714" s="342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30"/>
      <c r="R714" s="30"/>
      <c r="S714" s="30"/>
      <c r="T714" s="30"/>
    </row>
    <row r="715" spans="1:20" ht="12.75" customHeight="1" x14ac:dyDescent="0.25">
      <c r="A715" s="342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30"/>
      <c r="R715" s="30"/>
      <c r="S715" s="30"/>
      <c r="T715" s="30"/>
    </row>
    <row r="716" spans="1:20" ht="12.75" customHeight="1" x14ac:dyDescent="0.25">
      <c r="A716" s="342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30"/>
      <c r="R716" s="30"/>
      <c r="S716" s="30"/>
      <c r="T716" s="30"/>
    </row>
    <row r="717" spans="1:20" ht="12.75" customHeight="1" x14ac:dyDescent="0.25">
      <c r="A717" s="342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30"/>
      <c r="R717" s="30"/>
      <c r="S717" s="30"/>
      <c r="T717" s="30"/>
    </row>
    <row r="718" spans="1:20" ht="12.75" customHeight="1" x14ac:dyDescent="0.25">
      <c r="A718" s="342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30"/>
      <c r="R718" s="30"/>
      <c r="S718" s="30"/>
      <c r="T718" s="30"/>
    </row>
    <row r="719" spans="1:20" ht="12.75" customHeight="1" x14ac:dyDescent="0.25">
      <c r="A719" s="342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30"/>
      <c r="R719" s="30"/>
      <c r="S719" s="30"/>
      <c r="T719" s="30"/>
    </row>
    <row r="720" spans="1:20" ht="12.75" customHeight="1" x14ac:dyDescent="0.25">
      <c r="A720" s="342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30"/>
      <c r="R720" s="30"/>
      <c r="S720" s="30"/>
      <c r="T720" s="30"/>
    </row>
    <row r="721" spans="1:20" ht="12.75" customHeight="1" x14ac:dyDescent="0.25">
      <c r="A721" s="342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30"/>
      <c r="R721" s="30"/>
      <c r="S721" s="30"/>
      <c r="T721" s="30"/>
    </row>
    <row r="722" spans="1:20" ht="12.75" customHeight="1" x14ac:dyDescent="0.25">
      <c r="A722" s="342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30"/>
      <c r="R722" s="30"/>
      <c r="S722" s="30"/>
      <c r="T722" s="30"/>
    </row>
    <row r="723" spans="1:20" ht="12.75" customHeight="1" x14ac:dyDescent="0.25">
      <c r="A723" s="342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30"/>
      <c r="R723" s="30"/>
      <c r="S723" s="30"/>
      <c r="T723" s="30"/>
    </row>
    <row r="724" spans="1:20" ht="12.75" customHeight="1" x14ac:dyDescent="0.25">
      <c r="A724" s="342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30"/>
      <c r="R724" s="30"/>
      <c r="S724" s="30"/>
      <c r="T724" s="30"/>
    </row>
    <row r="725" spans="1:20" ht="12.75" customHeight="1" x14ac:dyDescent="0.25">
      <c r="A725" s="342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30"/>
      <c r="R725" s="30"/>
      <c r="S725" s="30"/>
      <c r="T725" s="30"/>
    </row>
    <row r="726" spans="1:20" ht="12.75" customHeight="1" x14ac:dyDescent="0.25">
      <c r="A726" s="342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30"/>
      <c r="R726" s="30"/>
      <c r="S726" s="30"/>
      <c r="T726" s="30"/>
    </row>
    <row r="727" spans="1:20" ht="12.75" customHeight="1" x14ac:dyDescent="0.25">
      <c r="A727" s="342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30"/>
      <c r="R727" s="30"/>
      <c r="S727" s="30"/>
      <c r="T727" s="30"/>
    </row>
    <row r="728" spans="1:20" ht="12.75" customHeight="1" x14ac:dyDescent="0.25">
      <c r="A728" s="342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30"/>
      <c r="R728" s="30"/>
      <c r="S728" s="30"/>
      <c r="T728" s="30"/>
    </row>
    <row r="729" spans="1:20" ht="12.75" customHeight="1" x14ac:dyDescent="0.25">
      <c r="A729" s="342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30"/>
      <c r="R729" s="30"/>
      <c r="S729" s="30"/>
      <c r="T729" s="30"/>
    </row>
    <row r="730" spans="1:20" ht="12.75" customHeight="1" x14ac:dyDescent="0.25">
      <c r="A730" s="342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30"/>
      <c r="R730" s="30"/>
      <c r="S730" s="30"/>
      <c r="T730" s="30"/>
    </row>
    <row r="731" spans="1:20" ht="12.75" customHeight="1" x14ac:dyDescent="0.25">
      <c r="A731" s="342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30"/>
      <c r="R731" s="30"/>
      <c r="S731" s="30"/>
      <c r="T731" s="30"/>
    </row>
    <row r="732" spans="1:20" ht="12.75" customHeight="1" x14ac:dyDescent="0.25">
      <c r="A732" s="342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30"/>
      <c r="R732" s="30"/>
      <c r="S732" s="30"/>
      <c r="T732" s="30"/>
    </row>
    <row r="733" spans="1:20" ht="12.75" customHeight="1" x14ac:dyDescent="0.25">
      <c r="A733" s="342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30"/>
      <c r="R733" s="30"/>
      <c r="S733" s="30"/>
      <c r="T733" s="30"/>
    </row>
    <row r="734" spans="1:20" ht="12.75" customHeight="1" x14ac:dyDescent="0.25">
      <c r="A734" s="342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30"/>
      <c r="R734" s="30"/>
      <c r="S734" s="30"/>
      <c r="T734" s="30"/>
    </row>
    <row r="735" spans="1:20" ht="12.75" customHeight="1" x14ac:dyDescent="0.25">
      <c r="A735" s="342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30"/>
      <c r="R735" s="30"/>
      <c r="S735" s="30"/>
      <c r="T735" s="30"/>
    </row>
    <row r="736" spans="1:20" ht="12.75" customHeight="1" x14ac:dyDescent="0.25">
      <c r="A736" s="342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30"/>
      <c r="R736" s="30"/>
      <c r="S736" s="30"/>
      <c r="T736" s="30"/>
    </row>
    <row r="737" spans="1:20" ht="12.75" customHeight="1" x14ac:dyDescent="0.25">
      <c r="A737" s="342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30"/>
      <c r="R737" s="30"/>
      <c r="S737" s="30"/>
      <c r="T737" s="30"/>
    </row>
    <row r="738" spans="1:20" ht="12.75" customHeight="1" x14ac:dyDescent="0.25">
      <c r="A738" s="342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30"/>
      <c r="R738" s="30"/>
      <c r="S738" s="30"/>
      <c r="T738" s="30"/>
    </row>
    <row r="739" spans="1:20" ht="12.75" customHeight="1" x14ac:dyDescent="0.25">
      <c r="A739" s="342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30"/>
      <c r="R739" s="30"/>
      <c r="S739" s="30"/>
      <c r="T739" s="30"/>
    </row>
    <row r="740" spans="1:20" ht="12.75" customHeight="1" x14ac:dyDescent="0.25">
      <c r="A740" s="342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30"/>
      <c r="R740" s="30"/>
      <c r="S740" s="30"/>
      <c r="T740" s="30"/>
    </row>
    <row r="741" spans="1:20" ht="12.75" customHeight="1" x14ac:dyDescent="0.25">
      <c r="A741" s="342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30"/>
      <c r="R741" s="30"/>
      <c r="S741" s="30"/>
      <c r="T741" s="30"/>
    </row>
    <row r="742" spans="1:20" ht="12.75" customHeight="1" x14ac:dyDescent="0.25">
      <c r="A742" s="342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30"/>
      <c r="R742" s="30"/>
      <c r="S742" s="30"/>
      <c r="T742" s="30"/>
    </row>
    <row r="743" spans="1:20" ht="12.75" customHeight="1" x14ac:dyDescent="0.25">
      <c r="A743" s="342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30"/>
      <c r="R743" s="30"/>
      <c r="S743" s="30"/>
      <c r="T743" s="30"/>
    </row>
    <row r="744" spans="1:20" ht="12.75" customHeight="1" x14ac:dyDescent="0.25">
      <c r="A744" s="342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30"/>
      <c r="R744" s="30"/>
      <c r="S744" s="30"/>
      <c r="T744" s="30"/>
    </row>
    <row r="745" spans="1:20" ht="12.75" customHeight="1" x14ac:dyDescent="0.25">
      <c r="A745" s="342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30"/>
      <c r="R745" s="30"/>
      <c r="S745" s="30"/>
      <c r="T745" s="30"/>
    </row>
    <row r="746" spans="1:20" ht="12.75" customHeight="1" x14ac:dyDescent="0.25">
      <c r="A746" s="342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30"/>
      <c r="R746" s="30"/>
      <c r="S746" s="30"/>
      <c r="T746" s="30"/>
    </row>
    <row r="747" spans="1:20" ht="12.75" customHeight="1" x14ac:dyDescent="0.25">
      <c r="A747" s="342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30"/>
      <c r="R747" s="30"/>
      <c r="S747" s="30"/>
      <c r="T747" s="30"/>
    </row>
    <row r="748" spans="1:20" ht="12.75" customHeight="1" x14ac:dyDescent="0.25">
      <c r="A748" s="342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30"/>
      <c r="R748" s="30"/>
      <c r="S748" s="30"/>
      <c r="T748" s="30"/>
    </row>
    <row r="749" spans="1:20" ht="12.75" customHeight="1" x14ac:dyDescent="0.25">
      <c r="A749" s="342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30"/>
      <c r="R749" s="30"/>
      <c r="S749" s="30"/>
      <c r="T749" s="30"/>
    </row>
    <row r="750" spans="1:20" ht="12.75" customHeight="1" x14ac:dyDescent="0.25">
      <c r="A750" s="342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30"/>
      <c r="R750" s="30"/>
      <c r="S750" s="30"/>
      <c r="T750" s="30"/>
    </row>
    <row r="751" spans="1:20" ht="12.75" customHeight="1" x14ac:dyDescent="0.25">
      <c r="A751" s="342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30"/>
      <c r="R751" s="30"/>
      <c r="S751" s="30"/>
      <c r="T751" s="30"/>
    </row>
    <row r="752" spans="1:20" ht="12.75" customHeight="1" x14ac:dyDescent="0.25">
      <c r="A752" s="342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30"/>
      <c r="R752" s="30"/>
      <c r="S752" s="30"/>
      <c r="T752" s="30"/>
    </row>
    <row r="753" spans="1:20" ht="12.75" customHeight="1" x14ac:dyDescent="0.25">
      <c r="A753" s="342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30"/>
      <c r="R753" s="30"/>
      <c r="S753" s="30"/>
      <c r="T753" s="30"/>
    </row>
    <row r="754" spans="1:20" ht="12.75" customHeight="1" x14ac:dyDescent="0.25">
      <c r="A754" s="342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30"/>
      <c r="R754" s="30"/>
      <c r="S754" s="30"/>
      <c r="T754" s="30"/>
    </row>
    <row r="755" spans="1:20" ht="12.75" customHeight="1" x14ac:dyDescent="0.25">
      <c r="A755" s="342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30"/>
      <c r="R755" s="30"/>
      <c r="S755" s="30"/>
      <c r="T755" s="30"/>
    </row>
    <row r="756" spans="1:20" ht="12.75" customHeight="1" x14ac:dyDescent="0.25">
      <c r="A756" s="342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30"/>
      <c r="R756" s="30"/>
      <c r="S756" s="30"/>
      <c r="T756" s="30"/>
    </row>
    <row r="757" spans="1:20" ht="12.75" customHeight="1" x14ac:dyDescent="0.25">
      <c r="A757" s="342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30"/>
      <c r="R757" s="30"/>
      <c r="S757" s="30"/>
      <c r="T757" s="30"/>
    </row>
    <row r="758" spans="1:20" ht="12.75" customHeight="1" x14ac:dyDescent="0.25">
      <c r="A758" s="342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30"/>
      <c r="R758" s="30"/>
      <c r="S758" s="30"/>
      <c r="T758" s="30"/>
    </row>
    <row r="759" spans="1:20" ht="12.75" customHeight="1" x14ac:dyDescent="0.25">
      <c r="A759" s="342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30"/>
      <c r="R759" s="30"/>
      <c r="S759" s="30"/>
      <c r="T759" s="30"/>
    </row>
    <row r="760" spans="1:20" ht="12.75" customHeight="1" x14ac:dyDescent="0.25">
      <c r="A760" s="342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30"/>
      <c r="R760" s="30"/>
      <c r="S760" s="30"/>
      <c r="T760" s="30"/>
    </row>
    <row r="761" spans="1:20" ht="12.75" customHeight="1" x14ac:dyDescent="0.25">
      <c r="A761" s="342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30"/>
      <c r="R761" s="30"/>
      <c r="S761" s="30"/>
      <c r="T761" s="30"/>
    </row>
    <row r="762" spans="1:20" ht="12.75" customHeight="1" x14ac:dyDescent="0.25">
      <c r="A762" s="342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30"/>
      <c r="R762" s="30"/>
      <c r="S762" s="30"/>
      <c r="T762" s="30"/>
    </row>
    <row r="763" spans="1:20" ht="12.75" customHeight="1" x14ac:dyDescent="0.25">
      <c r="A763" s="342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30"/>
      <c r="R763" s="30"/>
      <c r="S763" s="30"/>
      <c r="T763" s="30"/>
    </row>
    <row r="764" spans="1:20" ht="12.75" customHeight="1" x14ac:dyDescent="0.25">
      <c r="A764" s="342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30"/>
      <c r="R764" s="30"/>
      <c r="S764" s="30"/>
      <c r="T764" s="30"/>
    </row>
    <row r="765" spans="1:20" ht="12.75" customHeight="1" x14ac:dyDescent="0.25">
      <c r="A765" s="342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30"/>
      <c r="R765" s="30"/>
      <c r="S765" s="30"/>
      <c r="T765" s="30"/>
    </row>
    <row r="766" spans="1:20" ht="12.75" customHeight="1" x14ac:dyDescent="0.25">
      <c r="A766" s="342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30"/>
      <c r="R766" s="30"/>
      <c r="S766" s="30"/>
      <c r="T766" s="30"/>
    </row>
    <row r="767" spans="1:20" ht="12.75" customHeight="1" x14ac:dyDescent="0.25">
      <c r="A767" s="342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30"/>
      <c r="R767" s="30"/>
      <c r="S767" s="30"/>
      <c r="T767" s="30"/>
    </row>
    <row r="768" spans="1:20" ht="12.75" customHeight="1" x14ac:dyDescent="0.25">
      <c r="A768" s="342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30"/>
      <c r="R768" s="30"/>
      <c r="S768" s="30"/>
      <c r="T768" s="30"/>
    </row>
    <row r="769" spans="1:20" ht="12.75" customHeight="1" x14ac:dyDescent="0.25">
      <c r="A769" s="342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30"/>
      <c r="R769" s="30"/>
      <c r="S769" s="30"/>
      <c r="T769" s="30"/>
    </row>
    <row r="770" spans="1:20" ht="12.75" customHeight="1" x14ac:dyDescent="0.25">
      <c r="A770" s="342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30"/>
      <c r="R770" s="30"/>
      <c r="S770" s="30"/>
      <c r="T770" s="30"/>
    </row>
    <row r="771" spans="1:20" ht="12.75" customHeight="1" x14ac:dyDescent="0.25">
      <c r="A771" s="342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30"/>
      <c r="R771" s="30"/>
      <c r="S771" s="30"/>
      <c r="T771" s="30"/>
    </row>
    <row r="772" spans="1:20" ht="12.75" customHeight="1" x14ac:dyDescent="0.25">
      <c r="A772" s="342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30"/>
      <c r="R772" s="30"/>
      <c r="S772" s="30"/>
      <c r="T772" s="30"/>
    </row>
    <row r="773" spans="1:20" ht="12.75" customHeight="1" x14ac:dyDescent="0.25">
      <c r="A773" s="342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30"/>
      <c r="R773" s="30"/>
      <c r="S773" s="30"/>
      <c r="T773" s="30"/>
    </row>
    <row r="774" spans="1:20" ht="12.75" customHeight="1" x14ac:dyDescent="0.25">
      <c r="A774" s="342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30"/>
      <c r="R774" s="30"/>
      <c r="S774" s="30"/>
      <c r="T774" s="30"/>
    </row>
    <row r="775" spans="1:20" ht="12.75" customHeight="1" x14ac:dyDescent="0.25">
      <c r="A775" s="342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30"/>
      <c r="R775" s="30"/>
      <c r="S775" s="30"/>
      <c r="T775" s="30"/>
    </row>
    <row r="776" spans="1:20" ht="12.75" customHeight="1" x14ac:dyDescent="0.25">
      <c r="A776" s="342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30"/>
      <c r="R776" s="30"/>
      <c r="S776" s="30"/>
      <c r="T776" s="30"/>
    </row>
    <row r="777" spans="1:20" ht="12.75" customHeight="1" x14ac:dyDescent="0.25">
      <c r="A777" s="342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30"/>
      <c r="R777" s="30"/>
      <c r="S777" s="30"/>
      <c r="T777" s="30"/>
    </row>
    <row r="778" spans="1:20" ht="12.75" customHeight="1" x14ac:dyDescent="0.25">
      <c r="A778" s="342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30"/>
      <c r="R778" s="30"/>
      <c r="S778" s="30"/>
      <c r="T778" s="30"/>
    </row>
    <row r="779" spans="1:20" ht="12.75" customHeight="1" x14ac:dyDescent="0.25">
      <c r="A779" s="342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30"/>
      <c r="R779" s="30"/>
      <c r="S779" s="30"/>
      <c r="T779" s="30"/>
    </row>
    <row r="780" spans="1:20" ht="12.75" customHeight="1" x14ac:dyDescent="0.25">
      <c r="A780" s="342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30"/>
      <c r="R780" s="30"/>
      <c r="S780" s="30"/>
      <c r="T780" s="30"/>
    </row>
    <row r="781" spans="1:20" ht="12.75" customHeight="1" x14ac:dyDescent="0.25">
      <c r="A781" s="342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30"/>
      <c r="R781" s="30"/>
      <c r="S781" s="30"/>
      <c r="T781" s="30"/>
    </row>
    <row r="782" spans="1:20" ht="12.75" customHeight="1" x14ac:dyDescent="0.25">
      <c r="A782" s="342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30"/>
      <c r="R782" s="30"/>
      <c r="S782" s="30"/>
      <c r="T782" s="30"/>
    </row>
    <row r="783" spans="1:20" ht="12.75" customHeight="1" x14ac:dyDescent="0.25">
      <c r="A783" s="342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30"/>
      <c r="R783" s="30"/>
      <c r="S783" s="30"/>
      <c r="T783" s="30"/>
    </row>
    <row r="784" spans="1:20" ht="12.75" customHeight="1" x14ac:dyDescent="0.25">
      <c r="A784" s="342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30"/>
      <c r="R784" s="30"/>
      <c r="S784" s="30"/>
      <c r="T784" s="30"/>
    </row>
    <row r="785" spans="1:20" ht="12.75" customHeight="1" x14ac:dyDescent="0.25">
      <c r="A785" s="342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30"/>
      <c r="R785" s="30"/>
      <c r="S785" s="30"/>
      <c r="T785" s="30"/>
    </row>
    <row r="786" spans="1:20" ht="12.75" customHeight="1" x14ac:dyDescent="0.25">
      <c r="A786" s="342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30"/>
      <c r="R786" s="30"/>
      <c r="S786" s="30"/>
      <c r="T786" s="30"/>
    </row>
    <row r="787" spans="1:20" ht="12.75" customHeight="1" x14ac:dyDescent="0.25">
      <c r="A787" s="342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30"/>
      <c r="R787" s="30"/>
      <c r="S787" s="30"/>
      <c r="T787" s="30"/>
    </row>
    <row r="788" spans="1:20" ht="12.75" customHeight="1" x14ac:dyDescent="0.25">
      <c r="A788" s="342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30"/>
      <c r="R788" s="30"/>
      <c r="S788" s="30"/>
      <c r="T788" s="30"/>
    </row>
    <row r="789" spans="1:20" ht="12.75" customHeight="1" x14ac:dyDescent="0.25">
      <c r="A789" s="342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30"/>
      <c r="R789" s="30"/>
      <c r="S789" s="30"/>
      <c r="T789" s="30"/>
    </row>
    <row r="790" spans="1:20" ht="12.75" customHeight="1" x14ac:dyDescent="0.25">
      <c r="A790" s="342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30"/>
      <c r="R790" s="30"/>
      <c r="S790" s="30"/>
      <c r="T790" s="30"/>
    </row>
    <row r="791" spans="1:20" ht="12.75" customHeight="1" x14ac:dyDescent="0.25">
      <c r="A791" s="342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30"/>
      <c r="R791" s="30"/>
      <c r="S791" s="30"/>
      <c r="T791" s="30"/>
    </row>
    <row r="792" spans="1:20" ht="12.75" customHeight="1" x14ac:dyDescent="0.25">
      <c r="A792" s="342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30"/>
      <c r="R792" s="30"/>
      <c r="S792" s="30"/>
      <c r="T792" s="30"/>
    </row>
    <row r="793" spans="1:20" ht="12.75" customHeight="1" x14ac:dyDescent="0.25">
      <c r="A793" s="342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30"/>
      <c r="R793" s="30"/>
      <c r="S793" s="30"/>
      <c r="T793" s="30"/>
    </row>
    <row r="794" spans="1:20" ht="12.75" customHeight="1" x14ac:dyDescent="0.25">
      <c r="A794" s="342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30"/>
      <c r="R794" s="30"/>
      <c r="S794" s="30"/>
      <c r="T794" s="30"/>
    </row>
    <row r="795" spans="1:20" ht="12.75" customHeight="1" x14ac:dyDescent="0.25">
      <c r="A795" s="342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30"/>
      <c r="R795" s="30"/>
      <c r="S795" s="30"/>
      <c r="T795" s="30"/>
    </row>
    <row r="796" spans="1:20" ht="12.75" customHeight="1" x14ac:dyDescent="0.25">
      <c r="A796" s="342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30"/>
      <c r="R796" s="30"/>
      <c r="S796" s="30"/>
      <c r="T796" s="30"/>
    </row>
    <row r="797" spans="1:20" ht="12.75" customHeight="1" x14ac:dyDescent="0.25">
      <c r="A797" s="342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30"/>
      <c r="R797" s="30"/>
      <c r="S797" s="30"/>
      <c r="T797" s="30"/>
    </row>
    <row r="798" spans="1:20" ht="12.75" customHeight="1" x14ac:dyDescent="0.25">
      <c r="A798" s="342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30"/>
      <c r="R798" s="30"/>
      <c r="S798" s="30"/>
      <c r="T798" s="30"/>
    </row>
    <row r="799" spans="1:20" ht="12.75" customHeight="1" x14ac:dyDescent="0.25">
      <c r="A799" s="342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30"/>
      <c r="R799" s="30"/>
      <c r="S799" s="30"/>
      <c r="T799" s="30"/>
    </row>
    <row r="800" spans="1:20" ht="12.75" customHeight="1" x14ac:dyDescent="0.25">
      <c r="A800" s="342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30"/>
      <c r="R800" s="30"/>
      <c r="S800" s="30"/>
      <c r="T800" s="30"/>
    </row>
    <row r="801" spans="1:20" ht="12.75" customHeight="1" x14ac:dyDescent="0.25">
      <c r="A801" s="342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30"/>
      <c r="R801" s="30"/>
      <c r="S801" s="30"/>
      <c r="T801" s="30"/>
    </row>
    <row r="802" spans="1:20" ht="12.75" customHeight="1" x14ac:dyDescent="0.25">
      <c r="A802" s="342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30"/>
      <c r="R802" s="30"/>
      <c r="S802" s="30"/>
      <c r="T802" s="30"/>
    </row>
    <row r="803" spans="1:20" ht="12.75" customHeight="1" x14ac:dyDescent="0.25">
      <c r="A803" s="342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30"/>
      <c r="R803" s="30"/>
      <c r="S803" s="30"/>
      <c r="T803" s="30"/>
    </row>
    <row r="804" spans="1:20" ht="12.75" customHeight="1" x14ac:dyDescent="0.25">
      <c r="A804" s="342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30"/>
      <c r="R804" s="30"/>
      <c r="S804" s="30"/>
      <c r="T804" s="30"/>
    </row>
    <row r="805" spans="1:20" ht="12.75" customHeight="1" x14ac:dyDescent="0.25">
      <c r="A805" s="342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30"/>
      <c r="R805" s="30"/>
      <c r="S805" s="30"/>
      <c r="T805" s="30"/>
    </row>
    <row r="806" spans="1:20" ht="12.75" customHeight="1" x14ac:dyDescent="0.25">
      <c r="A806" s="342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30"/>
      <c r="R806" s="30"/>
      <c r="S806" s="30"/>
      <c r="T806" s="30"/>
    </row>
    <row r="807" spans="1:20" ht="12.75" customHeight="1" x14ac:dyDescent="0.25">
      <c r="A807" s="342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30"/>
      <c r="R807" s="30"/>
      <c r="S807" s="30"/>
      <c r="T807" s="30"/>
    </row>
    <row r="808" spans="1:20" ht="12.75" customHeight="1" x14ac:dyDescent="0.25">
      <c r="A808" s="342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30"/>
      <c r="R808" s="30"/>
      <c r="S808" s="30"/>
      <c r="T808" s="30"/>
    </row>
    <row r="809" spans="1:20" ht="12.75" customHeight="1" x14ac:dyDescent="0.25">
      <c r="A809" s="342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30"/>
      <c r="R809" s="30"/>
      <c r="S809" s="30"/>
      <c r="T809" s="30"/>
    </row>
    <row r="810" spans="1:20" ht="12.75" customHeight="1" x14ac:dyDescent="0.25">
      <c r="A810" s="342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30"/>
      <c r="R810" s="30"/>
      <c r="S810" s="30"/>
      <c r="T810" s="30"/>
    </row>
    <row r="811" spans="1:20" ht="12.75" customHeight="1" x14ac:dyDescent="0.25">
      <c r="A811" s="342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30"/>
      <c r="R811" s="30"/>
      <c r="S811" s="30"/>
      <c r="T811" s="30"/>
    </row>
    <row r="812" spans="1:20" ht="12.75" customHeight="1" x14ac:dyDescent="0.25">
      <c r="A812" s="342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30"/>
      <c r="R812" s="30"/>
      <c r="S812" s="30"/>
      <c r="T812" s="30"/>
    </row>
    <row r="813" spans="1:20" ht="12.75" customHeight="1" x14ac:dyDescent="0.25">
      <c r="A813" s="342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30"/>
      <c r="R813" s="30"/>
      <c r="S813" s="30"/>
      <c r="T813" s="30"/>
    </row>
    <row r="814" spans="1:20" ht="12.75" customHeight="1" x14ac:dyDescent="0.25">
      <c r="A814" s="342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30"/>
      <c r="R814" s="30"/>
      <c r="S814" s="30"/>
      <c r="T814" s="30"/>
    </row>
    <row r="815" spans="1:20" ht="12.75" customHeight="1" x14ac:dyDescent="0.25">
      <c r="A815" s="342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30"/>
      <c r="R815" s="30"/>
      <c r="S815" s="30"/>
      <c r="T815" s="30"/>
    </row>
    <row r="816" spans="1:20" ht="12.75" customHeight="1" x14ac:dyDescent="0.25">
      <c r="A816" s="342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30"/>
      <c r="R816" s="30"/>
      <c r="S816" s="30"/>
      <c r="T816" s="30"/>
    </row>
    <row r="817" spans="1:20" ht="12.75" customHeight="1" x14ac:dyDescent="0.25">
      <c r="A817" s="342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30"/>
      <c r="R817" s="30"/>
      <c r="S817" s="30"/>
      <c r="T817" s="30"/>
    </row>
    <row r="818" spans="1:20" ht="12.75" customHeight="1" x14ac:dyDescent="0.25">
      <c r="A818" s="342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30"/>
      <c r="R818" s="30"/>
      <c r="S818" s="30"/>
      <c r="T818" s="30"/>
    </row>
    <row r="819" spans="1:20" ht="12.75" customHeight="1" x14ac:dyDescent="0.25">
      <c r="A819" s="342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30"/>
      <c r="R819" s="30"/>
      <c r="S819" s="30"/>
      <c r="T819" s="30"/>
    </row>
    <row r="820" spans="1:20" ht="12.75" customHeight="1" x14ac:dyDescent="0.25">
      <c r="A820" s="342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30"/>
      <c r="R820" s="30"/>
      <c r="S820" s="30"/>
      <c r="T820" s="30"/>
    </row>
    <row r="821" spans="1:20" ht="12.75" customHeight="1" x14ac:dyDescent="0.25">
      <c r="A821" s="342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30"/>
      <c r="R821" s="30"/>
      <c r="S821" s="30"/>
      <c r="T821" s="30"/>
    </row>
    <row r="822" spans="1:20" ht="12.75" customHeight="1" x14ac:dyDescent="0.25">
      <c r="A822" s="342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30"/>
      <c r="R822" s="30"/>
      <c r="S822" s="30"/>
      <c r="T822" s="30"/>
    </row>
    <row r="823" spans="1:20" ht="12.75" customHeight="1" x14ac:dyDescent="0.25">
      <c r="A823" s="342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30"/>
      <c r="R823" s="30"/>
      <c r="S823" s="30"/>
      <c r="T823" s="30"/>
    </row>
    <row r="824" spans="1:20" ht="12.75" customHeight="1" x14ac:dyDescent="0.25">
      <c r="A824" s="342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30"/>
      <c r="R824" s="30"/>
      <c r="S824" s="30"/>
      <c r="T824" s="30"/>
    </row>
    <row r="825" spans="1:20" ht="12.75" customHeight="1" x14ac:dyDescent="0.25">
      <c r="A825" s="342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30"/>
      <c r="R825" s="30"/>
      <c r="S825" s="30"/>
      <c r="T825" s="30"/>
    </row>
    <row r="826" spans="1:20" ht="12.75" customHeight="1" x14ac:dyDescent="0.25">
      <c r="A826" s="342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30"/>
      <c r="R826" s="30"/>
      <c r="S826" s="30"/>
      <c r="T826" s="30"/>
    </row>
    <row r="827" spans="1:20" ht="12.75" customHeight="1" x14ac:dyDescent="0.25">
      <c r="A827" s="342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30"/>
      <c r="R827" s="30"/>
      <c r="S827" s="30"/>
      <c r="T827" s="30"/>
    </row>
    <row r="828" spans="1:20" ht="12.75" customHeight="1" x14ac:dyDescent="0.25">
      <c r="A828" s="342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30"/>
      <c r="R828" s="30"/>
      <c r="S828" s="30"/>
      <c r="T828" s="30"/>
    </row>
    <row r="829" spans="1:20" ht="12.75" customHeight="1" x14ac:dyDescent="0.25">
      <c r="A829" s="342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30"/>
      <c r="R829" s="30"/>
      <c r="S829" s="30"/>
      <c r="T829" s="30"/>
    </row>
    <row r="830" spans="1:20" ht="12.75" customHeight="1" x14ac:dyDescent="0.25">
      <c r="A830" s="342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30"/>
      <c r="R830" s="30"/>
      <c r="S830" s="30"/>
      <c r="T830" s="30"/>
    </row>
    <row r="831" spans="1:20" ht="12.75" customHeight="1" x14ac:dyDescent="0.25">
      <c r="A831" s="342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30"/>
      <c r="R831" s="30"/>
      <c r="S831" s="30"/>
      <c r="T831" s="30"/>
    </row>
    <row r="832" spans="1:20" ht="12.75" customHeight="1" x14ac:dyDescent="0.25">
      <c r="A832" s="342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30"/>
      <c r="R832" s="30"/>
      <c r="S832" s="30"/>
      <c r="T832" s="30"/>
    </row>
    <row r="833" spans="1:20" ht="12.75" customHeight="1" x14ac:dyDescent="0.25">
      <c r="A833" s="342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30"/>
      <c r="R833" s="30"/>
      <c r="S833" s="30"/>
      <c r="T833" s="30"/>
    </row>
    <row r="834" spans="1:20" ht="12.75" customHeight="1" x14ac:dyDescent="0.25">
      <c r="A834" s="342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30"/>
      <c r="R834" s="30"/>
      <c r="S834" s="30"/>
      <c r="T834" s="30"/>
    </row>
    <row r="835" spans="1:20" ht="12.75" customHeight="1" x14ac:dyDescent="0.25">
      <c r="A835" s="342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30"/>
      <c r="R835" s="30"/>
      <c r="S835" s="30"/>
      <c r="T835" s="30"/>
    </row>
    <row r="836" spans="1:20" ht="12.75" customHeight="1" x14ac:dyDescent="0.25">
      <c r="A836" s="342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30"/>
      <c r="R836" s="30"/>
      <c r="S836" s="30"/>
      <c r="T836" s="30"/>
    </row>
    <row r="837" spans="1:20" ht="12.75" customHeight="1" x14ac:dyDescent="0.25">
      <c r="A837" s="342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30"/>
      <c r="R837" s="30"/>
      <c r="S837" s="30"/>
      <c r="T837" s="30"/>
    </row>
    <row r="838" spans="1:20" ht="12.75" customHeight="1" x14ac:dyDescent="0.25">
      <c r="A838" s="342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30"/>
      <c r="R838" s="30"/>
      <c r="S838" s="30"/>
      <c r="T838" s="30"/>
    </row>
    <row r="839" spans="1:20" ht="12.75" customHeight="1" x14ac:dyDescent="0.25">
      <c r="A839" s="342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30"/>
      <c r="R839" s="30"/>
      <c r="S839" s="30"/>
      <c r="T839" s="30"/>
    </row>
    <row r="840" spans="1:20" ht="12.75" customHeight="1" x14ac:dyDescent="0.25">
      <c r="A840" s="342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30"/>
      <c r="R840" s="30"/>
      <c r="S840" s="30"/>
      <c r="T840" s="30"/>
    </row>
    <row r="841" spans="1:20" ht="12.75" customHeight="1" x14ac:dyDescent="0.25">
      <c r="A841" s="342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30"/>
      <c r="R841" s="30"/>
      <c r="S841" s="30"/>
      <c r="T841" s="30"/>
    </row>
    <row r="842" spans="1:20" ht="12.75" customHeight="1" x14ac:dyDescent="0.25">
      <c r="A842" s="342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30"/>
      <c r="R842" s="30"/>
      <c r="S842" s="30"/>
      <c r="T842" s="30"/>
    </row>
    <row r="843" spans="1:20" ht="12.75" customHeight="1" x14ac:dyDescent="0.25">
      <c r="A843" s="342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30"/>
      <c r="R843" s="30"/>
      <c r="S843" s="30"/>
      <c r="T843" s="30"/>
    </row>
    <row r="844" spans="1:20" ht="12.75" customHeight="1" x14ac:dyDescent="0.25">
      <c r="A844" s="342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30"/>
      <c r="R844" s="30"/>
      <c r="S844" s="30"/>
      <c r="T844" s="30"/>
    </row>
    <row r="845" spans="1:20" ht="12.75" customHeight="1" x14ac:dyDescent="0.25">
      <c r="A845" s="342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30"/>
      <c r="R845" s="30"/>
      <c r="S845" s="30"/>
      <c r="T845" s="30"/>
    </row>
    <row r="846" spans="1:20" ht="12.75" customHeight="1" x14ac:dyDescent="0.25">
      <c r="A846" s="342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30"/>
      <c r="R846" s="30"/>
      <c r="S846" s="30"/>
      <c r="T846" s="30"/>
    </row>
    <row r="847" spans="1:20" ht="12.75" customHeight="1" x14ac:dyDescent="0.25">
      <c r="A847" s="342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30"/>
      <c r="R847" s="30"/>
      <c r="S847" s="30"/>
      <c r="T847" s="30"/>
    </row>
    <row r="848" spans="1:20" ht="12.75" customHeight="1" x14ac:dyDescent="0.25">
      <c r="A848" s="342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30"/>
      <c r="R848" s="30"/>
      <c r="S848" s="30"/>
      <c r="T848" s="30"/>
    </row>
    <row r="849" spans="1:20" ht="12.75" customHeight="1" x14ac:dyDescent="0.25">
      <c r="A849" s="342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30"/>
      <c r="R849" s="30"/>
      <c r="S849" s="30"/>
      <c r="T849" s="30"/>
    </row>
    <row r="850" spans="1:20" ht="12.75" customHeight="1" x14ac:dyDescent="0.25">
      <c r="A850" s="342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30"/>
      <c r="R850" s="30"/>
      <c r="S850" s="30"/>
      <c r="T850" s="30"/>
    </row>
    <row r="851" spans="1:20" ht="12.75" customHeight="1" x14ac:dyDescent="0.25">
      <c r="A851" s="342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30"/>
      <c r="R851" s="30"/>
      <c r="S851" s="30"/>
      <c r="T851" s="30"/>
    </row>
    <row r="852" spans="1:20" ht="12.75" customHeight="1" x14ac:dyDescent="0.25">
      <c r="A852" s="342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30"/>
      <c r="R852" s="30"/>
      <c r="S852" s="30"/>
      <c r="T852" s="30"/>
    </row>
    <row r="853" spans="1:20" ht="12.75" customHeight="1" x14ac:dyDescent="0.25">
      <c r="A853" s="342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30"/>
      <c r="R853" s="30"/>
      <c r="S853" s="30"/>
      <c r="T853" s="30"/>
    </row>
    <row r="854" spans="1:20" ht="12.75" customHeight="1" x14ac:dyDescent="0.25">
      <c r="A854" s="342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30"/>
      <c r="R854" s="30"/>
      <c r="S854" s="30"/>
      <c r="T854" s="30"/>
    </row>
    <row r="855" spans="1:20" ht="12.75" customHeight="1" x14ac:dyDescent="0.25">
      <c r="A855" s="342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30"/>
      <c r="R855" s="30"/>
      <c r="S855" s="30"/>
      <c r="T855" s="30"/>
    </row>
    <row r="856" spans="1:20" ht="12.75" customHeight="1" x14ac:dyDescent="0.25">
      <c r="A856" s="342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30"/>
      <c r="R856" s="30"/>
      <c r="S856" s="30"/>
      <c r="T856" s="30"/>
    </row>
    <row r="857" spans="1:20" ht="12.75" customHeight="1" x14ac:dyDescent="0.25">
      <c r="A857" s="342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30"/>
      <c r="R857" s="30"/>
      <c r="S857" s="30"/>
      <c r="T857" s="30"/>
    </row>
    <row r="858" spans="1:20" ht="12.75" customHeight="1" x14ac:dyDescent="0.25">
      <c r="A858" s="342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30"/>
      <c r="R858" s="30"/>
      <c r="S858" s="30"/>
      <c r="T858" s="30"/>
    </row>
    <row r="859" spans="1:20" ht="12.75" customHeight="1" x14ac:dyDescent="0.25">
      <c r="A859" s="342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30"/>
      <c r="R859" s="30"/>
      <c r="S859" s="30"/>
      <c r="T859" s="30"/>
    </row>
    <row r="860" spans="1:20" ht="12.75" customHeight="1" x14ac:dyDescent="0.25">
      <c r="A860" s="342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30"/>
      <c r="R860" s="30"/>
      <c r="S860" s="30"/>
      <c r="T860" s="30"/>
    </row>
    <row r="861" spans="1:20" ht="12.75" customHeight="1" x14ac:dyDescent="0.25">
      <c r="A861" s="342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30"/>
      <c r="R861" s="30"/>
      <c r="S861" s="30"/>
      <c r="T861" s="30"/>
    </row>
    <row r="862" spans="1:20" ht="12.75" customHeight="1" x14ac:dyDescent="0.25">
      <c r="A862" s="342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30"/>
      <c r="R862" s="30"/>
      <c r="S862" s="30"/>
      <c r="T862" s="30"/>
    </row>
    <row r="863" spans="1:20" ht="12.75" customHeight="1" x14ac:dyDescent="0.25">
      <c r="A863" s="342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30"/>
      <c r="R863" s="30"/>
      <c r="S863" s="30"/>
      <c r="T863" s="30"/>
    </row>
    <row r="864" spans="1:20" ht="12.75" customHeight="1" x14ac:dyDescent="0.25">
      <c r="A864" s="342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30"/>
      <c r="R864" s="30"/>
      <c r="S864" s="30"/>
      <c r="T864" s="30"/>
    </row>
    <row r="865" spans="1:20" ht="12.75" customHeight="1" x14ac:dyDescent="0.25">
      <c r="A865" s="342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30"/>
      <c r="R865" s="30"/>
      <c r="S865" s="30"/>
      <c r="T865" s="30"/>
    </row>
    <row r="866" spans="1:20" ht="12.75" customHeight="1" x14ac:dyDescent="0.25">
      <c r="A866" s="342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30"/>
      <c r="R866" s="30"/>
      <c r="S866" s="30"/>
      <c r="T866" s="30"/>
    </row>
    <row r="867" spans="1:20" ht="12.75" customHeight="1" x14ac:dyDescent="0.25">
      <c r="A867" s="342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30"/>
      <c r="R867" s="30"/>
      <c r="S867" s="30"/>
      <c r="T867" s="30"/>
    </row>
    <row r="868" spans="1:20" ht="12.75" customHeight="1" x14ac:dyDescent="0.25">
      <c r="A868" s="342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30"/>
      <c r="R868" s="30"/>
      <c r="S868" s="30"/>
      <c r="T868" s="30"/>
    </row>
    <row r="869" spans="1:20" ht="12.75" customHeight="1" x14ac:dyDescent="0.25">
      <c r="A869" s="342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30"/>
      <c r="R869" s="30"/>
      <c r="S869" s="30"/>
      <c r="T869" s="30"/>
    </row>
    <row r="870" spans="1:20" ht="12.75" customHeight="1" x14ac:dyDescent="0.25">
      <c r="A870" s="342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30"/>
      <c r="R870" s="30"/>
      <c r="S870" s="30"/>
      <c r="T870" s="30"/>
    </row>
    <row r="871" spans="1:20" ht="12.75" customHeight="1" x14ac:dyDescent="0.25">
      <c r="A871" s="342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30"/>
      <c r="R871" s="30"/>
      <c r="S871" s="30"/>
      <c r="T871" s="30"/>
    </row>
    <row r="872" spans="1:20" ht="12.75" customHeight="1" x14ac:dyDescent="0.25">
      <c r="A872" s="342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30"/>
      <c r="R872" s="30"/>
      <c r="S872" s="30"/>
      <c r="T872" s="30"/>
    </row>
    <row r="873" spans="1:20" ht="12.75" customHeight="1" x14ac:dyDescent="0.25">
      <c r="A873" s="342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30"/>
      <c r="R873" s="30"/>
      <c r="S873" s="30"/>
      <c r="T873" s="30"/>
    </row>
    <row r="874" spans="1:20" ht="12.75" customHeight="1" x14ac:dyDescent="0.25">
      <c r="A874" s="342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30"/>
      <c r="R874" s="30"/>
      <c r="S874" s="30"/>
      <c r="T874" s="30"/>
    </row>
    <row r="875" spans="1:20" ht="12.75" customHeight="1" x14ac:dyDescent="0.25">
      <c r="A875" s="342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30"/>
      <c r="R875" s="30"/>
      <c r="S875" s="30"/>
      <c r="T875" s="30"/>
    </row>
    <row r="876" spans="1:20" ht="12.75" customHeight="1" x14ac:dyDescent="0.25">
      <c r="A876" s="342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30"/>
      <c r="R876" s="30"/>
      <c r="S876" s="30"/>
      <c r="T876" s="30"/>
    </row>
    <row r="877" spans="1:20" ht="12.75" customHeight="1" x14ac:dyDescent="0.25">
      <c r="A877" s="342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30"/>
      <c r="R877" s="30"/>
      <c r="S877" s="30"/>
      <c r="T877" s="30"/>
    </row>
    <row r="878" spans="1:20" ht="12.75" customHeight="1" x14ac:dyDescent="0.25">
      <c r="A878" s="342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30"/>
      <c r="R878" s="30"/>
      <c r="S878" s="30"/>
      <c r="T878" s="30"/>
    </row>
    <row r="879" spans="1:20" ht="12.75" customHeight="1" x14ac:dyDescent="0.25">
      <c r="A879" s="342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30"/>
      <c r="R879" s="30"/>
      <c r="S879" s="30"/>
      <c r="T879" s="30"/>
    </row>
    <row r="880" spans="1:20" ht="12.75" customHeight="1" x14ac:dyDescent="0.25">
      <c r="A880" s="342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30"/>
      <c r="R880" s="30"/>
      <c r="S880" s="30"/>
      <c r="T880" s="30"/>
    </row>
    <row r="881" spans="1:20" ht="12.75" customHeight="1" x14ac:dyDescent="0.25">
      <c r="A881" s="342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30"/>
      <c r="R881" s="30"/>
      <c r="S881" s="30"/>
      <c r="T881" s="30"/>
    </row>
    <row r="882" spans="1:20" ht="12.75" customHeight="1" x14ac:dyDescent="0.25">
      <c r="A882" s="342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30"/>
      <c r="R882" s="30"/>
      <c r="S882" s="30"/>
      <c r="T882" s="30"/>
    </row>
    <row r="883" spans="1:20" ht="12.75" customHeight="1" x14ac:dyDescent="0.25">
      <c r="A883" s="342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30"/>
      <c r="R883" s="30"/>
      <c r="S883" s="30"/>
      <c r="T883" s="30"/>
    </row>
    <row r="884" spans="1:20" ht="12.75" customHeight="1" x14ac:dyDescent="0.25">
      <c r="A884" s="342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30"/>
      <c r="R884" s="30"/>
      <c r="S884" s="30"/>
      <c r="T884" s="30"/>
    </row>
    <row r="885" spans="1:20" ht="12.75" customHeight="1" x14ac:dyDescent="0.25">
      <c r="A885" s="342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30"/>
      <c r="R885" s="30"/>
      <c r="S885" s="30"/>
      <c r="T885" s="30"/>
    </row>
    <row r="886" spans="1:20" ht="12.75" customHeight="1" x14ac:dyDescent="0.25">
      <c r="A886" s="342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30"/>
      <c r="R886" s="30"/>
      <c r="S886" s="30"/>
      <c r="T886" s="30"/>
    </row>
    <row r="887" spans="1:20" ht="12.75" customHeight="1" x14ac:dyDescent="0.25">
      <c r="A887" s="342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30"/>
      <c r="R887" s="30"/>
      <c r="S887" s="30"/>
      <c r="T887" s="30"/>
    </row>
    <row r="888" spans="1:20" ht="12.75" customHeight="1" x14ac:dyDescent="0.25">
      <c r="A888" s="342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30"/>
      <c r="R888" s="30"/>
      <c r="S888" s="30"/>
      <c r="T888" s="30"/>
    </row>
    <row r="889" spans="1:20" ht="12.75" customHeight="1" x14ac:dyDescent="0.25">
      <c r="A889" s="342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30"/>
      <c r="R889" s="30"/>
      <c r="S889" s="30"/>
      <c r="T889" s="30"/>
    </row>
    <row r="890" spans="1:20" ht="12.75" customHeight="1" x14ac:dyDescent="0.25">
      <c r="A890" s="342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30"/>
      <c r="R890" s="30"/>
      <c r="S890" s="30"/>
      <c r="T890" s="30"/>
    </row>
    <row r="891" spans="1:20" ht="12.75" customHeight="1" x14ac:dyDescent="0.25">
      <c r="A891" s="342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30"/>
      <c r="R891" s="30"/>
      <c r="S891" s="30"/>
      <c r="T891" s="30"/>
    </row>
    <row r="892" spans="1:20" ht="12.75" customHeight="1" x14ac:dyDescent="0.25">
      <c r="A892" s="342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30"/>
      <c r="R892" s="30"/>
      <c r="S892" s="30"/>
      <c r="T892" s="30"/>
    </row>
    <row r="893" spans="1:20" ht="12.75" customHeight="1" x14ac:dyDescent="0.25">
      <c r="A893" s="342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30"/>
      <c r="R893" s="30"/>
      <c r="S893" s="30"/>
      <c r="T893" s="30"/>
    </row>
    <row r="894" spans="1:20" ht="12.75" customHeight="1" x14ac:dyDescent="0.25">
      <c r="A894" s="342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30"/>
      <c r="R894" s="30"/>
      <c r="S894" s="30"/>
      <c r="T894" s="30"/>
    </row>
    <row r="895" spans="1:20" ht="12.75" customHeight="1" x14ac:dyDescent="0.25">
      <c r="A895" s="342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30"/>
      <c r="R895" s="30"/>
      <c r="S895" s="30"/>
      <c r="T895" s="30"/>
    </row>
    <row r="896" spans="1:20" ht="12.75" customHeight="1" x14ac:dyDescent="0.25">
      <c r="A896" s="342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30"/>
      <c r="R896" s="30"/>
      <c r="S896" s="30"/>
      <c r="T896" s="30"/>
    </row>
    <row r="897" spans="1:20" ht="12.75" customHeight="1" x14ac:dyDescent="0.25">
      <c r="A897" s="342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30"/>
      <c r="R897" s="30"/>
      <c r="S897" s="30"/>
      <c r="T897" s="30"/>
    </row>
    <row r="898" spans="1:20" ht="12.75" customHeight="1" x14ac:dyDescent="0.25">
      <c r="A898" s="342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30"/>
      <c r="R898" s="30"/>
      <c r="S898" s="30"/>
      <c r="T898" s="30"/>
    </row>
    <row r="899" spans="1:20" ht="12.75" customHeight="1" x14ac:dyDescent="0.25">
      <c r="A899" s="342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30"/>
      <c r="R899" s="30"/>
      <c r="S899" s="30"/>
      <c r="T899" s="30"/>
    </row>
    <row r="900" spans="1:20" ht="12.75" customHeight="1" x14ac:dyDescent="0.25">
      <c r="A900" s="342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30"/>
      <c r="R900" s="30"/>
      <c r="S900" s="30"/>
      <c r="T900" s="30"/>
    </row>
    <row r="901" spans="1:20" ht="12.75" customHeight="1" x14ac:dyDescent="0.25">
      <c r="A901" s="342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30"/>
      <c r="R901" s="30"/>
      <c r="S901" s="30"/>
      <c r="T901" s="30"/>
    </row>
    <row r="902" spans="1:20" ht="12.75" customHeight="1" x14ac:dyDescent="0.25">
      <c r="A902" s="342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30"/>
      <c r="R902" s="30"/>
      <c r="S902" s="30"/>
      <c r="T902" s="30"/>
    </row>
    <row r="903" spans="1:20" ht="12.75" customHeight="1" x14ac:dyDescent="0.25">
      <c r="A903" s="342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30"/>
      <c r="R903" s="30"/>
      <c r="S903" s="30"/>
      <c r="T903" s="30"/>
    </row>
    <row r="904" spans="1:20" ht="12.75" customHeight="1" x14ac:dyDescent="0.25">
      <c r="A904" s="342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30"/>
      <c r="R904" s="30"/>
      <c r="S904" s="30"/>
      <c r="T904" s="30"/>
    </row>
    <row r="905" spans="1:20" ht="12.75" customHeight="1" x14ac:dyDescent="0.25">
      <c r="A905" s="342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30"/>
      <c r="R905" s="30"/>
      <c r="S905" s="30"/>
      <c r="T905" s="30"/>
    </row>
    <row r="906" spans="1:20" ht="12.75" customHeight="1" x14ac:dyDescent="0.25">
      <c r="A906" s="342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30"/>
      <c r="R906" s="30"/>
      <c r="S906" s="30"/>
      <c r="T906" s="30"/>
    </row>
    <row r="907" spans="1:20" ht="12.75" customHeight="1" x14ac:dyDescent="0.25">
      <c r="A907" s="342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30"/>
      <c r="R907" s="30"/>
      <c r="S907" s="30"/>
      <c r="T907" s="30"/>
    </row>
    <row r="908" spans="1:20" ht="12.75" customHeight="1" x14ac:dyDescent="0.25">
      <c r="A908" s="342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30"/>
      <c r="R908" s="30"/>
      <c r="S908" s="30"/>
      <c r="T908" s="30"/>
    </row>
    <row r="909" spans="1:20" ht="12.75" customHeight="1" x14ac:dyDescent="0.25">
      <c r="A909" s="342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30"/>
      <c r="R909" s="30"/>
      <c r="S909" s="30"/>
      <c r="T909" s="30"/>
    </row>
    <row r="910" spans="1:20" ht="12.75" customHeight="1" x14ac:dyDescent="0.25">
      <c r="A910" s="342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30"/>
      <c r="R910" s="30"/>
      <c r="S910" s="30"/>
      <c r="T910" s="30"/>
    </row>
    <row r="911" spans="1:20" ht="12.75" customHeight="1" x14ac:dyDescent="0.25">
      <c r="A911" s="342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30"/>
      <c r="R911" s="30"/>
      <c r="S911" s="30"/>
      <c r="T911" s="30"/>
    </row>
    <row r="912" spans="1:20" ht="12.75" customHeight="1" x14ac:dyDescent="0.25">
      <c r="A912" s="342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30"/>
      <c r="R912" s="30"/>
      <c r="S912" s="30"/>
      <c r="T912" s="30"/>
    </row>
    <row r="913" spans="1:20" ht="12.75" customHeight="1" x14ac:dyDescent="0.25">
      <c r="A913" s="342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30"/>
      <c r="R913" s="30"/>
      <c r="S913" s="30"/>
      <c r="T913" s="30"/>
    </row>
    <row r="914" spans="1:20" ht="12.75" customHeight="1" x14ac:dyDescent="0.25">
      <c r="A914" s="342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30"/>
      <c r="R914" s="30"/>
      <c r="S914" s="30"/>
      <c r="T914" s="30"/>
    </row>
    <row r="915" spans="1:20" ht="12.75" customHeight="1" x14ac:dyDescent="0.25">
      <c r="A915" s="342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30"/>
      <c r="R915" s="30"/>
      <c r="S915" s="30"/>
      <c r="T915" s="30"/>
    </row>
    <row r="916" spans="1:20" ht="12.75" customHeight="1" x14ac:dyDescent="0.25">
      <c r="A916" s="342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30"/>
      <c r="R916" s="30"/>
      <c r="S916" s="30"/>
      <c r="T916" s="30"/>
    </row>
    <row r="917" spans="1:20" ht="12.75" customHeight="1" x14ac:dyDescent="0.25">
      <c r="A917" s="342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30"/>
      <c r="R917" s="30"/>
      <c r="S917" s="30"/>
      <c r="T917" s="30"/>
    </row>
    <row r="918" spans="1:20" ht="12.75" customHeight="1" x14ac:dyDescent="0.25">
      <c r="A918" s="342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30"/>
      <c r="R918" s="30"/>
      <c r="S918" s="30"/>
      <c r="T918" s="30"/>
    </row>
    <row r="919" spans="1:20" ht="12.75" customHeight="1" x14ac:dyDescent="0.25">
      <c r="A919" s="342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30"/>
      <c r="R919" s="30"/>
      <c r="S919" s="30"/>
      <c r="T919" s="30"/>
    </row>
    <row r="920" spans="1:20" ht="12.75" customHeight="1" x14ac:dyDescent="0.25">
      <c r="A920" s="342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30"/>
      <c r="R920" s="30"/>
      <c r="S920" s="30"/>
      <c r="T920" s="30"/>
    </row>
    <row r="921" spans="1:20" ht="12.75" customHeight="1" x14ac:dyDescent="0.25">
      <c r="A921" s="342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30"/>
      <c r="R921" s="30"/>
      <c r="S921" s="30"/>
      <c r="T921" s="30"/>
    </row>
    <row r="922" spans="1:20" ht="12.75" customHeight="1" x14ac:dyDescent="0.25">
      <c r="A922" s="342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30"/>
      <c r="R922" s="30"/>
      <c r="S922" s="30"/>
      <c r="T922" s="30"/>
    </row>
    <row r="923" spans="1:20" ht="12.75" customHeight="1" x14ac:dyDescent="0.25">
      <c r="A923" s="342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30"/>
      <c r="R923" s="30"/>
      <c r="S923" s="30"/>
      <c r="T923" s="30"/>
    </row>
    <row r="924" spans="1:20" ht="12.75" customHeight="1" x14ac:dyDescent="0.25">
      <c r="A924" s="342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30"/>
      <c r="R924" s="30"/>
      <c r="S924" s="30"/>
      <c r="T924" s="30"/>
    </row>
    <row r="925" spans="1:20" ht="12.75" customHeight="1" x14ac:dyDescent="0.25">
      <c r="A925" s="342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30"/>
      <c r="R925" s="30"/>
      <c r="S925" s="30"/>
      <c r="T925" s="30"/>
    </row>
    <row r="926" spans="1:20" ht="12.75" customHeight="1" x14ac:dyDescent="0.25">
      <c r="A926" s="342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30"/>
      <c r="R926" s="30"/>
      <c r="S926" s="30"/>
      <c r="T926" s="30"/>
    </row>
    <row r="927" spans="1:20" ht="12.75" customHeight="1" x14ac:dyDescent="0.25">
      <c r="A927" s="342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30"/>
      <c r="R927" s="30"/>
      <c r="S927" s="30"/>
      <c r="T927" s="30"/>
    </row>
    <row r="928" spans="1:20" ht="12.75" customHeight="1" x14ac:dyDescent="0.25">
      <c r="A928" s="342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30"/>
      <c r="R928" s="30"/>
      <c r="S928" s="30"/>
      <c r="T928" s="30"/>
    </row>
    <row r="929" spans="1:20" ht="12.75" customHeight="1" x14ac:dyDescent="0.25">
      <c r="A929" s="342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30"/>
      <c r="R929" s="30"/>
      <c r="S929" s="30"/>
      <c r="T929" s="30"/>
    </row>
    <row r="930" spans="1:20" ht="12.75" customHeight="1" x14ac:dyDescent="0.25">
      <c r="A930" s="342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30"/>
      <c r="R930" s="30"/>
      <c r="S930" s="30"/>
      <c r="T930" s="30"/>
    </row>
    <row r="931" spans="1:20" ht="12.75" customHeight="1" x14ac:dyDescent="0.25">
      <c r="A931" s="342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30"/>
      <c r="R931" s="30"/>
      <c r="S931" s="30"/>
      <c r="T931" s="30"/>
    </row>
    <row r="932" spans="1:20" ht="12.75" customHeight="1" x14ac:dyDescent="0.25">
      <c r="A932" s="342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30"/>
      <c r="R932" s="30"/>
      <c r="S932" s="30"/>
      <c r="T932" s="30"/>
    </row>
    <row r="933" spans="1:20" ht="12.75" customHeight="1" x14ac:dyDescent="0.25">
      <c r="A933" s="342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30"/>
      <c r="R933" s="30"/>
      <c r="S933" s="30"/>
      <c r="T933" s="30"/>
    </row>
    <row r="934" spans="1:20" ht="12.75" customHeight="1" x14ac:dyDescent="0.25">
      <c r="A934" s="342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30"/>
      <c r="R934" s="30"/>
      <c r="S934" s="30"/>
      <c r="T934" s="30"/>
    </row>
    <row r="935" spans="1:20" ht="12.75" customHeight="1" x14ac:dyDescent="0.25">
      <c r="A935" s="342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30"/>
      <c r="R935" s="30"/>
      <c r="S935" s="30"/>
      <c r="T935" s="30"/>
    </row>
    <row r="936" spans="1:20" ht="12.75" customHeight="1" x14ac:dyDescent="0.25">
      <c r="A936" s="342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30"/>
      <c r="R936" s="30"/>
      <c r="S936" s="30"/>
      <c r="T936" s="30"/>
    </row>
    <row r="937" spans="1:20" ht="12.75" customHeight="1" x14ac:dyDescent="0.25">
      <c r="A937" s="342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30"/>
      <c r="R937" s="30"/>
      <c r="S937" s="30"/>
      <c r="T937" s="30"/>
    </row>
    <row r="938" spans="1:20" ht="12.75" customHeight="1" x14ac:dyDescent="0.25">
      <c r="A938" s="342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30"/>
      <c r="R938" s="30"/>
      <c r="S938" s="30"/>
      <c r="T938" s="30"/>
    </row>
    <row r="939" spans="1:20" ht="12.75" customHeight="1" x14ac:dyDescent="0.25">
      <c r="A939" s="342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30"/>
      <c r="R939" s="30"/>
      <c r="S939" s="30"/>
      <c r="T939" s="30"/>
    </row>
    <row r="940" spans="1:20" ht="12.75" customHeight="1" x14ac:dyDescent="0.25">
      <c r="A940" s="342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30"/>
      <c r="R940" s="30"/>
      <c r="S940" s="30"/>
      <c r="T940" s="30"/>
    </row>
    <row r="941" spans="1:20" ht="12.75" customHeight="1" x14ac:dyDescent="0.25">
      <c r="A941" s="342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30"/>
      <c r="R941" s="30"/>
      <c r="S941" s="30"/>
      <c r="T941" s="30"/>
    </row>
    <row r="942" spans="1:20" ht="12.75" customHeight="1" x14ac:dyDescent="0.25">
      <c r="A942" s="342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30"/>
      <c r="R942" s="30"/>
      <c r="S942" s="30"/>
      <c r="T942" s="30"/>
    </row>
    <row r="943" spans="1:20" ht="12.75" customHeight="1" x14ac:dyDescent="0.25">
      <c r="A943" s="342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30"/>
      <c r="R943" s="30"/>
      <c r="S943" s="30"/>
      <c r="T943" s="30"/>
    </row>
    <row r="944" spans="1:20" ht="12.75" customHeight="1" x14ac:dyDescent="0.25">
      <c r="A944" s="342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30"/>
      <c r="R944" s="30"/>
      <c r="S944" s="30"/>
      <c r="T944" s="30"/>
    </row>
    <row r="945" spans="1:20" ht="12.75" customHeight="1" x14ac:dyDescent="0.25">
      <c r="A945" s="342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30"/>
      <c r="R945" s="30"/>
      <c r="S945" s="30"/>
      <c r="T945" s="30"/>
    </row>
    <row r="946" spans="1:20" ht="12.75" customHeight="1" x14ac:dyDescent="0.25">
      <c r="A946" s="342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30"/>
      <c r="R946" s="30"/>
      <c r="S946" s="30"/>
      <c r="T946" s="30"/>
    </row>
    <row r="947" spans="1:20" ht="12.75" customHeight="1" x14ac:dyDescent="0.25">
      <c r="A947" s="342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30"/>
      <c r="R947" s="30"/>
      <c r="S947" s="30"/>
      <c r="T947" s="30"/>
    </row>
    <row r="948" spans="1:20" ht="12.75" customHeight="1" x14ac:dyDescent="0.25">
      <c r="A948" s="342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30"/>
      <c r="R948" s="30"/>
      <c r="S948" s="30"/>
      <c r="T948" s="30"/>
    </row>
    <row r="949" spans="1:20" ht="12.75" customHeight="1" x14ac:dyDescent="0.25">
      <c r="A949" s="342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30"/>
      <c r="R949" s="30"/>
      <c r="S949" s="30"/>
      <c r="T949" s="30"/>
    </row>
    <row r="950" spans="1:20" ht="12.75" customHeight="1" x14ac:dyDescent="0.25">
      <c r="A950" s="342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30"/>
      <c r="R950" s="30"/>
      <c r="S950" s="30"/>
      <c r="T950" s="30"/>
    </row>
    <row r="951" spans="1:20" ht="12.75" customHeight="1" x14ac:dyDescent="0.25">
      <c r="A951" s="342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30"/>
      <c r="R951" s="30"/>
      <c r="S951" s="30"/>
      <c r="T951" s="30"/>
    </row>
    <row r="952" spans="1:20" ht="12.75" customHeight="1" x14ac:dyDescent="0.25">
      <c r="A952" s="342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30"/>
      <c r="R952" s="30"/>
      <c r="S952" s="30"/>
      <c r="T952" s="30"/>
    </row>
    <row r="953" spans="1:20" ht="12.75" customHeight="1" x14ac:dyDescent="0.25">
      <c r="A953" s="342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30"/>
      <c r="R953" s="30"/>
      <c r="S953" s="30"/>
      <c r="T953" s="30"/>
    </row>
    <row r="954" spans="1:20" ht="12.75" customHeight="1" x14ac:dyDescent="0.25">
      <c r="A954" s="342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30"/>
      <c r="R954" s="30"/>
      <c r="S954" s="30"/>
      <c r="T954" s="30"/>
    </row>
    <row r="955" spans="1:20" ht="12.75" customHeight="1" x14ac:dyDescent="0.25">
      <c r="A955" s="342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30"/>
      <c r="R955" s="30"/>
      <c r="S955" s="30"/>
      <c r="T955" s="30"/>
    </row>
    <row r="956" spans="1:20" ht="12.75" customHeight="1" x14ac:dyDescent="0.25">
      <c r="A956" s="342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30"/>
      <c r="R956" s="30"/>
      <c r="S956" s="30"/>
      <c r="T956" s="30"/>
    </row>
    <row r="957" spans="1:20" ht="12.75" customHeight="1" x14ac:dyDescent="0.25">
      <c r="A957" s="342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30"/>
      <c r="R957" s="30"/>
      <c r="S957" s="30"/>
      <c r="T957" s="30"/>
    </row>
    <row r="958" spans="1:20" ht="12.75" customHeight="1" x14ac:dyDescent="0.25">
      <c r="A958" s="342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30"/>
      <c r="R958" s="30"/>
      <c r="S958" s="30"/>
      <c r="T958" s="30"/>
    </row>
    <row r="959" spans="1:20" ht="12.75" customHeight="1" x14ac:dyDescent="0.25">
      <c r="A959" s="342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30"/>
      <c r="R959" s="30"/>
      <c r="S959" s="30"/>
      <c r="T959" s="30"/>
    </row>
    <row r="960" spans="1:20" ht="12.75" customHeight="1" x14ac:dyDescent="0.25">
      <c r="A960" s="342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30"/>
      <c r="R960" s="30"/>
      <c r="S960" s="30"/>
      <c r="T960" s="30"/>
    </row>
    <row r="961" spans="1:20" ht="12.75" customHeight="1" x14ac:dyDescent="0.25">
      <c r="A961" s="342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30"/>
      <c r="R961" s="30"/>
      <c r="S961" s="30"/>
      <c r="T961" s="30"/>
    </row>
    <row r="962" spans="1:20" ht="12.75" customHeight="1" x14ac:dyDescent="0.25">
      <c r="A962" s="342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30"/>
      <c r="R962" s="30"/>
      <c r="S962" s="30"/>
      <c r="T962" s="30"/>
    </row>
    <row r="963" spans="1:20" ht="12.75" customHeight="1" x14ac:dyDescent="0.25">
      <c r="A963" s="342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30"/>
      <c r="R963" s="30"/>
      <c r="S963" s="30"/>
      <c r="T963" s="30"/>
    </row>
    <row r="964" spans="1:20" ht="12.75" customHeight="1" x14ac:dyDescent="0.25">
      <c r="A964" s="342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30"/>
      <c r="R964" s="30"/>
      <c r="S964" s="30"/>
      <c r="T964" s="30"/>
    </row>
    <row r="965" spans="1:20" ht="12.75" customHeight="1" x14ac:dyDescent="0.25">
      <c r="A965" s="342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30"/>
      <c r="R965" s="30"/>
      <c r="S965" s="30"/>
      <c r="T965" s="30"/>
    </row>
    <row r="966" spans="1:20" ht="12.75" customHeight="1" x14ac:dyDescent="0.25">
      <c r="A966" s="342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30"/>
      <c r="R966" s="30"/>
      <c r="S966" s="30"/>
      <c r="T966" s="30"/>
    </row>
    <row r="967" spans="1:20" ht="12.75" customHeight="1" x14ac:dyDescent="0.25">
      <c r="A967" s="342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30"/>
      <c r="R967" s="30"/>
      <c r="S967" s="30"/>
      <c r="T967" s="30"/>
    </row>
    <row r="968" spans="1:20" ht="12.75" customHeight="1" x14ac:dyDescent="0.25">
      <c r="A968" s="342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30"/>
      <c r="R968" s="30"/>
      <c r="S968" s="30"/>
      <c r="T968" s="30"/>
    </row>
    <row r="969" spans="1:20" ht="12.75" customHeight="1" x14ac:dyDescent="0.25">
      <c r="A969" s="342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30"/>
      <c r="R969" s="30"/>
      <c r="S969" s="30"/>
      <c r="T969" s="30"/>
    </row>
    <row r="970" spans="1:20" ht="12.75" customHeight="1" x14ac:dyDescent="0.25">
      <c r="A970" s="342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30"/>
      <c r="R970" s="30"/>
      <c r="S970" s="30"/>
      <c r="T970" s="30"/>
    </row>
    <row r="971" spans="1:20" ht="12.75" customHeight="1" x14ac:dyDescent="0.25">
      <c r="A971" s="342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30"/>
      <c r="R971" s="30"/>
      <c r="S971" s="30"/>
      <c r="T971" s="30"/>
    </row>
    <row r="972" spans="1:20" ht="12.75" customHeight="1" x14ac:dyDescent="0.25">
      <c r="A972" s="342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30"/>
      <c r="R972" s="30"/>
      <c r="S972" s="30"/>
      <c r="T972" s="30"/>
    </row>
    <row r="973" spans="1:20" ht="12.75" customHeight="1" x14ac:dyDescent="0.25">
      <c r="A973" s="342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30"/>
      <c r="R973" s="30"/>
      <c r="S973" s="30"/>
      <c r="T973" s="30"/>
    </row>
    <row r="974" spans="1:20" ht="12.75" customHeight="1" x14ac:dyDescent="0.25">
      <c r="A974" s="342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30"/>
      <c r="R974" s="30"/>
      <c r="S974" s="30"/>
      <c r="T974" s="30"/>
    </row>
    <row r="975" spans="1:20" ht="12.75" customHeight="1" x14ac:dyDescent="0.25">
      <c r="A975" s="342"/>
      <c r="B975" s="30"/>
      <c r="C975" s="30"/>
      <c r="D975" s="141"/>
      <c r="E975" s="42"/>
      <c r="F975" s="43"/>
      <c r="G975" s="59"/>
      <c r="H975" s="60"/>
      <c r="I975" s="60"/>
      <c r="J975" s="60"/>
      <c r="K975" s="60"/>
      <c r="L975" s="60"/>
      <c r="M975" s="60"/>
      <c r="N975" s="60"/>
      <c r="O975" s="30"/>
      <c r="P975" s="30"/>
      <c r="Q975" s="30"/>
      <c r="R975" s="30"/>
      <c r="S975" s="30"/>
      <c r="T975" s="30"/>
    </row>
    <row r="976" spans="1:20" ht="12.75" customHeight="1" x14ac:dyDescent="0.25">
      <c r="A976" s="342"/>
      <c r="B976" s="30"/>
      <c r="C976" s="30"/>
      <c r="D976" s="141"/>
      <c r="E976" s="42"/>
      <c r="F976" s="43"/>
      <c r="G976" s="59"/>
      <c r="H976" s="60"/>
      <c r="I976" s="60"/>
      <c r="J976" s="60"/>
      <c r="K976" s="60"/>
      <c r="L976" s="60"/>
      <c r="M976" s="60"/>
      <c r="N976" s="60"/>
      <c r="O976" s="30"/>
      <c r="P976" s="30"/>
      <c r="Q976" s="30"/>
      <c r="R976" s="30"/>
      <c r="S976" s="30"/>
      <c r="T976" s="30"/>
    </row>
    <row r="977" spans="1:20" ht="12.75" customHeight="1" x14ac:dyDescent="0.25">
      <c r="A977" s="342"/>
      <c r="B977" s="30"/>
      <c r="C977" s="30"/>
      <c r="D977" s="141"/>
      <c r="E977" s="42"/>
      <c r="F977" s="43"/>
      <c r="G977" s="59"/>
      <c r="H977" s="60"/>
      <c r="I977" s="60"/>
      <c r="J977" s="60"/>
      <c r="K977" s="60"/>
      <c r="L977" s="60"/>
      <c r="M977" s="60"/>
      <c r="N977" s="60"/>
      <c r="O977" s="30"/>
      <c r="P977" s="30"/>
      <c r="Q977" s="30"/>
      <c r="R977" s="30"/>
      <c r="S977" s="30"/>
      <c r="T977" s="30"/>
    </row>
    <row r="978" spans="1:20" ht="12.75" customHeight="1" x14ac:dyDescent="0.25">
      <c r="A978" s="342"/>
      <c r="B978" s="30"/>
      <c r="C978" s="30"/>
      <c r="D978" s="141"/>
      <c r="E978" s="42"/>
      <c r="F978" s="43"/>
      <c r="G978" s="59"/>
      <c r="H978" s="60"/>
      <c r="I978" s="60"/>
      <c r="J978" s="60"/>
      <c r="K978" s="60"/>
      <c r="L978" s="60"/>
      <c r="M978" s="60"/>
      <c r="N978" s="60"/>
      <c r="O978" s="30"/>
      <c r="P978" s="30"/>
      <c r="Q978" s="30"/>
      <c r="R978" s="30"/>
      <c r="S978" s="30"/>
      <c r="T978" s="30"/>
    </row>
    <row r="979" spans="1:20" ht="12.75" customHeight="1" x14ac:dyDescent="0.25">
      <c r="A979" s="342"/>
      <c r="B979" s="30"/>
      <c r="C979" s="30"/>
      <c r="D979" s="141"/>
      <c r="E979" s="42"/>
      <c r="F979" s="43"/>
      <c r="G979" s="59"/>
      <c r="H979" s="60"/>
      <c r="I979" s="60"/>
      <c r="J979" s="60"/>
      <c r="K979" s="60"/>
      <c r="L979" s="60"/>
      <c r="M979" s="60"/>
      <c r="N979" s="60"/>
      <c r="O979" s="30"/>
      <c r="P979" s="30"/>
      <c r="Q979" s="30"/>
      <c r="R979" s="30"/>
      <c r="S979" s="30"/>
      <c r="T979" s="30"/>
    </row>
    <row r="980" spans="1:20" ht="12.75" customHeight="1" x14ac:dyDescent="0.25">
      <c r="A980" s="342"/>
      <c r="B980" s="30"/>
      <c r="C980" s="30"/>
      <c r="D980" s="141"/>
      <c r="E980" s="42"/>
      <c r="F980" s="43"/>
      <c r="G980" s="59"/>
      <c r="H980" s="60"/>
      <c r="I980" s="60"/>
      <c r="J980" s="60"/>
      <c r="K980" s="60"/>
      <c r="L980" s="60"/>
      <c r="M980" s="60"/>
      <c r="N980" s="60"/>
      <c r="O980" s="30"/>
      <c r="P980" s="30"/>
      <c r="Q980" s="30"/>
      <c r="R980" s="30"/>
      <c r="S980" s="30"/>
      <c r="T980" s="30"/>
    </row>
    <row r="981" spans="1:20" ht="12.75" customHeight="1" x14ac:dyDescent="0.25">
      <c r="A981" s="342"/>
      <c r="B981" s="30"/>
      <c r="C981" s="30"/>
      <c r="D981" s="141"/>
      <c r="E981" s="42"/>
      <c r="F981" s="43"/>
      <c r="G981" s="59"/>
      <c r="H981" s="60"/>
      <c r="I981" s="60"/>
      <c r="J981" s="60"/>
      <c r="K981" s="60"/>
      <c r="L981" s="60"/>
      <c r="M981" s="60"/>
      <c r="N981" s="60"/>
      <c r="O981" s="30"/>
      <c r="P981" s="30"/>
      <c r="Q981" s="30"/>
      <c r="R981" s="30"/>
      <c r="S981" s="30"/>
      <c r="T981" s="30"/>
    </row>
    <row r="982" spans="1:20" ht="12.75" customHeight="1" x14ac:dyDescent="0.25">
      <c r="A982" s="342"/>
      <c r="B982" s="30"/>
      <c r="C982" s="30"/>
      <c r="D982" s="141"/>
      <c r="E982" s="42"/>
      <c r="F982" s="43"/>
      <c r="G982" s="59"/>
      <c r="H982" s="60"/>
      <c r="I982" s="60"/>
      <c r="J982" s="60"/>
      <c r="K982" s="60"/>
      <c r="L982" s="60"/>
      <c r="M982" s="60"/>
      <c r="N982" s="60"/>
      <c r="O982" s="30"/>
      <c r="P982" s="30"/>
      <c r="Q982" s="30"/>
      <c r="R982" s="30"/>
      <c r="S982" s="30"/>
      <c r="T982" s="30"/>
    </row>
    <row r="983" spans="1:20" ht="12.75" customHeight="1" x14ac:dyDescent="0.25">
      <c r="A983" s="342"/>
      <c r="B983" s="30"/>
      <c r="C983" s="30"/>
      <c r="D983" s="141"/>
      <c r="E983" s="42"/>
      <c r="F983" s="43"/>
      <c r="G983" s="59"/>
      <c r="H983" s="60"/>
      <c r="I983" s="60"/>
      <c r="J983" s="60"/>
      <c r="K983" s="60"/>
      <c r="L983" s="60"/>
      <c r="M983" s="60"/>
      <c r="N983" s="60"/>
      <c r="O983" s="30"/>
      <c r="P983" s="30"/>
      <c r="Q983" s="30"/>
      <c r="R983" s="30"/>
      <c r="S983" s="30"/>
      <c r="T983" s="30"/>
    </row>
    <row r="984" spans="1:20" ht="12.75" customHeight="1" x14ac:dyDescent="0.25">
      <c r="A984" s="342"/>
      <c r="B984" s="30"/>
      <c r="C984" s="30"/>
      <c r="D984" s="141"/>
      <c r="E984" s="42"/>
      <c r="F984" s="43"/>
      <c r="G984" s="59"/>
      <c r="H984" s="60"/>
      <c r="I984" s="60"/>
      <c r="J984" s="60"/>
      <c r="K984" s="60"/>
      <c r="L984" s="60"/>
      <c r="M984" s="60"/>
      <c r="N984" s="60"/>
      <c r="O984" s="30"/>
      <c r="P984" s="30"/>
      <c r="Q984" s="30"/>
      <c r="R984" s="30"/>
      <c r="S984" s="30"/>
      <c r="T984" s="30"/>
    </row>
    <row r="985" spans="1:20" ht="12.75" customHeight="1" x14ac:dyDescent="0.25">
      <c r="A985" s="342"/>
      <c r="B985" s="30"/>
      <c r="C985" s="30"/>
      <c r="D985" s="141"/>
      <c r="E985" s="42"/>
      <c r="F985" s="43"/>
      <c r="G985" s="59"/>
      <c r="H985" s="60"/>
      <c r="I985" s="60"/>
      <c r="J985" s="60"/>
      <c r="K985" s="60"/>
      <c r="L985" s="60"/>
      <c r="M985" s="60"/>
      <c r="N985" s="60"/>
      <c r="O985" s="30"/>
      <c r="P985" s="30"/>
      <c r="Q985" s="30"/>
      <c r="R985" s="30"/>
      <c r="S985" s="30"/>
      <c r="T985" s="30"/>
    </row>
    <row r="986" spans="1:20" ht="12.75" customHeight="1" x14ac:dyDescent="0.25">
      <c r="A986" s="342"/>
      <c r="B986" s="30"/>
      <c r="C986" s="30"/>
      <c r="D986" s="141"/>
      <c r="E986" s="42"/>
      <c r="F986" s="43"/>
      <c r="G986" s="59"/>
      <c r="H986" s="60"/>
      <c r="I986" s="60"/>
      <c r="J986" s="60"/>
      <c r="K986" s="60"/>
      <c r="L986" s="60"/>
      <c r="M986" s="60"/>
      <c r="N986" s="60"/>
      <c r="O986" s="30"/>
      <c r="P986" s="30"/>
      <c r="Q986" s="30"/>
      <c r="R986" s="30"/>
      <c r="S986" s="30"/>
      <c r="T986" s="30"/>
    </row>
    <row r="987" spans="1:20" ht="12.75" customHeight="1" x14ac:dyDescent="0.25">
      <c r="A987" s="342"/>
      <c r="B987" s="30"/>
      <c r="C987" s="30"/>
      <c r="D987" s="141"/>
      <c r="E987" s="42"/>
      <c r="F987" s="43"/>
      <c r="G987" s="59"/>
      <c r="H987" s="60"/>
      <c r="I987" s="60"/>
      <c r="J987" s="60"/>
      <c r="K987" s="60"/>
      <c r="L987" s="60"/>
      <c r="M987" s="60"/>
      <c r="N987" s="60"/>
      <c r="O987" s="30"/>
      <c r="P987" s="30"/>
      <c r="Q987" s="30"/>
      <c r="R987" s="30"/>
      <c r="S987" s="30"/>
      <c r="T987" s="30"/>
    </row>
    <row r="988" spans="1:20" ht="12.75" customHeight="1" x14ac:dyDescent="0.25">
      <c r="A988" s="342"/>
      <c r="B988" s="30"/>
      <c r="C988" s="30"/>
      <c r="D988" s="141"/>
      <c r="E988" s="42"/>
      <c r="F988" s="43"/>
      <c r="G988" s="59"/>
      <c r="H988" s="60"/>
      <c r="I988" s="60"/>
      <c r="J988" s="60"/>
      <c r="K988" s="60"/>
      <c r="L988" s="60"/>
      <c r="M988" s="60"/>
      <c r="N988" s="60"/>
      <c r="O988" s="30"/>
      <c r="P988" s="30"/>
      <c r="Q988" s="30"/>
      <c r="R988" s="30"/>
      <c r="S988" s="30"/>
      <c r="T988" s="30"/>
    </row>
    <row r="989" spans="1:20" ht="12.75" customHeight="1" x14ac:dyDescent="0.25">
      <c r="A989" s="342"/>
      <c r="B989" s="30"/>
      <c r="C989" s="30"/>
      <c r="D989" s="141"/>
      <c r="E989" s="42"/>
      <c r="F989" s="43"/>
      <c r="G989" s="59"/>
      <c r="H989" s="60"/>
      <c r="I989" s="60"/>
      <c r="J989" s="60"/>
      <c r="K989" s="60"/>
      <c r="L989" s="60"/>
      <c r="M989" s="60"/>
      <c r="N989" s="60"/>
      <c r="O989" s="30"/>
      <c r="P989" s="30"/>
      <c r="Q989" s="30"/>
      <c r="R989" s="30"/>
      <c r="S989" s="30"/>
      <c r="T989" s="30"/>
    </row>
    <row r="990" spans="1:20" ht="12.75" customHeight="1" x14ac:dyDescent="0.25">
      <c r="A990" s="342"/>
      <c r="B990" s="30"/>
      <c r="C990" s="30"/>
      <c r="D990" s="141"/>
      <c r="E990" s="42"/>
      <c r="F990" s="43"/>
      <c r="G990" s="59"/>
      <c r="H990" s="60"/>
      <c r="I990" s="60"/>
      <c r="J990" s="60"/>
      <c r="K990" s="60"/>
      <c r="L990" s="60"/>
      <c r="M990" s="60"/>
      <c r="N990" s="60"/>
      <c r="O990" s="30"/>
      <c r="P990" s="30"/>
      <c r="Q990" s="30"/>
      <c r="R990" s="30"/>
      <c r="S990" s="30"/>
      <c r="T990" s="30"/>
    </row>
    <row r="991" spans="1:20" ht="12.75" customHeight="1" x14ac:dyDescent="0.25">
      <c r="A991" s="342"/>
      <c r="B991" s="30"/>
      <c r="C991" s="30"/>
      <c r="D991" s="141"/>
      <c r="E991" s="42"/>
      <c r="F991" s="43"/>
      <c r="G991" s="59"/>
      <c r="H991" s="60"/>
      <c r="I991" s="60"/>
      <c r="J991" s="60"/>
      <c r="K991" s="60"/>
      <c r="L991" s="60"/>
      <c r="M991" s="60"/>
      <c r="N991" s="60"/>
      <c r="O991" s="30"/>
      <c r="P991" s="30"/>
      <c r="Q991" s="30"/>
      <c r="R991" s="30"/>
      <c r="S991" s="30"/>
      <c r="T991" s="30"/>
    </row>
    <row r="992" spans="1:20" ht="12.75" customHeight="1" x14ac:dyDescent="0.25">
      <c r="A992" s="342"/>
      <c r="B992" s="30"/>
      <c r="C992" s="30"/>
      <c r="D992" s="141"/>
      <c r="E992" s="42"/>
      <c r="F992" s="43"/>
      <c r="G992" s="59"/>
      <c r="H992" s="60"/>
      <c r="I992" s="60"/>
      <c r="J992" s="60"/>
      <c r="K992" s="60"/>
      <c r="L992" s="60"/>
      <c r="M992" s="60"/>
      <c r="N992" s="60"/>
      <c r="O992" s="30"/>
      <c r="P992" s="30"/>
      <c r="Q992" s="30"/>
      <c r="R992" s="30"/>
      <c r="S992" s="30"/>
      <c r="T992" s="30"/>
    </row>
    <row r="993" spans="1:20" ht="12.75" customHeight="1" x14ac:dyDescent="0.25">
      <c r="A993" s="342"/>
      <c r="B993" s="30"/>
      <c r="C993" s="30"/>
      <c r="D993" s="141"/>
      <c r="E993" s="42"/>
      <c r="F993" s="43"/>
      <c r="G993" s="59"/>
      <c r="H993" s="60"/>
      <c r="I993" s="60"/>
      <c r="J993" s="60"/>
      <c r="K993" s="60"/>
      <c r="L993" s="60"/>
      <c r="M993" s="60"/>
      <c r="N993" s="60"/>
      <c r="O993" s="30"/>
      <c r="P993" s="30"/>
      <c r="Q993" s="30"/>
      <c r="R993" s="30"/>
      <c r="S993" s="30"/>
      <c r="T993" s="30"/>
    </row>
    <row r="994" spans="1:20" ht="12.75" customHeight="1" x14ac:dyDescent="0.25">
      <c r="A994" s="342"/>
      <c r="B994" s="30"/>
      <c r="C994" s="30"/>
      <c r="D994" s="141"/>
      <c r="E994" s="42"/>
      <c r="F994" s="43"/>
      <c r="G994" s="59"/>
      <c r="H994" s="60"/>
      <c r="I994" s="60"/>
      <c r="J994" s="60"/>
      <c r="K994" s="60"/>
      <c r="L994" s="60"/>
      <c r="M994" s="60"/>
      <c r="N994" s="60"/>
      <c r="O994" s="30"/>
      <c r="P994" s="30"/>
      <c r="Q994" s="30"/>
      <c r="R994" s="30"/>
      <c r="S994" s="30"/>
      <c r="T994" s="30"/>
    </row>
    <row r="995" spans="1:20" ht="12.75" customHeight="1" x14ac:dyDescent="0.25">
      <c r="A995" s="342"/>
      <c r="B995" s="30"/>
      <c r="C995" s="30"/>
      <c r="D995" s="141"/>
      <c r="E995" s="42"/>
      <c r="F995" s="43"/>
      <c r="G995" s="59"/>
      <c r="H995" s="60"/>
      <c r="I995" s="60"/>
      <c r="J995" s="60"/>
      <c r="K995" s="60"/>
      <c r="L995" s="60"/>
      <c r="M995" s="60"/>
      <c r="N995" s="60"/>
      <c r="O995" s="30"/>
      <c r="P995" s="30"/>
      <c r="Q995" s="30"/>
      <c r="R995" s="30"/>
      <c r="S995" s="30"/>
      <c r="T995" s="30"/>
    </row>
    <row r="996" spans="1:20" ht="12.75" customHeight="1" x14ac:dyDescent="0.25">
      <c r="A996" s="342"/>
      <c r="B996" s="30"/>
      <c r="C996" s="30"/>
      <c r="D996" s="141"/>
      <c r="E996" s="42"/>
      <c r="F996" s="43"/>
      <c r="G996" s="59"/>
      <c r="H996" s="60"/>
      <c r="I996" s="60"/>
      <c r="J996" s="60"/>
      <c r="K996" s="60"/>
      <c r="L996" s="60"/>
      <c r="M996" s="60"/>
      <c r="N996" s="60"/>
      <c r="O996" s="30"/>
      <c r="P996" s="30"/>
      <c r="Q996" s="30"/>
      <c r="R996" s="30"/>
      <c r="S996" s="30"/>
      <c r="T996" s="30"/>
    </row>
    <row r="997" spans="1:20" ht="12.75" customHeight="1" x14ac:dyDescent="0.25">
      <c r="A997" s="342"/>
      <c r="B997" s="30"/>
      <c r="C997" s="30"/>
      <c r="D997" s="141"/>
      <c r="E997" s="42"/>
      <c r="F997" s="43"/>
      <c r="G997" s="59"/>
      <c r="H997" s="60"/>
      <c r="I997" s="60"/>
      <c r="J997" s="60"/>
      <c r="K997" s="60"/>
      <c r="L997" s="60"/>
      <c r="M997" s="60"/>
      <c r="N997" s="60"/>
      <c r="O997" s="30"/>
      <c r="P997" s="30"/>
      <c r="Q997" s="30"/>
      <c r="R997" s="30"/>
      <c r="S997" s="30"/>
      <c r="T997" s="30"/>
    </row>
    <row r="998" spans="1:20" ht="12.75" customHeight="1" x14ac:dyDescent="0.25">
      <c r="A998" s="342"/>
      <c r="B998" s="30"/>
      <c r="C998" s="30"/>
      <c r="D998" s="141"/>
      <c r="E998" s="42"/>
      <c r="F998" s="43"/>
      <c r="G998" s="59"/>
      <c r="H998" s="60"/>
      <c r="I998" s="60"/>
      <c r="J998" s="60"/>
      <c r="K998" s="60"/>
      <c r="L998" s="60"/>
      <c r="M998" s="60"/>
      <c r="N998" s="60"/>
      <c r="O998" s="30"/>
      <c r="P998" s="30"/>
      <c r="Q998" s="30"/>
      <c r="R998" s="30"/>
      <c r="S998" s="30"/>
      <c r="T998" s="30"/>
    </row>
    <row r="999" spans="1:20" ht="12.75" customHeight="1" x14ac:dyDescent="0.25">
      <c r="A999" s="342"/>
      <c r="B999" s="30"/>
      <c r="C999" s="30"/>
      <c r="D999" s="141"/>
      <c r="E999" s="42"/>
      <c r="F999" s="43"/>
      <c r="G999" s="59"/>
      <c r="H999" s="60"/>
      <c r="I999" s="60"/>
      <c r="J999" s="60"/>
      <c r="K999" s="60"/>
      <c r="L999" s="60"/>
      <c r="M999" s="60"/>
      <c r="N999" s="60"/>
      <c r="O999" s="30"/>
      <c r="P999" s="30"/>
      <c r="Q999" s="30"/>
      <c r="R999" s="30"/>
      <c r="S999" s="30"/>
      <c r="T999" s="30"/>
    </row>
    <row r="1000" spans="1:20" ht="12.75" customHeight="1" x14ac:dyDescent="0.25">
      <c r="A1000" s="342"/>
      <c r="B1000" s="30"/>
      <c r="C1000" s="30"/>
      <c r="D1000" s="141"/>
      <c r="E1000" s="42"/>
      <c r="F1000" s="43"/>
      <c r="G1000" s="59"/>
      <c r="H1000" s="60"/>
      <c r="I1000" s="60"/>
      <c r="J1000" s="60"/>
      <c r="K1000" s="60"/>
      <c r="L1000" s="60"/>
      <c r="M1000" s="60"/>
      <c r="N1000" s="60"/>
      <c r="O1000" s="30"/>
      <c r="P1000" s="30"/>
      <c r="Q1000" s="30"/>
      <c r="R1000" s="30"/>
      <c r="S1000" s="30"/>
      <c r="T1000" s="30"/>
    </row>
    <row r="1001" spans="1:20" ht="12.75" customHeight="1" x14ac:dyDescent="0.25">
      <c r="A1001" s="342"/>
      <c r="B1001" s="30"/>
      <c r="C1001" s="30"/>
      <c r="D1001" s="141"/>
      <c r="E1001" s="42"/>
      <c r="F1001" s="43"/>
      <c r="G1001" s="59"/>
      <c r="H1001" s="60"/>
      <c r="I1001" s="60"/>
      <c r="J1001" s="60"/>
      <c r="K1001" s="60"/>
      <c r="L1001" s="60"/>
      <c r="M1001" s="60"/>
      <c r="N1001" s="60"/>
      <c r="O1001" s="30"/>
      <c r="P1001" s="30"/>
      <c r="Q1001" s="30"/>
      <c r="R1001" s="30"/>
      <c r="S1001" s="30"/>
      <c r="T1001" s="30"/>
    </row>
  </sheetData>
  <autoFilter ref="A14:O61" xr:uid="{00000000-0009-0000-0000-000003000000}"/>
  <mergeCells count="15">
    <mergeCell ref="E12:F13"/>
    <mergeCell ref="G12:H12"/>
    <mergeCell ref="I12:J12"/>
    <mergeCell ref="M13:N13"/>
    <mergeCell ref="K12:L12"/>
    <mergeCell ref="M12:N12"/>
    <mergeCell ref="G13:H13"/>
    <mergeCell ref="I13:J13"/>
    <mergeCell ref="K13:L13"/>
    <mergeCell ref="D10:E10"/>
    <mergeCell ref="G11:H11"/>
    <mergeCell ref="I11:J11"/>
    <mergeCell ref="K11:L11"/>
    <mergeCell ref="M11:N11"/>
    <mergeCell ref="K10:L10"/>
  </mergeCells>
  <phoneticPr fontId="50" type="noConversion"/>
  <pageMargins left="0.7" right="0.7" top="0.75" bottom="0.75" header="0" footer="0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D5B7-D679-449D-B4FD-FB54140AEC2B}">
  <sheetPr>
    <pageSetUpPr fitToPage="1"/>
  </sheetPr>
  <dimension ref="A1:V974"/>
  <sheetViews>
    <sheetView zoomScale="85" zoomScaleNormal="85" workbookViewId="0">
      <selection activeCell="C26" sqref="C26"/>
    </sheetView>
  </sheetViews>
  <sheetFormatPr defaultColWidth="14.42578125" defaultRowHeight="15" customHeight="1" x14ac:dyDescent="0.25"/>
  <cols>
    <col min="1" max="1" width="11.140625" style="344" customWidth="1"/>
    <col min="2" max="2" width="14.7109375" customWidth="1"/>
    <col min="3" max="3" width="44.140625" customWidth="1"/>
    <col min="4" max="4" width="8.5703125" style="137" customWidth="1"/>
    <col min="5" max="5" width="13.85546875" customWidth="1"/>
    <col min="6" max="6" width="12.85546875" customWidth="1"/>
    <col min="7" max="7" width="12" customWidth="1"/>
    <col min="8" max="8" width="10.5703125" customWidth="1"/>
    <col min="9" max="9" width="12.7109375" customWidth="1"/>
    <col min="10" max="10" width="10.5703125" customWidth="1"/>
    <col min="11" max="11" width="12.7109375" customWidth="1"/>
    <col min="12" max="12" width="11.28515625" customWidth="1"/>
    <col min="13" max="13" width="14.140625" customWidth="1"/>
    <col min="14" max="14" width="10.5703125" customWidth="1"/>
    <col min="15" max="15" width="12.5703125" customWidth="1"/>
    <col min="16" max="20" width="9.140625" customWidth="1"/>
  </cols>
  <sheetData>
    <row r="1" spans="1:22" ht="15" customHeight="1" x14ac:dyDescent="0.25">
      <c r="B1" s="35" t="s">
        <v>14</v>
      </c>
      <c r="C1" s="28"/>
    </row>
    <row r="2" spans="1:22" ht="15" customHeight="1" x14ac:dyDescent="0.25">
      <c r="B2" s="37" t="s">
        <v>15</v>
      </c>
      <c r="C2" s="38">
        <v>-1679</v>
      </c>
    </row>
    <row r="3" spans="1:22" ht="15" customHeight="1" x14ac:dyDescent="0.25">
      <c r="B3" s="37" t="s">
        <v>16</v>
      </c>
      <c r="C3" s="38">
        <f>+E47</f>
        <v>13200</v>
      </c>
    </row>
    <row r="4" spans="1:22" ht="15" customHeight="1" x14ac:dyDescent="0.25">
      <c r="B4" s="37" t="s">
        <v>17</v>
      </c>
      <c r="C4" s="38">
        <f>+C2+C3</f>
        <v>11521</v>
      </c>
    </row>
    <row r="5" spans="1:22" ht="15" customHeight="1" x14ac:dyDescent="0.25">
      <c r="B5" s="37" t="s">
        <v>18</v>
      </c>
      <c r="C5" s="38">
        <f>+F47</f>
        <v>16060</v>
      </c>
    </row>
    <row r="6" spans="1:22" ht="12.75" customHeight="1" thickBot="1" x14ac:dyDescent="0.3">
      <c r="A6" s="342"/>
      <c r="B6" s="37" t="s">
        <v>19</v>
      </c>
      <c r="C6" s="40">
        <f>+C4-C5</f>
        <v>-4539</v>
      </c>
      <c r="E6" s="37"/>
      <c r="F6" s="43"/>
      <c r="G6" s="883" t="s">
        <v>21</v>
      </c>
      <c r="H6" s="884"/>
      <c r="I6" s="883" t="s">
        <v>22</v>
      </c>
      <c r="J6" s="884"/>
      <c r="K6" s="883" t="s">
        <v>23</v>
      </c>
      <c r="L6" s="884"/>
      <c r="M6" s="883" t="s">
        <v>21</v>
      </c>
      <c r="N6" s="884"/>
      <c r="O6" s="30"/>
      <c r="P6" s="30"/>
      <c r="Q6" s="30"/>
      <c r="R6" s="30"/>
      <c r="S6" s="30"/>
      <c r="T6" s="30"/>
    </row>
    <row r="7" spans="1:22" ht="12.75" customHeight="1" x14ac:dyDescent="0.25">
      <c r="A7" s="342"/>
      <c r="B7" s="42"/>
      <c r="C7" s="429"/>
      <c r="D7" s="142"/>
      <c r="E7" s="887" t="s">
        <v>24</v>
      </c>
      <c r="F7" s="888"/>
      <c r="G7" s="891" t="s">
        <v>25</v>
      </c>
      <c r="H7" s="892"/>
      <c r="I7" s="893" t="s">
        <v>26</v>
      </c>
      <c r="J7" s="892"/>
      <c r="K7" s="896" t="s">
        <v>27</v>
      </c>
      <c r="L7" s="892"/>
      <c r="M7" s="897" t="s">
        <v>28</v>
      </c>
      <c r="N7" s="892"/>
      <c r="O7" s="30"/>
      <c r="P7" s="30"/>
      <c r="Q7" s="30"/>
      <c r="R7" s="30"/>
      <c r="S7" s="30"/>
      <c r="T7" s="30"/>
    </row>
    <row r="8" spans="1:22" ht="12.75" customHeight="1" thickBot="1" x14ac:dyDescent="0.3">
      <c r="A8" s="342"/>
      <c r="B8" s="30"/>
      <c r="C8" s="46" t="s">
        <v>29</v>
      </c>
      <c r="D8" s="141"/>
      <c r="E8" s="889"/>
      <c r="F8" s="890"/>
      <c r="G8" s="898" t="s">
        <v>5</v>
      </c>
      <c r="H8" s="895"/>
      <c r="I8" s="899" t="s">
        <v>6</v>
      </c>
      <c r="J8" s="895"/>
      <c r="K8" s="900" t="s">
        <v>7</v>
      </c>
      <c r="L8" s="901"/>
      <c r="M8" s="894" t="s">
        <v>8</v>
      </c>
      <c r="N8" s="895"/>
      <c r="O8" s="30"/>
      <c r="P8" s="30"/>
      <c r="Q8" s="30"/>
      <c r="R8" s="30"/>
      <c r="S8" s="30"/>
      <c r="T8" s="30"/>
    </row>
    <row r="9" spans="1:22" ht="19.899999999999999" customHeight="1" x14ac:dyDescent="0.25">
      <c r="A9" s="343" t="s">
        <v>1</v>
      </c>
      <c r="B9" s="47" t="s">
        <v>2</v>
      </c>
      <c r="C9" s="61" t="s">
        <v>30</v>
      </c>
      <c r="D9" s="48" t="s">
        <v>31</v>
      </c>
      <c r="E9" s="49" t="s">
        <v>34</v>
      </c>
      <c r="F9" s="50" t="s">
        <v>33</v>
      </c>
      <c r="G9" s="51" t="s">
        <v>32</v>
      </c>
      <c r="H9" s="52" t="s">
        <v>33</v>
      </c>
      <c r="I9" s="53" t="s">
        <v>32</v>
      </c>
      <c r="J9" s="54" t="s">
        <v>33</v>
      </c>
      <c r="K9" s="55" t="s">
        <v>32</v>
      </c>
      <c r="L9" s="56" t="s">
        <v>33</v>
      </c>
      <c r="M9" s="57" t="s">
        <v>32</v>
      </c>
      <c r="N9" s="58" t="s">
        <v>33</v>
      </c>
      <c r="O9" s="30"/>
      <c r="P9" s="30"/>
      <c r="Q9" s="30"/>
      <c r="R9" s="30"/>
      <c r="S9" s="30"/>
      <c r="T9" s="30"/>
    </row>
    <row r="10" spans="1:22" ht="18" customHeight="1" x14ac:dyDescent="0.25">
      <c r="A10" s="432">
        <v>45991</v>
      </c>
      <c r="B10" s="433" t="s">
        <v>189</v>
      </c>
      <c r="C10" s="434" t="s">
        <v>246</v>
      </c>
      <c r="D10" s="435" t="s">
        <v>247</v>
      </c>
      <c r="E10" s="436"/>
      <c r="F10" s="437">
        <v>200</v>
      </c>
      <c r="G10" s="438"/>
      <c r="H10" s="439"/>
      <c r="I10" s="440"/>
      <c r="J10" s="441"/>
      <c r="K10" s="442"/>
      <c r="L10" s="443"/>
      <c r="M10" s="444"/>
      <c r="N10" s="445"/>
      <c r="O10" s="446"/>
      <c r="P10" s="446"/>
      <c r="Q10" s="446"/>
      <c r="R10" s="446"/>
      <c r="S10" s="446"/>
      <c r="T10" s="446"/>
      <c r="U10" s="447"/>
      <c r="V10" s="447"/>
    </row>
    <row r="11" spans="1:22" ht="18" customHeight="1" x14ac:dyDescent="0.25">
      <c r="A11" s="432">
        <v>45991</v>
      </c>
      <c r="B11" s="433"/>
      <c r="C11" s="520" t="s">
        <v>188</v>
      </c>
      <c r="D11" s="435" t="s">
        <v>162</v>
      </c>
      <c r="E11" s="450"/>
      <c r="F11" s="451">
        <f>275+550+275</f>
        <v>1100</v>
      </c>
      <c r="G11" s="521"/>
      <c r="H11" s="522"/>
      <c r="I11" s="523"/>
      <c r="J11" s="524"/>
      <c r="K11" s="525"/>
      <c r="L11" s="526"/>
      <c r="M11" s="527"/>
      <c r="N11" s="528"/>
      <c r="O11" s="460"/>
      <c r="P11" s="447"/>
      <c r="Q11" s="446"/>
      <c r="R11" s="446"/>
      <c r="S11" s="446"/>
      <c r="T11" s="446"/>
      <c r="U11" s="446"/>
      <c r="V11" s="447"/>
    </row>
    <row r="12" spans="1:22" ht="18" customHeight="1" x14ac:dyDescent="0.25">
      <c r="A12" s="432">
        <v>46357</v>
      </c>
      <c r="B12" s="708" t="s">
        <v>88</v>
      </c>
      <c r="C12" s="709" t="s">
        <v>187</v>
      </c>
      <c r="D12" s="435" t="s">
        <v>162</v>
      </c>
      <c r="E12" s="450"/>
      <c r="F12" s="451">
        <v>1500</v>
      </c>
      <c r="G12" s="521"/>
      <c r="H12" s="522"/>
      <c r="I12" s="523"/>
      <c r="J12" s="524"/>
      <c r="K12" s="525"/>
      <c r="L12" s="526"/>
      <c r="M12" s="527"/>
      <c r="N12" s="528"/>
      <c r="O12" s="25"/>
      <c r="P12" s="31"/>
      <c r="Q12" s="446"/>
      <c r="R12" s="446"/>
      <c r="S12" s="446"/>
      <c r="T12" s="446"/>
      <c r="U12" s="446"/>
      <c r="V12" s="447"/>
    </row>
    <row r="13" spans="1:22" ht="18" customHeight="1" x14ac:dyDescent="0.25">
      <c r="A13" s="432">
        <v>46359</v>
      </c>
      <c r="B13" s="433"/>
      <c r="C13" s="520" t="s">
        <v>61</v>
      </c>
      <c r="D13" s="435"/>
      <c r="E13" s="450">
        <v>13200</v>
      </c>
      <c r="F13" s="451"/>
      <c r="G13" s="521"/>
      <c r="H13" s="522"/>
      <c r="I13" s="523"/>
      <c r="J13" s="524"/>
      <c r="K13" s="525"/>
      <c r="L13" s="526"/>
      <c r="M13" s="527"/>
      <c r="N13" s="528"/>
      <c r="Q13" s="446"/>
      <c r="R13" s="446"/>
      <c r="S13" s="446"/>
      <c r="T13" s="446"/>
      <c r="U13" s="446"/>
      <c r="V13" s="447"/>
    </row>
    <row r="14" spans="1:22" ht="18" customHeight="1" x14ac:dyDescent="0.25">
      <c r="A14" s="432">
        <v>46367</v>
      </c>
      <c r="B14" s="433"/>
      <c r="C14" s="520" t="s">
        <v>248</v>
      </c>
      <c r="D14" s="435" t="s">
        <v>7</v>
      </c>
      <c r="E14" s="450"/>
      <c r="F14" s="451">
        <v>800</v>
      </c>
      <c r="G14" s="521"/>
      <c r="H14" s="522"/>
      <c r="I14" s="523"/>
      <c r="J14" s="524"/>
      <c r="K14" s="525"/>
      <c r="L14" s="526"/>
      <c r="M14" s="527"/>
      <c r="N14" s="528"/>
      <c r="Q14" s="446"/>
      <c r="R14" s="446"/>
      <c r="S14" s="446"/>
      <c r="T14" s="446"/>
      <c r="U14" s="446"/>
      <c r="V14" s="447"/>
    </row>
    <row r="15" spans="1:22" ht="18" customHeight="1" x14ac:dyDescent="0.25">
      <c r="A15" s="432">
        <v>46368</v>
      </c>
      <c r="B15" s="433"/>
      <c r="C15" s="520" t="s">
        <v>249</v>
      </c>
      <c r="D15" s="435" t="s">
        <v>162</v>
      </c>
      <c r="E15" s="450">
        <v>0</v>
      </c>
      <c r="F15" s="451">
        <f>500+550</f>
        <v>1050</v>
      </c>
      <c r="G15" s="521"/>
      <c r="H15" s="522"/>
      <c r="I15" s="523"/>
      <c r="J15" s="524"/>
      <c r="K15" s="525"/>
      <c r="L15" s="526"/>
      <c r="M15" s="527"/>
      <c r="N15" s="528"/>
      <c r="Q15" s="446"/>
      <c r="R15" s="446"/>
      <c r="S15" s="446"/>
      <c r="T15" s="446"/>
      <c r="U15" s="446"/>
      <c r="V15" s="447"/>
    </row>
    <row r="16" spans="1:22" ht="18" customHeight="1" x14ac:dyDescent="0.25">
      <c r="A16" s="432">
        <v>46369</v>
      </c>
      <c r="B16" s="530"/>
      <c r="C16" s="465" t="s">
        <v>255</v>
      </c>
      <c r="D16" s="475" t="s">
        <v>8</v>
      </c>
      <c r="E16" s="466"/>
      <c r="F16" s="437">
        <v>750</v>
      </c>
      <c r="G16" s="531"/>
      <c r="H16" s="532"/>
      <c r="I16" s="533"/>
      <c r="J16" s="534"/>
      <c r="K16" s="535"/>
      <c r="L16" s="536"/>
      <c r="M16" s="537"/>
      <c r="N16" s="528"/>
      <c r="O16" s="474"/>
      <c r="P16" s="446"/>
      <c r="Q16" s="447"/>
      <c r="R16" s="447"/>
      <c r="S16" s="447"/>
      <c r="T16" s="447"/>
      <c r="U16" s="447"/>
      <c r="V16" s="447"/>
    </row>
    <row r="17" spans="1:22" ht="18" customHeight="1" x14ac:dyDescent="0.25">
      <c r="A17" s="432">
        <v>46370</v>
      </c>
      <c r="B17" s="476"/>
      <c r="C17" s="477" t="s">
        <v>250</v>
      </c>
      <c r="D17" s="475" t="s">
        <v>162</v>
      </c>
      <c r="E17" s="466"/>
      <c r="F17" s="437">
        <v>260</v>
      </c>
      <c r="G17" s="467"/>
      <c r="H17" s="468"/>
      <c r="I17" s="469"/>
      <c r="J17" s="470"/>
      <c r="K17" s="471"/>
      <c r="L17" s="472"/>
      <c r="M17" s="473"/>
      <c r="N17" s="478"/>
      <c r="O17" s="479"/>
      <c r="P17" s="480"/>
      <c r="Q17" s="480"/>
      <c r="R17" s="480"/>
      <c r="S17" s="446"/>
      <c r="T17" s="446"/>
      <c r="U17" s="447"/>
      <c r="V17" s="447"/>
    </row>
    <row r="18" spans="1:22" ht="18" customHeight="1" x14ac:dyDescent="0.25">
      <c r="A18" s="464">
        <v>46387</v>
      </c>
      <c r="B18" s="476"/>
      <c r="C18" s="477" t="s">
        <v>251</v>
      </c>
      <c r="D18" s="475" t="s">
        <v>162</v>
      </c>
      <c r="E18" s="481"/>
      <c r="F18" s="437">
        <v>6600</v>
      </c>
      <c r="G18" s="467"/>
      <c r="H18" s="468"/>
      <c r="I18" s="469"/>
      <c r="J18" s="470"/>
      <c r="K18" s="471"/>
      <c r="L18" s="472"/>
      <c r="M18" s="473"/>
      <c r="N18" s="478"/>
      <c r="O18" s="479"/>
      <c r="P18" s="480"/>
      <c r="Q18" s="480"/>
      <c r="R18" s="480"/>
      <c r="S18" s="446"/>
      <c r="T18" s="446"/>
      <c r="U18" s="447"/>
      <c r="V18" s="447"/>
    </row>
    <row r="19" spans="1:22" ht="18" customHeight="1" x14ac:dyDescent="0.25">
      <c r="A19" s="464">
        <v>46387</v>
      </c>
      <c r="B19" s="476"/>
      <c r="C19" s="477" t="s">
        <v>245</v>
      </c>
      <c r="D19" s="475" t="s">
        <v>7</v>
      </c>
      <c r="E19" s="481"/>
      <c r="F19" s="437">
        <v>800</v>
      </c>
      <c r="G19" s="467"/>
      <c r="H19" s="468"/>
      <c r="I19" s="469"/>
      <c r="J19" s="470"/>
      <c r="K19" s="471"/>
      <c r="L19" s="472"/>
      <c r="M19" s="473"/>
      <c r="N19" s="478"/>
      <c r="O19" s="479"/>
      <c r="P19" s="480"/>
      <c r="Q19" s="480"/>
      <c r="R19" s="480"/>
      <c r="S19" s="446"/>
      <c r="T19" s="446"/>
      <c r="U19" s="447"/>
      <c r="V19" s="447"/>
    </row>
    <row r="20" spans="1:22" ht="18" customHeight="1" x14ac:dyDescent="0.25">
      <c r="A20" s="464">
        <v>46387</v>
      </c>
      <c r="B20" s="483"/>
      <c r="C20" s="484" t="s">
        <v>252</v>
      </c>
      <c r="D20" s="475" t="s">
        <v>162</v>
      </c>
      <c r="E20" s="466"/>
      <c r="F20" s="437">
        <v>1500</v>
      </c>
      <c r="G20" s="467"/>
      <c r="H20" s="468"/>
      <c r="I20" s="469"/>
      <c r="J20" s="470"/>
      <c r="K20" s="471"/>
      <c r="L20" s="472"/>
      <c r="M20" s="473"/>
      <c r="N20" s="478"/>
      <c r="O20" s="479"/>
      <c r="P20" s="480"/>
      <c r="Q20" s="480"/>
      <c r="R20" s="480"/>
      <c r="S20" s="446"/>
      <c r="T20" s="446"/>
      <c r="U20" s="447"/>
      <c r="V20" s="447"/>
    </row>
    <row r="21" spans="1:22" ht="18" customHeight="1" x14ac:dyDescent="0.25">
      <c r="A21" s="464">
        <v>46387</v>
      </c>
      <c r="B21" s="483"/>
      <c r="C21" s="484" t="s">
        <v>253</v>
      </c>
      <c r="D21" s="475" t="s">
        <v>162</v>
      </c>
      <c r="E21" s="466"/>
      <c r="F21" s="437">
        <v>300</v>
      </c>
      <c r="G21" s="467"/>
      <c r="H21" s="468"/>
      <c r="I21" s="469"/>
      <c r="J21" s="470"/>
      <c r="K21" s="471"/>
      <c r="L21" s="472"/>
      <c r="M21" s="473"/>
      <c r="N21" s="478"/>
      <c r="O21" s="479"/>
      <c r="P21" s="480"/>
      <c r="Q21" s="480"/>
      <c r="R21" s="480"/>
      <c r="S21" s="446"/>
      <c r="T21" s="446"/>
      <c r="U21" s="447"/>
      <c r="V21" s="447"/>
    </row>
    <row r="22" spans="1:22" ht="18" customHeight="1" x14ac:dyDescent="0.25">
      <c r="A22" s="464">
        <v>46387</v>
      </c>
      <c r="B22" s="476"/>
      <c r="C22" s="485" t="s">
        <v>254</v>
      </c>
      <c r="D22" s="475" t="s">
        <v>162</v>
      </c>
      <c r="E22" s="466"/>
      <c r="F22" s="437">
        <v>1200</v>
      </c>
      <c r="G22" s="467"/>
      <c r="H22" s="468"/>
      <c r="I22" s="469"/>
      <c r="J22" s="470"/>
      <c r="K22" s="471"/>
      <c r="L22" s="472"/>
      <c r="M22" s="473"/>
      <c r="N22" s="478"/>
      <c r="O22" s="479"/>
      <c r="P22" s="480"/>
      <c r="Q22" s="480"/>
      <c r="R22" s="480"/>
      <c r="S22" s="446"/>
      <c r="T22" s="446"/>
      <c r="U22" s="447"/>
      <c r="V22" s="447"/>
    </row>
    <row r="23" spans="1:22" ht="18" customHeight="1" x14ac:dyDescent="0.25">
      <c r="A23" s="482"/>
      <c r="B23" s="476"/>
      <c r="C23" s="485"/>
      <c r="D23" s="475"/>
      <c r="E23" s="466"/>
      <c r="F23" s="437"/>
      <c r="G23" s="467"/>
      <c r="H23" s="468"/>
      <c r="I23" s="469"/>
      <c r="J23" s="470"/>
      <c r="K23" s="471"/>
      <c r="L23" s="472"/>
      <c r="M23" s="473"/>
      <c r="N23" s="478"/>
      <c r="O23" s="479"/>
      <c r="P23" s="480"/>
      <c r="Q23" s="480"/>
      <c r="R23" s="480"/>
      <c r="S23" s="446"/>
      <c r="T23" s="446"/>
      <c r="U23" s="447"/>
      <c r="V23" s="447"/>
    </row>
    <row r="24" spans="1:22" ht="18" customHeight="1" x14ac:dyDescent="0.25">
      <c r="A24" s="486"/>
      <c r="B24" s="487"/>
      <c r="C24" s="485"/>
      <c r="D24" s="475"/>
      <c r="E24" s="466"/>
      <c r="F24" s="437"/>
      <c r="G24" s="467"/>
      <c r="H24" s="468"/>
      <c r="I24" s="469"/>
      <c r="J24" s="470"/>
      <c r="K24" s="471"/>
      <c r="L24" s="472"/>
      <c r="M24" s="473"/>
      <c r="N24" s="478"/>
      <c r="O24" s="479"/>
      <c r="P24" s="480"/>
      <c r="Q24" s="480"/>
      <c r="R24" s="480"/>
      <c r="S24" s="446"/>
      <c r="T24" s="446"/>
      <c r="U24" s="447"/>
      <c r="V24" s="447"/>
    </row>
    <row r="25" spans="1:22" ht="18" customHeight="1" x14ac:dyDescent="0.25">
      <c r="A25" s="486"/>
      <c r="B25" s="487"/>
      <c r="C25" s="485"/>
      <c r="D25" s="475"/>
      <c r="E25" s="466"/>
      <c r="F25" s="437"/>
      <c r="G25" s="467"/>
      <c r="H25" s="468"/>
      <c r="I25" s="469"/>
      <c r="J25" s="470"/>
      <c r="K25" s="471"/>
      <c r="L25" s="472"/>
      <c r="M25" s="473"/>
      <c r="N25" s="478"/>
      <c r="O25" s="479"/>
      <c r="P25" s="480"/>
      <c r="Q25" s="480"/>
      <c r="R25" s="480"/>
      <c r="S25" s="446"/>
      <c r="T25" s="446"/>
      <c r="U25" s="447"/>
      <c r="V25" s="447"/>
    </row>
    <row r="26" spans="1:22" ht="18" customHeight="1" x14ac:dyDescent="0.25">
      <c r="A26" s="486"/>
      <c r="B26" s="487"/>
      <c r="C26" s="485"/>
      <c r="D26" s="475"/>
      <c r="E26" s="466"/>
      <c r="F26" s="437"/>
      <c r="G26" s="467"/>
      <c r="H26" s="468"/>
      <c r="I26" s="469"/>
      <c r="J26" s="470"/>
      <c r="K26" s="471"/>
      <c r="L26" s="472"/>
      <c r="M26" s="473"/>
      <c r="N26" s="478"/>
      <c r="O26" s="479"/>
      <c r="P26" s="480"/>
      <c r="Q26" s="480"/>
      <c r="R26" s="480"/>
      <c r="S26" s="446"/>
      <c r="T26" s="446"/>
      <c r="U26" s="447"/>
      <c r="V26" s="447"/>
    </row>
    <row r="27" spans="1:22" ht="18" customHeight="1" x14ac:dyDescent="0.25">
      <c r="A27" s="486"/>
      <c r="B27" s="487"/>
      <c r="C27" s="485"/>
      <c r="D27" s="475"/>
      <c r="E27" s="466"/>
      <c r="F27" s="437"/>
      <c r="G27" s="467"/>
      <c r="H27" s="468"/>
      <c r="I27" s="469"/>
      <c r="J27" s="470"/>
      <c r="K27" s="471"/>
      <c r="L27" s="472"/>
      <c r="M27" s="473"/>
      <c r="N27" s="478"/>
      <c r="O27" s="479"/>
      <c r="P27" s="480"/>
      <c r="Q27" s="480"/>
      <c r="R27" s="480"/>
      <c r="S27" s="446"/>
      <c r="T27" s="446"/>
      <c r="U27" s="447"/>
      <c r="V27" s="447"/>
    </row>
    <row r="28" spans="1:22" ht="18" customHeight="1" x14ac:dyDescent="0.25">
      <c r="A28" s="486"/>
      <c r="B28" s="487"/>
      <c r="C28" s="485"/>
      <c r="D28" s="475"/>
      <c r="E28" s="466"/>
      <c r="F28" s="437"/>
      <c r="G28" s="467"/>
      <c r="H28" s="468"/>
      <c r="I28" s="469"/>
      <c r="J28" s="470"/>
      <c r="K28" s="471"/>
      <c r="L28" s="472"/>
      <c r="M28" s="473"/>
      <c r="N28" s="478"/>
      <c r="O28" s="479"/>
      <c r="P28" s="480"/>
      <c r="Q28" s="480"/>
      <c r="R28" s="480"/>
      <c r="S28" s="446"/>
      <c r="T28" s="446"/>
      <c r="U28" s="447"/>
      <c r="V28" s="447"/>
    </row>
    <row r="29" spans="1:22" ht="18" customHeight="1" x14ac:dyDescent="0.25">
      <c r="A29" s="486"/>
      <c r="B29" s="488"/>
      <c r="C29" s="477"/>
      <c r="D29" s="475"/>
      <c r="E29" s="466"/>
      <c r="F29" s="437"/>
      <c r="G29" s="467"/>
      <c r="H29" s="468"/>
      <c r="I29" s="469"/>
      <c r="J29" s="470"/>
      <c r="K29" s="471"/>
      <c r="L29" s="472"/>
      <c r="M29" s="473"/>
      <c r="N29" s="478"/>
      <c r="O29" s="479"/>
      <c r="P29" s="480"/>
      <c r="Q29" s="480"/>
      <c r="R29" s="480"/>
      <c r="S29" s="446"/>
      <c r="T29" s="446"/>
      <c r="U29" s="447"/>
      <c r="V29" s="447"/>
    </row>
    <row r="30" spans="1:22" ht="18" customHeight="1" x14ac:dyDescent="0.25">
      <c r="A30" s="486"/>
      <c r="B30" s="488"/>
      <c r="C30" s="477"/>
      <c r="D30" s="475"/>
      <c r="E30" s="466"/>
      <c r="F30" s="437"/>
      <c r="G30" s="467"/>
      <c r="H30" s="468"/>
      <c r="I30" s="469"/>
      <c r="J30" s="470"/>
      <c r="K30" s="471"/>
      <c r="L30" s="472"/>
      <c r="M30" s="473"/>
      <c r="N30" s="478"/>
      <c r="O30" s="479"/>
      <c r="P30" s="480"/>
      <c r="Q30" s="480"/>
      <c r="R30" s="480"/>
      <c r="S30" s="446"/>
      <c r="T30" s="446"/>
      <c r="U30" s="447"/>
      <c r="V30" s="447"/>
    </row>
    <row r="31" spans="1:22" ht="18" customHeight="1" x14ac:dyDescent="0.25">
      <c r="A31" s="486"/>
      <c r="B31" s="488"/>
      <c r="C31" s="489"/>
      <c r="D31" s="475"/>
      <c r="E31" s="466"/>
      <c r="F31" s="437"/>
      <c r="G31" s="467"/>
      <c r="H31" s="468"/>
      <c r="I31" s="469"/>
      <c r="J31" s="470"/>
      <c r="K31" s="471"/>
      <c r="L31" s="472"/>
      <c r="M31" s="473"/>
      <c r="N31" s="478"/>
      <c r="O31" s="479"/>
      <c r="P31" s="480"/>
      <c r="Q31" s="480"/>
      <c r="R31" s="480"/>
      <c r="S31" s="446"/>
      <c r="T31" s="446"/>
      <c r="U31" s="447"/>
      <c r="V31" s="447"/>
    </row>
    <row r="32" spans="1:22" ht="18" customHeight="1" x14ac:dyDescent="0.25">
      <c r="A32" s="486"/>
      <c r="B32" s="488"/>
      <c r="C32" s="490"/>
      <c r="D32" s="491"/>
      <c r="E32" s="466"/>
      <c r="F32" s="492"/>
      <c r="G32" s="467"/>
      <c r="H32" s="468"/>
      <c r="I32" s="469"/>
      <c r="J32" s="470"/>
      <c r="K32" s="471"/>
      <c r="L32" s="472"/>
      <c r="M32" s="473"/>
      <c r="N32" s="478"/>
      <c r="O32" s="479"/>
      <c r="P32" s="480"/>
      <c r="Q32" s="480"/>
      <c r="R32" s="480"/>
      <c r="S32" s="446"/>
      <c r="T32" s="446"/>
      <c r="U32" s="447"/>
      <c r="V32" s="447"/>
    </row>
    <row r="33" spans="1:22" ht="18" customHeight="1" x14ac:dyDescent="0.25">
      <c r="A33" s="486"/>
      <c r="B33" s="488"/>
      <c r="C33" s="477"/>
      <c r="D33" s="491"/>
      <c r="E33" s="466"/>
      <c r="F33" s="437"/>
      <c r="G33" s="467"/>
      <c r="H33" s="468"/>
      <c r="I33" s="469"/>
      <c r="J33" s="470"/>
      <c r="K33" s="471"/>
      <c r="L33" s="472"/>
      <c r="M33" s="473"/>
      <c r="N33" s="478"/>
      <c r="O33" s="479"/>
      <c r="P33" s="480"/>
      <c r="Q33" s="480"/>
      <c r="R33" s="480"/>
      <c r="S33" s="446"/>
      <c r="T33" s="446"/>
      <c r="U33" s="447"/>
      <c r="V33" s="447"/>
    </row>
    <row r="34" spans="1:22" ht="18" customHeight="1" x14ac:dyDescent="0.25">
      <c r="A34" s="486"/>
      <c r="B34" s="448"/>
      <c r="C34" s="463"/>
      <c r="D34" s="461"/>
      <c r="E34" s="450"/>
      <c r="F34" s="451"/>
      <c r="G34" s="452"/>
      <c r="H34" s="453"/>
      <c r="I34" s="454"/>
      <c r="J34" s="455"/>
      <c r="K34" s="456"/>
      <c r="L34" s="457"/>
      <c r="M34" s="458"/>
      <c r="N34" s="459"/>
      <c r="O34" s="460"/>
      <c r="P34" s="446"/>
      <c r="Q34" s="446"/>
      <c r="R34" s="446"/>
      <c r="S34" s="446"/>
      <c r="T34" s="446"/>
      <c r="U34" s="447"/>
      <c r="V34" s="447"/>
    </row>
    <row r="35" spans="1:22" ht="18" customHeight="1" x14ac:dyDescent="0.25">
      <c r="A35" s="486"/>
      <c r="B35" s="448"/>
      <c r="C35" s="463"/>
      <c r="D35" s="461"/>
      <c r="E35" s="450"/>
      <c r="F35" s="451"/>
      <c r="G35" s="452"/>
      <c r="H35" s="453"/>
      <c r="I35" s="454"/>
      <c r="J35" s="455"/>
      <c r="K35" s="456"/>
      <c r="L35" s="457"/>
      <c r="M35" s="458"/>
      <c r="N35" s="459"/>
      <c r="O35" s="460"/>
      <c r="P35" s="446"/>
      <c r="Q35" s="446"/>
      <c r="R35" s="446"/>
      <c r="S35" s="446"/>
      <c r="T35" s="446"/>
      <c r="U35" s="447"/>
      <c r="V35" s="447"/>
    </row>
    <row r="36" spans="1:22" ht="18" customHeight="1" x14ac:dyDescent="0.25">
      <c r="A36" s="482"/>
      <c r="B36" s="493"/>
      <c r="C36" s="494"/>
      <c r="D36" s="495"/>
      <c r="E36" s="450"/>
      <c r="F36" s="451"/>
      <c r="G36" s="452"/>
      <c r="H36" s="453"/>
      <c r="I36" s="454"/>
      <c r="J36" s="455"/>
      <c r="K36" s="456"/>
      <c r="L36" s="457"/>
      <c r="M36" s="458"/>
      <c r="N36" s="459"/>
      <c r="O36" s="460"/>
      <c r="P36" s="446"/>
      <c r="Q36" s="446"/>
      <c r="R36" s="446"/>
      <c r="S36" s="446"/>
      <c r="T36" s="446"/>
      <c r="U36" s="447"/>
      <c r="V36" s="447"/>
    </row>
    <row r="37" spans="1:22" ht="18" customHeight="1" x14ac:dyDescent="0.25">
      <c r="A37" s="496"/>
      <c r="B37" s="448"/>
      <c r="C37" s="497"/>
      <c r="D37" s="461"/>
      <c r="E37" s="462"/>
      <c r="F37" s="451"/>
      <c r="G37" s="452"/>
      <c r="H37" s="453"/>
      <c r="I37" s="454"/>
      <c r="J37" s="455"/>
      <c r="K37" s="456"/>
      <c r="L37" s="457"/>
      <c r="M37" s="458"/>
      <c r="N37" s="459"/>
      <c r="O37" s="460"/>
      <c r="P37" s="446"/>
      <c r="Q37" s="446"/>
      <c r="R37" s="446"/>
      <c r="S37" s="446"/>
      <c r="T37" s="446"/>
      <c r="U37" s="447"/>
      <c r="V37" s="447"/>
    </row>
    <row r="38" spans="1:22" ht="18" customHeight="1" x14ac:dyDescent="0.25">
      <c r="A38" s="486"/>
      <c r="B38" s="448"/>
      <c r="C38" s="463"/>
      <c r="D38" s="461"/>
      <c r="E38" s="450"/>
      <c r="F38" s="451"/>
      <c r="G38" s="452"/>
      <c r="H38" s="453"/>
      <c r="I38" s="454"/>
      <c r="J38" s="455"/>
      <c r="K38" s="456"/>
      <c r="L38" s="457"/>
      <c r="M38" s="458"/>
      <c r="N38" s="459"/>
      <c r="O38" s="460"/>
      <c r="P38" s="446"/>
      <c r="Q38" s="446"/>
      <c r="R38" s="446"/>
      <c r="S38" s="446"/>
      <c r="T38" s="446"/>
      <c r="U38" s="447"/>
      <c r="V38" s="447"/>
    </row>
    <row r="39" spans="1:22" ht="18" customHeight="1" x14ac:dyDescent="0.25">
      <c r="A39" s="486"/>
      <c r="B39" s="448"/>
      <c r="C39" s="449"/>
      <c r="D39" s="461"/>
      <c r="E39" s="450"/>
      <c r="F39" s="498"/>
      <c r="G39" s="452"/>
      <c r="H39" s="453"/>
      <c r="I39" s="454"/>
      <c r="J39" s="455"/>
      <c r="K39" s="456"/>
      <c r="L39" s="457"/>
      <c r="M39" s="458"/>
      <c r="N39" s="459"/>
      <c r="O39" s="460"/>
      <c r="P39" s="446"/>
      <c r="Q39" s="446"/>
      <c r="R39" s="446"/>
      <c r="S39" s="446"/>
      <c r="T39" s="446"/>
      <c r="U39" s="447"/>
      <c r="V39" s="447"/>
    </row>
    <row r="40" spans="1:22" ht="18" customHeight="1" x14ac:dyDescent="0.25">
      <c r="A40" s="486"/>
      <c r="B40" s="448"/>
      <c r="C40" s="449"/>
      <c r="D40" s="461"/>
      <c r="E40" s="450"/>
      <c r="F40" s="451"/>
      <c r="G40" s="452"/>
      <c r="H40" s="453"/>
      <c r="I40" s="454"/>
      <c r="J40" s="455"/>
      <c r="K40" s="456"/>
      <c r="L40" s="457"/>
      <c r="M40" s="458"/>
      <c r="N40" s="459"/>
      <c r="O40" s="460">
        <f t="shared" ref="O40:O46" si="0">N40+L40+J40+H40</f>
        <v>0</v>
      </c>
      <c r="P40" s="446"/>
      <c r="Q40" s="446"/>
      <c r="R40" s="446"/>
      <c r="S40" s="446"/>
      <c r="T40" s="446"/>
      <c r="U40" s="447"/>
      <c r="V40" s="447"/>
    </row>
    <row r="41" spans="1:22" ht="18" customHeight="1" x14ac:dyDescent="0.25">
      <c r="A41" s="486"/>
      <c r="B41" s="448"/>
      <c r="C41" s="449"/>
      <c r="D41" s="461"/>
      <c r="E41" s="450"/>
      <c r="F41" s="451"/>
      <c r="G41" s="452"/>
      <c r="H41" s="453"/>
      <c r="I41" s="454"/>
      <c r="J41" s="455"/>
      <c r="K41" s="456"/>
      <c r="L41" s="457"/>
      <c r="M41" s="458"/>
      <c r="N41" s="459"/>
      <c r="O41" s="460">
        <f t="shared" si="0"/>
        <v>0</v>
      </c>
      <c r="P41" s="446"/>
      <c r="Q41" s="446"/>
      <c r="R41" s="446"/>
      <c r="S41" s="446"/>
      <c r="T41" s="446"/>
      <c r="U41" s="447"/>
      <c r="V41" s="447"/>
    </row>
    <row r="42" spans="1:22" ht="18" customHeight="1" x14ac:dyDescent="0.25">
      <c r="A42" s="486"/>
      <c r="B42" s="448"/>
      <c r="C42" s="449"/>
      <c r="D42" s="461"/>
      <c r="E42" s="450"/>
      <c r="F42" s="451"/>
      <c r="G42" s="452"/>
      <c r="H42" s="453"/>
      <c r="I42" s="454"/>
      <c r="J42" s="455"/>
      <c r="K42" s="456"/>
      <c r="L42" s="457"/>
      <c r="M42" s="458"/>
      <c r="N42" s="459"/>
      <c r="O42" s="460">
        <f t="shared" si="0"/>
        <v>0</v>
      </c>
      <c r="P42" s="446"/>
      <c r="Q42" s="446"/>
      <c r="R42" s="446"/>
      <c r="S42" s="446"/>
      <c r="T42" s="446"/>
      <c r="U42" s="447"/>
      <c r="V42" s="447"/>
    </row>
    <row r="43" spans="1:22" ht="18" customHeight="1" x14ac:dyDescent="0.25">
      <c r="A43" s="486"/>
      <c r="B43" s="448"/>
      <c r="C43" s="449"/>
      <c r="D43" s="461"/>
      <c r="E43" s="450"/>
      <c r="F43" s="451"/>
      <c r="G43" s="452"/>
      <c r="H43" s="453"/>
      <c r="I43" s="454"/>
      <c r="J43" s="455"/>
      <c r="K43" s="456"/>
      <c r="L43" s="457"/>
      <c r="M43" s="458"/>
      <c r="N43" s="459"/>
      <c r="O43" s="460">
        <f t="shared" si="0"/>
        <v>0</v>
      </c>
      <c r="P43" s="446"/>
      <c r="Q43" s="446"/>
      <c r="R43" s="446"/>
      <c r="S43" s="446"/>
      <c r="T43" s="446"/>
      <c r="U43" s="447"/>
      <c r="V43" s="447"/>
    </row>
    <row r="44" spans="1:22" ht="18" customHeight="1" x14ac:dyDescent="0.25">
      <c r="A44" s="486"/>
      <c r="B44" s="448"/>
      <c r="C44" s="499"/>
      <c r="D44" s="461"/>
      <c r="E44" s="450"/>
      <c r="F44" s="451"/>
      <c r="G44" s="452"/>
      <c r="H44" s="453"/>
      <c r="I44" s="454"/>
      <c r="J44" s="455"/>
      <c r="K44" s="456"/>
      <c r="L44" s="457"/>
      <c r="M44" s="458"/>
      <c r="N44" s="459"/>
      <c r="O44" s="460">
        <f t="shared" si="0"/>
        <v>0</v>
      </c>
      <c r="P44" s="446"/>
      <c r="Q44" s="446"/>
      <c r="R44" s="446"/>
      <c r="S44" s="446"/>
      <c r="T44" s="446"/>
      <c r="U44" s="447"/>
      <c r="V44" s="447"/>
    </row>
    <row r="45" spans="1:22" ht="18" customHeight="1" x14ac:dyDescent="0.25">
      <c r="A45" s="486"/>
      <c r="B45" s="448"/>
      <c r="C45" s="499"/>
      <c r="D45" s="461"/>
      <c r="E45" s="450"/>
      <c r="F45" s="451"/>
      <c r="G45" s="452"/>
      <c r="H45" s="453"/>
      <c r="I45" s="454"/>
      <c r="J45" s="455"/>
      <c r="K45" s="456"/>
      <c r="L45" s="457"/>
      <c r="M45" s="458"/>
      <c r="N45" s="459"/>
      <c r="O45" s="460">
        <f t="shared" si="0"/>
        <v>0</v>
      </c>
      <c r="P45" s="446"/>
      <c r="Q45" s="446"/>
      <c r="R45" s="446"/>
      <c r="S45" s="446"/>
      <c r="T45" s="446"/>
      <c r="U45" s="447"/>
      <c r="V45" s="447"/>
    </row>
    <row r="46" spans="1:22" ht="18" customHeight="1" x14ac:dyDescent="0.25">
      <c r="A46" s="486"/>
      <c r="B46" s="448"/>
      <c r="C46" s="499"/>
      <c r="D46" s="461"/>
      <c r="E46" s="450"/>
      <c r="F46" s="451"/>
      <c r="G46" s="452"/>
      <c r="H46" s="453"/>
      <c r="I46" s="454"/>
      <c r="J46" s="455"/>
      <c r="K46" s="456"/>
      <c r="L46" s="457"/>
      <c r="M46" s="458"/>
      <c r="N46" s="459"/>
      <c r="O46" s="460">
        <f t="shared" si="0"/>
        <v>0</v>
      </c>
      <c r="P46" s="446"/>
      <c r="Q46" s="446"/>
      <c r="R46" s="446"/>
      <c r="S46" s="446"/>
      <c r="T46" s="446"/>
      <c r="U46" s="447"/>
      <c r="V46" s="447"/>
    </row>
    <row r="47" spans="1:22" ht="18" customHeight="1" thickBot="1" x14ac:dyDescent="0.3">
      <c r="A47" s="500"/>
      <c r="B47" s="501"/>
      <c r="C47" s="502"/>
      <c r="D47" s="503"/>
      <c r="E47" s="504">
        <f>SUM(E10:E46)</f>
        <v>13200</v>
      </c>
      <c r="F47" s="504">
        <f>SUM(F10:F46)</f>
        <v>16060</v>
      </c>
      <c r="G47" s="505">
        <f>SUM(G17:G46)</f>
        <v>0</v>
      </c>
      <c r="H47" s="506">
        <f>SUM(H10:H46)</f>
        <v>0</v>
      </c>
      <c r="I47" s="507">
        <f>SUM(I17:I46)</f>
        <v>0</v>
      </c>
      <c r="J47" s="508">
        <f>SUM(J10:J46)</f>
        <v>0</v>
      </c>
      <c r="K47" s="509">
        <f>SUM(K10:K46)</f>
        <v>0</v>
      </c>
      <c r="L47" s="509">
        <f>SUM(L10:L46)</f>
        <v>0</v>
      </c>
      <c r="M47" s="510">
        <f>SUM(M10:M46)</f>
        <v>0</v>
      </c>
      <c r="N47" s="510">
        <f>SUM(N10:N46)</f>
        <v>0</v>
      </c>
      <c r="O47" s="511">
        <f>SUM(O17:O46)</f>
        <v>0</v>
      </c>
      <c r="P47" s="446"/>
      <c r="Q47" s="446"/>
      <c r="R47" s="446"/>
      <c r="S47" s="446"/>
      <c r="T47" s="446"/>
      <c r="U47" s="447"/>
      <c r="V47" s="447"/>
    </row>
    <row r="48" spans="1:22" ht="18" customHeight="1" x14ac:dyDescent="0.25">
      <c r="A48" s="512"/>
      <c r="B48" s="446"/>
      <c r="C48" s="446"/>
      <c r="D48" s="513"/>
      <c r="E48" s="514"/>
      <c r="F48" s="515"/>
      <c r="G48" s="516"/>
      <c r="H48" s="517"/>
      <c r="I48" s="517"/>
      <c r="J48" s="517"/>
      <c r="K48" s="517"/>
      <c r="L48" s="517"/>
      <c r="M48" s="517"/>
      <c r="N48" s="517"/>
      <c r="O48" s="446"/>
      <c r="P48" s="446"/>
      <c r="Q48" s="446"/>
      <c r="R48" s="446"/>
      <c r="S48" s="446"/>
      <c r="T48" s="446"/>
      <c r="U48" s="447"/>
      <c r="V48" s="447"/>
    </row>
    <row r="49" spans="1:22" ht="18" customHeight="1" x14ac:dyDescent="0.25">
      <c r="A49" s="512"/>
      <c r="B49" s="446"/>
      <c r="C49" s="446"/>
      <c r="D49" s="513"/>
      <c r="E49" s="514"/>
      <c r="F49" s="515"/>
      <c r="G49" s="516"/>
      <c r="H49" s="517"/>
      <c r="I49" s="517"/>
      <c r="J49" s="517"/>
      <c r="K49" s="517"/>
      <c r="L49" s="517"/>
      <c r="M49" s="517"/>
      <c r="N49" s="517"/>
      <c r="O49" s="446"/>
      <c r="P49" s="446"/>
      <c r="Q49" s="446"/>
      <c r="R49" s="446"/>
      <c r="S49" s="446"/>
      <c r="T49" s="446"/>
      <c r="U49" s="447"/>
      <c r="V49" s="447"/>
    </row>
    <row r="50" spans="1:22" ht="18" customHeight="1" x14ac:dyDescent="0.25">
      <c r="A50" s="512"/>
      <c r="B50" s="446"/>
      <c r="C50" s="446"/>
      <c r="D50" s="513"/>
      <c r="E50" s="514"/>
      <c r="F50" s="515"/>
      <c r="G50" s="516"/>
      <c r="H50" s="517"/>
      <c r="I50" s="517"/>
      <c r="J50" s="517"/>
      <c r="K50" s="517"/>
      <c r="L50" s="517"/>
      <c r="M50" s="517"/>
      <c r="N50" s="517"/>
      <c r="O50" s="446"/>
      <c r="P50" s="446"/>
      <c r="Q50" s="446"/>
      <c r="R50" s="446"/>
      <c r="S50" s="446"/>
      <c r="T50" s="446"/>
      <c r="U50" s="447"/>
      <c r="V50" s="447"/>
    </row>
    <row r="51" spans="1:22" ht="18" customHeight="1" x14ac:dyDescent="0.25">
      <c r="A51" s="512"/>
      <c r="B51" s="446"/>
      <c r="C51" s="446"/>
      <c r="D51" s="513"/>
      <c r="E51" s="514"/>
      <c r="F51" s="515"/>
      <c r="G51" s="516"/>
      <c r="H51" s="517"/>
      <c r="I51" s="517"/>
      <c r="J51" s="517"/>
      <c r="K51" s="517"/>
      <c r="L51" s="517"/>
      <c r="M51" s="517"/>
      <c r="N51" s="517"/>
      <c r="O51" s="446"/>
      <c r="P51" s="446"/>
      <c r="Q51" s="446"/>
      <c r="R51" s="446"/>
      <c r="S51" s="446"/>
      <c r="T51" s="446"/>
      <c r="U51" s="447"/>
      <c r="V51" s="447"/>
    </row>
    <row r="52" spans="1:22" ht="18" customHeight="1" x14ac:dyDescent="0.25">
      <c r="A52" s="512"/>
      <c r="B52" s="446"/>
      <c r="C52" s="446"/>
      <c r="D52" s="513"/>
      <c r="E52" s="514"/>
      <c r="F52" s="515"/>
      <c r="G52" s="516"/>
      <c r="H52" s="517"/>
      <c r="I52" s="517"/>
      <c r="J52" s="517"/>
      <c r="K52" s="517"/>
      <c r="L52" s="517"/>
      <c r="M52" s="517"/>
      <c r="N52" s="517"/>
      <c r="O52" s="446"/>
      <c r="P52" s="446"/>
      <c r="Q52" s="446"/>
      <c r="R52" s="446"/>
      <c r="S52" s="446"/>
      <c r="T52" s="446"/>
      <c r="U52" s="447"/>
      <c r="V52" s="447"/>
    </row>
    <row r="53" spans="1:22" ht="18" customHeight="1" x14ac:dyDescent="0.25">
      <c r="A53" s="512"/>
      <c r="B53" s="446"/>
      <c r="C53" s="446"/>
      <c r="D53" s="513"/>
      <c r="E53" s="514"/>
      <c r="F53" s="515"/>
      <c r="G53" s="516"/>
      <c r="H53" s="517"/>
      <c r="I53" s="517"/>
      <c r="J53" s="517"/>
      <c r="K53" s="517"/>
      <c r="L53" s="517"/>
      <c r="M53" s="517"/>
      <c r="N53" s="517"/>
      <c r="O53" s="446"/>
      <c r="P53" s="446"/>
      <c r="Q53" s="446"/>
      <c r="R53" s="446"/>
      <c r="S53" s="446"/>
      <c r="T53" s="446"/>
      <c r="U53" s="447"/>
      <c r="V53" s="447"/>
    </row>
    <row r="54" spans="1:22" ht="18" customHeight="1" x14ac:dyDescent="0.25">
      <c r="A54" s="512"/>
      <c r="B54" s="446"/>
      <c r="C54" s="446"/>
      <c r="D54" s="513"/>
      <c r="E54" s="514"/>
      <c r="F54" s="515"/>
      <c r="G54" s="516"/>
      <c r="H54" s="517"/>
      <c r="I54" s="517"/>
      <c r="J54" s="517"/>
      <c r="K54" s="517"/>
      <c r="L54" s="517"/>
      <c r="M54" s="517"/>
      <c r="N54" s="517"/>
      <c r="O54" s="446"/>
      <c r="P54" s="446"/>
      <c r="Q54" s="446"/>
      <c r="R54" s="446"/>
      <c r="S54" s="446"/>
      <c r="T54" s="446"/>
      <c r="U54" s="447"/>
      <c r="V54" s="447"/>
    </row>
    <row r="55" spans="1:22" ht="18" customHeight="1" x14ac:dyDescent="0.25">
      <c r="A55" s="512"/>
      <c r="B55" s="446"/>
      <c r="C55" s="446"/>
      <c r="D55" s="513"/>
      <c r="E55" s="514"/>
      <c r="F55" s="515"/>
      <c r="G55" s="516"/>
      <c r="H55" s="517"/>
      <c r="I55" s="517"/>
      <c r="J55" s="517"/>
      <c r="K55" s="517"/>
      <c r="L55" s="517"/>
      <c r="M55" s="517"/>
      <c r="N55" s="517"/>
      <c r="O55" s="446"/>
      <c r="P55" s="446"/>
      <c r="Q55" s="446"/>
      <c r="R55" s="446"/>
      <c r="S55" s="446"/>
      <c r="T55" s="446"/>
      <c r="U55" s="447"/>
      <c r="V55" s="447"/>
    </row>
    <row r="56" spans="1:22" ht="18" customHeight="1" x14ac:dyDescent="0.25">
      <c r="A56" s="512"/>
      <c r="B56" s="446"/>
      <c r="C56" s="446"/>
      <c r="D56" s="513"/>
      <c r="E56" s="514"/>
      <c r="F56" s="515"/>
      <c r="G56" s="516"/>
      <c r="H56" s="517"/>
      <c r="I56" s="517"/>
      <c r="J56" s="517"/>
      <c r="K56" s="517"/>
      <c r="L56" s="517"/>
      <c r="M56" s="517"/>
      <c r="N56" s="517"/>
      <c r="O56" s="446"/>
      <c r="P56" s="446"/>
      <c r="Q56" s="446"/>
      <c r="R56" s="446"/>
      <c r="S56" s="446"/>
      <c r="T56" s="446"/>
      <c r="U56" s="447"/>
      <c r="V56" s="447"/>
    </row>
    <row r="57" spans="1:22" ht="18" customHeight="1" x14ac:dyDescent="0.25">
      <c r="A57" s="512"/>
      <c r="B57" s="446"/>
      <c r="C57" s="446"/>
      <c r="D57" s="513"/>
      <c r="E57" s="514"/>
      <c r="F57" s="515"/>
      <c r="G57" s="516"/>
      <c r="H57" s="517"/>
      <c r="I57" s="517"/>
      <c r="J57" s="517"/>
      <c r="K57" s="517"/>
      <c r="L57" s="517"/>
      <c r="M57" s="517"/>
      <c r="N57" s="517"/>
      <c r="O57" s="446"/>
      <c r="P57" s="446"/>
      <c r="Q57" s="446"/>
      <c r="R57" s="446"/>
      <c r="S57" s="446"/>
      <c r="T57" s="446"/>
      <c r="U57" s="447"/>
      <c r="V57" s="447"/>
    </row>
    <row r="58" spans="1:22" ht="18" customHeight="1" x14ac:dyDescent="0.25">
      <c r="A58" s="512"/>
      <c r="B58" s="446"/>
      <c r="C58" s="446"/>
      <c r="D58" s="513"/>
      <c r="E58" s="514"/>
      <c r="F58" s="515"/>
      <c r="G58" s="516"/>
      <c r="H58" s="517"/>
      <c r="I58" s="517"/>
      <c r="J58" s="517"/>
      <c r="K58" s="517"/>
      <c r="L58" s="517"/>
      <c r="M58" s="517"/>
      <c r="N58" s="517"/>
      <c r="O58" s="446"/>
      <c r="P58" s="446"/>
      <c r="Q58" s="446"/>
      <c r="R58" s="446"/>
      <c r="S58" s="446"/>
      <c r="T58" s="446"/>
      <c r="U58" s="447"/>
      <c r="V58" s="447"/>
    </row>
    <row r="59" spans="1:22" ht="18" customHeight="1" x14ac:dyDescent="0.25">
      <c r="A59" s="512"/>
      <c r="B59" s="446"/>
      <c r="C59" s="446"/>
      <c r="D59" s="513"/>
      <c r="E59" s="514"/>
      <c r="F59" s="515"/>
      <c r="G59" s="516"/>
      <c r="H59" s="517"/>
      <c r="I59" s="517"/>
      <c r="J59" s="517"/>
      <c r="K59" s="517"/>
      <c r="L59" s="517"/>
      <c r="M59" s="517"/>
      <c r="N59" s="517"/>
      <c r="O59" s="446"/>
      <c r="P59" s="446"/>
      <c r="Q59" s="446"/>
      <c r="R59" s="446"/>
      <c r="S59" s="446"/>
      <c r="T59" s="446"/>
      <c r="U59" s="447"/>
      <c r="V59" s="447"/>
    </row>
    <row r="60" spans="1:22" ht="18" customHeight="1" x14ac:dyDescent="0.25">
      <c r="A60" s="512"/>
      <c r="B60" s="446"/>
      <c r="C60" s="446"/>
      <c r="D60" s="513"/>
      <c r="E60" s="514"/>
      <c r="F60" s="515"/>
      <c r="G60" s="516"/>
      <c r="H60" s="517"/>
      <c r="I60" s="517"/>
      <c r="J60" s="517"/>
      <c r="K60" s="517"/>
      <c r="L60" s="517"/>
      <c r="M60" s="517"/>
      <c r="N60" s="517"/>
      <c r="O60" s="446"/>
      <c r="P60" s="446"/>
      <c r="Q60" s="446"/>
      <c r="R60" s="446"/>
      <c r="S60" s="446"/>
      <c r="T60" s="446"/>
      <c r="U60" s="447"/>
      <c r="V60" s="447"/>
    </row>
    <row r="61" spans="1:22" ht="18" customHeight="1" x14ac:dyDescent="0.25">
      <c r="A61" s="512"/>
      <c r="B61" s="446"/>
      <c r="C61" s="446"/>
      <c r="D61" s="513"/>
      <c r="E61" s="514"/>
      <c r="F61" s="515"/>
      <c r="G61" s="516"/>
      <c r="H61" s="517"/>
      <c r="I61" s="517"/>
      <c r="J61" s="517"/>
      <c r="K61" s="517"/>
      <c r="L61" s="517"/>
      <c r="M61" s="517"/>
      <c r="N61" s="517"/>
      <c r="O61" s="446"/>
      <c r="P61" s="446"/>
      <c r="Q61" s="446"/>
      <c r="R61" s="446"/>
      <c r="S61" s="446"/>
      <c r="T61" s="446"/>
      <c r="U61" s="447"/>
      <c r="V61" s="447"/>
    </row>
    <row r="62" spans="1:22" ht="18" customHeight="1" x14ac:dyDescent="0.25">
      <c r="A62" s="512"/>
      <c r="B62" s="446"/>
      <c r="C62" s="446"/>
      <c r="D62" s="513"/>
      <c r="E62" s="514"/>
      <c r="F62" s="515"/>
      <c r="G62" s="516"/>
      <c r="H62" s="517"/>
      <c r="I62" s="517"/>
      <c r="J62" s="517"/>
      <c r="K62" s="517"/>
      <c r="L62" s="517"/>
      <c r="M62" s="517"/>
      <c r="N62" s="517"/>
      <c r="O62" s="446"/>
      <c r="P62" s="446"/>
      <c r="Q62" s="446"/>
      <c r="R62" s="446"/>
      <c r="S62" s="446"/>
      <c r="T62" s="446"/>
      <c r="U62" s="447"/>
      <c r="V62" s="447"/>
    </row>
    <row r="63" spans="1:22" ht="18" customHeight="1" x14ac:dyDescent="0.25">
      <c r="A63" s="512"/>
      <c r="B63" s="446"/>
      <c r="C63" s="446"/>
      <c r="D63" s="513"/>
      <c r="E63" s="514"/>
      <c r="F63" s="515"/>
      <c r="G63" s="516"/>
      <c r="H63" s="517"/>
      <c r="I63" s="517"/>
      <c r="J63" s="517"/>
      <c r="K63" s="517"/>
      <c r="L63" s="517"/>
      <c r="M63" s="517"/>
      <c r="N63" s="517"/>
      <c r="O63" s="446"/>
      <c r="P63" s="446"/>
      <c r="Q63" s="446"/>
      <c r="R63" s="446"/>
      <c r="S63" s="446"/>
      <c r="T63" s="446"/>
      <c r="U63" s="447"/>
      <c r="V63" s="447"/>
    </row>
    <row r="64" spans="1:22" ht="18" customHeight="1" x14ac:dyDescent="0.25">
      <c r="A64" s="512"/>
      <c r="B64" s="446"/>
      <c r="C64" s="446"/>
      <c r="D64" s="513"/>
      <c r="E64" s="514"/>
      <c r="F64" s="515"/>
      <c r="G64" s="516"/>
      <c r="H64" s="517"/>
      <c r="I64" s="517"/>
      <c r="J64" s="517"/>
      <c r="K64" s="517"/>
      <c r="L64" s="517"/>
      <c r="M64" s="517"/>
      <c r="N64" s="517"/>
      <c r="O64" s="446"/>
      <c r="P64" s="446"/>
      <c r="Q64" s="446"/>
      <c r="R64" s="446"/>
      <c r="S64" s="446"/>
      <c r="T64" s="446"/>
      <c r="U64" s="447"/>
      <c r="V64" s="447"/>
    </row>
    <row r="65" spans="1:22" ht="12.75" customHeight="1" x14ac:dyDescent="0.25">
      <c r="A65" s="512"/>
      <c r="B65" s="446"/>
      <c r="C65" s="446"/>
      <c r="D65" s="513"/>
      <c r="E65" s="514"/>
      <c r="F65" s="515"/>
      <c r="G65" s="516"/>
      <c r="H65" s="517"/>
      <c r="I65" s="517"/>
      <c r="J65" s="517"/>
      <c r="K65" s="517"/>
      <c r="L65" s="517"/>
      <c r="M65" s="517"/>
      <c r="N65" s="517"/>
      <c r="O65" s="446"/>
      <c r="P65" s="446"/>
      <c r="Q65" s="446"/>
      <c r="R65" s="446"/>
      <c r="S65" s="446"/>
      <c r="T65" s="446"/>
      <c r="U65" s="447"/>
      <c r="V65" s="447"/>
    </row>
    <row r="66" spans="1:22" ht="12.75" customHeight="1" x14ac:dyDescent="0.25">
      <c r="A66" s="512"/>
      <c r="B66" s="446"/>
      <c r="C66" s="446"/>
      <c r="D66" s="513"/>
      <c r="E66" s="514"/>
      <c r="F66" s="515"/>
      <c r="G66" s="516"/>
      <c r="H66" s="517"/>
      <c r="I66" s="517"/>
      <c r="J66" s="517"/>
      <c r="K66" s="517"/>
      <c r="L66" s="517"/>
      <c r="M66" s="517"/>
      <c r="N66" s="517"/>
      <c r="O66" s="446"/>
      <c r="P66" s="446"/>
      <c r="Q66" s="446"/>
      <c r="R66" s="446"/>
      <c r="S66" s="446"/>
      <c r="T66" s="446"/>
      <c r="U66" s="447"/>
      <c r="V66" s="447"/>
    </row>
    <row r="67" spans="1:22" ht="12.75" customHeight="1" x14ac:dyDescent="0.25">
      <c r="A67" s="512"/>
      <c r="B67" s="446"/>
      <c r="C67" s="446"/>
      <c r="D67" s="513"/>
      <c r="E67" s="514"/>
      <c r="F67" s="515"/>
      <c r="G67" s="516"/>
      <c r="H67" s="517"/>
      <c r="I67" s="517"/>
      <c r="J67" s="517"/>
      <c r="K67" s="517"/>
      <c r="L67" s="517"/>
      <c r="M67" s="517"/>
      <c r="N67" s="517"/>
      <c r="O67" s="446"/>
      <c r="P67" s="446"/>
      <c r="Q67" s="446"/>
      <c r="R67" s="446"/>
      <c r="S67" s="446"/>
      <c r="T67" s="446"/>
      <c r="U67" s="447"/>
      <c r="V67" s="447"/>
    </row>
    <row r="68" spans="1:22" ht="12.75" customHeight="1" x14ac:dyDescent="0.25">
      <c r="A68" s="512"/>
      <c r="B68" s="446"/>
      <c r="C68" s="446"/>
      <c r="D68" s="513"/>
      <c r="E68" s="514"/>
      <c r="F68" s="515"/>
      <c r="G68" s="516"/>
      <c r="H68" s="517"/>
      <c r="I68" s="517"/>
      <c r="J68" s="517"/>
      <c r="K68" s="517"/>
      <c r="L68" s="517"/>
      <c r="M68" s="517"/>
      <c r="N68" s="517"/>
      <c r="O68" s="446"/>
      <c r="P68" s="446"/>
      <c r="Q68" s="446"/>
      <c r="R68" s="446"/>
      <c r="S68" s="446"/>
      <c r="T68" s="446"/>
      <c r="U68" s="447"/>
      <c r="V68" s="447"/>
    </row>
    <row r="69" spans="1:22" ht="12.75" customHeight="1" x14ac:dyDescent="0.25">
      <c r="A69" s="512"/>
      <c r="B69" s="446"/>
      <c r="C69" s="446"/>
      <c r="D69" s="513"/>
      <c r="E69" s="514"/>
      <c r="F69" s="515"/>
      <c r="G69" s="516"/>
      <c r="H69" s="517"/>
      <c r="I69" s="517"/>
      <c r="J69" s="517"/>
      <c r="K69" s="517"/>
      <c r="L69" s="517"/>
      <c r="M69" s="517"/>
      <c r="N69" s="517"/>
      <c r="O69" s="446"/>
      <c r="P69" s="446"/>
      <c r="Q69" s="446"/>
      <c r="R69" s="446"/>
      <c r="S69" s="446"/>
      <c r="T69" s="446"/>
      <c r="U69" s="447"/>
      <c r="V69" s="447"/>
    </row>
    <row r="70" spans="1:22" ht="12.75" customHeight="1" x14ac:dyDescent="0.25">
      <c r="A70" s="512"/>
      <c r="B70" s="446"/>
      <c r="C70" s="446"/>
      <c r="D70" s="513"/>
      <c r="E70" s="514"/>
      <c r="F70" s="515"/>
      <c r="G70" s="516"/>
      <c r="H70" s="517"/>
      <c r="I70" s="517"/>
      <c r="J70" s="517"/>
      <c r="K70" s="517"/>
      <c r="L70" s="517"/>
      <c r="M70" s="517"/>
      <c r="N70" s="517"/>
      <c r="O70" s="446"/>
      <c r="P70" s="446"/>
      <c r="Q70" s="446"/>
      <c r="R70" s="446"/>
      <c r="S70" s="446"/>
      <c r="T70" s="446"/>
      <c r="U70" s="447"/>
      <c r="V70" s="447"/>
    </row>
    <row r="71" spans="1:22" ht="12.75" customHeight="1" x14ac:dyDescent="0.25">
      <c r="A71" s="512"/>
      <c r="B71" s="446"/>
      <c r="C71" s="446"/>
      <c r="D71" s="513"/>
      <c r="E71" s="514"/>
      <c r="F71" s="515"/>
      <c r="G71" s="516"/>
      <c r="H71" s="517"/>
      <c r="I71" s="517"/>
      <c r="J71" s="517"/>
      <c r="K71" s="517"/>
      <c r="L71" s="517"/>
      <c r="M71" s="517"/>
      <c r="N71" s="517"/>
      <c r="O71" s="446"/>
      <c r="P71" s="446"/>
      <c r="Q71" s="446"/>
      <c r="R71" s="446"/>
      <c r="S71" s="446"/>
      <c r="T71" s="446"/>
      <c r="U71" s="447"/>
      <c r="V71" s="447"/>
    </row>
    <row r="72" spans="1:22" ht="12.75" customHeight="1" x14ac:dyDescent="0.25">
      <c r="A72" s="512"/>
      <c r="B72" s="446"/>
      <c r="C72" s="446"/>
      <c r="D72" s="513"/>
      <c r="E72" s="514"/>
      <c r="F72" s="515"/>
      <c r="G72" s="516"/>
      <c r="H72" s="517"/>
      <c r="I72" s="517"/>
      <c r="J72" s="517"/>
      <c r="K72" s="517"/>
      <c r="L72" s="517"/>
      <c r="M72" s="517"/>
      <c r="N72" s="517"/>
      <c r="O72" s="446"/>
      <c r="P72" s="446"/>
      <c r="Q72" s="446"/>
      <c r="R72" s="446"/>
      <c r="S72" s="446"/>
      <c r="T72" s="446"/>
      <c r="U72" s="447"/>
      <c r="V72" s="447"/>
    </row>
    <row r="73" spans="1:22" ht="12.75" customHeight="1" x14ac:dyDescent="0.25">
      <c r="A73" s="512"/>
      <c r="B73" s="446"/>
      <c r="C73" s="446"/>
      <c r="D73" s="513"/>
      <c r="E73" s="514"/>
      <c r="F73" s="515"/>
      <c r="G73" s="516"/>
      <c r="H73" s="517"/>
      <c r="I73" s="517"/>
      <c r="J73" s="517"/>
      <c r="K73" s="517"/>
      <c r="L73" s="517"/>
      <c r="M73" s="517"/>
      <c r="N73" s="517"/>
      <c r="O73" s="446"/>
      <c r="P73" s="446"/>
      <c r="Q73" s="446"/>
      <c r="R73" s="446"/>
      <c r="S73" s="446"/>
      <c r="T73" s="446"/>
      <c r="U73" s="447"/>
      <c r="V73" s="447"/>
    </row>
    <row r="74" spans="1:22" ht="12.75" customHeight="1" x14ac:dyDescent="0.25">
      <c r="A74" s="512"/>
      <c r="B74" s="446"/>
      <c r="C74" s="446"/>
      <c r="D74" s="513"/>
      <c r="E74" s="514"/>
      <c r="F74" s="515"/>
      <c r="G74" s="516"/>
      <c r="H74" s="517"/>
      <c r="I74" s="517"/>
      <c r="J74" s="517"/>
      <c r="K74" s="517"/>
      <c r="L74" s="517"/>
      <c r="M74" s="517"/>
      <c r="N74" s="517"/>
      <c r="O74" s="446"/>
      <c r="P74" s="446"/>
      <c r="Q74" s="446"/>
      <c r="R74" s="446"/>
      <c r="S74" s="446"/>
      <c r="T74" s="446"/>
      <c r="U74" s="447"/>
      <c r="V74" s="447"/>
    </row>
    <row r="75" spans="1:22" ht="12.75" customHeight="1" x14ac:dyDescent="0.25">
      <c r="A75" s="512"/>
      <c r="B75" s="446"/>
      <c r="C75" s="446"/>
      <c r="D75" s="513"/>
      <c r="E75" s="514"/>
      <c r="F75" s="515"/>
      <c r="G75" s="516"/>
      <c r="H75" s="517"/>
      <c r="I75" s="517"/>
      <c r="J75" s="517"/>
      <c r="K75" s="517"/>
      <c r="L75" s="517"/>
      <c r="M75" s="517"/>
      <c r="N75" s="517"/>
      <c r="O75" s="446"/>
      <c r="P75" s="446"/>
      <c r="Q75" s="446"/>
      <c r="R75" s="446"/>
      <c r="S75" s="446"/>
      <c r="T75" s="446"/>
      <c r="U75" s="447"/>
      <c r="V75" s="447"/>
    </row>
    <row r="76" spans="1:22" ht="12.75" customHeight="1" x14ac:dyDescent="0.25">
      <c r="A76" s="512"/>
      <c r="B76" s="446"/>
      <c r="C76" s="446"/>
      <c r="D76" s="513"/>
      <c r="E76" s="514"/>
      <c r="F76" s="515"/>
      <c r="G76" s="516"/>
      <c r="H76" s="517"/>
      <c r="I76" s="517"/>
      <c r="J76" s="517"/>
      <c r="K76" s="517"/>
      <c r="L76" s="517"/>
      <c r="M76" s="517"/>
      <c r="N76" s="517"/>
      <c r="O76" s="446"/>
      <c r="P76" s="446"/>
      <c r="Q76" s="446"/>
      <c r="R76" s="446"/>
      <c r="S76" s="446"/>
      <c r="T76" s="446"/>
      <c r="U76" s="447"/>
      <c r="V76" s="447"/>
    </row>
    <row r="77" spans="1:22" ht="12.75" customHeight="1" x14ac:dyDescent="0.25">
      <c r="A77" s="512"/>
      <c r="B77" s="446"/>
      <c r="C77" s="446"/>
      <c r="D77" s="513"/>
      <c r="E77" s="514"/>
      <c r="F77" s="515"/>
      <c r="G77" s="516"/>
      <c r="H77" s="517"/>
      <c r="I77" s="517"/>
      <c r="J77" s="517"/>
      <c r="K77" s="517"/>
      <c r="L77" s="517"/>
      <c r="M77" s="517"/>
      <c r="N77" s="517"/>
      <c r="O77" s="446"/>
      <c r="P77" s="446"/>
      <c r="Q77" s="446"/>
      <c r="R77" s="446"/>
      <c r="S77" s="446"/>
      <c r="T77" s="446"/>
      <c r="U77" s="447"/>
      <c r="V77" s="447"/>
    </row>
    <row r="78" spans="1:22" ht="12.75" customHeight="1" x14ac:dyDescent="0.25">
      <c r="A78" s="512"/>
      <c r="B78" s="446"/>
      <c r="C78" s="446"/>
      <c r="D78" s="513"/>
      <c r="E78" s="514"/>
      <c r="F78" s="515"/>
      <c r="G78" s="516"/>
      <c r="H78" s="517"/>
      <c r="I78" s="517"/>
      <c r="J78" s="517"/>
      <c r="K78" s="517"/>
      <c r="L78" s="517"/>
      <c r="M78" s="517"/>
      <c r="N78" s="517"/>
      <c r="O78" s="446"/>
      <c r="P78" s="446"/>
      <c r="Q78" s="446"/>
      <c r="R78" s="446"/>
      <c r="S78" s="446"/>
      <c r="T78" s="446"/>
      <c r="U78" s="447"/>
      <c r="V78" s="447"/>
    </row>
    <row r="79" spans="1:22" ht="12.75" customHeight="1" x14ac:dyDescent="0.25">
      <c r="A79" s="512"/>
      <c r="B79" s="446"/>
      <c r="C79" s="446"/>
      <c r="D79" s="513"/>
      <c r="E79" s="514"/>
      <c r="F79" s="515"/>
      <c r="G79" s="516"/>
      <c r="H79" s="517"/>
      <c r="I79" s="517"/>
      <c r="J79" s="517"/>
      <c r="K79" s="517"/>
      <c r="L79" s="517"/>
      <c r="M79" s="517"/>
      <c r="N79" s="517"/>
      <c r="O79" s="446"/>
      <c r="P79" s="446"/>
      <c r="Q79" s="446"/>
      <c r="R79" s="446"/>
      <c r="S79" s="446"/>
      <c r="T79" s="446"/>
      <c r="U79" s="447"/>
      <c r="V79" s="447"/>
    </row>
    <row r="80" spans="1:22" ht="12.75" customHeight="1" x14ac:dyDescent="0.25">
      <c r="A80" s="512"/>
      <c r="B80" s="446"/>
      <c r="C80" s="446"/>
      <c r="D80" s="513"/>
      <c r="E80" s="514"/>
      <c r="F80" s="515"/>
      <c r="G80" s="516"/>
      <c r="H80" s="517"/>
      <c r="I80" s="517"/>
      <c r="J80" s="517"/>
      <c r="K80" s="517"/>
      <c r="L80" s="517"/>
      <c r="M80" s="517"/>
      <c r="N80" s="517"/>
      <c r="O80" s="446"/>
      <c r="P80" s="446"/>
      <c r="Q80" s="446"/>
      <c r="R80" s="446"/>
      <c r="S80" s="446"/>
      <c r="T80" s="446"/>
      <c r="U80" s="447"/>
      <c r="V80" s="447"/>
    </row>
    <row r="81" spans="1:22" ht="12.75" customHeight="1" x14ac:dyDescent="0.25">
      <c r="A81" s="512"/>
      <c r="B81" s="446"/>
      <c r="C81" s="446"/>
      <c r="D81" s="513"/>
      <c r="E81" s="514"/>
      <c r="F81" s="515"/>
      <c r="G81" s="516"/>
      <c r="H81" s="517"/>
      <c r="I81" s="517"/>
      <c r="J81" s="517"/>
      <c r="K81" s="517"/>
      <c r="L81" s="517"/>
      <c r="M81" s="517"/>
      <c r="N81" s="517"/>
      <c r="O81" s="446"/>
      <c r="P81" s="446"/>
      <c r="Q81" s="446"/>
      <c r="R81" s="446"/>
      <c r="S81" s="446"/>
      <c r="T81" s="446"/>
      <c r="U81" s="447"/>
      <c r="V81" s="447"/>
    </row>
    <row r="82" spans="1:22" ht="12.75" customHeight="1" x14ac:dyDescent="0.25">
      <c r="A82" s="512"/>
      <c r="B82" s="446"/>
      <c r="C82" s="446"/>
      <c r="D82" s="513"/>
      <c r="E82" s="514"/>
      <c r="F82" s="515"/>
      <c r="G82" s="516"/>
      <c r="H82" s="517"/>
      <c r="I82" s="517"/>
      <c r="J82" s="517"/>
      <c r="K82" s="517"/>
      <c r="L82" s="517"/>
      <c r="M82" s="517"/>
      <c r="N82" s="517"/>
      <c r="O82" s="446"/>
      <c r="P82" s="446"/>
      <c r="Q82" s="446"/>
      <c r="R82" s="446"/>
      <c r="S82" s="446"/>
      <c r="T82" s="446"/>
      <c r="U82" s="447"/>
      <c r="V82" s="447"/>
    </row>
    <row r="83" spans="1:22" ht="12.75" customHeight="1" x14ac:dyDescent="0.25">
      <c r="A83" s="512"/>
      <c r="B83" s="446"/>
      <c r="C83" s="446"/>
      <c r="D83" s="513"/>
      <c r="E83" s="514"/>
      <c r="F83" s="515"/>
      <c r="G83" s="516"/>
      <c r="H83" s="517"/>
      <c r="I83" s="517"/>
      <c r="J83" s="517"/>
      <c r="K83" s="517"/>
      <c r="L83" s="517"/>
      <c r="M83" s="517"/>
      <c r="N83" s="517"/>
      <c r="O83" s="446"/>
      <c r="P83" s="446"/>
      <c r="Q83" s="446"/>
      <c r="R83" s="446"/>
      <c r="S83" s="446"/>
      <c r="T83" s="446"/>
      <c r="U83" s="447"/>
      <c r="V83" s="447"/>
    </row>
    <row r="84" spans="1:22" ht="12.75" customHeight="1" x14ac:dyDescent="0.25">
      <c r="A84" s="512"/>
      <c r="B84" s="446"/>
      <c r="C84" s="446"/>
      <c r="D84" s="513"/>
      <c r="E84" s="514"/>
      <c r="F84" s="515"/>
      <c r="G84" s="516"/>
      <c r="H84" s="517"/>
      <c r="I84" s="517"/>
      <c r="J84" s="517"/>
      <c r="K84" s="517"/>
      <c r="L84" s="517"/>
      <c r="M84" s="517"/>
      <c r="N84" s="517"/>
      <c r="O84" s="446"/>
      <c r="P84" s="446"/>
      <c r="Q84" s="446"/>
      <c r="R84" s="446"/>
      <c r="S84" s="446"/>
      <c r="T84" s="446"/>
      <c r="U84" s="447"/>
      <c r="V84" s="447"/>
    </row>
    <row r="85" spans="1:22" ht="12.75" customHeight="1" x14ac:dyDescent="0.25">
      <c r="A85" s="512"/>
      <c r="B85" s="446"/>
      <c r="C85" s="446"/>
      <c r="D85" s="513"/>
      <c r="E85" s="514"/>
      <c r="F85" s="515"/>
      <c r="G85" s="516"/>
      <c r="H85" s="517"/>
      <c r="I85" s="517"/>
      <c r="J85" s="517"/>
      <c r="K85" s="517"/>
      <c r="L85" s="517"/>
      <c r="M85" s="517"/>
      <c r="N85" s="517"/>
      <c r="O85" s="446"/>
      <c r="P85" s="446"/>
      <c r="Q85" s="446"/>
      <c r="R85" s="446"/>
      <c r="S85" s="446"/>
      <c r="T85" s="446"/>
      <c r="U85" s="447"/>
      <c r="V85" s="447"/>
    </row>
    <row r="86" spans="1:22" ht="12.75" customHeight="1" x14ac:dyDescent="0.25">
      <c r="A86" s="512"/>
      <c r="B86" s="446"/>
      <c r="C86" s="446"/>
      <c r="D86" s="513"/>
      <c r="E86" s="514"/>
      <c r="F86" s="515"/>
      <c r="G86" s="516"/>
      <c r="H86" s="517"/>
      <c r="I86" s="517"/>
      <c r="J86" s="517"/>
      <c r="K86" s="517"/>
      <c r="L86" s="517"/>
      <c r="M86" s="517"/>
      <c r="N86" s="517"/>
      <c r="O86" s="446"/>
      <c r="P86" s="446"/>
      <c r="Q86" s="446"/>
      <c r="R86" s="446"/>
      <c r="S86" s="446"/>
      <c r="T86" s="446"/>
      <c r="U86" s="447"/>
      <c r="V86" s="447"/>
    </row>
    <row r="87" spans="1:22" ht="12.75" customHeight="1" x14ac:dyDescent="0.25">
      <c r="A87" s="512"/>
      <c r="B87" s="446"/>
      <c r="C87" s="446"/>
      <c r="D87" s="513"/>
      <c r="E87" s="514"/>
      <c r="F87" s="515"/>
      <c r="G87" s="516"/>
      <c r="H87" s="517"/>
      <c r="I87" s="517"/>
      <c r="J87" s="517"/>
      <c r="K87" s="517"/>
      <c r="L87" s="517"/>
      <c r="M87" s="517"/>
      <c r="N87" s="517"/>
      <c r="O87" s="446"/>
      <c r="P87" s="446"/>
      <c r="Q87" s="446"/>
      <c r="R87" s="446"/>
      <c r="S87" s="446"/>
      <c r="T87" s="446"/>
      <c r="U87" s="447"/>
      <c r="V87" s="447"/>
    </row>
    <row r="88" spans="1:22" ht="12.75" customHeight="1" x14ac:dyDescent="0.25">
      <c r="A88" s="512"/>
      <c r="B88" s="446"/>
      <c r="C88" s="446"/>
      <c r="D88" s="513"/>
      <c r="E88" s="514"/>
      <c r="F88" s="515"/>
      <c r="G88" s="516"/>
      <c r="H88" s="517"/>
      <c r="I88" s="517"/>
      <c r="J88" s="517"/>
      <c r="K88" s="517"/>
      <c r="L88" s="517"/>
      <c r="M88" s="517"/>
      <c r="N88" s="517"/>
      <c r="O88" s="446"/>
      <c r="P88" s="446"/>
      <c r="Q88" s="446"/>
      <c r="R88" s="446"/>
      <c r="S88" s="446"/>
      <c r="T88" s="446"/>
      <c r="U88" s="447"/>
      <c r="V88" s="447"/>
    </row>
    <row r="89" spans="1:22" ht="12.75" customHeight="1" x14ac:dyDescent="0.25">
      <c r="A89" s="512"/>
      <c r="B89" s="446"/>
      <c r="C89" s="446"/>
      <c r="D89" s="513"/>
      <c r="E89" s="514"/>
      <c r="F89" s="515"/>
      <c r="G89" s="516"/>
      <c r="H89" s="517"/>
      <c r="I89" s="517"/>
      <c r="J89" s="517"/>
      <c r="K89" s="517"/>
      <c r="L89" s="517"/>
      <c r="M89" s="517"/>
      <c r="N89" s="517"/>
      <c r="O89" s="446"/>
      <c r="P89" s="446"/>
      <c r="Q89" s="446"/>
      <c r="R89" s="446"/>
      <c r="S89" s="446"/>
      <c r="T89" s="446"/>
      <c r="U89" s="447"/>
      <c r="V89" s="447"/>
    </row>
    <row r="90" spans="1:22" ht="12.75" customHeight="1" x14ac:dyDescent="0.25">
      <c r="A90" s="512"/>
      <c r="B90" s="446"/>
      <c r="C90" s="446"/>
      <c r="D90" s="513"/>
      <c r="E90" s="514"/>
      <c r="F90" s="515"/>
      <c r="G90" s="516"/>
      <c r="H90" s="517"/>
      <c r="I90" s="517"/>
      <c r="J90" s="517"/>
      <c r="K90" s="517"/>
      <c r="L90" s="517"/>
      <c r="M90" s="517"/>
      <c r="N90" s="517"/>
      <c r="O90" s="446"/>
      <c r="P90" s="446"/>
      <c r="Q90" s="446"/>
      <c r="R90" s="446"/>
      <c r="S90" s="446"/>
      <c r="T90" s="446"/>
      <c r="U90" s="447"/>
      <c r="V90" s="447"/>
    </row>
    <row r="91" spans="1:22" ht="12.75" customHeight="1" x14ac:dyDescent="0.25">
      <c r="A91" s="512"/>
      <c r="B91" s="446"/>
      <c r="C91" s="446"/>
      <c r="D91" s="513"/>
      <c r="E91" s="514"/>
      <c r="F91" s="515"/>
      <c r="G91" s="516"/>
      <c r="H91" s="517"/>
      <c r="I91" s="517"/>
      <c r="J91" s="517"/>
      <c r="K91" s="517"/>
      <c r="L91" s="517"/>
      <c r="M91" s="517"/>
      <c r="N91" s="517"/>
      <c r="O91" s="446"/>
      <c r="P91" s="446"/>
      <c r="Q91" s="446"/>
      <c r="R91" s="446"/>
      <c r="S91" s="446"/>
      <c r="T91" s="446"/>
      <c r="U91" s="447"/>
      <c r="V91" s="447"/>
    </row>
    <row r="92" spans="1:22" ht="12.75" customHeight="1" x14ac:dyDescent="0.25">
      <c r="A92" s="512"/>
      <c r="B92" s="446"/>
      <c r="C92" s="446"/>
      <c r="D92" s="513"/>
      <c r="E92" s="514"/>
      <c r="F92" s="515"/>
      <c r="G92" s="516"/>
      <c r="H92" s="517"/>
      <c r="I92" s="517"/>
      <c r="J92" s="517"/>
      <c r="K92" s="517"/>
      <c r="L92" s="517"/>
      <c r="M92" s="517"/>
      <c r="N92" s="517"/>
      <c r="O92" s="446"/>
      <c r="P92" s="446"/>
      <c r="Q92" s="446"/>
      <c r="R92" s="446"/>
      <c r="S92" s="446"/>
      <c r="T92" s="446"/>
      <c r="U92" s="447"/>
      <c r="V92" s="447"/>
    </row>
    <row r="93" spans="1:22" ht="12.75" customHeight="1" x14ac:dyDescent="0.25">
      <c r="A93" s="512"/>
      <c r="B93" s="446"/>
      <c r="C93" s="446"/>
      <c r="D93" s="513"/>
      <c r="E93" s="514"/>
      <c r="F93" s="515"/>
      <c r="G93" s="516"/>
      <c r="H93" s="517"/>
      <c r="I93" s="517"/>
      <c r="J93" s="517"/>
      <c r="K93" s="517"/>
      <c r="L93" s="517"/>
      <c r="M93" s="517"/>
      <c r="N93" s="517"/>
      <c r="O93" s="446"/>
      <c r="P93" s="446"/>
      <c r="Q93" s="446"/>
      <c r="R93" s="446"/>
      <c r="S93" s="446"/>
      <c r="T93" s="446"/>
      <c r="U93" s="447"/>
      <c r="V93" s="447"/>
    </row>
    <row r="94" spans="1:22" ht="12.75" customHeight="1" x14ac:dyDescent="0.25">
      <c r="A94" s="512"/>
      <c r="B94" s="446"/>
      <c r="C94" s="446"/>
      <c r="D94" s="513"/>
      <c r="E94" s="514"/>
      <c r="F94" s="515"/>
      <c r="G94" s="516"/>
      <c r="H94" s="517"/>
      <c r="I94" s="517"/>
      <c r="J94" s="517"/>
      <c r="K94" s="517"/>
      <c r="L94" s="517"/>
      <c r="M94" s="517"/>
      <c r="N94" s="517"/>
      <c r="O94" s="446"/>
      <c r="P94" s="446"/>
      <c r="Q94" s="446"/>
      <c r="R94" s="446"/>
      <c r="S94" s="446"/>
      <c r="T94" s="446"/>
      <c r="U94" s="447"/>
      <c r="V94" s="447"/>
    </row>
    <row r="95" spans="1:22" ht="12.75" customHeight="1" x14ac:dyDescent="0.25">
      <c r="A95" s="512"/>
      <c r="B95" s="446"/>
      <c r="C95" s="446"/>
      <c r="D95" s="513"/>
      <c r="E95" s="514"/>
      <c r="F95" s="515"/>
      <c r="G95" s="516"/>
      <c r="H95" s="517"/>
      <c r="I95" s="517"/>
      <c r="J95" s="517"/>
      <c r="K95" s="517"/>
      <c r="L95" s="517"/>
      <c r="M95" s="517"/>
      <c r="N95" s="517"/>
      <c r="O95" s="446"/>
      <c r="P95" s="446"/>
      <c r="Q95" s="446"/>
      <c r="R95" s="446"/>
      <c r="S95" s="446"/>
      <c r="T95" s="446"/>
      <c r="U95" s="447"/>
      <c r="V95" s="447"/>
    </row>
    <row r="96" spans="1:22" ht="12.75" customHeight="1" x14ac:dyDescent="0.25">
      <c r="A96" s="512"/>
      <c r="B96" s="446"/>
      <c r="C96" s="446"/>
      <c r="D96" s="513"/>
      <c r="E96" s="514"/>
      <c r="F96" s="515"/>
      <c r="G96" s="516"/>
      <c r="H96" s="517"/>
      <c r="I96" s="517"/>
      <c r="J96" s="517"/>
      <c r="K96" s="517"/>
      <c r="L96" s="517"/>
      <c r="M96" s="517"/>
      <c r="N96" s="517"/>
      <c r="O96" s="446"/>
      <c r="P96" s="446"/>
      <c r="Q96" s="446"/>
      <c r="R96" s="446"/>
      <c r="S96" s="446"/>
      <c r="T96" s="446"/>
      <c r="U96" s="447"/>
      <c r="V96" s="447"/>
    </row>
    <row r="97" spans="1:22" ht="12.75" customHeight="1" x14ac:dyDescent="0.25">
      <c r="A97" s="512"/>
      <c r="B97" s="446"/>
      <c r="C97" s="446"/>
      <c r="D97" s="513"/>
      <c r="E97" s="514"/>
      <c r="F97" s="515"/>
      <c r="G97" s="516"/>
      <c r="H97" s="517"/>
      <c r="I97" s="517"/>
      <c r="J97" s="517"/>
      <c r="K97" s="517"/>
      <c r="L97" s="517"/>
      <c r="M97" s="517"/>
      <c r="N97" s="517"/>
      <c r="O97" s="446"/>
      <c r="P97" s="446"/>
      <c r="Q97" s="446"/>
      <c r="R97" s="446"/>
      <c r="S97" s="446"/>
      <c r="T97" s="446"/>
      <c r="U97" s="447"/>
      <c r="V97" s="447"/>
    </row>
    <row r="98" spans="1:22" ht="12.75" customHeight="1" x14ac:dyDescent="0.25">
      <c r="A98" s="512"/>
      <c r="B98" s="446"/>
      <c r="C98" s="446"/>
      <c r="D98" s="513"/>
      <c r="E98" s="514"/>
      <c r="F98" s="515"/>
      <c r="G98" s="516"/>
      <c r="H98" s="517"/>
      <c r="I98" s="517"/>
      <c r="J98" s="517"/>
      <c r="K98" s="517"/>
      <c r="L98" s="517"/>
      <c r="M98" s="517"/>
      <c r="N98" s="517"/>
      <c r="O98" s="446"/>
      <c r="P98" s="446"/>
      <c r="Q98" s="446"/>
      <c r="R98" s="446"/>
      <c r="S98" s="446"/>
      <c r="T98" s="446"/>
      <c r="U98" s="447"/>
      <c r="V98" s="447"/>
    </row>
    <row r="99" spans="1:22" ht="12.75" customHeight="1" x14ac:dyDescent="0.25">
      <c r="A99" s="512"/>
      <c r="B99" s="446"/>
      <c r="C99" s="446"/>
      <c r="D99" s="513"/>
      <c r="E99" s="514"/>
      <c r="F99" s="515"/>
      <c r="G99" s="516"/>
      <c r="H99" s="517"/>
      <c r="I99" s="517"/>
      <c r="J99" s="517"/>
      <c r="K99" s="517"/>
      <c r="L99" s="517"/>
      <c r="M99" s="517"/>
      <c r="N99" s="517"/>
      <c r="O99" s="446"/>
      <c r="P99" s="446"/>
      <c r="Q99" s="446"/>
      <c r="R99" s="446"/>
      <c r="S99" s="446"/>
      <c r="T99" s="446"/>
      <c r="U99" s="447"/>
      <c r="V99" s="447"/>
    </row>
    <row r="100" spans="1:22" ht="12.75" customHeight="1" x14ac:dyDescent="0.25">
      <c r="A100" s="512"/>
      <c r="B100" s="446"/>
      <c r="C100" s="446"/>
      <c r="D100" s="513"/>
      <c r="E100" s="514"/>
      <c r="F100" s="515"/>
      <c r="G100" s="516"/>
      <c r="H100" s="517"/>
      <c r="I100" s="517"/>
      <c r="J100" s="517"/>
      <c r="K100" s="517"/>
      <c r="L100" s="517"/>
      <c r="M100" s="517"/>
      <c r="N100" s="517"/>
      <c r="O100" s="446"/>
      <c r="P100" s="446"/>
      <c r="Q100" s="446"/>
      <c r="R100" s="446"/>
      <c r="S100" s="446"/>
      <c r="T100" s="446"/>
      <c r="U100" s="447"/>
      <c r="V100" s="447"/>
    </row>
    <row r="101" spans="1:22" ht="12.75" customHeight="1" x14ac:dyDescent="0.25">
      <c r="A101" s="512"/>
      <c r="B101" s="446"/>
      <c r="C101" s="446"/>
      <c r="D101" s="513"/>
      <c r="E101" s="514"/>
      <c r="F101" s="515"/>
      <c r="G101" s="516"/>
      <c r="H101" s="517"/>
      <c r="I101" s="517"/>
      <c r="J101" s="517"/>
      <c r="K101" s="517"/>
      <c r="L101" s="517"/>
      <c r="M101" s="517"/>
      <c r="N101" s="517"/>
      <c r="O101" s="446"/>
      <c r="P101" s="446"/>
      <c r="Q101" s="446"/>
      <c r="R101" s="446"/>
      <c r="S101" s="446"/>
      <c r="T101" s="446"/>
      <c r="U101" s="447"/>
      <c r="V101" s="447"/>
    </row>
    <row r="102" spans="1:22" ht="12.75" customHeight="1" x14ac:dyDescent="0.25">
      <c r="A102" s="512"/>
      <c r="B102" s="446"/>
      <c r="C102" s="446"/>
      <c r="D102" s="513"/>
      <c r="E102" s="514"/>
      <c r="F102" s="515"/>
      <c r="G102" s="516"/>
      <c r="H102" s="517"/>
      <c r="I102" s="517"/>
      <c r="J102" s="517"/>
      <c r="K102" s="517"/>
      <c r="L102" s="517"/>
      <c r="M102" s="517"/>
      <c r="N102" s="517"/>
      <c r="O102" s="446"/>
      <c r="P102" s="446"/>
      <c r="Q102" s="446"/>
      <c r="R102" s="446"/>
      <c r="S102" s="446"/>
      <c r="T102" s="446"/>
      <c r="U102" s="447"/>
      <c r="V102" s="447"/>
    </row>
    <row r="103" spans="1:22" ht="12.75" customHeight="1" x14ac:dyDescent="0.25">
      <c r="A103" s="512"/>
      <c r="B103" s="446"/>
      <c r="C103" s="446"/>
      <c r="D103" s="513"/>
      <c r="E103" s="514"/>
      <c r="F103" s="515"/>
      <c r="G103" s="516"/>
      <c r="H103" s="517"/>
      <c r="I103" s="517"/>
      <c r="J103" s="517"/>
      <c r="K103" s="517"/>
      <c r="L103" s="517"/>
      <c r="M103" s="517"/>
      <c r="N103" s="517"/>
      <c r="O103" s="446"/>
      <c r="P103" s="446"/>
      <c r="Q103" s="446"/>
      <c r="R103" s="446"/>
      <c r="S103" s="446"/>
      <c r="T103" s="446"/>
      <c r="U103" s="447"/>
      <c r="V103" s="447"/>
    </row>
    <row r="104" spans="1:22" ht="12.75" customHeight="1" x14ac:dyDescent="0.25">
      <c r="A104" s="512"/>
      <c r="B104" s="446"/>
      <c r="C104" s="446"/>
      <c r="D104" s="513"/>
      <c r="E104" s="514"/>
      <c r="F104" s="515"/>
      <c r="G104" s="516"/>
      <c r="H104" s="517"/>
      <c r="I104" s="517"/>
      <c r="J104" s="517"/>
      <c r="K104" s="517"/>
      <c r="L104" s="517"/>
      <c r="M104" s="517"/>
      <c r="N104" s="517"/>
      <c r="O104" s="446"/>
      <c r="P104" s="446"/>
      <c r="Q104" s="446"/>
      <c r="R104" s="446"/>
      <c r="S104" s="446"/>
      <c r="T104" s="446"/>
      <c r="U104" s="447"/>
      <c r="V104" s="447"/>
    </row>
    <row r="105" spans="1:22" ht="12.75" customHeight="1" x14ac:dyDescent="0.25">
      <c r="A105" s="512"/>
      <c r="B105" s="446"/>
      <c r="C105" s="446"/>
      <c r="D105" s="513"/>
      <c r="E105" s="514"/>
      <c r="F105" s="515"/>
      <c r="G105" s="516"/>
      <c r="H105" s="517"/>
      <c r="I105" s="517"/>
      <c r="J105" s="517"/>
      <c r="K105" s="517"/>
      <c r="L105" s="517"/>
      <c r="M105" s="517"/>
      <c r="N105" s="517"/>
      <c r="O105" s="446"/>
      <c r="P105" s="446"/>
      <c r="Q105" s="446"/>
      <c r="R105" s="446"/>
      <c r="S105" s="446"/>
      <c r="T105" s="446"/>
      <c r="U105" s="447"/>
      <c r="V105" s="447"/>
    </row>
    <row r="106" spans="1:22" ht="12.75" customHeight="1" x14ac:dyDescent="0.25">
      <c r="A106" s="512"/>
      <c r="B106" s="446"/>
      <c r="C106" s="446"/>
      <c r="D106" s="513"/>
      <c r="E106" s="514"/>
      <c r="F106" s="515"/>
      <c r="G106" s="516"/>
      <c r="H106" s="517"/>
      <c r="I106" s="517"/>
      <c r="J106" s="517"/>
      <c r="K106" s="517"/>
      <c r="L106" s="517"/>
      <c r="M106" s="517"/>
      <c r="N106" s="517"/>
      <c r="O106" s="446"/>
      <c r="P106" s="446"/>
      <c r="Q106" s="446"/>
      <c r="R106" s="446"/>
      <c r="S106" s="446"/>
      <c r="T106" s="446"/>
      <c r="U106" s="447"/>
      <c r="V106" s="447"/>
    </row>
    <row r="107" spans="1:22" ht="12.75" customHeight="1" x14ac:dyDescent="0.25">
      <c r="A107" s="512"/>
      <c r="B107" s="446"/>
      <c r="C107" s="446"/>
      <c r="D107" s="513"/>
      <c r="E107" s="514"/>
      <c r="F107" s="515"/>
      <c r="G107" s="516"/>
      <c r="H107" s="517"/>
      <c r="I107" s="517"/>
      <c r="J107" s="517"/>
      <c r="K107" s="517"/>
      <c r="L107" s="517"/>
      <c r="M107" s="517"/>
      <c r="N107" s="517"/>
      <c r="O107" s="446"/>
      <c r="P107" s="446"/>
      <c r="Q107" s="446"/>
      <c r="R107" s="446"/>
      <c r="S107" s="446"/>
      <c r="T107" s="446"/>
      <c r="U107" s="447"/>
      <c r="V107" s="447"/>
    </row>
    <row r="108" spans="1:22" ht="12.75" customHeight="1" x14ac:dyDescent="0.25">
      <c r="A108" s="512"/>
      <c r="B108" s="446"/>
      <c r="C108" s="446"/>
      <c r="D108" s="513"/>
      <c r="E108" s="514"/>
      <c r="F108" s="515"/>
      <c r="G108" s="516"/>
      <c r="H108" s="517"/>
      <c r="I108" s="517"/>
      <c r="J108" s="517"/>
      <c r="K108" s="517"/>
      <c r="L108" s="517"/>
      <c r="M108" s="517"/>
      <c r="N108" s="517"/>
      <c r="O108" s="446"/>
      <c r="P108" s="446"/>
      <c r="Q108" s="446"/>
      <c r="R108" s="446"/>
      <c r="S108" s="446"/>
      <c r="T108" s="446"/>
      <c r="U108" s="447"/>
      <c r="V108" s="447"/>
    </row>
    <row r="109" spans="1:22" ht="12.75" customHeight="1" x14ac:dyDescent="0.25">
      <c r="A109" s="512"/>
      <c r="B109" s="446"/>
      <c r="C109" s="446"/>
      <c r="D109" s="513"/>
      <c r="E109" s="514"/>
      <c r="F109" s="515"/>
      <c r="G109" s="516"/>
      <c r="H109" s="517"/>
      <c r="I109" s="517"/>
      <c r="J109" s="517"/>
      <c r="K109" s="517"/>
      <c r="L109" s="517"/>
      <c r="M109" s="517"/>
      <c r="N109" s="517"/>
      <c r="O109" s="446"/>
      <c r="P109" s="446"/>
      <c r="Q109" s="446"/>
      <c r="R109" s="446"/>
      <c r="S109" s="446"/>
      <c r="T109" s="446"/>
      <c r="U109" s="447"/>
      <c r="V109" s="447"/>
    </row>
    <row r="110" spans="1:22" ht="12.75" customHeight="1" x14ac:dyDescent="0.25">
      <c r="A110" s="512"/>
      <c r="B110" s="446"/>
      <c r="C110" s="446"/>
      <c r="D110" s="513"/>
      <c r="E110" s="514"/>
      <c r="F110" s="515"/>
      <c r="G110" s="516"/>
      <c r="H110" s="517"/>
      <c r="I110" s="517"/>
      <c r="J110" s="517"/>
      <c r="K110" s="517"/>
      <c r="L110" s="517"/>
      <c r="M110" s="517"/>
      <c r="N110" s="517"/>
      <c r="O110" s="446"/>
      <c r="P110" s="446"/>
      <c r="Q110" s="446"/>
      <c r="R110" s="446"/>
      <c r="S110" s="446"/>
      <c r="T110" s="446"/>
      <c r="U110" s="447"/>
      <c r="V110" s="447"/>
    </row>
    <row r="111" spans="1:22" ht="12.75" customHeight="1" x14ac:dyDescent="0.25">
      <c r="A111" s="512"/>
      <c r="B111" s="446"/>
      <c r="C111" s="446"/>
      <c r="D111" s="513"/>
      <c r="E111" s="514"/>
      <c r="F111" s="515"/>
      <c r="G111" s="516"/>
      <c r="H111" s="517"/>
      <c r="I111" s="517"/>
      <c r="J111" s="517"/>
      <c r="K111" s="517"/>
      <c r="L111" s="517"/>
      <c r="M111" s="517"/>
      <c r="N111" s="517"/>
      <c r="O111" s="446"/>
      <c r="P111" s="446"/>
      <c r="Q111" s="446"/>
      <c r="R111" s="446"/>
      <c r="S111" s="446"/>
      <c r="T111" s="446"/>
      <c r="U111" s="447"/>
      <c r="V111" s="447"/>
    </row>
    <row r="112" spans="1:22" ht="12.75" customHeight="1" x14ac:dyDescent="0.25">
      <c r="A112" s="512"/>
      <c r="B112" s="446"/>
      <c r="C112" s="446"/>
      <c r="D112" s="513"/>
      <c r="E112" s="514"/>
      <c r="F112" s="515"/>
      <c r="G112" s="516"/>
      <c r="H112" s="517"/>
      <c r="I112" s="517"/>
      <c r="J112" s="517"/>
      <c r="K112" s="517"/>
      <c r="L112" s="517"/>
      <c r="M112" s="517"/>
      <c r="N112" s="517"/>
      <c r="O112" s="446"/>
      <c r="P112" s="446"/>
      <c r="Q112" s="446"/>
      <c r="R112" s="446"/>
      <c r="S112" s="446"/>
      <c r="T112" s="446"/>
      <c r="U112" s="447"/>
      <c r="V112" s="447"/>
    </row>
    <row r="113" spans="1:22" ht="12.75" customHeight="1" x14ac:dyDescent="0.25">
      <c r="A113" s="512"/>
      <c r="B113" s="446"/>
      <c r="C113" s="446"/>
      <c r="D113" s="513"/>
      <c r="E113" s="514"/>
      <c r="F113" s="515"/>
      <c r="G113" s="516"/>
      <c r="H113" s="517"/>
      <c r="I113" s="517"/>
      <c r="J113" s="517"/>
      <c r="K113" s="517"/>
      <c r="L113" s="517"/>
      <c r="M113" s="517"/>
      <c r="N113" s="517"/>
      <c r="O113" s="446"/>
      <c r="P113" s="446"/>
      <c r="Q113" s="446"/>
      <c r="R113" s="446"/>
      <c r="S113" s="446"/>
      <c r="T113" s="446"/>
      <c r="U113" s="447"/>
      <c r="V113" s="447"/>
    </row>
    <row r="114" spans="1:22" ht="12.75" customHeight="1" x14ac:dyDescent="0.25">
      <c r="A114" s="512"/>
      <c r="B114" s="446"/>
      <c r="C114" s="446"/>
      <c r="D114" s="513"/>
      <c r="E114" s="514"/>
      <c r="F114" s="515"/>
      <c r="G114" s="516"/>
      <c r="H114" s="517"/>
      <c r="I114" s="517"/>
      <c r="J114" s="517"/>
      <c r="K114" s="517"/>
      <c r="L114" s="517"/>
      <c r="M114" s="517"/>
      <c r="N114" s="517"/>
      <c r="O114" s="446"/>
      <c r="P114" s="446"/>
      <c r="Q114" s="446"/>
      <c r="R114" s="446"/>
      <c r="S114" s="446"/>
      <c r="T114" s="446"/>
      <c r="U114" s="447"/>
      <c r="V114" s="447"/>
    </row>
    <row r="115" spans="1:22" ht="12.75" customHeight="1" x14ac:dyDescent="0.25">
      <c r="A115" s="512"/>
      <c r="B115" s="446"/>
      <c r="C115" s="446"/>
      <c r="D115" s="513"/>
      <c r="E115" s="514"/>
      <c r="F115" s="515"/>
      <c r="G115" s="516"/>
      <c r="H115" s="517"/>
      <c r="I115" s="517"/>
      <c r="J115" s="517"/>
      <c r="K115" s="517"/>
      <c r="L115" s="517"/>
      <c r="M115" s="517"/>
      <c r="N115" s="517"/>
      <c r="O115" s="446"/>
      <c r="P115" s="446"/>
      <c r="Q115" s="446"/>
      <c r="R115" s="446"/>
      <c r="S115" s="446"/>
      <c r="T115" s="446"/>
      <c r="U115" s="447"/>
      <c r="V115" s="447"/>
    </row>
    <row r="116" spans="1:22" ht="12.75" customHeight="1" x14ac:dyDescent="0.25">
      <c r="A116" s="512"/>
      <c r="B116" s="446"/>
      <c r="C116" s="446"/>
      <c r="D116" s="513"/>
      <c r="E116" s="514"/>
      <c r="F116" s="515"/>
      <c r="G116" s="516"/>
      <c r="H116" s="517"/>
      <c r="I116" s="517"/>
      <c r="J116" s="517"/>
      <c r="K116" s="517"/>
      <c r="L116" s="517"/>
      <c r="M116" s="517"/>
      <c r="N116" s="517"/>
      <c r="O116" s="446"/>
      <c r="P116" s="446"/>
      <c r="Q116" s="446"/>
      <c r="R116" s="446"/>
      <c r="S116" s="446"/>
      <c r="T116" s="446"/>
      <c r="U116" s="447"/>
      <c r="V116" s="447"/>
    </row>
    <row r="117" spans="1:22" ht="12.75" customHeight="1" x14ac:dyDescent="0.25">
      <c r="A117" s="512"/>
      <c r="B117" s="446"/>
      <c r="C117" s="446"/>
      <c r="D117" s="513"/>
      <c r="E117" s="514"/>
      <c r="F117" s="515"/>
      <c r="G117" s="516"/>
      <c r="H117" s="517"/>
      <c r="I117" s="517"/>
      <c r="J117" s="517"/>
      <c r="K117" s="517"/>
      <c r="L117" s="517"/>
      <c r="M117" s="517"/>
      <c r="N117" s="517"/>
      <c r="O117" s="446"/>
      <c r="P117" s="446"/>
      <c r="Q117" s="446"/>
      <c r="R117" s="446"/>
      <c r="S117" s="446"/>
      <c r="T117" s="446"/>
      <c r="U117" s="447"/>
      <c r="V117" s="447"/>
    </row>
    <row r="118" spans="1:22" ht="12.75" customHeight="1" x14ac:dyDescent="0.25">
      <c r="A118" s="512"/>
      <c r="B118" s="446"/>
      <c r="C118" s="446"/>
      <c r="D118" s="513"/>
      <c r="E118" s="514"/>
      <c r="F118" s="515"/>
      <c r="G118" s="516"/>
      <c r="H118" s="517"/>
      <c r="I118" s="517"/>
      <c r="J118" s="517"/>
      <c r="K118" s="517"/>
      <c r="L118" s="517"/>
      <c r="M118" s="517"/>
      <c r="N118" s="517"/>
      <c r="O118" s="446"/>
      <c r="P118" s="446"/>
      <c r="Q118" s="446"/>
      <c r="R118" s="446"/>
      <c r="S118" s="446"/>
      <c r="T118" s="446"/>
      <c r="U118" s="447"/>
      <c r="V118" s="447"/>
    </row>
    <row r="119" spans="1:22" ht="12.75" customHeight="1" x14ac:dyDescent="0.25">
      <c r="A119" s="512"/>
      <c r="B119" s="446"/>
      <c r="C119" s="446"/>
      <c r="D119" s="513"/>
      <c r="E119" s="514"/>
      <c r="F119" s="515"/>
      <c r="G119" s="516"/>
      <c r="H119" s="517"/>
      <c r="I119" s="517"/>
      <c r="J119" s="517"/>
      <c r="K119" s="517"/>
      <c r="L119" s="517"/>
      <c r="M119" s="517"/>
      <c r="N119" s="517"/>
      <c r="O119" s="446"/>
      <c r="P119" s="446"/>
      <c r="Q119" s="446"/>
      <c r="R119" s="446"/>
      <c r="S119" s="446"/>
      <c r="T119" s="446"/>
      <c r="U119" s="447"/>
      <c r="V119" s="447"/>
    </row>
    <row r="120" spans="1:22" ht="12.75" customHeight="1" x14ac:dyDescent="0.25">
      <c r="A120" s="512"/>
      <c r="B120" s="446"/>
      <c r="C120" s="446"/>
      <c r="D120" s="513"/>
      <c r="E120" s="514"/>
      <c r="F120" s="515"/>
      <c r="G120" s="516"/>
      <c r="H120" s="517"/>
      <c r="I120" s="517"/>
      <c r="J120" s="517"/>
      <c r="K120" s="517"/>
      <c r="L120" s="517"/>
      <c r="M120" s="517"/>
      <c r="N120" s="517"/>
      <c r="O120" s="446"/>
      <c r="P120" s="446"/>
      <c r="Q120" s="446"/>
      <c r="R120" s="446"/>
      <c r="S120" s="446"/>
      <c r="T120" s="446"/>
      <c r="U120" s="447"/>
      <c r="V120" s="447"/>
    </row>
    <row r="121" spans="1:22" ht="12.75" customHeight="1" x14ac:dyDescent="0.25">
      <c r="A121" s="512"/>
      <c r="B121" s="446"/>
      <c r="C121" s="446"/>
      <c r="D121" s="513"/>
      <c r="E121" s="514"/>
      <c r="F121" s="515"/>
      <c r="G121" s="516"/>
      <c r="H121" s="517"/>
      <c r="I121" s="517"/>
      <c r="J121" s="517"/>
      <c r="K121" s="517"/>
      <c r="L121" s="517"/>
      <c r="M121" s="517"/>
      <c r="N121" s="517"/>
      <c r="O121" s="446"/>
      <c r="P121" s="446"/>
      <c r="Q121" s="446"/>
      <c r="R121" s="446"/>
      <c r="S121" s="446"/>
      <c r="T121" s="446"/>
      <c r="U121" s="447"/>
      <c r="V121" s="447"/>
    </row>
    <row r="122" spans="1:22" ht="12.75" customHeight="1" x14ac:dyDescent="0.25">
      <c r="A122" s="512"/>
      <c r="B122" s="446"/>
      <c r="C122" s="446"/>
      <c r="D122" s="513"/>
      <c r="E122" s="514"/>
      <c r="F122" s="515"/>
      <c r="G122" s="516"/>
      <c r="H122" s="517"/>
      <c r="I122" s="517"/>
      <c r="J122" s="517"/>
      <c r="K122" s="517"/>
      <c r="L122" s="517"/>
      <c r="M122" s="517"/>
      <c r="N122" s="517"/>
      <c r="O122" s="446"/>
      <c r="P122" s="446"/>
      <c r="Q122" s="446"/>
      <c r="R122" s="446"/>
      <c r="S122" s="446"/>
      <c r="T122" s="446"/>
      <c r="U122" s="447"/>
      <c r="V122" s="447"/>
    </row>
    <row r="123" spans="1:22" ht="12.75" customHeight="1" x14ac:dyDescent="0.25">
      <c r="A123" s="512"/>
      <c r="B123" s="446"/>
      <c r="C123" s="446"/>
      <c r="D123" s="513"/>
      <c r="E123" s="514"/>
      <c r="F123" s="515"/>
      <c r="G123" s="516"/>
      <c r="H123" s="517"/>
      <c r="I123" s="517"/>
      <c r="J123" s="517"/>
      <c r="K123" s="517"/>
      <c r="L123" s="517"/>
      <c r="M123" s="517"/>
      <c r="N123" s="517"/>
      <c r="O123" s="446"/>
      <c r="P123" s="446"/>
      <c r="Q123" s="446"/>
      <c r="R123" s="446"/>
      <c r="S123" s="446"/>
      <c r="T123" s="446"/>
      <c r="U123" s="447"/>
      <c r="V123" s="447"/>
    </row>
    <row r="124" spans="1:22" ht="12.75" customHeight="1" x14ac:dyDescent="0.25">
      <c r="A124" s="512"/>
      <c r="B124" s="446"/>
      <c r="C124" s="446"/>
      <c r="D124" s="513"/>
      <c r="E124" s="514"/>
      <c r="F124" s="515"/>
      <c r="G124" s="516"/>
      <c r="H124" s="517"/>
      <c r="I124" s="517"/>
      <c r="J124" s="517"/>
      <c r="K124" s="517"/>
      <c r="L124" s="517"/>
      <c r="M124" s="517"/>
      <c r="N124" s="517"/>
      <c r="O124" s="446"/>
      <c r="P124" s="446"/>
      <c r="Q124" s="446"/>
      <c r="R124" s="446"/>
      <c r="S124" s="446"/>
      <c r="T124" s="446"/>
      <c r="U124" s="447"/>
      <c r="V124" s="447"/>
    </row>
    <row r="125" spans="1:22" ht="12.75" customHeight="1" x14ac:dyDescent="0.25">
      <c r="A125" s="512"/>
      <c r="B125" s="446"/>
      <c r="C125" s="446"/>
      <c r="D125" s="513"/>
      <c r="E125" s="514"/>
      <c r="F125" s="515"/>
      <c r="G125" s="516"/>
      <c r="H125" s="517"/>
      <c r="I125" s="517"/>
      <c r="J125" s="517"/>
      <c r="K125" s="517"/>
      <c r="L125" s="517"/>
      <c r="M125" s="517"/>
      <c r="N125" s="517"/>
      <c r="O125" s="446"/>
      <c r="P125" s="446"/>
      <c r="Q125" s="446"/>
      <c r="R125" s="446"/>
      <c r="S125" s="446"/>
      <c r="T125" s="446"/>
      <c r="U125" s="447"/>
      <c r="V125" s="447"/>
    </row>
    <row r="126" spans="1:22" ht="12.75" customHeight="1" x14ac:dyDescent="0.25">
      <c r="A126" s="512"/>
      <c r="B126" s="446"/>
      <c r="C126" s="446"/>
      <c r="D126" s="513"/>
      <c r="E126" s="514"/>
      <c r="F126" s="515"/>
      <c r="G126" s="516"/>
      <c r="H126" s="517"/>
      <c r="I126" s="517"/>
      <c r="J126" s="517"/>
      <c r="K126" s="517"/>
      <c r="L126" s="517"/>
      <c r="M126" s="517"/>
      <c r="N126" s="517"/>
      <c r="O126" s="446"/>
      <c r="P126" s="446"/>
      <c r="Q126" s="446"/>
      <c r="R126" s="446"/>
      <c r="S126" s="446"/>
      <c r="T126" s="446"/>
      <c r="U126" s="447"/>
      <c r="V126" s="447"/>
    </row>
    <row r="127" spans="1:22" ht="12.75" customHeight="1" x14ac:dyDescent="0.25">
      <c r="A127" s="512"/>
      <c r="B127" s="446"/>
      <c r="C127" s="446"/>
      <c r="D127" s="513"/>
      <c r="E127" s="514"/>
      <c r="F127" s="515"/>
      <c r="G127" s="516"/>
      <c r="H127" s="517"/>
      <c r="I127" s="517"/>
      <c r="J127" s="517"/>
      <c r="K127" s="517"/>
      <c r="L127" s="517"/>
      <c r="M127" s="517"/>
      <c r="N127" s="517"/>
      <c r="O127" s="446"/>
      <c r="P127" s="446"/>
      <c r="Q127" s="446"/>
      <c r="R127" s="446"/>
      <c r="S127" s="446"/>
      <c r="T127" s="446"/>
      <c r="U127" s="447"/>
      <c r="V127" s="447"/>
    </row>
    <row r="128" spans="1:22" ht="12.75" customHeight="1" x14ac:dyDescent="0.25">
      <c r="A128" s="512"/>
      <c r="B128" s="446"/>
      <c r="C128" s="446"/>
      <c r="D128" s="513"/>
      <c r="E128" s="514"/>
      <c r="F128" s="515"/>
      <c r="G128" s="516"/>
      <c r="H128" s="517"/>
      <c r="I128" s="517"/>
      <c r="J128" s="517"/>
      <c r="K128" s="517"/>
      <c r="L128" s="517"/>
      <c r="M128" s="517"/>
      <c r="N128" s="517"/>
      <c r="O128" s="446"/>
      <c r="P128" s="446"/>
      <c r="Q128" s="446"/>
      <c r="R128" s="446"/>
      <c r="S128" s="446"/>
      <c r="T128" s="446"/>
      <c r="U128" s="447"/>
      <c r="V128" s="447"/>
    </row>
    <row r="129" spans="1:22" ht="12.75" customHeight="1" x14ac:dyDescent="0.25">
      <c r="A129" s="512"/>
      <c r="B129" s="446"/>
      <c r="C129" s="446"/>
      <c r="D129" s="513"/>
      <c r="E129" s="514"/>
      <c r="F129" s="515"/>
      <c r="G129" s="516"/>
      <c r="H129" s="517"/>
      <c r="I129" s="517"/>
      <c r="J129" s="517"/>
      <c r="K129" s="517"/>
      <c r="L129" s="517"/>
      <c r="M129" s="517"/>
      <c r="N129" s="517"/>
      <c r="O129" s="446"/>
      <c r="P129" s="446"/>
      <c r="Q129" s="446"/>
      <c r="R129" s="446"/>
      <c r="S129" s="446"/>
      <c r="T129" s="446"/>
      <c r="U129" s="447"/>
      <c r="V129" s="447"/>
    </row>
    <row r="130" spans="1:22" ht="12.75" customHeight="1" x14ac:dyDescent="0.25">
      <c r="A130" s="512"/>
      <c r="B130" s="446"/>
      <c r="C130" s="446"/>
      <c r="D130" s="513"/>
      <c r="E130" s="514"/>
      <c r="F130" s="515"/>
      <c r="G130" s="516"/>
      <c r="H130" s="517"/>
      <c r="I130" s="517"/>
      <c r="J130" s="517"/>
      <c r="K130" s="517"/>
      <c r="L130" s="517"/>
      <c r="M130" s="517"/>
      <c r="N130" s="517"/>
      <c r="O130" s="446"/>
      <c r="P130" s="446"/>
      <c r="Q130" s="446"/>
      <c r="R130" s="446"/>
      <c r="S130" s="446"/>
      <c r="T130" s="446"/>
      <c r="U130" s="447"/>
      <c r="V130" s="447"/>
    </row>
    <row r="131" spans="1:22" ht="12.75" customHeight="1" x14ac:dyDescent="0.25">
      <c r="A131" s="512"/>
      <c r="B131" s="446"/>
      <c r="C131" s="446"/>
      <c r="D131" s="513"/>
      <c r="E131" s="514"/>
      <c r="F131" s="515"/>
      <c r="G131" s="516"/>
      <c r="H131" s="517"/>
      <c r="I131" s="517"/>
      <c r="J131" s="517"/>
      <c r="K131" s="517"/>
      <c r="L131" s="517"/>
      <c r="M131" s="517"/>
      <c r="N131" s="517"/>
      <c r="O131" s="446"/>
      <c r="P131" s="446"/>
      <c r="Q131" s="446"/>
      <c r="R131" s="446"/>
      <c r="S131" s="446"/>
      <c r="T131" s="446"/>
      <c r="U131" s="447"/>
      <c r="V131" s="447"/>
    </row>
    <row r="132" spans="1:22" ht="12.75" customHeight="1" x14ac:dyDescent="0.25">
      <c r="A132" s="512"/>
      <c r="B132" s="446"/>
      <c r="C132" s="446"/>
      <c r="D132" s="513"/>
      <c r="E132" s="514"/>
      <c r="F132" s="515"/>
      <c r="G132" s="516"/>
      <c r="H132" s="517"/>
      <c r="I132" s="517"/>
      <c r="J132" s="517"/>
      <c r="K132" s="517"/>
      <c r="L132" s="517"/>
      <c r="M132" s="517"/>
      <c r="N132" s="517"/>
      <c r="O132" s="446"/>
      <c r="P132" s="446"/>
      <c r="Q132" s="446"/>
      <c r="R132" s="446"/>
      <c r="S132" s="446"/>
      <c r="T132" s="446"/>
      <c r="U132" s="447"/>
      <c r="V132" s="447"/>
    </row>
    <row r="133" spans="1:22" ht="12.75" customHeight="1" x14ac:dyDescent="0.25">
      <c r="A133" s="512"/>
      <c r="B133" s="446"/>
      <c r="C133" s="446"/>
      <c r="D133" s="513"/>
      <c r="E133" s="514"/>
      <c r="F133" s="515"/>
      <c r="G133" s="516"/>
      <c r="H133" s="517"/>
      <c r="I133" s="517"/>
      <c r="J133" s="517"/>
      <c r="K133" s="517"/>
      <c r="L133" s="517"/>
      <c r="M133" s="517"/>
      <c r="N133" s="517"/>
      <c r="O133" s="446"/>
      <c r="P133" s="446"/>
      <c r="Q133" s="446"/>
      <c r="R133" s="446"/>
      <c r="S133" s="446"/>
      <c r="T133" s="446"/>
      <c r="U133" s="447"/>
      <c r="V133" s="447"/>
    </row>
    <row r="134" spans="1:22" ht="12.75" customHeight="1" x14ac:dyDescent="0.25">
      <c r="A134" s="512"/>
      <c r="B134" s="446"/>
      <c r="C134" s="446"/>
      <c r="D134" s="513"/>
      <c r="E134" s="514"/>
      <c r="F134" s="515"/>
      <c r="G134" s="516"/>
      <c r="H134" s="517"/>
      <c r="I134" s="517"/>
      <c r="J134" s="517"/>
      <c r="K134" s="517"/>
      <c r="L134" s="517"/>
      <c r="M134" s="517"/>
      <c r="N134" s="517"/>
      <c r="O134" s="446"/>
      <c r="P134" s="446"/>
      <c r="Q134" s="446"/>
      <c r="R134" s="446"/>
      <c r="S134" s="446"/>
      <c r="T134" s="446"/>
      <c r="U134" s="447"/>
      <c r="V134" s="447"/>
    </row>
    <row r="135" spans="1:22" ht="12.75" customHeight="1" x14ac:dyDescent="0.25">
      <c r="A135" s="512"/>
      <c r="B135" s="446"/>
      <c r="C135" s="446"/>
      <c r="D135" s="513"/>
      <c r="E135" s="514"/>
      <c r="F135" s="515"/>
      <c r="G135" s="516"/>
      <c r="H135" s="517"/>
      <c r="I135" s="517"/>
      <c r="J135" s="517"/>
      <c r="K135" s="517"/>
      <c r="L135" s="517"/>
      <c r="M135" s="517"/>
      <c r="N135" s="517"/>
      <c r="O135" s="446"/>
      <c r="P135" s="446"/>
      <c r="Q135" s="446"/>
      <c r="R135" s="446"/>
      <c r="S135" s="446"/>
      <c r="T135" s="446"/>
      <c r="U135" s="447"/>
      <c r="V135" s="447"/>
    </row>
    <row r="136" spans="1:22" ht="12.75" customHeight="1" x14ac:dyDescent="0.25">
      <c r="A136" s="512"/>
      <c r="B136" s="446"/>
      <c r="C136" s="446"/>
      <c r="D136" s="513"/>
      <c r="E136" s="514"/>
      <c r="F136" s="515"/>
      <c r="G136" s="516"/>
      <c r="H136" s="517"/>
      <c r="I136" s="517"/>
      <c r="J136" s="517"/>
      <c r="K136" s="517"/>
      <c r="L136" s="517"/>
      <c r="M136" s="517"/>
      <c r="N136" s="517"/>
      <c r="O136" s="446"/>
      <c r="P136" s="446"/>
      <c r="Q136" s="446"/>
      <c r="R136" s="446"/>
      <c r="S136" s="446"/>
      <c r="T136" s="446"/>
      <c r="U136" s="447"/>
      <c r="V136" s="447"/>
    </row>
    <row r="137" spans="1:22" ht="12.75" customHeight="1" x14ac:dyDescent="0.25">
      <c r="A137" s="512"/>
      <c r="B137" s="446"/>
      <c r="C137" s="446"/>
      <c r="D137" s="513"/>
      <c r="E137" s="514"/>
      <c r="F137" s="515"/>
      <c r="G137" s="516"/>
      <c r="H137" s="517"/>
      <c r="I137" s="517"/>
      <c r="J137" s="517"/>
      <c r="K137" s="517"/>
      <c r="L137" s="517"/>
      <c r="M137" s="517"/>
      <c r="N137" s="517"/>
      <c r="O137" s="446"/>
      <c r="P137" s="446"/>
      <c r="Q137" s="446"/>
      <c r="R137" s="446"/>
      <c r="S137" s="446"/>
      <c r="T137" s="446"/>
      <c r="U137" s="447"/>
      <c r="V137" s="447"/>
    </row>
    <row r="138" spans="1:22" ht="12.75" customHeight="1" x14ac:dyDescent="0.25">
      <c r="A138" s="512"/>
      <c r="B138" s="446"/>
      <c r="C138" s="446"/>
      <c r="D138" s="513"/>
      <c r="E138" s="514"/>
      <c r="F138" s="515"/>
      <c r="G138" s="516"/>
      <c r="H138" s="517"/>
      <c r="I138" s="517"/>
      <c r="J138" s="517"/>
      <c r="K138" s="517"/>
      <c r="L138" s="517"/>
      <c r="M138" s="517"/>
      <c r="N138" s="517"/>
      <c r="O138" s="446"/>
      <c r="P138" s="446"/>
      <c r="Q138" s="446"/>
      <c r="R138" s="446"/>
      <c r="S138" s="446"/>
      <c r="T138" s="446"/>
      <c r="U138" s="447"/>
      <c r="V138" s="447"/>
    </row>
    <row r="139" spans="1:22" ht="12.75" customHeight="1" x14ac:dyDescent="0.25">
      <c r="A139" s="512"/>
      <c r="B139" s="446"/>
      <c r="C139" s="446"/>
      <c r="D139" s="513"/>
      <c r="E139" s="514"/>
      <c r="F139" s="515"/>
      <c r="G139" s="516"/>
      <c r="H139" s="517"/>
      <c r="I139" s="517"/>
      <c r="J139" s="517"/>
      <c r="K139" s="517"/>
      <c r="L139" s="517"/>
      <c r="M139" s="517"/>
      <c r="N139" s="517"/>
      <c r="O139" s="446"/>
      <c r="P139" s="446"/>
      <c r="Q139" s="446"/>
      <c r="R139" s="446"/>
      <c r="S139" s="446"/>
      <c r="T139" s="446"/>
      <c r="U139" s="447"/>
      <c r="V139" s="447"/>
    </row>
    <row r="140" spans="1:22" ht="12.75" customHeight="1" x14ac:dyDescent="0.25">
      <c r="A140" s="512"/>
      <c r="B140" s="446"/>
      <c r="C140" s="446"/>
      <c r="D140" s="513"/>
      <c r="E140" s="514"/>
      <c r="F140" s="515"/>
      <c r="G140" s="516"/>
      <c r="H140" s="517"/>
      <c r="I140" s="517"/>
      <c r="J140" s="517"/>
      <c r="K140" s="517"/>
      <c r="L140" s="517"/>
      <c r="M140" s="517"/>
      <c r="N140" s="517"/>
      <c r="O140" s="446"/>
      <c r="P140" s="446"/>
      <c r="Q140" s="446"/>
      <c r="R140" s="446"/>
      <c r="S140" s="446"/>
      <c r="T140" s="446"/>
      <c r="U140" s="447"/>
      <c r="V140" s="447"/>
    </row>
    <row r="141" spans="1:22" ht="12.75" customHeight="1" x14ac:dyDescent="0.25">
      <c r="A141" s="512"/>
      <c r="B141" s="446"/>
      <c r="C141" s="446"/>
      <c r="D141" s="513"/>
      <c r="E141" s="514"/>
      <c r="F141" s="515"/>
      <c r="G141" s="516"/>
      <c r="H141" s="517"/>
      <c r="I141" s="517"/>
      <c r="J141" s="517"/>
      <c r="K141" s="517"/>
      <c r="L141" s="517"/>
      <c r="M141" s="517"/>
      <c r="N141" s="517"/>
      <c r="O141" s="446"/>
      <c r="P141" s="446"/>
      <c r="Q141" s="446"/>
      <c r="R141" s="446"/>
      <c r="S141" s="446"/>
      <c r="T141" s="446"/>
      <c r="U141" s="447"/>
      <c r="V141" s="447"/>
    </row>
    <row r="142" spans="1:22" ht="12.75" customHeight="1" x14ac:dyDescent="0.25">
      <c r="A142" s="512"/>
      <c r="B142" s="446"/>
      <c r="C142" s="446"/>
      <c r="D142" s="513"/>
      <c r="E142" s="514"/>
      <c r="F142" s="515"/>
      <c r="G142" s="516"/>
      <c r="H142" s="517"/>
      <c r="I142" s="517"/>
      <c r="J142" s="517"/>
      <c r="K142" s="517"/>
      <c r="L142" s="517"/>
      <c r="M142" s="517"/>
      <c r="N142" s="517"/>
      <c r="O142" s="446"/>
      <c r="P142" s="446"/>
      <c r="Q142" s="446"/>
      <c r="R142" s="446"/>
      <c r="S142" s="446"/>
      <c r="T142" s="446"/>
      <c r="U142" s="447"/>
      <c r="V142" s="447"/>
    </row>
    <row r="143" spans="1:22" ht="12.75" customHeight="1" x14ac:dyDescent="0.25">
      <c r="A143" s="512"/>
      <c r="B143" s="446"/>
      <c r="C143" s="446"/>
      <c r="D143" s="513"/>
      <c r="E143" s="514"/>
      <c r="F143" s="515"/>
      <c r="G143" s="516"/>
      <c r="H143" s="517"/>
      <c r="I143" s="517"/>
      <c r="J143" s="517"/>
      <c r="K143" s="517"/>
      <c r="L143" s="517"/>
      <c r="M143" s="517"/>
      <c r="N143" s="517"/>
      <c r="O143" s="446"/>
      <c r="P143" s="446"/>
      <c r="Q143" s="446"/>
      <c r="R143" s="446"/>
      <c r="S143" s="446"/>
      <c r="T143" s="446"/>
      <c r="U143" s="447"/>
      <c r="V143" s="447"/>
    </row>
    <row r="144" spans="1:22" ht="12.75" customHeight="1" x14ac:dyDescent="0.25">
      <c r="A144" s="512"/>
      <c r="B144" s="446"/>
      <c r="C144" s="446"/>
      <c r="D144" s="513"/>
      <c r="E144" s="514"/>
      <c r="F144" s="515"/>
      <c r="G144" s="516"/>
      <c r="H144" s="517"/>
      <c r="I144" s="517"/>
      <c r="J144" s="517"/>
      <c r="K144" s="517"/>
      <c r="L144" s="517"/>
      <c r="M144" s="517"/>
      <c r="N144" s="517"/>
      <c r="O144" s="446"/>
      <c r="P144" s="446"/>
      <c r="Q144" s="446"/>
      <c r="R144" s="446"/>
      <c r="S144" s="446"/>
      <c r="T144" s="446"/>
      <c r="U144" s="447"/>
      <c r="V144" s="447"/>
    </row>
    <row r="145" spans="1:22" ht="12.75" customHeight="1" x14ac:dyDescent="0.25">
      <c r="A145" s="512"/>
      <c r="B145" s="446"/>
      <c r="C145" s="446"/>
      <c r="D145" s="513"/>
      <c r="E145" s="514"/>
      <c r="F145" s="515"/>
      <c r="G145" s="516"/>
      <c r="H145" s="517"/>
      <c r="I145" s="517"/>
      <c r="J145" s="517"/>
      <c r="K145" s="517"/>
      <c r="L145" s="517"/>
      <c r="M145" s="517"/>
      <c r="N145" s="517"/>
      <c r="O145" s="446"/>
      <c r="P145" s="446"/>
      <c r="Q145" s="446"/>
      <c r="R145" s="446"/>
      <c r="S145" s="446"/>
      <c r="T145" s="446"/>
      <c r="U145" s="447"/>
      <c r="V145" s="447"/>
    </row>
    <row r="146" spans="1:22" ht="12.75" customHeight="1" x14ac:dyDescent="0.25">
      <c r="A146" s="512"/>
      <c r="B146" s="446"/>
      <c r="C146" s="446"/>
      <c r="D146" s="513"/>
      <c r="E146" s="514"/>
      <c r="F146" s="515"/>
      <c r="G146" s="516"/>
      <c r="H146" s="517"/>
      <c r="I146" s="517"/>
      <c r="J146" s="517"/>
      <c r="K146" s="517"/>
      <c r="L146" s="517"/>
      <c r="M146" s="517"/>
      <c r="N146" s="517"/>
      <c r="O146" s="446"/>
      <c r="P146" s="446"/>
      <c r="Q146" s="446"/>
      <c r="R146" s="446"/>
      <c r="S146" s="446"/>
      <c r="T146" s="446"/>
      <c r="U146" s="447"/>
      <c r="V146" s="447"/>
    </row>
    <row r="147" spans="1:22" ht="12.75" customHeight="1" x14ac:dyDescent="0.25">
      <c r="A147" s="512"/>
      <c r="B147" s="446"/>
      <c r="C147" s="446"/>
      <c r="D147" s="513"/>
      <c r="E147" s="514"/>
      <c r="F147" s="515"/>
      <c r="G147" s="516"/>
      <c r="H147" s="517"/>
      <c r="I147" s="517"/>
      <c r="J147" s="517"/>
      <c r="K147" s="517"/>
      <c r="L147" s="517"/>
      <c r="M147" s="517"/>
      <c r="N147" s="517"/>
      <c r="O147" s="446"/>
      <c r="P147" s="446"/>
      <c r="Q147" s="446"/>
      <c r="R147" s="446"/>
      <c r="S147" s="446"/>
      <c r="T147" s="446"/>
      <c r="U147" s="447"/>
      <c r="V147" s="447"/>
    </row>
    <row r="148" spans="1:22" ht="12.75" customHeight="1" x14ac:dyDescent="0.25">
      <c r="A148" s="512"/>
      <c r="B148" s="446"/>
      <c r="C148" s="446"/>
      <c r="D148" s="513"/>
      <c r="E148" s="514"/>
      <c r="F148" s="515"/>
      <c r="G148" s="516"/>
      <c r="H148" s="517"/>
      <c r="I148" s="517"/>
      <c r="J148" s="517"/>
      <c r="K148" s="517"/>
      <c r="L148" s="517"/>
      <c r="M148" s="517"/>
      <c r="N148" s="517"/>
      <c r="O148" s="446"/>
      <c r="P148" s="446"/>
      <c r="Q148" s="446"/>
      <c r="R148" s="446"/>
      <c r="S148" s="446"/>
      <c r="T148" s="446"/>
      <c r="U148" s="447"/>
      <c r="V148" s="447"/>
    </row>
    <row r="149" spans="1:22" ht="12.75" customHeight="1" x14ac:dyDescent="0.25">
      <c r="A149" s="512"/>
      <c r="B149" s="446"/>
      <c r="C149" s="446"/>
      <c r="D149" s="513"/>
      <c r="E149" s="514"/>
      <c r="F149" s="515"/>
      <c r="G149" s="516"/>
      <c r="H149" s="517"/>
      <c r="I149" s="517"/>
      <c r="J149" s="517"/>
      <c r="K149" s="517"/>
      <c r="L149" s="517"/>
      <c r="M149" s="517"/>
      <c r="N149" s="517"/>
      <c r="O149" s="446"/>
      <c r="P149" s="446"/>
      <c r="Q149" s="446"/>
      <c r="R149" s="446"/>
      <c r="S149" s="446"/>
      <c r="T149" s="446"/>
      <c r="U149" s="447"/>
      <c r="V149" s="447"/>
    </row>
    <row r="150" spans="1:22" ht="12.75" customHeight="1" x14ac:dyDescent="0.25">
      <c r="A150" s="512"/>
      <c r="B150" s="446"/>
      <c r="C150" s="446"/>
      <c r="D150" s="513"/>
      <c r="E150" s="514"/>
      <c r="F150" s="515"/>
      <c r="G150" s="516"/>
      <c r="H150" s="517"/>
      <c r="I150" s="517"/>
      <c r="J150" s="517"/>
      <c r="K150" s="517"/>
      <c r="L150" s="517"/>
      <c r="M150" s="517"/>
      <c r="N150" s="517"/>
      <c r="O150" s="446"/>
      <c r="P150" s="446"/>
      <c r="Q150" s="446"/>
      <c r="R150" s="446"/>
      <c r="S150" s="446"/>
      <c r="T150" s="446"/>
      <c r="U150" s="447"/>
      <c r="V150" s="447"/>
    </row>
    <row r="151" spans="1:22" ht="12.75" customHeight="1" x14ac:dyDescent="0.25">
      <c r="A151" s="512"/>
      <c r="B151" s="446"/>
      <c r="C151" s="446"/>
      <c r="D151" s="513"/>
      <c r="E151" s="514"/>
      <c r="F151" s="515"/>
      <c r="G151" s="516"/>
      <c r="H151" s="517"/>
      <c r="I151" s="517"/>
      <c r="J151" s="517"/>
      <c r="K151" s="517"/>
      <c r="L151" s="517"/>
      <c r="M151" s="517"/>
      <c r="N151" s="517"/>
      <c r="O151" s="446"/>
      <c r="P151" s="446"/>
      <c r="Q151" s="446"/>
      <c r="R151" s="446"/>
      <c r="S151" s="446"/>
      <c r="T151" s="446"/>
      <c r="U151" s="447"/>
      <c r="V151" s="447"/>
    </row>
    <row r="152" spans="1:22" ht="12.75" customHeight="1" x14ac:dyDescent="0.25">
      <c r="A152" s="512"/>
      <c r="B152" s="446"/>
      <c r="C152" s="446"/>
      <c r="D152" s="513"/>
      <c r="E152" s="514"/>
      <c r="F152" s="515"/>
      <c r="G152" s="516"/>
      <c r="H152" s="517"/>
      <c r="I152" s="517"/>
      <c r="J152" s="517"/>
      <c r="K152" s="517"/>
      <c r="L152" s="517"/>
      <c r="M152" s="517"/>
      <c r="N152" s="517"/>
      <c r="O152" s="446"/>
      <c r="P152" s="446"/>
      <c r="Q152" s="446"/>
      <c r="R152" s="446"/>
      <c r="S152" s="446"/>
      <c r="T152" s="446"/>
      <c r="U152" s="447"/>
      <c r="V152" s="447"/>
    </row>
    <row r="153" spans="1:22" ht="12.75" customHeight="1" x14ac:dyDescent="0.25">
      <c r="A153" s="512"/>
      <c r="B153" s="446"/>
      <c r="C153" s="446"/>
      <c r="D153" s="513"/>
      <c r="E153" s="514"/>
      <c r="F153" s="515"/>
      <c r="G153" s="516"/>
      <c r="H153" s="517"/>
      <c r="I153" s="517"/>
      <c r="J153" s="517"/>
      <c r="K153" s="517"/>
      <c r="L153" s="517"/>
      <c r="M153" s="517"/>
      <c r="N153" s="517"/>
      <c r="O153" s="446"/>
      <c r="P153" s="446"/>
      <c r="Q153" s="446"/>
      <c r="R153" s="446"/>
      <c r="S153" s="446"/>
      <c r="T153" s="446"/>
      <c r="U153" s="447"/>
      <c r="V153" s="447"/>
    </row>
    <row r="154" spans="1:22" ht="12.75" customHeight="1" x14ac:dyDescent="0.25">
      <c r="A154" s="512"/>
      <c r="B154" s="446"/>
      <c r="C154" s="446"/>
      <c r="D154" s="513"/>
      <c r="E154" s="514"/>
      <c r="F154" s="515"/>
      <c r="G154" s="516"/>
      <c r="H154" s="517"/>
      <c r="I154" s="517"/>
      <c r="J154" s="517"/>
      <c r="K154" s="517"/>
      <c r="L154" s="517"/>
      <c r="M154" s="517"/>
      <c r="N154" s="517"/>
      <c r="O154" s="446"/>
      <c r="P154" s="446"/>
      <c r="Q154" s="446"/>
      <c r="R154" s="446"/>
      <c r="S154" s="446"/>
      <c r="T154" s="446"/>
      <c r="U154" s="447"/>
      <c r="V154" s="447"/>
    </row>
    <row r="155" spans="1:22" ht="12.75" customHeight="1" x14ac:dyDescent="0.25">
      <c r="A155" s="512"/>
      <c r="B155" s="446"/>
      <c r="C155" s="446"/>
      <c r="D155" s="513"/>
      <c r="E155" s="514"/>
      <c r="F155" s="515"/>
      <c r="G155" s="516"/>
      <c r="H155" s="517"/>
      <c r="I155" s="517"/>
      <c r="J155" s="517"/>
      <c r="K155" s="517"/>
      <c r="L155" s="517"/>
      <c r="M155" s="517"/>
      <c r="N155" s="517"/>
      <c r="O155" s="446"/>
      <c r="P155" s="446"/>
      <c r="Q155" s="446"/>
      <c r="R155" s="446"/>
      <c r="S155" s="446"/>
      <c r="T155" s="446"/>
      <c r="U155" s="447"/>
      <c r="V155" s="447"/>
    </row>
    <row r="156" spans="1:22" ht="12.75" customHeight="1" x14ac:dyDescent="0.25">
      <c r="A156" s="512"/>
      <c r="B156" s="446"/>
      <c r="C156" s="446"/>
      <c r="D156" s="513"/>
      <c r="E156" s="514"/>
      <c r="F156" s="515"/>
      <c r="G156" s="516"/>
      <c r="H156" s="517"/>
      <c r="I156" s="517"/>
      <c r="J156" s="517"/>
      <c r="K156" s="517"/>
      <c r="L156" s="517"/>
      <c r="M156" s="517"/>
      <c r="N156" s="517"/>
      <c r="O156" s="446"/>
      <c r="P156" s="446"/>
      <c r="Q156" s="446"/>
      <c r="R156" s="446"/>
      <c r="S156" s="446"/>
      <c r="T156" s="446"/>
      <c r="U156" s="447"/>
      <c r="V156" s="447"/>
    </row>
    <row r="157" spans="1:22" ht="12.75" customHeight="1" x14ac:dyDescent="0.25">
      <c r="A157" s="512"/>
      <c r="B157" s="446"/>
      <c r="C157" s="446"/>
      <c r="D157" s="513"/>
      <c r="E157" s="514"/>
      <c r="F157" s="515"/>
      <c r="G157" s="516"/>
      <c r="H157" s="517"/>
      <c r="I157" s="517"/>
      <c r="J157" s="517"/>
      <c r="K157" s="517"/>
      <c r="L157" s="517"/>
      <c r="M157" s="517"/>
      <c r="N157" s="517"/>
      <c r="O157" s="446"/>
      <c r="P157" s="446"/>
      <c r="Q157" s="446"/>
      <c r="R157" s="446"/>
      <c r="S157" s="446"/>
      <c r="T157" s="446"/>
      <c r="U157" s="447"/>
      <c r="V157" s="447"/>
    </row>
    <row r="158" spans="1:22" ht="12.75" customHeight="1" x14ac:dyDescent="0.25">
      <c r="A158" s="512"/>
      <c r="B158" s="446"/>
      <c r="C158" s="446"/>
      <c r="D158" s="513"/>
      <c r="E158" s="514"/>
      <c r="F158" s="515"/>
      <c r="G158" s="516"/>
      <c r="H158" s="517"/>
      <c r="I158" s="517"/>
      <c r="J158" s="517"/>
      <c r="K158" s="517"/>
      <c r="L158" s="517"/>
      <c r="M158" s="517"/>
      <c r="N158" s="517"/>
      <c r="O158" s="446"/>
      <c r="P158" s="446"/>
      <c r="Q158" s="446"/>
      <c r="R158" s="446"/>
      <c r="S158" s="446"/>
      <c r="T158" s="446"/>
      <c r="U158" s="447"/>
      <c r="V158" s="447"/>
    </row>
    <row r="159" spans="1:22" ht="12.75" customHeight="1" x14ac:dyDescent="0.25">
      <c r="A159" s="512"/>
      <c r="B159" s="446"/>
      <c r="C159" s="446"/>
      <c r="D159" s="513"/>
      <c r="E159" s="514"/>
      <c r="F159" s="515"/>
      <c r="G159" s="516"/>
      <c r="H159" s="517"/>
      <c r="I159" s="517"/>
      <c r="J159" s="517"/>
      <c r="K159" s="517"/>
      <c r="L159" s="517"/>
      <c r="M159" s="517"/>
      <c r="N159" s="517"/>
      <c r="O159" s="446"/>
      <c r="P159" s="446"/>
      <c r="Q159" s="446"/>
      <c r="R159" s="446"/>
      <c r="S159" s="446"/>
      <c r="T159" s="446"/>
      <c r="U159" s="447"/>
      <c r="V159" s="447"/>
    </row>
    <row r="160" spans="1:22" ht="12.75" customHeight="1" x14ac:dyDescent="0.25">
      <c r="A160" s="512"/>
      <c r="B160" s="446"/>
      <c r="C160" s="446"/>
      <c r="D160" s="513"/>
      <c r="E160" s="514"/>
      <c r="F160" s="515"/>
      <c r="G160" s="516"/>
      <c r="H160" s="517"/>
      <c r="I160" s="517"/>
      <c r="J160" s="517"/>
      <c r="K160" s="517"/>
      <c r="L160" s="517"/>
      <c r="M160" s="517"/>
      <c r="N160" s="517"/>
      <c r="O160" s="446"/>
      <c r="P160" s="446"/>
      <c r="Q160" s="446"/>
      <c r="R160" s="446"/>
      <c r="S160" s="446"/>
      <c r="T160" s="446"/>
      <c r="U160" s="447"/>
      <c r="V160" s="447"/>
    </row>
    <row r="161" spans="1:22" ht="12.75" customHeight="1" x14ac:dyDescent="0.25">
      <c r="A161" s="512"/>
      <c r="B161" s="446"/>
      <c r="C161" s="446"/>
      <c r="D161" s="513"/>
      <c r="E161" s="514"/>
      <c r="F161" s="515"/>
      <c r="G161" s="516"/>
      <c r="H161" s="517"/>
      <c r="I161" s="517"/>
      <c r="J161" s="517"/>
      <c r="K161" s="517"/>
      <c r="L161" s="517"/>
      <c r="M161" s="517"/>
      <c r="N161" s="517"/>
      <c r="O161" s="446"/>
      <c r="P161" s="446"/>
      <c r="Q161" s="446"/>
      <c r="R161" s="446"/>
      <c r="S161" s="446"/>
      <c r="T161" s="446"/>
      <c r="U161" s="447"/>
      <c r="V161" s="447"/>
    </row>
    <row r="162" spans="1:22" ht="12.75" customHeight="1" x14ac:dyDescent="0.25">
      <c r="A162" s="512"/>
      <c r="B162" s="446"/>
      <c r="C162" s="446"/>
      <c r="D162" s="513"/>
      <c r="E162" s="514"/>
      <c r="F162" s="515"/>
      <c r="G162" s="516"/>
      <c r="H162" s="517"/>
      <c r="I162" s="517"/>
      <c r="J162" s="517"/>
      <c r="K162" s="517"/>
      <c r="L162" s="517"/>
      <c r="M162" s="517"/>
      <c r="N162" s="517"/>
      <c r="O162" s="446"/>
      <c r="P162" s="446"/>
      <c r="Q162" s="446"/>
      <c r="R162" s="446"/>
      <c r="S162" s="446"/>
      <c r="T162" s="446"/>
      <c r="U162" s="447"/>
      <c r="V162" s="447"/>
    </row>
    <row r="163" spans="1:22" ht="12.75" customHeight="1" x14ac:dyDescent="0.25">
      <c r="A163" s="512"/>
      <c r="B163" s="446"/>
      <c r="C163" s="446"/>
      <c r="D163" s="513"/>
      <c r="E163" s="514"/>
      <c r="F163" s="515"/>
      <c r="G163" s="516"/>
      <c r="H163" s="517"/>
      <c r="I163" s="517"/>
      <c r="J163" s="517"/>
      <c r="K163" s="517"/>
      <c r="L163" s="517"/>
      <c r="M163" s="517"/>
      <c r="N163" s="517"/>
      <c r="O163" s="446"/>
      <c r="P163" s="446"/>
      <c r="Q163" s="446"/>
      <c r="R163" s="446"/>
      <c r="S163" s="446"/>
      <c r="T163" s="446"/>
      <c r="U163" s="447"/>
      <c r="V163" s="447"/>
    </row>
    <row r="164" spans="1:22" ht="12.75" customHeight="1" x14ac:dyDescent="0.25">
      <c r="A164" s="512"/>
      <c r="B164" s="446"/>
      <c r="C164" s="446"/>
      <c r="D164" s="513"/>
      <c r="E164" s="514"/>
      <c r="F164" s="515"/>
      <c r="G164" s="516"/>
      <c r="H164" s="517"/>
      <c r="I164" s="517"/>
      <c r="J164" s="517"/>
      <c r="K164" s="517"/>
      <c r="L164" s="517"/>
      <c r="M164" s="517"/>
      <c r="N164" s="517"/>
      <c r="O164" s="446"/>
      <c r="P164" s="446"/>
      <c r="Q164" s="446"/>
      <c r="R164" s="446"/>
      <c r="S164" s="446"/>
      <c r="T164" s="446"/>
      <c r="U164" s="447"/>
      <c r="V164" s="447"/>
    </row>
    <row r="165" spans="1:22" ht="12.75" customHeight="1" x14ac:dyDescent="0.25">
      <c r="A165" s="512"/>
      <c r="B165" s="446"/>
      <c r="C165" s="446"/>
      <c r="D165" s="513"/>
      <c r="E165" s="514"/>
      <c r="F165" s="515"/>
      <c r="G165" s="516"/>
      <c r="H165" s="517"/>
      <c r="I165" s="517"/>
      <c r="J165" s="517"/>
      <c r="K165" s="517"/>
      <c r="L165" s="517"/>
      <c r="M165" s="517"/>
      <c r="N165" s="517"/>
      <c r="O165" s="446"/>
      <c r="P165" s="446"/>
      <c r="Q165" s="446"/>
      <c r="R165" s="446"/>
      <c r="S165" s="446"/>
      <c r="T165" s="446"/>
      <c r="U165" s="447"/>
      <c r="V165" s="447"/>
    </row>
    <row r="166" spans="1:22" ht="12.75" customHeight="1" x14ac:dyDescent="0.25">
      <c r="A166" s="512"/>
      <c r="B166" s="446"/>
      <c r="C166" s="446"/>
      <c r="D166" s="513"/>
      <c r="E166" s="514"/>
      <c r="F166" s="515"/>
      <c r="G166" s="516"/>
      <c r="H166" s="517"/>
      <c r="I166" s="517"/>
      <c r="J166" s="517"/>
      <c r="K166" s="517"/>
      <c r="L166" s="517"/>
      <c r="M166" s="517"/>
      <c r="N166" s="517"/>
      <c r="O166" s="446"/>
      <c r="P166" s="446"/>
      <c r="Q166" s="446"/>
      <c r="R166" s="446"/>
      <c r="S166" s="446"/>
      <c r="T166" s="446"/>
      <c r="U166" s="447"/>
      <c r="V166" s="447"/>
    </row>
    <row r="167" spans="1:22" ht="12.75" customHeight="1" x14ac:dyDescent="0.25">
      <c r="A167" s="512"/>
      <c r="B167" s="446"/>
      <c r="C167" s="446"/>
      <c r="D167" s="513"/>
      <c r="E167" s="514"/>
      <c r="F167" s="515"/>
      <c r="G167" s="516"/>
      <c r="H167" s="517"/>
      <c r="I167" s="517"/>
      <c r="J167" s="517"/>
      <c r="K167" s="517"/>
      <c r="L167" s="517"/>
      <c r="M167" s="517"/>
      <c r="N167" s="517"/>
      <c r="O167" s="446"/>
      <c r="P167" s="446"/>
      <c r="Q167" s="446"/>
      <c r="R167" s="446"/>
      <c r="S167" s="446"/>
      <c r="T167" s="446"/>
      <c r="U167" s="447"/>
      <c r="V167" s="447"/>
    </row>
    <row r="168" spans="1:22" ht="12.75" customHeight="1" x14ac:dyDescent="0.25">
      <c r="A168" s="512"/>
      <c r="B168" s="446"/>
      <c r="C168" s="446"/>
      <c r="D168" s="513"/>
      <c r="E168" s="514"/>
      <c r="F168" s="515"/>
      <c r="G168" s="516"/>
      <c r="H168" s="517"/>
      <c r="I168" s="517"/>
      <c r="J168" s="517"/>
      <c r="K168" s="517"/>
      <c r="L168" s="517"/>
      <c r="M168" s="517"/>
      <c r="N168" s="517"/>
      <c r="O168" s="446"/>
      <c r="P168" s="446"/>
      <c r="Q168" s="446"/>
      <c r="R168" s="446"/>
      <c r="S168" s="446"/>
      <c r="T168" s="446"/>
      <c r="U168" s="447"/>
      <c r="V168" s="447"/>
    </row>
    <row r="169" spans="1:22" ht="12.75" customHeight="1" x14ac:dyDescent="0.25">
      <c r="A169" s="512"/>
      <c r="B169" s="446"/>
      <c r="C169" s="446"/>
      <c r="D169" s="513"/>
      <c r="E169" s="514"/>
      <c r="F169" s="515"/>
      <c r="G169" s="516"/>
      <c r="H169" s="517"/>
      <c r="I169" s="517"/>
      <c r="J169" s="517"/>
      <c r="K169" s="517"/>
      <c r="L169" s="517"/>
      <c r="M169" s="517"/>
      <c r="N169" s="517"/>
      <c r="O169" s="446"/>
      <c r="P169" s="446"/>
      <c r="Q169" s="446"/>
      <c r="R169" s="446"/>
      <c r="S169" s="446"/>
      <c r="T169" s="446"/>
      <c r="U169" s="447"/>
      <c r="V169" s="447"/>
    </row>
    <row r="170" spans="1:22" ht="12.75" customHeight="1" x14ac:dyDescent="0.25">
      <c r="A170" s="512"/>
      <c r="B170" s="446"/>
      <c r="C170" s="446"/>
      <c r="D170" s="513"/>
      <c r="E170" s="514"/>
      <c r="F170" s="515"/>
      <c r="G170" s="516"/>
      <c r="H170" s="517"/>
      <c r="I170" s="517"/>
      <c r="J170" s="517"/>
      <c r="K170" s="517"/>
      <c r="L170" s="517"/>
      <c r="M170" s="517"/>
      <c r="N170" s="517"/>
      <c r="O170" s="446"/>
      <c r="P170" s="446"/>
      <c r="Q170" s="446"/>
      <c r="R170" s="446"/>
      <c r="S170" s="446"/>
      <c r="T170" s="446"/>
      <c r="U170" s="447"/>
      <c r="V170" s="447"/>
    </row>
    <row r="171" spans="1:22" ht="12.75" customHeight="1" x14ac:dyDescent="0.25">
      <c r="A171" s="512"/>
      <c r="B171" s="446"/>
      <c r="C171" s="446"/>
      <c r="D171" s="513"/>
      <c r="E171" s="514"/>
      <c r="F171" s="515"/>
      <c r="G171" s="516"/>
      <c r="H171" s="517"/>
      <c r="I171" s="517"/>
      <c r="J171" s="517"/>
      <c r="K171" s="517"/>
      <c r="L171" s="517"/>
      <c r="M171" s="517"/>
      <c r="N171" s="517"/>
      <c r="O171" s="446"/>
      <c r="P171" s="446"/>
      <c r="Q171" s="446"/>
      <c r="R171" s="446"/>
      <c r="S171" s="446"/>
      <c r="T171" s="446"/>
      <c r="U171" s="447"/>
      <c r="V171" s="447"/>
    </row>
    <row r="172" spans="1:22" ht="12.75" customHeight="1" x14ac:dyDescent="0.25">
      <c r="A172" s="512"/>
      <c r="B172" s="446"/>
      <c r="C172" s="446"/>
      <c r="D172" s="513"/>
      <c r="E172" s="514"/>
      <c r="F172" s="515"/>
      <c r="G172" s="516"/>
      <c r="H172" s="517"/>
      <c r="I172" s="517"/>
      <c r="J172" s="517"/>
      <c r="K172" s="517"/>
      <c r="L172" s="517"/>
      <c r="M172" s="517"/>
      <c r="N172" s="517"/>
      <c r="O172" s="446"/>
      <c r="P172" s="446"/>
      <c r="Q172" s="446"/>
      <c r="R172" s="446"/>
      <c r="S172" s="446"/>
      <c r="T172" s="446"/>
      <c r="U172" s="447"/>
      <c r="V172" s="447"/>
    </row>
    <row r="173" spans="1:22" ht="12.75" customHeight="1" x14ac:dyDescent="0.25">
      <c r="A173" s="512"/>
      <c r="B173" s="446"/>
      <c r="C173" s="446"/>
      <c r="D173" s="513"/>
      <c r="E173" s="514"/>
      <c r="F173" s="515"/>
      <c r="G173" s="516"/>
      <c r="H173" s="517"/>
      <c r="I173" s="517"/>
      <c r="J173" s="517"/>
      <c r="K173" s="517"/>
      <c r="L173" s="517"/>
      <c r="M173" s="517"/>
      <c r="N173" s="517"/>
      <c r="O173" s="446"/>
      <c r="P173" s="446"/>
      <c r="Q173" s="446"/>
      <c r="R173" s="446"/>
      <c r="S173" s="446"/>
      <c r="T173" s="446"/>
      <c r="U173" s="447"/>
      <c r="V173" s="447"/>
    </row>
    <row r="174" spans="1:22" ht="12.75" customHeight="1" x14ac:dyDescent="0.25">
      <c r="A174" s="512"/>
      <c r="B174" s="446"/>
      <c r="C174" s="446"/>
      <c r="D174" s="513"/>
      <c r="E174" s="514"/>
      <c r="F174" s="515"/>
      <c r="G174" s="516"/>
      <c r="H174" s="517"/>
      <c r="I174" s="517"/>
      <c r="J174" s="517"/>
      <c r="K174" s="517"/>
      <c r="L174" s="517"/>
      <c r="M174" s="517"/>
      <c r="N174" s="517"/>
      <c r="O174" s="446"/>
      <c r="P174" s="446"/>
      <c r="Q174" s="446"/>
      <c r="R174" s="446"/>
      <c r="S174" s="446"/>
      <c r="T174" s="446"/>
      <c r="U174" s="447"/>
      <c r="V174" s="447"/>
    </row>
    <row r="175" spans="1:22" ht="12.75" customHeight="1" x14ac:dyDescent="0.25">
      <c r="A175" s="512"/>
      <c r="B175" s="446"/>
      <c r="C175" s="446"/>
      <c r="D175" s="513"/>
      <c r="E175" s="514"/>
      <c r="F175" s="515"/>
      <c r="G175" s="516"/>
      <c r="H175" s="517"/>
      <c r="I175" s="517"/>
      <c r="J175" s="517"/>
      <c r="K175" s="517"/>
      <c r="L175" s="517"/>
      <c r="M175" s="517"/>
      <c r="N175" s="517"/>
      <c r="O175" s="446"/>
      <c r="P175" s="446"/>
      <c r="Q175" s="446"/>
      <c r="R175" s="446"/>
      <c r="S175" s="446"/>
      <c r="T175" s="446"/>
      <c r="U175" s="447"/>
      <c r="V175" s="447"/>
    </row>
    <row r="176" spans="1:22" ht="12.75" customHeight="1" x14ac:dyDescent="0.25">
      <c r="A176" s="512"/>
      <c r="B176" s="446"/>
      <c r="C176" s="446"/>
      <c r="D176" s="513"/>
      <c r="E176" s="514"/>
      <c r="F176" s="515"/>
      <c r="G176" s="516"/>
      <c r="H176" s="517"/>
      <c r="I176" s="517"/>
      <c r="J176" s="517"/>
      <c r="K176" s="517"/>
      <c r="L176" s="517"/>
      <c r="M176" s="517"/>
      <c r="N176" s="517"/>
      <c r="O176" s="446"/>
      <c r="P176" s="446"/>
      <c r="Q176" s="446"/>
      <c r="R176" s="446"/>
      <c r="S176" s="446"/>
      <c r="T176" s="446"/>
      <c r="U176" s="447"/>
      <c r="V176" s="447"/>
    </row>
    <row r="177" spans="1:22" ht="12.75" customHeight="1" x14ac:dyDescent="0.25">
      <c r="A177" s="512"/>
      <c r="B177" s="446"/>
      <c r="C177" s="446"/>
      <c r="D177" s="513"/>
      <c r="E177" s="514"/>
      <c r="F177" s="515"/>
      <c r="G177" s="516"/>
      <c r="H177" s="517"/>
      <c r="I177" s="517"/>
      <c r="J177" s="517"/>
      <c r="K177" s="517"/>
      <c r="L177" s="517"/>
      <c r="M177" s="517"/>
      <c r="N177" s="517"/>
      <c r="O177" s="446"/>
      <c r="P177" s="446"/>
      <c r="Q177" s="446"/>
      <c r="R177" s="446"/>
      <c r="S177" s="446"/>
      <c r="T177" s="446"/>
      <c r="U177" s="447"/>
      <c r="V177" s="447"/>
    </row>
    <row r="178" spans="1:22" ht="12.75" customHeight="1" x14ac:dyDescent="0.25">
      <c r="A178" s="512"/>
      <c r="B178" s="446"/>
      <c r="C178" s="446"/>
      <c r="D178" s="513"/>
      <c r="E178" s="514"/>
      <c r="F178" s="515"/>
      <c r="G178" s="516"/>
      <c r="H178" s="517"/>
      <c r="I178" s="517"/>
      <c r="J178" s="517"/>
      <c r="K178" s="517"/>
      <c r="L178" s="517"/>
      <c r="M178" s="517"/>
      <c r="N178" s="517"/>
      <c r="O178" s="446"/>
      <c r="P178" s="446"/>
      <c r="Q178" s="446"/>
      <c r="R178" s="446"/>
      <c r="S178" s="446"/>
      <c r="T178" s="446"/>
      <c r="U178" s="447"/>
      <c r="V178" s="447"/>
    </row>
    <row r="179" spans="1:22" ht="12.75" customHeight="1" x14ac:dyDescent="0.25">
      <c r="A179" s="512"/>
      <c r="B179" s="446"/>
      <c r="C179" s="446"/>
      <c r="D179" s="513"/>
      <c r="E179" s="514"/>
      <c r="F179" s="515"/>
      <c r="G179" s="516"/>
      <c r="H179" s="517"/>
      <c r="I179" s="517"/>
      <c r="J179" s="517"/>
      <c r="K179" s="517"/>
      <c r="L179" s="517"/>
      <c r="M179" s="517"/>
      <c r="N179" s="517"/>
      <c r="O179" s="446"/>
      <c r="P179" s="446"/>
      <c r="Q179" s="446"/>
      <c r="R179" s="446"/>
      <c r="S179" s="446"/>
      <c r="T179" s="446"/>
      <c r="U179" s="447"/>
      <c r="V179" s="447"/>
    </row>
    <row r="180" spans="1:22" ht="12.75" customHeight="1" x14ac:dyDescent="0.25">
      <c r="A180" s="512"/>
      <c r="B180" s="446"/>
      <c r="C180" s="446"/>
      <c r="D180" s="513"/>
      <c r="E180" s="514"/>
      <c r="F180" s="515"/>
      <c r="G180" s="516"/>
      <c r="H180" s="517"/>
      <c r="I180" s="517"/>
      <c r="J180" s="517"/>
      <c r="K180" s="517"/>
      <c r="L180" s="517"/>
      <c r="M180" s="517"/>
      <c r="N180" s="517"/>
      <c r="O180" s="446"/>
      <c r="P180" s="446"/>
      <c r="Q180" s="446"/>
      <c r="R180" s="446"/>
      <c r="S180" s="446"/>
      <c r="T180" s="446"/>
      <c r="U180" s="447"/>
      <c r="V180" s="447"/>
    </row>
    <row r="181" spans="1:22" ht="12.75" customHeight="1" x14ac:dyDescent="0.25">
      <c r="A181" s="512"/>
      <c r="B181" s="446"/>
      <c r="C181" s="446"/>
      <c r="D181" s="513"/>
      <c r="E181" s="514"/>
      <c r="F181" s="515"/>
      <c r="G181" s="516"/>
      <c r="H181" s="517"/>
      <c r="I181" s="517"/>
      <c r="J181" s="517"/>
      <c r="K181" s="517"/>
      <c r="L181" s="517"/>
      <c r="M181" s="517"/>
      <c r="N181" s="517"/>
      <c r="O181" s="446"/>
      <c r="P181" s="446"/>
      <c r="Q181" s="446"/>
      <c r="R181" s="446"/>
      <c r="S181" s="446"/>
      <c r="T181" s="446"/>
      <c r="U181" s="447"/>
      <c r="V181" s="447"/>
    </row>
    <row r="182" spans="1:22" ht="12.75" customHeight="1" x14ac:dyDescent="0.25">
      <c r="A182" s="512"/>
      <c r="B182" s="446"/>
      <c r="C182" s="446"/>
      <c r="D182" s="513"/>
      <c r="E182" s="514"/>
      <c r="F182" s="515"/>
      <c r="G182" s="516"/>
      <c r="H182" s="517"/>
      <c r="I182" s="517"/>
      <c r="J182" s="517"/>
      <c r="K182" s="517"/>
      <c r="L182" s="517"/>
      <c r="M182" s="517"/>
      <c r="N182" s="517"/>
      <c r="O182" s="446"/>
      <c r="P182" s="446"/>
      <c r="Q182" s="446"/>
      <c r="R182" s="446"/>
      <c r="S182" s="446"/>
      <c r="T182" s="446"/>
      <c r="U182" s="447"/>
      <c r="V182" s="447"/>
    </row>
    <row r="183" spans="1:22" ht="12.75" customHeight="1" x14ac:dyDescent="0.25">
      <c r="A183" s="512"/>
      <c r="B183" s="446"/>
      <c r="C183" s="446"/>
      <c r="D183" s="513"/>
      <c r="E183" s="514"/>
      <c r="F183" s="515"/>
      <c r="G183" s="516"/>
      <c r="H183" s="517"/>
      <c r="I183" s="517"/>
      <c r="J183" s="517"/>
      <c r="K183" s="517"/>
      <c r="L183" s="517"/>
      <c r="M183" s="517"/>
      <c r="N183" s="517"/>
      <c r="O183" s="446"/>
      <c r="P183" s="446"/>
      <c r="Q183" s="446"/>
      <c r="R183" s="446"/>
      <c r="S183" s="446"/>
      <c r="T183" s="446"/>
      <c r="U183" s="447"/>
      <c r="V183" s="447"/>
    </row>
    <row r="184" spans="1:22" ht="12.75" customHeight="1" x14ac:dyDescent="0.25">
      <c r="A184" s="512"/>
      <c r="B184" s="446"/>
      <c r="C184" s="446"/>
      <c r="D184" s="513"/>
      <c r="E184" s="514"/>
      <c r="F184" s="515"/>
      <c r="G184" s="516"/>
      <c r="H184" s="517"/>
      <c r="I184" s="517"/>
      <c r="J184" s="517"/>
      <c r="K184" s="517"/>
      <c r="L184" s="517"/>
      <c r="M184" s="517"/>
      <c r="N184" s="517"/>
      <c r="O184" s="446"/>
      <c r="P184" s="446"/>
      <c r="Q184" s="446"/>
      <c r="R184" s="446"/>
      <c r="S184" s="446"/>
      <c r="T184" s="446"/>
      <c r="U184" s="447"/>
      <c r="V184" s="447"/>
    </row>
    <row r="185" spans="1:22" ht="12.75" customHeight="1" x14ac:dyDescent="0.25">
      <c r="A185" s="512"/>
      <c r="B185" s="446"/>
      <c r="C185" s="446"/>
      <c r="D185" s="513"/>
      <c r="E185" s="514"/>
      <c r="F185" s="515"/>
      <c r="G185" s="516"/>
      <c r="H185" s="517"/>
      <c r="I185" s="517"/>
      <c r="J185" s="517"/>
      <c r="K185" s="517"/>
      <c r="L185" s="517"/>
      <c r="M185" s="517"/>
      <c r="N185" s="517"/>
      <c r="O185" s="446"/>
      <c r="P185" s="446"/>
      <c r="Q185" s="446"/>
      <c r="R185" s="446"/>
      <c r="S185" s="446"/>
      <c r="T185" s="446"/>
      <c r="U185" s="447"/>
      <c r="V185" s="447"/>
    </row>
    <row r="186" spans="1:22" ht="12.75" customHeight="1" x14ac:dyDescent="0.25">
      <c r="A186" s="512"/>
      <c r="B186" s="446"/>
      <c r="C186" s="446"/>
      <c r="D186" s="513"/>
      <c r="E186" s="514"/>
      <c r="F186" s="515"/>
      <c r="G186" s="516"/>
      <c r="H186" s="517"/>
      <c r="I186" s="517"/>
      <c r="J186" s="517"/>
      <c r="K186" s="517"/>
      <c r="L186" s="517"/>
      <c r="M186" s="517"/>
      <c r="N186" s="517"/>
      <c r="O186" s="446"/>
      <c r="P186" s="446"/>
      <c r="Q186" s="446"/>
      <c r="R186" s="446"/>
      <c r="S186" s="446"/>
      <c r="T186" s="446"/>
      <c r="U186" s="447"/>
      <c r="V186" s="447"/>
    </row>
    <row r="187" spans="1:22" ht="12.75" customHeight="1" x14ac:dyDescent="0.25">
      <c r="A187" s="512"/>
      <c r="B187" s="446"/>
      <c r="C187" s="446"/>
      <c r="D187" s="513"/>
      <c r="E187" s="514"/>
      <c r="F187" s="515"/>
      <c r="G187" s="516"/>
      <c r="H187" s="517"/>
      <c r="I187" s="517"/>
      <c r="J187" s="517"/>
      <c r="K187" s="517"/>
      <c r="L187" s="517"/>
      <c r="M187" s="517"/>
      <c r="N187" s="517"/>
      <c r="O187" s="446"/>
      <c r="P187" s="446"/>
      <c r="Q187" s="446"/>
      <c r="R187" s="446"/>
      <c r="S187" s="446"/>
      <c r="T187" s="446"/>
      <c r="U187" s="447"/>
      <c r="V187" s="447"/>
    </row>
    <row r="188" spans="1:22" ht="12.75" customHeight="1" x14ac:dyDescent="0.25">
      <c r="A188" s="512"/>
      <c r="B188" s="446"/>
      <c r="C188" s="446"/>
      <c r="D188" s="513"/>
      <c r="E188" s="514"/>
      <c r="F188" s="515"/>
      <c r="G188" s="516"/>
      <c r="H188" s="517"/>
      <c r="I188" s="517"/>
      <c r="J188" s="517"/>
      <c r="K188" s="517"/>
      <c r="L188" s="517"/>
      <c r="M188" s="517"/>
      <c r="N188" s="517"/>
      <c r="O188" s="446"/>
      <c r="P188" s="446"/>
      <c r="Q188" s="446"/>
      <c r="R188" s="446"/>
      <c r="S188" s="446"/>
      <c r="T188" s="446"/>
      <c r="U188" s="447"/>
      <c r="V188" s="447"/>
    </row>
    <row r="189" spans="1:22" ht="12.75" customHeight="1" x14ac:dyDescent="0.25">
      <c r="A189" s="512"/>
      <c r="B189" s="446"/>
      <c r="C189" s="446"/>
      <c r="D189" s="513"/>
      <c r="E189" s="514"/>
      <c r="F189" s="515"/>
      <c r="G189" s="516"/>
      <c r="H189" s="517"/>
      <c r="I189" s="517"/>
      <c r="J189" s="517"/>
      <c r="K189" s="517"/>
      <c r="L189" s="517"/>
      <c r="M189" s="517"/>
      <c r="N189" s="517"/>
      <c r="O189" s="446"/>
      <c r="P189" s="446"/>
      <c r="Q189" s="446"/>
      <c r="R189" s="446"/>
      <c r="S189" s="446"/>
      <c r="T189" s="446"/>
      <c r="U189" s="447"/>
      <c r="V189" s="447"/>
    </row>
    <row r="190" spans="1:22" ht="12.75" customHeight="1" x14ac:dyDescent="0.25">
      <c r="A190" s="512"/>
      <c r="B190" s="446"/>
      <c r="C190" s="446"/>
      <c r="D190" s="513"/>
      <c r="E190" s="514"/>
      <c r="F190" s="515"/>
      <c r="G190" s="516"/>
      <c r="H190" s="517"/>
      <c r="I190" s="517"/>
      <c r="J190" s="517"/>
      <c r="K190" s="517"/>
      <c r="L190" s="517"/>
      <c r="M190" s="517"/>
      <c r="N190" s="517"/>
      <c r="O190" s="446"/>
      <c r="P190" s="446"/>
      <c r="Q190" s="446"/>
      <c r="R190" s="446"/>
      <c r="S190" s="446"/>
      <c r="T190" s="446"/>
      <c r="U190" s="447"/>
      <c r="V190" s="447"/>
    </row>
    <row r="191" spans="1:22" ht="12.75" customHeight="1" x14ac:dyDescent="0.25">
      <c r="A191" s="512"/>
      <c r="B191" s="446"/>
      <c r="C191" s="446"/>
      <c r="D191" s="513"/>
      <c r="E191" s="514"/>
      <c r="F191" s="515"/>
      <c r="G191" s="516"/>
      <c r="H191" s="517"/>
      <c r="I191" s="517"/>
      <c r="J191" s="517"/>
      <c r="K191" s="517"/>
      <c r="L191" s="517"/>
      <c r="M191" s="517"/>
      <c r="N191" s="517"/>
      <c r="O191" s="446"/>
      <c r="P191" s="446"/>
      <c r="Q191" s="446"/>
      <c r="R191" s="446"/>
      <c r="S191" s="446"/>
      <c r="T191" s="446"/>
      <c r="U191" s="447"/>
      <c r="V191" s="447"/>
    </row>
    <row r="192" spans="1:22" ht="12.75" customHeight="1" x14ac:dyDescent="0.25">
      <c r="A192" s="512"/>
      <c r="B192" s="446"/>
      <c r="C192" s="446"/>
      <c r="D192" s="513"/>
      <c r="E192" s="514"/>
      <c r="F192" s="515"/>
      <c r="G192" s="516"/>
      <c r="H192" s="517"/>
      <c r="I192" s="517"/>
      <c r="J192" s="517"/>
      <c r="K192" s="517"/>
      <c r="L192" s="517"/>
      <c r="M192" s="517"/>
      <c r="N192" s="517"/>
      <c r="O192" s="446"/>
      <c r="P192" s="446"/>
      <c r="Q192" s="446"/>
      <c r="R192" s="446"/>
      <c r="S192" s="446"/>
      <c r="T192" s="446"/>
      <c r="U192" s="447"/>
      <c r="V192" s="447"/>
    </row>
    <row r="193" spans="1:22" ht="12.75" customHeight="1" x14ac:dyDescent="0.25">
      <c r="A193" s="512"/>
      <c r="B193" s="446"/>
      <c r="C193" s="446"/>
      <c r="D193" s="513"/>
      <c r="E193" s="514"/>
      <c r="F193" s="515"/>
      <c r="G193" s="516"/>
      <c r="H193" s="517"/>
      <c r="I193" s="517"/>
      <c r="J193" s="517"/>
      <c r="K193" s="517"/>
      <c r="L193" s="517"/>
      <c r="M193" s="517"/>
      <c r="N193" s="517"/>
      <c r="O193" s="446"/>
      <c r="P193" s="446"/>
      <c r="Q193" s="446"/>
      <c r="R193" s="446"/>
      <c r="S193" s="446"/>
      <c r="T193" s="446"/>
      <c r="U193" s="447"/>
      <c r="V193" s="447"/>
    </row>
    <row r="194" spans="1:22" ht="12.75" customHeight="1" x14ac:dyDescent="0.25">
      <c r="A194" s="512"/>
      <c r="B194" s="446"/>
      <c r="C194" s="446"/>
      <c r="D194" s="513"/>
      <c r="E194" s="514"/>
      <c r="F194" s="515"/>
      <c r="G194" s="516"/>
      <c r="H194" s="517"/>
      <c r="I194" s="517"/>
      <c r="J194" s="517"/>
      <c r="K194" s="517"/>
      <c r="L194" s="517"/>
      <c r="M194" s="517"/>
      <c r="N194" s="517"/>
      <c r="O194" s="446"/>
      <c r="P194" s="446"/>
      <c r="Q194" s="446"/>
      <c r="R194" s="446"/>
      <c r="S194" s="446"/>
      <c r="T194" s="446"/>
      <c r="U194" s="447"/>
      <c r="V194" s="447"/>
    </row>
    <row r="195" spans="1:22" ht="12.75" customHeight="1" x14ac:dyDescent="0.25">
      <c r="A195" s="512"/>
      <c r="B195" s="446"/>
      <c r="C195" s="446"/>
      <c r="D195" s="513"/>
      <c r="E195" s="514"/>
      <c r="F195" s="515"/>
      <c r="G195" s="516"/>
      <c r="H195" s="517"/>
      <c r="I195" s="517"/>
      <c r="J195" s="517"/>
      <c r="K195" s="517"/>
      <c r="L195" s="517"/>
      <c r="M195" s="517"/>
      <c r="N195" s="517"/>
      <c r="O195" s="446"/>
      <c r="P195" s="446"/>
      <c r="Q195" s="446"/>
      <c r="R195" s="446"/>
      <c r="S195" s="446"/>
      <c r="T195" s="446"/>
      <c r="U195" s="447"/>
      <c r="V195" s="447"/>
    </row>
    <row r="196" spans="1:22" ht="12.75" customHeight="1" x14ac:dyDescent="0.25">
      <c r="A196" s="512"/>
      <c r="B196" s="446"/>
      <c r="C196" s="446"/>
      <c r="D196" s="513"/>
      <c r="E196" s="514"/>
      <c r="F196" s="515"/>
      <c r="G196" s="516"/>
      <c r="H196" s="517"/>
      <c r="I196" s="517"/>
      <c r="J196" s="517"/>
      <c r="K196" s="517"/>
      <c r="L196" s="517"/>
      <c r="M196" s="517"/>
      <c r="N196" s="517"/>
      <c r="O196" s="446"/>
      <c r="P196" s="446"/>
      <c r="Q196" s="446"/>
      <c r="R196" s="446"/>
      <c r="S196" s="446"/>
      <c r="T196" s="446"/>
      <c r="U196" s="447"/>
      <c r="V196" s="447"/>
    </row>
    <row r="197" spans="1:22" ht="12.75" customHeight="1" x14ac:dyDescent="0.25">
      <c r="A197" s="512"/>
      <c r="B197" s="446"/>
      <c r="C197" s="446"/>
      <c r="D197" s="513"/>
      <c r="E197" s="514"/>
      <c r="F197" s="515"/>
      <c r="G197" s="516"/>
      <c r="H197" s="517"/>
      <c r="I197" s="517"/>
      <c r="J197" s="517"/>
      <c r="K197" s="517"/>
      <c r="L197" s="517"/>
      <c r="M197" s="517"/>
      <c r="N197" s="517"/>
      <c r="O197" s="446"/>
      <c r="P197" s="446"/>
      <c r="Q197" s="446"/>
      <c r="R197" s="446"/>
      <c r="S197" s="446"/>
      <c r="T197" s="446"/>
      <c r="U197" s="447"/>
      <c r="V197" s="447"/>
    </row>
    <row r="198" spans="1:22" ht="12.75" customHeight="1" x14ac:dyDescent="0.25">
      <c r="A198" s="512"/>
      <c r="B198" s="446"/>
      <c r="C198" s="446"/>
      <c r="D198" s="513"/>
      <c r="E198" s="514"/>
      <c r="F198" s="515"/>
      <c r="G198" s="516"/>
      <c r="H198" s="517"/>
      <c r="I198" s="517"/>
      <c r="J198" s="517"/>
      <c r="K198" s="517"/>
      <c r="L198" s="517"/>
      <c r="M198" s="517"/>
      <c r="N198" s="517"/>
      <c r="O198" s="446"/>
      <c r="P198" s="446"/>
      <c r="Q198" s="446"/>
      <c r="R198" s="446"/>
      <c r="S198" s="446"/>
      <c r="T198" s="446"/>
      <c r="U198" s="447"/>
      <c r="V198" s="447"/>
    </row>
    <row r="199" spans="1:22" ht="12.75" customHeight="1" x14ac:dyDescent="0.25">
      <c r="A199" s="512"/>
      <c r="B199" s="446"/>
      <c r="C199" s="446"/>
      <c r="D199" s="513"/>
      <c r="E199" s="514"/>
      <c r="F199" s="515"/>
      <c r="G199" s="516"/>
      <c r="H199" s="517"/>
      <c r="I199" s="517"/>
      <c r="J199" s="517"/>
      <c r="K199" s="517"/>
      <c r="L199" s="517"/>
      <c r="M199" s="517"/>
      <c r="N199" s="517"/>
      <c r="O199" s="446"/>
      <c r="P199" s="446"/>
      <c r="Q199" s="446"/>
      <c r="R199" s="446"/>
      <c r="S199" s="446"/>
      <c r="T199" s="446"/>
      <c r="U199" s="447"/>
      <c r="V199" s="447"/>
    </row>
    <row r="200" spans="1:22" ht="12.75" customHeight="1" x14ac:dyDescent="0.25">
      <c r="A200" s="512"/>
      <c r="B200" s="446"/>
      <c r="C200" s="446"/>
      <c r="D200" s="513"/>
      <c r="E200" s="514"/>
      <c r="F200" s="515"/>
      <c r="G200" s="516"/>
      <c r="H200" s="517"/>
      <c r="I200" s="517"/>
      <c r="J200" s="517"/>
      <c r="K200" s="517"/>
      <c r="L200" s="517"/>
      <c r="M200" s="517"/>
      <c r="N200" s="517"/>
      <c r="O200" s="446"/>
      <c r="P200" s="446"/>
      <c r="Q200" s="446"/>
      <c r="R200" s="446"/>
      <c r="S200" s="446"/>
      <c r="T200" s="446"/>
      <c r="U200" s="447"/>
      <c r="V200" s="447"/>
    </row>
    <row r="201" spans="1:22" ht="12.75" customHeight="1" x14ac:dyDescent="0.25">
      <c r="A201" s="512"/>
      <c r="B201" s="446"/>
      <c r="C201" s="446"/>
      <c r="D201" s="513"/>
      <c r="E201" s="514"/>
      <c r="F201" s="515"/>
      <c r="G201" s="516"/>
      <c r="H201" s="517"/>
      <c r="I201" s="517"/>
      <c r="J201" s="517"/>
      <c r="K201" s="517"/>
      <c r="L201" s="517"/>
      <c r="M201" s="517"/>
      <c r="N201" s="517"/>
      <c r="O201" s="446"/>
      <c r="P201" s="446"/>
      <c r="Q201" s="446"/>
      <c r="R201" s="446"/>
      <c r="S201" s="446"/>
      <c r="T201" s="446"/>
      <c r="U201" s="447"/>
      <c r="V201" s="447"/>
    </row>
    <row r="202" spans="1:22" ht="12.75" customHeight="1" x14ac:dyDescent="0.25">
      <c r="A202" s="512"/>
      <c r="B202" s="446"/>
      <c r="C202" s="446"/>
      <c r="D202" s="513"/>
      <c r="E202" s="514"/>
      <c r="F202" s="515"/>
      <c r="G202" s="516"/>
      <c r="H202" s="517"/>
      <c r="I202" s="517"/>
      <c r="J202" s="517"/>
      <c r="K202" s="517"/>
      <c r="L202" s="517"/>
      <c r="M202" s="517"/>
      <c r="N202" s="517"/>
      <c r="O202" s="446"/>
      <c r="P202" s="446"/>
      <c r="Q202" s="446"/>
      <c r="R202" s="446"/>
      <c r="S202" s="446"/>
      <c r="T202" s="446"/>
      <c r="U202" s="447"/>
      <c r="V202" s="447"/>
    </row>
    <row r="203" spans="1:22" ht="12.75" customHeight="1" x14ac:dyDescent="0.25">
      <c r="A203" s="512"/>
      <c r="B203" s="446"/>
      <c r="C203" s="446"/>
      <c r="D203" s="513"/>
      <c r="E203" s="514"/>
      <c r="F203" s="515"/>
      <c r="G203" s="516"/>
      <c r="H203" s="517"/>
      <c r="I203" s="517"/>
      <c r="J203" s="517"/>
      <c r="K203" s="517"/>
      <c r="L203" s="517"/>
      <c r="M203" s="517"/>
      <c r="N203" s="517"/>
      <c r="O203" s="446"/>
      <c r="P203" s="446"/>
      <c r="Q203" s="446"/>
      <c r="R203" s="446"/>
      <c r="S203" s="446"/>
      <c r="T203" s="446"/>
      <c r="U203" s="447"/>
      <c r="V203" s="447"/>
    </row>
    <row r="204" spans="1:22" ht="12.75" customHeight="1" x14ac:dyDescent="0.25">
      <c r="A204" s="512"/>
      <c r="B204" s="446"/>
      <c r="C204" s="446"/>
      <c r="D204" s="513"/>
      <c r="E204" s="514"/>
      <c r="F204" s="515"/>
      <c r="G204" s="516"/>
      <c r="H204" s="517"/>
      <c r="I204" s="517"/>
      <c r="J204" s="517"/>
      <c r="K204" s="517"/>
      <c r="L204" s="517"/>
      <c r="M204" s="517"/>
      <c r="N204" s="517"/>
      <c r="O204" s="446"/>
      <c r="P204" s="446"/>
      <c r="Q204" s="446"/>
      <c r="R204" s="446"/>
      <c r="S204" s="446"/>
      <c r="T204" s="446"/>
      <c r="U204" s="447"/>
      <c r="V204" s="447"/>
    </row>
    <row r="205" spans="1:22" ht="12.75" customHeight="1" x14ac:dyDescent="0.25">
      <c r="A205" s="512"/>
      <c r="B205" s="446"/>
      <c r="C205" s="446"/>
      <c r="D205" s="513"/>
      <c r="E205" s="514"/>
      <c r="F205" s="515"/>
      <c r="G205" s="516"/>
      <c r="H205" s="517"/>
      <c r="I205" s="517"/>
      <c r="J205" s="517"/>
      <c r="K205" s="517"/>
      <c r="L205" s="517"/>
      <c r="M205" s="517"/>
      <c r="N205" s="517"/>
      <c r="O205" s="446"/>
      <c r="P205" s="446"/>
      <c r="Q205" s="446"/>
      <c r="R205" s="446"/>
      <c r="S205" s="446"/>
      <c r="T205" s="446"/>
      <c r="U205" s="447"/>
      <c r="V205" s="447"/>
    </row>
    <row r="206" spans="1:22" ht="12.75" customHeight="1" x14ac:dyDescent="0.25">
      <c r="A206" s="512"/>
      <c r="B206" s="446"/>
      <c r="C206" s="446"/>
      <c r="D206" s="513"/>
      <c r="E206" s="514"/>
      <c r="F206" s="515"/>
      <c r="G206" s="516"/>
      <c r="H206" s="517"/>
      <c r="I206" s="517"/>
      <c r="J206" s="517"/>
      <c r="K206" s="517"/>
      <c r="L206" s="517"/>
      <c r="M206" s="517"/>
      <c r="N206" s="517"/>
      <c r="O206" s="446"/>
      <c r="P206" s="446"/>
      <c r="Q206" s="446"/>
      <c r="R206" s="446"/>
      <c r="S206" s="446"/>
      <c r="T206" s="446"/>
      <c r="U206" s="447"/>
      <c r="V206" s="447"/>
    </row>
    <row r="207" spans="1:22" ht="12.75" customHeight="1" x14ac:dyDescent="0.25">
      <c r="A207" s="512"/>
      <c r="B207" s="446"/>
      <c r="C207" s="446"/>
      <c r="D207" s="513"/>
      <c r="E207" s="514"/>
      <c r="F207" s="515"/>
      <c r="G207" s="516"/>
      <c r="H207" s="517"/>
      <c r="I207" s="517"/>
      <c r="J207" s="517"/>
      <c r="K207" s="517"/>
      <c r="L207" s="517"/>
      <c r="M207" s="517"/>
      <c r="N207" s="517"/>
      <c r="O207" s="446"/>
      <c r="P207" s="446"/>
      <c r="Q207" s="446"/>
      <c r="R207" s="446"/>
      <c r="S207" s="446"/>
      <c r="T207" s="446"/>
      <c r="U207" s="447"/>
      <c r="V207" s="447"/>
    </row>
    <row r="208" spans="1:22" ht="12.75" customHeight="1" x14ac:dyDescent="0.25">
      <c r="A208" s="512"/>
      <c r="B208" s="446"/>
      <c r="C208" s="446"/>
      <c r="D208" s="513"/>
      <c r="E208" s="514"/>
      <c r="F208" s="515"/>
      <c r="G208" s="516"/>
      <c r="H208" s="517"/>
      <c r="I208" s="517"/>
      <c r="J208" s="517"/>
      <c r="K208" s="517"/>
      <c r="L208" s="517"/>
      <c r="M208" s="517"/>
      <c r="N208" s="517"/>
      <c r="O208" s="446"/>
      <c r="P208" s="446"/>
      <c r="Q208" s="446"/>
      <c r="R208" s="446"/>
      <c r="S208" s="446"/>
      <c r="T208" s="446"/>
      <c r="U208" s="447"/>
      <c r="V208" s="447"/>
    </row>
    <row r="209" spans="1:22" ht="12.75" customHeight="1" x14ac:dyDescent="0.25">
      <c r="A209" s="512"/>
      <c r="B209" s="446"/>
      <c r="C209" s="446"/>
      <c r="D209" s="513"/>
      <c r="E209" s="514"/>
      <c r="F209" s="515"/>
      <c r="G209" s="516"/>
      <c r="H209" s="517"/>
      <c r="I209" s="517"/>
      <c r="J209" s="517"/>
      <c r="K209" s="517"/>
      <c r="L209" s="517"/>
      <c r="M209" s="517"/>
      <c r="N209" s="517"/>
      <c r="O209" s="446"/>
      <c r="P209" s="446"/>
      <c r="Q209" s="446"/>
      <c r="R209" s="446"/>
      <c r="S209" s="446"/>
      <c r="T209" s="446"/>
      <c r="U209" s="447"/>
      <c r="V209" s="447"/>
    </row>
    <row r="210" spans="1:22" ht="12.75" customHeight="1" x14ac:dyDescent="0.25">
      <c r="A210" s="512"/>
      <c r="B210" s="446"/>
      <c r="C210" s="446"/>
      <c r="D210" s="513"/>
      <c r="E210" s="514"/>
      <c r="F210" s="515"/>
      <c r="G210" s="516"/>
      <c r="H210" s="517"/>
      <c r="I210" s="517"/>
      <c r="J210" s="517"/>
      <c r="K210" s="517"/>
      <c r="L210" s="517"/>
      <c r="M210" s="517"/>
      <c r="N210" s="517"/>
      <c r="O210" s="446"/>
      <c r="P210" s="446"/>
      <c r="Q210" s="446"/>
      <c r="R210" s="446"/>
      <c r="S210" s="446"/>
      <c r="T210" s="446"/>
      <c r="U210" s="447"/>
      <c r="V210" s="447"/>
    </row>
    <row r="211" spans="1:22" ht="12.75" customHeight="1" x14ac:dyDescent="0.25">
      <c r="A211" s="512"/>
      <c r="B211" s="446"/>
      <c r="C211" s="446"/>
      <c r="D211" s="513"/>
      <c r="E211" s="514"/>
      <c r="F211" s="515"/>
      <c r="G211" s="516"/>
      <c r="H211" s="517"/>
      <c r="I211" s="517"/>
      <c r="J211" s="517"/>
      <c r="K211" s="517"/>
      <c r="L211" s="517"/>
      <c r="M211" s="517"/>
      <c r="N211" s="517"/>
      <c r="O211" s="446"/>
      <c r="P211" s="446"/>
      <c r="Q211" s="446"/>
      <c r="R211" s="446"/>
      <c r="S211" s="446"/>
      <c r="T211" s="446"/>
      <c r="U211" s="447"/>
      <c r="V211" s="447"/>
    </row>
    <row r="212" spans="1:22" ht="12.75" customHeight="1" x14ac:dyDescent="0.25">
      <c r="A212" s="512"/>
      <c r="B212" s="446"/>
      <c r="C212" s="446"/>
      <c r="D212" s="513"/>
      <c r="E212" s="514"/>
      <c r="F212" s="515"/>
      <c r="G212" s="516"/>
      <c r="H212" s="517"/>
      <c r="I212" s="517"/>
      <c r="J212" s="517"/>
      <c r="K212" s="517"/>
      <c r="L212" s="517"/>
      <c r="M212" s="517"/>
      <c r="N212" s="517"/>
      <c r="O212" s="446"/>
      <c r="P212" s="446"/>
      <c r="Q212" s="446"/>
      <c r="R212" s="446"/>
      <c r="S212" s="446"/>
      <c r="T212" s="446"/>
      <c r="U212" s="447"/>
      <c r="V212" s="447"/>
    </row>
    <row r="213" spans="1:22" ht="12.75" customHeight="1" x14ac:dyDescent="0.25">
      <c r="A213" s="512"/>
      <c r="B213" s="446"/>
      <c r="C213" s="446"/>
      <c r="D213" s="513"/>
      <c r="E213" s="514"/>
      <c r="F213" s="515"/>
      <c r="G213" s="516"/>
      <c r="H213" s="517"/>
      <c r="I213" s="517"/>
      <c r="J213" s="517"/>
      <c r="K213" s="517"/>
      <c r="L213" s="517"/>
      <c r="M213" s="517"/>
      <c r="N213" s="517"/>
      <c r="O213" s="446"/>
      <c r="P213" s="446"/>
      <c r="Q213" s="446"/>
      <c r="R213" s="446"/>
      <c r="S213" s="446"/>
      <c r="T213" s="446"/>
      <c r="U213" s="447"/>
      <c r="V213" s="447"/>
    </row>
    <row r="214" spans="1:22" ht="12.75" customHeight="1" x14ac:dyDescent="0.25">
      <c r="A214" s="512"/>
      <c r="B214" s="446"/>
      <c r="C214" s="446"/>
      <c r="D214" s="513"/>
      <c r="E214" s="514"/>
      <c r="F214" s="515"/>
      <c r="G214" s="516"/>
      <c r="H214" s="517"/>
      <c r="I214" s="517"/>
      <c r="J214" s="517"/>
      <c r="K214" s="517"/>
      <c r="L214" s="517"/>
      <c r="M214" s="517"/>
      <c r="N214" s="517"/>
      <c r="O214" s="446"/>
      <c r="P214" s="446"/>
      <c r="Q214" s="446"/>
      <c r="R214" s="446"/>
      <c r="S214" s="446"/>
      <c r="T214" s="446"/>
      <c r="U214" s="447"/>
      <c r="V214" s="447"/>
    </row>
    <row r="215" spans="1:22" ht="12.75" customHeight="1" x14ac:dyDescent="0.25">
      <c r="A215" s="512"/>
      <c r="B215" s="446"/>
      <c r="C215" s="446"/>
      <c r="D215" s="513"/>
      <c r="E215" s="514"/>
      <c r="F215" s="515"/>
      <c r="G215" s="516"/>
      <c r="H215" s="517"/>
      <c r="I215" s="517"/>
      <c r="J215" s="517"/>
      <c r="K215" s="517"/>
      <c r="L215" s="517"/>
      <c r="M215" s="517"/>
      <c r="N215" s="517"/>
      <c r="O215" s="446"/>
      <c r="P215" s="446"/>
      <c r="Q215" s="446"/>
      <c r="R215" s="446"/>
      <c r="S215" s="446"/>
      <c r="T215" s="446"/>
      <c r="U215" s="447"/>
      <c r="V215" s="447"/>
    </row>
    <row r="216" spans="1:22" ht="12.75" customHeight="1" x14ac:dyDescent="0.25">
      <c r="A216" s="512"/>
      <c r="B216" s="446"/>
      <c r="C216" s="446"/>
      <c r="D216" s="513"/>
      <c r="E216" s="514"/>
      <c r="F216" s="515"/>
      <c r="G216" s="516"/>
      <c r="H216" s="517"/>
      <c r="I216" s="517"/>
      <c r="J216" s="517"/>
      <c r="K216" s="517"/>
      <c r="L216" s="517"/>
      <c r="M216" s="517"/>
      <c r="N216" s="517"/>
      <c r="O216" s="446"/>
      <c r="P216" s="446"/>
      <c r="Q216" s="446"/>
      <c r="R216" s="446"/>
      <c r="S216" s="446"/>
      <c r="T216" s="446"/>
      <c r="U216" s="447"/>
      <c r="V216" s="447"/>
    </row>
    <row r="217" spans="1:22" ht="12.75" customHeight="1" x14ac:dyDescent="0.25">
      <c r="A217" s="512"/>
      <c r="B217" s="446"/>
      <c r="C217" s="446"/>
      <c r="D217" s="513"/>
      <c r="E217" s="514"/>
      <c r="F217" s="515"/>
      <c r="G217" s="516"/>
      <c r="H217" s="517"/>
      <c r="I217" s="517"/>
      <c r="J217" s="517"/>
      <c r="K217" s="517"/>
      <c r="L217" s="517"/>
      <c r="M217" s="517"/>
      <c r="N217" s="517"/>
      <c r="O217" s="446"/>
      <c r="P217" s="446"/>
      <c r="Q217" s="446"/>
      <c r="R217" s="446"/>
      <c r="S217" s="446"/>
      <c r="T217" s="446"/>
      <c r="U217" s="447"/>
      <c r="V217" s="447"/>
    </row>
    <row r="218" spans="1:22" ht="12.75" customHeight="1" x14ac:dyDescent="0.25">
      <c r="A218" s="512"/>
      <c r="B218" s="446"/>
      <c r="C218" s="446"/>
      <c r="D218" s="513"/>
      <c r="E218" s="514"/>
      <c r="F218" s="515"/>
      <c r="G218" s="516"/>
      <c r="H218" s="517"/>
      <c r="I218" s="517"/>
      <c r="J218" s="517"/>
      <c r="K218" s="517"/>
      <c r="L218" s="517"/>
      <c r="M218" s="517"/>
      <c r="N218" s="517"/>
      <c r="O218" s="446"/>
      <c r="P218" s="446"/>
      <c r="Q218" s="446"/>
      <c r="R218" s="446"/>
      <c r="S218" s="446"/>
      <c r="T218" s="446"/>
      <c r="U218" s="447"/>
      <c r="V218" s="447"/>
    </row>
    <row r="219" spans="1:22" ht="12.75" customHeight="1" x14ac:dyDescent="0.25">
      <c r="A219" s="512"/>
      <c r="B219" s="446"/>
      <c r="C219" s="446"/>
      <c r="D219" s="513"/>
      <c r="E219" s="514"/>
      <c r="F219" s="515"/>
      <c r="G219" s="516"/>
      <c r="H219" s="517"/>
      <c r="I219" s="517"/>
      <c r="J219" s="517"/>
      <c r="K219" s="517"/>
      <c r="L219" s="517"/>
      <c r="M219" s="517"/>
      <c r="N219" s="517"/>
      <c r="O219" s="446"/>
      <c r="P219" s="446"/>
      <c r="Q219" s="446"/>
      <c r="R219" s="446"/>
      <c r="S219" s="446"/>
      <c r="T219" s="446"/>
      <c r="U219" s="447"/>
      <c r="V219" s="447"/>
    </row>
    <row r="220" spans="1:22" ht="12.75" customHeight="1" x14ac:dyDescent="0.25">
      <c r="A220" s="512"/>
      <c r="B220" s="446"/>
      <c r="C220" s="446"/>
      <c r="D220" s="513"/>
      <c r="E220" s="514"/>
      <c r="F220" s="515"/>
      <c r="G220" s="516"/>
      <c r="H220" s="517"/>
      <c r="I220" s="517"/>
      <c r="J220" s="517"/>
      <c r="K220" s="517"/>
      <c r="L220" s="517"/>
      <c r="M220" s="517"/>
      <c r="N220" s="517"/>
      <c r="O220" s="446"/>
      <c r="P220" s="446"/>
      <c r="Q220" s="446"/>
      <c r="R220" s="446"/>
      <c r="S220" s="446"/>
      <c r="T220" s="446"/>
      <c r="U220" s="447"/>
      <c r="V220" s="447"/>
    </row>
    <row r="221" spans="1:22" ht="12.75" customHeight="1" x14ac:dyDescent="0.25">
      <c r="A221" s="512"/>
      <c r="B221" s="446"/>
      <c r="C221" s="446"/>
      <c r="D221" s="513"/>
      <c r="E221" s="514"/>
      <c r="F221" s="515"/>
      <c r="G221" s="516"/>
      <c r="H221" s="517"/>
      <c r="I221" s="517"/>
      <c r="J221" s="517"/>
      <c r="K221" s="517"/>
      <c r="L221" s="517"/>
      <c r="M221" s="517"/>
      <c r="N221" s="517"/>
      <c r="O221" s="446"/>
      <c r="P221" s="446"/>
      <c r="Q221" s="446"/>
      <c r="R221" s="446"/>
      <c r="S221" s="446"/>
      <c r="T221" s="446"/>
      <c r="U221" s="447"/>
      <c r="V221" s="447"/>
    </row>
    <row r="222" spans="1:22" ht="12.75" customHeight="1" x14ac:dyDescent="0.25">
      <c r="A222" s="512"/>
      <c r="B222" s="446"/>
      <c r="C222" s="446"/>
      <c r="D222" s="513"/>
      <c r="E222" s="514"/>
      <c r="F222" s="515"/>
      <c r="G222" s="516"/>
      <c r="H222" s="517"/>
      <c r="I222" s="517"/>
      <c r="J222" s="517"/>
      <c r="K222" s="517"/>
      <c r="L222" s="517"/>
      <c r="M222" s="517"/>
      <c r="N222" s="517"/>
      <c r="O222" s="446"/>
      <c r="P222" s="446"/>
      <c r="Q222" s="446"/>
      <c r="R222" s="446"/>
      <c r="S222" s="446"/>
      <c r="T222" s="446"/>
      <c r="U222" s="447"/>
      <c r="V222" s="447"/>
    </row>
    <row r="223" spans="1:22" ht="12.75" customHeight="1" x14ac:dyDescent="0.25">
      <c r="A223" s="512"/>
      <c r="B223" s="446"/>
      <c r="C223" s="446"/>
      <c r="D223" s="513"/>
      <c r="E223" s="514"/>
      <c r="F223" s="515"/>
      <c r="G223" s="516"/>
      <c r="H223" s="517"/>
      <c r="I223" s="517"/>
      <c r="J223" s="517"/>
      <c r="K223" s="517"/>
      <c r="L223" s="517"/>
      <c r="M223" s="517"/>
      <c r="N223" s="517"/>
      <c r="O223" s="446"/>
      <c r="P223" s="446"/>
      <c r="Q223" s="446"/>
      <c r="R223" s="446"/>
      <c r="S223" s="446"/>
      <c r="T223" s="446"/>
      <c r="U223" s="447"/>
      <c r="V223" s="447"/>
    </row>
    <row r="224" spans="1:22" ht="12.75" customHeight="1" x14ac:dyDescent="0.25">
      <c r="A224" s="512"/>
      <c r="B224" s="446"/>
      <c r="C224" s="446"/>
      <c r="D224" s="513"/>
      <c r="E224" s="514"/>
      <c r="F224" s="515"/>
      <c r="G224" s="516"/>
      <c r="H224" s="517"/>
      <c r="I224" s="517"/>
      <c r="J224" s="517"/>
      <c r="K224" s="517"/>
      <c r="L224" s="517"/>
      <c r="M224" s="517"/>
      <c r="N224" s="517"/>
      <c r="O224" s="446"/>
      <c r="P224" s="446"/>
      <c r="Q224" s="446"/>
      <c r="R224" s="446"/>
      <c r="S224" s="446"/>
      <c r="T224" s="446"/>
      <c r="U224" s="447"/>
      <c r="V224" s="447"/>
    </row>
    <row r="225" spans="1:22" ht="12.75" customHeight="1" x14ac:dyDescent="0.25">
      <c r="A225" s="512"/>
      <c r="B225" s="446"/>
      <c r="C225" s="446"/>
      <c r="D225" s="513"/>
      <c r="E225" s="514"/>
      <c r="F225" s="515"/>
      <c r="G225" s="516"/>
      <c r="H225" s="517"/>
      <c r="I225" s="517"/>
      <c r="J225" s="517"/>
      <c r="K225" s="517"/>
      <c r="L225" s="517"/>
      <c r="M225" s="517"/>
      <c r="N225" s="517"/>
      <c r="O225" s="446"/>
      <c r="P225" s="446"/>
      <c r="Q225" s="446"/>
      <c r="R225" s="446"/>
      <c r="S225" s="446"/>
      <c r="T225" s="446"/>
      <c r="U225" s="447"/>
      <c r="V225" s="447"/>
    </row>
    <row r="226" spans="1:22" ht="12.75" customHeight="1" x14ac:dyDescent="0.25">
      <c r="A226" s="512"/>
      <c r="B226" s="446"/>
      <c r="C226" s="446"/>
      <c r="D226" s="513"/>
      <c r="E226" s="514"/>
      <c r="F226" s="515"/>
      <c r="G226" s="516"/>
      <c r="H226" s="517"/>
      <c r="I226" s="517"/>
      <c r="J226" s="517"/>
      <c r="K226" s="517"/>
      <c r="L226" s="517"/>
      <c r="M226" s="517"/>
      <c r="N226" s="517"/>
      <c r="O226" s="446"/>
      <c r="P226" s="446"/>
      <c r="Q226" s="446"/>
      <c r="R226" s="446"/>
      <c r="S226" s="446"/>
      <c r="T226" s="446"/>
      <c r="U226" s="447"/>
      <c r="V226" s="447"/>
    </row>
    <row r="227" spans="1:22" ht="12.75" customHeight="1" x14ac:dyDescent="0.25">
      <c r="A227" s="512"/>
      <c r="B227" s="446"/>
      <c r="C227" s="446"/>
      <c r="D227" s="513"/>
      <c r="E227" s="514"/>
      <c r="F227" s="515"/>
      <c r="G227" s="516"/>
      <c r="H227" s="517"/>
      <c r="I227" s="517"/>
      <c r="J227" s="517"/>
      <c r="K227" s="517"/>
      <c r="L227" s="517"/>
      <c r="M227" s="517"/>
      <c r="N227" s="517"/>
      <c r="O227" s="446"/>
      <c r="P227" s="446"/>
      <c r="Q227" s="446"/>
      <c r="R227" s="446"/>
      <c r="S227" s="446"/>
      <c r="T227" s="446"/>
      <c r="U227" s="447"/>
      <c r="V227" s="447"/>
    </row>
    <row r="228" spans="1:22" ht="12.75" customHeight="1" x14ac:dyDescent="0.25">
      <c r="A228" s="512"/>
      <c r="B228" s="446"/>
      <c r="C228" s="446"/>
      <c r="D228" s="513"/>
      <c r="E228" s="514"/>
      <c r="F228" s="515"/>
      <c r="G228" s="516"/>
      <c r="H228" s="517"/>
      <c r="I228" s="517"/>
      <c r="J228" s="517"/>
      <c r="K228" s="517"/>
      <c r="L228" s="517"/>
      <c r="M228" s="517"/>
      <c r="N228" s="517"/>
      <c r="O228" s="446"/>
      <c r="P228" s="446"/>
      <c r="Q228" s="446"/>
      <c r="R228" s="446"/>
      <c r="S228" s="446"/>
      <c r="T228" s="446"/>
      <c r="U228" s="447"/>
      <c r="V228" s="447"/>
    </row>
    <row r="229" spans="1:22" ht="12.75" customHeight="1" x14ac:dyDescent="0.25">
      <c r="A229" s="512"/>
      <c r="B229" s="446"/>
      <c r="C229" s="446"/>
      <c r="D229" s="513"/>
      <c r="E229" s="514"/>
      <c r="F229" s="515"/>
      <c r="G229" s="516"/>
      <c r="H229" s="517"/>
      <c r="I229" s="517"/>
      <c r="J229" s="517"/>
      <c r="K229" s="517"/>
      <c r="L229" s="517"/>
      <c r="M229" s="517"/>
      <c r="N229" s="517"/>
      <c r="O229" s="446"/>
      <c r="P229" s="446"/>
      <c r="Q229" s="446"/>
      <c r="R229" s="446"/>
      <c r="S229" s="446"/>
      <c r="T229" s="446"/>
      <c r="U229" s="447"/>
      <c r="V229" s="447"/>
    </row>
    <row r="230" spans="1:22" ht="12.75" customHeight="1" x14ac:dyDescent="0.25">
      <c r="A230" s="512"/>
      <c r="B230" s="446"/>
      <c r="C230" s="446"/>
      <c r="D230" s="513"/>
      <c r="E230" s="514"/>
      <c r="F230" s="515"/>
      <c r="G230" s="516"/>
      <c r="H230" s="517"/>
      <c r="I230" s="517"/>
      <c r="J230" s="517"/>
      <c r="K230" s="517"/>
      <c r="L230" s="517"/>
      <c r="M230" s="517"/>
      <c r="N230" s="517"/>
      <c r="O230" s="446"/>
      <c r="P230" s="446"/>
      <c r="Q230" s="446"/>
      <c r="R230" s="446"/>
      <c r="S230" s="446"/>
      <c r="T230" s="446"/>
      <c r="U230" s="447"/>
      <c r="V230" s="447"/>
    </row>
    <row r="231" spans="1:22" ht="12.75" customHeight="1" x14ac:dyDescent="0.25">
      <c r="A231" s="512"/>
      <c r="B231" s="446"/>
      <c r="C231" s="446"/>
      <c r="D231" s="513"/>
      <c r="E231" s="514"/>
      <c r="F231" s="515"/>
      <c r="G231" s="516"/>
      <c r="H231" s="517"/>
      <c r="I231" s="517"/>
      <c r="J231" s="517"/>
      <c r="K231" s="517"/>
      <c r="L231" s="517"/>
      <c r="M231" s="517"/>
      <c r="N231" s="517"/>
      <c r="O231" s="446"/>
      <c r="P231" s="446"/>
      <c r="Q231" s="446"/>
      <c r="R231" s="446"/>
      <c r="S231" s="446"/>
      <c r="T231" s="446"/>
      <c r="U231" s="447"/>
      <c r="V231" s="447"/>
    </row>
    <row r="232" spans="1:22" ht="12.75" customHeight="1" x14ac:dyDescent="0.25">
      <c r="A232" s="512"/>
      <c r="B232" s="446"/>
      <c r="C232" s="446"/>
      <c r="D232" s="513"/>
      <c r="E232" s="514"/>
      <c r="F232" s="515"/>
      <c r="G232" s="516"/>
      <c r="H232" s="517"/>
      <c r="I232" s="517"/>
      <c r="J232" s="517"/>
      <c r="K232" s="517"/>
      <c r="L232" s="517"/>
      <c r="M232" s="517"/>
      <c r="N232" s="517"/>
      <c r="O232" s="446"/>
      <c r="P232" s="446"/>
      <c r="Q232" s="446"/>
      <c r="R232" s="446"/>
      <c r="S232" s="446"/>
      <c r="T232" s="446"/>
      <c r="U232" s="447"/>
      <c r="V232" s="447"/>
    </row>
    <row r="233" spans="1:22" ht="12.75" customHeight="1" x14ac:dyDescent="0.25">
      <c r="A233" s="512"/>
      <c r="B233" s="446"/>
      <c r="C233" s="446"/>
      <c r="D233" s="513"/>
      <c r="E233" s="514"/>
      <c r="F233" s="515"/>
      <c r="G233" s="516"/>
      <c r="H233" s="517"/>
      <c r="I233" s="517"/>
      <c r="J233" s="517"/>
      <c r="K233" s="517"/>
      <c r="L233" s="517"/>
      <c r="M233" s="517"/>
      <c r="N233" s="517"/>
      <c r="O233" s="446"/>
      <c r="P233" s="446"/>
      <c r="Q233" s="446"/>
      <c r="R233" s="446"/>
      <c r="S233" s="446"/>
      <c r="T233" s="446"/>
      <c r="U233" s="447"/>
      <c r="V233" s="447"/>
    </row>
    <row r="234" spans="1:22" ht="12.75" customHeight="1" x14ac:dyDescent="0.25">
      <c r="A234" s="512"/>
      <c r="B234" s="446"/>
      <c r="C234" s="446"/>
      <c r="D234" s="513"/>
      <c r="E234" s="514"/>
      <c r="F234" s="515"/>
      <c r="G234" s="516"/>
      <c r="H234" s="517"/>
      <c r="I234" s="517"/>
      <c r="J234" s="517"/>
      <c r="K234" s="517"/>
      <c r="L234" s="517"/>
      <c r="M234" s="517"/>
      <c r="N234" s="517"/>
      <c r="O234" s="446"/>
      <c r="P234" s="446"/>
      <c r="Q234" s="446"/>
      <c r="R234" s="446"/>
      <c r="S234" s="446"/>
      <c r="T234" s="446"/>
      <c r="U234" s="447"/>
      <c r="V234" s="447"/>
    </row>
    <row r="235" spans="1:22" ht="12.75" customHeight="1" x14ac:dyDescent="0.25">
      <c r="A235" s="512"/>
      <c r="B235" s="446"/>
      <c r="C235" s="446"/>
      <c r="D235" s="513"/>
      <c r="E235" s="514"/>
      <c r="F235" s="515"/>
      <c r="G235" s="516"/>
      <c r="H235" s="517"/>
      <c r="I235" s="517"/>
      <c r="J235" s="517"/>
      <c r="K235" s="517"/>
      <c r="L235" s="517"/>
      <c r="M235" s="517"/>
      <c r="N235" s="517"/>
      <c r="O235" s="446"/>
      <c r="P235" s="446"/>
      <c r="Q235" s="446"/>
      <c r="R235" s="446"/>
      <c r="S235" s="446"/>
      <c r="T235" s="446"/>
      <c r="U235" s="447"/>
      <c r="V235" s="447"/>
    </row>
    <row r="236" spans="1:22" ht="12.75" customHeight="1" x14ac:dyDescent="0.25">
      <c r="A236" s="342"/>
      <c r="B236" s="30"/>
      <c r="C236" s="30"/>
      <c r="D236" s="141"/>
      <c r="E236" s="42"/>
      <c r="F236" s="43"/>
      <c r="G236" s="59"/>
      <c r="H236" s="60"/>
      <c r="I236" s="60"/>
      <c r="J236" s="60"/>
      <c r="K236" s="60"/>
      <c r="L236" s="60"/>
      <c r="M236" s="60"/>
      <c r="N236" s="60"/>
      <c r="O236" s="30"/>
      <c r="P236" s="30"/>
      <c r="Q236" s="30"/>
      <c r="R236" s="30"/>
      <c r="S236" s="30"/>
      <c r="T236" s="30"/>
    </row>
    <row r="237" spans="1:22" ht="12.75" customHeight="1" x14ac:dyDescent="0.25">
      <c r="A237" s="342"/>
      <c r="B237" s="30"/>
      <c r="C237" s="30"/>
      <c r="D237" s="141"/>
      <c r="E237" s="42"/>
      <c r="F237" s="43"/>
      <c r="G237" s="59"/>
      <c r="H237" s="60"/>
      <c r="I237" s="60"/>
      <c r="J237" s="60"/>
      <c r="K237" s="60"/>
      <c r="L237" s="60"/>
      <c r="M237" s="60"/>
      <c r="N237" s="60"/>
      <c r="O237" s="30"/>
      <c r="P237" s="30"/>
      <c r="Q237" s="30"/>
      <c r="R237" s="30"/>
      <c r="S237" s="30"/>
      <c r="T237" s="30"/>
    </row>
    <row r="238" spans="1:22" ht="12.75" customHeight="1" x14ac:dyDescent="0.25">
      <c r="A238" s="342"/>
      <c r="B238" s="30"/>
      <c r="C238" s="30"/>
      <c r="D238" s="141"/>
      <c r="E238" s="42"/>
      <c r="F238" s="43"/>
      <c r="G238" s="59"/>
      <c r="H238" s="60"/>
      <c r="I238" s="60"/>
      <c r="J238" s="60"/>
      <c r="K238" s="60"/>
      <c r="L238" s="60"/>
      <c r="M238" s="60"/>
      <c r="N238" s="60"/>
      <c r="O238" s="30"/>
      <c r="P238" s="30"/>
      <c r="Q238" s="30"/>
      <c r="R238" s="30"/>
      <c r="S238" s="30"/>
      <c r="T238" s="30"/>
    </row>
    <row r="239" spans="1:22" ht="12.75" customHeight="1" x14ac:dyDescent="0.25">
      <c r="A239" s="342"/>
      <c r="B239" s="30"/>
      <c r="C239" s="30"/>
      <c r="D239" s="141"/>
      <c r="E239" s="42"/>
      <c r="F239" s="43"/>
      <c r="G239" s="59"/>
      <c r="H239" s="60"/>
      <c r="I239" s="60"/>
      <c r="J239" s="60"/>
      <c r="K239" s="60"/>
      <c r="L239" s="60"/>
      <c r="M239" s="60"/>
      <c r="N239" s="60"/>
      <c r="O239" s="30"/>
      <c r="P239" s="30"/>
      <c r="Q239" s="30"/>
      <c r="R239" s="30"/>
      <c r="S239" s="30"/>
      <c r="T239" s="30"/>
    </row>
    <row r="240" spans="1:22" ht="12.75" customHeight="1" x14ac:dyDescent="0.25">
      <c r="A240" s="342"/>
      <c r="B240" s="30"/>
      <c r="C240" s="30"/>
      <c r="D240" s="141"/>
      <c r="E240" s="42"/>
      <c r="F240" s="43"/>
      <c r="G240" s="59"/>
      <c r="H240" s="60"/>
      <c r="I240" s="60"/>
      <c r="J240" s="60"/>
      <c r="K240" s="60"/>
      <c r="L240" s="60"/>
      <c r="M240" s="60"/>
      <c r="N240" s="60"/>
      <c r="O240" s="30"/>
      <c r="P240" s="30"/>
      <c r="Q240" s="30"/>
      <c r="R240" s="30"/>
      <c r="S240" s="30"/>
      <c r="T240" s="30"/>
    </row>
    <row r="241" spans="1:20" ht="12.75" customHeight="1" x14ac:dyDescent="0.25">
      <c r="A241" s="342"/>
      <c r="B241" s="30"/>
      <c r="C241" s="30"/>
      <c r="D241" s="141"/>
      <c r="E241" s="42"/>
      <c r="F241" s="43"/>
      <c r="G241" s="59"/>
      <c r="H241" s="60"/>
      <c r="I241" s="60"/>
      <c r="J241" s="60"/>
      <c r="K241" s="60"/>
      <c r="L241" s="60"/>
      <c r="M241" s="60"/>
      <c r="N241" s="60"/>
      <c r="O241" s="30"/>
      <c r="P241" s="30"/>
      <c r="Q241" s="30"/>
      <c r="R241" s="30"/>
      <c r="S241" s="30"/>
      <c r="T241" s="30"/>
    </row>
    <row r="242" spans="1:20" ht="12.75" customHeight="1" x14ac:dyDescent="0.25">
      <c r="A242" s="342"/>
      <c r="B242" s="30"/>
      <c r="C242" s="30"/>
      <c r="D242" s="141"/>
      <c r="E242" s="42"/>
      <c r="F242" s="43"/>
      <c r="G242" s="59"/>
      <c r="H242" s="60"/>
      <c r="I242" s="60"/>
      <c r="J242" s="60"/>
      <c r="K242" s="60"/>
      <c r="L242" s="60"/>
      <c r="M242" s="60"/>
      <c r="N242" s="60"/>
      <c r="O242" s="30"/>
      <c r="P242" s="30"/>
      <c r="Q242" s="30"/>
      <c r="R242" s="30"/>
      <c r="S242" s="30"/>
      <c r="T242" s="30"/>
    </row>
    <row r="243" spans="1:20" ht="12.75" customHeight="1" x14ac:dyDescent="0.25">
      <c r="A243" s="342"/>
      <c r="B243" s="30"/>
      <c r="C243" s="30"/>
      <c r="D243" s="141"/>
      <c r="E243" s="42"/>
      <c r="F243" s="43"/>
      <c r="G243" s="59"/>
      <c r="H243" s="60"/>
      <c r="I243" s="60"/>
      <c r="J243" s="60"/>
      <c r="K243" s="60"/>
      <c r="L243" s="60"/>
      <c r="M243" s="60"/>
      <c r="N243" s="60"/>
      <c r="O243" s="30"/>
      <c r="P243" s="30"/>
      <c r="Q243" s="30"/>
      <c r="R243" s="30"/>
      <c r="S243" s="30"/>
      <c r="T243" s="30"/>
    </row>
    <row r="244" spans="1:20" ht="12.75" customHeight="1" x14ac:dyDescent="0.25">
      <c r="A244" s="342"/>
      <c r="B244" s="30"/>
      <c r="C244" s="30"/>
      <c r="D244" s="141"/>
      <c r="E244" s="42"/>
      <c r="F244" s="43"/>
      <c r="G244" s="59"/>
      <c r="H244" s="60"/>
      <c r="I244" s="60"/>
      <c r="J244" s="60"/>
      <c r="K244" s="60"/>
      <c r="L244" s="60"/>
      <c r="M244" s="60"/>
      <c r="N244" s="60"/>
      <c r="O244" s="30"/>
      <c r="P244" s="30"/>
      <c r="Q244" s="30"/>
      <c r="R244" s="30"/>
      <c r="S244" s="30"/>
      <c r="T244" s="30"/>
    </row>
    <row r="245" spans="1:20" ht="12.75" customHeight="1" x14ac:dyDescent="0.25">
      <c r="A245" s="342"/>
      <c r="B245" s="30"/>
      <c r="C245" s="30"/>
      <c r="D245" s="141"/>
      <c r="E245" s="42"/>
      <c r="F245" s="43"/>
      <c r="G245" s="59"/>
      <c r="H245" s="60"/>
      <c r="I245" s="60"/>
      <c r="J245" s="60"/>
      <c r="K245" s="60"/>
      <c r="L245" s="60"/>
      <c r="M245" s="60"/>
      <c r="N245" s="60"/>
      <c r="O245" s="30"/>
      <c r="P245" s="30"/>
      <c r="Q245" s="30"/>
      <c r="R245" s="30"/>
      <c r="S245" s="30"/>
      <c r="T245" s="30"/>
    </row>
    <row r="246" spans="1:20" ht="12.75" customHeight="1" x14ac:dyDescent="0.25">
      <c r="A246" s="342"/>
      <c r="B246" s="30"/>
      <c r="C246" s="30"/>
      <c r="D246" s="141"/>
      <c r="E246" s="42"/>
      <c r="F246" s="43"/>
      <c r="G246" s="59"/>
      <c r="H246" s="60"/>
      <c r="I246" s="60"/>
      <c r="J246" s="60"/>
      <c r="K246" s="60"/>
      <c r="L246" s="60"/>
      <c r="M246" s="60"/>
      <c r="N246" s="60"/>
      <c r="O246" s="30"/>
      <c r="P246" s="30"/>
      <c r="Q246" s="30"/>
      <c r="R246" s="30"/>
      <c r="S246" s="30"/>
      <c r="T246" s="30"/>
    </row>
    <row r="247" spans="1:20" ht="12.75" customHeight="1" x14ac:dyDescent="0.25">
      <c r="A247" s="342"/>
      <c r="B247" s="30"/>
      <c r="C247" s="30"/>
      <c r="D247" s="141"/>
      <c r="E247" s="42"/>
      <c r="F247" s="43"/>
      <c r="G247" s="59"/>
      <c r="H247" s="60"/>
      <c r="I247" s="60"/>
      <c r="J247" s="60"/>
      <c r="K247" s="60"/>
      <c r="L247" s="60"/>
      <c r="M247" s="60"/>
      <c r="N247" s="60"/>
      <c r="O247" s="30"/>
      <c r="P247" s="30"/>
      <c r="Q247" s="30"/>
      <c r="R247" s="30"/>
      <c r="S247" s="30"/>
      <c r="T247" s="30"/>
    </row>
    <row r="248" spans="1:20" ht="12.75" customHeight="1" x14ac:dyDescent="0.25">
      <c r="A248" s="342"/>
      <c r="B248" s="30"/>
      <c r="C248" s="30"/>
      <c r="D248" s="141"/>
      <c r="E248" s="42"/>
      <c r="F248" s="43"/>
      <c r="G248" s="59"/>
      <c r="H248" s="60"/>
      <c r="I248" s="60"/>
      <c r="J248" s="60"/>
      <c r="K248" s="60"/>
      <c r="L248" s="60"/>
      <c r="M248" s="60"/>
      <c r="N248" s="60"/>
      <c r="O248" s="30"/>
      <c r="P248" s="30"/>
      <c r="Q248" s="30"/>
      <c r="R248" s="30"/>
      <c r="S248" s="30"/>
      <c r="T248" s="30"/>
    </row>
    <row r="249" spans="1:20" ht="12.75" customHeight="1" x14ac:dyDescent="0.25">
      <c r="A249" s="342"/>
      <c r="B249" s="30"/>
      <c r="C249" s="30"/>
      <c r="D249" s="141"/>
      <c r="E249" s="42"/>
      <c r="F249" s="43"/>
      <c r="G249" s="59"/>
      <c r="H249" s="60"/>
      <c r="I249" s="60"/>
      <c r="J249" s="60"/>
      <c r="K249" s="60"/>
      <c r="L249" s="60"/>
      <c r="M249" s="60"/>
      <c r="N249" s="60"/>
      <c r="O249" s="30"/>
      <c r="P249" s="30"/>
      <c r="Q249" s="30"/>
      <c r="R249" s="30"/>
      <c r="S249" s="30"/>
      <c r="T249" s="30"/>
    </row>
    <row r="250" spans="1:20" ht="12.75" customHeight="1" x14ac:dyDescent="0.25">
      <c r="A250" s="342"/>
      <c r="B250" s="30"/>
      <c r="C250" s="30"/>
      <c r="D250" s="141"/>
      <c r="E250" s="42"/>
      <c r="F250" s="43"/>
      <c r="G250" s="59"/>
      <c r="H250" s="60"/>
      <c r="I250" s="60"/>
      <c r="J250" s="60"/>
      <c r="K250" s="60"/>
      <c r="L250" s="60"/>
      <c r="M250" s="60"/>
      <c r="N250" s="60"/>
      <c r="O250" s="30"/>
      <c r="P250" s="30"/>
      <c r="Q250" s="30"/>
      <c r="R250" s="30"/>
      <c r="S250" s="30"/>
      <c r="T250" s="30"/>
    </row>
    <row r="251" spans="1:20" ht="12.75" customHeight="1" x14ac:dyDescent="0.25">
      <c r="A251" s="342"/>
      <c r="B251" s="30"/>
      <c r="C251" s="30"/>
      <c r="D251" s="141"/>
      <c r="E251" s="42"/>
      <c r="F251" s="43"/>
      <c r="G251" s="59"/>
      <c r="H251" s="60"/>
      <c r="I251" s="60"/>
      <c r="J251" s="60"/>
      <c r="K251" s="60"/>
      <c r="L251" s="60"/>
      <c r="M251" s="60"/>
      <c r="N251" s="60"/>
      <c r="O251" s="30"/>
      <c r="P251" s="30"/>
      <c r="Q251" s="30"/>
      <c r="R251" s="30"/>
      <c r="S251" s="30"/>
      <c r="T251" s="30"/>
    </row>
    <row r="252" spans="1:20" ht="12.75" customHeight="1" x14ac:dyDescent="0.25">
      <c r="A252" s="342"/>
      <c r="B252" s="30"/>
      <c r="C252" s="30"/>
      <c r="D252" s="141"/>
      <c r="E252" s="42"/>
      <c r="F252" s="43"/>
      <c r="G252" s="59"/>
      <c r="H252" s="60"/>
      <c r="I252" s="60"/>
      <c r="J252" s="60"/>
      <c r="K252" s="60"/>
      <c r="L252" s="60"/>
      <c r="M252" s="60"/>
      <c r="N252" s="60"/>
      <c r="O252" s="30"/>
      <c r="P252" s="30"/>
      <c r="Q252" s="30"/>
      <c r="R252" s="30"/>
      <c r="S252" s="30"/>
      <c r="T252" s="30"/>
    </row>
    <row r="253" spans="1:20" ht="12.75" customHeight="1" x14ac:dyDescent="0.25">
      <c r="A253" s="342"/>
      <c r="B253" s="30"/>
      <c r="C253" s="30"/>
      <c r="D253" s="141"/>
      <c r="E253" s="42"/>
      <c r="F253" s="43"/>
      <c r="G253" s="59"/>
      <c r="H253" s="60"/>
      <c r="I253" s="60"/>
      <c r="J253" s="60"/>
      <c r="K253" s="60"/>
      <c r="L253" s="60"/>
      <c r="M253" s="60"/>
      <c r="N253" s="60"/>
      <c r="O253" s="30"/>
      <c r="P253" s="30"/>
      <c r="Q253" s="30"/>
      <c r="R253" s="30"/>
      <c r="S253" s="30"/>
      <c r="T253" s="30"/>
    </row>
    <row r="254" spans="1:20" ht="12.75" customHeight="1" x14ac:dyDescent="0.25">
      <c r="A254" s="342"/>
      <c r="B254" s="30"/>
      <c r="C254" s="30"/>
      <c r="D254" s="141"/>
      <c r="E254" s="42"/>
      <c r="F254" s="43"/>
      <c r="G254" s="59"/>
      <c r="H254" s="60"/>
      <c r="I254" s="60"/>
      <c r="J254" s="60"/>
      <c r="K254" s="60"/>
      <c r="L254" s="60"/>
      <c r="M254" s="60"/>
      <c r="N254" s="60"/>
      <c r="O254" s="30"/>
      <c r="P254" s="30"/>
      <c r="Q254" s="30"/>
      <c r="R254" s="30"/>
      <c r="S254" s="30"/>
      <c r="T254" s="30"/>
    </row>
    <row r="255" spans="1:20" ht="12.75" customHeight="1" x14ac:dyDescent="0.25">
      <c r="A255" s="342"/>
      <c r="B255" s="30"/>
      <c r="C255" s="30"/>
      <c r="D255" s="141"/>
      <c r="E255" s="42"/>
      <c r="F255" s="43"/>
      <c r="G255" s="59"/>
      <c r="H255" s="60"/>
      <c r="I255" s="60"/>
      <c r="J255" s="60"/>
      <c r="K255" s="60"/>
      <c r="L255" s="60"/>
      <c r="M255" s="60"/>
      <c r="N255" s="60"/>
      <c r="O255" s="30"/>
      <c r="P255" s="30"/>
      <c r="Q255" s="30"/>
      <c r="R255" s="30"/>
      <c r="S255" s="30"/>
      <c r="T255" s="30"/>
    </row>
    <row r="256" spans="1:20" ht="12.75" customHeight="1" x14ac:dyDescent="0.25">
      <c r="A256" s="342"/>
      <c r="B256" s="30"/>
      <c r="C256" s="30"/>
      <c r="D256" s="141"/>
      <c r="E256" s="42"/>
      <c r="F256" s="43"/>
      <c r="G256" s="59"/>
      <c r="H256" s="60"/>
      <c r="I256" s="60"/>
      <c r="J256" s="60"/>
      <c r="K256" s="60"/>
      <c r="L256" s="60"/>
      <c r="M256" s="60"/>
      <c r="N256" s="60"/>
      <c r="O256" s="30"/>
      <c r="P256" s="30"/>
      <c r="Q256" s="30"/>
      <c r="R256" s="30"/>
      <c r="S256" s="30"/>
      <c r="T256" s="30"/>
    </row>
    <row r="257" spans="1:20" ht="12.75" customHeight="1" x14ac:dyDescent="0.25">
      <c r="A257" s="342"/>
      <c r="B257" s="30"/>
      <c r="C257" s="30"/>
      <c r="D257" s="141"/>
      <c r="E257" s="42"/>
      <c r="F257" s="43"/>
      <c r="G257" s="59"/>
      <c r="H257" s="60"/>
      <c r="I257" s="60"/>
      <c r="J257" s="60"/>
      <c r="K257" s="60"/>
      <c r="L257" s="60"/>
      <c r="M257" s="60"/>
      <c r="N257" s="60"/>
      <c r="O257" s="30"/>
      <c r="P257" s="30"/>
      <c r="Q257" s="30"/>
      <c r="R257" s="30"/>
      <c r="S257" s="30"/>
      <c r="T257" s="30"/>
    </row>
    <row r="258" spans="1:20" ht="12.75" customHeight="1" x14ac:dyDescent="0.25">
      <c r="A258" s="342"/>
      <c r="B258" s="30"/>
      <c r="C258" s="30"/>
      <c r="D258" s="141"/>
      <c r="E258" s="42"/>
      <c r="F258" s="43"/>
      <c r="G258" s="59"/>
      <c r="H258" s="60"/>
      <c r="I258" s="60"/>
      <c r="J258" s="60"/>
      <c r="K258" s="60"/>
      <c r="L258" s="60"/>
      <c r="M258" s="60"/>
      <c r="N258" s="60"/>
      <c r="O258" s="30"/>
      <c r="P258" s="30"/>
      <c r="Q258" s="30"/>
      <c r="R258" s="30"/>
      <c r="S258" s="30"/>
      <c r="T258" s="30"/>
    </row>
    <row r="259" spans="1:20" ht="12.75" customHeight="1" x14ac:dyDescent="0.25">
      <c r="A259" s="342"/>
      <c r="B259" s="30"/>
      <c r="C259" s="30"/>
      <c r="D259" s="141"/>
      <c r="E259" s="42"/>
      <c r="F259" s="43"/>
      <c r="G259" s="59"/>
      <c r="H259" s="60"/>
      <c r="I259" s="60"/>
      <c r="J259" s="60"/>
      <c r="K259" s="60"/>
      <c r="L259" s="60"/>
      <c r="M259" s="60"/>
      <c r="N259" s="60"/>
      <c r="O259" s="30"/>
      <c r="P259" s="30"/>
      <c r="Q259" s="30"/>
      <c r="R259" s="30"/>
      <c r="S259" s="30"/>
      <c r="T259" s="30"/>
    </row>
    <row r="260" spans="1:20" ht="12.75" customHeight="1" x14ac:dyDescent="0.25">
      <c r="A260" s="342"/>
      <c r="B260" s="30"/>
      <c r="C260" s="30"/>
      <c r="D260" s="141"/>
      <c r="E260" s="42"/>
      <c r="F260" s="43"/>
      <c r="G260" s="59"/>
      <c r="H260" s="60"/>
      <c r="I260" s="60"/>
      <c r="J260" s="60"/>
      <c r="K260" s="60"/>
      <c r="L260" s="60"/>
      <c r="M260" s="60"/>
      <c r="N260" s="60"/>
      <c r="O260" s="30"/>
      <c r="P260" s="30"/>
      <c r="Q260" s="30"/>
      <c r="R260" s="30"/>
      <c r="S260" s="30"/>
      <c r="T260" s="30"/>
    </row>
    <row r="261" spans="1:20" ht="12.75" customHeight="1" x14ac:dyDescent="0.25">
      <c r="A261" s="342"/>
      <c r="B261" s="30"/>
      <c r="C261" s="30"/>
      <c r="D261" s="141"/>
      <c r="E261" s="42"/>
      <c r="F261" s="43"/>
      <c r="G261" s="59"/>
      <c r="H261" s="60"/>
      <c r="I261" s="60"/>
      <c r="J261" s="60"/>
      <c r="K261" s="60"/>
      <c r="L261" s="60"/>
      <c r="M261" s="60"/>
      <c r="N261" s="60"/>
      <c r="O261" s="30"/>
      <c r="P261" s="30"/>
      <c r="Q261" s="30"/>
      <c r="R261" s="30"/>
      <c r="S261" s="30"/>
      <c r="T261" s="30"/>
    </row>
    <row r="262" spans="1:20" ht="12.75" customHeight="1" x14ac:dyDescent="0.25">
      <c r="A262" s="342"/>
      <c r="B262" s="30"/>
      <c r="C262" s="30"/>
      <c r="D262" s="141"/>
      <c r="E262" s="42"/>
      <c r="F262" s="43"/>
      <c r="G262" s="59"/>
      <c r="H262" s="60"/>
      <c r="I262" s="60"/>
      <c r="J262" s="60"/>
      <c r="K262" s="60"/>
      <c r="L262" s="60"/>
      <c r="M262" s="60"/>
      <c r="N262" s="60"/>
      <c r="O262" s="30"/>
      <c r="P262" s="30"/>
      <c r="Q262" s="30"/>
      <c r="R262" s="30"/>
      <c r="S262" s="30"/>
      <c r="T262" s="30"/>
    </row>
    <row r="263" spans="1:20" ht="12.75" customHeight="1" x14ac:dyDescent="0.25">
      <c r="A263" s="342"/>
      <c r="B263" s="30"/>
      <c r="C263" s="30"/>
      <c r="D263" s="141"/>
      <c r="E263" s="42"/>
      <c r="F263" s="43"/>
      <c r="G263" s="59"/>
      <c r="H263" s="60"/>
      <c r="I263" s="60"/>
      <c r="J263" s="60"/>
      <c r="K263" s="60"/>
      <c r="L263" s="60"/>
      <c r="M263" s="60"/>
      <c r="N263" s="60"/>
      <c r="O263" s="30"/>
      <c r="P263" s="30"/>
      <c r="Q263" s="30"/>
      <c r="R263" s="30"/>
      <c r="S263" s="30"/>
      <c r="T263" s="30"/>
    </row>
    <row r="264" spans="1:20" ht="12.75" customHeight="1" x14ac:dyDescent="0.25">
      <c r="A264" s="342"/>
      <c r="B264" s="30"/>
      <c r="C264" s="30"/>
      <c r="D264" s="141"/>
      <c r="E264" s="42"/>
      <c r="F264" s="43"/>
      <c r="G264" s="59"/>
      <c r="H264" s="60"/>
      <c r="I264" s="60"/>
      <c r="J264" s="60"/>
      <c r="K264" s="60"/>
      <c r="L264" s="60"/>
      <c r="M264" s="60"/>
      <c r="N264" s="60"/>
      <c r="O264" s="30"/>
      <c r="P264" s="30"/>
      <c r="Q264" s="30"/>
      <c r="R264" s="30"/>
      <c r="S264" s="30"/>
      <c r="T264" s="30"/>
    </row>
    <row r="265" spans="1:20" ht="12.75" customHeight="1" x14ac:dyDescent="0.25">
      <c r="A265" s="342"/>
      <c r="B265" s="30"/>
      <c r="C265" s="30"/>
      <c r="D265" s="141"/>
      <c r="E265" s="42"/>
      <c r="F265" s="43"/>
      <c r="G265" s="59"/>
      <c r="H265" s="60"/>
      <c r="I265" s="60"/>
      <c r="J265" s="60"/>
      <c r="K265" s="60"/>
      <c r="L265" s="60"/>
      <c r="M265" s="60"/>
      <c r="N265" s="60"/>
      <c r="O265" s="30"/>
      <c r="P265" s="30"/>
      <c r="Q265" s="30"/>
      <c r="R265" s="30"/>
      <c r="S265" s="30"/>
      <c r="T265" s="30"/>
    </row>
    <row r="266" spans="1:20" ht="12.75" customHeight="1" x14ac:dyDescent="0.25">
      <c r="A266" s="342"/>
      <c r="B266" s="30"/>
      <c r="C266" s="30"/>
      <c r="D266" s="141"/>
      <c r="E266" s="42"/>
      <c r="F266" s="43"/>
      <c r="G266" s="59"/>
      <c r="H266" s="60"/>
      <c r="I266" s="60"/>
      <c r="J266" s="60"/>
      <c r="K266" s="60"/>
      <c r="L266" s="60"/>
      <c r="M266" s="60"/>
      <c r="N266" s="60"/>
      <c r="O266" s="30"/>
      <c r="P266" s="30"/>
      <c r="Q266" s="30"/>
      <c r="R266" s="30"/>
      <c r="S266" s="30"/>
      <c r="T266" s="30"/>
    </row>
    <row r="267" spans="1:20" ht="12.75" customHeight="1" x14ac:dyDescent="0.25">
      <c r="A267" s="342"/>
      <c r="B267" s="30"/>
      <c r="C267" s="30"/>
      <c r="D267" s="141"/>
      <c r="E267" s="42"/>
      <c r="F267" s="43"/>
      <c r="G267" s="59"/>
      <c r="H267" s="60"/>
      <c r="I267" s="60"/>
      <c r="J267" s="60"/>
      <c r="K267" s="60"/>
      <c r="L267" s="60"/>
      <c r="M267" s="60"/>
      <c r="N267" s="60"/>
      <c r="O267" s="30"/>
      <c r="P267" s="30"/>
      <c r="Q267" s="30"/>
      <c r="R267" s="30"/>
      <c r="S267" s="30"/>
      <c r="T267" s="30"/>
    </row>
    <row r="268" spans="1:20" ht="12.75" customHeight="1" x14ac:dyDescent="0.25">
      <c r="A268" s="342"/>
      <c r="B268" s="30"/>
      <c r="C268" s="30"/>
      <c r="D268" s="141"/>
      <c r="E268" s="42"/>
      <c r="F268" s="43"/>
      <c r="G268" s="59"/>
      <c r="H268" s="60"/>
      <c r="I268" s="60"/>
      <c r="J268" s="60"/>
      <c r="K268" s="60"/>
      <c r="L268" s="60"/>
      <c r="M268" s="60"/>
      <c r="N268" s="60"/>
      <c r="O268" s="30"/>
      <c r="P268" s="30"/>
      <c r="Q268" s="30"/>
      <c r="R268" s="30"/>
      <c r="S268" s="30"/>
      <c r="T268" s="30"/>
    </row>
    <row r="269" spans="1:20" ht="12.75" customHeight="1" x14ac:dyDescent="0.25">
      <c r="A269" s="342"/>
      <c r="B269" s="30"/>
      <c r="C269" s="30"/>
      <c r="D269" s="141"/>
      <c r="E269" s="42"/>
      <c r="F269" s="43"/>
      <c r="G269" s="59"/>
      <c r="H269" s="60"/>
      <c r="I269" s="60"/>
      <c r="J269" s="60"/>
      <c r="K269" s="60"/>
      <c r="L269" s="60"/>
      <c r="M269" s="60"/>
      <c r="N269" s="60"/>
      <c r="O269" s="30"/>
      <c r="P269" s="30"/>
      <c r="Q269" s="30"/>
      <c r="R269" s="30"/>
      <c r="S269" s="30"/>
      <c r="T269" s="30"/>
    </row>
    <row r="270" spans="1:20" ht="12.75" customHeight="1" x14ac:dyDescent="0.25">
      <c r="A270" s="342"/>
      <c r="B270" s="30"/>
      <c r="C270" s="30"/>
      <c r="D270" s="141"/>
      <c r="E270" s="42"/>
      <c r="F270" s="43"/>
      <c r="G270" s="59"/>
      <c r="H270" s="60"/>
      <c r="I270" s="60"/>
      <c r="J270" s="60"/>
      <c r="K270" s="60"/>
      <c r="L270" s="60"/>
      <c r="M270" s="60"/>
      <c r="N270" s="60"/>
      <c r="O270" s="30"/>
      <c r="P270" s="30"/>
      <c r="Q270" s="30"/>
      <c r="R270" s="30"/>
      <c r="S270" s="30"/>
      <c r="T270" s="30"/>
    </row>
    <row r="271" spans="1:20" ht="12.75" customHeight="1" x14ac:dyDescent="0.25">
      <c r="A271" s="342"/>
      <c r="B271" s="30"/>
      <c r="C271" s="30"/>
      <c r="D271" s="141"/>
      <c r="E271" s="42"/>
      <c r="F271" s="43"/>
      <c r="G271" s="59"/>
      <c r="H271" s="60"/>
      <c r="I271" s="60"/>
      <c r="J271" s="60"/>
      <c r="K271" s="60"/>
      <c r="L271" s="60"/>
      <c r="M271" s="60"/>
      <c r="N271" s="60"/>
      <c r="O271" s="30"/>
      <c r="P271" s="30"/>
      <c r="Q271" s="30"/>
      <c r="R271" s="30"/>
      <c r="S271" s="30"/>
      <c r="T271" s="30"/>
    </row>
    <row r="272" spans="1:20" ht="12.75" customHeight="1" x14ac:dyDescent="0.25">
      <c r="A272" s="342"/>
      <c r="B272" s="30"/>
      <c r="C272" s="30"/>
      <c r="D272" s="141"/>
      <c r="E272" s="42"/>
      <c r="F272" s="43"/>
      <c r="G272" s="59"/>
      <c r="H272" s="60"/>
      <c r="I272" s="60"/>
      <c r="J272" s="60"/>
      <c r="K272" s="60"/>
      <c r="L272" s="60"/>
      <c r="M272" s="60"/>
      <c r="N272" s="60"/>
      <c r="O272" s="30"/>
      <c r="P272" s="30"/>
      <c r="Q272" s="30"/>
      <c r="R272" s="30"/>
      <c r="S272" s="30"/>
      <c r="T272" s="30"/>
    </row>
    <row r="273" spans="1:20" ht="12.75" customHeight="1" x14ac:dyDescent="0.25">
      <c r="A273" s="342"/>
      <c r="B273" s="30"/>
      <c r="C273" s="30"/>
      <c r="D273" s="141"/>
      <c r="E273" s="42"/>
      <c r="F273" s="43"/>
      <c r="G273" s="59"/>
      <c r="H273" s="60"/>
      <c r="I273" s="60"/>
      <c r="J273" s="60"/>
      <c r="K273" s="60"/>
      <c r="L273" s="60"/>
      <c r="M273" s="60"/>
      <c r="N273" s="60"/>
      <c r="O273" s="30"/>
      <c r="P273" s="30"/>
      <c r="Q273" s="30"/>
      <c r="R273" s="30"/>
      <c r="S273" s="30"/>
      <c r="T273" s="30"/>
    </row>
    <row r="274" spans="1:20" ht="12.75" customHeight="1" x14ac:dyDescent="0.25">
      <c r="A274" s="342"/>
      <c r="B274" s="30"/>
      <c r="C274" s="30"/>
      <c r="D274" s="141"/>
      <c r="E274" s="42"/>
      <c r="F274" s="43"/>
      <c r="G274" s="59"/>
      <c r="H274" s="60"/>
      <c r="I274" s="60"/>
      <c r="J274" s="60"/>
      <c r="K274" s="60"/>
      <c r="L274" s="60"/>
      <c r="M274" s="60"/>
      <c r="N274" s="60"/>
      <c r="O274" s="30"/>
      <c r="P274" s="30"/>
      <c r="Q274" s="30"/>
      <c r="R274" s="30"/>
      <c r="S274" s="30"/>
      <c r="T274" s="30"/>
    </row>
    <row r="275" spans="1:20" ht="12.75" customHeight="1" x14ac:dyDescent="0.25">
      <c r="A275" s="342"/>
      <c r="B275" s="30"/>
      <c r="C275" s="30"/>
      <c r="D275" s="141"/>
      <c r="E275" s="42"/>
      <c r="F275" s="43"/>
      <c r="G275" s="59"/>
      <c r="H275" s="60"/>
      <c r="I275" s="60"/>
      <c r="J275" s="60"/>
      <c r="K275" s="60"/>
      <c r="L275" s="60"/>
      <c r="M275" s="60"/>
      <c r="N275" s="60"/>
      <c r="O275" s="30"/>
      <c r="P275" s="30"/>
      <c r="Q275" s="30"/>
      <c r="R275" s="30"/>
      <c r="S275" s="30"/>
      <c r="T275" s="30"/>
    </row>
    <row r="276" spans="1:20" ht="12.75" customHeight="1" x14ac:dyDescent="0.25">
      <c r="A276" s="342"/>
      <c r="B276" s="30"/>
      <c r="C276" s="30"/>
      <c r="D276" s="141"/>
      <c r="E276" s="42"/>
      <c r="F276" s="43"/>
      <c r="G276" s="59"/>
      <c r="H276" s="60"/>
      <c r="I276" s="60"/>
      <c r="J276" s="60"/>
      <c r="K276" s="60"/>
      <c r="L276" s="60"/>
      <c r="M276" s="60"/>
      <c r="N276" s="60"/>
      <c r="O276" s="30"/>
      <c r="P276" s="30"/>
      <c r="Q276" s="30"/>
      <c r="R276" s="30"/>
      <c r="S276" s="30"/>
      <c r="T276" s="30"/>
    </row>
    <row r="277" spans="1:20" ht="12.75" customHeight="1" x14ac:dyDescent="0.25">
      <c r="A277" s="342"/>
      <c r="B277" s="30"/>
      <c r="C277" s="30"/>
      <c r="D277" s="141"/>
      <c r="E277" s="42"/>
      <c r="F277" s="43"/>
      <c r="G277" s="59"/>
      <c r="H277" s="60"/>
      <c r="I277" s="60"/>
      <c r="J277" s="60"/>
      <c r="K277" s="60"/>
      <c r="L277" s="60"/>
      <c r="M277" s="60"/>
      <c r="N277" s="60"/>
      <c r="O277" s="30"/>
      <c r="P277" s="30"/>
      <c r="Q277" s="30"/>
      <c r="R277" s="30"/>
      <c r="S277" s="30"/>
      <c r="T277" s="30"/>
    </row>
    <row r="278" spans="1:20" ht="12.75" customHeight="1" x14ac:dyDescent="0.25">
      <c r="A278" s="342"/>
      <c r="B278" s="30"/>
      <c r="C278" s="30"/>
      <c r="D278" s="141"/>
      <c r="E278" s="42"/>
      <c r="F278" s="43"/>
      <c r="G278" s="59"/>
      <c r="H278" s="60"/>
      <c r="I278" s="60"/>
      <c r="J278" s="60"/>
      <c r="K278" s="60"/>
      <c r="L278" s="60"/>
      <c r="M278" s="60"/>
      <c r="N278" s="60"/>
      <c r="O278" s="30"/>
      <c r="P278" s="30"/>
      <c r="Q278" s="30"/>
      <c r="R278" s="30"/>
      <c r="S278" s="30"/>
      <c r="T278" s="30"/>
    </row>
    <row r="279" spans="1:20" ht="12.75" customHeight="1" x14ac:dyDescent="0.25">
      <c r="A279" s="342"/>
      <c r="B279" s="30"/>
      <c r="C279" s="30"/>
      <c r="D279" s="141"/>
      <c r="E279" s="42"/>
      <c r="F279" s="43"/>
      <c r="G279" s="59"/>
      <c r="H279" s="60"/>
      <c r="I279" s="60"/>
      <c r="J279" s="60"/>
      <c r="K279" s="60"/>
      <c r="L279" s="60"/>
      <c r="M279" s="60"/>
      <c r="N279" s="60"/>
      <c r="O279" s="30"/>
      <c r="P279" s="30"/>
      <c r="Q279" s="30"/>
      <c r="R279" s="30"/>
      <c r="S279" s="30"/>
      <c r="T279" s="30"/>
    </row>
    <row r="280" spans="1:20" ht="12.75" customHeight="1" x14ac:dyDescent="0.25">
      <c r="A280" s="342"/>
      <c r="B280" s="30"/>
      <c r="C280" s="30"/>
      <c r="D280" s="141"/>
      <c r="E280" s="42"/>
      <c r="F280" s="43"/>
      <c r="G280" s="59"/>
      <c r="H280" s="60"/>
      <c r="I280" s="60"/>
      <c r="J280" s="60"/>
      <c r="K280" s="60"/>
      <c r="L280" s="60"/>
      <c r="M280" s="60"/>
      <c r="N280" s="60"/>
      <c r="O280" s="30"/>
      <c r="P280" s="30"/>
      <c r="Q280" s="30"/>
      <c r="R280" s="30"/>
      <c r="S280" s="30"/>
      <c r="T280" s="30"/>
    </row>
    <row r="281" spans="1:20" ht="12.75" customHeight="1" x14ac:dyDescent="0.25">
      <c r="A281" s="342"/>
      <c r="B281" s="30"/>
      <c r="C281" s="30"/>
      <c r="D281" s="141"/>
      <c r="E281" s="42"/>
      <c r="F281" s="43"/>
      <c r="G281" s="59"/>
      <c r="H281" s="60"/>
      <c r="I281" s="60"/>
      <c r="J281" s="60"/>
      <c r="K281" s="60"/>
      <c r="L281" s="60"/>
      <c r="M281" s="60"/>
      <c r="N281" s="60"/>
      <c r="O281" s="30"/>
      <c r="P281" s="30"/>
      <c r="Q281" s="30"/>
      <c r="R281" s="30"/>
      <c r="S281" s="30"/>
      <c r="T281" s="30"/>
    </row>
    <row r="282" spans="1:20" ht="12.75" customHeight="1" x14ac:dyDescent="0.25">
      <c r="A282" s="342"/>
      <c r="B282" s="30"/>
      <c r="C282" s="30"/>
      <c r="D282" s="141"/>
      <c r="E282" s="42"/>
      <c r="F282" s="43"/>
      <c r="G282" s="59"/>
      <c r="H282" s="60"/>
      <c r="I282" s="60"/>
      <c r="J282" s="60"/>
      <c r="K282" s="60"/>
      <c r="L282" s="60"/>
      <c r="M282" s="60"/>
      <c r="N282" s="60"/>
      <c r="O282" s="30"/>
      <c r="P282" s="30"/>
      <c r="Q282" s="30"/>
      <c r="R282" s="30"/>
      <c r="S282" s="30"/>
      <c r="T282" s="30"/>
    </row>
    <row r="283" spans="1:20" ht="12.75" customHeight="1" x14ac:dyDescent="0.25">
      <c r="A283" s="342"/>
      <c r="B283" s="30"/>
      <c r="C283" s="30"/>
      <c r="D283" s="141"/>
      <c r="E283" s="42"/>
      <c r="F283" s="43"/>
      <c r="G283" s="59"/>
      <c r="H283" s="60"/>
      <c r="I283" s="60"/>
      <c r="J283" s="60"/>
      <c r="K283" s="60"/>
      <c r="L283" s="60"/>
      <c r="M283" s="60"/>
      <c r="N283" s="60"/>
      <c r="O283" s="30"/>
      <c r="P283" s="30"/>
      <c r="Q283" s="30"/>
      <c r="R283" s="30"/>
      <c r="S283" s="30"/>
      <c r="T283" s="30"/>
    </row>
    <row r="284" spans="1:20" ht="12.75" customHeight="1" x14ac:dyDescent="0.25">
      <c r="A284" s="342"/>
      <c r="B284" s="30"/>
      <c r="C284" s="30"/>
      <c r="D284" s="141"/>
      <c r="E284" s="42"/>
      <c r="F284" s="43"/>
      <c r="G284" s="59"/>
      <c r="H284" s="60"/>
      <c r="I284" s="60"/>
      <c r="J284" s="60"/>
      <c r="K284" s="60"/>
      <c r="L284" s="60"/>
      <c r="M284" s="60"/>
      <c r="N284" s="60"/>
      <c r="O284" s="30"/>
      <c r="P284" s="30"/>
      <c r="Q284" s="30"/>
      <c r="R284" s="30"/>
      <c r="S284" s="30"/>
      <c r="T284" s="30"/>
    </row>
    <row r="285" spans="1:20" ht="12.75" customHeight="1" x14ac:dyDescent="0.25">
      <c r="A285" s="342"/>
      <c r="B285" s="30"/>
      <c r="C285" s="30"/>
      <c r="D285" s="141"/>
      <c r="E285" s="42"/>
      <c r="F285" s="43"/>
      <c r="G285" s="59"/>
      <c r="H285" s="60"/>
      <c r="I285" s="60"/>
      <c r="J285" s="60"/>
      <c r="K285" s="60"/>
      <c r="L285" s="60"/>
      <c r="M285" s="60"/>
      <c r="N285" s="60"/>
      <c r="O285" s="30"/>
      <c r="P285" s="30"/>
      <c r="Q285" s="30"/>
      <c r="R285" s="30"/>
      <c r="S285" s="30"/>
      <c r="T285" s="30"/>
    </row>
    <row r="286" spans="1:20" ht="12.75" customHeight="1" x14ac:dyDescent="0.25">
      <c r="A286" s="342"/>
      <c r="B286" s="30"/>
      <c r="C286" s="30"/>
      <c r="D286" s="141"/>
      <c r="E286" s="42"/>
      <c r="F286" s="43"/>
      <c r="G286" s="59"/>
      <c r="H286" s="60"/>
      <c r="I286" s="60"/>
      <c r="J286" s="60"/>
      <c r="K286" s="60"/>
      <c r="L286" s="60"/>
      <c r="M286" s="60"/>
      <c r="N286" s="60"/>
      <c r="O286" s="30"/>
      <c r="P286" s="30"/>
      <c r="Q286" s="30"/>
      <c r="R286" s="30"/>
      <c r="S286" s="30"/>
      <c r="T286" s="30"/>
    </row>
    <row r="287" spans="1:20" ht="12.75" customHeight="1" x14ac:dyDescent="0.25">
      <c r="A287" s="342"/>
      <c r="B287" s="30"/>
      <c r="C287" s="30"/>
      <c r="D287" s="141"/>
      <c r="E287" s="42"/>
      <c r="F287" s="43"/>
      <c r="G287" s="59"/>
      <c r="H287" s="60"/>
      <c r="I287" s="60"/>
      <c r="J287" s="60"/>
      <c r="K287" s="60"/>
      <c r="L287" s="60"/>
      <c r="M287" s="60"/>
      <c r="N287" s="60"/>
      <c r="O287" s="30"/>
      <c r="P287" s="30"/>
      <c r="Q287" s="30"/>
      <c r="R287" s="30"/>
      <c r="S287" s="30"/>
      <c r="T287" s="30"/>
    </row>
    <row r="288" spans="1:20" ht="12.75" customHeight="1" x14ac:dyDescent="0.25">
      <c r="A288" s="342"/>
      <c r="B288" s="30"/>
      <c r="C288" s="30"/>
      <c r="D288" s="141"/>
      <c r="E288" s="42"/>
      <c r="F288" s="43"/>
      <c r="G288" s="59"/>
      <c r="H288" s="60"/>
      <c r="I288" s="60"/>
      <c r="J288" s="60"/>
      <c r="K288" s="60"/>
      <c r="L288" s="60"/>
      <c r="M288" s="60"/>
      <c r="N288" s="60"/>
      <c r="O288" s="30"/>
      <c r="P288" s="30"/>
      <c r="Q288" s="30"/>
      <c r="R288" s="30"/>
      <c r="S288" s="30"/>
      <c r="T288" s="30"/>
    </row>
    <row r="289" spans="1:20" ht="12.75" customHeight="1" x14ac:dyDescent="0.25">
      <c r="A289" s="342"/>
      <c r="B289" s="30"/>
      <c r="C289" s="30"/>
      <c r="D289" s="141"/>
      <c r="E289" s="42"/>
      <c r="F289" s="43"/>
      <c r="G289" s="59"/>
      <c r="H289" s="60"/>
      <c r="I289" s="60"/>
      <c r="J289" s="60"/>
      <c r="K289" s="60"/>
      <c r="L289" s="60"/>
      <c r="M289" s="60"/>
      <c r="N289" s="60"/>
      <c r="O289" s="30"/>
      <c r="P289" s="30"/>
      <c r="Q289" s="30"/>
      <c r="R289" s="30"/>
      <c r="S289" s="30"/>
      <c r="T289" s="30"/>
    </row>
    <row r="290" spans="1:20" ht="12.75" customHeight="1" x14ac:dyDescent="0.25">
      <c r="A290" s="342"/>
      <c r="B290" s="30"/>
      <c r="C290" s="30"/>
      <c r="D290" s="141"/>
      <c r="E290" s="42"/>
      <c r="F290" s="43"/>
      <c r="G290" s="59"/>
      <c r="H290" s="60"/>
      <c r="I290" s="60"/>
      <c r="J290" s="60"/>
      <c r="K290" s="60"/>
      <c r="L290" s="60"/>
      <c r="M290" s="60"/>
      <c r="N290" s="60"/>
      <c r="O290" s="30"/>
      <c r="P290" s="30"/>
      <c r="Q290" s="30"/>
      <c r="R290" s="30"/>
      <c r="S290" s="30"/>
      <c r="T290" s="30"/>
    </row>
    <row r="291" spans="1:20" ht="12.75" customHeight="1" x14ac:dyDescent="0.25">
      <c r="A291" s="342"/>
      <c r="B291" s="30"/>
      <c r="C291" s="30"/>
      <c r="D291" s="141"/>
      <c r="E291" s="42"/>
      <c r="F291" s="43"/>
      <c r="G291" s="59"/>
      <c r="H291" s="60"/>
      <c r="I291" s="60"/>
      <c r="J291" s="60"/>
      <c r="K291" s="60"/>
      <c r="L291" s="60"/>
      <c r="M291" s="60"/>
      <c r="N291" s="60"/>
      <c r="O291" s="30"/>
      <c r="P291" s="30"/>
      <c r="Q291" s="30"/>
      <c r="R291" s="30"/>
      <c r="S291" s="30"/>
      <c r="T291" s="30"/>
    </row>
    <row r="292" spans="1:20" ht="12.75" customHeight="1" x14ac:dyDescent="0.25">
      <c r="A292" s="342"/>
      <c r="B292" s="30"/>
      <c r="C292" s="30"/>
      <c r="D292" s="141"/>
      <c r="E292" s="42"/>
      <c r="F292" s="43"/>
      <c r="G292" s="59"/>
      <c r="H292" s="60"/>
      <c r="I292" s="60"/>
      <c r="J292" s="60"/>
      <c r="K292" s="60"/>
      <c r="L292" s="60"/>
      <c r="M292" s="60"/>
      <c r="N292" s="60"/>
      <c r="O292" s="30"/>
      <c r="P292" s="30"/>
      <c r="Q292" s="30"/>
      <c r="R292" s="30"/>
      <c r="S292" s="30"/>
      <c r="T292" s="30"/>
    </row>
    <row r="293" spans="1:20" ht="12.75" customHeight="1" x14ac:dyDescent="0.25">
      <c r="A293" s="342"/>
      <c r="B293" s="30"/>
      <c r="C293" s="30"/>
      <c r="D293" s="141"/>
      <c r="E293" s="42"/>
      <c r="F293" s="43"/>
      <c r="G293" s="59"/>
      <c r="H293" s="60"/>
      <c r="I293" s="60"/>
      <c r="J293" s="60"/>
      <c r="K293" s="60"/>
      <c r="L293" s="60"/>
      <c r="M293" s="60"/>
      <c r="N293" s="60"/>
      <c r="O293" s="30"/>
      <c r="P293" s="30"/>
      <c r="Q293" s="30"/>
      <c r="R293" s="30"/>
      <c r="S293" s="30"/>
      <c r="T293" s="30"/>
    </row>
    <row r="294" spans="1:20" ht="12.75" customHeight="1" x14ac:dyDescent="0.25">
      <c r="A294" s="342"/>
      <c r="B294" s="30"/>
      <c r="C294" s="30"/>
      <c r="D294" s="141"/>
      <c r="E294" s="42"/>
      <c r="F294" s="43"/>
      <c r="G294" s="59"/>
      <c r="H294" s="60"/>
      <c r="I294" s="60"/>
      <c r="J294" s="60"/>
      <c r="K294" s="60"/>
      <c r="L294" s="60"/>
      <c r="M294" s="60"/>
      <c r="N294" s="60"/>
      <c r="O294" s="30"/>
      <c r="P294" s="30"/>
      <c r="Q294" s="30"/>
      <c r="R294" s="30"/>
      <c r="S294" s="30"/>
      <c r="T294" s="30"/>
    </row>
    <row r="295" spans="1:20" ht="12.75" customHeight="1" x14ac:dyDescent="0.25">
      <c r="A295" s="342"/>
      <c r="B295" s="30"/>
      <c r="C295" s="30"/>
      <c r="D295" s="141"/>
      <c r="E295" s="42"/>
      <c r="F295" s="43"/>
      <c r="G295" s="59"/>
      <c r="H295" s="60"/>
      <c r="I295" s="60"/>
      <c r="J295" s="60"/>
      <c r="K295" s="60"/>
      <c r="L295" s="60"/>
      <c r="M295" s="60"/>
      <c r="N295" s="60"/>
      <c r="O295" s="30"/>
      <c r="P295" s="30"/>
      <c r="Q295" s="30"/>
      <c r="R295" s="30"/>
      <c r="S295" s="30"/>
      <c r="T295" s="30"/>
    </row>
    <row r="296" spans="1:20" ht="12.75" customHeight="1" x14ac:dyDescent="0.25">
      <c r="A296" s="342"/>
      <c r="B296" s="30"/>
      <c r="C296" s="30"/>
      <c r="D296" s="141"/>
      <c r="E296" s="42"/>
      <c r="F296" s="43"/>
      <c r="G296" s="59"/>
      <c r="H296" s="60"/>
      <c r="I296" s="60"/>
      <c r="J296" s="60"/>
      <c r="K296" s="60"/>
      <c r="L296" s="60"/>
      <c r="M296" s="60"/>
      <c r="N296" s="60"/>
      <c r="O296" s="30"/>
      <c r="P296" s="30"/>
      <c r="Q296" s="30"/>
      <c r="R296" s="30"/>
      <c r="S296" s="30"/>
      <c r="T296" s="30"/>
    </row>
    <row r="297" spans="1:20" ht="12.75" customHeight="1" x14ac:dyDescent="0.25">
      <c r="A297" s="342"/>
      <c r="B297" s="30"/>
      <c r="C297" s="30"/>
      <c r="D297" s="141"/>
      <c r="E297" s="42"/>
      <c r="F297" s="43"/>
      <c r="G297" s="59"/>
      <c r="H297" s="60"/>
      <c r="I297" s="60"/>
      <c r="J297" s="60"/>
      <c r="K297" s="60"/>
      <c r="L297" s="60"/>
      <c r="M297" s="60"/>
      <c r="N297" s="60"/>
      <c r="O297" s="30"/>
      <c r="P297" s="30"/>
      <c r="Q297" s="30"/>
      <c r="R297" s="30"/>
      <c r="S297" s="30"/>
      <c r="T297" s="30"/>
    </row>
    <row r="298" spans="1:20" ht="12.75" customHeight="1" x14ac:dyDescent="0.25">
      <c r="A298" s="342"/>
      <c r="B298" s="30"/>
      <c r="C298" s="30"/>
      <c r="D298" s="141"/>
      <c r="E298" s="42"/>
      <c r="F298" s="43"/>
      <c r="G298" s="59"/>
      <c r="H298" s="60"/>
      <c r="I298" s="60"/>
      <c r="J298" s="60"/>
      <c r="K298" s="60"/>
      <c r="L298" s="60"/>
      <c r="M298" s="60"/>
      <c r="N298" s="60"/>
      <c r="O298" s="30"/>
      <c r="P298" s="30"/>
      <c r="Q298" s="30"/>
      <c r="R298" s="30"/>
      <c r="S298" s="30"/>
      <c r="T298" s="30"/>
    </row>
    <row r="299" spans="1:20" ht="12.75" customHeight="1" x14ac:dyDescent="0.25">
      <c r="A299" s="342"/>
      <c r="B299" s="30"/>
      <c r="C299" s="30"/>
      <c r="D299" s="141"/>
      <c r="E299" s="42"/>
      <c r="F299" s="43"/>
      <c r="G299" s="59"/>
      <c r="H299" s="60"/>
      <c r="I299" s="60"/>
      <c r="J299" s="60"/>
      <c r="K299" s="60"/>
      <c r="L299" s="60"/>
      <c r="M299" s="60"/>
      <c r="N299" s="60"/>
      <c r="O299" s="30"/>
      <c r="P299" s="30"/>
      <c r="Q299" s="30"/>
      <c r="R299" s="30"/>
      <c r="S299" s="30"/>
      <c r="T299" s="30"/>
    </row>
    <row r="300" spans="1:20" ht="12.75" customHeight="1" x14ac:dyDescent="0.25">
      <c r="A300" s="342"/>
      <c r="B300" s="30"/>
      <c r="C300" s="30"/>
      <c r="D300" s="141"/>
      <c r="E300" s="42"/>
      <c r="F300" s="43"/>
      <c r="G300" s="59"/>
      <c r="H300" s="60"/>
      <c r="I300" s="60"/>
      <c r="J300" s="60"/>
      <c r="K300" s="60"/>
      <c r="L300" s="60"/>
      <c r="M300" s="60"/>
      <c r="N300" s="60"/>
      <c r="O300" s="30"/>
      <c r="P300" s="30"/>
      <c r="Q300" s="30"/>
      <c r="R300" s="30"/>
      <c r="S300" s="30"/>
      <c r="T300" s="30"/>
    </row>
    <row r="301" spans="1:20" ht="12.75" customHeight="1" x14ac:dyDescent="0.25">
      <c r="A301" s="342"/>
      <c r="B301" s="30"/>
      <c r="C301" s="30"/>
      <c r="D301" s="141"/>
      <c r="E301" s="42"/>
      <c r="F301" s="43"/>
      <c r="G301" s="59"/>
      <c r="H301" s="60"/>
      <c r="I301" s="60"/>
      <c r="J301" s="60"/>
      <c r="K301" s="60"/>
      <c r="L301" s="60"/>
      <c r="M301" s="60"/>
      <c r="N301" s="60"/>
      <c r="O301" s="30"/>
      <c r="P301" s="30"/>
      <c r="Q301" s="30"/>
      <c r="R301" s="30"/>
      <c r="S301" s="30"/>
      <c r="T301" s="30"/>
    </row>
    <row r="302" spans="1:20" ht="12.75" customHeight="1" x14ac:dyDescent="0.25">
      <c r="A302" s="342"/>
      <c r="B302" s="30"/>
      <c r="C302" s="30"/>
      <c r="D302" s="141"/>
      <c r="E302" s="42"/>
      <c r="F302" s="43"/>
      <c r="G302" s="59"/>
      <c r="H302" s="60"/>
      <c r="I302" s="60"/>
      <c r="J302" s="60"/>
      <c r="K302" s="60"/>
      <c r="L302" s="60"/>
      <c r="M302" s="60"/>
      <c r="N302" s="60"/>
      <c r="O302" s="30"/>
      <c r="P302" s="30"/>
      <c r="Q302" s="30"/>
      <c r="R302" s="30"/>
      <c r="S302" s="30"/>
      <c r="T302" s="30"/>
    </row>
    <row r="303" spans="1:20" ht="12.75" customHeight="1" x14ac:dyDescent="0.25">
      <c r="A303" s="342"/>
      <c r="B303" s="30"/>
      <c r="C303" s="30"/>
      <c r="D303" s="141"/>
      <c r="E303" s="42"/>
      <c r="F303" s="43"/>
      <c r="G303" s="59"/>
      <c r="H303" s="60"/>
      <c r="I303" s="60"/>
      <c r="J303" s="60"/>
      <c r="K303" s="60"/>
      <c r="L303" s="60"/>
      <c r="M303" s="60"/>
      <c r="N303" s="60"/>
      <c r="O303" s="30"/>
      <c r="P303" s="30"/>
      <c r="Q303" s="30"/>
      <c r="R303" s="30"/>
      <c r="S303" s="30"/>
      <c r="T303" s="30"/>
    </row>
    <row r="304" spans="1:20" ht="12.75" customHeight="1" x14ac:dyDescent="0.25">
      <c r="A304" s="342"/>
      <c r="B304" s="30"/>
      <c r="C304" s="30"/>
      <c r="D304" s="141"/>
      <c r="E304" s="42"/>
      <c r="F304" s="43"/>
      <c r="G304" s="59"/>
      <c r="H304" s="60"/>
      <c r="I304" s="60"/>
      <c r="J304" s="60"/>
      <c r="K304" s="60"/>
      <c r="L304" s="60"/>
      <c r="M304" s="60"/>
      <c r="N304" s="60"/>
      <c r="O304" s="30"/>
      <c r="P304" s="30"/>
      <c r="Q304" s="30"/>
      <c r="R304" s="30"/>
      <c r="S304" s="30"/>
      <c r="T304" s="30"/>
    </row>
    <row r="305" spans="1:20" ht="12.75" customHeight="1" x14ac:dyDescent="0.25">
      <c r="A305" s="342"/>
      <c r="B305" s="30"/>
      <c r="C305" s="30"/>
      <c r="D305" s="141"/>
      <c r="E305" s="42"/>
      <c r="F305" s="43"/>
      <c r="G305" s="59"/>
      <c r="H305" s="60"/>
      <c r="I305" s="60"/>
      <c r="J305" s="60"/>
      <c r="K305" s="60"/>
      <c r="L305" s="60"/>
      <c r="M305" s="60"/>
      <c r="N305" s="60"/>
      <c r="O305" s="30"/>
      <c r="P305" s="30"/>
      <c r="Q305" s="30"/>
      <c r="R305" s="30"/>
      <c r="S305" s="30"/>
      <c r="T305" s="30"/>
    </row>
    <row r="306" spans="1:20" ht="12.75" customHeight="1" x14ac:dyDescent="0.25">
      <c r="A306" s="342"/>
      <c r="B306" s="30"/>
      <c r="C306" s="30"/>
      <c r="D306" s="141"/>
      <c r="E306" s="42"/>
      <c r="F306" s="43"/>
      <c r="G306" s="59"/>
      <c r="H306" s="60"/>
      <c r="I306" s="60"/>
      <c r="J306" s="60"/>
      <c r="K306" s="60"/>
      <c r="L306" s="60"/>
      <c r="M306" s="60"/>
      <c r="N306" s="60"/>
      <c r="O306" s="30"/>
      <c r="P306" s="30"/>
      <c r="Q306" s="30"/>
      <c r="R306" s="30"/>
      <c r="S306" s="30"/>
      <c r="T306" s="30"/>
    </row>
    <row r="307" spans="1:20" ht="12.75" customHeight="1" x14ac:dyDescent="0.25">
      <c r="A307" s="342"/>
      <c r="B307" s="30"/>
      <c r="C307" s="30"/>
      <c r="D307" s="141"/>
      <c r="E307" s="42"/>
      <c r="F307" s="43"/>
      <c r="G307" s="59"/>
      <c r="H307" s="60"/>
      <c r="I307" s="60"/>
      <c r="J307" s="60"/>
      <c r="K307" s="60"/>
      <c r="L307" s="60"/>
      <c r="M307" s="60"/>
      <c r="N307" s="60"/>
      <c r="O307" s="30"/>
      <c r="P307" s="30"/>
      <c r="Q307" s="30"/>
      <c r="R307" s="30"/>
      <c r="S307" s="30"/>
      <c r="T307" s="30"/>
    </row>
    <row r="308" spans="1:20" ht="12.75" customHeight="1" x14ac:dyDescent="0.25">
      <c r="A308" s="342"/>
      <c r="B308" s="30"/>
      <c r="C308" s="30"/>
      <c r="D308" s="141"/>
      <c r="E308" s="42"/>
      <c r="F308" s="43"/>
      <c r="G308" s="59"/>
      <c r="H308" s="60"/>
      <c r="I308" s="60"/>
      <c r="J308" s="60"/>
      <c r="K308" s="60"/>
      <c r="L308" s="60"/>
      <c r="M308" s="60"/>
      <c r="N308" s="60"/>
      <c r="O308" s="30"/>
      <c r="P308" s="30"/>
      <c r="Q308" s="30"/>
      <c r="R308" s="30"/>
      <c r="S308" s="30"/>
      <c r="T308" s="30"/>
    </row>
    <row r="309" spans="1:20" ht="12.75" customHeight="1" x14ac:dyDescent="0.25">
      <c r="A309" s="342"/>
      <c r="B309" s="30"/>
      <c r="C309" s="30"/>
      <c r="D309" s="141"/>
      <c r="E309" s="42"/>
      <c r="F309" s="43"/>
      <c r="G309" s="59"/>
      <c r="H309" s="60"/>
      <c r="I309" s="60"/>
      <c r="J309" s="60"/>
      <c r="K309" s="60"/>
      <c r="L309" s="60"/>
      <c r="M309" s="60"/>
      <c r="N309" s="60"/>
      <c r="O309" s="30"/>
      <c r="P309" s="30"/>
      <c r="Q309" s="30"/>
      <c r="R309" s="30"/>
      <c r="S309" s="30"/>
      <c r="T309" s="30"/>
    </row>
    <row r="310" spans="1:20" ht="12.75" customHeight="1" x14ac:dyDescent="0.25">
      <c r="A310" s="342"/>
      <c r="B310" s="30"/>
      <c r="C310" s="30"/>
      <c r="D310" s="141"/>
      <c r="E310" s="42"/>
      <c r="F310" s="43"/>
      <c r="G310" s="59"/>
      <c r="H310" s="60"/>
      <c r="I310" s="60"/>
      <c r="J310" s="60"/>
      <c r="K310" s="60"/>
      <c r="L310" s="60"/>
      <c r="M310" s="60"/>
      <c r="N310" s="60"/>
      <c r="O310" s="30"/>
      <c r="P310" s="30"/>
      <c r="Q310" s="30"/>
      <c r="R310" s="30"/>
      <c r="S310" s="30"/>
      <c r="T310" s="30"/>
    </row>
    <row r="311" spans="1:20" ht="12.75" customHeight="1" x14ac:dyDescent="0.25">
      <c r="A311" s="342"/>
      <c r="B311" s="30"/>
      <c r="C311" s="30"/>
      <c r="D311" s="141"/>
      <c r="E311" s="42"/>
      <c r="F311" s="43"/>
      <c r="G311" s="59"/>
      <c r="H311" s="60"/>
      <c r="I311" s="60"/>
      <c r="J311" s="60"/>
      <c r="K311" s="60"/>
      <c r="L311" s="60"/>
      <c r="M311" s="60"/>
      <c r="N311" s="60"/>
      <c r="O311" s="30"/>
      <c r="P311" s="30"/>
      <c r="Q311" s="30"/>
      <c r="R311" s="30"/>
      <c r="S311" s="30"/>
      <c r="T311" s="30"/>
    </row>
    <row r="312" spans="1:20" ht="12.75" customHeight="1" x14ac:dyDescent="0.25">
      <c r="A312" s="342"/>
      <c r="B312" s="30"/>
      <c r="C312" s="30"/>
      <c r="D312" s="141"/>
      <c r="E312" s="42"/>
      <c r="F312" s="43"/>
      <c r="G312" s="59"/>
      <c r="H312" s="60"/>
      <c r="I312" s="60"/>
      <c r="J312" s="60"/>
      <c r="K312" s="60"/>
      <c r="L312" s="60"/>
      <c r="M312" s="60"/>
      <c r="N312" s="60"/>
      <c r="O312" s="30"/>
      <c r="P312" s="30"/>
      <c r="Q312" s="30"/>
      <c r="R312" s="30"/>
      <c r="S312" s="30"/>
      <c r="T312" s="30"/>
    </row>
    <row r="313" spans="1:20" ht="12.75" customHeight="1" x14ac:dyDescent="0.25">
      <c r="A313" s="342"/>
      <c r="B313" s="30"/>
      <c r="C313" s="30"/>
      <c r="D313" s="141"/>
      <c r="E313" s="42"/>
      <c r="F313" s="43"/>
      <c r="G313" s="59"/>
      <c r="H313" s="60"/>
      <c r="I313" s="60"/>
      <c r="J313" s="60"/>
      <c r="K313" s="60"/>
      <c r="L313" s="60"/>
      <c r="M313" s="60"/>
      <c r="N313" s="60"/>
      <c r="O313" s="30"/>
      <c r="P313" s="30"/>
      <c r="Q313" s="30"/>
      <c r="R313" s="30"/>
      <c r="S313" s="30"/>
      <c r="T313" s="30"/>
    </row>
    <row r="314" spans="1:20" ht="12.75" customHeight="1" x14ac:dyDescent="0.25">
      <c r="A314" s="342"/>
      <c r="B314" s="30"/>
      <c r="C314" s="30"/>
      <c r="D314" s="141"/>
      <c r="E314" s="42"/>
      <c r="F314" s="43"/>
      <c r="G314" s="59"/>
      <c r="H314" s="60"/>
      <c r="I314" s="60"/>
      <c r="J314" s="60"/>
      <c r="K314" s="60"/>
      <c r="L314" s="60"/>
      <c r="M314" s="60"/>
      <c r="N314" s="60"/>
      <c r="O314" s="30"/>
      <c r="P314" s="30"/>
      <c r="Q314" s="30"/>
      <c r="R314" s="30"/>
      <c r="S314" s="30"/>
      <c r="T314" s="30"/>
    </row>
    <row r="315" spans="1:20" ht="12.75" customHeight="1" x14ac:dyDescent="0.25">
      <c r="A315" s="342"/>
      <c r="B315" s="30"/>
      <c r="C315" s="30"/>
      <c r="D315" s="141"/>
      <c r="E315" s="42"/>
      <c r="F315" s="43"/>
      <c r="G315" s="59"/>
      <c r="H315" s="60"/>
      <c r="I315" s="60"/>
      <c r="J315" s="60"/>
      <c r="K315" s="60"/>
      <c r="L315" s="60"/>
      <c r="M315" s="60"/>
      <c r="N315" s="60"/>
      <c r="O315" s="30"/>
      <c r="P315" s="30"/>
      <c r="Q315" s="30"/>
      <c r="R315" s="30"/>
      <c r="S315" s="30"/>
      <c r="T315" s="30"/>
    </row>
    <row r="316" spans="1:20" ht="12.75" customHeight="1" x14ac:dyDescent="0.25">
      <c r="A316" s="342"/>
      <c r="B316" s="30"/>
      <c r="C316" s="30"/>
      <c r="D316" s="141"/>
      <c r="E316" s="42"/>
      <c r="F316" s="43"/>
      <c r="G316" s="59"/>
      <c r="H316" s="60"/>
      <c r="I316" s="60"/>
      <c r="J316" s="60"/>
      <c r="K316" s="60"/>
      <c r="L316" s="60"/>
      <c r="M316" s="60"/>
      <c r="N316" s="60"/>
      <c r="O316" s="30"/>
      <c r="P316" s="30"/>
      <c r="Q316" s="30"/>
      <c r="R316" s="30"/>
      <c r="S316" s="30"/>
      <c r="T316" s="30"/>
    </row>
    <row r="317" spans="1:20" ht="12.75" customHeight="1" x14ac:dyDescent="0.25">
      <c r="A317" s="342"/>
      <c r="B317" s="30"/>
      <c r="C317" s="30"/>
      <c r="D317" s="141"/>
      <c r="E317" s="42"/>
      <c r="F317" s="43"/>
      <c r="G317" s="59"/>
      <c r="H317" s="60"/>
      <c r="I317" s="60"/>
      <c r="J317" s="60"/>
      <c r="K317" s="60"/>
      <c r="L317" s="60"/>
      <c r="M317" s="60"/>
      <c r="N317" s="60"/>
      <c r="O317" s="30"/>
      <c r="P317" s="30"/>
      <c r="Q317" s="30"/>
      <c r="R317" s="30"/>
      <c r="S317" s="30"/>
      <c r="T317" s="30"/>
    </row>
    <row r="318" spans="1:20" ht="12.75" customHeight="1" x14ac:dyDescent="0.25">
      <c r="A318" s="342"/>
      <c r="B318" s="30"/>
      <c r="C318" s="30"/>
      <c r="D318" s="141"/>
      <c r="E318" s="42"/>
      <c r="F318" s="43"/>
      <c r="G318" s="59"/>
      <c r="H318" s="60"/>
      <c r="I318" s="60"/>
      <c r="J318" s="60"/>
      <c r="K318" s="60"/>
      <c r="L318" s="60"/>
      <c r="M318" s="60"/>
      <c r="N318" s="60"/>
      <c r="O318" s="30"/>
      <c r="P318" s="30"/>
      <c r="Q318" s="30"/>
      <c r="R318" s="30"/>
      <c r="S318" s="30"/>
      <c r="T318" s="30"/>
    </row>
    <row r="319" spans="1:20" ht="12.75" customHeight="1" x14ac:dyDescent="0.25">
      <c r="A319" s="342"/>
      <c r="B319" s="30"/>
      <c r="C319" s="30"/>
      <c r="D319" s="141"/>
      <c r="E319" s="42"/>
      <c r="F319" s="43"/>
      <c r="G319" s="59"/>
      <c r="H319" s="60"/>
      <c r="I319" s="60"/>
      <c r="J319" s="60"/>
      <c r="K319" s="60"/>
      <c r="L319" s="60"/>
      <c r="M319" s="60"/>
      <c r="N319" s="60"/>
      <c r="O319" s="30"/>
      <c r="P319" s="30"/>
      <c r="Q319" s="30"/>
      <c r="R319" s="30"/>
      <c r="S319" s="30"/>
      <c r="T319" s="30"/>
    </row>
    <row r="320" spans="1:20" ht="12.75" customHeight="1" x14ac:dyDescent="0.25">
      <c r="A320" s="342"/>
      <c r="B320" s="30"/>
      <c r="C320" s="30"/>
      <c r="D320" s="141"/>
      <c r="E320" s="42"/>
      <c r="F320" s="43"/>
      <c r="G320" s="59"/>
      <c r="H320" s="60"/>
      <c r="I320" s="60"/>
      <c r="J320" s="60"/>
      <c r="K320" s="60"/>
      <c r="L320" s="60"/>
      <c r="M320" s="60"/>
      <c r="N320" s="60"/>
      <c r="O320" s="30"/>
      <c r="P320" s="30"/>
      <c r="Q320" s="30"/>
      <c r="R320" s="30"/>
      <c r="S320" s="30"/>
      <c r="T320" s="30"/>
    </row>
    <row r="321" spans="1:20" ht="12.75" customHeight="1" x14ac:dyDescent="0.25">
      <c r="A321" s="342"/>
      <c r="B321" s="30"/>
      <c r="C321" s="30"/>
      <c r="D321" s="141"/>
      <c r="E321" s="42"/>
      <c r="F321" s="43"/>
      <c r="G321" s="59"/>
      <c r="H321" s="60"/>
      <c r="I321" s="60"/>
      <c r="J321" s="60"/>
      <c r="K321" s="60"/>
      <c r="L321" s="60"/>
      <c r="M321" s="60"/>
      <c r="N321" s="60"/>
      <c r="O321" s="30"/>
      <c r="P321" s="30"/>
      <c r="Q321" s="30"/>
      <c r="R321" s="30"/>
      <c r="S321" s="30"/>
      <c r="T321" s="30"/>
    </row>
    <row r="322" spans="1:20" ht="12.75" customHeight="1" x14ac:dyDescent="0.25">
      <c r="A322" s="342"/>
      <c r="B322" s="30"/>
      <c r="C322" s="30"/>
      <c r="D322" s="141"/>
      <c r="E322" s="42"/>
      <c r="F322" s="43"/>
      <c r="G322" s="59"/>
      <c r="H322" s="60"/>
      <c r="I322" s="60"/>
      <c r="J322" s="60"/>
      <c r="K322" s="60"/>
      <c r="L322" s="60"/>
      <c r="M322" s="60"/>
      <c r="N322" s="60"/>
      <c r="O322" s="30"/>
      <c r="P322" s="30"/>
      <c r="Q322" s="30"/>
      <c r="R322" s="30"/>
      <c r="S322" s="30"/>
      <c r="T322" s="30"/>
    </row>
    <row r="323" spans="1:20" ht="12.75" customHeight="1" x14ac:dyDescent="0.25">
      <c r="A323" s="342"/>
      <c r="B323" s="30"/>
      <c r="C323" s="30"/>
      <c r="D323" s="141"/>
      <c r="E323" s="42"/>
      <c r="F323" s="43"/>
      <c r="G323" s="59"/>
      <c r="H323" s="60"/>
      <c r="I323" s="60"/>
      <c r="J323" s="60"/>
      <c r="K323" s="60"/>
      <c r="L323" s="60"/>
      <c r="M323" s="60"/>
      <c r="N323" s="60"/>
      <c r="O323" s="30"/>
      <c r="P323" s="30"/>
      <c r="Q323" s="30"/>
      <c r="R323" s="30"/>
      <c r="S323" s="30"/>
      <c r="T323" s="30"/>
    </row>
    <row r="324" spans="1:20" ht="12.75" customHeight="1" x14ac:dyDescent="0.25">
      <c r="A324" s="342"/>
      <c r="B324" s="30"/>
      <c r="C324" s="30"/>
      <c r="D324" s="141"/>
      <c r="E324" s="42"/>
      <c r="F324" s="43"/>
      <c r="G324" s="59"/>
      <c r="H324" s="60"/>
      <c r="I324" s="60"/>
      <c r="J324" s="60"/>
      <c r="K324" s="60"/>
      <c r="L324" s="60"/>
      <c r="M324" s="60"/>
      <c r="N324" s="60"/>
      <c r="O324" s="30"/>
      <c r="P324" s="30"/>
      <c r="Q324" s="30"/>
      <c r="R324" s="30"/>
      <c r="S324" s="30"/>
      <c r="T324" s="30"/>
    </row>
    <row r="325" spans="1:20" ht="12.75" customHeight="1" x14ac:dyDescent="0.25">
      <c r="A325" s="342"/>
      <c r="B325" s="30"/>
      <c r="C325" s="30"/>
      <c r="D325" s="141"/>
      <c r="E325" s="42"/>
      <c r="F325" s="43"/>
      <c r="G325" s="59"/>
      <c r="H325" s="60"/>
      <c r="I325" s="60"/>
      <c r="J325" s="60"/>
      <c r="K325" s="60"/>
      <c r="L325" s="60"/>
      <c r="M325" s="60"/>
      <c r="N325" s="60"/>
      <c r="O325" s="30"/>
      <c r="P325" s="30"/>
      <c r="Q325" s="30"/>
      <c r="R325" s="30"/>
      <c r="S325" s="30"/>
      <c r="T325" s="30"/>
    </row>
    <row r="326" spans="1:20" ht="12.75" customHeight="1" x14ac:dyDescent="0.25">
      <c r="A326" s="342"/>
      <c r="B326" s="30"/>
      <c r="C326" s="30"/>
      <c r="D326" s="141"/>
      <c r="E326" s="42"/>
      <c r="F326" s="43"/>
      <c r="G326" s="59"/>
      <c r="H326" s="60"/>
      <c r="I326" s="60"/>
      <c r="J326" s="60"/>
      <c r="K326" s="60"/>
      <c r="L326" s="60"/>
      <c r="M326" s="60"/>
      <c r="N326" s="60"/>
      <c r="O326" s="30"/>
      <c r="P326" s="30"/>
      <c r="Q326" s="30"/>
      <c r="R326" s="30"/>
      <c r="S326" s="30"/>
      <c r="T326" s="30"/>
    </row>
    <row r="327" spans="1:20" ht="12.75" customHeight="1" x14ac:dyDescent="0.25">
      <c r="A327" s="342"/>
      <c r="B327" s="30"/>
      <c r="C327" s="30"/>
      <c r="D327" s="141"/>
      <c r="E327" s="42"/>
      <c r="F327" s="43"/>
      <c r="G327" s="59"/>
      <c r="H327" s="60"/>
      <c r="I327" s="60"/>
      <c r="J327" s="60"/>
      <c r="K327" s="60"/>
      <c r="L327" s="60"/>
      <c r="M327" s="60"/>
      <c r="N327" s="60"/>
      <c r="O327" s="30"/>
      <c r="P327" s="30"/>
      <c r="Q327" s="30"/>
      <c r="R327" s="30"/>
      <c r="S327" s="30"/>
      <c r="T327" s="30"/>
    </row>
    <row r="328" spans="1:20" ht="12.75" customHeight="1" x14ac:dyDescent="0.25">
      <c r="A328" s="342"/>
      <c r="B328" s="30"/>
      <c r="C328" s="30"/>
      <c r="D328" s="141"/>
      <c r="E328" s="42"/>
      <c r="F328" s="43"/>
      <c r="G328" s="59"/>
      <c r="H328" s="60"/>
      <c r="I328" s="60"/>
      <c r="J328" s="60"/>
      <c r="K328" s="60"/>
      <c r="L328" s="60"/>
      <c r="M328" s="60"/>
      <c r="N328" s="60"/>
      <c r="O328" s="30"/>
      <c r="P328" s="30"/>
      <c r="Q328" s="30"/>
      <c r="R328" s="30"/>
      <c r="S328" s="30"/>
      <c r="T328" s="30"/>
    </row>
    <row r="329" spans="1:20" ht="12.75" customHeight="1" x14ac:dyDescent="0.25">
      <c r="A329" s="342"/>
      <c r="B329" s="30"/>
      <c r="C329" s="30"/>
      <c r="D329" s="141"/>
      <c r="E329" s="42"/>
      <c r="F329" s="43"/>
      <c r="G329" s="59"/>
      <c r="H329" s="60"/>
      <c r="I329" s="60"/>
      <c r="J329" s="60"/>
      <c r="K329" s="60"/>
      <c r="L329" s="60"/>
      <c r="M329" s="60"/>
      <c r="N329" s="60"/>
      <c r="O329" s="30"/>
      <c r="P329" s="30"/>
      <c r="Q329" s="30"/>
      <c r="R329" s="30"/>
      <c r="S329" s="30"/>
      <c r="T329" s="30"/>
    </row>
    <row r="330" spans="1:20" ht="12.75" customHeight="1" x14ac:dyDescent="0.25">
      <c r="A330" s="342"/>
      <c r="B330" s="30"/>
      <c r="C330" s="30"/>
      <c r="D330" s="141"/>
      <c r="E330" s="42"/>
      <c r="F330" s="43"/>
      <c r="G330" s="59"/>
      <c r="H330" s="60"/>
      <c r="I330" s="60"/>
      <c r="J330" s="60"/>
      <c r="K330" s="60"/>
      <c r="L330" s="60"/>
      <c r="M330" s="60"/>
      <c r="N330" s="60"/>
      <c r="O330" s="30"/>
      <c r="P330" s="30"/>
      <c r="Q330" s="30"/>
      <c r="R330" s="30"/>
      <c r="S330" s="30"/>
      <c r="T330" s="30"/>
    </row>
    <row r="331" spans="1:20" ht="12.75" customHeight="1" x14ac:dyDescent="0.25">
      <c r="A331" s="342"/>
      <c r="B331" s="30"/>
      <c r="C331" s="30"/>
      <c r="D331" s="141"/>
      <c r="E331" s="42"/>
      <c r="F331" s="43"/>
      <c r="G331" s="59"/>
      <c r="H331" s="60"/>
      <c r="I331" s="60"/>
      <c r="J331" s="60"/>
      <c r="K331" s="60"/>
      <c r="L331" s="60"/>
      <c r="M331" s="60"/>
      <c r="N331" s="60"/>
      <c r="O331" s="30"/>
      <c r="P331" s="30"/>
      <c r="Q331" s="30"/>
      <c r="R331" s="30"/>
      <c r="S331" s="30"/>
      <c r="T331" s="30"/>
    </row>
    <row r="332" spans="1:20" ht="12.75" customHeight="1" x14ac:dyDescent="0.25">
      <c r="A332" s="342"/>
      <c r="B332" s="30"/>
      <c r="C332" s="30"/>
      <c r="D332" s="141"/>
      <c r="E332" s="42"/>
      <c r="F332" s="43"/>
      <c r="G332" s="59"/>
      <c r="H332" s="60"/>
      <c r="I332" s="60"/>
      <c r="J332" s="60"/>
      <c r="K332" s="60"/>
      <c r="L332" s="60"/>
      <c r="M332" s="60"/>
      <c r="N332" s="60"/>
      <c r="O332" s="30"/>
      <c r="P332" s="30"/>
      <c r="Q332" s="30"/>
      <c r="R332" s="30"/>
      <c r="S332" s="30"/>
      <c r="T332" s="30"/>
    </row>
    <row r="333" spans="1:20" ht="12.75" customHeight="1" x14ac:dyDescent="0.25">
      <c r="A333" s="342"/>
      <c r="B333" s="30"/>
      <c r="C333" s="30"/>
      <c r="D333" s="141"/>
      <c r="E333" s="42"/>
      <c r="F333" s="43"/>
      <c r="G333" s="59"/>
      <c r="H333" s="60"/>
      <c r="I333" s="60"/>
      <c r="J333" s="60"/>
      <c r="K333" s="60"/>
      <c r="L333" s="60"/>
      <c r="M333" s="60"/>
      <c r="N333" s="60"/>
      <c r="O333" s="30"/>
      <c r="P333" s="30"/>
      <c r="Q333" s="30"/>
      <c r="R333" s="30"/>
      <c r="S333" s="30"/>
      <c r="T333" s="30"/>
    </row>
    <row r="334" spans="1:20" ht="12.75" customHeight="1" x14ac:dyDescent="0.25">
      <c r="A334" s="342"/>
      <c r="B334" s="30"/>
      <c r="C334" s="30"/>
      <c r="D334" s="141"/>
      <c r="E334" s="42"/>
      <c r="F334" s="43"/>
      <c r="G334" s="59"/>
      <c r="H334" s="60"/>
      <c r="I334" s="60"/>
      <c r="J334" s="60"/>
      <c r="K334" s="60"/>
      <c r="L334" s="60"/>
      <c r="M334" s="60"/>
      <c r="N334" s="60"/>
      <c r="O334" s="30"/>
      <c r="P334" s="30"/>
      <c r="Q334" s="30"/>
      <c r="R334" s="30"/>
      <c r="S334" s="30"/>
      <c r="T334" s="30"/>
    </row>
    <row r="335" spans="1:20" ht="12.75" customHeight="1" x14ac:dyDescent="0.25">
      <c r="A335" s="342"/>
      <c r="B335" s="30"/>
      <c r="C335" s="30"/>
      <c r="D335" s="141"/>
      <c r="E335" s="42"/>
      <c r="F335" s="43"/>
      <c r="G335" s="59"/>
      <c r="H335" s="60"/>
      <c r="I335" s="60"/>
      <c r="J335" s="60"/>
      <c r="K335" s="60"/>
      <c r="L335" s="60"/>
      <c r="M335" s="60"/>
      <c r="N335" s="60"/>
      <c r="O335" s="30"/>
      <c r="P335" s="30"/>
      <c r="Q335" s="30"/>
      <c r="R335" s="30"/>
      <c r="S335" s="30"/>
      <c r="T335" s="30"/>
    </row>
    <row r="336" spans="1:20" ht="12.75" customHeight="1" x14ac:dyDescent="0.25">
      <c r="A336" s="342"/>
      <c r="B336" s="30"/>
      <c r="C336" s="30"/>
      <c r="D336" s="141"/>
      <c r="E336" s="42"/>
      <c r="F336" s="43"/>
      <c r="G336" s="59"/>
      <c r="H336" s="60"/>
      <c r="I336" s="60"/>
      <c r="J336" s="60"/>
      <c r="K336" s="60"/>
      <c r="L336" s="60"/>
      <c r="M336" s="60"/>
      <c r="N336" s="60"/>
      <c r="O336" s="30"/>
      <c r="P336" s="30"/>
      <c r="Q336" s="30"/>
      <c r="R336" s="30"/>
      <c r="S336" s="30"/>
      <c r="T336" s="30"/>
    </row>
    <row r="337" spans="1:20" ht="12.75" customHeight="1" x14ac:dyDescent="0.25">
      <c r="A337" s="342"/>
      <c r="B337" s="30"/>
      <c r="C337" s="30"/>
      <c r="D337" s="141"/>
      <c r="E337" s="42"/>
      <c r="F337" s="43"/>
      <c r="G337" s="59"/>
      <c r="H337" s="60"/>
      <c r="I337" s="60"/>
      <c r="J337" s="60"/>
      <c r="K337" s="60"/>
      <c r="L337" s="60"/>
      <c r="M337" s="60"/>
      <c r="N337" s="60"/>
      <c r="O337" s="30"/>
      <c r="P337" s="30"/>
      <c r="Q337" s="30"/>
      <c r="R337" s="30"/>
      <c r="S337" s="30"/>
      <c r="T337" s="30"/>
    </row>
    <row r="338" spans="1:20" ht="12.75" customHeight="1" x14ac:dyDescent="0.25">
      <c r="A338" s="342"/>
      <c r="B338" s="30"/>
      <c r="C338" s="30"/>
      <c r="D338" s="141"/>
      <c r="E338" s="42"/>
      <c r="F338" s="43"/>
      <c r="G338" s="59"/>
      <c r="H338" s="60"/>
      <c r="I338" s="60"/>
      <c r="J338" s="60"/>
      <c r="K338" s="60"/>
      <c r="L338" s="60"/>
      <c r="M338" s="60"/>
      <c r="N338" s="60"/>
      <c r="O338" s="30"/>
      <c r="P338" s="30"/>
      <c r="Q338" s="30"/>
      <c r="R338" s="30"/>
      <c r="S338" s="30"/>
      <c r="T338" s="30"/>
    </row>
    <row r="339" spans="1:20" ht="12.75" customHeight="1" x14ac:dyDescent="0.25">
      <c r="A339" s="342"/>
      <c r="B339" s="30"/>
      <c r="C339" s="30"/>
      <c r="D339" s="141"/>
      <c r="E339" s="42"/>
      <c r="F339" s="43"/>
      <c r="G339" s="59"/>
      <c r="H339" s="60"/>
      <c r="I339" s="60"/>
      <c r="J339" s="60"/>
      <c r="K339" s="60"/>
      <c r="L339" s="60"/>
      <c r="M339" s="60"/>
      <c r="N339" s="60"/>
      <c r="O339" s="30"/>
      <c r="P339" s="30"/>
      <c r="Q339" s="30"/>
      <c r="R339" s="30"/>
      <c r="S339" s="30"/>
      <c r="T339" s="30"/>
    </row>
    <row r="340" spans="1:20" ht="12.75" customHeight="1" x14ac:dyDescent="0.25">
      <c r="A340" s="342"/>
      <c r="B340" s="30"/>
      <c r="C340" s="30"/>
      <c r="D340" s="141"/>
      <c r="E340" s="42"/>
      <c r="F340" s="43"/>
      <c r="G340" s="59"/>
      <c r="H340" s="60"/>
      <c r="I340" s="60"/>
      <c r="J340" s="60"/>
      <c r="K340" s="60"/>
      <c r="L340" s="60"/>
      <c r="M340" s="60"/>
      <c r="N340" s="60"/>
      <c r="O340" s="30"/>
      <c r="P340" s="30"/>
      <c r="Q340" s="30"/>
      <c r="R340" s="30"/>
      <c r="S340" s="30"/>
      <c r="T340" s="30"/>
    </row>
    <row r="341" spans="1:20" ht="12.75" customHeight="1" x14ac:dyDescent="0.25">
      <c r="A341" s="342"/>
      <c r="B341" s="30"/>
      <c r="C341" s="30"/>
      <c r="D341" s="141"/>
      <c r="E341" s="42"/>
      <c r="F341" s="43"/>
      <c r="G341" s="59"/>
      <c r="H341" s="60"/>
      <c r="I341" s="60"/>
      <c r="J341" s="60"/>
      <c r="K341" s="60"/>
      <c r="L341" s="60"/>
      <c r="M341" s="60"/>
      <c r="N341" s="60"/>
      <c r="O341" s="30"/>
      <c r="P341" s="30"/>
      <c r="Q341" s="30"/>
      <c r="R341" s="30"/>
      <c r="S341" s="30"/>
      <c r="T341" s="30"/>
    </row>
    <row r="342" spans="1:20" ht="12.75" customHeight="1" x14ac:dyDescent="0.25">
      <c r="A342" s="342"/>
      <c r="B342" s="30"/>
      <c r="C342" s="30"/>
      <c r="D342" s="141"/>
      <c r="E342" s="42"/>
      <c r="F342" s="43"/>
      <c r="G342" s="59"/>
      <c r="H342" s="60"/>
      <c r="I342" s="60"/>
      <c r="J342" s="60"/>
      <c r="K342" s="60"/>
      <c r="L342" s="60"/>
      <c r="M342" s="60"/>
      <c r="N342" s="60"/>
      <c r="O342" s="30"/>
      <c r="P342" s="30"/>
      <c r="Q342" s="30"/>
      <c r="R342" s="30"/>
      <c r="S342" s="30"/>
      <c r="T342" s="30"/>
    </row>
    <row r="343" spans="1:20" ht="12.75" customHeight="1" x14ac:dyDescent="0.25">
      <c r="A343" s="342"/>
      <c r="B343" s="30"/>
      <c r="C343" s="30"/>
      <c r="D343" s="141"/>
      <c r="E343" s="42"/>
      <c r="F343" s="43"/>
      <c r="G343" s="59"/>
      <c r="H343" s="60"/>
      <c r="I343" s="60"/>
      <c r="J343" s="60"/>
      <c r="K343" s="60"/>
      <c r="L343" s="60"/>
      <c r="M343" s="60"/>
      <c r="N343" s="60"/>
      <c r="O343" s="30"/>
      <c r="P343" s="30"/>
      <c r="Q343" s="30"/>
      <c r="R343" s="30"/>
      <c r="S343" s="30"/>
      <c r="T343" s="30"/>
    </row>
    <row r="344" spans="1:20" ht="12.75" customHeight="1" x14ac:dyDescent="0.25">
      <c r="A344" s="342"/>
      <c r="B344" s="30"/>
      <c r="C344" s="30"/>
      <c r="D344" s="141"/>
      <c r="E344" s="42"/>
      <c r="F344" s="43"/>
      <c r="G344" s="59"/>
      <c r="H344" s="60"/>
      <c r="I344" s="60"/>
      <c r="J344" s="60"/>
      <c r="K344" s="60"/>
      <c r="L344" s="60"/>
      <c r="M344" s="60"/>
      <c r="N344" s="60"/>
      <c r="O344" s="30"/>
      <c r="P344" s="30"/>
      <c r="Q344" s="30"/>
      <c r="R344" s="30"/>
      <c r="S344" s="30"/>
      <c r="T344" s="30"/>
    </row>
    <row r="345" spans="1:20" ht="12.75" customHeight="1" x14ac:dyDescent="0.25">
      <c r="A345" s="342"/>
      <c r="B345" s="30"/>
      <c r="C345" s="30"/>
      <c r="D345" s="141"/>
      <c r="E345" s="42"/>
      <c r="F345" s="43"/>
      <c r="G345" s="59"/>
      <c r="H345" s="60"/>
      <c r="I345" s="60"/>
      <c r="J345" s="60"/>
      <c r="K345" s="60"/>
      <c r="L345" s="60"/>
      <c r="M345" s="60"/>
      <c r="N345" s="60"/>
      <c r="O345" s="30"/>
      <c r="P345" s="30"/>
      <c r="Q345" s="30"/>
      <c r="R345" s="30"/>
      <c r="S345" s="30"/>
      <c r="T345" s="30"/>
    </row>
    <row r="346" spans="1:20" ht="12.75" customHeight="1" x14ac:dyDescent="0.25">
      <c r="A346" s="342"/>
      <c r="B346" s="30"/>
      <c r="C346" s="30"/>
      <c r="D346" s="141"/>
      <c r="E346" s="42"/>
      <c r="F346" s="43"/>
      <c r="G346" s="59"/>
      <c r="H346" s="60"/>
      <c r="I346" s="60"/>
      <c r="J346" s="60"/>
      <c r="K346" s="60"/>
      <c r="L346" s="60"/>
      <c r="M346" s="60"/>
      <c r="N346" s="60"/>
      <c r="O346" s="30"/>
      <c r="P346" s="30"/>
      <c r="Q346" s="30"/>
      <c r="R346" s="30"/>
      <c r="S346" s="30"/>
      <c r="T346" s="30"/>
    </row>
    <row r="347" spans="1:20" ht="12.75" customHeight="1" x14ac:dyDescent="0.25">
      <c r="A347" s="342"/>
      <c r="B347" s="30"/>
      <c r="C347" s="30"/>
      <c r="D347" s="141"/>
      <c r="E347" s="42"/>
      <c r="F347" s="43"/>
      <c r="G347" s="59"/>
      <c r="H347" s="60"/>
      <c r="I347" s="60"/>
      <c r="J347" s="60"/>
      <c r="K347" s="60"/>
      <c r="L347" s="60"/>
      <c r="M347" s="60"/>
      <c r="N347" s="60"/>
      <c r="O347" s="30"/>
      <c r="P347" s="30"/>
      <c r="Q347" s="30"/>
      <c r="R347" s="30"/>
      <c r="S347" s="30"/>
      <c r="T347" s="30"/>
    </row>
    <row r="348" spans="1:20" ht="12.75" customHeight="1" x14ac:dyDescent="0.25">
      <c r="A348" s="342"/>
      <c r="B348" s="30"/>
      <c r="C348" s="30"/>
      <c r="D348" s="141"/>
      <c r="E348" s="42"/>
      <c r="F348" s="43"/>
      <c r="G348" s="59"/>
      <c r="H348" s="60"/>
      <c r="I348" s="60"/>
      <c r="J348" s="60"/>
      <c r="K348" s="60"/>
      <c r="L348" s="60"/>
      <c r="M348" s="60"/>
      <c r="N348" s="60"/>
      <c r="O348" s="30"/>
      <c r="P348" s="30"/>
      <c r="Q348" s="30"/>
      <c r="R348" s="30"/>
      <c r="S348" s="30"/>
      <c r="T348" s="30"/>
    </row>
    <row r="349" spans="1:20" ht="12.75" customHeight="1" x14ac:dyDescent="0.25">
      <c r="A349" s="342"/>
      <c r="B349" s="30"/>
      <c r="C349" s="30"/>
      <c r="D349" s="141"/>
      <c r="E349" s="42"/>
      <c r="F349" s="43"/>
      <c r="G349" s="59"/>
      <c r="H349" s="60"/>
      <c r="I349" s="60"/>
      <c r="J349" s="60"/>
      <c r="K349" s="60"/>
      <c r="L349" s="60"/>
      <c r="M349" s="60"/>
      <c r="N349" s="60"/>
      <c r="O349" s="30"/>
      <c r="P349" s="30"/>
      <c r="Q349" s="30"/>
      <c r="R349" s="30"/>
      <c r="S349" s="30"/>
      <c r="T349" s="30"/>
    </row>
    <row r="350" spans="1:20" ht="12.75" customHeight="1" x14ac:dyDescent="0.25">
      <c r="A350" s="342"/>
      <c r="B350" s="30"/>
      <c r="C350" s="30"/>
      <c r="D350" s="141"/>
      <c r="E350" s="42"/>
      <c r="F350" s="43"/>
      <c r="G350" s="59"/>
      <c r="H350" s="60"/>
      <c r="I350" s="60"/>
      <c r="J350" s="60"/>
      <c r="K350" s="60"/>
      <c r="L350" s="60"/>
      <c r="M350" s="60"/>
      <c r="N350" s="60"/>
      <c r="O350" s="30"/>
      <c r="P350" s="30"/>
      <c r="Q350" s="30"/>
      <c r="R350" s="30"/>
      <c r="S350" s="30"/>
      <c r="T350" s="30"/>
    </row>
    <row r="351" spans="1:20" ht="12.75" customHeight="1" x14ac:dyDescent="0.25">
      <c r="A351" s="342"/>
      <c r="B351" s="30"/>
      <c r="C351" s="30"/>
      <c r="D351" s="141"/>
      <c r="E351" s="42"/>
      <c r="F351" s="43"/>
      <c r="G351" s="59"/>
      <c r="H351" s="60"/>
      <c r="I351" s="60"/>
      <c r="J351" s="60"/>
      <c r="K351" s="60"/>
      <c r="L351" s="60"/>
      <c r="M351" s="60"/>
      <c r="N351" s="60"/>
      <c r="O351" s="30"/>
      <c r="P351" s="30"/>
      <c r="Q351" s="30"/>
      <c r="R351" s="30"/>
      <c r="S351" s="30"/>
      <c r="T351" s="30"/>
    </row>
    <row r="352" spans="1:20" ht="12.75" customHeight="1" x14ac:dyDescent="0.25">
      <c r="A352" s="342"/>
      <c r="B352" s="30"/>
      <c r="C352" s="30"/>
      <c r="D352" s="141"/>
      <c r="E352" s="42"/>
      <c r="F352" s="43"/>
      <c r="G352" s="59"/>
      <c r="H352" s="60"/>
      <c r="I352" s="60"/>
      <c r="J352" s="60"/>
      <c r="K352" s="60"/>
      <c r="L352" s="60"/>
      <c r="M352" s="60"/>
      <c r="N352" s="60"/>
      <c r="O352" s="30"/>
      <c r="P352" s="30"/>
      <c r="Q352" s="30"/>
      <c r="R352" s="30"/>
      <c r="S352" s="30"/>
      <c r="T352" s="30"/>
    </row>
    <row r="353" spans="1:20" ht="12.75" customHeight="1" x14ac:dyDescent="0.25">
      <c r="A353" s="342"/>
      <c r="B353" s="30"/>
      <c r="C353" s="30"/>
      <c r="D353" s="141"/>
      <c r="E353" s="42"/>
      <c r="F353" s="43"/>
      <c r="G353" s="59"/>
      <c r="H353" s="60"/>
      <c r="I353" s="60"/>
      <c r="J353" s="60"/>
      <c r="K353" s="60"/>
      <c r="L353" s="60"/>
      <c r="M353" s="60"/>
      <c r="N353" s="60"/>
      <c r="O353" s="30"/>
      <c r="P353" s="30"/>
      <c r="Q353" s="30"/>
      <c r="R353" s="30"/>
      <c r="S353" s="30"/>
      <c r="T353" s="30"/>
    </row>
    <row r="354" spans="1:20" ht="12.75" customHeight="1" x14ac:dyDescent="0.25">
      <c r="A354" s="342"/>
      <c r="B354" s="30"/>
      <c r="C354" s="30"/>
      <c r="D354" s="141"/>
      <c r="E354" s="42"/>
      <c r="F354" s="43"/>
      <c r="G354" s="59"/>
      <c r="H354" s="60"/>
      <c r="I354" s="60"/>
      <c r="J354" s="60"/>
      <c r="K354" s="60"/>
      <c r="L354" s="60"/>
      <c r="M354" s="60"/>
      <c r="N354" s="60"/>
      <c r="O354" s="30"/>
      <c r="P354" s="30"/>
      <c r="Q354" s="30"/>
      <c r="R354" s="30"/>
      <c r="S354" s="30"/>
      <c r="T354" s="30"/>
    </row>
    <row r="355" spans="1:20" ht="12.75" customHeight="1" x14ac:dyDescent="0.25">
      <c r="A355" s="342"/>
      <c r="B355" s="30"/>
      <c r="C355" s="30"/>
      <c r="D355" s="141"/>
      <c r="E355" s="42"/>
      <c r="F355" s="43"/>
      <c r="G355" s="59"/>
      <c r="H355" s="60"/>
      <c r="I355" s="60"/>
      <c r="J355" s="60"/>
      <c r="K355" s="60"/>
      <c r="L355" s="60"/>
      <c r="M355" s="60"/>
      <c r="N355" s="60"/>
      <c r="O355" s="30"/>
      <c r="P355" s="30"/>
      <c r="Q355" s="30"/>
      <c r="R355" s="30"/>
      <c r="S355" s="30"/>
      <c r="T355" s="30"/>
    </row>
    <row r="356" spans="1:20" ht="12.75" customHeight="1" x14ac:dyDescent="0.25">
      <c r="A356" s="342"/>
      <c r="B356" s="30"/>
      <c r="C356" s="30"/>
      <c r="D356" s="141"/>
      <c r="E356" s="42"/>
      <c r="F356" s="43"/>
      <c r="G356" s="59"/>
      <c r="H356" s="60"/>
      <c r="I356" s="60"/>
      <c r="J356" s="60"/>
      <c r="K356" s="60"/>
      <c r="L356" s="60"/>
      <c r="M356" s="60"/>
      <c r="N356" s="60"/>
      <c r="O356" s="30"/>
      <c r="P356" s="30"/>
      <c r="Q356" s="30"/>
      <c r="R356" s="30"/>
      <c r="S356" s="30"/>
      <c r="T356" s="30"/>
    </row>
    <row r="357" spans="1:20" ht="12.75" customHeight="1" x14ac:dyDescent="0.25">
      <c r="A357" s="342"/>
      <c r="B357" s="30"/>
      <c r="C357" s="30"/>
      <c r="D357" s="141"/>
      <c r="E357" s="42"/>
      <c r="F357" s="43"/>
      <c r="G357" s="59"/>
      <c r="H357" s="60"/>
      <c r="I357" s="60"/>
      <c r="J357" s="60"/>
      <c r="K357" s="60"/>
      <c r="L357" s="60"/>
      <c r="M357" s="60"/>
      <c r="N357" s="60"/>
      <c r="O357" s="30"/>
      <c r="P357" s="30"/>
      <c r="Q357" s="30"/>
      <c r="R357" s="30"/>
      <c r="S357" s="30"/>
      <c r="T357" s="30"/>
    </row>
    <row r="358" spans="1:20" ht="12.75" customHeight="1" x14ac:dyDescent="0.25">
      <c r="A358" s="342"/>
      <c r="B358" s="30"/>
      <c r="C358" s="30"/>
      <c r="D358" s="141"/>
      <c r="E358" s="42"/>
      <c r="F358" s="43"/>
      <c r="G358" s="59"/>
      <c r="H358" s="60"/>
      <c r="I358" s="60"/>
      <c r="J358" s="60"/>
      <c r="K358" s="60"/>
      <c r="L358" s="60"/>
      <c r="M358" s="60"/>
      <c r="N358" s="60"/>
      <c r="O358" s="30"/>
      <c r="P358" s="30"/>
      <c r="Q358" s="30"/>
      <c r="R358" s="30"/>
      <c r="S358" s="30"/>
      <c r="T358" s="30"/>
    </row>
    <row r="359" spans="1:20" ht="12.75" customHeight="1" x14ac:dyDescent="0.25">
      <c r="A359" s="342"/>
      <c r="B359" s="30"/>
      <c r="C359" s="30"/>
      <c r="D359" s="141"/>
      <c r="E359" s="42"/>
      <c r="F359" s="43"/>
      <c r="G359" s="59"/>
      <c r="H359" s="60"/>
      <c r="I359" s="60"/>
      <c r="J359" s="60"/>
      <c r="K359" s="60"/>
      <c r="L359" s="60"/>
      <c r="M359" s="60"/>
      <c r="N359" s="60"/>
      <c r="O359" s="30"/>
      <c r="P359" s="30"/>
      <c r="Q359" s="30"/>
      <c r="R359" s="30"/>
      <c r="S359" s="30"/>
      <c r="T359" s="30"/>
    </row>
    <row r="360" spans="1:20" ht="12.75" customHeight="1" x14ac:dyDescent="0.25">
      <c r="A360" s="342"/>
      <c r="B360" s="30"/>
      <c r="C360" s="30"/>
      <c r="D360" s="141"/>
      <c r="E360" s="42"/>
      <c r="F360" s="43"/>
      <c r="G360" s="59"/>
      <c r="H360" s="60"/>
      <c r="I360" s="60"/>
      <c r="J360" s="60"/>
      <c r="K360" s="60"/>
      <c r="L360" s="60"/>
      <c r="M360" s="60"/>
      <c r="N360" s="60"/>
      <c r="O360" s="30"/>
      <c r="P360" s="30"/>
      <c r="Q360" s="30"/>
      <c r="R360" s="30"/>
      <c r="S360" s="30"/>
      <c r="T360" s="30"/>
    </row>
    <row r="361" spans="1:20" ht="12.75" customHeight="1" x14ac:dyDescent="0.25">
      <c r="A361" s="342"/>
      <c r="B361" s="30"/>
      <c r="C361" s="30"/>
      <c r="D361" s="141"/>
      <c r="E361" s="42"/>
      <c r="F361" s="43"/>
      <c r="G361" s="59"/>
      <c r="H361" s="60"/>
      <c r="I361" s="60"/>
      <c r="J361" s="60"/>
      <c r="K361" s="60"/>
      <c r="L361" s="60"/>
      <c r="M361" s="60"/>
      <c r="N361" s="60"/>
      <c r="O361" s="30"/>
      <c r="P361" s="30"/>
      <c r="Q361" s="30"/>
      <c r="R361" s="30"/>
      <c r="S361" s="30"/>
      <c r="T361" s="30"/>
    </row>
    <row r="362" spans="1:20" ht="12.75" customHeight="1" x14ac:dyDescent="0.25">
      <c r="A362" s="342"/>
      <c r="B362" s="30"/>
      <c r="C362" s="30"/>
      <c r="D362" s="141"/>
      <c r="E362" s="42"/>
      <c r="F362" s="43"/>
      <c r="G362" s="59"/>
      <c r="H362" s="60"/>
      <c r="I362" s="60"/>
      <c r="J362" s="60"/>
      <c r="K362" s="60"/>
      <c r="L362" s="60"/>
      <c r="M362" s="60"/>
      <c r="N362" s="60"/>
      <c r="O362" s="30"/>
      <c r="P362" s="30"/>
      <c r="Q362" s="30"/>
      <c r="R362" s="30"/>
      <c r="S362" s="30"/>
      <c r="T362" s="30"/>
    </row>
    <row r="363" spans="1:20" ht="12.75" customHeight="1" x14ac:dyDescent="0.25">
      <c r="A363" s="342"/>
      <c r="B363" s="30"/>
      <c r="C363" s="30"/>
      <c r="D363" s="141"/>
      <c r="E363" s="42"/>
      <c r="F363" s="43"/>
      <c r="G363" s="59"/>
      <c r="H363" s="60"/>
      <c r="I363" s="60"/>
      <c r="J363" s="60"/>
      <c r="K363" s="60"/>
      <c r="L363" s="60"/>
      <c r="M363" s="60"/>
      <c r="N363" s="60"/>
      <c r="O363" s="30"/>
      <c r="P363" s="30"/>
      <c r="Q363" s="30"/>
      <c r="R363" s="30"/>
      <c r="S363" s="30"/>
      <c r="T363" s="30"/>
    </row>
    <row r="364" spans="1:20" ht="12.75" customHeight="1" x14ac:dyDescent="0.25">
      <c r="A364" s="342"/>
      <c r="B364" s="30"/>
      <c r="C364" s="30"/>
      <c r="D364" s="141"/>
      <c r="E364" s="42"/>
      <c r="F364" s="43"/>
      <c r="G364" s="59"/>
      <c r="H364" s="60"/>
      <c r="I364" s="60"/>
      <c r="J364" s="60"/>
      <c r="K364" s="60"/>
      <c r="L364" s="60"/>
      <c r="M364" s="60"/>
      <c r="N364" s="60"/>
      <c r="O364" s="30"/>
      <c r="P364" s="30"/>
      <c r="Q364" s="30"/>
      <c r="R364" s="30"/>
      <c r="S364" s="30"/>
      <c r="T364" s="30"/>
    </row>
    <row r="365" spans="1:20" ht="12.75" customHeight="1" x14ac:dyDescent="0.25">
      <c r="A365" s="342"/>
      <c r="B365" s="30"/>
      <c r="C365" s="30"/>
      <c r="D365" s="141"/>
      <c r="E365" s="42"/>
      <c r="F365" s="43"/>
      <c r="G365" s="59"/>
      <c r="H365" s="60"/>
      <c r="I365" s="60"/>
      <c r="J365" s="60"/>
      <c r="K365" s="60"/>
      <c r="L365" s="60"/>
      <c r="M365" s="60"/>
      <c r="N365" s="60"/>
      <c r="O365" s="30"/>
      <c r="P365" s="30"/>
      <c r="Q365" s="30"/>
      <c r="R365" s="30"/>
      <c r="S365" s="30"/>
      <c r="T365" s="30"/>
    </row>
    <row r="366" spans="1:20" ht="12.75" customHeight="1" x14ac:dyDescent="0.25">
      <c r="A366" s="342"/>
      <c r="B366" s="30"/>
      <c r="C366" s="30"/>
      <c r="D366" s="141"/>
      <c r="E366" s="42"/>
      <c r="F366" s="43"/>
      <c r="G366" s="59"/>
      <c r="H366" s="60"/>
      <c r="I366" s="60"/>
      <c r="J366" s="60"/>
      <c r="K366" s="60"/>
      <c r="L366" s="60"/>
      <c r="M366" s="60"/>
      <c r="N366" s="60"/>
      <c r="O366" s="30"/>
      <c r="P366" s="30"/>
      <c r="Q366" s="30"/>
      <c r="R366" s="30"/>
      <c r="S366" s="30"/>
      <c r="T366" s="30"/>
    </row>
    <row r="367" spans="1:20" ht="12.75" customHeight="1" x14ac:dyDescent="0.25">
      <c r="A367" s="342"/>
      <c r="B367" s="30"/>
      <c r="C367" s="30"/>
      <c r="D367" s="141"/>
      <c r="E367" s="42"/>
      <c r="F367" s="43"/>
      <c r="G367" s="59"/>
      <c r="H367" s="60"/>
      <c r="I367" s="60"/>
      <c r="J367" s="60"/>
      <c r="K367" s="60"/>
      <c r="L367" s="60"/>
      <c r="M367" s="60"/>
      <c r="N367" s="60"/>
      <c r="O367" s="30"/>
      <c r="P367" s="30"/>
      <c r="Q367" s="30"/>
      <c r="R367" s="30"/>
      <c r="S367" s="30"/>
      <c r="T367" s="30"/>
    </row>
    <row r="368" spans="1:20" ht="12.75" customHeight="1" x14ac:dyDescent="0.25">
      <c r="A368" s="342"/>
      <c r="B368" s="30"/>
      <c r="C368" s="30"/>
      <c r="D368" s="141"/>
      <c r="E368" s="42"/>
      <c r="F368" s="43"/>
      <c r="G368" s="59"/>
      <c r="H368" s="60"/>
      <c r="I368" s="60"/>
      <c r="J368" s="60"/>
      <c r="K368" s="60"/>
      <c r="L368" s="60"/>
      <c r="M368" s="60"/>
      <c r="N368" s="60"/>
      <c r="O368" s="30"/>
      <c r="P368" s="30"/>
      <c r="Q368" s="30"/>
      <c r="R368" s="30"/>
      <c r="S368" s="30"/>
      <c r="T368" s="30"/>
    </row>
    <row r="369" spans="1:20" ht="12.75" customHeight="1" x14ac:dyDescent="0.25">
      <c r="A369" s="342"/>
      <c r="B369" s="30"/>
      <c r="C369" s="30"/>
      <c r="D369" s="141"/>
      <c r="E369" s="42"/>
      <c r="F369" s="43"/>
      <c r="G369" s="59"/>
      <c r="H369" s="60"/>
      <c r="I369" s="60"/>
      <c r="J369" s="60"/>
      <c r="K369" s="60"/>
      <c r="L369" s="60"/>
      <c r="M369" s="60"/>
      <c r="N369" s="60"/>
      <c r="O369" s="30"/>
      <c r="P369" s="30"/>
      <c r="Q369" s="30"/>
      <c r="R369" s="30"/>
      <c r="S369" s="30"/>
      <c r="T369" s="30"/>
    </row>
    <row r="370" spans="1:20" ht="12.75" customHeight="1" x14ac:dyDescent="0.25">
      <c r="A370" s="342"/>
      <c r="B370" s="30"/>
      <c r="C370" s="30"/>
      <c r="D370" s="141"/>
      <c r="E370" s="42"/>
      <c r="F370" s="43"/>
      <c r="G370" s="59"/>
      <c r="H370" s="60"/>
      <c r="I370" s="60"/>
      <c r="J370" s="60"/>
      <c r="K370" s="60"/>
      <c r="L370" s="60"/>
      <c r="M370" s="60"/>
      <c r="N370" s="60"/>
      <c r="O370" s="30"/>
      <c r="P370" s="30"/>
      <c r="Q370" s="30"/>
      <c r="R370" s="30"/>
      <c r="S370" s="30"/>
      <c r="T370" s="30"/>
    </row>
    <row r="371" spans="1:20" ht="12.75" customHeight="1" x14ac:dyDescent="0.25">
      <c r="A371" s="342"/>
      <c r="B371" s="30"/>
      <c r="C371" s="30"/>
      <c r="D371" s="141"/>
      <c r="E371" s="42"/>
      <c r="F371" s="43"/>
      <c r="G371" s="59"/>
      <c r="H371" s="60"/>
      <c r="I371" s="60"/>
      <c r="J371" s="60"/>
      <c r="K371" s="60"/>
      <c r="L371" s="60"/>
      <c r="M371" s="60"/>
      <c r="N371" s="60"/>
      <c r="O371" s="30"/>
      <c r="P371" s="30"/>
      <c r="Q371" s="30"/>
      <c r="R371" s="30"/>
      <c r="S371" s="30"/>
      <c r="T371" s="30"/>
    </row>
    <row r="372" spans="1:20" ht="12.75" customHeight="1" x14ac:dyDescent="0.25">
      <c r="A372" s="342"/>
      <c r="B372" s="30"/>
      <c r="C372" s="30"/>
      <c r="D372" s="141"/>
      <c r="E372" s="42"/>
      <c r="F372" s="43"/>
      <c r="G372" s="59"/>
      <c r="H372" s="60"/>
      <c r="I372" s="60"/>
      <c r="J372" s="60"/>
      <c r="K372" s="60"/>
      <c r="L372" s="60"/>
      <c r="M372" s="60"/>
      <c r="N372" s="60"/>
      <c r="O372" s="30"/>
      <c r="P372" s="30"/>
      <c r="Q372" s="30"/>
      <c r="R372" s="30"/>
      <c r="S372" s="30"/>
      <c r="T372" s="30"/>
    </row>
    <row r="373" spans="1:20" ht="12.75" customHeight="1" x14ac:dyDescent="0.25">
      <c r="A373" s="342"/>
      <c r="B373" s="30"/>
      <c r="C373" s="30"/>
      <c r="D373" s="141"/>
      <c r="E373" s="42"/>
      <c r="F373" s="43"/>
      <c r="G373" s="59"/>
      <c r="H373" s="60"/>
      <c r="I373" s="60"/>
      <c r="J373" s="60"/>
      <c r="K373" s="60"/>
      <c r="L373" s="60"/>
      <c r="M373" s="60"/>
      <c r="N373" s="60"/>
      <c r="O373" s="30"/>
      <c r="P373" s="30"/>
      <c r="Q373" s="30"/>
      <c r="R373" s="30"/>
      <c r="S373" s="30"/>
      <c r="T373" s="30"/>
    </row>
    <row r="374" spans="1:20" ht="12.75" customHeight="1" x14ac:dyDescent="0.25">
      <c r="A374" s="342"/>
      <c r="B374" s="30"/>
      <c r="C374" s="30"/>
      <c r="D374" s="141"/>
      <c r="E374" s="42"/>
      <c r="F374" s="43"/>
      <c r="G374" s="59"/>
      <c r="H374" s="60"/>
      <c r="I374" s="60"/>
      <c r="J374" s="60"/>
      <c r="K374" s="60"/>
      <c r="L374" s="60"/>
      <c r="M374" s="60"/>
      <c r="N374" s="60"/>
      <c r="O374" s="30"/>
      <c r="P374" s="30"/>
      <c r="Q374" s="30"/>
      <c r="R374" s="30"/>
      <c r="S374" s="30"/>
      <c r="T374" s="30"/>
    </row>
    <row r="375" spans="1:20" ht="12.75" customHeight="1" x14ac:dyDescent="0.25">
      <c r="A375" s="342"/>
      <c r="B375" s="30"/>
      <c r="C375" s="30"/>
      <c r="D375" s="141"/>
      <c r="E375" s="42"/>
      <c r="F375" s="43"/>
      <c r="G375" s="59"/>
      <c r="H375" s="60"/>
      <c r="I375" s="60"/>
      <c r="J375" s="60"/>
      <c r="K375" s="60"/>
      <c r="L375" s="60"/>
      <c r="M375" s="60"/>
      <c r="N375" s="60"/>
      <c r="O375" s="30"/>
      <c r="P375" s="30"/>
      <c r="Q375" s="30"/>
      <c r="R375" s="30"/>
      <c r="S375" s="30"/>
      <c r="T375" s="30"/>
    </row>
    <row r="376" spans="1:20" ht="12.75" customHeight="1" x14ac:dyDescent="0.25">
      <c r="A376" s="342"/>
      <c r="B376" s="30"/>
      <c r="C376" s="30"/>
      <c r="D376" s="141"/>
      <c r="E376" s="42"/>
      <c r="F376" s="43"/>
      <c r="G376" s="59"/>
      <c r="H376" s="60"/>
      <c r="I376" s="60"/>
      <c r="J376" s="60"/>
      <c r="K376" s="60"/>
      <c r="L376" s="60"/>
      <c r="M376" s="60"/>
      <c r="N376" s="60"/>
      <c r="O376" s="30"/>
      <c r="P376" s="30"/>
      <c r="Q376" s="30"/>
      <c r="R376" s="30"/>
      <c r="S376" s="30"/>
      <c r="T376" s="30"/>
    </row>
    <row r="377" spans="1:20" ht="12.75" customHeight="1" x14ac:dyDescent="0.25">
      <c r="A377" s="342"/>
      <c r="B377" s="30"/>
      <c r="C377" s="30"/>
      <c r="D377" s="141"/>
      <c r="E377" s="42"/>
      <c r="F377" s="43"/>
      <c r="G377" s="59"/>
      <c r="H377" s="60"/>
      <c r="I377" s="60"/>
      <c r="J377" s="60"/>
      <c r="K377" s="60"/>
      <c r="L377" s="60"/>
      <c r="M377" s="60"/>
      <c r="N377" s="60"/>
      <c r="O377" s="30"/>
      <c r="P377" s="30"/>
      <c r="Q377" s="30"/>
      <c r="R377" s="30"/>
      <c r="S377" s="30"/>
      <c r="T377" s="30"/>
    </row>
    <row r="378" spans="1:20" ht="12.75" customHeight="1" x14ac:dyDescent="0.25">
      <c r="A378" s="342"/>
      <c r="B378" s="30"/>
      <c r="C378" s="30"/>
      <c r="D378" s="141"/>
      <c r="E378" s="42"/>
      <c r="F378" s="43"/>
      <c r="G378" s="59"/>
      <c r="H378" s="60"/>
      <c r="I378" s="60"/>
      <c r="J378" s="60"/>
      <c r="K378" s="60"/>
      <c r="L378" s="60"/>
      <c r="M378" s="60"/>
      <c r="N378" s="60"/>
      <c r="O378" s="30"/>
      <c r="P378" s="30"/>
      <c r="Q378" s="30"/>
      <c r="R378" s="30"/>
      <c r="S378" s="30"/>
      <c r="T378" s="30"/>
    </row>
    <row r="379" spans="1:20" ht="12.75" customHeight="1" x14ac:dyDescent="0.25">
      <c r="A379" s="342"/>
      <c r="B379" s="30"/>
      <c r="C379" s="30"/>
      <c r="D379" s="141"/>
      <c r="E379" s="42"/>
      <c r="F379" s="43"/>
      <c r="G379" s="59"/>
      <c r="H379" s="60"/>
      <c r="I379" s="60"/>
      <c r="J379" s="60"/>
      <c r="K379" s="60"/>
      <c r="L379" s="60"/>
      <c r="M379" s="60"/>
      <c r="N379" s="60"/>
      <c r="O379" s="30"/>
      <c r="P379" s="30"/>
      <c r="Q379" s="30"/>
      <c r="R379" s="30"/>
      <c r="S379" s="30"/>
      <c r="T379" s="30"/>
    </row>
    <row r="380" spans="1:20" ht="12.75" customHeight="1" x14ac:dyDescent="0.25">
      <c r="A380" s="342"/>
      <c r="B380" s="30"/>
      <c r="C380" s="30"/>
      <c r="D380" s="141"/>
      <c r="E380" s="42"/>
      <c r="F380" s="43"/>
      <c r="G380" s="59"/>
      <c r="H380" s="60"/>
      <c r="I380" s="60"/>
      <c r="J380" s="60"/>
      <c r="K380" s="60"/>
      <c r="L380" s="60"/>
      <c r="M380" s="60"/>
      <c r="N380" s="60"/>
      <c r="O380" s="30"/>
      <c r="P380" s="30"/>
      <c r="Q380" s="30"/>
      <c r="R380" s="30"/>
      <c r="S380" s="30"/>
      <c r="T380" s="30"/>
    </row>
    <row r="381" spans="1:20" ht="12.75" customHeight="1" x14ac:dyDescent="0.25">
      <c r="A381" s="342"/>
      <c r="B381" s="30"/>
      <c r="C381" s="30"/>
      <c r="D381" s="141"/>
      <c r="E381" s="42"/>
      <c r="F381" s="43"/>
      <c r="G381" s="59"/>
      <c r="H381" s="60"/>
      <c r="I381" s="60"/>
      <c r="J381" s="60"/>
      <c r="K381" s="60"/>
      <c r="L381" s="60"/>
      <c r="M381" s="60"/>
      <c r="N381" s="60"/>
      <c r="O381" s="30"/>
      <c r="P381" s="30"/>
      <c r="Q381" s="30"/>
      <c r="R381" s="30"/>
      <c r="S381" s="30"/>
      <c r="T381" s="30"/>
    </row>
    <row r="382" spans="1:20" ht="12.75" customHeight="1" x14ac:dyDescent="0.25">
      <c r="A382" s="342"/>
      <c r="B382" s="30"/>
      <c r="C382" s="30"/>
      <c r="D382" s="141"/>
      <c r="E382" s="42"/>
      <c r="F382" s="43"/>
      <c r="G382" s="59"/>
      <c r="H382" s="60"/>
      <c r="I382" s="60"/>
      <c r="J382" s="60"/>
      <c r="K382" s="60"/>
      <c r="L382" s="60"/>
      <c r="M382" s="60"/>
      <c r="N382" s="60"/>
      <c r="O382" s="30"/>
      <c r="P382" s="30"/>
      <c r="Q382" s="30"/>
      <c r="R382" s="30"/>
      <c r="S382" s="30"/>
      <c r="T382" s="30"/>
    </row>
    <row r="383" spans="1:20" ht="12.75" customHeight="1" x14ac:dyDescent="0.25">
      <c r="A383" s="342"/>
      <c r="B383" s="30"/>
      <c r="C383" s="30"/>
      <c r="D383" s="141"/>
      <c r="E383" s="42"/>
      <c r="F383" s="43"/>
      <c r="G383" s="59"/>
      <c r="H383" s="60"/>
      <c r="I383" s="60"/>
      <c r="J383" s="60"/>
      <c r="K383" s="60"/>
      <c r="L383" s="60"/>
      <c r="M383" s="60"/>
      <c r="N383" s="60"/>
      <c r="O383" s="30"/>
      <c r="P383" s="30"/>
      <c r="Q383" s="30"/>
      <c r="R383" s="30"/>
      <c r="S383" s="30"/>
      <c r="T383" s="30"/>
    </row>
    <row r="384" spans="1:20" ht="12.75" customHeight="1" x14ac:dyDescent="0.25">
      <c r="A384" s="342"/>
      <c r="B384" s="30"/>
      <c r="C384" s="30"/>
      <c r="D384" s="141"/>
      <c r="E384" s="42"/>
      <c r="F384" s="43"/>
      <c r="G384" s="59"/>
      <c r="H384" s="60"/>
      <c r="I384" s="60"/>
      <c r="J384" s="60"/>
      <c r="K384" s="60"/>
      <c r="L384" s="60"/>
      <c r="M384" s="60"/>
      <c r="N384" s="60"/>
      <c r="O384" s="30"/>
      <c r="P384" s="30"/>
      <c r="Q384" s="30"/>
      <c r="R384" s="30"/>
      <c r="S384" s="30"/>
      <c r="T384" s="30"/>
    </row>
    <row r="385" spans="1:20" ht="12.75" customHeight="1" x14ac:dyDescent="0.25">
      <c r="A385" s="342"/>
      <c r="B385" s="30"/>
      <c r="C385" s="30"/>
      <c r="D385" s="141"/>
      <c r="E385" s="42"/>
      <c r="F385" s="43"/>
      <c r="G385" s="59"/>
      <c r="H385" s="60"/>
      <c r="I385" s="60"/>
      <c r="J385" s="60"/>
      <c r="K385" s="60"/>
      <c r="L385" s="60"/>
      <c r="M385" s="60"/>
      <c r="N385" s="60"/>
      <c r="O385" s="30"/>
      <c r="P385" s="30"/>
      <c r="Q385" s="30"/>
      <c r="R385" s="30"/>
      <c r="S385" s="30"/>
      <c r="T385" s="30"/>
    </row>
    <row r="386" spans="1:20" ht="12.75" customHeight="1" x14ac:dyDescent="0.25">
      <c r="A386" s="342"/>
      <c r="B386" s="30"/>
      <c r="C386" s="30"/>
      <c r="D386" s="141"/>
      <c r="E386" s="42"/>
      <c r="F386" s="43"/>
      <c r="G386" s="59"/>
      <c r="H386" s="60"/>
      <c r="I386" s="60"/>
      <c r="J386" s="60"/>
      <c r="K386" s="60"/>
      <c r="L386" s="60"/>
      <c r="M386" s="60"/>
      <c r="N386" s="60"/>
      <c r="O386" s="30"/>
      <c r="P386" s="30"/>
      <c r="Q386" s="30"/>
      <c r="R386" s="30"/>
      <c r="S386" s="30"/>
      <c r="T386" s="30"/>
    </row>
    <row r="387" spans="1:20" ht="12.75" customHeight="1" x14ac:dyDescent="0.25">
      <c r="A387" s="342"/>
      <c r="B387" s="30"/>
      <c r="C387" s="30"/>
      <c r="D387" s="141"/>
      <c r="E387" s="42"/>
      <c r="F387" s="43"/>
      <c r="G387" s="59"/>
      <c r="H387" s="60"/>
      <c r="I387" s="60"/>
      <c r="J387" s="60"/>
      <c r="K387" s="60"/>
      <c r="L387" s="60"/>
      <c r="M387" s="60"/>
      <c r="N387" s="60"/>
      <c r="O387" s="30"/>
      <c r="P387" s="30"/>
      <c r="Q387" s="30"/>
      <c r="R387" s="30"/>
      <c r="S387" s="30"/>
      <c r="T387" s="30"/>
    </row>
    <row r="388" spans="1:20" ht="12.75" customHeight="1" x14ac:dyDescent="0.25">
      <c r="A388" s="342"/>
      <c r="B388" s="30"/>
      <c r="C388" s="30"/>
      <c r="D388" s="141"/>
      <c r="E388" s="42"/>
      <c r="F388" s="43"/>
      <c r="G388" s="59"/>
      <c r="H388" s="60"/>
      <c r="I388" s="60"/>
      <c r="J388" s="60"/>
      <c r="K388" s="60"/>
      <c r="L388" s="60"/>
      <c r="M388" s="60"/>
      <c r="N388" s="60"/>
      <c r="O388" s="30"/>
      <c r="P388" s="30"/>
      <c r="Q388" s="30"/>
      <c r="R388" s="30"/>
      <c r="S388" s="30"/>
      <c r="T388" s="30"/>
    </row>
    <row r="389" spans="1:20" ht="12.75" customHeight="1" x14ac:dyDescent="0.25">
      <c r="A389" s="342"/>
      <c r="B389" s="30"/>
      <c r="C389" s="30"/>
      <c r="D389" s="141"/>
      <c r="E389" s="42"/>
      <c r="F389" s="43"/>
      <c r="G389" s="59"/>
      <c r="H389" s="60"/>
      <c r="I389" s="60"/>
      <c r="J389" s="60"/>
      <c r="K389" s="60"/>
      <c r="L389" s="60"/>
      <c r="M389" s="60"/>
      <c r="N389" s="60"/>
      <c r="O389" s="30"/>
      <c r="P389" s="30"/>
      <c r="Q389" s="30"/>
      <c r="R389" s="30"/>
      <c r="S389" s="30"/>
      <c r="T389" s="30"/>
    </row>
    <row r="390" spans="1:20" ht="12.75" customHeight="1" x14ac:dyDescent="0.25">
      <c r="A390" s="342"/>
      <c r="B390" s="30"/>
      <c r="C390" s="30"/>
      <c r="D390" s="141"/>
      <c r="E390" s="42"/>
      <c r="F390" s="43"/>
      <c r="G390" s="59"/>
      <c r="H390" s="60"/>
      <c r="I390" s="60"/>
      <c r="J390" s="60"/>
      <c r="K390" s="60"/>
      <c r="L390" s="60"/>
      <c r="M390" s="60"/>
      <c r="N390" s="60"/>
      <c r="O390" s="30"/>
      <c r="P390" s="30"/>
      <c r="Q390" s="30"/>
      <c r="R390" s="30"/>
      <c r="S390" s="30"/>
      <c r="T390" s="30"/>
    </row>
    <row r="391" spans="1:20" ht="12.75" customHeight="1" x14ac:dyDescent="0.25">
      <c r="A391" s="342"/>
      <c r="B391" s="30"/>
      <c r="C391" s="30"/>
      <c r="D391" s="141"/>
      <c r="E391" s="42"/>
      <c r="F391" s="43"/>
      <c r="G391" s="59"/>
      <c r="H391" s="60"/>
      <c r="I391" s="60"/>
      <c r="J391" s="60"/>
      <c r="K391" s="60"/>
      <c r="L391" s="60"/>
      <c r="M391" s="60"/>
      <c r="N391" s="60"/>
      <c r="O391" s="30"/>
      <c r="P391" s="30"/>
      <c r="Q391" s="30"/>
      <c r="R391" s="30"/>
      <c r="S391" s="30"/>
      <c r="T391" s="30"/>
    </row>
    <row r="392" spans="1:20" ht="12.75" customHeight="1" x14ac:dyDescent="0.25">
      <c r="A392" s="342"/>
      <c r="B392" s="30"/>
      <c r="C392" s="30"/>
      <c r="D392" s="141"/>
      <c r="E392" s="42"/>
      <c r="F392" s="43"/>
      <c r="G392" s="59"/>
      <c r="H392" s="60"/>
      <c r="I392" s="60"/>
      <c r="J392" s="60"/>
      <c r="K392" s="60"/>
      <c r="L392" s="60"/>
      <c r="M392" s="60"/>
      <c r="N392" s="60"/>
      <c r="O392" s="30"/>
      <c r="P392" s="30"/>
      <c r="Q392" s="30"/>
      <c r="R392" s="30"/>
      <c r="S392" s="30"/>
      <c r="T392" s="30"/>
    </row>
    <row r="393" spans="1:20" ht="12.75" customHeight="1" x14ac:dyDescent="0.25">
      <c r="A393" s="342"/>
      <c r="B393" s="30"/>
      <c r="C393" s="30"/>
      <c r="D393" s="141"/>
      <c r="E393" s="42"/>
      <c r="F393" s="43"/>
      <c r="G393" s="59"/>
      <c r="H393" s="60"/>
      <c r="I393" s="60"/>
      <c r="J393" s="60"/>
      <c r="K393" s="60"/>
      <c r="L393" s="60"/>
      <c r="M393" s="60"/>
      <c r="N393" s="60"/>
      <c r="O393" s="30"/>
      <c r="P393" s="30"/>
      <c r="Q393" s="30"/>
      <c r="R393" s="30"/>
      <c r="S393" s="30"/>
      <c r="T393" s="30"/>
    </row>
    <row r="394" spans="1:20" ht="12.75" customHeight="1" x14ac:dyDescent="0.25">
      <c r="A394" s="342"/>
      <c r="B394" s="30"/>
      <c r="C394" s="30"/>
      <c r="D394" s="141"/>
      <c r="E394" s="42"/>
      <c r="F394" s="43"/>
      <c r="G394" s="59"/>
      <c r="H394" s="60"/>
      <c r="I394" s="60"/>
      <c r="J394" s="60"/>
      <c r="K394" s="60"/>
      <c r="L394" s="60"/>
      <c r="M394" s="60"/>
      <c r="N394" s="60"/>
      <c r="O394" s="30"/>
      <c r="P394" s="30"/>
      <c r="Q394" s="30"/>
      <c r="R394" s="30"/>
      <c r="S394" s="30"/>
      <c r="T394" s="30"/>
    </row>
    <row r="395" spans="1:20" ht="12.75" customHeight="1" x14ac:dyDescent="0.25">
      <c r="A395" s="342"/>
      <c r="B395" s="30"/>
      <c r="C395" s="30"/>
      <c r="D395" s="141"/>
      <c r="E395" s="42"/>
      <c r="F395" s="43"/>
      <c r="G395" s="59"/>
      <c r="H395" s="60"/>
      <c r="I395" s="60"/>
      <c r="J395" s="60"/>
      <c r="K395" s="60"/>
      <c r="L395" s="60"/>
      <c r="M395" s="60"/>
      <c r="N395" s="60"/>
      <c r="O395" s="30"/>
      <c r="P395" s="30"/>
      <c r="Q395" s="30"/>
      <c r="R395" s="30"/>
      <c r="S395" s="30"/>
      <c r="T395" s="30"/>
    </row>
    <row r="396" spans="1:20" ht="12.75" customHeight="1" x14ac:dyDescent="0.25">
      <c r="A396" s="342"/>
      <c r="B396" s="30"/>
      <c r="C396" s="30"/>
      <c r="D396" s="141"/>
      <c r="E396" s="42"/>
      <c r="F396" s="43"/>
      <c r="G396" s="59"/>
      <c r="H396" s="60"/>
      <c r="I396" s="60"/>
      <c r="J396" s="60"/>
      <c r="K396" s="60"/>
      <c r="L396" s="60"/>
      <c r="M396" s="60"/>
      <c r="N396" s="60"/>
      <c r="O396" s="30"/>
      <c r="P396" s="30"/>
      <c r="Q396" s="30"/>
      <c r="R396" s="30"/>
      <c r="S396" s="30"/>
      <c r="T396" s="30"/>
    </row>
    <row r="397" spans="1:20" ht="12.75" customHeight="1" x14ac:dyDescent="0.25">
      <c r="A397" s="342"/>
      <c r="B397" s="30"/>
      <c r="C397" s="30"/>
      <c r="D397" s="141"/>
      <c r="E397" s="42"/>
      <c r="F397" s="43"/>
      <c r="G397" s="59"/>
      <c r="H397" s="60"/>
      <c r="I397" s="60"/>
      <c r="J397" s="60"/>
      <c r="K397" s="60"/>
      <c r="L397" s="60"/>
      <c r="M397" s="60"/>
      <c r="N397" s="60"/>
      <c r="O397" s="30"/>
      <c r="P397" s="30"/>
      <c r="Q397" s="30"/>
      <c r="R397" s="30"/>
      <c r="S397" s="30"/>
      <c r="T397" s="30"/>
    </row>
    <row r="398" spans="1:20" ht="12.75" customHeight="1" x14ac:dyDescent="0.25">
      <c r="A398" s="342"/>
      <c r="B398" s="30"/>
      <c r="C398" s="30"/>
      <c r="D398" s="141"/>
      <c r="E398" s="42"/>
      <c r="F398" s="43"/>
      <c r="G398" s="59"/>
      <c r="H398" s="60"/>
      <c r="I398" s="60"/>
      <c r="J398" s="60"/>
      <c r="K398" s="60"/>
      <c r="L398" s="60"/>
      <c r="M398" s="60"/>
      <c r="N398" s="60"/>
      <c r="O398" s="30"/>
      <c r="P398" s="30"/>
      <c r="Q398" s="30"/>
      <c r="R398" s="30"/>
      <c r="S398" s="30"/>
      <c r="T398" s="30"/>
    </row>
    <row r="399" spans="1:20" ht="12.75" customHeight="1" x14ac:dyDescent="0.25">
      <c r="A399" s="342"/>
      <c r="B399" s="30"/>
      <c r="C399" s="30"/>
      <c r="D399" s="141"/>
      <c r="E399" s="42"/>
      <c r="F399" s="43"/>
      <c r="G399" s="59"/>
      <c r="H399" s="60"/>
      <c r="I399" s="60"/>
      <c r="J399" s="60"/>
      <c r="K399" s="60"/>
      <c r="L399" s="60"/>
      <c r="M399" s="60"/>
      <c r="N399" s="60"/>
      <c r="O399" s="30"/>
      <c r="P399" s="30"/>
      <c r="Q399" s="30"/>
      <c r="R399" s="30"/>
      <c r="S399" s="30"/>
      <c r="T399" s="30"/>
    </row>
    <row r="400" spans="1:20" ht="12.75" customHeight="1" x14ac:dyDescent="0.25">
      <c r="A400" s="342"/>
      <c r="B400" s="30"/>
      <c r="C400" s="30"/>
      <c r="D400" s="141"/>
      <c r="E400" s="42"/>
      <c r="F400" s="43"/>
      <c r="G400" s="59"/>
      <c r="H400" s="60"/>
      <c r="I400" s="60"/>
      <c r="J400" s="60"/>
      <c r="K400" s="60"/>
      <c r="L400" s="60"/>
      <c r="M400" s="60"/>
      <c r="N400" s="60"/>
      <c r="O400" s="30"/>
      <c r="P400" s="30"/>
      <c r="Q400" s="30"/>
      <c r="R400" s="30"/>
      <c r="S400" s="30"/>
      <c r="T400" s="30"/>
    </row>
    <row r="401" spans="1:20" ht="12.75" customHeight="1" x14ac:dyDescent="0.25">
      <c r="A401" s="342"/>
      <c r="B401" s="30"/>
      <c r="C401" s="30"/>
      <c r="D401" s="141"/>
      <c r="E401" s="42"/>
      <c r="F401" s="43"/>
      <c r="G401" s="59"/>
      <c r="H401" s="60"/>
      <c r="I401" s="60"/>
      <c r="J401" s="60"/>
      <c r="K401" s="60"/>
      <c r="L401" s="60"/>
      <c r="M401" s="60"/>
      <c r="N401" s="60"/>
      <c r="O401" s="30"/>
      <c r="P401" s="30"/>
      <c r="Q401" s="30"/>
      <c r="R401" s="30"/>
      <c r="S401" s="30"/>
      <c r="T401" s="30"/>
    </row>
    <row r="402" spans="1:20" ht="12.75" customHeight="1" x14ac:dyDescent="0.25">
      <c r="A402" s="342"/>
      <c r="B402" s="30"/>
      <c r="C402" s="30"/>
      <c r="D402" s="141"/>
      <c r="E402" s="42"/>
      <c r="F402" s="43"/>
      <c r="G402" s="59"/>
      <c r="H402" s="60"/>
      <c r="I402" s="60"/>
      <c r="J402" s="60"/>
      <c r="K402" s="60"/>
      <c r="L402" s="60"/>
      <c r="M402" s="60"/>
      <c r="N402" s="60"/>
      <c r="O402" s="30"/>
      <c r="P402" s="30"/>
      <c r="Q402" s="30"/>
      <c r="R402" s="30"/>
      <c r="S402" s="30"/>
      <c r="T402" s="30"/>
    </row>
    <row r="403" spans="1:20" ht="12.75" customHeight="1" x14ac:dyDescent="0.25">
      <c r="A403" s="342"/>
      <c r="B403" s="30"/>
      <c r="C403" s="30"/>
      <c r="D403" s="141"/>
      <c r="E403" s="42"/>
      <c r="F403" s="43"/>
      <c r="G403" s="59"/>
      <c r="H403" s="60"/>
      <c r="I403" s="60"/>
      <c r="J403" s="60"/>
      <c r="K403" s="60"/>
      <c r="L403" s="60"/>
      <c r="M403" s="60"/>
      <c r="N403" s="60"/>
      <c r="O403" s="30"/>
      <c r="P403" s="30"/>
      <c r="Q403" s="30"/>
      <c r="R403" s="30"/>
      <c r="S403" s="30"/>
      <c r="T403" s="30"/>
    </row>
    <row r="404" spans="1:20" ht="12.75" customHeight="1" x14ac:dyDescent="0.25">
      <c r="A404" s="342"/>
      <c r="B404" s="30"/>
      <c r="C404" s="30"/>
      <c r="D404" s="141"/>
      <c r="E404" s="42"/>
      <c r="F404" s="43"/>
      <c r="G404" s="59"/>
      <c r="H404" s="60"/>
      <c r="I404" s="60"/>
      <c r="J404" s="60"/>
      <c r="K404" s="60"/>
      <c r="L404" s="60"/>
      <c r="M404" s="60"/>
      <c r="N404" s="60"/>
      <c r="O404" s="30"/>
      <c r="P404" s="30"/>
      <c r="Q404" s="30"/>
      <c r="R404" s="30"/>
      <c r="S404" s="30"/>
      <c r="T404" s="30"/>
    </row>
    <row r="405" spans="1:20" ht="12.75" customHeight="1" x14ac:dyDescent="0.25">
      <c r="A405" s="342"/>
      <c r="B405" s="30"/>
      <c r="C405" s="30"/>
      <c r="D405" s="141"/>
      <c r="E405" s="42"/>
      <c r="F405" s="43"/>
      <c r="G405" s="59"/>
      <c r="H405" s="60"/>
      <c r="I405" s="60"/>
      <c r="J405" s="60"/>
      <c r="K405" s="60"/>
      <c r="L405" s="60"/>
      <c r="M405" s="60"/>
      <c r="N405" s="60"/>
      <c r="O405" s="30"/>
      <c r="P405" s="30"/>
      <c r="Q405" s="30"/>
      <c r="R405" s="30"/>
      <c r="S405" s="30"/>
      <c r="T405" s="30"/>
    </row>
    <row r="406" spans="1:20" ht="12.75" customHeight="1" x14ac:dyDescent="0.25">
      <c r="A406" s="342"/>
      <c r="B406" s="30"/>
      <c r="C406" s="30"/>
      <c r="D406" s="141"/>
      <c r="E406" s="42"/>
      <c r="F406" s="43"/>
      <c r="G406" s="59"/>
      <c r="H406" s="60"/>
      <c r="I406" s="60"/>
      <c r="J406" s="60"/>
      <c r="K406" s="60"/>
      <c r="L406" s="60"/>
      <c r="M406" s="60"/>
      <c r="N406" s="60"/>
      <c r="O406" s="30"/>
      <c r="P406" s="30"/>
      <c r="Q406" s="30"/>
      <c r="R406" s="30"/>
      <c r="S406" s="30"/>
      <c r="T406" s="30"/>
    </row>
    <row r="407" spans="1:20" ht="12.75" customHeight="1" x14ac:dyDescent="0.25">
      <c r="A407" s="342"/>
      <c r="B407" s="30"/>
      <c r="C407" s="30"/>
      <c r="D407" s="141"/>
      <c r="E407" s="42"/>
      <c r="F407" s="43"/>
      <c r="G407" s="59"/>
      <c r="H407" s="60"/>
      <c r="I407" s="60"/>
      <c r="J407" s="60"/>
      <c r="K407" s="60"/>
      <c r="L407" s="60"/>
      <c r="M407" s="60"/>
      <c r="N407" s="60"/>
      <c r="O407" s="30"/>
      <c r="P407" s="30"/>
      <c r="Q407" s="30"/>
      <c r="R407" s="30"/>
      <c r="S407" s="30"/>
      <c r="T407" s="30"/>
    </row>
    <row r="408" spans="1:20" ht="12.75" customHeight="1" x14ac:dyDescent="0.25">
      <c r="A408" s="342"/>
      <c r="B408" s="30"/>
      <c r="C408" s="30"/>
      <c r="D408" s="141"/>
      <c r="E408" s="42"/>
      <c r="F408" s="43"/>
      <c r="G408" s="59"/>
      <c r="H408" s="60"/>
      <c r="I408" s="60"/>
      <c r="J408" s="60"/>
      <c r="K408" s="60"/>
      <c r="L408" s="60"/>
      <c r="M408" s="60"/>
      <c r="N408" s="60"/>
      <c r="O408" s="30"/>
      <c r="P408" s="30"/>
      <c r="Q408" s="30"/>
      <c r="R408" s="30"/>
      <c r="S408" s="30"/>
      <c r="T408" s="30"/>
    </row>
    <row r="409" spans="1:20" ht="12.75" customHeight="1" x14ac:dyDescent="0.25">
      <c r="A409" s="342"/>
      <c r="B409" s="30"/>
      <c r="C409" s="30"/>
      <c r="D409" s="141"/>
      <c r="E409" s="42"/>
      <c r="F409" s="43"/>
      <c r="G409" s="59"/>
      <c r="H409" s="60"/>
      <c r="I409" s="60"/>
      <c r="J409" s="60"/>
      <c r="K409" s="60"/>
      <c r="L409" s="60"/>
      <c r="M409" s="60"/>
      <c r="N409" s="60"/>
      <c r="O409" s="30"/>
      <c r="P409" s="30"/>
      <c r="Q409" s="30"/>
      <c r="R409" s="30"/>
      <c r="S409" s="30"/>
      <c r="T409" s="30"/>
    </row>
    <row r="410" spans="1:20" ht="12.75" customHeight="1" x14ac:dyDescent="0.25">
      <c r="A410" s="342"/>
      <c r="B410" s="30"/>
      <c r="C410" s="30"/>
      <c r="D410" s="141"/>
      <c r="E410" s="42"/>
      <c r="F410" s="43"/>
      <c r="G410" s="59"/>
      <c r="H410" s="60"/>
      <c r="I410" s="60"/>
      <c r="J410" s="60"/>
      <c r="K410" s="60"/>
      <c r="L410" s="60"/>
      <c r="M410" s="60"/>
      <c r="N410" s="60"/>
      <c r="O410" s="30"/>
      <c r="P410" s="30"/>
      <c r="Q410" s="30"/>
      <c r="R410" s="30"/>
      <c r="S410" s="30"/>
      <c r="T410" s="30"/>
    </row>
    <row r="411" spans="1:20" ht="12.75" customHeight="1" x14ac:dyDescent="0.25">
      <c r="A411" s="342"/>
      <c r="B411" s="30"/>
      <c r="C411" s="30"/>
      <c r="D411" s="141"/>
      <c r="E411" s="42"/>
      <c r="F411" s="43"/>
      <c r="G411" s="59"/>
      <c r="H411" s="60"/>
      <c r="I411" s="60"/>
      <c r="J411" s="60"/>
      <c r="K411" s="60"/>
      <c r="L411" s="60"/>
      <c r="M411" s="60"/>
      <c r="N411" s="60"/>
      <c r="O411" s="30"/>
      <c r="P411" s="30"/>
      <c r="Q411" s="30"/>
      <c r="R411" s="30"/>
      <c r="S411" s="30"/>
      <c r="T411" s="30"/>
    </row>
    <row r="412" spans="1:20" ht="12.75" customHeight="1" x14ac:dyDescent="0.25">
      <c r="A412" s="342"/>
      <c r="B412" s="30"/>
      <c r="C412" s="30"/>
      <c r="D412" s="141"/>
      <c r="E412" s="42"/>
      <c r="F412" s="43"/>
      <c r="G412" s="59"/>
      <c r="H412" s="60"/>
      <c r="I412" s="60"/>
      <c r="J412" s="60"/>
      <c r="K412" s="60"/>
      <c r="L412" s="60"/>
      <c r="M412" s="60"/>
      <c r="N412" s="60"/>
      <c r="O412" s="30"/>
      <c r="P412" s="30"/>
      <c r="Q412" s="30"/>
      <c r="R412" s="30"/>
      <c r="S412" s="30"/>
      <c r="T412" s="30"/>
    </row>
    <row r="413" spans="1:20" ht="12.75" customHeight="1" x14ac:dyDescent="0.25">
      <c r="A413" s="342"/>
      <c r="B413" s="30"/>
      <c r="C413" s="30"/>
      <c r="D413" s="141"/>
      <c r="E413" s="42"/>
      <c r="F413" s="43"/>
      <c r="G413" s="59"/>
      <c r="H413" s="60"/>
      <c r="I413" s="60"/>
      <c r="J413" s="60"/>
      <c r="K413" s="60"/>
      <c r="L413" s="60"/>
      <c r="M413" s="60"/>
      <c r="N413" s="60"/>
      <c r="O413" s="30"/>
      <c r="P413" s="30"/>
      <c r="Q413" s="30"/>
      <c r="R413" s="30"/>
      <c r="S413" s="30"/>
      <c r="T413" s="30"/>
    </row>
    <row r="414" spans="1:20" ht="12.75" customHeight="1" x14ac:dyDescent="0.25">
      <c r="A414" s="342"/>
      <c r="B414" s="30"/>
      <c r="C414" s="30"/>
      <c r="D414" s="141"/>
      <c r="E414" s="42"/>
      <c r="F414" s="43"/>
      <c r="G414" s="59"/>
      <c r="H414" s="60"/>
      <c r="I414" s="60"/>
      <c r="J414" s="60"/>
      <c r="K414" s="60"/>
      <c r="L414" s="60"/>
      <c r="M414" s="60"/>
      <c r="N414" s="60"/>
      <c r="O414" s="30"/>
      <c r="P414" s="30"/>
      <c r="Q414" s="30"/>
      <c r="R414" s="30"/>
      <c r="S414" s="30"/>
      <c r="T414" s="30"/>
    </row>
    <row r="415" spans="1:20" ht="12.75" customHeight="1" x14ac:dyDescent="0.25">
      <c r="A415" s="342"/>
      <c r="B415" s="30"/>
      <c r="C415" s="30"/>
      <c r="D415" s="141"/>
      <c r="E415" s="42"/>
      <c r="F415" s="43"/>
      <c r="G415" s="59"/>
      <c r="H415" s="60"/>
      <c r="I415" s="60"/>
      <c r="J415" s="60"/>
      <c r="K415" s="60"/>
      <c r="L415" s="60"/>
      <c r="M415" s="60"/>
      <c r="N415" s="60"/>
      <c r="O415" s="30"/>
      <c r="P415" s="30"/>
      <c r="Q415" s="30"/>
      <c r="R415" s="30"/>
      <c r="S415" s="30"/>
      <c r="T415" s="30"/>
    </row>
    <row r="416" spans="1:20" ht="12.75" customHeight="1" x14ac:dyDescent="0.25">
      <c r="A416" s="342"/>
      <c r="B416" s="30"/>
      <c r="C416" s="30"/>
      <c r="D416" s="141"/>
      <c r="E416" s="42"/>
      <c r="F416" s="43"/>
      <c r="G416" s="59"/>
      <c r="H416" s="60"/>
      <c r="I416" s="60"/>
      <c r="J416" s="60"/>
      <c r="K416" s="60"/>
      <c r="L416" s="60"/>
      <c r="M416" s="60"/>
      <c r="N416" s="60"/>
      <c r="O416" s="30"/>
      <c r="P416" s="30"/>
      <c r="Q416" s="30"/>
      <c r="R416" s="30"/>
      <c r="S416" s="30"/>
      <c r="T416" s="30"/>
    </row>
    <row r="417" spans="1:20" ht="12.75" customHeight="1" x14ac:dyDescent="0.25">
      <c r="A417" s="342"/>
      <c r="B417" s="30"/>
      <c r="C417" s="30"/>
      <c r="D417" s="141"/>
      <c r="E417" s="42"/>
      <c r="F417" s="43"/>
      <c r="G417" s="59"/>
      <c r="H417" s="60"/>
      <c r="I417" s="60"/>
      <c r="J417" s="60"/>
      <c r="K417" s="60"/>
      <c r="L417" s="60"/>
      <c r="M417" s="60"/>
      <c r="N417" s="60"/>
      <c r="O417" s="30"/>
      <c r="P417" s="30"/>
      <c r="Q417" s="30"/>
      <c r="R417" s="30"/>
      <c r="S417" s="30"/>
      <c r="T417" s="30"/>
    </row>
    <row r="418" spans="1:20" ht="12.75" customHeight="1" x14ac:dyDescent="0.25">
      <c r="A418" s="342"/>
      <c r="B418" s="30"/>
      <c r="C418" s="30"/>
      <c r="D418" s="141"/>
      <c r="E418" s="42"/>
      <c r="F418" s="43"/>
      <c r="G418" s="59"/>
      <c r="H418" s="60"/>
      <c r="I418" s="60"/>
      <c r="J418" s="60"/>
      <c r="K418" s="60"/>
      <c r="L418" s="60"/>
      <c r="M418" s="60"/>
      <c r="N418" s="60"/>
      <c r="O418" s="30"/>
      <c r="P418" s="30"/>
      <c r="Q418" s="30"/>
      <c r="R418" s="30"/>
      <c r="S418" s="30"/>
      <c r="T418" s="30"/>
    </row>
    <row r="419" spans="1:20" ht="12.75" customHeight="1" x14ac:dyDescent="0.25">
      <c r="A419" s="342"/>
      <c r="B419" s="30"/>
      <c r="C419" s="30"/>
      <c r="D419" s="141"/>
      <c r="E419" s="42"/>
      <c r="F419" s="43"/>
      <c r="G419" s="59"/>
      <c r="H419" s="60"/>
      <c r="I419" s="60"/>
      <c r="J419" s="60"/>
      <c r="K419" s="60"/>
      <c r="L419" s="60"/>
      <c r="M419" s="60"/>
      <c r="N419" s="60"/>
      <c r="O419" s="30"/>
      <c r="P419" s="30"/>
      <c r="Q419" s="30"/>
      <c r="R419" s="30"/>
      <c r="S419" s="30"/>
      <c r="T419" s="30"/>
    </row>
    <row r="420" spans="1:20" ht="12.75" customHeight="1" x14ac:dyDescent="0.25">
      <c r="A420" s="342"/>
      <c r="B420" s="30"/>
      <c r="C420" s="30"/>
      <c r="D420" s="141"/>
      <c r="E420" s="42"/>
      <c r="F420" s="43"/>
      <c r="G420" s="59"/>
      <c r="H420" s="60"/>
      <c r="I420" s="60"/>
      <c r="J420" s="60"/>
      <c r="K420" s="60"/>
      <c r="L420" s="60"/>
      <c r="M420" s="60"/>
      <c r="N420" s="60"/>
      <c r="O420" s="30"/>
      <c r="P420" s="30"/>
      <c r="Q420" s="30"/>
      <c r="R420" s="30"/>
      <c r="S420" s="30"/>
      <c r="T420" s="30"/>
    </row>
    <row r="421" spans="1:20" ht="12.75" customHeight="1" x14ac:dyDescent="0.25">
      <c r="A421" s="342"/>
      <c r="B421" s="30"/>
      <c r="C421" s="30"/>
      <c r="D421" s="141"/>
      <c r="E421" s="42"/>
      <c r="F421" s="43"/>
      <c r="G421" s="59"/>
      <c r="H421" s="60"/>
      <c r="I421" s="60"/>
      <c r="J421" s="60"/>
      <c r="K421" s="60"/>
      <c r="L421" s="60"/>
      <c r="M421" s="60"/>
      <c r="N421" s="60"/>
      <c r="O421" s="30"/>
      <c r="P421" s="30"/>
      <c r="Q421" s="30"/>
      <c r="R421" s="30"/>
      <c r="S421" s="30"/>
      <c r="T421" s="30"/>
    </row>
    <row r="422" spans="1:20" ht="12.75" customHeight="1" x14ac:dyDescent="0.25">
      <c r="A422" s="342"/>
      <c r="B422" s="30"/>
      <c r="C422" s="30"/>
      <c r="D422" s="141"/>
      <c r="E422" s="42"/>
      <c r="F422" s="43"/>
      <c r="G422" s="59"/>
      <c r="H422" s="60"/>
      <c r="I422" s="60"/>
      <c r="J422" s="60"/>
      <c r="K422" s="60"/>
      <c r="L422" s="60"/>
      <c r="M422" s="60"/>
      <c r="N422" s="60"/>
      <c r="O422" s="30"/>
      <c r="P422" s="30"/>
      <c r="Q422" s="30"/>
      <c r="R422" s="30"/>
      <c r="S422" s="30"/>
      <c r="T422" s="30"/>
    </row>
    <row r="423" spans="1:20" ht="12.75" customHeight="1" x14ac:dyDescent="0.25">
      <c r="A423" s="342"/>
      <c r="B423" s="30"/>
      <c r="C423" s="30"/>
      <c r="D423" s="141"/>
      <c r="E423" s="42"/>
      <c r="F423" s="43"/>
      <c r="G423" s="59"/>
      <c r="H423" s="60"/>
      <c r="I423" s="60"/>
      <c r="J423" s="60"/>
      <c r="K423" s="60"/>
      <c r="L423" s="60"/>
      <c r="M423" s="60"/>
      <c r="N423" s="60"/>
      <c r="O423" s="30"/>
      <c r="P423" s="30"/>
      <c r="Q423" s="30"/>
      <c r="R423" s="30"/>
      <c r="S423" s="30"/>
      <c r="T423" s="30"/>
    </row>
    <row r="424" spans="1:20" ht="12.75" customHeight="1" x14ac:dyDescent="0.25">
      <c r="A424" s="342"/>
      <c r="B424" s="30"/>
      <c r="C424" s="30"/>
      <c r="D424" s="141"/>
      <c r="E424" s="42"/>
      <c r="F424" s="43"/>
      <c r="G424" s="59"/>
      <c r="H424" s="60"/>
      <c r="I424" s="60"/>
      <c r="J424" s="60"/>
      <c r="K424" s="60"/>
      <c r="L424" s="60"/>
      <c r="M424" s="60"/>
      <c r="N424" s="60"/>
      <c r="O424" s="30"/>
      <c r="P424" s="30"/>
      <c r="Q424" s="30"/>
      <c r="R424" s="30"/>
      <c r="S424" s="30"/>
      <c r="T424" s="30"/>
    </row>
    <row r="425" spans="1:20" ht="12.75" customHeight="1" x14ac:dyDescent="0.25">
      <c r="A425" s="342"/>
      <c r="B425" s="30"/>
      <c r="C425" s="30"/>
      <c r="D425" s="141"/>
      <c r="E425" s="42"/>
      <c r="F425" s="43"/>
      <c r="G425" s="59"/>
      <c r="H425" s="60"/>
      <c r="I425" s="60"/>
      <c r="J425" s="60"/>
      <c r="K425" s="60"/>
      <c r="L425" s="60"/>
      <c r="M425" s="60"/>
      <c r="N425" s="60"/>
      <c r="O425" s="30"/>
      <c r="P425" s="30"/>
      <c r="Q425" s="30"/>
      <c r="R425" s="30"/>
      <c r="S425" s="30"/>
      <c r="T425" s="30"/>
    </row>
    <row r="426" spans="1:20" ht="12.75" customHeight="1" x14ac:dyDescent="0.25">
      <c r="A426" s="342"/>
      <c r="B426" s="30"/>
      <c r="C426" s="30"/>
      <c r="D426" s="141"/>
      <c r="E426" s="42"/>
      <c r="F426" s="43"/>
      <c r="G426" s="59"/>
      <c r="H426" s="60"/>
      <c r="I426" s="60"/>
      <c r="J426" s="60"/>
      <c r="K426" s="60"/>
      <c r="L426" s="60"/>
      <c r="M426" s="60"/>
      <c r="N426" s="60"/>
      <c r="O426" s="30"/>
      <c r="P426" s="30"/>
      <c r="Q426" s="30"/>
      <c r="R426" s="30"/>
      <c r="S426" s="30"/>
      <c r="T426" s="30"/>
    </row>
    <row r="427" spans="1:20" ht="12.75" customHeight="1" x14ac:dyDescent="0.25">
      <c r="A427" s="342"/>
      <c r="B427" s="30"/>
      <c r="C427" s="30"/>
      <c r="D427" s="141"/>
      <c r="E427" s="42"/>
      <c r="F427" s="43"/>
      <c r="G427" s="59"/>
      <c r="H427" s="60"/>
      <c r="I427" s="60"/>
      <c r="J427" s="60"/>
      <c r="K427" s="60"/>
      <c r="L427" s="60"/>
      <c r="M427" s="60"/>
      <c r="N427" s="60"/>
      <c r="O427" s="30"/>
      <c r="P427" s="30"/>
      <c r="Q427" s="30"/>
      <c r="R427" s="30"/>
      <c r="S427" s="30"/>
      <c r="T427" s="30"/>
    </row>
    <row r="428" spans="1:20" ht="12.75" customHeight="1" x14ac:dyDescent="0.25">
      <c r="A428" s="342"/>
      <c r="B428" s="30"/>
      <c r="C428" s="30"/>
      <c r="D428" s="141"/>
      <c r="E428" s="42"/>
      <c r="F428" s="43"/>
      <c r="G428" s="59"/>
      <c r="H428" s="60"/>
      <c r="I428" s="60"/>
      <c r="J428" s="60"/>
      <c r="K428" s="60"/>
      <c r="L428" s="60"/>
      <c r="M428" s="60"/>
      <c r="N428" s="60"/>
      <c r="O428" s="30"/>
      <c r="P428" s="30"/>
      <c r="Q428" s="30"/>
      <c r="R428" s="30"/>
      <c r="S428" s="30"/>
      <c r="T428" s="30"/>
    </row>
    <row r="429" spans="1:20" ht="12.75" customHeight="1" x14ac:dyDescent="0.25">
      <c r="A429" s="342"/>
      <c r="B429" s="30"/>
      <c r="C429" s="30"/>
      <c r="D429" s="141"/>
      <c r="E429" s="42"/>
      <c r="F429" s="43"/>
      <c r="G429" s="59"/>
      <c r="H429" s="60"/>
      <c r="I429" s="60"/>
      <c r="J429" s="60"/>
      <c r="K429" s="60"/>
      <c r="L429" s="60"/>
      <c r="M429" s="60"/>
      <c r="N429" s="60"/>
      <c r="O429" s="30"/>
      <c r="P429" s="30"/>
      <c r="Q429" s="30"/>
      <c r="R429" s="30"/>
      <c r="S429" s="30"/>
      <c r="T429" s="30"/>
    </row>
    <row r="430" spans="1:20" ht="12.75" customHeight="1" x14ac:dyDescent="0.25">
      <c r="A430" s="342"/>
      <c r="B430" s="30"/>
      <c r="C430" s="30"/>
      <c r="D430" s="141"/>
      <c r="E430" s="42"/>
      <c r="F430" s="43"/>
      <c r="G430" s="59"/>
      <c r="H430" s="60"/>
      <c r="I430" s="60"/>
      <c r="J430" s="60"/>
      <c r="K430" s="60"/>
      <c r="L430" s="60"/>
      <c r="M430" s="60"/>
      <c r="N430" s="60"/>
      <c r="O430" s="30"/>
      <c r="P430" s="30"/>
      <c r="Q430" s="30"/>
      <c r="R430" s="30"/>
      <c r="S430" s="30"/>
      <c r="T430" s="30"/>
    </row>
    <row r="431" spans="1:20" ht="12.75" customHeight="1" x14ac:dyDescent="0.25">
      <c r="A431" s="342"/>
      <c r="B431" s="30"/>
      <c r="C431" s="30"/>
      <c r="D431" s="141"/>
      <c r="E431" s="42"/>
      <c r="F431" s="43"/>
      <c r="G431" s="59"/>
      <c r="H431" s="60"/>
      <c r="I431" s="60"/>
      <c r="J431" s="60"/>
      <c r="K431" s="60"/>
      <c r="L431" s="60"/>
      <c r="M431" s="60"/>
      <c r="N431" s="60"/>
      <c r="O431" s="30"/>
      <c r="P431" s="30"/>
      <c r="Q431" s="30"/>
      <c r="R431" s="30"/>
      <c r="S431" s="30"/>
      <c r="T431" s="30"/>
    </row>
    <row r="432" spans="1:20" ht="12.75" customHeight="1" x14ac:dyDescent="0.25">
      <c r="A432" s="342"/>
      <c r="B432" s="30"/>
      <c r="C432" s="30"/>
      <c r="D432" s="141"/>
      <c r="E432" s="42"/>
      <c r="F432" s="43"/>
      <c r="G432" s="59"/>
      <c r="H432" s="60"/>
      <c r="I432" s="60"/>
      <c r="J432" s="60"/>
      <c r="K432" s="60"/>
      <c r="L432" s="60"/>
      <c r="M432" s="60"/>
      <c r="N432" s="60"/>
      <c r="O432" s="30"/>
      <c r="P432" s="30"/>
      <c r="Q432" s="30"/>
      <c r="R432" s="30"/>
      <c r="S432" s="30"/>
      <c r="T432" s="30"/>
    </row>
    <row r="433" spans="1:20" ht="12.75" customHeight="1" x14ac:dyDescent="0.25">
      <c r="A433" s="342"/>
      <c r="B433" s="30"/>
      <c r="C433" s="30"/>
      <c r="D433" s="141"/>
      <c r="E433" s="42"/>
      <c r="F433" s="43"/>
      <c r="G433" s="59"/>
      <c r="H433" s="60"/>
      <c r="I433" s="60"/>
      <c r="J433" s="60"/>
      <c r="K433" s="60"/>
      <c r="L433" s="60"/>
      <c r="M433" s="60"/>
      <c r="N433" s="60"/>
      <c r="O433" s="30"/>
      <c r="P433" s="30"/>
      <c r="Q433" s="30"/>
      <c r="R433" s="30"/>
      <c r="S433" s="30"/>
      <c r="T433" s="30"/>
    </row>
    <row r="434" spans="1:20" ht="12.75" customHeight="1" x14ac:dyDescent="0.25">
      <c r="A434" s="342"/>
      <c r="B434" s="30"/>
      <c r="C434" s="30"/>
      <c r="D434" s="141"/>
      <c r="E434" s="42"/>
      <c r="F434" s="43"/>
      <c r="G434" s="59"/>
      <c r="H434" s="60"/>
      <c r="I434" s="60"/>
      <c r="J434" s="60"/>
      <c r="K434" s="60"/>
      <c r="L434" s="60"/>
      <c r="M434" s="60"/>
      <c r="N434" s="60"/>
      <c r="O434" s="30"/>
      <c r="P434" s="30"/>
      <c r="Q434" s="30"/>
      <c r="R434" s="30"/>
      <c r="S434" s="30"/>
      <c r="T434" s="30"/>
    </row>
    <row r="435" spans="1:20" ht="12.75" customHeight="1" x14ac:dyDescent="0.25">
      <c r="A435" s="342"/>
      <c r="B435" s="30"/>
      <c r="C435" s="30"/>
      <c r="D435" s="141"/>
      <c r="E435" s="42"/>
      <c r="F435" s="43"/>
      <c r="G435" s="59"/>
      <c r="H435" s="60"/>
      <c r="I435" s="60"/>
      <c r="J435" s="60"/>
      <c r="K435" s="60"/>
      <c r="L435" s="60"/>
      <c r="M435" s="60"/>
      <c r="N435" s="60"/>
      <c r="O435" s="30"/>
      <c r="P435" s="30"/>
      <c r="Q435" s="30"/>
      <c r="R435" s="30"/>
      <c r="S435" s="30"/>
      <c r="T435" s="30"/>
    </row>
    <row r="436" spans="1:20" ht="12.75" customHeight="1" x14ac:dyDescent="0.25">
      <c r="A436" s="342"/>
      <c r="B436" s="30"/>
      <c r="C436" s="30"/>
      <c r="D436" s="141"/>
      <c r="E436" s="42"/>
      <c r="F436" s="43"/>
      <c r="G436" s="59"/>
      <c r="H436" s="60"/>
      <c r="I436" s="60"/>
      <c r="J436" s="60"/>
      <c r="K436" s="60"/>
      <c r="L436" s="60"/>
      <c r="M436" s="60"/>
      <c r="N436" s="60"/>
      <c r="O436" s="30"/>
      <c r="P436" s="30"/>
      <c r="Q436" s="30"/>
      <c r="R436" s="30"/>
      <c r="S436" s="30"/>
      <c r="T436" s="30"/>
    </row>
    <row r="437" spans="1:20" ht="12.75" customHeight="1" x14ac:dyDescent="0.25">
      <c r="A437" s="342"/>
      <c r="B437" s="30"/>
      <c r="C437" s="30"/>
      <c r="D437" s="141"/>
      <c r="E437" s="42"/>
      <c r="F437" s="43"/>
      <c r="G437" s="59"/>
      <c r="H437" s="60"/>
      <c r="I437" s="60"/>
      <c r="J437" s="60"/>
      <c r="K437" s="60"/>
      <c r="L437" s="60"/>
      <c r="M437" s="60"/>
      <c r="N437" s="60"/>
      <c r="O437" s="30"/>
      <c r="P437" s="30"/>
      <c r="Q437" s="30"/>
      <c r="R437" s="30"/>
      <c r="S437" s="30"/>
      <c r="T437" s="30"/>
    </row>
    <row r="438" spans="1:20" ht="12.75" customHeight="1" x14ac:dyDescent="0.25">
      <c r="A438" s="342"/>
      <c r="B438" s="30"/>
      <c r="C438" s="30"/>
      <c r="D438" s="141"/>
      <c r="E438" s="42"/>
      <c r="F438" s="43"/>
      <c r="G438" s="59"/>
      <c r="H438" s="60"/>
      <c r="I438" s="60"/>
      <c r="J438" s="60"/>
      <c r="K438" s="60"/>
      <c r="L438" s="60"/>
      <c r="M438" s="60"/>
      <c r="N438" s="60"/>
      <c r="O438" s="30"/>
      <c r="P438" s="30"/>
      <c r="Q438" s="30"/>
      <c r="R438" s="30"/>
      <c r="S438" s="30"/>
      <c r="T438" s="30"/>
    </row>
    <row r="439" spans="1:20" ht="12.75" customHeight="1" x14ac:dyDescent="0.25">
      <c r="A439" s="342"/>
      <c r="B439" s="30"/>
      <c r="C439" s="30"/>
      <c r="D439" s="141"/>
      <c r="E439" s="42"/>
      <c r="F439" s="43"/>
      <c r="G439" s="59"/>
      <c r="H439" s="60"/>
      <c r="I439" s="60"/>
      <c r="J439" s="60"/>
      <c r="K439" s="60"/>
      <c r="L439" s="60"/>
      <c r="M439" s="60"/>
      <c r="N439" s="60"/>
      <c r="O439" s="30"/>
      <c r="P439" s="30"/>
      <c r="Q439" s="30"/>
      <c r="R439" s="30"/>
      <c r="S439" s="30"/>
      <c r="T439" s="30"/>
    </row>
    <row r="440" spans="1:20" ht="12.75" customHeight="1" x14ac:dyDescent="0.25">
      <c r="A440" s="342"/>
      <c r="B440" s="30"/>
      <c r="C440" s="30"/>
      <c r="D440" s="141"/>
      <c r="E440" s="42"/>
      <c r="F440" s="43"/>
      <c r="G440" s="59"/>
      <c r="H440" s="60"/>
      <c r="I440" s="60"/>
      <c r="J440" s="60"/>
      <c r="K440" s="60"/>
      <c r="L440" s="60"/>
      <c r="M440" s="60"/>
      <c r="N440" s="60"/>
      <c r="O440" s="30"/>
      <c r="P440" s="30"/>
      <c r="Q440" s="30"/>
      <c r="R440" s="30"/>
      <c r="S440" s="30"/>
      <c r="T440" s="30"/>
    </row>
    <row r="441" spans="1:20" ht="12.75" customHeight="1" x14ac:dyDescent="0.25">
      <c r="A441" s="342"/>
      <c r="B441" s="30"/>
      <c r="C441" s="30"/>
      <c r="D441" s="141"/>
      <c r="E441" s="42"/>
      <c r="F441" s="43"/>
      <c r="G441" s="59"/>
      <c r="H441" s="60"/>
      <c r="I441" s="60"/>
      <c r="J441" s="60"/>
      <c r="K441" s="60"/>
      <c r="L441" s="60"/>
      <c r="M441" s="60"/>
      <c r="N441" s="60"/>
      <c r="O441" s="30"/>
      <c r="P441" s="30"/>
      <c r="Q441" s="30"/>
      <c r="R441" s="30"/>
      <c r="S441" s="30"/>
      <c r="T441" s="30"/>
    </row>
    <row r="442" spans="1:20" ht="12.75" customHeight="1" x14ac:dyDescent="0.25">
      <c r="A442" s="342"/>
      <c r="B442" s="30"/>
      <c r="C442" s="30"/>
      <c r="D442" s="141"/>
      <c r="E442" s="42"/>
      <c r="F442" s="43"/>
      <c r="G442" s="59"/>
      <c r="H442" s="60"/>
      <c r="I442" s="60"/>
      <c r="J442" s="60"/>
      <c r="K442" s="60"/>
      <c r="L442" s="60"/>
      <c r="M442" s="60"/>
      <c r="N442" s="60"/>
      <c r="O442" s="30"/>
      <c r="P442" s="30"/>
      <c r="Q442" s="30"/>
      <c r="R442" s="30"/>
      <c r="S442" s="30"/>
      <c r="T442" s="30"/>
    </row>
    <row r="443" spans="1:20" ht="12.75" customHeight="1" x14ac:dyDescent="0.25">
      <c r="A443" s="342"/>
      <c r="B443" s="30"/>
      <c r="C443" s="30"/>
      <c r="D443" s="141"/>
      <c r="E443" s="42"/>
      <c r="F443" s="43"/>
      <c r="G443" s="59"/>
      <c r="H443" s="60"/>
      <c r="I443" s="60"/>
      <c r="J443" s="60"/>
      <c r="K443" s="60"/>
      <c r="L443" s="60"/>
      <c r="M443" s="60"/>
      <c r="N443" s="60"/>
      <c r="O443" s="30"/>
      <c r="P443" s="30"/>
      <c r="Q443" s="30"/>
      <c r="R443" s="30"/>
      <c r="S443" s="30"/>
      <c r="T443" s="30"/>
    </row>
    <row r="444" spans="1:20" ht="12.75" customHeight="1" x14ac:dyDescent="0.25">
      <c r="A444" s="342"/>
      <c r="B444" s="30"/>
      <c r="C444" s="30"/>
      <c r="D444" s="141"/>
      <c r="E444" s="42"/>
      <c r="F444" s="43"/>
      <c r="G444" s="59"/>
      <c r="H444" s="60"/>
      <c r="I444" s="60"/>
      <c r="J444" s="60"/>
      <c r="K444" s="60"/>
      <c r="L444" s="60"/>
      <c r="M444" s="60"/>
      <c r="N444" s="60"/>
      <c r="O444" s="30"/>
      <c r="P444" s="30"/>
      <c r="Q444" s="30"/>
      <c r="R444" s="30"/>
      <c r="S444" s="30"/>
      <c r="T444" s="30"/>
    </row>
    <row r="445" spans="1:20" ht="12.75" customHeight="1" x14ac:dyDescent="0.25">
      <c r="A445" s="342"/>
      <c r="B445" s="30"/>
      <c r="C445" s="30"/>
      <c r="D445" s="141"/>
      <c r="E445" s="42"/>
      <c r="F445" s="43"/>
      <c r="G445" s="59"/>
      <c r="H445" s="60"/>
      <c r="I445" s="60"/>
      <c r="J445" s="60"/>
      <c r="K445" s="60"/>
      <c r="L445" s="60"/>
      <c r="M445" s="60"/>
      <c r="N445" s="60"/>
      <c r="O445" s="30"/>
      <c r="P445" s="30"/>
      <c r="Q445" s="30"/>
      <c r="R445" s="30"/>
      <c r="S445" s="30"/>
      <c r="T445" s="30"/>
    </row>
    <row r="446" spans="1:20" ht="12.75" customHeight="1" x14ac:dyDescent="0.25">
      <c r="A446" s="342"/>
      <c r="B446" s="30"/>
      <c r="C446" s="30"/>
      <c r="D446" s="141"/>
      <c r="E446" s="42"/>
      <c r="F446" s="43"/>
      <c r="G446" s="59"/>
      <c r="H446" s="60"/>
      <c r="I446" s="60"/>
      <c r="J446" s="60"/>
      <c r="K446" s="60"/>
      <c r="L446" s="60"/>
      <c r="M446" s="60"/>
      <c r="N446" s="60"/>
      <c r="O446" s="30"/>
      <c r="P446" s="30"/>
      <c r="Q446" s="30"/>
      <c r="R446" s="30"/>
      <c r="S446" s="30"/>
      <c r="T446" s="30"/>
    </row>
    <row r="447" spans="1:20" ht="12.75" customHeight="1" x14ac:dyDescent="0.25">
      <c r="A447" s="342"/>
      <c r="B447" s="30"/>
      <c r="C447" s="30"/>
      <c r="D447" s="141"/>
      <c r="E447" s="42"/>
      <c r="F447" s="43"/>
      <c r="G447" s="59"/>
      <c r="H447" s="60"/>
      <c r="I447" s="60"/>
      <c r="J447" s="60"/>
      <c r="K447" s="60"/>
      <c r="L447" s="60"/>
      <c r="M447" s="60"/>
      <c r="N447" s="60"/>
      <c r="O447" s="30"/>
      <c r="P447" s="30"/>
      <c r="Q447" s="30"/>
      <c r="R447" s="30"/>
      <c r="S447" s="30"/>
      <c r="T447" s="30"/>
    </row>
    <row r="448" spans="1:20" ht="12.75" customHeight="1" x14ac:dyDescent="0.25">
      <c r="A448" s="342"/>
      <c r="B448" s="30"/>
      <c r="C448" s="30"/>
      <c r="D448" s="141"/>
      <c r="E448" s="42"/>
      <c r="F448" s="43"/>
      <c r="G448" s="59"/>
      <c r="H448" s="60"/>
      <c r="I448" s="60"/>
      <c r="J448" s="60"/>
      <c r="K448" s="60"/>
      <c r="L448" s="60"/>
      <c r="M448" s="60"/>
      <c r="N448" s="60"/>
      <c r="O448" s="30"/>
      <c r="P448" s="30"/>
      <c r="Q448" s="30"/>
      <c r="R448" s="30"/>
      <c r="S448" s="30"/>
      <c r="T448" s="30"/>
    </row>
    <row r="449" spans="1:20" ht="12.75" customHeight="1" x14ac:dyDescent="0.25">
      <c r="A449" s="342"/>
      <c r="B449" s="30"/>
      <c r="C449" s="30"/>
      <c r="D449" s="141"/>
      <c r="E449" s="42"/>
      <c r="F449" s="43"/>
      <c r="G449" s="59"/>
      <c r="H449" s="60"/>
      <c r="I449" s="60"/>
      <c r="J449" s="60"/>
      <c r="K449" s="60"/>
      <c r="L449" s="60"/>
      <c r="M449" s="60"/>
      <c r="N449" s="60"/>
      <c r="O449" s="30"/>
      <c r="P449" s="30"/>
      <c r="Q449" s="30"/>
      <c r="R449" s="30"/>
      <c r="S449" s="30"/>
      <c r="T449" s="30"/>
    </row>
    <row r="450" spans="1:20" ht="12.75" customHeight="1" x14ac:dyDescent="0.25">
      <c r="A450" s="342"/>
      <c r="B450" s="30"/>
      <c r="C450" s="30"/>
      <c r="D450" s="141"/>
      <c r="E450" s="42"/>
      <c r="F450" s="43"/>
      <c r="G450" s="59"/>
      <c r="H450" s="60"/>
      <c r="I450" s="60"/>
      <c r="J450" s="60"/>
      <c r="K450" s="60"/>
      <c r="L450" s="60"/>
      <c r="M450" s="60"/>
      <c r="N450" s="60"/>
      <c r="O450" s="30"/>
      <c r="P450" s="30"/>
      <c r="Q450" s="30"/>
      <c r="R450" s="30"/>
      <c r="S450" s="30"/>
      <c r="T450" s="30"/>
    </row>
    <row r="451" spans="1:20" ht="12.75" customHeight="1" x14ac:dyDescent="0.25">
      <c r="A451" s="342"/>
      <c r="B451" s="30"/>
      <c r="C451" s="30"/>
      <c r="D451" s="141"/>
      <c r="E451" s="42"/>
      <c r="F451" s="43"/>
      <c r="G451" s="59"/>
      <c r="H451" s="60"/>
      <c r="I451" s="60"/>
      <c r="J451" s="60"/>
      <c r="K451" s="60"/>
      <c r="L451" s="60"/>
      <c r="M451" s="60"/>
      <c r="N451" s="60"/>
      <c r="O451" s="30"/>
      <c r="P451" s="30"/>
      <c r="Q451" s="30"/>
      <c r="R451" s="30"/>
      <c r="S451" s="30"/>
      <c r="T451" s="30"/>
    </row>
    <row r="452" spans="1:20" ht="12.75" customHeight="1" x14ac:dyDescent="0.25">
      <c r="A452" s="342"/>
      <c r="B452" s="30"/>
      <c r="C452" s="30"/>
      <c r="D452" s="141"/>
      <c r="E452" s="42"/>
      <c r="F452" s="43"/>
      <c r="G452" s="59"/>
      <c r="H452" s="60"/>
      <c r="I452" s="60"/>
      <c r="J452" s="60"/>
      <c r="K452" s="60"/>
      <c r="L452" s="60"/>
      <c r="M452" s="60"/>
      <c r="N452" s="60"/>
      <c r="O452" s="30"/>
      <c r="P452" s="30"/>
      <c r="Q452" s="30"/>
      <c r="R452" s="30"/>
      <c r="S452" s="30"/>
      <c r="T452" s="30"/>
    </row>
    <row r="453" spans="1:20" ht="12.75" customHeight="1" x14ac:dyDescent="0.25">
      <c r="A453" s="342"/>
      <c r="B453" s="30"/>
      <c r="C453" s="30"/>
      <c r="D453" s="141"/>
      <c r="E453" s="42"/>
      <c r="F453" s="43"/>
      <c r="G453" s="59"/>
      <c r="H453" s="60"/>
      <c r="I453" s="60"/>
      <c r="J453" s="60"/>
      <c r="K453" s="60"/>
      <c r="L453" s="60"/>
      <c r="M453" s="60"/>
      <c r="N453" s="60"/>
      <c r="O453" s="30"/>
      <c r="P453" s="30"/>
      <c r="Q453" s="30"/>
      <c r="R453" s="30"/>
      <c r="S453" s="30"/>
      <c r="T453" s="30"/>
    </row>
    <row r="454" spans="1:20" ht="12.75" customHeight="1" x14ac:dyDescent="0.25">
      <c r="A454" s="342"/>
      <c r="B454" s="30"/>
      <c r="C454" s="30"/>
      <c r="D454" s="141"/>
      <c r="E454" s="42"/>
      <c r="F454" s="43"/>
      <c r="G454" s="59"/>
      <c r="H454" s="60"/>
      <c r="I454" s="60"/>
      <c r="J454" s="60"/>
      <c r="K454" s="60"/>
      <c r="L454" s="60"/>
      <c r="M454" s="60"/>
      <c r="N454" s="60"/>
      <c r="O454" s="30"/>
      <c r="P454" s="30"/>
      <c r="Q454" s="30"/>
      <c r="R454" s="30"/>
      <c r="S454" s="30"/>
      <c r="T454" s="30"/>
    </row>
    <row r="455" spans="1:20" ht="12.75" customHeight="1" x14ac:dyDescent="0.25">
      <c r="A455" s="342"/>
      <c r="B455" s="30"/>
      <c r="C455" s="30"/>
      <c r="D455" s="141"/>
      <c r="E455" s="42"/>
      <c r="F455" s="43"/>
      <c r="G455" s="59"/>
      <c r="H455" s="60"/>
      <c r="I455" s="60"/>
      <c r="J455" s="60"/>
      <c r="K455" s="60"/>
      <c r="L455" s="60"/>
      <c r="M455" s="60"/>
      <c r="N455" s="60"/>
      <c r="O455" s="30"/>
      <c r="P455" s="30"/>
      <c r="Q455" s="30"/>
      <c r="R455" s="30"/>
      <c r="S455" s="30"/>
      <c r="T455" s="30"/>
    </row>
    <row r="456" spans="1:20" ht="12.75" customHeight="1" x14ac:dyDescent="0.25">
      <c r="A456" s="342"/>
      <c r="B456" s="30"/>
      <c r="C456" s="30"/>
      <c r="D456" s="141"/>
      <c r="E456" s="42"/>
      <c r="F456" s="43"/>
      <c r="G456" s="59"/>
      <c r="H456" s="60"/>
      <c r="I456" s="60"/>
      <c r="J456" s="60"/>
      <c r="K456" s="60"/>
      <c r="L456" s="60"/>
      <c r="M456" s="60"/>
      <c r="N456" s="60"/>
      <c r="O456" s="30"/>
      <c r="P456" s="30"/>
      <c r="Q456" s="30"/>
      <c r="R456" s="30"/>
      <c r="S456" s="30"/>
      <c r="T456" s="30"/>
    </row>
    <row r="457" spans="1:20" ht="12.75" customHeight="1" x14ac:dyDescent="0.25">
      <c r="A457" s="342"/>
      <c r="B457" s="30"/>
      <c r="C457" s="30"/>
      <c r="D457" s="141"/>
      <c r="E457" s="42"/>
      <c r="F457" s="43"/>
      <c r="G457" s="59"/>
      <c r="H457" s="60"/>
      <c r="I457" s="60"/>
      <c r="J457" s="60"/>
      <c r="K457" s="60"/>
      <c r="L457" s="60"/>
      <c r="M457" s="60"/>
      <c r="N457" s="60"/>
      <c r="O457" s="30"/>
      <c r="P457" s="30"/>
      <c r="Q457" s="30"/>
      <c r="R457" s="30"/>
      <c r="S457" s="30"/>
      <c r="T457" s="30"/>
    </row>
    <row r="458" spans="1:20" ht="12.75" customHeight="1" x14ac:dyDescent="0.25">
      <c r="A458" s="342"/>
      <c r="B458" s="30"/>
      <c r="C458" s="30"/>
      <c r="D458" s="141"/>
      <c r="E458" s="42"/>
      <c r="F458" s="43"/>
      <c r="G458" s="59"/>
      <c r="H458" s="60"/>
      <c r="I458" s="60"/>
      <c r="J458" s="60"/>
      <c r="K458" s="60"/>
      <c r="L458" s="60"/>
      <c r="M458" s="60"/>
      <c r="N458" s="60"/>
      <c r="O458" s="30"/>
      <c r="P458" s="30"/>
      <c r="Q458" s="30"/>
      <c r="R458" s="30"/>
      <c r="S458" s="30"/>
      <c r="T458" s="30"/>
    </row>
    <row r="459" spans="1:20" ht="12.75" customHeight="1" x14ac:dyDescent="0.25">
      <c r="A459" s="342"/>
      <c r="B459" s="30"/>
      <c r="C459" s="30"/>
      <c r="D459" s="141"/>
      <c r="E459" s="42"/>
      <c r="F459" s="43"/>
      <c r="G459" s="59"/>
      <c r="H459" s="60"/>
      <c r="I459" s="60"/>
      <c r="J459" s="60"/>
      <c r="K459" s="60"/>
      <c r="L459" s="60"/>
      <c r="M459" s="60"/>
      <c r="N459" s="60"/>
      <c r="O459" s="30"/>
      <c r="P459" s="30"/>
      <c r="Q459" s="30"/>
      <c r="R459" s="30"/>
      <c r="S459" s="30"/>
      <c r="T459" s="30"/>
    </row>
    <row r="460" spans="1:20" ht="12.75" customHeight="1" x14ac:dyDescent="0.25">
      <c r="A460" s="342"/>
      <c r="B460" s="30"/>
      <c r="C460" s="30"/>
      <c r="D460" s="141"/>
      <c r="E460" s="42"/>
      <c r="F460" s="43"/>
      <c r="G460" s="59"/>
      <c r="H460" s="60"/>
      <c r="I460" s="60"/>
      <c r="J460" s="60"/>
      <c r="K460" s="60"/>
      <c r="L460" s="60"/>
      <c r="M460" s="60"/>
      <c r="N460" s="60"/>
      <c r="O460" s="30"/>
      <c r="P460" s="30"/>
      <c r="Q460" s="30"/>
      <c r="R460" s="30"/>
      <c r="S460" s="30"/>
      <c r="T460" s="30"/>
    </row>
    <row r="461" spans="1:20" ht="12.75" customHeight="1" x14ac:dyDescent="0.25">
      <c r="A461" s="342"/>
      <c r="B461" s="30"/>
      <c r="C461" s="30"/>
      <c r="D461" s="141"/>
      <c r="E461" s="42"/>
      <c r="F461" s="43"/>
      <c r="G461" s="59"/>
      <c r="H461" s="60"/>
      <c r="I461" s="60"/>
      <c r="J461" s="60"/>
      <c r="K461" s="60"/>
      <c r="L461" s="60"/>
      <c r="M461" s="60"/>
      <c r="N461" s="60"/>
      <c r="O461" s="30"/>
      <c r="P461" s="30"/>
      <c r="Q461" s="30"/>
      <c r="R461" s="30"/>
      <c r="S461" s="30"/>
      <c r="T461" s="30"/>
    </row>
    <row r="462" spans="1:20" ht="12.75" customHeight="1" x14ac:dyDescent="0.25">
      <c r="A462" s="342"/>
      <c r="B462" s="30"/>
      <c r="C462" s="30"/>
      <c r="D462" s="141"/>
      <c r="E462" s="42"/>
      <c r="F462" s="43"/>
      <c r="G462" s="59"/>
      <c r="H462" s="60"/>
      <c r="I462" s="60"/>
      <c r="J462" s="60"/>
      <c r="K462" s="60"/>
      <c r="L462" s="60"/>
      <c r="M462" s="60"/>
      <c r="N462" s="60"/>
      <c r="O462" s="30"/>
      <c r="P462" s="30"/>
      <c r="Q462" s="30"/>
      <c r="R462" s="30"/>
      <c r="S462" s="30"/>
      <c r="T462" s="30"/>
    </row>
    <row r="463" spans="1:20" ht="12.75" customHeight="1" x14ac:dyDescent="0.25">
      <c r="A463" s="342"/>
      <c r="B463" s="30"/>
      <c r="C463" s="30"/>
      <c r="D463" s="141"/>
      <c r="E463" s="42"/>
      <c r="F463" s="43"/>
      <c r="G463" s="59"/>
      <c r="H463" s="60"/>
      <c r="I463" s="60"/>
      <c r="J463" s="60"/>
      <c r="K463" s="60"/>
      <c r="L463" s="60"/>
      <c r="M463" s="60"/>
      <c r="N463" s="60"/>
      <c r="O463" s="30"/>
      <c r="P463" s="30"/>
      <c r="Q463" s="30"/>
      <c r="R463" s="30"/>
      <c r="S463" s="30"/>
      <c r="T463" s="30"/>
    </row>
    <row r="464" spans="1:20" ht="12.75" customHeight="1" x14ac:dyDescent="0.25">
      <c r="A464" s="342"/>
      <c r="B464" s="30"/>
      <c r="C464" s="30"/>
      <c r="D464" s="141"/>
      <c r="E464" s="42"/>
      <c r="F464" s="43"/>
      <c r="G464" s="59"/>
      <c r="H464" s="60"/>
      <c r="I464" s="60"/>
      <c r="J464" s="60"/>
      <c r="K464" s="60"/>
      <c r="L464" s="60"/>
      <c r="M464" s="60"/>
      <c r="N464" s="60"/>
      <c r="O464" s="30"/>
      <c r="P464" s="30"/>
      <c r="Q464" s="30"/>
      <c r="R464" s="30"/>
      <c r="S464" s="30"/>
      <c r="T464" s="30"/>
    </row>
    <row r="465" spans="1:20" ht="12.75" customHeight="1" x14ac:dyDescent="0.25">
      <c r="A465" s="342"/>
      <c r="B465" s="30"/>
      <c r="C465" s="30"/>
      <c r="D465" s="141"/>
      <c r="E465" s="42"/>
      <c r="F465" s="43"/>
      <c r="G465" s="59"/>
      <c r="H465" s="60"/>
      <c r="I465" s="60"/>
      <c r="J465" s="60"/>
      <c r="K465" s="60"/>
      <c r="L465" s="60"/>
      <c r="M465" s="60"/>
      <c r="N465" s="60"/>
      <c r="O465" s="30"/>
      <c r="P465" s="30"/>
      <c r="Q465" s="30"/>
      <c r="R465" s="30"/>
      <c r="S465" s="30"/>
      <c r="T465" s="30"/>
    </row>
    <row r="466" spans="1:20" ht="12.75" customHeight="1" x14ac:dyDescent="0.25">
      <c r="A466" s="342"/>
      <c r="B466" s="30"/>
      <c r="C466" s="30"/>
      <c r="D466" s="141"/>
      <c r="E466" s="42"/>
      <c r="F466" s="43"/>
      <c r="G466" s="59"/>
      <c r="H466" s="60"/>
      <c r="I466" s="60"/>
      <c r="J466" s="60"/>
      <c r="K466" s="60"/>
      <c r="L466" s="60"/>
      <c r="M466" s="60"/>
      <c r="N466" s="60"/>
      <c r="O466" s="30"/>
      <c r="P466" s="30"/>
      <c r="Q466" s="30"/>
      <c r="R466" s="30"/>
      <c r="S466" s="30"/>
      <c r="T466" s="30"/>
    </row>
    <row r="467" spans="1:20" ht="12.75" customHeight="1" x14ac:dyDescent="0.25">
      <c r="A467" s="342"/>
      <c r="B467" s="30"/>
      <c r="C467" s="30"/>
      <c r="D467" s="141"/>
      <c r="E467" s="42"/>
      <c r="F467" s="43"/>
      <c r="G467" s="59"/>
      <c r="H467" s="60"/>
      <c r="I467" s="60"/>
      <c r="J467" s="60"/>
      <c r="K467" s="60"/>
      <c r="L467" s="60"/>
      <c r="M467" s="60"/>
      <c r="N467" s="60"/>
      <c r="O467" s="30"/>
      <c r="P467" s="30"/>
      <c r="Q467" s="30"/>
      <c r="R467" s="30"/>
      <c r="S467" s="30"/>
      <c r="T467" s="30"/>
    </row>
    <row r="468" spans="1:20" ht="12.75" customHeight="1" x14ac:dyDescent="0.25">
      <c r="A468" s="342"/>
      <c r="B468" s="30"/>
      <c r="C468" s="30"/>
      <c r="D468" s="141"/>
      <c r="E468" s="42"/>
      <c r="F468" s="43"/>
      <c r="G468" s="59"/>
      <c r="H468" s="60"/>
      <c r="I468" s="60"/>
      <c r="J468" s="60"/>
      <c r="K468" s="60"/>
      <c r="L468" s="60"/>
      <c r="M468" s="60"/>
      <c r="N468" s="60"/>
      <c r="O468" s="30"/>
      <c r="P468" s="30"/>
      <c r="Q468" s="30"/>
      <c r="R468" s="30"/>
      <c r="S468" s="30"/>
      <c r="T468" s="30"/>
    </row>
    <row r="469" spans="1:20" ht="12.75" customHeight="1" x14ac:dyDescent="0.25">
      <c r="A469" s="342"/>
      <c r="B469" s="30"/>
      <c r="C469" s="30"/>
      <c r="D469" s="141"/>
      <c r="E469" s="42"/>
      <c r="F469" s="43"/>
      <c r="G469" s="59"/>
      <c r="H469" s="60"/>
      <c r="I469" s="60"/>
      <c r="J469" s="60"/>
      <c r="K469" s="60"/>
      <c r="L469" s="60"/>
      <c r="M469" s="60"/>
      <c r="N469" s="60"/>
      <c r="O469" s="30"/>
      <c r="P469" s="30"/>
      <c r="Q469" s="30"/>
      <c r="R469" s="30"/>
      <c r="S469" s="30"/>
      <c r="T469" s="30"/>
    </row>
    <row r="470" spans="1:20" ht="12.75" customHeight="1" x14ac:dyDescent="0.25">
      <c r="A470" s="342"/>
      <c r="B470" s="30"/>
      <c r="C470" s="30"/>
      <c r="D470" s="141"/>
      <c r="E470" s="42"/>
      <c r="F470" s="43"/>
      <c r="G470" s="59"/>
      <c r="H470" s="60"/>
      <c r="I470" s="60"/>
      <c r="J470" s="60"/>
      <c r="K470" s="60"/>
      <c r="L470" s="60"/>
      <c r="M470" s="60"/>
      <c r="N470" s="60"/>
      <c r="O470" s="30"/>
      <c r="P470" s="30"/>
      <c r="Q470" s="30"/>
      <c r="R470" s="30"/>
      <c r="S470" s="30"/>
      <c r="T470" s="30"/>
    </row>
    <row r="471" spans="1:20" ht="12.75" customHeight="1" x14ac:dyDescent="0.25">
      <c r="A471" s="342"/>
      <c r="B471" s="30"/>
      <c r="C471" s="30"/>
      <c r="D471" s="141"/>
      <c r="E471" s="42"/>
      <c r="F471" s="43"/>
      <c r="G471" s="59"/>
      <c r="H471" s="60"/>
      <c r="I471" s="60"/>
      <c r="J471" s="60"/>
      <c r="K471" s="60"/>
      <c r="L471" s="60"/>
      <c r="M471" s="60"/>
      <c r="N471" s="60"/>
      <c r="O471" s="30"/>
      <c r="P471" s="30"/>
      <c r="Q471" s="30"/>
      <c r="R471" s="30"/>
      <c r="S471" s="30"/>
      <c r="T471" s="30"/>
    </row>
    <row r="472" spans="1:20" ht="12.75" customHeight="1" x14ac:dyDescent="0.25">
      <c r="A472" s="342"/>
      <c r="B472" s="30"/>
      <c r="C472" s="30"/>
      <c r="D472" s="141"/>
      <c r="E472" s="42"/>
      <c r="F472" s="43"/>
      <c r="G472" s="59"/>
      <c r="H472" s="60"/>
      <c r="I472" s="60"/>
      <c r="J472" s="60"/>
      <c r="K472" s="60"/>
      <c r="L472" s="60"/>
      <c r="M472" s="60"/>
      <c r="N472" s="60"/>
      <c r="O472" s="30"/>
      <c r="P472" s="30"/>
      <c r="Q472" s="30"/>
      <c r="R472" s="30"/>
      <c r="S472" s="30"/>
      <c r="T472" s="30"/>
    </row>
    <row r="473" spans="1:20" ht="12.75" customHeight="1" x14ac:dyDescent="0.25">
      <c r="A473" s="342"/>
      <c r="B473" s="30"/>
      <c r="C473" s="30"/>
      <c r="D473" s="141"/>
      <c r="E473" s="42"/>
      <c r="F473" s="43"/>
      <c r="G473" s="59"/>
      <c r="H473" s="60"/>
      <c r="I473" s="60"/>
      <c r="J473" s="60"/>
      <c r="K473" s="60"/>
      <c r="L473" s="60"/>
      <c r="M473" s="60"/>
      <c r="N473" s="60"/>
      <c r="O473" s="30"/>
      <c r="P473" s="30"/>
      <c r="Q473" s="30"/>
      <c r="R473" s="30"/>
      <c r="S473" s="30"/>
      <c r="T473" s="30"/>
    </row>
    <row r="474" spans="1:20" ht="12.75" customHeight="1" x14ac:dyDescent="0.25">
      <c r="A474" s="342"/>
      <c r="B474" s="30"/>
      <c r="C474" s="30"/>
      <c r="D474" s="141"/>
      <c r="E474" s="42"/>
      <c r="F474" s="43"/>
      <c r="G474" s="59"/>
      <c r="H474" s="60"/>
      <c r="I474" s="60"/>
      <c r="J474" s="60"/>
      <c r="K474" s="60"/>
      <c r="L474" s="60"/>
      <c r="M474" s="60"/>
      <c r="N474" s="60"/>
      <c r="O474" s="30"/>
      <c r="P474" s="30"/>
      <c r="Q474" s="30"/>
      <c r="R474" s="30"/>
      <c r="S474" s="30"/>
      <c r="T474" s="30"/>
    </row>
    <row r="475" spans="1:20" ht="12.75" customHeight="1" x14ac:dyDescent="0.25">
      <c r="A475" s="342"/>
      <c r="B475" s="30"/>
      <c r="C475" s="30"/>
      <c r="D475" s="141"/>
      <c r="E475" s="42"/>
      <c r="F475" s="43"/>
      <c r="G475" s="59"/>
      <c r="H475" s="60"/>
      <c r="I475" s="60"/>
      <c r="J475" s="60"/>
      <c r="K475" s="60"/>
      <c r="L475" s="60"/>
      <c r="M475" s="60"/>
      <c r="N475" s="60"/>
      <c r="O475" s="30"/>
      <c r="P475" s="30"/>
      <c r="Q475" s="30"/>
      <c r="R475" s="30"/>
      <c r="S475" s="30"/>
      <c r="T475" s="30"/>
    </row>
    <row r="476" spans="1:20" ht="12.75" customHeight="1" x14ac:dyDescent="0.25">
      <c r="A476" s="342"/>
      <c r="B476" s="30"/>
      <c r="C476" s="30"/>
      <c r="D476" s="141"/>
      <c r="E476" s="42"/>
      <c r="F476" s="43"/>
      <c r="G476" s="59"/>
      <c r="H476" s="60"/>
      <c r="I476" s="60"/>
      <c r="J476" s="60"/>
      <c r="K476" s="60"/>
      <c r="L476" s="60"/>
      <c r="M476" s="60"/>
      <c r="N476" s="60"/>
      <c r="O476" s="30"/>
      <c r="P476" s="30"/>
      <c r="Q476" s="30"/>
      <c r="R476" s="30"/>
      <c r="S476" s="30"/>
      <c r="T476" s="30"/>
    </row>
    <row r="477" spans="1:20" ht="12.75" customHeight="1" x14ac:dyDescent="0.25">
      <c r="A477" s="342"/>
      <c r="B477" s="30"/>
      <c r="C477" s="30"/>
      <c r="D477" s="141"/>
      <c r="E477" s="42"/>
      <c r="F477" s="43"/>
      <c r="G477" s="59"/>
      <c r="H477" s="60"/>
      <c r="I477" s="60"/>
      <c r="J477" s="60"/>
      <c r="K477" s="60"/>
      <c r="L477" s="60"/>
      <c r="M477" s="60"/>
      <c r="N477" s="60"/>
      <c r="O477" s="30"/>
      <c r="P477" s="30"/>
      <c r="Q477" s="30"/>
      <c r="R477" s="30"/>
      <c r="S477" s="30"/>
      <c r="T477" s="30"/>
    </row>
    <row r="478" spans="1:20" ht="12.75" customHeight="1" x14ac:dyDescent="0.25">
      <c r="A478" s="342"/>
      <c r="B478" s="30"/>
      <c r="C478" s="30"/>
      <c r="D478" s="141"/>
      <c r="E478" s="42"/>
      <c r="F478" s="43"/>
      <c r="G478" s="59"/>
      <c r="H478" s="60"/>
      <c r="I478" s="60"/>
      <c r="J478" s="60"/>
      <c r="K478" s="60"/>
      <c r="L478" s="60"/>
      <c r="M478" s="60"/>
      <c r="N478" s="60"/>
      <c r="O478" s="30"/>
      <c r="P478" s="30"/>
      <c r="Q478" s="30"/>
      <c r="R478" s="30"/>
      <c r="S478" s="30"/>
      <c r="T478" s="30"/>
    </row>
    <row r="479" spans="1:20" ht="12.75" customHeight="1" x14ac:dyDescent="0.25">
      <c r="A479" s="342"/>
      <c r="B479" s="30"/>
      <c r="C479" s="30"/>
      <c r="D479" s="141"/>
      <c r="E479" s="42"/>
      <c r="F479" s="43"/>
      <c r="G479" s="59"/>
      <c r="H479" s="60"/>
      <c r="I479" s="60"/>
      <c r="J479" s="60"/>
      <c r="K479" s="60"/>
      <c r="L479" s="60"/>
      <c r="M479" s="60"/>
      <c r="N479" s="60"/>
      <c r="O479" s="30"/>
      <c r="P479" s="30"/>
      <c r="Q479" s="30"/>
      <c r="R479" s="30"/>
      <c r="S479" s="30"/>
      <c r="T479" s="30"/>
    </row>
    <row r="480" spans="1:20" ht="12.75" customHeight="1" x14ac:dyDescent="0.25">
      <c r="A480" s="342"/>
      <c r="B480" s="30"/>
      <c r="C480" s="30"/>
      <c r="D480" s="141"/>
      <c r="E480" s="42"/>
      <c r="F480" s="43"/>
      <c r="G480" s="59"/>
      <c r="H480" s="60"/>
      <c r="I480" s="60"/>
      <c r="J480" s="60"/>
      <c r="K480" s="60"/>
      <c r="L480" s="60"/>
      <c r="M480" s="60"/>
      <c r="N480" s="60"/>
      <c r="O480" s="30"/>
      <c r="P480" s="30"/>
      <c r="Q480" s="30"/>
      <c r="R480" s="30"/>
      <c r="S480" s="30"/>
      <c r="T480" s="30"/>
    </row>
    <row r="481" spans="1:20" ht="12.75" customHeight="1" x14ac:dyDescent="0.25">
      <c r="A481" s="342"/>
      <c r="B481" s="30"/>
      <c r="C481" s="30"/>
      <c r="D481" s="141"/>
      <c r="E481" s="42"/>
      <c r="F481" s="43"/>
      <c r="G481" s="59"/>
      <c r="H481" s="60"/>
      <c r="I481" s="60"/>
      <c r="J481" s="60"/>
      <c r="K481" s="60"/>
      <c r="L481" s="60"/>
      <c r="M481" s="60"/>
      <c r="N481" s="60"/>
      <c r="O481" s="30"/>
      <c r="P481" s="30"/>
      <c r="Q481" s="30"/>
      <c r="R481" s="30"/>
      <c r="S481" s="30"/>
      <c r="T481" s="30"/>
    </row>
    <row r="482" spans="1:20" ht="12.75" customHeight="1" x14ac:dyDescent="0.25">
      <c r="A482" s="342"/>
      <c r="B482" s="30"/>
      <c r="C482" s="30"/>
      <c r="D482" s="141"/>
      <c r="E482" s="42"/>
      <c r="F482" s="43"/>
      <c r="G482" s="59"/>
      <c r="H482" s="60"/>
      <c r="I482" s="60"/>
      <c r="J482" s="60"/>
      <c r="K482" s="60"/>
      <c r="L482" s="60"/>
      <c r="M482" s="60"/>
      <c r="N482" s="60"/>
      <c r="O482" s="30"/>
      <c r="P482" s="30"/>
      <c r="Q482" s="30"/>
      <c r="R482" s="30"/>
      <c r="S482" s="30"/>
      <c r="T482" s="30"/>
    </row>
    <row r="483" spans="1:20" ht="12.75" customHeight="1" x14ac:dyDescent="0.25">
      <c r="A483" s="342"/>
      <c r="B483" s="30"/>
      <c r="C483" s="30"/>
      <c r="D483" s="141"/>
      <c r="E483" s="42"/>
      <c r="F483" s="43"/>
      <c r="G483" s="59"/>
      <c r="H483" s="60"/>
      <c r="I483" s="60"/>
      <c r="J483" s="60"/>
      <c r="K483" s="60"/>
      <c r="L483" s="60"/>
      <c r="M483" s="60"/>
      <c r="N483" s="60"/>
      <c r="O483" s="30"/>
      <c r="P483" s="30"/>
      <c r="Q483" s="30"/>
      <c r="R483" s="30"/>
      <c r="S483" s="30"/>
      <c r="T483" s="30"/>
    </row>
    <row r="484" spans="1:20" ht="12.75" customHeight="1" x14ac:dyDescent="0.25">
      <c r="A484" s="342"/>
      <c r="B484" s="30"/>
      <c r="C484" s="30"/>
      <c r="D484" s="141"/>
      <c r="E484" s="42"/>
      <c r="F484" s="43"/>
      <c r="G484" s="59"/>
      <c r="H484" s="60"/>
      <c r="I484" s="60"/>
      <c r="J484" s="60"/>
      <c r="K484" s="60"/>
      <c r="L484" s="60"/>
      <c r="M484" s="60"/>
      <c r="N484" s="60"/>
      <c r="O484" s="30"/>
      <c r="P484" s="30"/>
      <c r="Q484" s="30"/>
      <c r="R484" s="30"/>
      <c r="S484" s="30"/>
      <c r="T484" s="30"/>
    </row>
    <row r="485" spans="1:20" ht="12.75" customHeight="1" x14ac:dyDescent="0.25">
      <c r="A485" s="342"/>
      <c r="B485" s="30"/>
      <c r="C485" s="30"/>
      <c r="D485" s="141"/>
      <c r="E485" s="42"/>
      <c r="F485" s="43"/>
      <c r="G485" s="59"/>
      <c r="H485" s="60"/>
      <c r="I485" s="60"/>
      <c r="J485" s="60"/>
      <c r="K485" s="60"/>
      <c r="L485" s="60"/>
      <c r="M485" s="60"/>
      <c r="N485" s="60"/>
      <c r="O485" s="30"/>
      <c r="P485" s="30"/>
      <c r="Q485" s="30"/>
      <c r="R485" s="30"/>
      <c r="S485" s="30"/>
      <c r="T485" s="30"/>
    </row>
    <row r="486" spans="1:20" ht="12.75" customHeight="1" x14ac:dyDescent="0.25">
      <c r="A486" s="342"/>
      <c r="B486" s="30"/>
      <c r="C486" s="30"/>
      <c r="D486" s="141"/>
      <c r="E486" s="42"/>
      <c r="F486" s="43"/>
      <c r="G486" s="59"/>
      <c r="H486" s="60"/>
      <c r="I486" s="60"/>
      <c r="J486" s="60"/>
      <c r="K486" s="60"/>
      <c r="L486" s="60"/>
      <c r="M486" s="60"/>
      <c r="N486" s="60"/>
      <c r="O486" s="30"/>
      <c r="P486" s="30"/>
      <c r="Q486" s="30"/>
      <c r="R486" s="30"/>
      <c r="S486" s="30"/>
      <c r="T486" s="30"/>
    </row>
    <row r="487" spans="1:20" ht="12.75" customHeight="1" x14ac:dyDescent="0.25">
      <c r="A487" s="342"/>
      <c r="B487" s="30"/>
      <c r="C487" s="30"/>
      <c r="D487" s="141"/>
      <c r="E487" s="42"/>
      <c r="F487" s="43"/>
      <c r="G487" s="59"/>
      <c r="H487" s="60"/>
      <c r="I487" s="60"/>
      <c r="J487" s="60"/>
      <c r="K487" s="60"/>
      <c r="L487" s="60"/>
      <c r="M487" s="60"/>
      <c r="N487" s="60"/>
      <c r="O487" s="30"/>
      <c r="P487" s="30"/>
      <c r="Q487" s="30"/>
      <c r="R487" s="30"/>
      <c r="S487" s="30"/>
      <c r="T487" s="30"/>
    </row>
    <row r="488" spans="1:20" ht="12.75" customHeight="1" x14ac:dyDescent="0.25">
      <c r="A488" s="342"/>
      <c r="B488" s="30"/>
      <c r="C488" s="30"/>
      <c r="D488" s="141"/>
      <c r="E488" s="42"/>
      <c r="F488" s="43"/>
      <c r="G488" s="59"/>
      <c r="H488" s="60"/>
      <c r="I488" s="60"/>
      <c r="J488" s="60"/>
      <c r="K488" s="60"/>
      <c r="L488" s="60"/>
      <c r="M488" s="60"/>
      <c r="N488" s="60"/>
      <c r="O488" s="30"/>
      <c r="P488" s="30"/>
      <c r="Q488" s="30"/>
      <c r="R488" s="30"/>
      <c r="S488" s="30"/>
      <c r="T488" s="30"/>
    </row>
    <row r="489" spans="1:20" ht="12.75" customHeight="1" x14ac:dyDescent="0.25">
      <c r="A489" s="342"/>
      <c r="B489" s="30"/>
      <c r="C489" s="30"/>
      <c r="D489" s="141"/>
      <c r="E489" s="42"/>
      <c r="F489" s="43"/>
      <c r="G489" s="59"/>
      <c r="H489" s="60"/>
      <c r="I489" s="60"/>
      <c r="J489" s="60"/>
      <c r="K489" s="60"/>
      <c r="L489" s="60"/>
      <c r="M489" s="60"/>
      <c r="N489" s="60"/>
      <c r="O489" s="30"/>
      <c r="P489" s="30"/>
      <c r="Q489" s="30"/>
      <c r="R489" s="30"/>
      <c r="S489" s="30"/>
      <c r="T489" s="30"/>
    </row>
    <row r="490" spans="1:20" ht="12.75" customHeight="1" x14ac:dyDescent="0.25">
      <c r="A490" s="342"/>
      <c r="B490" s="30"/>
      <c r="C490" s="30"/>
      <c r="D490" s="141"/>
      <c r="E490" s="42"/>
      <c r="F490" s="43"/>
      <c r="G490" s="59"/>
      <c r="H490" s="60"/>
      <c r="I490" s="60"/>
      <c r="J490" s="60"/>
      <c r="K490" s="60"/>
      <c r="L490" s="60"/>
      <c r="M490" s="60"/>
      <c r="N490" s="60"/>
      <c r="O490" s="30"/>
      <c r="P490" s="30"/>
      <c r="Q490" s="30"/>
      <c r="R490" s="30"/>
      <c r="S490" s="30"/>
      <c r="T490" s="30"/>
    </row>
    <row r="491" spans="1:20" ht="12.75" customHeight="1" x14ac:dyDescent="0.25">
      <c r="A491" s="342"/>
      <c r="B491" s="30"/>
      <c r="C491" s="30"/>
      <c r="D491" s="141"/>
      <c r="E491" s="42"/>
      <c r="F491" s="43"/>
      <c r="G491" s="59"/>
      <c r="H491" s="60"/>
      <c r="I491" s="60"/>
      <c r="J491" s="60"/>
      <c r="K491" s="60"/>
      <c r="L491" s="60"/>
      <c r="M491" s="60"/>
      <c r="N491" s="60"/>
      <c r="O491" s="30"/>
      <c r="P491" s="30"/>
      <c r="Q491" s="30"/>
      <c r="R491" s="30"/>
      <c r="S491" s="30"/>
      <c r="T491" s="30"/>
    </row>
    <row r="492" spans="1:20" ht="12.75" customHeight="1" x14ac:dyDescent="0.25">
      <c r="A492" s="342"/>
      <c r="B492" s="30"/>
      <c r="C492" s="30"/>
      <c r="D492" s="141"/>
      <c r="E492" s="42"/>
      <c r="F492" s="43"/>
      <c r="G492" s="59"/>
      <c r="H492" s="60"/>
      <c r="I492" s="60"/>
      <c r="J492" s="60"/>
      <c r="K492" s="60"/>
      <c r="L492" s="60"/>
      <c r="M492" s="60"/>
      <c r="N492" s="60"/>
      <c r="O492" s="30"/>
      <c r="P492" s="30"/>
      <c r="Q492" s="30"/>
      <c r="R492" s="30"/>
      <c r="S492" s="30"/>
      <c r="T492" s="30"/>
    </row>
    <row r="493" spans="1:20" ht="12.75" customHeight="1" x14ac:dyDescent="0.25">
      <c r="A493" s="342"/>
      <c r="B493" s="30"/>
      <c r="C493" s="30"/>
      <c r="D493" s="141"/>
      <c r="E493" s="42"/>
      <c r="F493" s="43"/>
      <c r="G493" s="59"/>
      <c r="H493" s="60"/>
      <c r="I493" s="60"/>
      <c r="J493" s="60"/>
      <c r="K493" s="60"/>
      <c r="L493" s="60"/>
      <c r="M493" s="60"/>
      <c r="N493" s="60"/>
      <c r="O493" s="30"/>
      <c r="P493" s="30"/>
      <c r="Q493" s="30"/>
      <c r="R493" s="30"/>
      <c r="S493" s="30"/>
      <c r="T493" s="30"/>
    </row>
    <row r="494" spans="1:20" ht="12.75" customHeight="1" x14ac:dyDescent="0.25">
      <c r="A494" s="342"/>
      <c r="B494" s="30"/>
      <c r="C494" s="30"/>
      <c r="D494" s="141"/>
      <c r="E494" s="42"/>
      <c r="F494" s="43"/>
      <c r="G494" s="59"/>
      <c r="H494" s="60"/>
      <c r="I494" s="60"/>
      <c r="J494" s="60"/>
      <c r="K494" s="60"/>
      <c r="L494" s="60"/>
      <c r="M494" s="60"/>
      <c r="N494" s="60"/>
      <c r="O494" s="30"/>
      <c r="P494" s="30"/>
      <c r="Q494" s="30"/>
      <c r="R494" s="30"/>
      <c r="S494" s="30"/>
      <c r="T494" s="30"/>
    </row>
    <row r="495" spans="1:20" ht="12.75" customHeight="1" x14ac:dyDescent="0.25">
      <c r="A495" s="342"/>
      <c r="B495" s="30"/>
      <c r="C495" s="30"/>
      <c r="D495" s="141"/>
      <c r="E495" s="42"/>
      <c r="F495" s="43"/>
      <c r="G495" s="59"/>
      <c r="H495" s="60"/>
      <c r="I495" s="60"/>
      <c r="J495" s="60"/>
      <c r="K495" s="60"/>
      <c r="L495" s="60"/>
      <c r="M495" s="60"/>
      <c r="N495" s="60"/>
      <c r="O495" s="30"/>
      <c r="P495" s="30"/>
      <c r="Q495" s="30"/>
      <c r="R495" s="30"/>
      <c r="S495" s="30"/>
      <c r="T495" s="30"/>
    </row>
    <row r="496" spans="1:20" ht="12.75" customHeight="1" x14ac:dyDescent="0.25">
      <c r="A496" s="342"/>
      <c r="B496" s="30"/>
      <c r="C496" s="30"/>
      <c r="D496" s="141"/>
      <c r="E496" s="42"/>
      <c r="F496" s="43"/>
      <c r="G496" s="59"/>
      <c r="H496" s="60"/>
      <c r="I496" s="60"/>
      <c r="J496" s="60"/>
      <c r="K496" s="60"/>
      <c r="L496" s="60"/>
      <c r="M496" s="60"/>
      <c r="N496" s="60"/>
      <c r="O496" s="30"/>
      <c r="P496" s="30"/>
      <c r="Q496" s="30"/>
      <c r="R496" s="30"/>
      <c r="S496" s="30"/>
      <c r="T496" s="30"/>
    </row>
    <row r="497" spans="1:20" ht="12.75" customHeight="1" x14ac:dyDescent="0.25">
      <c r="A497" s="342"/>
      <c r="B497" s="30"/>
      <c r="C497" s="30"/>
      <c r="D497" s="141"/>
      <c r="E497" s="42"/>
      <c r="F497" s="43"/>
      <c r="G497" s="59"/>
      <c r="H497" s="60"/>
      <c r="I497" s="60"/>
      <c r="J497" s="60"/>
      <c r="K497" s="60"/>
      <c r="L497" s="60"/>
      <c r="M497" s="60"/>
      <c r="N497" s="60"/>
      <c r="O497" s="30"/>
      <c r="P497" s="30"/>
      <c r="Q497" s="30"/>
      <c r="R497" s="30"/>
      <c r="S497" s="30"/>
      <c r="T497" s="30"/>
    </row>
    <row r="498" spans="1:20" ht="12.75" customHeight="1" x14ac:dyDescent="0.25">
      <c r="A498" s="342"/>
      <c r="B498" s="30"/>
      <c r="C498" s="30"/>
      <c r="D498" s="141"/>
      <c r="E498" s="42"/>
      <c r="F498" s="43"/>
      <c r="G498" s="59"/>
      <c r="H498" s="60"/>
      <c r="I498" s="60"/>
      <c r="J498" s="60"/>
      <c r="K498" s="60"/>
      <c r="L498" s="60"/>
      <c r="M498" s="60"/>
      <c r="N498" s="60"/>
      <c r="O498" s="30"/>
      <c r="P498" s="30"/>
      <c r="Q498" s="30"/>
      <c r="R498" s="30"/>
      <c r="S498" s="30"/>
      <c r="T498" s="30"/>
    </row>
    <row r="499" spans="1:20" ht="12.75" customHeight="1" x14ac:dyDescent="0.25">
      <c r="A499" s="342"/>
      <c r="B499" s="30"/>
      <c r="C499" s="30"/>
      <c r="D499" s="141"/>
      <c r="E499" s="42"/>
      <c r="F499" s="43"/>
      <c r="G499" s="59"/>
      <c r="H499" s="60"/>
      <c r="I499" s="60"/>
      <c r="J499" s="60"/>
      <c r="K499" s="60"/>
      <c r="L499" s="60"/>
      <c r="M499" s="60"/>
      <c r="N499" s="60"/>
      <c r="O499" s="30"/>
      <c r="P499" s="30"/>
      <c r="Q499" s="30"/>
      <c r="R499" s="30"/>
      <c r="S499" s="30"/>
      <c r="T499" s="30"/>
    </row>
    <row r="500" spans="1:20" ht="12.75" customHeight="1" x14ac:dyDescent="0.25">
      <c r="A500" s="342"/>
      <c r="B500" s="30"/>
      <c r="C500" s="30"/>
      <c r="D500" s="141"/>
      <c r="E500" s="42"/>
      <c r="F500" s="43"/>
      <c r="G500" s="59"/>
      <c r="H500" s="60"/>
      <c r="I500" s="60"/>
      <c r="J500" s="60"/>
      <c r="K500" s="60"/>
      <c r="L500" s="60"/>
      <c r="M500" s="60"/>
      <c r="N500" s="60"/>
      <c r="O500" s="30"/>
      <c r="P500" s="30"/>
      <c r="Q500" s="30"/>
      <c r="R500" s="30"/>
      <c r="S500" s="30"/>
      <c r="T500" s="30"/>
    </row>
    <row r="501" spans="1:20" ht="12.75" customHeight="1" x14ac:dyDescent="0.25">
      <c r="A501" s="342"/>
      <c r="B501" s="30"/>
      <c r="C501" s="30"/>
      <c r="D501" s="141"/>
      <c r="E501" s="42"/>
      <c r="F501" s="43"/>
      <c r="G501" s="59"/>
      <c r="H501" s="60"/>
      <c r="I501" s="60"/>
      <c r="J501" s="60"/>
      <c r="K501" s="60"/>
      <c r="L501" s="60"/>
      <c r="M501" s="60"/>
      <c r="N501" s="60"/>
      <c r="O501" s="30"/>
      <c r="P501" s="30"/>
      <c r="Q501" s="30"/>
      <c r="R501" s="30"/>
      <c r="S501" s="30"/>
      <c r="T501" s="30"/>
    </row>
    <row r="502" spans="1:20" ht="12.75" customHeight="1" x14ac:dyDescent="0.25">
      <c r="A502" s="342"/>
      <c r="B502" s="30"/>
      <c r="C502" s="30"/>
      <c r="D502" s="141"/>
      <c r="E502" s="42"/>
      <c r="F502" s="43"/>
      <c r="G502" s="59"/>
      <c r="H502" s="60"/>
      <c r="I502" s="60"/>
      <c r="J502" s="60"/>
      <c r="K502" s="60"/>
      <c r="L502" s="60"/>
      <c r="M502" s="60"/>
      <c r="N502" s="60"/>
      <c r="O502" s="30"/>
      <c r="P502" s="30"/>
      <c r="Q502" s="30"/>
      <c r="R502" s="30"/>
      <c r="S502" s="30"/>
      <c r="T502" s="30"/>
    </row>
    <row r="503" spans="1:20" ht="12.75" customHeight="1" x14ac:dyDescent="0.25">
      <c r="A503" s="342"/>
      <c r="B503" s="30"/>
      <c r="C503" s="30"/>
      <c r="D503" s="141"/>
      <c r="E503" s="42"/>
      <c r="F503" s="43"/>
      <c r="G503" s="59"/>
      <c r="H503" s="60"/>
      <c r="I503" s="60"/>
      <c r="J503" s="60"/>
      <c r="K503" s="60"/>
      <c r="L503" s="60"/>
      <c r="M503" s="60"/>
      <c r="N503" s="60"/>
      <c r="O503" s="30"/>
      <c r="P503" s="30"/>
      <c r="Q503" s="30"/>
      <c r="R503" s="30"/>
      <c r="S503" s="30"/>
      <c r="T503" s="30"/>
    </row>
    <row r="504" spans="1:20" ht="12.75" customHeight="1" x14ac:dyDescent="0.25">
      <c r="A504" s="342"/>
      <c r="B504" s="30"/>
      <c r="C504" s="30"/>
      <c r="D504" s="141"/>
      <c r="E504" s="42"/>
      <c r="F504" s="43"/>
      <c r="G504" s="59"/>
      <c r="H504" s="60"/>
      <c r="I504" s="60"/>
      <c r="J504" s="60"/>
      <c r="K504" s="60"/>
      <c r="L504" s="60"/>
      <c r="M504" s="60"/>
      <c r="N504" s="60"/>
      <c r="O504" s="30"/>
      <c r="P504" s="30"/>
      <c r="Q504" s="30"/>
      <c r="R504" s="30"/>
      <c r="S504" s="30"/>
      <c r="T504" s="30"/>
    </row>
    <row r="505" spans="1:20" ht="12.75" customHeight="1" x14ac:dyDescent="0.25">
      <c r="A505" s="342"/>
      <c r="B505" s="30"/>
      <c r="C505" s="30"/>
      <c r="D505" s="141"/>
      <c r="E505" s="42"/>
      <c r="F505" s="43"/>
      <c r="G505" s="59"/>
      <c r="H505" s="60"/>
      <c r="I505" s="60"/>
      <c r="J505" s="60"/>
      <c r="K505" s="60"/>
      <c r="L505" s="60"/>
      <c r="M505" s="60"/>
      <c r="N505" s="60"/>
      <c r="O505" s="30"/>
      <c r="P505" s="30"/>
      <c r="Q505" s="30"/>
      <c r="R505" s="30"/>
      <c r="S505" s="30"/>
      <c r="T505" s="30"/>
    </row>
    <row r="506" spans="1:20" ht="12.75" customHeight="1" x14ac:dyDescent="0.25">
      <c r="A506" s="342"/>
      <c r="B506" s="30"/>
      <c r="C506" s="30"/>
      <c r="D506" s="141"/>
      <c r="E506" s="42"/>
      <c r="F506" s="43"/>
      <c r="G506" s="59"/>
      <c r="H506" s="60"/>
      <c r="I506" s="60"/>
      <c r="J506" s="60"/>
      <c r="K506" s="60"/>
      <c r="L506" s="60"/>
      <c r="M506" s="60"/>
      <c r="N506" s="60"/>
      <c r="O506" s="30"/>
      <c r="P506" s="30"/>
      <c r="Q506" s="30"/>
      <c r="R506" s="30"/>
      <c r="S506" s="30"/>
      <c r="T506" s="30"/>
    </row>
    <row r="507" spans="1:20" ht="12.75" customHeight="1" x14ac:dyDescent="0.25">
      <c r="A507" s="342"/>
      <c r="B507" s="30"/>
      <c r="C507" s="30"/>
      <c r="D507" s="141"/>
      <c r="E507" s="42"/>
      <c r="F507" s="43"/>
      <c r="G507" s="59"/>
      <c r="H507" s="60"/>
      <c r="I507" s="60"/>
      <c r="J507" s="60"/>
      <c r="K507" s="60"/>
      <c r="L507" s="60"/>
      <c r="M507" s="60"/>
      <c r="N507" s="60"/>
      <c r="O507" s="30"/>
      <c r="P507" s="30"/>
      <c r="Q507" s="30"/>
      <c r="R507" s="30"/>
      <c r="S507" s="30"/>
      <c r="T507" s="30"/>
    </row>
    <row r="508" spans="1:20" ht="12.75" customHeight="1" x14ac:dyDescent="0.25">
      <c r="A508" s="342"/>
      <c r="B508" s="30"/>
      <c r="C508" s="30"/>
      <c r="D508" s="141"/>
      <c r="E508" s="42"/>
      <c r="F508" s="43"/>
      <c r="G508" s="59"/>
      <c r="H508" s="60"/>
      <c r="I508" s="60"/>
      <c r="J508" s="60"/>
      <c r="K508" s="60"/>
      <c r="L508" s="60"/>
      <c r="M508" s="60"/>
      <c r="N508" s="60"/>
      <c r="O508" s="30"/>
      <c r="P508" s="30"/>
      <c r="Q508" s="30"/>
      <c r="R508" s="30"/>
      <c r="S508" s="30"/>
      <c r="T508" s="30"/>
    </row>
    <row r="509" spans="1:20" ht="12.75" customHeight="1" x14ac:dyDescent="0.25">
      <c r="A509" s="342"/>
      <c r="B509" s="30"/>
      <c r="C509" s="30"/>
      <c r="D509" s="141"/>
      <c r="E509" s="42"/>
      <c r="F509" s="43"/>
      <c r="G509" s="59"/>
      <c r="H509" s="60"/>
      <c r="I509" s="60"/>
      <c r="J509" s="60"/>
      <c r="K509" s="60"/>
      <c r="L509" s="60"/>
      <c r="M509" s="60"/>
      <c r="N509" s="60"/>
      <c r="O509" s="30"/>
      <c r="P509" s="30"/>
      <c r="Q509" s="30"/>
      <c r="R509" s="30"/>
      <c r="S509" s="30"/>
      <c r="T509" s="30"/>
    </row>
    <row r="510" spans="1:20" ht="12.75" customHeight="1" x14ac:dyDescent="0.25">
      <c r="A510" s="342"/>
      <c r="B510" s="30"/>
      <c r="C510" s="30"/>
      <c r="D510" s="141"/>
      <c r="E510" s="42"/>
      <c r="F510" s="43"/>
      <c r="G510" s="59"/>
      <c r="H510" s="60"/>
      <c r="I510" s="60"/>
      <c r="J510" s="60"/>
      <c r="K510" s="60"/>
      <c r="L510" s="60"/>
      <c r="M510" s="60"/>
      <c r="N510" s="60"/>
      <c r="O510" s="30"/>
      <c r="P510" s="30"/>
      <c r="Q510" s="30"/>
      <c r="R510" s="30"/>
      <c r="S510" s="30"/>
      <c r="T510" s="30"/>
    </row>
    <row r="511" spans="1:20" ht="12.75" customHeight="1" x14ac:dyDescent="0.25">
      <c r="A511" s="342"/>
      <c r="B511" s="30"/>
      <c r="C511" s="30"/>
      <c r="D511" s="141"/>
      <c r="E511" s="42"/>
      <c r="F511" s="43"/>
      <c r="G511" s="59"/>
      <c r="H511" s="60"/>
      <c r="I511" s="60"/>
      <c r="J511" s="60"/>
      <c r="K511" s="60"/>
      <c r="L511" s="60"/>
      <c r="M511" s="60"/>
      <c r="N511" s="60"/>
      <c r="O511" s="30"/>
      <c r="P511" s="30"/>
      <c r="Q511" s="30"/>
      <c r="R511" s="30"/>
      <c r="S511" s="30"/>
      <c r="T511" s="30"/>
    </row>
    <row r="512" spans="1:20" ht="12.75" customHeight="1" x14ac:dyDescent="0.25">
      <c r="A512" s="342"/>
      <c r="B512" s="30"/>
      <c r="C512" s="30"/>
      <c r="D512" s="141"/>
      <c r="E512" s="42"/>
      <c r="F512" s="43"/>
      <c r="G512" s="59"/>
      <c r="H512" s="60"/>
      <c r="I512" s="60"/>
      <c r="J512" s="60"/>
      <c r="K512" s="60"/>
      <c r="L512" s="60"/>
      <c r="M512" s="60"/>
      <c r="N512" s="60"/>
      <c r="O512" s="30"/>
      <c r="P512" s="30"/>
      <c r="Q512" s="30"/>
      <c r="R512" s="30"/>
      <c r="S512" s="30"/>
      <c r="T512" s="30"/>
    </row>
    <row r="513" spans="1:20" ht="12.75" customHeight="1" x14ac:dyDescent="0.25">
      <c r="A513" s="342"/>
      <c r="B513" s="30"/>
      <c r="C513" s="30"/>
      <c r="D513" s="141"/>
      <c r="E513" s="42"/>
      <c r="F513" s="43"/>
      <c r="G513" s="59"/>
      <c r="H513" s="60"/>
      <c r="I513" s="60"/>
      <c r="J513" s="60"/>
      <c r="K513" s="60"/>
      <c r="L513" s="60"/>
      <c r="M513" s="60"/>
      <c r="N513" s="60"/>
      <c r="O513" s="30"/>
      <c r="P513" s="30"/>
      <c r="Q513" s="30"/>
      <c r="R513" s="30"/>
      <c r="S513" s="30"/>
      <c r="T513" s="30"/>
    </row>
    <row r="514" spans="1:20" ht="12.75" customHeight="1" x14ac:dyDescent="0.25">
      <c r="A514" s="342"/>
      <c r="B514" s="30"/>
      <c r="C514" s="30"/>
      <c r="D514" s="141"/>
      <c r="E514" s="42"/>
      <c r="F514" s="43"/>
      <c r="G514" s="59"/>
      <c r="H514" s="60"/>
      <c r="I514" s="60"/>
      <c r="J514" s="60"/>
      <c r="K514" s="60"/>
      <c r="L514" s="60"/>
      <c r="M514" s="60"/>
      <c r="N514" s="60"/>
      <c r="O514" s="30"/>
      <c r="P514" s="30"/>
      <c r="Q514" s="30"/>
      <c r="R514" s="30"/>
      <c r="S514" s="30"/>
      <c r="T514" s="30"/>
    </row>
    <row r="515" spans="1:20" ht="12.75" customHeight="1" x14ac:dyDescent="0.25">
      <c r="A515" s="342"/>
      <c r="B515" s="30"/>
      <c r="C515" s="30"/>
      <c r="D515" s="141"/>
      <c r="E515" s="42"/>
      <c r="F515" s="43"/>
      <c r="G515" s="59"/>
      <c r="H515" s="60"/>
      <c r="I515" s="60"/>
      <c r="J515" s="60"/>
      <c r="K515" s="60"/>
      <c r="L515" s="60"/>
      <c r="M515" s="60"/>
      <c r="N515" s="60"/>
      <c r="O515" s="30"/>
      <c r="P515" s="30"/>
      <c r="Q515" s="30"/>
      <c r="R515" s="30"/>
      <c r="S515" s="30"/>
      <c r="T515" s="30"/>
    </row>
    <row r="516" spans="1:20" ht="12.75" customHeight="1" x14ac:dyDescent="0.25">
      <c r="A516" s="342"/>
      <c r="B516" s="30"/>
      <c r="C516" s="30"/>
      <c r="D516" s="141"/>
      <c r="E516" s="42"/>
      <c r="F516" s="43"/>
      <c r="G516" s="59"/>
      <c r="H516" s="60"/>
      <c r="I516" s="60"/>
      <c r="J516" s="60"/>
      <c r="K516" s="60"/>
      <c r="L516" s="60"/>
      <c r="M516" s="60"/>
      <c r="N516" s="60"/>
      <c r="O516" s="30"/>
      <c r="P516" s="30"/>
      <c r="Q516" s="30"/>
      <c r="R516" s="30"/>
      <c r="S516" s="30"/>
      <c r="T516" s="30"/>
    </row>
    <row r="517" spans="1:20" ht="12.75" customHeight="1" x14ac:dyDescent="0.25">
      <c r="A517" s="342"/>
      <c r="B517" s="30"/>
      <c r="C517" s="30"/>
      <c r="D517" s="141"/>
      <c r="E517" s="42"/>
      <c r="F517" s="43"/>
      <c r="G517" s="59"/>
      <c r="H517" s="60"/>
      <c r="I517" s="60"/>
      <c r="J517" s="60"/>
      <c r="K517" s="60"/>
      <c r="L517" s="60"/>
      <c r="M517" s="60"/>
      <c r="N517" s="60"/>
      <c r="O517" s="30"/>
      <c r="P517" s="30"/>
      <c r="Q517" s="30"/>
      <c r="R517" s="30"/>
      <c r="S517" s="30"/>
      <c r="T517" s="30"/>
    </row>
    <row r="518" spans="1:20" ht="12.75" customHeight="1" x14ac:dyDescent="0.25">
      <c r="A518" s="342"/>
      <c r="B518" s="30"/>
      <c r="C518" s="30"/>
      <c r="D518" s="141"/>
      <c r="E518" s="42"/>
      <c r="F518" s="43"/>
      <c r="G518" s="59"/>
      <c r="H518" s="60"/>
      <c r="I518" s="60"/>
      <c r="J518" s="60"/>
      <c r="K518" s="60"/>
      <c r="L518" s="60"/>
      <c r="M518" s="60"/>
      <c r="N518" s="60"/>
      <c r="O518" s="30"/>
      <c r="P518" s="30"/>
      <c r="Q518" s="30"/>
      <c r="R518" s="30"/>
      <c r="S518" s="30"/>
      <c r="T518" s="30"/>
    </row>
    <row r="519" spans="1:20" ht="12.75" customHeight="1" x14ac:dyDescent="0.25">
      <c r="A519" s="342"/>
      <c r="B519" s="30"/>
      <c r="C519" s="30"/>
      <c r="D519" s="141"/>
      <c r="E519" s="42"/>
      <c r="F519" s="43"/>
      <c r="G519" s="59"/>
      <c r="H519" s="60"/>
      <c r="I519" s="60"/>
      <c r="J519" s="60"/>
      <c r="K519" s="60"/>
      <c r="L519" s="60"/>
      <c r="M519" s="60"/>
      <c r="N519" s="60"/>
      <c r="O519" s="30"/>
      <c r="P519" s="30"/>
      <c r="Q519" s="30"/>
      <c r="R519" s="30"/>
      <c r="S519" s="30"/>
      <c r="T519" s="30"/>
    </row>
    <row r="520" spans="1:20" ht="12.75" customHeight="1" x14ac:dyDescent="0.25">
      <c r="A520" s="342"/>
      <c r="B520" s="30"/>
      <c r="C520" s="30"/>
      <c r="D520" s="141"/>
      <c r="E520" s="42"/>
      <c r="F520" s="43"/>
      <c r="G520" s="59"/>
      <c r="H520" s="60"/>
      <c r="I520" s="60"/>
      <c r="J520" s="60"/>
      <c r="K520" s="60"/>
      <c r="L520" s="60"/>
      <c r="M520" s="60"/>
      <c r="N520" s="60"/>
      <c r="O520" s="30"/>
      <c r="P520" s="30"/>
      <c r="Q520" s="30"/>
      <c r="R520" s="30"/>
      <c r="S520" s="30"/>
      <c r="T520" s="30"/>
    </row>
    <row r="521" spans="1:20" ht="12.75" customHeight="1" x14ac:dyDescent="0.25">
      <c r="A521" s="342"/>
      <c r="B521" s="30"/>
      <c r="C521" s="30"/>
      <c r="D521" s="141"/>
      <c r="E521" s="42"/>
      <c r="F521" s="43"/>
      <c r="G521" s="59"/>
      <c r="H521" s="60"/>
      <c r="I521" s="60"/>
      <c r="J521" s="60"/>
      <c r="K521" s="60"/>
      <c r="L521" s="60"/>
      <c r="M521" s="60"/>
      <c r="N521" s="60"/>
      <c r="O521" s="30"/>
      <c r="P521" s="30"/>
      <c r="Q521" s="30"/>
      <c r="R521" s="30"/>
      <c r="S521" s="30"/>
      <c r="T521" s="30"/>
    </row>
    <row r="522" spans="1:20" ht="12.75" customHeight="1" x14ac:dyDescent="0.25">
      <c r="A522" s="342"/>
      <c r="B522" s="30"/>
      <c r="C522" s="30"/>
      <c r="D522" s="141"/>
      <c r="E522" s="42"/>
      <c r="F522" s="43"/>
      <c r="G522" s="59"/>
      <c r="H522" s="60"/>
      <c r="I522" s="60"/>
      <c r="J522" s="60"/>
      <c r="K522" s="60"/>
      <c r="L522" s="60"/>
      <c r="M522" s="60"/>
      <c r="N522" s="60"/>
      <c r="O522" s="30"/>
      <c r="P522" s="30"/>
      <c r="Q522" s="30"/>
      <c r="R522" s="30"/>
      <c r="S522" s="30"/>
      <c r="T522" s="30"/>
    </row>
    <row r="523" spans="1:20" ht="12.75" customHeight="1" x14ac:dyDescent="0.25">
      <c r="A523" s="342"/>
      <c r="B523" s="30"/>
      <c r="C523" s="30"/>
      <c r="D523" s="141"/>
      <c r="E523" s="42"/>
      <c r="F523" s="43"/>
      <c r="G523" s="59"/>
      <c r="H523" s="60"/>
      <c r="I523" s="60"/>
      <c r="J523" s="60"/>
      <c r="K523" s="60"/>
      <c r="L523" s="60"/>
      <c r="M523" s="60"/>
      <c r="N523" s="60"/>
      <c r="O523" s="30"/>
      <c r="P523" s="30"/>
      <c r="Q523" s="30"/>
      <c r="R523" s="30"/>
      <c r="S523" s="30"/>
      <c r="T523" s="30"/>
    </row>
    <row r="524" spans="1:20" ht="12.75" customHeight="1" x14ac:dyDescent="0.25">
      <c r="A524" s="342"/>
      <c r="B524" s="30"/>
      <c r="C524" s="30"/>
      <c r="D524" s="141"/>
      <c r="E524" s="42"/>
      <c r="F524" s="43"/>
      <c r="G524" s="59"/>
      <c r="H524" s="60"/>
      <c r="I524" s="60"/>
      <c r="J524" s="60"/>
      <c r="K524" s="60"/>
      <c r="L524" s="60"/>
      <c r="M524" s="60"/>
      <c r="N524" s="60"/>
      <c r="O524" s="30"/>
      <c r="P524" s="30"/>
      <c r="Q524" s="30"/>
      <c r="R524" s="30"/>
      <c r="S524" s="30"/>
      <c r="T524" s="30"/>
    </row>
    <row r="525" spans="1:20" ht="12.75" customHeight="1" x14ac:dyDescent="0.25">
      <c r="A525" s="342"/>
      <c r="B525" s="30"/>
      <c r="C525" s="30"/>
      <c r="D525" s="141"/>
      <c r="E525" s="42"/>
      <c r="F525" s="43"/>
      <c r="G525" s="59"/>
      <c r="H525" s="60"/>
      <c r="I525" s="60"/>
      <c r="J525" s="60"/>
      <c r="K525" s="60"/>
      <c r="L525" s="60"/>
      <c r="M525" s="60"/>
      <c r="N525" s="60"/>
      <c r="O525" s="30"/>
      <c r="P525" s="30"/>
      <c r="Q525" s="30"/>
      <c r="R525" s="30"/>
      <c r="S525" s="30"/>
      <c r="T525" s="30"/>
    </row>
    <row r="526" spans="1:20" ht="12.75" customHeight="1" x14ac:dyDescent="0.25">
      <c r="A526" s="342"/>
      <c r="B526" s="30"/>
      <c r="C526" s="30"/>
      <c r="D526" s="141"/>
      <c r="E526" s="42"/>
      <c r="F526" s="43"/>
      <c r="G526" s="59"/>
      <c r="H526" s="60"/>
      <c r="I526" s="60"/>
      <c r="J526" s="60"/>
      <c r="K526" s="60"/>
      <c r="L526" s="60"/>
      <c r="M526" s="60"/>
      <c r="N526" s="60"/>
      <c r="O526" s="30"/>
      <c r="P526" s="30"/>
      <c r="Q526" s="30"/>
      <c r="R526" s="30"/>
      <c r="S526" s="30"/>
      <c r="T526" s="30"/>
    </row>
    <row r="527" spans="1:20" ht="12.75" customHeight="1" x14ac:dyDescent="0.25">
      <c r="A527" s="342"/>
      <c r="B527" s="30"/>
      <c r="C527" s="30"/>
      <c r="D527" s="141"/>
      <c r="E527" s="42"/>
      <c r="F527" s="43"/>
      <c r="G527" s="59"/>
      <c r="H527" s="60"/>
      <c r="I527" s="60"/>
      <c r="J527" s="60"/>
      <c r="K527" s="60"/>
      <c r="L527" s="60"/>
      <c r="M527" s="60"/>
      <c r="N527" s="60"/>
      <c r="O527" s="30"/>
      <c r="P527" s="30"/>
      <c r="Q527" s="30"/>
      <c r="R527" s="30"/>
      <c r="S527" s="30"/>
      <c r="T527" s="30"/>
    </row>
    <row r="528" spans="1:20" ht="12.75" customHeight="1" x14ac:dyDescent="0.25">
      <c r="A528" s="342"/>
      <c r="B528" s="30"/>
      <c r="C528" s="30"/>
      <c r="D528" s="141"/>
      <c r="E528" s="42"/>
      <c r="F528" s="43"/>
      <c r="G528" s="59"/>
      <c r="H528" s="60"/>
      <c r="I528" s="60"/>
      <c r="J528" s="60"/>
      <c r="K528" s="60"/>
      <c r="L528" s="60"/>
      <c r="M528" s="60"/>
      <c r="N528" s="60"/>
      <c r="O528" s="30"/>
      <c r="P528" s="30"/>
      <c r="Q528" s="30"/>
      <c r="R528" s="30"/>
      <c r="S528" s="30"/>
      <c r="T528" s="30"/>
    </row>
    <row r="529" spans="1:20" ht="12.75" customHeight="1" x14ac:dyDescent="0.25">
      <c r="A529" s="342"/>
      <c r="B529" s="30"/>
      <c r="C529" s="30"/>
      <c r="D529" s="141"/>
      <c r="E529" s="42"/>
      <c r="F529" s="43"/>
      <c r="G529" s="59"/>
      <c r="H529" s="60"/>
      <c r="I529" s="60"/>
      <c r="J529" s="60"/>
      <c r="K529" s="60"/>
      <c r="L529" s="60"/>
      <c r="M529" s="60"/>
      <c r="N529" s="60"/>
      <c r="O529" s="30"/>
      <c r="P529" s="30"/>
      <c r="Q529" s="30"/>
      <c r="R529" s="30"/>
      <c r="S529" s="30"/>
      <c r="T529" s="30"/>
    </row>
    <row r="530" spans="1:20" ht="12.75" customHeight="1" x14ac:dyDescent="0.25">
      <c r="A530" s="342"/>
      <c r="B530" s="30"/>
      <c r="C530" s="30"/>
      <c r="D530" s="141"/>
      <c r="E530" s="42"/>
      <c r="F530" s="43"/>
      <c r="G530" s="59"/>
      <c r="H530" s="60"/>
      <c r="I530" s="60"/>
      <c r="J530" s="60"/>
      <c r="K530" s="60"/>
      <c r="L530" s="60"/>
      <c r="M530" s="60"/>
      <c r="N530" s="60"/>
      <c r="O530" s="30"/>
      <c r="P530" s="30"/>
      <c r="Q530" s="30"/>
      <c r="R530" s="30"/>
      <c r="S530" s="30"/>
      <c r="T530" s="30"/>
    </row>
    <row r="531" spans="1:20" ht="12.75" customHeight="1" x14ac:dyDescent="0.25">
      <c r="A531" s="342"/>
      <c r="B531" s="30"/>
      <c r="C531" s="30"/>
      <c r="D531" s="141"/>
      <c r="E531" s="42"/>
      <c r="F531" s="43"/>
      <c r="G531" s="59"/>
      <c r="H531" s="60"/>
      <c r="I531" s="60"/>
      <c r="J531" s="60"/>
      <c r="K531" s="60"/>
      <c r="L531" s="60"/>
      <c r="M531" s="60"/>
      <c r="N531" s="60"/>
      <c r="O531" s="30"/>
      <c r="P531" s="30"/>
      <c r="Q531" s="30"/>
      <c r="R531" s="30"/>
      <c r="S531" s="30"/>
      <c r="T531" s="30"/>
    </row>
    <row r="532" spans="1:20" ht="12.75" customHeight="1" x14ac:dyDescent="0.25">
      <c r="A532" s="342"/>
      <c r="B532" s="30"/>
      <c r="C532" s="30"/>
      <c r="D532" s="141"/>
      <c r="E532" s="42"/>
      <c r="F532" s="43"/>
      <c r="G532" s="59"/>
      <c r="H532" s="60"/>
      <c r="I532" s="60"/>
      <c r="J532" s="60"/>
      <c r="K532" s="60"/>
      <c r="L532" s="60"/>
      <c r="M532" s="60"/>
      <c r="N532" s="60"/>
      <c r="O532" s="30"/>
      <c r="P532" s="30"/>
      <c r="Q532" s="30"/>
      <c r="R532" s="30"/>
      <c r="S532" s="30"/>
      <c r="T532" s="30"/>
    </row>
    <row r="533" spans="1:20" ht="12.75" customHeight="1" x14ac:dyDescent="0.25">
      <c r="A533" s="342"/>
      <c r="B533" s="30"/>
      <c r="C533" s="30"/>
      <c r="D533" s="141"/>
      <c r="E533" s="42"/>
      <c r="F533" s="43"/>
      <c r="G533" s="59"/>
      <c r="H533" s="60"/>
      <c r="I533" s="60"/>
      <c r="J533" s="60"/>
      <c r="K533" s="60"/>
      <c r="L533" s="60"/>
      <c r="M533" s="60"/>
      <c r="N533" s="60"/>
      <c r="O533" s="30"/>
      <c r="P533" s="30"/>
      <c r="Q533" s="30"/>
      <c r="R533" s="30"/>
      <c r="S533" s="30"/>
      <c r="T533" s="30"/>
    </row>
    <row r="534" spans="1:20" ht="12.75" customHeight="1" x14ac:dyDescent="0.25">
      <c r="A534" s="342"/>
      <c r="B534" s="30"/>
      <c r="C534" s="30"/>
      <c r="D534" s="141"/>
      <c r="E534" s="42"/>
      <c r="F534" s="43"/>
      <c r="G534" s="59"/>
      <c r="H534" s="60"/>
      <c r="I534" s="60"/>
      <c r="J534" s="60"/>
      <c r="K534" s="60"/>
      <c r="L534" s="60"/>
      <c r="M534" s="60"/>
      <c r="N534" s="60"/>
      <c r="O534" s="30"/>
      <c r="P534" s="30"/>
      <c r="Q534" s="30"/>
      <c r="R534" s="30"/>
      <c r="S534" s="30"/>
      <c r="T534" s="30"/>
    </row>
    <row r="535" spans="1:20" ht="12.75" customHeight="1" x14ac:dyDescent="0.25">
      <c r="A535" s="342"/>
      <c r="B535" s="30"/>
      <c r="C535" s="30"/>
      <c r="D535" s="141"/>
      <c r="E535" s="42"/>
      <c r="F535" s="43"/>
      <c r="G535" s="59"/>
      <c r="H535" s="60"/>
      <c r="I535" s="60"/>
      <c r="J535" s="60"/>
      <c r="K535" s="60"/>
      <c r="L535" s="60"/>
      <c r="M535" s="60"/>
      <c r="N535" s="60"/>
      <c r="O535" s="30"/>
      <c r="P535" s="30"/>
      <c r="Q535" s="30"/>
      <c r="R535" s="30"/>
      <c r="S535" s="30"/>
      <c r="T535" s="30"/>
    </row>
    <row r="536" spans="1:20" ht="12.75" customHeight="1" x14ac:dyDescent="0.25">
      <c r="A536" s="342"/>
      <c r="B536" s="30"/>
      <c r="C536" s="30"/>
      <c r="D536" s="141"/>
      <c r="E536" s="42"/>
      <c r="F536" s="43"/>
      <c r="G536" s="59"/>
      <c r="H536" s="60"/>
      <c r="I536" s="60"/>
      <c r="J536" s="60"/>
      <c r="K536" s="60"/>
      <c r="L536" s="60"/>
      <c r="M536" s="60"/>
      <c r="N536" s="60"/>
      <c r="O536" s="30"/>
      <c r="P536" s="30"/>
      <c r="Q536" s="30"/>
      <c r="R536" s="30"/>
      <c r="S536" s="30"/>
      <c r="T536" s="30"/>
    </row>
    <row r="537" spans="1:20" ht="12.75" customHeight="1" x14ac:dyDescent="0.25">
      <c r="A537" s="342"/>
      <c r="B537" s="30"/>
      <c r="C537" s="30"/>
      <c r="D537" s="141"/>
      <c r="E537" s="42"/>
      <c r="F537" s="43"/>
      <c r="G537" s="59"/>
      <c r="H537" s="60"/>
      <c r="I537" s="60"/>
      <c r="J537" s="60"/>
      <c r="K537" s="60"/>
      <c r="L537" s="60"/>
      <c r="M537" s="60"/>
      <c r="N537" s="60"/>
      <c r="O537" s="30"/>
      <c r="P537" s="30"/>
      <c r="Q537" s="30"/>
      <c r="R537" s="30"/>
      <c r="S537" s="30"/>
      <c r="T537" s="30"/>
    </row>
    <row r="538" spans="1:20" ht="12.75" customHeight="1" x14ac:dyDescent="0.25">
      <c r="A538" s="342"/>
      <c r="B538" s="30"/>
      <c r="C538" s="30"/>
      <c r="D538" s="141"/>
      <c r="E538" s="42"/>
      <c r="F538" s="43"/>
      <c r="G538" s="59"/>
      <c r="H538" s="60"/>
      <c r="I538" s="60"/>
      <c r="J538" s="60"/>
      <c r="K538" s="60"/>
      <c r="L538" s="60"/>
      <c r="M538" s="60"/>
      <c r="N538" s="60"/>
      <c r="O538" s="30"/>
      <c r="P538" s="30"/>
      <c r="Q538" s="30"/>
      <c r="R538" s="30"/>
      <c r="S538" s="30"/>
      <c r="T538" s="30"/>
    </row>
    <row r="539" spans="1:20" ht="12.75" customHeight="1" x14ac:dyDescent="0.25">
      <c r="A539" s="342"/>
      <c r="B539" s="30"/>
      <c r="C539" s="30"/>
      <c r="D539" s="141"/>
      <c r="E539" s="42"/>
      <c r="F539" s="43"/>
      <c r="G539" s="59"/>
      <c r="H539" s="60"/>
      <c r="I539" s="60"/>
      <c r="J539" s="60"/>
      <c r="K539" s="60"/>
      <c r="L539" s="60"/>
      <c r="M539" s="60"/>
      <c r="N539" s="60"/>
      <c r="O539" s="30"/>
      <c r="P539" s="30"/>
      <c r="Q539" s="30"/>
      <c r="R539" s="30"/>
      <c r="S539" s="30"/>
      <c r="T539" s="30"/>
    </row>
    <row r="540" spans="1:20" ht="12.75" customHeight="1" x14ac:dyDescent="0.25">
      <c r="A540" s="342"/>
      <c r="B540" s="30"/>
      <c r="C540" s="30"/>
      <c r="D540" s="141"/>
      <c r="E540" s="42"/>
      <c r="F540" s="43"/>
      <c r="G540" s="59"/>
      <c r="H540" s="60"/>
      <c r="I540" s="60"/>
      <c r="J540" s="60"/>
      <c r="K540" s="60"/>
      <c r="L540" s="60"/>
      <c r="M540" s="60"/>
      <c r="N540" s="60"/>
      <c r="O540" s="30"/>
      <c r="P540" s="30"/>
      <c r="Q540" s="30"/>
      <c r="R540" s="30"/>
      <c r="S540" s="30"/>
      <c r="T540" s="30"/>
    </row>
    <row r="541" spans="1:20" ht="12.75" customHeight="1" x14ac:dyDescent="0.25">
      <c r="A541" s="342"/>
      <c r="B541" s="30"/>
      <c r="C541" s="30"/>
      <c r="D541" s="141"/>
      <c r="E541" s="42"/>
      <c r="F541" s="43"/>
      <c r="G541" s="59"/>
      <c r="H541" s="60"/>
      <c r="I541" s="60"/>
      <c r="J541" s="60"/>
      <c r="K541" s="60"/>
      <c r="L541" s="60"/>
      <c r="M541" s="60"/>
      <c r="N541" s="60"/>
      <c r="O541" s="30"/>
      <c r="P541" s="30"/>
      <c r="Q541" s="30"/>
      <c r="R541" s="30"/>
      <c r="S541" s="30"/>
      <c r="T541" s="30"/>
    </row>
    <row r="542" spans="1:20" ht="12.75" customHeight="1" x14ac:dyDescent="0.25">
      <c r="A542" s="342"/>
      <c r="B542" s="30"/>
      <c r="C542" s="30"/>
      <c r="D542" s="141"/>
      <c r="E542" s="42"/>
      <c r="F542" s="43"/>
      <c r="G542" s="59"/>
      <c r="H542" s="60"/>
      <c r="I542" s="60"/>
      <c r="J542" s="60"/>
      <c r="K542" s="60"/>
      <c r="L542" s="60"/>
      <c r="M542" s="60"/>
      <c r="N542" s="60"/>
      <c r="O542" s="30"/>
      <c r="P542" s="30"/>
      <c r="Q542" s="30"/>
      <c r="R542" s="30"/>
      <c r="S542" s="30"/>
      <c r="T542" s="30"/>
    </row>
    <row r="543" spans="1:20" ht="12.75" customHeight="1" x14ac:dyDescent="0.25">
      <c r="A543" s="342"/>
      <c r="B543" s="30"/>
      <c r="C543" s="30"/>
      <c r="D543" s="141"/>
      <c r="E543" s="42"/>
      <c r="F543" s="43"/>
      <c r="G543" s="59"/>
      <c r="H543" s="60"/>
      <c r="I543" s="60"/>
      <c r="J543" s="60"/>
      <c r="K543" s="60"/>
      <c r="L543" s="60"/>
      <c r="M543" s="60"/>
      <c r="N543" s="60"/>
      <c r="O543" s="30"/>
      <c r="P543" s="30"/>
      <c r="Q543" s="30"/>
      <c r="R543" s="30"/>
      <c r="S543" s="30"/>
      <c r="T543" s="30"/>
    </row>
    <row r="544" spans="1:20" ht="12.75" customHeight="1" x14ac:dyDescent="0.25">
      <c r="A544" s="342"/>
      <c r="B544" s="30"/>
      <c r="C544" s="30"/>
      <c r="D544" s="141"/>
      <c r="E544" s="42"/>
      <c r="F544" s="43"/>
      <c r="G544" s="59"/>
      <c r="H544" s="60"/>
      <c r="I544" s="60"/>
      <c r="J544" s="60"/>
      <c r="K544" s="60"/>
      <c r="L544" s="60"/>
      <c r="M544" s="60"/>
      <c r="N544" s="60"/>
      <c r="O544" s="30"/>
      <c r="P544" s="30"/>
      <c r="Q544" s="30"/>
      <c r="R544" s="30"/>
      <c r="S544" s="30"/>
      <c r="T544" s="30"/>
    </row>
    <row r="545" spans="1:20" ht="12.75" customHeight="1" x14ac:dyDescent="0.25">
      <c r="A545" s="342"/>
      <c r="B545" s="30"/>
      <c r="C545" s="30"/>
      <c r="D545" s="141"/>
      <c r="E545" s="42"/>
      <c r="F545" s="43"/>
      <c r="G545" s="59"/>
      <c r="H545" s="60"/>
      <c r="I545" s="60"/>
      <c r="J545" s="60"/>
      <c r="K545" s="60"/>
      <c r="L545" s="60"/>
      <c r="M545" s="60"/>
      <c r="N545" s="60"/>
      <c r="O545" s="30"/>
      <c r="P545" s="30"/>
      <c r="Q545" s="30"/>
      <c r="R545" s="30"/>
      <c r="S545" s="30"/>
      <c r="T545" s="30"/>
    </row>
    <row r="546" spans="1:20" ht="12.75" customHeight="1" x14ac:dyDescent="0.25">
      <c r="A546" s="342"/>
      <c r="B546" s="30"/>
      <c r="C546" s="30"/>
      <c r="D546" s="141"/>
      <c r="E546" s="42"/>
      <c r="F546" s="43"/>
      <c r="G546" s="59"/>
      <c r="H546" s="60"/>
      <c r="I546" s="60"/>
      <c r="J546" s="60"/>
      <c r="K546" s="60"/>
      <c r="L546" s="60"/>
      <c r="M546" s="60"/>
      <c r="N546" s="60"/>
      <c r="O546" s="30"/>
      <c r="P546" s="30"/>
      <c r="Q546" s="30"/>
      <c r="R546" s="30"/>
      <c r="S546" s="30"/>
      <c r="T546" s="30"/>
    </row>
    <row r="547" spans="1:20" ht="12.75" customHeight="1" x14ac:dyDescent="0.25">
      <c r="A547" s="342"/>
      <c r="B547" s="30"/>
      <c r="C547" s="30"/>
      <c r="D547" s="141"/>
      <c r="E547" s="42"/>
      <c r="F547" s="43"/>
      <c r="G547" s="59"/>
      <c r="H547" s="60"/>
      <c r="I547" s="60"/>
      <c r="J547" s="60"/>
      <c r="K547" s="60"/>
      <c r="L547" s="60"/>
      <c r="M547" s="60"/>
      <c r="N547" s="60"/>
      <c r="O547" s="30"/>
      <c r="P547" s="30"/>
      <c r="Q547" s="30"/>
      <c r="R547" s="30"/>
      <c r="S547" s="30"/>
      <c r="T547" s="30"/>
    </row>
    <row r="548" spans="1:20" ht="12.75" customHeight="1" x14ac:dyDescent="0.25">
      <c r="A548" s="342"/>
      <c r="B548" s="30"/>
      <c r="C548" s="30"/>
      <c r="D548" s="141"/>
      <c r="E548" s="42"/>
      <c r="F548" s="43"/>
      <c r="G548" s="59"/>
      <c r="H548" s="60"/>
      <c r="I548" s="60"/>
      <c r="J548" s="60"/>
      <c r="K548" s="60"/>
      <c r="L548" s="60"/>
      <c r="M548" s="60"/>
      <c r="N548" s="60"/>
      <c r="O548" s="30"/>
      <c r="P548" s="30"/>
      <c r="Q548" s="30"/>
      <c r="R548" s="30"/>
      <c r="S548" s="30"/>
      <c r="T548" s="30"/>
    </row>
    <row r="549" spans="1:20" ht="12.75" customHeight="1" x14ac:dyDescent="0.25">
      <c r="A549" s="342"/>
      <c r="B549" s="30"/>
      <c r="C549" s="30"/>
      <c r="D549" s="141"/>
      <c r="E549" s="42"/>
      <c r="F549" s="43"/>
      <c r="G549" s="59"/>
      <c r="H549" s="60"/>
      <c r="I549" s="60"/>
      <c r="J549" s="60"/>
      <c r="K549" s="60"/>
      <c r="L549" s="60"/>
      <c r="M549" s="60"/>
      <c r="N549" s="60"/>
      <c r="O549" s="30"/>
      <c r="P549" s="30"/>
      <c r="Q549" s="30"/>
      <c r="R549" s="30"/>
      <c r="S549" s="30"/>
      <c r="T549" s="30"/>
    </row>
    <row r="550" spans="1:20" ht="12.75" customHeight="1" x14ac:dyDescent="0.25">
      <c r="A550" s="342"/>
      <c r="B550" s="30"/>
      <c r="C550" s="30"/>
      <c r="D550" s="141"/>
      <c r="E550" s="42"/>
      <c r="F550" s="43"/>
      <c r="G550" s="59"/>
      <c r="H550" s="60"/>
      <c r="I550" s="60"/>
      <c r="J550" s="60"/>
      <c r="K550" s="60"/>
      <c r="L550" s="60"/>
      <c r="M550" s="60"/>
      <c r="N550" s="60"/>
      <c r="O550" s="30"/>
      <c r="P550" s="30"/>
      <c r="Q550" s="30"/>
      <c r="R550" s="30"/>
      <c r="S550" s="30"/>
      <c r="T550" s="30"/>
    </row>
    <row r="551" spans="1:20" ht="12.75" customHeight="1" x14ac:dyDescent="0.25">
      <c r="A551" s="342"/>
      <c r="B551" s="30"/>
      <c r="C551" s="30"/>
      <c r="D551" s="141"/>
      <c r="E551" s="42"/>
      <c r="F551" s="43"/>
      <c r="G551" s="59"/>
      <c r="H551" s="60"/>
      <c r="I551" s="60"/>
      <c r="J551" s="60"/>
      <c r="K551" s="60"/>
      <c r="L551" s="60"/>
      <c r="M551" s="60"/>
      <c r="N551" s="60"/>
      <c r="O551" s="30"/>
      <c r="P551" s="30"/>
      <c r="Q551" s="30"/>
      <c r="R551" s="30"/>
      <c r="S551" s="30"/>
      <c r="T551" s="30"/>
    </row>
    <row r="552" spans="1:20" ht="12.75" customHeight="1" x14ac:dyDescent="0.25">
      <c r="A552" s="342"/>
      <c r="B552" s="30"/>
      <c r="C552" s="30"/>
      <c r="D552" s="141"/>
      <c r="E552" s="42"/>
      <c r="F552" s="43"/>
      <c r="G552" s="59"/>
      <c r="H552" s="60"/>
      <c r="I552" s="60"/>
      <c r="J552" s="60"/>
      <c r="K552" s="60"/>
      <c r="L552" s="60"/>
      <c r="M552" s="60"/>
      <c r="N552" s="60"/>
      <c r="O552" s="30"/>
      <c r="P552" s="30"/>
      <c r="Q552" s="30"/>
      <c r="R552" s="30"/>
      <c r="S552" s="30"/>
      <c r="T552" s="30"/>
    </row>
    <row r="553" spans="1:20" ht="12.75" customHeight="1" x14ac:dyDescent="0.25">
      <c r="A553" s="342"/>
      <c r="B553" s="30"/>
      <c r="C553" s="30"/>
      <c r="D553" s="141"/>
      <c r="E553" s="42"/>
      <c r="F553" s="43"/>
      <c r="G553" s="59"/>
      <c r="H553" s="60"/>
      <c r="I553" s="60"/>
      <c r="J553" s="60"/>
      <c r="K553" s="60"/>
      <c r="L553" s="60"/>
      <c r="M553" s="60"/>
      <c r="N553" s="60"/>
      <c r="O553" s="30"/>
      <c r="P553" s="30"/>
      <c r="Q553" s="30"/>
      <c r="R553" s="30"/>
      <c r="S553" s="30"/>
      <c r="T553" s="30"/>
    </row>
    <row r="554" spans="1:20" ht="12.75" customHeight="1" x14ac:dyDescent="0.25">
      <c r="A554" s="342"/>
      <c r="B554" s="30"/>
      <c r="C554" s="30"/>
      <c r="D554" s="141"/>
      <c r="E554" s="42"/>
      <c r="F554" s="43"/>
      <c r="G554" s="59"/>
      <c r="H554" s="60"/>
      <c r="I554" s="60"/>
      <c r="J554" s="60"/>
      <c r="K554" s="60"/>
      <c r="L554" s="60"/>
      <c r="M554" s="60"/>
      <c r="N554" s="60"/>
      <c r="O554" s="30"/>
      <c r="P554" s="30"/>
      <c r="Q554" s="30"/>
      <c r="R554" s="30"/>
      <c r="S554" s="30"/>
      <c r="T554" s="30"/>
    </row>
    <row r="555" spans="1:20" ht="12.75" customHeight="1" x14ac:dyDescent="0.25">
      <c r="A555" s="342"/>
      <c r="B555" s="30"/>
      <c r="C555" s="30"/>
      <c r="D555" s="141"/>
      <c r="E555" s="42"/>
      <c r="F555" s="43"/>
      <c r="G555" s="59"/>
      <c r="H555" s="60"/>
      <c r="I555" s="60"/>
      <c r="J555" s="60"/>
      <c r="K555" s="60"/>
      <c r="L555" s="60"/>
      <c r="M555" s="60"/>
      <c r="N555" s="60"/>
      <c r="O555" s="30"/>
      <c r="P555" s="30"/>
      <c r="Q555" s="30"/>
      <c r="R555" s="30"/>
      <c r="S555" s="30"/>
      <c r="T555" s="30"/>
    </row>
    <row r="556" spans="1:20" ht="12.75" customHeight="1" x14ac:dyDescent="0.25">
      <c r="A556" s="342"/>
      <c r="B556" s="30"/>
      <c r="C556" s="30"/>
      <c r="D556" s="141"/>
      <c r="E556" s="42"/>
      <c r="F556" s="43"/>
      <c r="G556" s="59"/>
      <c r="H556" s="60"/>
      <c r="I556" s="60"/>
      <c r="J556" s="60"/>
      <c r="K556" s="60"/>
      <c r="L556" s="60"/>
      <c r="M556" s="60"/>
      <c r="N556" s="60"/>
      <c r="O556" s="30"/>
      <c r="P556" s="30"/>
      <c r="Q556" s="30"/>
      <c r="R556" s="30"/>
      <c r="S556" s="30"/>
      <c r="T556" s="30"/>
    </row>
    <row r="557" spans="1:20" ht="12.75" customHeight="1" x14ac:dyDescent="0.25">
      <c r="A557" s="342"/>
      <c r="B557" s="30"/>
      <c r="C557" s="30"/>
      <c r="D557" s="141"/>
      <c r="E557" s="42"/>
      <c r="F557" s="43"/>
      <c r="G557" s="59"/>
      <c r="H557" s="60"/>
      <c r="I557" s="60"/>
      <c r="J557" s="60"/>
      <c r="K557" s="60"/>
      <c r="L557" s="60"/>
      <c r="M557" s="60"/>
      <c r="N557" s="60"/>
      <c r="O557" s="30"/>
      <c r="P557" s="30"/>
      <c r="Q557" s="30"/>
      <c r="R557" s="30"/>
      <c r="S557" s="30"/>
      <c r="T557" s="30"/>
    </row>
    <row r="558" spans="1:20" ht="12.75" customHeight="1" x14ac:dyDescent="0.25">
      <c r="A558" s="342"/>
      <c r="B558" s="30"/>
      <c r="C558" s="30"/>
      <c r="D558" s="141"/>
      <c r="E558" s="42"/>
      <c r="F558" s="43"/>
      <c r="G558" s="59"/>
      <c r="H558" s="60"/>
      <c r="I558" s="60"/>
      <c r="J558" s="60"/>
      <c r="K558" s="60"/>
      <c r="L558" s="60"/>
      <c r="M558" s="60"/>
      <c r="N558" s="60"/>
      <c r="O558" s="30"/>
      <c r="P558" s="30"/>
      <c r="Q558" s="30"/>
      <c r="R558" s="30"/>
      <c r="S558" s="30"/>
      <c r="T558" s="30"/>
    </row>
    <row r="559" spans="1:20" ht="12.75" customHeight="1" x14ac:dyDescent="0.25">
      <c r="A559" s="342"/>
      <c r="B559" s="30"/>
      <c r="C559" s="30"/>
      <c r="D559" s="141"/>
      <c r="E559" s="42"/>
      <c r="F559" s="43"/>
      <c r="G559" s="59"/>
      <c r="H559" s="60"/>
      <c r="I559" s="60"/>
      <c r="J559" s="60"/>
      <c r="K559" s="60"/>
      <c r="L559" s="60"/>
      <c r="M559" s="60"/>
      <c r="N559" s="60"/>
      <c r="O559" s="30"/>
      <c r="P559" s="30"/>
      <c r="Q559" s="30"/>
      <c r="R559" s="30"/>
      <c r="S559" s="30"/>
      <c r="T559" s="30"/>
    </row>
    <row r="560" spans="1:20" ht="12.75" customHeight="1" x14ac:dyDescent="0.25">
      <c r="A560" s="342"/>
      <c r="B560" s="30"/>
      <c r="C560" s="30"/>
      <c r="D560" s="141"/>
      <c r="E560" s="42"/>
      <c r="F560" s="43"/>
      <c r="G560" s="59"/>
      <c r="H560" s="60"/>
      <c r="I560" s="60"/>
      <c r="J560" s="60"/>
      <c r="K560" s="60"/>
      <c r="L560" s="60"/>
      <c r="M560" s="60"/>
      <c r="N560" s="60"/>
      <c r="O560" s="30"/>
      <c r="P560" s="30"/>
      <c r="Q560" s="30"/>
      <c r="R560" s="30"/>
      <c r="S560" s="30"/>
      <c r="T560" s="30"/>
    </row>
    <row r="561" spans="1:20" ht="12.75" customHeight="1" x14ac:dyDescent="0.25">
      <c r="A561" s="342"/>
      <c r="B561" s="30"/>
      <c r="C561" s="30"/>
      <c r="D561" s="141"/>
      <c r="E561" s="42"/>
      <c r="F561" s="43"/>
      <c r="G561" s="59"/>
      <c r="H561" s="60"/>
      <c r="I561" s="60"/>
      <c r="J561" s="60"/>
      <c r="K561" s="60"/>
      <c r="L561" s="60"/>
      <c r="M561" s="60"/>
      <c r="N561" s="60"/>
      <c r="O561" s="30"/>
      <c r="P561" s="30"/>
      <c r="Q561" s="30"/>
      <c r="R561" s="30"/>
      <c r="S561" s="30"/>
      <c r="T561" s="30"/>
    </row>
    <row r="562" spans="1:20" ht="12.75" customHeight="1" x14ac:dyDescent="0.25">
      <c r="A562" s="342"/>
      <c r="B562" s="30"/>
      <c r="C562" s="30"/>
      <c r="D562" s="141"/>
      <c r="E562" s="42"/>
      <c r="F562" s="43"/>
      <c r="G562" s="59"/>
      <c r="H562" s="60"/>
      <c r="I562" s="60"/>
      <c r="J562" s="60"/>
      <c r="K562" s="60"/>
      <c r="L562" s="60"/>
      <c r="M562" s="60"/>
      <c r="N562" s="60"/>
      <c r="O562" s="30"/>
      <c r="P562" s="30"/>
      <c r="Q562" s="30"/>
      <c r="R562" s="30"/>
      <c r="S562" s="30"/>
      <c r="T562" s="30"/>
    </row>
    <row r="563" spans="1:20" ht="12.75" customHeight="1" x14ac:dyDescent="0.25">
      <c r="A563" s="342"/>
      <c r="B563" s="30"/>
      <c r="C563" s="30"/>
      <c r="D563" s="141"/>
      <c r="E563" s="42"/>
      <c r="F563" s="43"/>
      <c r="G563" s="59"/>
      <c r="H563" s="60"/>
      <c r="I563" s="60"/>
      <c r="J563" s="60"/>
      <c r="K563" s="60"/>
      <c r="L563" s="60"/>
      <c r="M563" s="60"/>
      <c r="N563" s="60"/>
      <c r="O563" s="30"/>
      <c r="P563" s="30"/>
      <c r="Q563" s="30"/>
      <c r="R563" s="30"/>
      <c r="S563" s="30"/>
      <c r="T563" s="30"/>
    </row>
    <row r="564" spans="1:20" ht="12.75" customHeight="1" x14ac:dyDescent="0.25">
      <c r="A564" s="342"/>
      <c r="B564" s="30"/>
      <c r="C564" s="30"/>
      <c r="D564" s="141"/>
      <c r="E564" s="42"/>
      <c r="F564" s="43"/>
      <c r="G564" s="59"/>
      <c r="H564" s="60"/>
      <c r="I564" s="60"/>
      <c r="J564" s="60"/>
      <c r="K564" s="60"/>
      <c r="L564" s="60"/>
      <c r="M564" s="60"/>
      <c r="N564" s="60"/>
      <c r="O564" s="30"/>
      <c r="P564" s="30"/>
      <c r="Q564" s="30"/>
      <c r="R564" s="30"/>
      <c r="S564" s="30"/>
      <c r="T564" s="30"/>
    </row>
    <row r="565" spans="1:20" ht="12.75" customHeight="1" x14ac:dyDescent="0.25">
      <c r="A565" s="342"/>
      <c r="B565" s="30"/>
      <c r="C565" s="30"/>
      <c r="D565" s="141"/>
      <c r="E565" s="42"/>
      <c r="F565" s="43"/>
      <c r="G565" s="59"/>
      <c r="H565" s="60"/>
      <c r="I565" s="60"/>
      <c r="J565" s="60"/>
      <c r="K565" s="60"/>
      <c r="L565" s="60"/>
      <c r="M565" s="60"/>
      <c r="N565" s="60"/>
      <c r="O565" s="30"/>
      <c r="P565" s="30"/>
      <c r="Q565" s="30"/>
      <c r="R565" s="30"/>
      <c r="S565" s="30"/>
      <c r="T565" s="30"/>
    </row>
    <row r="566" spans="1:20" ht="12.75" customHeight="1" x14ac:dyDescent="0.25">
      <c r="A566" s="342"/>
      <c r="B566" s="30"/>
      <c r="C566" s="30"/>
      <c r="D566" s="141"/>
      <c r="E566" s="42"/>
      <c r="F566" s="43"/>
      <c r="G566" s="59"/>
      <c r="H566" s="60"/>
      <c r="I566" s="60"/>
      <c r="J566" s="60"/>
      <c r="K566" s="60"/>
      <c r="L566" s="60"/>
      <c r="M566" s="60"/>
      <c r="N566" s="60"/>
      <c r="O566" s="30"/>
      <c r="P566" s="30"/>
      <c r="Q566" s="30"/>
      <c r="R566" s="30"/>
      <c r="S566" s="30"/>
      <c r="T566" s="30"/>
    </row>
    <row r="567" spans="1:20" ht="12.75" customHeight="1" x14ac:dyDescent="0.25">
      <c r="A567" s="342"/>
      <c r="B567" s="30"/>
      <c r="C567" s="30"/>
      <c r="D567" s="141"/>
      <c r="E567" s="42"/>
      <c r="F567" s="43"/>
      <c r="G567" s="59"/>
      <c r="H567" s="60"/>
      <c r="I567" s="60"/>
      <c r="J567" s="60"/>
      <c r="K567" s="60"/>
      <c r="L567" s="60"/>
      <c r="M567" s="60"/>
      <c r="N567" s="60"/>
      <c r="O567" s="30"/>
      <c r="P567" s="30"/>
      <c r="Q567" s="30"/>
      <c r="R567" s="30"/>
      <c r="S567" s="30"/>
      <c r="T567" s="30"/>
    </row>
    <row r="568" spans="1:20" ht="12.75" customHeight="1" x14ac:dyDescent="0.25">
      <c r="A568" s="342"/>
      <c r="B568" s="30"/>
      <c r="C568" s="30"/>
      <c r="D568" s="141"/>
      <c r="E568" s="42"/>
      <c r="F568" s="43"/>
      <c r="G568" s="59"/>
      <c r="H568" s="60"/>
      <c r="I568" s="60"/>
      <c r="J568" s="60"/>
      <c r="K568" s="60"/>
      <c r="L568" s="60"/>
      <c r="M568" s="60"/>
      <c r="N568" s="60"/>
      <c r="O568" s="30"/>
      <c r="P568" s="30"/>
      <c r="Q568" s="30"/>
      <c r="R568" s="30"/>
      <c r="S568" s="30"/>
      <c r="T568" s="30"/>
    </row>
    <row r="569" spans="1:20" ht="12.75" customHeight="1" x14ac:dyDescent="0.25">
      <c r="A569" s="342"/>
      <c r="B569" s="30"/>
      <c r="C569" s="30"/>
      <c r="D569" s="141"/>
      <c r="E569" s="42"/>
      <c r="F569" s="43"/>
      <c r="G569" s="59"/>
      <c r="H569" s="60"/>
      <c r="I569" s="60"/>
      <c r="J569" s="60"/>
      <c r="K569" s="60"/>
      <c r="L569" s="60"/>
      <c r="M569" s="60"/>
      <c r="N569" s="60"/>
      <c r="O569" s="30"/>
      <c r="P569" s="30"/>
      <c r="Q569" s="30"/>
      <c r="R569" s="30"/>
      <c r="S569" s="30"/>
      <c r="T569" s="30"/>
    </row>
    <row r="570" spans="1:20" ht="12.75" customHeight="1" x14ac:dyDescent="0.25">
      <c r="A570" s="342"/>
      <c r="B570" s="30"/>
      <c r="C570" s="30"/>
      <c r="D570" s="141"/>
      <c r="E570" s="42"/>
      <c r="F570" s="43"/>
      <c r="G570" s="59"/>
      <c r="H570" s="60"/>
      <c r="I570" s="60"/>
      <c r="J570" s="60"/>
      <c r="K570" s="60"/>
      <c r="L570" s="60"/>
      <c r="M570" s="60"/>
      <c r="N570" s="60"/>
      <c r="O570" s="30"/>
      <c r="P570" s="30"/>
      <c r="Q570" s="30"/>
      <c r="R570" s="30"/>
      <c r="S570" s="30"/>
      <c r="T570" s="30"/>
    </row>
    <row r="571" spans="1:20" ht="12.75" customHeight="1" x14ac:dyDescent="0.25">
      <c r="A571" s="342"/>
      <c r="B571" s="30"/>
      <c r="C571" s="30"/>
      <c r="D571" s="141"/>
      <c r="E571" s="42"/>
      <c r="F571" s="43"/>
      <c r="G571" s="59"/>
      <c r="H571" s="60"/>
      <c r="I571" s="60"/>
      <c r="J571" s="60"/>
      <c r="K571" s="60"/>
      <c r="L571" s="60"/>
      <c r="M571" s="60"/>
      <c r="N571" s="60"/>
      <c r="O571" s="30"/>
      <c r="P571" s="30"/>
      <c r="Q571" s="30"/>
      <c r="R571" s="30"/>
      <c r="S571" s="30"/>
      <c r="T571" s="30"/>
    </row>
    <row r="572" spans="1:20" ht="12.75" customHeight="1" x14ac:dyDescent="0.25">
      <c r="A572" s="342"/>
      <c r="B572" s="30"/>
      <c r="C572" s="30"/>
      <c r="D572" s="141"/>
      <c r="E572" s="42"/>
      <c r="F572" s="43"/>
      <c r="G572" s="59"/>
      <c r="H572" s="60"/>
      <c r="I572" s="60"/>
      <c r="J572" s="60"/>
      <c r="K572" s="60"/>
      <c r="L572" s="60"/>
      <c r="M572" s="60"/>
      <c r="N572" s="60"/>
      <c r="O572" s="30"/>
      <c r="P572" s="30"/>
      <c r="Q572" s="30"/>
      <c r="R572" s="30"/>
      <c r="S572" s="30"/>
      <c r="T572" s="30"/>
    </row>
    <row r="573" spans="1:20" ht="12.75" customHeight="1" x14ac:dyDescent="0.25">
      <c r="A573" s="342"/>
      <c r="B573" s="30"/>
      <c r="C573" s="30"/>
      <c r="D573" s="141"/>
      <c r="E573" s="42"/>
      <c r="F573" s="43"/>
      <c r="G573" s="59"/>
      <c r="H573" s="60"/>
      <c r="I573" s="60"/>
      <c r="J573" s="60"/>
      <c r="K573" s="60"/>
      <c r="L573" s="60"/>
      <c r="M573" s="60"/>
      <c r="N573" s="60"/>
      <c r="O573" s="30"/>
      <c r="P573" s="30"/>
      <c r="Q573" s="30"/>
      <c r="R573" s="30"/>
      <c r="S573" s="30"/>
      <c r="T573" s="30"/>
    </row>
    <row r="574" spans="1:20" ht="12.75" customHeight="1" x14ac:dyDescent="0.25">
      <c r="A574" s="342"/>
      <c r="B574" s="30"/>
      <c r="C574" s="30"/>
      <c r="D574" s="141"/>
      <c r="E574" s="42"/>
      <c r="F574" s="43"/>
      <c r="G574" s="59"/>
      <c r="H574" s="60"/>
      <c r="I574" s="60"/>
      <c r="J574" s="60"/>
      <c r="K574" s="60"/>
      <c r="L574" s="60"/>
      <c r="M574" s="60"/>
      <c r="N574" s="60"/>
      <c r="O574" s="30"/>
      <c r="P574" s="30"/>
      <c r="Q574" s="30"/>
      <c r="R574" s="30"/>
      <c r="S574" s="30"/>
      <c r="T574" s="30"/>
    </row>
    <row r="575" spans="1:20" ht="12.75" customHeight="1" x14ac:dyDescent="0.25">
      <c r="A575" s="342"/>
      <c r="B575" s="30"/>
      <c r="C575" s="30"/>
      <c r="D575" s="141"/>
      <c r="E575" s="42"/>
      <c r="F575" s="43"/>
      <c r="G575" s="59"/>
      <c r="H575" s="60"/>
      <c r="I575" s="60"/>
      <c r="J575" s="60"/>
      <c r="K575" s="60"/>
      <c r="L575" s="60"/>
      <c r="M575" s="60"/>
      <c r="N575" s="60"/>
      <c r="O575" s="30"/>
      <c r="P575" s="30"/>
      <c r="Q575" s="30"/>
      <c r="R575" s="30"/>
      <c r="S575" s="30"/>
      <c r="T575" s="30"/>
    </row>
    <row r="576" spans="1:20" ht="12.75" customHeight="1" x14ac:dyDescent="0.25">
      <c r="A576" s="342"/>
      <c r="B576" s="30"/>
      <c r="C576" s="30"/>
      <c r="D576" s="141"/>
      <c r="E576" s="42"/>
      <c r="F576" s="43"/>
      <c r="G576" s="59"/>
      <c r="H576" s="60"/>
      <c r="I576" s="60"/>
      <c r="J576" s="60"/>
      <c r="K576" s="60"/>
      <c r="L576" s="60"/>
      <c r="M576" s="60"/>
      <c r="N576" s="60"/>
      <c r="O576" s="30"/>
      <c r="P576" s="30"/>
      <c r="Q576" s="30"/>
      <c r="R576" s="30"/>
      <c r="S576" s="30"/>
      <c r="T576" s="30"/>
    </row>
    <row r="577" spans="1:20" ht="12.75" customHeight="1" x14ac:dyDescent="0.25">
      <c r="A577" s="342"/>
      <c r="B577" s="30"/>
      <c r="C577" s="30"/>
      <c r="D577" s="141"/>
      <c r="E577" s="42"/>
      <c r="F577" s="43"/>
      <c r="G577" s="59"/>
      <c r="H577" s="60"/>
      <c r="I577" s="60"/>
      <c r="J577" s="60"/>
      <c r="K577" s="60"/>
      <c r="L577" s="60"/>
      <c r="M577" s="60"/>
      <c r="N577" s="60"/>
      <c r="O577" s="30"/>
      <c r="P577" s="30"/>
      <c r="Q577" s="30"/>
      <c r="R577" s="30"/>
      <c r="S577" s="30"/>
      <c r="T577" s="30"/>
    </row>
    <row r="578" spans="1:20" ht="12.75" customHeight="1" x14ac:dyDescent="0.25">
      <c r="A578" s="342"/>
      <c r="B578" s="30"/>
      <c r="C578" s="30"/>
      <c r="D578" s="141"/>
      <c r="E578" s="42"/>
      <c r="F578" s="43"/>
      <c r="G578" s="59"/>
      <c r="H578" s="60"/>
      <c r="I578" s="60"/>
      <c r="J578" s="60"/>
      <c r="K578" s="60"/>
      <c r="L578" s="60"/>
      <c r="M578" s="60"/>
      <c r="N578" s="60"/>
      <c r="O578" s="30"/>
      <c r="P578" s="30"/>
      <c r="Q578" s="30"/>
      <c r="R578" s="30"/>
      <c r="S578" s="30"/>
      <c r="T578" s="30"/>
    </row>
    <row r="579" spans="1:20" ht="12.75" customHeight="1" x14ac:dyDescent="0.25">
      <c r="A579" s="342"/>
      <c r="B579" s="30"/>
      <c r="C579" s="30"/>
      <c r="D579" s="141"/>
      <c r="E579" s="42"/>
      <c r="F579" s="43"/>
      <c r="G579" s="59"/>
      <c r="H579" s="60"/>
      <c r="I579" s="60"/>
      <c r="J579" s="60"/>
      <c r="K579" s="60"/>
      <c r="L579" s="60"/>
      <c r="M579" s="60"/>
      <c r="N579" s="60"/>
      <c r="O579" s="30"/>
      <c r="P579" s="30"/>
      <c r="Q579" s="30"/>
      <c r="R579" s="30"/>
      <c r="S579" s="30"/>
      <c r="T579" s="30"/>
    </row>
    <row r="580" spans="1:20" ht="12.75" customHeight="1" x14ac:dyDescent="0.25">
      <c r="A580" s="342"/>
      <c r="B580" s="30"/>
      <c r="C580" s="30"/>
      <c r="D580" s="141"/>
      <c r="E580" s="42"/>
      <c r="F580" s="43"/>
      <c r="G580" s="59"/>
      <c r="H580" s="60"/>
      <c r="I580" s="60"/>
      <c r="J580" s="60"/>
      <c r="K580" s="60"/>
      <c r="L580" s="60"/>
      <c r="M580" s="60"/>
      <c r="N580" s="60"/>
      <c r="O580" s="30"/>
      <c r="P580" s="30"/>
      <c r="Q580" s="30"/>
      <c r="R580" s="30"/>
      <c r="S580" s="30"/>
      <c r="T580" s="30"/>
    </row>
    <row r="581" spans="1:20" ht="12.75" customHeight="1" x14ac:dyDescent="0.25">
      <c r="A581" s="342"/>
      <c r="B581" s="30"/>
      <c r="C581" s="30"/>
      <c r="D581" s="141"/>
      <c r="E581" s="42"/>
      <c r="F581" s="43"/>
      <c r="G581" s="59"/>
      <c r="H581" s="60"/>
      <c r="I581" s="60"/>
      <c r="J581" s="60"/>
      <c r="K581" s="60"/>
      <c r="L581" s="60"/>
      <c r="M581" s="60"/>
      <c r="N581" s="60"/>
      <c r="O581" s="30"/>
      <c r="P581" s="30"/>
      <c r="Q581" s="30"/>
      <c r="R581" s="30"/>
      <c r="S581" s="30"/>
      <c r="T581" s="30"/>
    </row>
    <row r="582" spans="1:20" ht="12.75" customHeight="1" x14ac:dyDescent="0.25">
      <c r="A582" s="342"/>
      <c r="B582" s="30"/>
      <c r="C582" s="30"/>
      <c r="D582" s="141"/>
      <c r="E582" s="42"/>
      <c r="F582" s="43"/>
      <c r="G582" s="59"/>
      <c r="H582" s="60"/>
      <c r="I582" s="60"/>
      <c r="J582" s="60"/>
      <c r="K582" s="60"/>
      <c r="L582" s="60"/>
      <c r="M582" s="60"/>
      <c r="N582" s="60"/>
      <c r="O582" s="30"/>
      <c r="P582" s="30"/>
      <c r="Q582" s="30"/>
      <c r="R582" s="30"/>
      <c r="S582" s="30"/>
      <c r="T582" s="30"/>
    </row>
    <row r="583" spans="1:20" ht="12.75" customHeight="1" x14ac:dyDescent="0.25">
      <c r="A583" s="342"/>
      <c r="B583" s="30"/>
      <c r="C583" s="30"/>
      <c r="D583" s="141"/>
      <c r="E583" s="42"/>
      <c r="F583" s="43"/>
      <c r="G583" s="59"/>
      <c r="H583" s="60"/>
      <c r="I583" s="60"/>
      <c r="J583" s="60"/>
      <c r="K583" s="60"/>
      <c r="L583" s="60"/>
      <c r="M583" s="60"/>
      <c r="N583" s="60"/>
      <c r="O583" s="30"/>
      <c r="P583" s="30"/>
      <c r="Q583" s="30"/>
      <c r="R583" s="30"/>
      <c r="S583" s="30"/>
      <c r="T583" s="30"/>
    </row>
    <row r="584" spans="1:20" ht="12.75" customHeight="1" x14ac:dyDescent="0.25">
      <c r="A584" s="342"/>
      <c r="B584" s="30"/>
      <c r="C584" s="30"/>
      <c r="D584" s="141"/>
      <c r="E584" s="42"/>
      <c r="F584" s="43"/>
      <c r="G584" s="59"/>
      <c r="H584" s="60"/>
      <c r="I584" s="60"/>
      <c r="J584" s="60"/>
      <c r="K584" s="60"/>
      <c r="L584" s="60"/>
      <c r="M584" s="60"/>
      <c r="N584" s="60"/>
      <c r="O584" s="30"/>
      <c r="P584" s="30"/>
      <c r="Q584" s="30"/>
      <c r="R584" s="30"/>
      <c r="S584" s="30"/>
      <c r="T584" s="30"/>
    </row>
    <row r="585" spans="1:20" ht="12.75" customHeight="1" x14ac:dyDescent="0.25">
      <c r="A585" s="342"/>
      <c r="B585" s="30"/>
      <c r="C585" s="30"/>
      <c r="D585" s="141"/>
      <c r="E585" s="42"/>
      <c r="F585" s="43"/>
      <c r="G585" s="59"/>
      <c r="H585" s="60"/>
      <c r="I585" s="60"/>
      <c r="J585" s="60"/>
      <c r="K585" s="60"/>
      <c r="L585" s="60"/>
      <c r="M585" s="60"/>
      <c r="N585" s="60"/>
      <c r="O585" s="30"/>
      <c r="P585" s="30"/>
      <c r="Q585" s="30"/>
      <c r="R585" s="30"/>
      <c r="S585" s="30"/>
      <c r="T585" s="30"/>
    </row>
    <row r="586" spans="1:20" ht="12.75" customHeight="1" x14ac:dyDescent="0.25">
      <c r="A586" s="342"/>
      <c r="B586" s="30"/>
      <c r="C586" s="30"/>
      <c r="D586" s="141"/>
      <c r="E586" s="42"/>
      <c r="F586" s="43"/>
      <c r="G586" s="59"/>
      <c r="H586" s="60"/>
      <c r="I586" s="60"/>
      <c r="J586" s="60"/>
      <c r="K586" s="60"/>
      <c r="L586" s="60"/>
      <c r="M586" s="60"/>
      <c r="N586" s="60"/>
      <c r="O586" s="30"/>
      <c r="P586" s="30"/>
      <c r="Q586" s="30"/>
      <c r="R586" s="30"/>
      <c r="S586" s="30"/>
      <c r="T586" s="30"/>
    </row>
    <row r="587" spans="1:20" ht="12.75" customHeight="1" x14ac:dyDescent="0.25">
      <c r="A587" s="342"/>
      <c r="B587" s="30"/>
      <c r="C587" s="30"/>
      <c r="D587" s="141"/>
      <c r="E587" s="42"/>
      <c r="F587" s="43"/>
      <c r="G587" s="59"/>
      <c r="H587" s="60"/>
      <c r="I587" s="60"/>
      <c r="J587" s="60"/>
      <c r="K587" s="60"/>
      <c r="L587" s="60"/>
      <c r="M587" s="60"/>
      <c r="N587" s="60"/>
      <c r="O587" s="30"/>
      <c r="P587" s="30"/>
      <c r="Q587" s="30"/>
      <c r="R587" s="30"/>
      <c r="S587" s="30"/>
      <c r="T587" s="30"/>
    </row>
    <row r="588" spans="1:20" ht="12.75" customHeight="1" x14ac:dyDescent="0.25">
      <c r="A588" s="342"/>
      <c r="B588" s="30"/>
      <c r="C588" s="30"/>
      <c r="D588" s="141"/>
      <c r="E588" s="42"/>
      <c r="F588" s="43"/>
      <c r="G588" s="59"/>
      <c r="H588" s="60"/>
      <c r="I588" s="60"/>
      <c r="J588" s="60"/>
      <c r="K588" s="60"/>
      <c r="L588" s="60"/>
      <c r="M588" s="60"/>
      <c r="N588" s="60"/>
      <c r="O588" s="30"/>
      <c r="P588" s="30"/>
      <c r="Q588" s="30"/>
      <c r="R588" s="30"/>
      <c r="S588" s="30"/>
      <c r="T588" s="30"/>
    </row>
    <row r="589" spans="1:20" ht="12.75" customHeight="1" x14ac:dyDescent="0.25">
      <c r="A589" s="342"/>
      <c r="B589" s="30"/>
      <c r="C589" s="30"/>
      <c r="D589" s="141"/>
      <c r="E589" s="42"/>
      <c r="F589" s="43"/>
      <c r="G589" s="59"/>
      <c r="H589" s="60"/>
      <c r="I589" s="60"/>
      <c r="J589" s="60"/>
      <c r="K589" s="60"/>
      <c r="L589" s="60"/>
      <c r="M589" s="60"/>
      <c r="N589" s="60"/>
      <c r="O589" s="30"/>
      <c r="P589" s="30"/>
      <c r="Q589" s="30"/>
      <c r="R589" s="30"/>
      <c r="S589" s="30"/>
      <c r="T589" s="30"/>
    </row>
    <row r="590" spans="1:20" ht="12.75" customHeight="1" x14ac:dyDescent="0.25">
      <c r="A590" s="342"/>
      <c r="B590" s="30"/>
      <c r="C590" s="30"/>
      <c r="D590" s="141"/>
      <c r="E590" s="42"/>
      <c r="F590" s="43"/>
      <c r="G590" s="59"/>
      <c r="H590" s="60"/>
      <c r="I590" s="60"/>
      <c r="J590" s="60"/>
      <c r="K590" s="60"/>
      <c r="L590" s="60"/>
      <c r="M590" s="60"/>
      <c r="N590" s="60"/>
      <c r="O590" s="30"/>
      <c r="P590" s="30"/>
      <c r="Q590" s="30"/>
      <c r="R590" s="30"/>
      <c r="S590" s="30"/>
      <c r="T590" s="30"/>
    </row>
    <row r="591" spans="1:20" ht="12.75" customHeight="1" x14ac:dyDescent="0.25">
      <c r="A591" s="342"/>
      <c r="B591" s="30"/>
      <c r="C591" s="30"/>
      <c r="D591" s="141"/>
      <c r="E591" s="42"/>
      <c r="F591" s="43"/>
      <c r="G591" s="59"/>
      <c r="H591" s="60"/>
      <c r="I591" s="60"/>
      <c r="J591" s="60"/>
      <c r="K591" s="60"/>
      <c r="L591" s="60"/>
      <c r="M591" s="60"/>
      <c r="N591" s="60"/>
      <c r="O591" s="30"/>
      <c r="P591" s="30"/>
      <c r="Q591" s="30"/>
      <c r="R591" s="30"/>
      <c r="S591" s="30"/>
      <c r="T591" s="30"/>
    </row>
    <row r="592" spans="1:20" ht="12.75" customHeight="1" x14ac:dyDescent="0.25">
      <c r="A592" s="342"/>
      <c r="B592" s="30"/>
      <c r="C592" s="30"/>
      <c r="D592" s="141"/>
      <c r="E592" s="42"/>
      <c r="F592" s="43"/>
      <c r="G592" s="59"/>
      <c r="H592" s="60"/>
      <c r="I592" s="60"/>
      <c r="J592" s="60"/>
      <c r="K592" s="60"/>
      <c r="L592" s="60"/>
      <c r="M592" s="60"/>
      <c r="N592" s="60"/>
      <c r="O592" s="30"/>
      <c r="P592" s="30"/>
      <c r="Q592" s="30"/>
      <c r="R592" s="30"/>
      <c r="S592" s="30"/>
      <c r="T592" s="30"/>
    </row>
    <row r="593" spans="1:20" ht="12.75" customHeight="1" x14ac:dyDescent="0.25">
      <c r="A593" s="342"/>
      <c r="B593" s="30"/>
      <c r="C593" s="30"/>
      <c r="D593" s="141"/>
      <c r="E593" s="42"/>
      <c r="F593" s="43"/>
      <c r="G593" s="59"/>
      <c r="H593" s="60"/>
      <c r="I593" s="60"/>
      <c r="J593" s="60"/>
      <c r="K593" s="60"/>
      <c r="L593" s="60"/>
      <c r="M593" s="60"/>
      <c r="N593" s="60"/>
      <c r="O593" s="30"/>
      <c r="P593" s="30"/>
      <c r="Q593" s="30"/>
      <c r="R593" s="30"/>
      <c r="S593" s="30"/>
      <c r="T593" s="30"/>
    </row>
    <row r="594" spans="1:20" ht="12.75" customHeight="1" x14ac:dyDescent="0.25">
      <c r="A594" s="342"/>
      <c r="B594" s="30"/>
      <c r="C594" s="30"/>
      <c r="D594" s="141"/>
      <c r="E594" s="42"/>
      <c r="F594" s="43"/>
      <c r="G594" s="59"/>
      <c r="H594" s="60"/>
      <c r="I594" s="60"/>
      <c r="J594" s="60"/>
      <c r="K594" s="60"/>
      <c r="L594" s="60"/>
      <c r="M594" s="60"/>
      <c r="N594" s="60"/>
      <c r="O594" s="30"/>
      <c r="P594" s="30"/>
      <c r="Q594" s="30"/>
      <c r="R594" s="30"/>
      <c r="S594" s="30"/>
      <c r="T594" s="30"/>
    </row>
    <row r="595" spans="1:20" ht="12.75" customHeight="1" x14ac:dyDescent="0.25">
      <c r="A595" s="342"/>
      <c r="B595" s="30"/>
      <c r="C595" s="30"/>
      <c r="D595" s="141"/>
      <c r="E595" s="42"/>
      <c r="F595" s="43"/>
      <c r="G595" s="59"/>
      <c r="H595" s="60"/>
      <c r="I595" s="60"/>
      <c r="J595" s="60"/>
      <c r="K595" s="60"/>
      <c r="L595" s="60"/>
      <c r="M595" s="60"/>
      <c r="N595" s="60"/>
      <c r="O595" s="30"/>
      <c r="P595" s="30"/>
      <c r="Q595" s="30"/>
      <c r="R595" s="30"/>
      <c r="S595" s="30"/>
      <c r="T595" s="30"/>
    </row>
    <row r="596" spans="1:20" ht="12.75" customHeight="1" x14ac:dyDescent="0.25">
      <c r="A596" s="342"/>
      <c r="B596" s="30"/>
      <c r="C596" s="30"/>
      <c r="D596" s="141"/>
      <c r="E596" s="42"/>
      <c r="F596" s="43"/>
      <c r="G596" s="59"/>
      <c r="H596" s="60"/>
      <c r="I596" s="60"/>
      <c r="J596" s="60"/>
      <c r="K596" s="60"/>
      <c r="L596" s="60"/>
      <c r="M596" s="60"/>
      <c r="N596" s="60"/>
      <c r="O596" s="30"/>
      <c r="P596" s="30"/>
      <c r="Q596" s="30"/>
      <c r="R596" s="30"/>
      <c r="S596" s="30"/>
      <c r="T596" s="30"/>
    </row>
    <row r="597" spans="1:20" ht="12.75" customHeight="1" x14ac:dyDescent="0.25">
      <c r="A597" s="342"/>
      <c r="B597" s="30"/>
      <c r="C597" s="30"/>
      <c r="D597" s="141"/>
      <c r="E597" s="42"/>
      <c r="F597" s="43"/>
      <c r="G597" s="59"/>
      <c r="H597" s="60"/>
      <c r="I597" s="60"/>
      <c r="J597" s="60"/>
      <c r="K597" s="60"/>
      <c r="L597" s="60"/>
      <c r="M597" s="60"/>
      <c r="N597" s="60"/>
      <c r="O597" s="30"/>
      <c r="P597" s="30"/>
      <c r="Q597" s="30"/>
      <c r="R597" s="30"/>
      <c r="S597" s="30"/>
      <c r="T597" s="30"/>
    </row>
    <row r="598" spans="1:20" ht="12.75" customHeight="1" x14ac:dyDescent="0.25">
      <c r="A598" s="342"/>
      <c r="B598" s="30"/>
      <c r="C598" s="30"/>
      <c r="D598" s="141"/>
      <c r="E598" s="42"/>
      <c r="F598" s="43"/>
      <c r="G598" s="59"/>
      <c r="H598" s="60"/>
      <c r="I598" s="60"/>
      <c r="J598" s="60"/>
      <c r="K598" s="60"/>
      <c r="L598" s="60"/>
      <c r="M598" s="60"/>
      <c r="N598" s="60"/>
      <c r="O598" s="30"/>
      <c r="P598" s="30"/>
      <c r="Q598" s="30"/>
      <c r="R598" s="30"/>
      <c r="S598" s="30"/>
      <c r="T598" s="30"/>
    </row>
    <row r="599" spans="1:20" ht="12.75" customHeight="1" x14ac:dyDescent="0.25">
      <c r="A599" s="342"/>
      <c r="B599" s="30"/>
      <c r="C599" s="30"/>
      <c r="D599" s="141"/>
      <c r="E599" s="42"/>
      <c r="F599" s="43"/>
      <c r="G599" s="59"/>
      <c r="H599" s="60"/>
      <c r="I599" s="60"/>
      <c r="J599" s="60"/>
      <c r="K599" s="60"/>
      <c r="L599" s="60"/>
      <c r="M599" s="60"/>
      <c r="N599" s="60"/>
      <c r="O599" s="30"/>
      <c r="P599" s="30"/>
      <c r="Q599" s="30"/>
      <c r="R599" s="30"/>
      <c r="S599" s="30"/>
      <c r="T599" s="30"/>
    </row>
    <row r="600" spans="1:20" ht="12.75" customHeight="1" x14ac:dyDescent="0.25">
      <c r="A600" s="342"/>
      <c r="B600" s="30"/>
      <c r="C600" s="30"/>
      <c r="D600" s="141"/>
      <c r="E600" s="42"/>
      <c r="F600" s="43"/>
      <c r="G600" s="59"/>
      <c r="H600" s="60"/>
      <c r="I600" s="60"/>
      <c r="J600" s="60"/>
      <c r="K600" s="60"/>
      <c r="L600" s="60"/>
      <c r="M600" s="60"/>
      <c r="N600" s="60"/>
      <c r="O600" s="30"/>
      <c r="P600" s="30"/>
      <c r="Q600" s="30"/>
      <c r="R600" s="30"/>
      <c r="S600" s="30"/>
      <c r="T600" s="30"/>
    </row>
    <row r="601" spans="1:20" ht="12.75" customHeight="1" x14ac:dyDescent="0.25">
      <c r="A601" s="342"/>
      <c r="B601" s="30"/>
      <c r="C601" s="30"/>
      <c r="D601" s="141"/>
      <c r="E601" s="42"/>
      <c r="F601" s="43"/>
      <c r="G601" s="59"/>
      <c r="H601" s="60"/>
      <c r="I601" s="60"/>
      <c r="J601" s="60"/>
      <c r="K601" s="60"/>
      <c r="L601" s="60"/>
      <c r="M601" s="60"/>
      <c r="N601" s="60"/>
      <c r="O601" s="30"/>
      <c r="P601" s="30"/>
      <c r="Q601" s="30"/>
      <c r="R601" s="30"/>
      <c r="S601" s="30"/>
      <c r="T601" s="30"/>
    </row>
    <row r="602" spans="1:20" ht="12.75" customHeight="1" x14ac:dyDescent="0.25">
      <c r="A602" s="342"/>
      <c r="B602" s="30"/>
      <c r="C602" s="30"/>
      <c r="D602" s="141"/>
      <c r="E602" s="42"/>
      <c r="F602" s="43"/>
      <c r="G602" s="59"/>
      <c r="H602" s="60"/>
      <c r="I602" s="60"/>
      <c r="J602" s="60"/>
      <c r="K602" s="60"/>
      <c r="L602" s="60"/>
      <c r="M602" s="60"/>
      <c r="N602" s="60"/>
      <c r="O602" s="30"/>
      <c r="P602" s="30"/>
      <c r="Q602" s="30"/>
      <c r="R602" s="30"/>
      <c r="S602" s="30"/>
      <c r="T602" s="30"/>
    </row>
    <row r="603" spans="1:20" ht="12.75" customHeight="1" x14ac:dyDescent="0.25">
      <c r="A603" s="342"/>
      <c r="B603" s="30"/>
      <c r="C603" s="30"/>
      <c r="D603" s="141"/>
      <c r="E603" s="42"/>
      <c r="F603" s="43"/>
      <c r="G603" s="59"/>
      <c r="H603" s="60"/>
      <c r="I603" s="60"/>
      <c r="J603" s="60"/>
      <c r="K603" s="60"/>
      <c r="L603" s="60"/>
      <c r="M603" s="60"/>
      <c r="N603" s="60"/>
      <c r="O603" s="30"/>
      <c r="P603" s="30"/>
      <c r="Q603" s="30"/>
      <c r="R603" s="30"/>
      <c r="S603" s="30"/>
      <c r="T603" s="30"/>
    </row>
    <row r="604" spans="1:20" ht="12.75" customHeight="1" x14ac:dyDescent="0.25">
      <c r="A604" s="342"/>
      <c r="B604" s="30"/>
      <c r="C604" s="30"/>
      <c r="D604" s="141"/>
      <c r="E604" s="42"/>
      <c r="F604" s="43"/>
      <c r="G604" s="59"/>
      <c r="H604" s="60"/>
      <c r="I604" s="60"/>
      <c r="J604" s="60"/>
      <c r="K604" s="60"/>
      <c r="L604" s="60"/>
      <c r="M604" s="60"/>
      <c r="N604" s="60"/>
      <c r="O604" s="30"/>
      <c r="P604" s="30"/>
      <c r="Q604" s="30"/>
      <c r="R604" s="30"/>
      <c r="S604" s="30"/>
      <c r="T604" s="30"/>
    </row>
    <row r="605" spans="1:20" ht="12.75" customHeight="1" x14ac:dyDescent="0.25">
      <c r="A605" s="342"/>
      <c r="B605" s="30"/>
      <c r="C605" s="30"/>
      <c r="D605" s="141"/>
      <c r="E605" s="42"/>
      <c r="F605" s="43"/>
      <c r="G605" s="59"/>
      <c r="H605" s="60"/>
      <c r="I605" s="60"/>
      <c r="J605" s="60"/>
      <c r="K605" s="60"/>
      <c r="L605" s="60"/>
      <c r="M605" s="60"/>
      <c r="N605" s="60"/>
      <c r="O605" s="30"/>
      <c r="P605" s="30"/>
      <c r="Q605" s="30"/>
      <c r="R605" s="30"/>
      <c r="S605" s="30"/>
      <c r="T605" s="30"/>
    </row>
    <row r="606" spans="1:20" ht="12.75" customHeight="1" x14ac:dyDescent="0.25">
      <c r="A606" s="342"/>
      <c r="B606" s="30"/>
      <c r="C606" s="30"/>
      <c r="D606" s="141"/>
      <c r="E606" s="42"/>
      <c r="F606" s="43"/>
      <c r="G606" s="59"/>
      <c r="H606" s="60"/>
      <c r="I606" s="60"/>
      <c r="J606" s="60"/>
      <c r="K606" s="60"/>
      <c r="L606" s="60"/>
      <c r="M606" s="60"/>
      <c r="N606" s="60"/>
      <c r="O606" s="30"/>
      <c r="P606" s="30"/>
      <c r="Q606" s="30"/>
      <c r="R606" s="30"/>
      <c r="S606" s="30"/>
      <c r="T606" s="30"/>
    </row>
    <row r="607" spans="1:20" ht="12.75" customHeight="1" x14ac:dyDescent="0.25">
      <c r="A607" s="342"/>
      <c r="B607" s="30"/>
      <c r="C607" s="30"/>
      <c r="D607" s="141"/>
      <c r="E607" s="42"/>
      <c r="F607" s="43"/>
      <c r="G607" s="59"/>
      <c r="H607" s="60"/>
      <c r="I607" s="60"/>
      <c r="J607" s="60"/>
      <c r="K607" s="60"/>
      <c r="L607" s="60"/>
      <c r="M607" s="60"/>
      <c r="N607" s="60"/>
      <c r="O607" s="30"/>
      <c r="P607" s="30"/>
      <c r="Q607" s="30"/>
      <c r="R607" s="30"/>
      <c r="S607" s="30"/>
      <c r="T607" s="30"/>
    </row>
    <row r="608" spans="1:20" ht="12.75" customHeight="1" x14ac:dyDescent="0.25">
      <c r="A608" s="342"/>
      <c r="B608" s="30"/>
      <c r="C608" s="30"/>
      <c r="D608" s="141"/>
      <c r="E608" s="42"/>
      <c r="F608" s="43"/>
      <c r="G608" s="59"/>
      <c r="H608" s="60"/>
      <c r="I608" s="60"/>
      <c r="J608" s="60"/>
      <c r="K608" s="60"/>
      <c r="L608" s="60"/>
      <c r="M608" s="60"/>
      <c r="N608" s="60"/>
      <c r="O608" s="30"/>
      <c r="P608" s="30"/>
      <c r="Q608" s="30"/>
      <c r="R608" s="30"/>
      <c r="S608" s="30"/>
      <c r="T608" s="30"/>
    </row>
    <row r="609" spans="1:20" ht="12.75" customHeight="1" x14ac:dyDescent="0.25">
      <c r="A609" s="342"/>
      <c r="B609" s="30"/>
      <c r="C609" s="30"/>
      <c r="D609" s="141"/>
      <c r="E609" s="42"/>
      <c r="F609" s="43"/>
      <c r="G609" s="59"/>
      <c r="H609" s="60"/>
      <c r="I609" s="60"/>
      <c r="J609" s="60"/>
      <c r="K609" s="60"/>
      <c r="L609" s="60"/>
      <c r="M609" s="60"/>
      <c r="N609" s="60"/>
      <c r="O609" s="30"/>
      <c r="P609" s="30"/>
      <c r="Q609" s="30"/>
      <c r="R609" s="30"/>
      <c r="S609" s="30"/>
      <c r="T609" s="30"/>
    </row>
    <row r="610" spans="1:20" ht="12.75" customHeight="1" x14ac:dyDescent="0.25">
      <c r="A610" s="342"/>
      <c r="B610" s="30"/>
      <c r="C610" s="30"/>
      <c r="D610" s="141"/>
      <c r="E610" s="42"/>
      <c r="F610" s="43"/>
      <c r="G610" s="59"/>
      <c r="H610" s="60"/>
      <c r="I610" s="60"/>
      <c r="J610" s="60"/>
      <c r="K610" s="60"/>
      <c r="L610" s="60"/>
      <c r="M610" s="60"/>
      <c r="N610" s="60"/>
      <c r="O610" s="30"/>
      <c r="P610" s="30"/>
      <c r="Q610" s="30"/>
      <c r="R610" s="30"/>
      <c r="S610" s="30"/>
      <c r="T610" s="30"/>
    </row>
    <row r="611" spans="1:20" ht="12.75" customHeight="1" x14ac:dyDescent="0.25">
      <c r="A611" s="342"/>
      <c r="B611" s="30"/>
      <c r="C611" s="30"/>
      <c r="D611" s="141"/>
      <c r="E611" s="42"/>
      <c r="F611" s="43"/>
      <c r="G611" s="59"/>
      <c r="H611" s="60"/>
      <c r="I611" s="60"/>
      <c r="J611" s="60"/>
      <c r="K611" s="60"/>
      <c r="L611" s="60"/>
      <c r="M611" s="60"/>
      <c r="N611" s="60"/>
      <c r="O611" s="30"/>
      <c r="P611" s="30"/>
      <c r="Q611" s="30"/>
      <c r="R611" s="30"/>
      <c r="S611" s="30"/>
      <c r="T611" s="30"/>
    </row>
    <row r="612" spans="1:20" ht="12.75" customHeight="1" x14ac:dyDescent="0.25">
      <c r="A612" s="342"/>
      <c r="B612" s="30"/>
      <c r="C612" s="30"/>
      <c r="D612" s="141"/>
      <c r="E612" s="42"/>
      <c r="F612" s="43"/>
      <c r="G612" s="59"/>
      <c r="H612" s="60"/>
      <c r="I612" s="60"/>
      <c r="J612" s="60"/>
      <c r="K612" s="60"/>
      <c r="L612" s="60"/>
      <c r="M612" s="60"/>
      <c r="N612" s="60"/>
      <c r="O612" s="30"/>
      <c r="P612" s="30"/>
      <c r="Q612" s="30"/>
      <c r="R612" s="30"/>
      <c r="S612" s="30"/>
      <c r="T612" s="30"/>
    </row>
    <row r="613" spans="1:20" ht="12.75" customHeight="1" x14ac:dyDescent="0.25">
      <c r="A613" s="342"/>
      <c r="B613" s="30"/>
      <c r="C613" s="30"/>
      <c r="D613" s="141"/>
      <c r="E613" s="42"/>
      <c r="F613" s="43"/>
      <c r="G613" s="59"/>
      <c r="H613" s="60"/>
      <c r="I613" s="60"/>
      <c r="J613" s="60"/>
      <c r="K613" s="60"/>
      <c r="L613" s="60"/>
      <c r="M613" s="60"/>
      <c r="N613" s="60"/>
      <c r="O613" s="30"/>
      <c r="P613" s="30"/>
      <c r="Q613" s="30"/>
      <c r="R613" s="30"/>
      <c r="S613" s="30"/>
      <c r="T613" s="30"/>
    </row>
    <row r="614" spans="1:20" ht="12.75" customHeight="1" x14ac:dyDescent="0.25">
      <c r="A614" s="342"/>
      <c r="B614" s="30"/>
      <c r="C614" s="30"/>
      <c r="D614" s="141"/>
      <c r="E614" s="42"/>
      <c r="F614" s="43"/>
      <c r="G614" s="59"/>
      <c r="H614" s="60"/>
      <c r="I614" s="60"/>
      <c r="J614" s="60"/>
      <c r="K614" s="60"/>
      <c r="L614" s="60"/>
      <c r="M614" s="60"/>
      <c r="N614" s="60"/>
      <c r="O614" s="30"/>
      <c r="P614" s="30"/>
      <c r="Q614" s="30"/>
      <c r="R614" s="30"/>
      <c r="S614" s="30"/>
      <c r="T614" s="30"/>
    </row>
    <row r="615" spans="1:20" ht="12.75" customHeight="1" x14ac:dyDescent="0.25">
      <c r="A615" s="342"/>
      <c r="B615" s="30"/>
      <c r="C615" s="30"/>
      <c r="D615" s="141"/>
      <c r="E615" s="42"/>
      <c r="F615" s="43"/>
      <c r="G615" s="59"/>
      <c r="H615" s="60"/>
      <c r="I615" s="60"/>
      <c r="J615" s="60"/>
      <c r="K615" s="60"/>
      <c r="L615" s="60"/>
      <c r="M615" s="60"/>
      <c r="N615" s="60"/>
      <c r="O615" s="30"/>
      <c r="P615" s="30"/>
      <c r="Q615" s="30"/>
      <c r="R615" s="30"/>
      <c r="S615" s="30"/>
      <c r="T615" s="30"/>
    </row>
    <row r="616" spans="1:20" ht="12.75" customHeight="1" x14ac:dyDescent="0.25">
      <c r="A616" s="342"/>
      <c r="B616" s="30"/>
      <c r="C616" s="30"/>
      <c r="D616" s="141"/>
      <c r="E616" s="42"/>
      <c r="F616" s="43"/>
      <c r="G616" s="59"/>
      <c r="H616" s="60"/>
      <c r="I616" s="60"/>
      <c r="J616" s="60"/>
      <c r="K616" s="60"/>
      <c r="L616" s="60"/>
      <c r="M616" s="60"/>
      <c r="N616" s="60"/>
      <c r="O616" s="30"/>
      <c r="P616" s="30"/>
      <c r="Q616" s="30"/>
      <c r="R616" s="30"/>
      <c r="S616" s="30"/>
      <c r="T616" s="30"/>
    </row>
    <row r="617" spans="1:20" ht="12.75" customHeight="1" x14ac:dyDescent="0.25">
      <c r="A617" s="342"/>
      <c r="B617" s="30"/>
      <c r="C617" s="30"/>
      <c r="D617" s="141"/>
      <c r="E617" s="42"/>
      <c r="F617" s="43"/>
      <c r="G617" s="59"/>
      <c r="H617" s="60"/>
      <c r="I617" s="60"/>
      <c r="J617" s="60"/>
      <c r="K617" s="60"/>
      <c r="L617" s="60"/>
      <c r="M617" s="60"/>
      <c r="N617" s="60"/>
      <c r="O617" s="30"/>
      <c r="P617" s="30"/>
      <c r="Q617" s="30"/>
      <c r="R617" s="30"/>
      <c r="S617" s="30"/>
      <c r="T617" s="30"/>
    </row>
    <row r="618" spans="1:20" ht="12.75" customHeight="1" x14ac:dyDescent="0.25">
      <c r="A618" s="342"/>
      <c r="B618" s="30"/>
      <c r="C618" s="30"/>
      <c r="D618" s="141"/>
      <c r="E618" s="42"/>
      <c r="F618" s="43"/>
      <c r="G618" s="59"/>
      <c r="H618" s="60"/>
      <c r="I618" s="60"/>
      <c r="J618" s="60"/>
      <c r="K618" s="60"/>
      <c r="L618" s="60"/>
      <c r="M618" s="60"/>
      <c r="N618" s="60"/>
      <c r="O618" s="30"/>
      <c r="P618" s="30"/>
      <c r="Q618" s="30"/>
      <c r="R618" s="30"/>
      <c r="S618" s="30"/>
      <c r="T618" s="30"/>
    </row>
    <row r="619" spans="1:20" ht="12.75" customHeight="1" x14ac:dyDescent="0.25">
      <c r="A619" s="342"/>
      <c r="B619" s="30"/>
      <c r="C619" s="30"/>
      <c r="D619" s="141"/>
      <c r="E619" s="42"/>
      <c r="F619" s="43"/>
      <c r="G619" s="59"/>
      <c r="H619" s="60"/>
      <c r="I619" s="60"/>
      <c r="J619" s="60"/>
      <c r="K619" s="60"/>
      <c r="L619" s="60"/>
      <c r="M619" s="60"/>
      <c r="N619" s="60"/>
      <c r="O619" s="30"/>
      <c r="P619" s="30"/>
      <c r="Q619" s="30"/>
      <c r="R619" s="30"/>
      <c r="S619" s="30"/>
      <c r="T619" s="30"/>
    </row>
    <row r="620" spans="1:20" ht="12.75" customHeight="1" x14ac:dyDescent="0.25">
      <c r="A620" s="342"/>
      <c r="B620" s="30"/>
      <c r="C620" s="30"/>
      <c r="D620" s="141"/>
      <c r="E620" s="42"/>
      <c r="F620" s="43"/>
      <c r="G620" s="59"/>
      <c r="H620" s="60"/>
      <c r="I620" s="60"/>
      <c r="J620" s="60"/>
      <c r="K620" s="60"/>
      <c r="L620" s="60"/>
      <c r="M620" s="60"/>
      <c r="N620" s="60"/>
      <c r="O620" s="30"/>
      <c r="P620" s="30"/>
      <c r="Q620" s="30"/>
      <c r="R620" s="30"/>
      <c r="S620" s="30"/>
      <c r="T620" s="30"/>
    </row>
    <row r="621" spans="1:20" ht="12.75" customHeight="1" x14ac:dyDescent="0.25">
      <c r="A621" s="342"/>
      <c r="B621" s="30"/>
      <c r="C621" s="30"/>
      <c r="D621" s="141"/>
      <c r="E621" s="42"/>
      <c r="F621" s="43"/>
      <c r="G621" s="59"/>
      <c r="H621" s="60"/>
      <c r="I621" s="60"/>
      <c r="J621" s="60"/>
      <c r="K621" s="60"/>
      <c r="L621" s="60"/>
      <c r="M621" s="60"/>
      <c r="N621" s="60"/>
      <c r="O621" s="30"/>
      <c r="P621" s="30"/>
      <c r="Q621" s="30"/>
      <c r="R621" s="30"/>
      <c r="S621" s="30"/>
      <c r="T621" s="30"/>
    </row>
    <row r="622" spans="1:20" ht="12.75" customHeight="1" x14ac:dyDescent="0.25">
      <c r="A622" s="342"/>
      <c r="B622" s="30"/>
      <c r="C622" s="30"/>
      <c r="D622" s="141"/>
      <c r="E622" s="42"/>
      <c r="F622" s="43"/>
      <c r="G622" s="59"/>
      <c r="H622" s="60"/>
      <c r="I622" s="60"/>
      <c r="J622" s="60"/>
      <c r="K622" s="60"/>
      <c r="L622" s="60"/>
      <c r="M622" s="60"/>
      <c r="N622" s="60"/>
      <c r="O622" s="30"/>
      <c r="P622" s="30"/>
      <c r="Q622" s="30"/>
      <c r="R622" s="30"/>
      <c r="S622" s="30"/>
      <c r="T622" s="30"/>
    </row>
    <row r="623" spans="1:20" ht="12.75" customHeight="1" x14ac:dyDescent="0.25">
      <c r="A623" s="342"/>
      <c r="B623" s="30"/>
      <c r="C623" s="30"/>
      <c r="D623" s="141"/>
      <c r="E623" s="42"/>
      <c r="F623" s="43"/>
      <c r="G623" s="59"/>
      <c r="H623" s="60"/>
      <c r="I623" s="60"/>
      <c r="J623" s="60"/>
      <c r="K623" s="60"/>
      <c r="L623" s="60"/>
      <c r="M623" s="60"/>
      <c r="N623" s="60"/>
      <c r="O623" s="30"/>
      <c r="P623" s="30"/>
      <c r="Q623" s="30"/>
      <c r="R623" s="30"/>
      <c r="S623" s="30"/>
      <c r="T623" s="30"/>
    </row>
    <row r="624" spans="1:20" ht="12.75" customHeight="1" x14ac:dyDescent="0.25">
      <c r="A624" s="342"/>
      <c r="B624" s="30"/>
      <c r="C624" s="30"/>
      <c r="D624" s="141"/>
      <c r="E624" s="42"/>
      <c r="F624" s="43"/>
      <c r="G624" s="59"/>
      <c r="H624" s="60"/>
      <c r="I624" s="60"/>
      <c r="J624" s="60"/>
      <c r="K624" s="60"/>
      <c r="L624" s="60"/>
      <c r="M624" s="60"/>
      <c r="N624" s="60"/>
      <c r="O624" s="30"/>
      <c r="P624" s="30"/>
      <c r="Q624" s="30"/>
      <c r="R624" s="30"/>
      <c r="S624" s="30"/>
      <c r="T624" s="30"/>
    </row>
    <row r="625" spans="1:20" ht="12.75" customHeight="1" x14ac:dyDescent="0.25">
      <c r="A625" s="342"/>
      <c r="B625" s="30"/>
      <c r="C625" s="30"/>
      <c r="D625" s="141"/>
      <c r="E625" s="42"/>
      <c r="F625" s="43"/>
      <c r="G625" s="59"/>
      <c r="H625" s="60"/>
      <c r="I625" s="60"/>
      <c r="J625" s="60"/>
      <c r="K625" s="60"/>
      <c r="L625" s="60"/>
      <c r="M625" s="60"/>
      <c r="N625" s="60"/>
      <c r="O625" s="30"/>
      <c r="P625" s="30"/>
      <c r="Q625" s="30"/>
      <c r="R625" s="30"/>
      <c r="S625" s="30"/>
      <c r="T625" s="30"/>
    </row>
    <row r="626" spans="1:20" ht="12.75" customHeight="1" x14ac:dyDescent="0.25">
      <c r="A626" s="342"/>
      <c r="B626" s="30"/>
      <c r="C626" s="30"/>
      <c r="D626" s="141"/>
      <c r="E626" s="42"/>
      <c r="F626" s="43"/>
      <c r="G626" s="59"/>
      <c r="H626" s="60"/>
      <c r="I626" s="60"/>
      <c r="J626" s="60"/>
      <c r="K626" s="60"/>
      <c r="L626" s="60"/>
      <c r="M626" s="60"/>
      <c r="N626" s="60"/>
      <c r="O626" s="30"/>
      <c r="P626" s="30"/>
      <c r="Q626" s="30"/>
      <c r="R626" s="30"/>
      <c r="S626" s="30"/>
      <c r="T626" s="30"/>
    </row>
    <row r="627" spans="1:20" ht="12.75" customHeight="1" x14ac:dyDescent="0.25">
      <c r="A627" s="342"/>
      <c r="B627" s="30"/>
      <c r="C627" s="30"/>
      <c r="D627" s="141"/>
      <c r="E627" s="42"/>
      <c r="F627" s="43"/>
      <c r="G627" s="59"/>
      <c r="H627" s="60"/>
      <c r="I627" s="60"/>
      <c r="J627" s="60"/>
      <c r="K627" s="60"/>
      <c r="L627" s="60"/>
      <c r="M627" s="60"/>
      <c r="N627" s="60"/>
      <c r="O627" s="30"/>
      <c r="P627" s="30"/>
      <c r="Q627" s="30"/>
      <c r="R627" s="30"/>
      <c r="S627" s="30"/>
      <c r="T627" s="30"/>
    </row>
    <row r="628" spans="1:20" ht="12.75" customHeight="1" x14ac:dyDescent="0.25">
      <c r="A628" s="342"/>
      <c r="B628" s="30"/>
      <c r="C628" s="30"/>
      <c r="D628" s="141"/>
      <c r="E628" s="42"/>
      <c r="F628" s="43"/>
      <c r="G628" s="59"/>
      <c r="H628" s="60"/>
      <c r="I628" s="60"/>
      <c r="J628" s="60"/>
      <c r="K628" s="60"/>
      <c r="L628" s="60"/>
      <c r="M628" s="60"/>
      <c r="N628" s="60"/>
      <c r="O628" s="30"/>
      <c r="P628" s="30"/>
      <c r="Q628" s="30"/>
      <c r="R628" s="30"/>
      <c r="S628" s="30"/>
      <c r="T628" s="30"/>
    </row>
    <row r="629" spans="1:20" ht="12.75" customHeight="1" x14ac:dyDescent="0.25">
      <c r="A629" s="342"/>
      <c r="B629" s="30"/>
      <c r="C629" s="30"/>
      <c r="D629" s="141"/>
      <c r="E629" s="42"/>
      <c r="F629" s="43"/>
      <c r="G629" s="59"/>
      <c r="H629" s="60"/>
      <c r="I629" s="60"/>
      <c r="J629" s="60"/>
      <c r="K629" s="60"/>
      <c r="L629" s="60"/>
      <c r="M629" s="60"/>
      <c r="N629" s="60"/>
      <c r="O629" s="30"/>
      <c r="P629" s="30"/>
      <c r="Q629" s="30"/>
      <c r="R629" s="30"/>
      <c r="S629" s="30"/>
      <c r="T629" s="30"/>
    </row>
    <row r="630" spans="1:20" ht="12.75" customHeight="1" x14ac:dyDescent="0.25">
      <c r="A630" s="342"/>
      <c r="B630" s="30"/>
      <c r="C630" s="30"/>
      <c r="D630" s="141"/>
      <c r="E630" s="42"/>
      <c r="F630" s="43"/>
      <c r="G630" s="59"/>
      <c r="H630" s="60"/>
      <c r="I630" s="60"/>
      <c r="J630" s="60"/>
      <c r="K630" s="60"/>
      <c r="L630" s="60"/>
      <c r="M630" s="60"/>
      <c r="N630" s="60"/>
      <c r="O630" s="30"/>
      <c r="P630" s="30"/>
      <c r="Q630" s="30"/>
      <c r="R630" s="30"/>
      <c r="S630" s="30"/>
      <c r="T630" s="30"/>
    </row>
    <row r="631" spans="1:20" ht="12.75" customHeight="1" x14ac:dyDescent="0.25">
      <c r="A631" s="342"/>
      <c r="B631" s="30"/>
      <c r="C631" s="30"/>
      <c r="D631" s="141"/>
      <c r="E631" s="42"/>
      <c r="F631" s="43"/>
      <c r="G631" s="59"/>
      <c r="H631" s="60"/>
      <c r="I631" s="60"/>
      <c r="J631" s="60"/>
      <c r="K631" s="60"/>
      <c r="L631" s="60"/>
      <c r="M631" s="60"/>
      <c r="N631" s="60"/>
      <c r="O631" s="30"/>
      <c r="P631" s="30"/>
      <c r="Q631" s="30"/>
      <c r="R631" s="30"/>
      <c r="S631" s="30"/>
      <c r="T631" s="30"/>
    </row>
    <row r="632" spans="1:20" ht="12.75" customHeight="1" x14ac:dyDescent="0.25">
      <c r="A632" s="342"/>
      <c r="B632" s="30"/>
      <c r="C632" s="30"/>
      <c r="D632" s="141"/>
      <c r="E632" s="42"/>
      <c r="F632" s="43"/>
      <c r="G632" s="59"/>
      <c r="H632" s="60"/>
      <c r="I632" s="60"/>
      <c r="J632" s="60"/>
      <c r="K632" s="60"/>
      <c r="L632" s="60"/>
      <c r="M632" s="60"/>
      <c r="N632" s="60"/>
      <c r="O632" s="30"/>
      <c r="P632" s="30"/>
      <c r="Q632" s="30"/>
      <c r="R632" s="30"/>
      <c r="S632" s="30"/>
      <c r="T632" s="30"/>
    </row>
    <row r="633" spans="1:20" ht="12.75" customHeight="1" x14ac:dyDescent="0.25">
      <c r="A633" s="342"/>
      <c r="B633" s="30"/>
      <c r="C633" s="30"/>
      <c r="D633" s="141"/>
      <c r="E633" s="42"/>
      <c r="F633" s="43"/>
      <c r="G633" s="59"/>
      <c r="H633" s="60"/>
      <c r="I633" s="60"/>
      <c r="J633" s="60"/>
      <c r="K633" s="60"/>
      <c r="L633" s="60"/>
      <c r="M633" s="60"/>
      <c r="N633" s="60"/>
      <c r="O633" s="30"/>
      <c r="P633" s="30"/>
      <c r="Q633" s="30"/>
      <c r="R633" s="30"/>
      <c r="S633" s="30"/>
      <c r="T633" s="30"/>
    </row>
    <row r="634" spans="1:20" ht="12.75" customHeight="1" x14ac:dyDescent="0.25">
      <c r="A634" s="342"/>
      <c r="B634" s="30"/>
      <c r="C634" s="30"/>
      <c r="D634" s="141"/>
      <c r="E634" s="42"/>
      <c r="F634" s="43"/>
      <c r="G634" s="59"/>
      <c r="H634" s="60"/>
      <c r="I634" s="60"/>
      <c r="J634" s="60"/>
      <c r="K634" s="60"/>
      <c r="L634" s="60"/>
      <c r="M634" s="60"/>
      <c r="N634" s="60"/>
      <c r="O634" s="30"/>
      <c r="P634" s="30"/>
      <c r="Q634" s="30"/>
      <c r="R634" s="30"/>
      <c r="S634" s="30"/>
      <c r="T634" s="30"/>
    </row>
    <row r="635" spans="1:20" ht="12.75" customHeight="1" x14ac:dyDescent="0.25">
      <c r="A635" s="342"/>
      <c r="B635" s="30"/>
      <c r="C635" s="30"/>
      <c r="D635" s="141"/>
      <c r="E635" s="42"/>
      <c r="F635" s="43"/>
      <c r="G635" s="59"/>
      <c r="H635" s="60"/>
      <c r="I635" s="60"/>
      <c r="J635" s="60"/>
      <c r="K635" s="60"/>
      <c r="L635" s="60"/>
      <c r="M635" s="60"/>
      <c r="N635" s="60"/>
      <c r="O635" s="30"/>
      <c r="P635" s="30"/>
      <c r="Q635" s="30"/>
      <c r="R635" s="30"/>
      <c r="S635" s="30"/>
      <c r="T635" s="30"/>
    </row>
    <row r="636" spans="1:20" ht="12.75" customHeight="1" x14ac:dyDescent="0.25">
      <c r="A636" s="342"/>
      <c r="B636" s="30"/>
      <c r="C636" s="30"/>
      <c r="D636" s="141"/>
      <c r="E636" s="42"/>
      <c r="F636" s="43"/>
      <c r="G636" s="59"/>
      <c r="H636" s="60"/>
      <c r="I636" s="60"/>
      <c r="J636" s="60"/>
      <c r="K636" s="60"/>
      <c r="L636" s="60"/>
      <c r="M636" s="60"/>
      <c r="N636" s="60"/>
      <c r="O636" s="30"/>
      <c r="P636" s="30"/>
      <c r="Q636" s="30"/>
      <c r="R636" s="30"/>
      <c r="S636" s="30"/>
      <c r="T636" s="30"/>
    </row>
    <row r="637" spans="1:20" ht="12.75" customHeight="1" x14ac:dyDescent="0.25">
      <c r="A637" s="342"/>
      <c r="B637" s="30"/>
      <c r="C637" s="30"/>
      <c r="D637" s="141"/>
      <c r="E637" s="42"/>
      <c r="F637" s="43"/>
      <c r="G637" s="59"/>
      <c r="H637" s="60"/>
      <c r="I637" s="60"/>
      <c r="J637" s="60"/>
      <c r="K637" s="60"/>
      <c r="L637" s="60"/>
      <c r="M637" s="60"/>
      <c r="N637" s="60"/>
      <c r="O637" s="30"/>
      <c r="P637" s="30"/>
      <c r="Q637" s="30"/>
      <c r="R637" s="30"/>
      <c r="S637" s="30"/>
      <c r="T637" s="30"/>
    </row>
    <row r="638" spans="1:20" ht="12.75" customHeight="1" x14ac:dyDescent="0.25">
      <c r="A638" s="342"/>
      <c r="B638" s="30"/>
      <c r="C638" s="30"/>
      <c r="D638" s="141"/>
      <c r="E638" s="42"/>
      <c r="F638" s="43"/>
      <c r="G638" s="59"/>
      <c r="H638" s="60"/>
      <c r="I638" s="60"/>
      <c r="J638" s="60"/>
      <c r="K638" s="60"/>
      <c r="L638" s="60"/>
      <c r="M638" s="60"/>
      <c r="N638" s="60"/>
      <c r="O638" s="30"/>
      <c r="P638" s="30"/>
      <c r="Q638" s="30"/>
      <c r="R638" s="30"/>
      <c r="S638" s="30"/>
      <c r="T638" s="30"/>
    </row>
    <row r="639" spans="1:20" ht="12.75" customHeight="1" x14ac:dyDescent="0.25">
      <c r="A639" s="342"/>
      <c r="B639" s="30"/>
      <c r="C639" s="30"/>
      <c r="D639" s="141"/>
      <c r="E639" s="42"/>
      <c r="F639" s="43"/>
      <c r="G639" s="59"/>
      <c r="H639" s="60"/>
      <c r="I639" s="60"/>
      <c r="J639" s="60"/>
      <c r="K639" s="60"/>
      <c r="L639" s="60"/>
      <c r="M639" s="60"/>
      <c r="N639" s="60"/>
      <c r="O639" s="30"/>
      <c r="P639" s="30"/>
      <c r="Q639" s="30"/>
      <c r="R639" s="30"/>
      <c r="S639" s="30"/>
      <c r="T639" s="30"/>
    </row>
    <row r="640" spans="1:20" ht="12.75" customHeight="1" x14ac:dyDescent="0.25">
      <c r="A640" s="342"/>
      <c r="B640" s="30"/>
      <c r="C640" s="30"/>
      <c r="D640" s="141"/>
      <c r="E640" s="42"/>
      <c r="F640" s="43"/>
      <c r="G640" s="59"/>
      <c r="H640" s="60"/>
      <c r="I640" s="60"/>
      <c r="J640" s="60"/>
      <c r="K640" s="60"/>
      <c r="L640" s="60"/>
      <c r="M640" s="60"/>
      <c r="N640" s="60"/>
      <c r="O640" s="30"/>
      <c r="P640" s="30"/>
      <c r="Q640" s="30"/>
      <c r="R640" s="30"/>
      <c r="S640" s="30"/>
      <c r="T640" s="30"/>
    </row>
    <row r="641" spans="1:20" ht="12.75" customHeight="1" x14ac:dyDescent="0.25">
      <c r="A641" s="342"/>
      <c r="B641" s="30"/>
      <c r="C641" s="30"/>
      <c r="D641" s="141"/>
      <c r="E641" s="42"/>
      <c r="F641" s="43"/>
      <c r="G641" s="59"/>
      <c r="H641" s="60"/>
      <c r="I641" s="60"/>
      <c r="J641" s="60"/>
      <c r="K641" s="60"/>
      <c r="L641" s="60"/>
      <c r="M641" s="60"/>
      <c r="N641" s="60"/>
      <c r="O641" s="30"/>
      <c r="P641" s="30"/>
      <c r="Q641" s="30"/>
      <c r="R641" s="30"/>
      <c r="S641" s="30"/>
      <c r="T641" s="30"/>
    </row>
    <row r="642" spans="1:20" ht="12.75" customHeight="1" x14ac:dyDescent="0.25">
      <c r="A642" s="342"/>
      <c r="B642" s="30"/>
      <c r="C642" s="30"/>
      <c r="D642" s="141"/>
      <c r="E642" s="42"/>
      <c r="F642" s="43"/>
      <c r="G642" s="59"/>
      <c r="H642" s="60"/>
      <c r="I642" s="60"/>
      <c r="J642" s="60"/>
      <c r="K642" s="60"/>
      <c r="L642" s="60"/>
      <c r="M642" s="60"/>
      <c r="N642" s="60"/>
      <c r="O642" s="30"/>
      <c r="P642" s="30"/>
      <c r="Q642" s="30"/>
      <c r="R642" s="30"/>
      <c r="S642" s="30"/>
      <c r="T642" s="30"/>
    </row>
    <row r="643" spans="1:20" ht="12.75" customHeight="1" x14ac:dyDescent="0.25">
      <c r="A643" s="342"/>
      <c r="B643" s="30"/>
      <c r="C643" s="30"/>
      <c r="D643" s="141"/>
      <c r="E643" s="42"/>
      <c r="F643" s="43"/>
      <c r="G643" s="59"/>
      <c r="H643" s="60"/>
      <c r="I643" s="60"/>
      <c r="J643" s="60"/>
      <c r="K643" s="60"/>
      <c r="L643" s="60"/>
      <c r="M643" s="60"/>
      <c r="N643" s="60"/>
      <c r="O643" s="30"/>
      <c r="P643" s="30"/>
      <c r="Q643" s="30"/>
      <c r="R643" s="30"/>
      <c r="S643" s="30"/>
      <c r="T643" s="30"/>
    </row>
    <row r="644" spans="1:20" ht="12.75" customHeight="1" x14ac:dyDescent="0.25">
      <c r="A644" s="342"/>
      <c r="B644" s="30"/>
      <c r="C644" s="30"/>
      <c r="D644" s="141"/>
      <c r="E644" s="42"/>
      <c r="F644" s="43"/>
      <c r="G644" s="59"/>
      <c r="H644" s="60"/>
      <c r="I644" s="60"/>
      <c r="J644" s="60"/>
      <c r="K644" s="60"/>
      <c r="L644" s="60"/>
      <c r="M644" s="60"/>
      <c r="N644" s="60"/>
      <c r="O644" s="30"/>
      <c r="P644" s="30"/>
      <c r="Q644" s="30"/>
      <c r="R644" s="30"/>
      <c r="S644" s="30"/>
      <c r="T644" s="30"/>
    </row>
    <row r="645" spans="1:20" ht="12.75" customHeight="1" x14ac:dyDescent="0.25">
      <c r="A645" s="342"/>
      <c r="B645" s="30"/>
      <c r="C645" s="30"/>
      <c r="D645" s="141"/>
      <c r="E645" s="42"/>
      <c r="F645" s="43"/>
      <c r="G645" s="59"/>
      <c r="H645" s="60"/>
      <c r="I645" s="60"/>
      <c r="J645" s="60"/>
      <c r="K645" s="60"/>
      <c r="L645" s="60"/>
      <c r="M645" s="60"/>
      <c r="N645" s="60"/>
      <c r="O645" s="30"/>
      <c r="P645" s="30"/>
      <c r="Q645" s="30"/>
      <c r="R645" s="30"/>
      <c r="S645" s="30"/>
      <c r="T645" s="30"/>
    </row>
    <row r="646" spans="1:20" ht="12.75" customHeight="1" x14ac:dyDescent="0.25">
      <c r="A646" s="342"/>
      <c r="B646" s="30"/>
      <c r="C646" s="30"/>
      <c r="D646" s="141"/>
      <c r="E646" s="42"/>
      <c r="F646" s="43"/>
      <c r="G646" s="59"/>
      <c r="H646" s="60"/>
      <c r="I646" s="60"/>
      <c r="J646" s="60"/>
      <c r="K646" s="60"/>
      <c r="L646" s="60"/>
      <c r="M646" s="60"/>
      <c r="N646" s="60"/>
      <c r="O646" s="30"/>
      <c r="P646" s="30"/>
      <c r="Q646" s="30"/>
      <c r="R646" s="30"/>
      <c r="S646" s="30"/>
      <c r="T646" s="30"/>
    </row>
    <row r="647" spans="1:20" ht="12.75" customHeight="1" x14ac:dyDescent="0.25">
      <c r="A647" s="342"/>
      <c r="B647" s="30"/>
      <c r="C647" s="30"/>
      <c r="D647" s="141"/>
      <c r="E647" s="42"/>
      <c r="F647" s="43"/>
      <c r="G647" s="59"/>
      <c r="H647" s="60"/>
      <c r="I647" s="60"/>
      <c r="J647" s="60"/>
      <c r="K647" s="60"/>
      <c r="L647" s="60"/>
      <c r="M647" s="60"/>
      <c r="N647" s="60"/>
      <c r="O647" s="30"/>
      <c r="P647" s="30"/>
      <c r="Q647" s="30"/>
      <c r="R647" s="30"/>
      <c r="S647" s="30"/>
      <c r="T647" s="30"/>
    </row>
    <row r="648" spans="1:20" ht="12.75" customHeight="1" x14ac:dyDescent="0.25">
      <c r="A648" s="342"/>
      <c r="B648" s="30"/>
      <c r="C648" s="30"/>
      <c r="D648" s="141"/>
      <c r="E648" s="42"/>
      <c r="F648" s="43"/>
      <c r="G648" s="59"/>
      <c r="H648" s="60"/>
      <c r="I648" s="60"/>
      <c r="J648" s="60"/>
      <c r="K648" s="60"/>
      <c r="L648" s="60"/>
      <c r="M648" s="60"/>
      <c r="N648" s="60"/>
      <c r="O648" s="30"/>
      <c r="P648" s="30"/>
      <c r="Q648" s="30"/>
      <c r="R648" s="30"/>
      <c r="S648" s="30"/>
      <c r="T648" s="30"/>
    </row>
    <row r="649" spans="1:20" ht="12.75" customHeight="1" x14ac:dyDescent="0.25">
      <c r="A649" s="342"/>
      <c r="B649" s="30"/>
      <c r="C649" s="30"/>
      <c r="D649" s="141"/>
      <c r="E649" s="42"/>
      <c r="F649" s="43"/>
      <c r="G649" s="59"/>
      <c r="H649" s="60"/>
      <c r="I649" s="60"/>
      <c r="J649" s="60"/>
      <c r="K649" s="60"/>
      <c r="L649" s="60"/>
      <c r="M649" s="60"/>
      <c r="N649" s="60"/>
      <c r="O649" s="30"/>
      <c r="P649" s="30"/>
      <c r="Q649" s="30"/>
      <c r="R649" s="30"/>
      <c r="S649" s="30"/>
      <c r="T649" s="30"/>
    </row>
    <row r="650" spans="1:20" ht="12.75" customHeight="1" x14ac:dyDescent="0.25">
      <c r="A650" s="342"/>
      <c r="B650" s="30"/>
      <c r="C650" s="30"/>
      <c r="D650" s="141"/>
      <c r="E650" s="42"/>
      <c r="F650" s="43"/>
      <c r="G650" s="59"/>
      <c r="H650" s="60"/>
      <c r="I650" s="60"/>
      <c r="J650" s="60"/>
      <c r="K650" s="60"/>
      <c r="L650" s="60"/>
      <c r="M650" s="60"/>
      <c r="N650" s="60"/>
      <c r="O650" s="30"/>
      <c r="P650" s="30"/>
      <c r="Q650" s="30"/>
      <c r="R650" s="30"/>
      <c r="S650" s="30"/>
      <c r="T650" s="30"/>
    </row>
    <row r="651" spans="1:20" ht="12.75" customHeight="1" x14ac:dyDescent="0.25">
      <c r="A651" s="342"/>
      <c r="B651" s="30"/>
      <c r="C651" s="30"/>
      <c r="D651" s="141"/>
      <c r="E651" s="42"/>
      <c r="F651" s="43"/>
      <c r="G651" s="59"/>
      <c r="H651" s="60"/>
      <c r="I651" s="60"/>
      <c r="J651" s="60"/>
      <c r="K651" s="60"/>
      <c r="L651" s="60"/>
      <c r="M651" s="60"/>
      <c r="N651" s="60"/>
      <c r="O651" s="30"/>
      <c r="P651" s="30"/>
      <c r="Q651" s="30"/>
      <c r="R651" s="30"/>
      <c r="S651" s="30"/>
      <c r="T651" s="30"/>
    </row>
    <row r="652" spans="1:20" ht="12.75" customHeight="1" x14ac:dyDescent="0.25">
      <c r="A652" s="342"/>
      <c r="B652" s="30"/>
      <c r="C652" s="30"/>
      <c r="D652" s="141"/>
      <c r="E652" s="42"/>
      <c r="F652" s="43"/>
      <c r="G652" s="59"/>
      <c r="H652" s="60"/>
      <c r="I652" s="60"/>
      <c r="J652" s="60"/>
      <c r="K652" s="60"/>
      <c r="L652" s="60"/>
      <c r="M652" s="60"/>
      <c r="N652" s="60"/>
      <c r="O652" s="30"/>
      <c r="P652" s="30"/>
      <c r="Q652" s="30"/>
      <c r="R652" s="30"/>
      <c r="S652" s="30"/>
      <c r="T652" s="30"/>
    </row>
    <row r="653" spans="1:20" ht="12.75" customHeight="1" x14ac:dyDescent="0.25">
      <c r="A653" s="342"/>
      <c r="B653" s="30"/>
      <c r="C653" s="30"/>
      <c r="D653" s="141"/>
      <c r="E653" s="42"/>
      <c r="F653" s="43"/>
      <c r="G653" s="59"/>
      <c r="H653" s="60"/>
      <c r="I653" s="60"/>
      <c r="J653" s="60"/>
      <c r="K653" s="60"/>
      <c r="L653" s="60"/>
      <c r="M653" s="60"/>
      <c r="N653" s="60"/>
      <c r="O653" s="30"/>
      <c r="P653" s="30"/>
      <c r="Q653" s="30"/>
      <c r="R653" s="30"/>
      <c r="S653" s="30"/>
      <c r="T653" s="30"/>
    </row>
    <row r="654" spans="1:20" ht="12.75" customHeight="1" x14ac:dyDescent="0.25">
      <c r="A654" s="342"/>
      <c r="B654" s="30"/>
      <c r="C654" s="30"/>
      <c r="D654" s="141"/>
      <c r="E654" s="42"/>
      <c r="F654" s="43"/>
      <c r="G654" s="59"/>
      <c r="H654" s="60"/>
      <c r="I654" s="60"/>
      <c r="J654" s="60"/>
      <c r="K654" s="60"/>
      <c r="L654" s="60"/>
      <c r="M654" s="60"/>
      <c r="N654" s="60"/>
      <c r="O654" s="30"/>
      <c r="P654" s="30"/>
      <c r="Q654" s="30"/>
      <c r="R654" s="30"/>
      <c r="S654" s="30"/>
      <c r="T654" s="30"/>
    </row>
    <row r="655" spans="1:20" ht="12.75" customHeight="1" x14ac:dyDescent="0.25">
      <c r="A655" s="342"/>
      <c r="B655" s="30"/>
      <c r="C655" s="30"/>
      <c r="D655" s="141"/>
      <c r="E655" s="42"/>
      <c r="F655" s="43"/>
      <c r="G655" s="59"/>
      <c r="H655" s="60"/>
      <c r="I655" s="60"/>
      <c r="J655" s="60"/>
      <c r="K655" s="60"/>
      <c r="L655" s="60"/>
      <c r="M655" s="60"/>
      <c r="N655" s="60"/>
      <c r="O655" s="30"/>
      <c r="P655" s="30"/>
      <c r="Q655" s="30"/>
      <c r="R655" s="30"/>
      <c r="S655" s="30"/>
      <c r="T655" s="30"/>
    </row>
    <row r="656" spans="1:20" ht="12.75" customHeight="1" x14ac:dyDescent="0.25">
      <c r="A656" s="342"/>
      <c r="B656" s="30"/>
      <c r="C656" s="30"/>
      <c r="D656" s="141"/>
      <c r="E656" s="42"/>
      <c r="F656" s="43"/>
      <c r="G656" s="59"/>
      <c r="H656" s="60"/>
      <c r="I656" s="60"/>
      <c r="J656" s="60"/>
      <c r="K656" s="60"/>
      <c r="L656" s="60"/>
      <c r="M656" s="60"/>
      <c r="N656" s="60"/>
      <c r="O656" s="30"/>
      <c r="P656" s="30"/>
      <c r="Q656" s="30"/>
      <c r="R656" s="30"/>
      <c r="S656" s="30"/>
      <c r="T656" s="30"/>
    </row>
    <row r="657" spans="1:20" ht="12.75" customHeight="1" x14ac:dyDescent="0.25">
      <c r="A657" s="342"/>
      <c r="B657" s="30"/>
      <c r="C657" s="30"/>
      <c r="D657" s="141"/>
      <c r="E657" s="42"/>
      <c r="F657" s="43"/>
      <c r="G657" s="59"/>
      <c r="H657" s="60"/>
      <c r="I657" s="60"/>
      <c r="J657" s="60"/>
      <c r="K657" s="60"/>
      <c r="L657" s="60"/>
      <c r="M657" s="60"/>
      <c r="N657" s="60"/>
      <c r="O657" s="30"/>
      <c r="P657" s="30"/>
      <c r="Q657" s="30"/>
      <c r="R657" s="30"/>
      <c r="S657" s="30"/>
      <c r="T657" s="30"/>
    </row>
    <row r="658" spans="1:20" ht="12.75" customHeight="1" x14ac:dyDescent="0.25">
      <c r="A658" s="342"/>
      <c r="B658" s="30"/>
      <c r="C658" s="30"/>
      <c r="D658" s="141"/>
      <c r="E658" s="42"/>
      <c r="F658" s="43"/>
      <c r="G658" s="59"/>
      <c r="H658" s="60"/>
      <c r="I658" s="60"/>
      <c r="J658" s="60"/>
      <c r="K658" s="60"/>
      <c r="L658" s="60"/>
      <c r="M658" s="60"/>
      <c r="N658" s="60"/>
      <c r="O658" s="30"/>
      <c r="P658" s="30"/>
      <c r="Q658" s="30"/>
      <c r="R658" s="30"/>
      <c r="S658" s="30"/>
      <c r="T658" s="30"/>
    </row>
    <row r="659" spans="1:20" ht="12.75" customHeight="1" x14ac:dyDescent="0.25">
      <c r="A659" s="342"/>
      <c r="B659" s="30"/>
      <c r="C659" s="30"/>
      <c r="D659" s="141"/>
      <c r="E659" s="42"/>
      <c r="F659" s="43"/>
      <c r="G659" s="59"/>
      <c r="H659" s="60"/>
      <c r="I659" s="60"/>
      <c r="J659" s="60"/>
      <c r="K659" s="60"/>
      <c r="L659" s="60"/>
      <c r="M659" s="60"/>
      <c r="N659" s="60"/>
      <c r="O659" s="30"/>
      <c r="P659" s="30"/>
      <c r="Q659" s="30"/>
      <c r="R659" s="30"/>
      <c r="S659" s="30"/>
      <c r="T659" s="30"/>
    </row>
    <row r="660" spans="1:20" ht="12.75" customHeight="1" x14ac:dyDescent="0.25">
      <c r="A660" s="342"/>
      <c r="B660" s="30"/>
      <c r="C660" s="30"/>
      <c r="D660" s="141"/>
      <c r="E660" s="42"/>
      <c r="F660" s="43"/>
      <c r="G660" s="59"/>
      <c r="H660" s="60"/>
      <c r="I660" s="60"/>
      <c r="J660" s="60"/>
      <c r="K660" s="60"/>
      <c r="L660" s="60"/>
      <c r="M660" s="60"/>
      <c r="N660" s="60"/>
      <c r="O660" s="30"/>
      <c r="P660" s="30"/>
      <c r="Q660" s="30"/>
      <c r="R660" s="30"/>
      <c r="S660" s="30"/>
      <c r="T660" s="30"/>
    </row>
    <row r="661" spans="1:20" ht="12.75" customHeight="1" x14ac:dyDescent="0.25">
      <c r="A661" s="342"/>
      <c r="B661" s="30"/>
      <c r="C661" s="30"/>
      <c r="D661" s="141"/>
      <c r="E661" s="42"/>
      <c r="F661" s="43"/>
      <c r="G661" s="59"/>
      <c r="H661" s="60"/>
      <c r="I661" s="60"/>
      <c r="J661" s="60"/>
      <c r="K661" s="60"/>
      <c r="L661" s="60"/>
      <c r="M661" s="60"/>
      <c r="N661" s="60"/>
      <c r="O661" s="30"/>
      <c r="P661" s="30"/>
      <c r="Q661" s="30"/>
      <c r="R661" s="30"/>
      <c r="S661" s="30"/>
      <c r="T661" s="30"/>
    </row>
    <row r="662" spans="1:20" ht="12.75" customHeight="1" x14ac:dyDescent="0.25">
      <c r="A662" s="342"/>
      <c r="B662" s="30"/>
      <c r="C662" s="30"/>
      <c r="D662" s="141"/>
      <c r="E662" s="42"/>
      <c r="F662" s="43"/>
      <c r="G662" s="59"/>
      <c r="H662" s="60"/>
      <c r="I662" s="60"/>
      <c r="J662" s="60"/>
      <c r="K662" s="60"/>
      <c r="L662" s="60"/>
      <c r="M662" s="60"/>
      <c r="N662" s="60"/>
      <c r="O662" s="30"/>
      <c r="P662" s="30"/>
      <c r="Q662" s="30"/>
      <c r="R662" s="30"/>
      <c r="S662" s="30"/>
      <c r="T662" s="30"/>
    </row>
    <row r="663" spans="1:20" ht="12.75" customHeight="1" x14ac:dyDescent="0.25">
      <c r="A663" s="342"/>
      <c r="B663" s="30"/>
      <c r="C663" s="30"/>
      <c r="D663" s="141"/>
      <c r="E663" s="42"/>
      <c r="F663" s="43"/>
      <c r="G663" s="59"/>
      <c r="H663" s="60"/>
      <c r="I663" s="60"/>
      <c r="J663" s="60"/>
      <c r="K663" s="60"/>
      <c r="L663" s="60"/>
      <c r="M663" s="60"/>
      <c r="N663" s="60"/>
      <c r="O663" s="30"/>
      <c r="P663" s="30"/>
      <c r="Q663" s="30"/>
      <c r="R663" s="30"/>
      <c r="S663" s="30"/>
      <c r="T663" s="30"/>
    </row>
    <row r="664" spans="1:20" ht="12.75" customHeight="1" x14ac:dyDescent="0.25">
      <c r="A664" s="342"/>
      <c r="B664" s="30"/>
      <c r="C664" s="30"/>
      <c r="D664" s="141"/>
      <c r="E664" s="42"/>
      <c r="F664" s="43"/>
      <c r="G664" s="59"/>
      <c r="H664" s="60"/>
      <c r="I664" s="60"/>
      <c r="J664" s="60"/>
      <c r="K664" s="60"/>
      <c r="L664" s="60"/>
      <c r="M664" s="60"/>
      <c r="N664" s="60"/>
      <c r="O664" s="30"/>
      <c r="P664" s="30"/>
      <c r="Q664" s="30"/>
      <c r="R664" s="30"/>
      <c r="S664" s="30"/>
      <c r="T664" s="30"/>
    </row>
    <row r="665" spans="1:20" ht="12.75" customHeight="1" x14ac:dyDescent="0.25">
      <c r="A665" s="342"/>
      <c r="B665" s="30"/>
      <c r="C665" s="30"/>
      <c r="D665" s="141"/>
      <c r="E665" s="42"/>
      <c r="F665" s="43"/>
      <c r="G665" s="59"/>
      <c r="H665" s="60"/>
      <c r="I665" s="60"/>
      <c r="J665" s="60"/>
      <c r="K665" s="60"/>
      <c r="L665" s="60"/>
      <c r="M665" s="60"/>
      <c r="N665" s="60"/>
      <c r="O665" s="30"/>
      <c r="P665" s="30"/>
      <c r="Q665" s="30"/>
      <c r="R665" s="30"/>
      <c r="S665" s="30"/>
      <c r="T665" s="30"/>
    </row>
    <row r="666" spans="1:20" ht="12.75" customHeight="1" x14ac:dyDescent="0.25">
      <c r="A666" s="342"/>
      <c r="B666" s="30"/>
      <c r="C666" s="30"/>
      <c r="D666" s="141"/>
      <c r="E666" s="42"/>
      <c r="F666" s="43"/>
      <c r="G666" s="59"/>
      <c r="H666" s="60"/>
      <c r="I666" s="60"/>
      <c r="J666" s="60"/>
      <c r="K666" s="60"/>
      <c r="L666" s="60"/>
      <c r="M666" s="60"/>
      <c r="N666" s="60"/>
      <c r="O666" s="30"/>
      <c r="P666" s="30"/>
      <c r="Q666" s="30"/>
      <c r="R666" s="30"/>
      <c r="S666" s="30"/>
      <c r="T666" s="30"/>
    </row>
    <row r="667" spans="1:20" ht="12.75" customHeight="1" x14ac:dyDescent="0.25">
      <c r="A667" s="342"/>
      <c r="B667" s="30"/>
      <c r="C667" s="30"/>
      <c r="D667" s="141"/>
      <c r="E667" s="42"/>
      <c r="F667" s="43"/>
      <c r="G667" s="59"/>
      <c r="H667" s="60"/>
      <c r="I667" s="60"/>
      <c r="J667" s="60"/>
      <c r="K667" s="60"/>
      <c r="L667" s="60"/>
      <c r="M667" s="60"/>
      <c r="N667" s="60"/>
      <c r="O667" s="30"/>
      <c r="P667" s="30"/>
      <c r="Q667" s="30"/>
      <c r="R667" s="30"/>
      <c r="S667" s="30"/>
      <c r="T667" s="30"/>
    </row>
    <row r="668" spans="1:20" ht="12.75" customHeight="1" x14ac:dyDescent="0.25">
      <c r="A668" s="342"/>
      <c r="B668" s="30"/>
      <c r="C668" s="30"/>
      <c r="D668" s="141"/>
      <c r="E668" s="42"/>
      <c r="F668" s="43"/>
      <c r="G668" s="59"/>
      <c r="H668" s="60"/>
      <c r="I668" s="60"/>
      <c r="J668" s="60"/>
      <c r="K668" s="60"/>
      <c r="L668" s="60"/>
      <c r="M668" s="60"/>
      <c r="N668" s="60"/>
      <c r="O668" s="30"/>
      <c r="P668" s="30"/>
      <c r="Q668" s="30"/>
      <c r="R668" s="30"/>
      <c r="S668" s="30"/>
      <c r="T668" s="30"/>
    </row>
    <row r="669" spans="1:20" ht="12.75" customHeight="1" x14ac:dyDescent="0.25">
      <c r="A669" s="342"/>
      <c r="B669" s="30"/>
      <c r="C669" s="30"/>
      <c r="D669" s="141"/>
      <c r="E669" s="42"/>
      <c r="F669" s="43"/>
      <c r="G669" s="59"/>
      <c r="H669" s="60"/>
      <c r="I669" s="60"/>
      <c r="J669" s="60"/>
      <c r="K669" s="60"/>
      <c r="L669" s="60"/>
      <c r="M669" s="60"/>
      <c r="N669" s="60"/>
      <c r="O669" s="30"/>
      <c r="P669" s="30"/>
      <c r="Q669" s="30"/>
      <c r="R669" s="30"/>
      <c r="S669" s="30"/>
      <c r="T669" s="30"/>
    </row>
    <row r="670" spans="1:20" ht="12.75" customHeight="1" x14ac:dyDescent="0.25">
      <c r="A670" s="342"/>
      <c r="B670" s="30"/>
      <c r="C670" s="30"/>
      <c r="D670" s="141"/>
      <c r="E670" s="42"/>
      <c r="F670" s="43"/>
      <c r="G670" s="59"/>
      <c r="H670" s="60"/>
      <c r="I670" s="60"/>
      <c r="J670" s="60"/>
      <c r="K670" s="60"/>
      <c r="L670" s="60"/>
      <c r="M670" s="60"/>
      <c r="N670" s="60"/>
      <c r="O670" s="30"/>
      <c r="P670" s="30"/>
      <c r="Q670" s="30"/>
      <c r="R670" s="30"/>
      <c r="S670" s="30"/>
      <c r="T670" s="30"/>
    </row>
    <row r="671" spans="1:20" ht="12.75" customHeight="1" x14ac:dyDescent="0.25">
      <c r="A671" s="342"/>
      <c r="B671" s="30"/>
      <c r="C671" s="30"/>
      <c r="D671" s="141"/>
      <c r="E671" s="42"/>
      <c r="F671" s="43"/>
      <c r="G671" s="59"/>
      <c r="H671" s="60"/>
      <c r="I671" s="60"/>
      <c r="J671" s="60"/>
      <c r="K671" s="60"/>
      <c r="L671" s="60"/>
      <c r="M671" s="60"/>
      <c r="N671" s="60"/>
      <c r="O671" s="30"/>
      <c r="P671" s="30"/>
      <c r="Q671" s="30"/>
      <c r="R671" s="30"/>
      <c r="S671" s="30"/>
      <c r="T671" s="30"/>
    </row>
    <row r="672" spans="1:20" ht="12.75" customHeight="1" x14ac:dyDescent="0.25">
      <c r="A672" s="342"/>
      <c r="B672" s="30"/>
      <c r="C672" s="30"/>
      <c r="D672" s="141"/>
      <c r="E672" s="42"/>
      <c r="F672" s="43"/>
      <c r="G672" s="59"/>
      <c r="H672" s="60"/>
      <c r="I672" s="60"/>
      <c r="J672" s="60"/>
      <c r="K672" s="60"/>
      <c r="L672" s="60"/>
      <c r="M672" s="60"/>
      <c r="N672" s="60"/>
      <c r="O672" s="30"/>
      <c r="P672" s="30"/>
      <c r="Q672" s="30"/>
      <c r="R672" s="30"/>
      <c r="S672" s="30"/>
      <c r="T672" s="30"/>
    </row>
    <row r="673" spans="1:20" ht="12.75" customHeight="1" x14ac:dyDescent="0.25">
      <c r="A673" s="342"/>
      <c r="B673" s="30"/>
      <c r="C673" s="30"/>
      <c r="D673" s="141"/>
      <c r="E673" s="42"/>
      <c r="F673" s="43"/>
      <c r="G673" s="59"/>
      <c r="H673" s="60"/>
      <c r="I673" s="60"/>
      <c r="J673" s="60"/>
      <c r="K673" s="60"/>
      <c r="L673" s="60"/>
      <c r="M673" s="60"/>
      <c r="N673" s="60"/>
      <c r="O673" s="30"/>
      <c r="P673" s="30"/>
      <c r="Q673" s="30"/>
      <c r="R673" s="30"/>
      <c r="S673" s="30"/>
      <c r="T673" s="30"/>
    </row>
    <row r="674" spans="1:20" ht="12.75" customHeight="1" x14ac:dyDescent="0.25">
      <c r="A674" s="342"/>
      <c r="B674" s="30"/>
      <c r="C674" s="30"/>
      <c r="D674" s="141"/>
      <c r="E674" s="42"/>
      <c r="F674" s="43"/>
      <c r="G674" s="59"/>
      <c r="H674" s="60"/>
      <c r="I674" s="60"/>
      <c r="J674" s="60"/>
      <c r="K674" s="60"/>
      <c r="L674" s="60"/>
      <c r="M674" s="60"/>
      <c r="N674" s="60"/>
      <c r="O674" s="30"/>
      <c r="P674" s="30"/>
      <c r="Q674" s="30"/>
      <c r="R674" s="30"/>
      <c r="S674" s="30"/>
      <c r="T674" s="30"/>
    </row>
    <row r="675" spans="1:20" ht="12.75" customHeight="1" x14ac:dyDescent="0.25">
      <c r="A675" s="342"/>
      <c r="B675" s="30"/>
      <c r="C675" s="30"/>
      <c r="D675" s="141"/>
      <c r="E675" s="42"/>
      <c r="F675" s="43"/>
      <c r="G675" s="59"/>
      <c r="H675" s="60"/>
      <c r="I675" s="60"/>
      <c r="J675" s="60"/>
      <c r="K675" s="60"/>
      <c r="L675" s="60"/>
      <c r="M675" s="60"/>
      <c r="N675" s="60"/>
      <c r="O675" s="30"/>
      <c r="P675" s="30"/>
      <c r="Q675" s="30"/>
      <c r="R675" s="30"/>
      <c r="S675" s="30"/>
      <c r="T675" s="30"/>
    </row>
    <row r="676" spans="1:20" ht="12.75" customHeight="1" x14ac:dyDescent="0.25">
      <c r="A676" s="342"/>
      <c r="B676" s="30"/>
      <c r="C676" s="30"/>
      <c r="D676" s="141"/>
      <c r="E676" s="42"/>
      <c r="F676" s="43"/>
      <c r="G676" s="59"/>
      <c r="H676" s="60"/>
      <c r="I676" s="60"/>
      <c r="J676" s="60"/>
      <c r="K676" s="60"/>
      <c r="L676" s="60"/>
      <c r="M676" s="60"/>
      <c r="N676" s="60"/>
      <c r="O676" s="30"/>
      <c r="P676" s="30"/>
      <c r="Q676" s="30"/>
      <c r="R676" s="30"/>
      <c r="S676" s="30"/>
      <c r="T676" s="30"/>
    </row>
    <row r="677" spans="1:20" ht="12.75" customHeight="1" x14ac:dyDescent="0.25">
      <c r="A677" s="342"/>
      <c r="B677" s="30"/>
      <c r="C677" s="30"/>
      <c r="D677" s="141"/>
      <c r="E677" s="42"/>
      <c r="F677" s="43"/>
      <c r="G677" s="59"/>
      <c r="H677" s="60"/>
      <c r="I677" s="60"/>
      <c r="J677" s="60"/>
      <c r="K677" s="60"/>
      <c r="L677" s="60"/>
      <c r="M677" s="60"/>
      <c r="N677" s="60"/>
      <c r="O677" s="30"/>
      <c r="P677" s="30"/>
      <c r="Q677" s="30"/>
      <c r="R677" s="30"/>
      <c r="S677" s="30"/>
      <c r="T677" s="30"/>
    </row>
    <row r="678" spans="1:20" ht="12.75" customHeight="1" x14ac:dyDescent="0.25">
      <c r="A678" s="342"/>
      <c r="B678" s="30"/>
      <c r="C678" s="30"/>
      <c r="D678" s="141"/>
      <c r="E678" s="42"/>
      <c r="F678" s="43"/>
      <c r="G678" s="59"/>
      <c r="H678" s="60"/>
      <c r="I678" s="60"/>
      <c r="J678" s="60"/>
      <c r="K678" s="60"/>
      <c r="L678" s="60"/>
      <c r="M678" s="60"/>
      <c r="N678" s="60"/>
      <c r="O678" s="30"/>
      <c r="P678" s="30"/>
      <c r="Q678" s="30"/>
      <c r="R678" s="30"/>
      <c r="S678" s="30"/>
      <c r="T678" s="30"/>
    </row>
    <row r="679" spans="1:20" ht="12.75" customHeight="1" x14ac:dyDescent="0.25">
      <c r="A679" s="342"/>
      <c r="B679" s="30"/>
      <c r="C679" s="30"/>
      <c r="D679" s="141"/>
      <c r="E679" s="42"/>
      <c r="F679" s="43"/>
      <c r="G679" s="59"/>
      <c r="H679" s="60"/>
      <c r="I679" s="60"/>
      <c r="J679" s="60"/>
      <c r="K679" s="60"/>
      <c r="L679" s="60"/>
      <c r="M679" s="60"/>
      <c r="N679" s="60"/>
      <c r="O679" s="30"/>
      <c r="P679" s="30"/>
      <c r="Q679" s="30"/>
      <c r="R679" s="30"/>
      <c r="S679" s="30"/>
      <c r="T679" s="30"/>
    </row>
    <row r="680" spans="1:20" ht="12.75" customHeight="1" x14ac:dyDescent="0.25">
      <c r="A680" s="342"/>
      <c r="B680" s="30"/>
      <c r="C680" s="30"/>
      <c r="D680" s="141"/>
      <c r="E680" s="42"/>
      <c r="F680" s="43"/>
      <c r="G680" s="59"/>
      <c r="H680" s="60"/>
      <c r="I680" s="60"/>
      <c r="J680" s="60"/>
      <c r="K680" s="60"/>
      <c r="L680" s="60"/>
      <c r="M680" s="60"/>
      <c r="N680" s="60"/>
      <c r="O680" s="30"/>
      <c r="P680" s="30"/>
      <c r="Q680" s="30"/>
      <c r="R680" s="30"/>
      <c r="S680" s="30"/>
      <c r="T680" s="30"/>
    </row>
    <row r="681" spans="1:20" ht="12.75" customHeight="1" x14ac:dyDescent="0.25">
      <c r="A681" s="342"/>
      <c r="B681" s="30"/>
      <c r="C681" s="30"/>
      <c r="D681" s="141"/>
      <c r="E681" s="42"/>
      <c r="F681" s="43"/>
      <c r="G681" s="59"/>
      <c r="H681" s="60"/>
      <c r="I681" s="60"/>
      <c r="J681" s="60"/>
      <c r="K681" s="60"/>
      <c r="L681" s="60"/>
      <c r="M681" s="60"/>
      <c r="N681" s="60"/>
      <c r="O681" s="30"/>
      <c r="P681" s="30"/>
      <c r="Q681" s="30"/>
      <c r="R681" s="30"/>
      <c r="S681" s="30"/>
      <c r="T681" s="30"/>
    </row>
    <row r="682" spans="1:20" ht="12.75" customHeight="1" x14ac:dyDescent="0.25">
      <c r="A682" s="342"/>
      <c r="B682" s="30"/>
      <c r="C682" s="30"/>
      <c r="D682" s="141"/>
      <c r="E682" s="42"/>
      <c r="F682" s="43"/>
      <c r="G682" s="59"/>
      <c r="H682" s="60"/>
      <c r="I682" s="60"/>
      <c r="J682" s="60"/>
      <c r="K682" s="60"/>
      <c r="L682" s="60"/>
      <c r="M682" s="60"/>
      <c r="N682" s="60"/>
      <c r="O682" s="30"/>
      <c r="P682" s="30"/>
      <c r="Q682" s="30"/>
      <c r="R682" s="30"/>
      <c r="S682" s="30"/>
      <c r="T682" s="30"/>
    </row>
    <row r="683" spans="1:20" ht="12.75" customHeight="1" x14ac:dyDescent="0.25">
      <c r="A683" s="342"/>
      <c r="B683" s="30"/>
      <c r="C683" s="30"/>
      <c r="D683" s="141"/>
      <c r="E683" s="42"/>
      <c r="F683" s="43"/>
      <c r="G683" s="59"/>
      <c r="H683" s="60"/>
      <c r="I683" s="60"/>
      <c r="J683" s="60"/>
      <c r="K683" s="60"/>
      <c r="L683" s="60"/>
      <c r="M683" s="60"/>
      <c r="N683" s="60"/>
      <c r="O683" s="30"/>
      <c r="P683" s="30"/>
      <c r="Q683" s="30"/>
      <c r="R683" s="30"/>
      <c r="S683" s="30"/>
      <c r="T683" s="30"/>
    </row>
    <row r="684" spans="1:20" ht="12.75" customHeight="1" x14ac:dyDescent="0.25">
      <c r="A684" s="342"/>
      <c r="B684" s="30"/>
      <c r="C684" s="30"/>
      <c r="D684" s="141"/>
      <c r="E684" s="42"/>
      <c r="F684" s="43"/>
      <c r="G684" s="59"/>
      <c r="H684" s="60"/>
      <c r="I684" s="60"/>
      <c r="J684" s="60"/>
      <c r="K684" s="60"/>
      <c r="L684" s="60"/>
      <c r="M684" s="60"/>
      <c r="N684" s="60"/>
      <c r="O684" s="30"/>
      <c r="P684" s="30"/>
      <c r="Q684" s="30"/>
      <c r="R684" s="30"/>
      <c r="S684" s="30"/>
      <c r="T684" s="30"/>
    </row>
    <row r="685" spans="1:20" ht="12.75" customHeight="1" x14ac:dyDescent="0.25">
      <c r="A685" s="342"/>
      <c r="B685" s="30"/>
      <c r="C685" s="30"/>
      <c r="D685" s="141"/>
      <c r="E685" s="42"/>
      <c r="F685" s="43"/>
      <c r="G685" s="59"/>
      <c r="H685" s="60"/>
      <c r="I685" s="60"/>
      <c r="J685" s="60"/>
      <c r="K685" s="60"/>
      <c r="L685" s="60"/>
      <c r="M685" s="60"/>
      <c r="N685" s="60"/>
      <c r="O685" s="30"/>
      <c r="P685" s="30"/>
      <c r="Q685" s="30"/>
      <c r="R685" s="30"/>
      <c r="S685" s="30"/>
      <c r="T685" s="30"/>
    </row>
    <row r="686" spans="1:20" ht="12.75" customHeight="1" x14ac:dyDescent="0.25">
      <c r="A686" s="342"/>
      <c r="B686" s="30"/>
      <c r="C686" s="30"/>
      <c r="D686" s="141"/>
      <c r="E686" s="42"/>
      <c r="F686" s="43"/>
      <c r="G686" s="59"/>
      <c r="H686" s="60"/>
      <c r="I686" s="60"/>
      <c r="J686" s="60"/>
      <c r="K686" s="60"/>
      <c r="L686" s="60"/>
      <c r="M686" s="60"/>
      <c r="N686" s="60"/>
      <c r="O686" s="30"/>
      <c r="P686" s="30"/>
      <c r="Q686" s="30"/>
      <c r="R686" s="30"/>
      <c r="S686" s="30"/>
      <c r="T686" s="30"/>
    </row>
    <row r="687" spans="1:20" ht="12.75" customHeight="1" x14ac:dyDescent="0.25">
      <c r="A687" s="342"/>
      <c r="B687" s="30"/>
      <c r="C687" s="30"/>
      <c r="D687" s="141"/>
      <c r="E687" s="42"/>
      <c r="F687" s="43"/>
      <c r="G687" s="59"/>
      <c r="H687" s="60"/>
      <c r="I687" s="60"/>
      <c r="J687" s="60"/>
      <c r="K687" s="60"/>
      <c r="L687" s="60"/>
      <c r="M687" s="60"/>
      <c r="N687" s="60"/>
      <c r="O687" s="30"/>
      <c r="P687" s="30"/>
      <c r="Q687" s="30"/>
      <c r="R687" s="30"/>
      <c r="S687" s="30"/>
      <c r="T687" s="30"/>
    </row>
    <row r="688" spans="1:20" ht="12.75" customHeight="1" x14ac:dyDescent="0.25">
      <c r="A688" s="342"/>
      <c r="B688" s="30"/>
      <c r="C688" s="30"/>
      <c r="D688" s="141"/>
      <c r="E688" s="42"/>
      <c r="F688" s="43"/>
      <c r="G688" s="59"/>
      <c r="H688" s="60"/>
      <c r="I688" s="60"/>
      <c r="J688" s="60"/>
      <c r="K688" s="60"/>
      <c r="L688" s="60"/>
      <c r="M688" s="60"/>
      <c r="N688" s="60"/>
      <c r="O688" s="30"/>
      <c r="P688" s="30"/>
      <c r="Q688" s="30"/>
      <c r="R688" s="30"/>
      <c r="S688" s="30"/>
      <c r="T688" s="30"/>
    </row>
    <row r="689" spans="1:20" ht="12.75" customHeight="1" x14ac:dyDescent="0.25">
      <c r="A689" s="342"/>
      <c r="B689" s="30"/>
      <c r="C689" s="30"/>
      <c r="D689" s="141"/>
      <c r="E689" s="42"/>
      <c r="F689" s="43"/>
      <c r="G689" s="59"/>
      <c r="H689" s="60"/>
      <c r="I689" s="60"/>
      <c r="J689" s="60"/>
      <c r="K689" s="60"/>
      <c r="L689" s="60"/>
      <c r="M689" s="60"/>
      <c r="N689" s="60"/>
      <c r="O689" s="30"/>
      <c r="P689" s="30"/>
      <c r="Q689" s="30"/>
      <c r="R689" s="30"/>
      <c r="S689" s="30"/>
      <c r="T689" s="30"/>
    </row>
    <row r="690" spans="1:20" ht="12.75" customHeight="1" x14ac:dyDescent="0.25">
      <c r="A690" s="342"/>
      <c r="B690" s="30"/>
      <c r="C690" s="30"/>
      <c r="D690" s="141"/>
      <c r="E690" s="42"/>
      <c r="F690" s="43"/>
      <c r="G690" s="59"/>
      <c r="H690" s="60"/>
      <c r="I690" s="60"/>
      <c r="J690" s="60"/>
      <c r="K690" s="60"/>
      <c r="L690" s="60"/>
      <c r="M690" s="60"/>
      <c r="N690" s="60"/>
      <c r="O690" s="30"/>
      <c r="P690" s="30"/>
      <c r="Q690" s="30"/>
      <c r="R690" s="30"/>
      <c r="S690" s="30"/>
      <c r="T690" s="30"/>
    </row>
    <row r="691" spans="1:20" ht="12.75" customHeight="1" x14ac:dyDescent="0.25">
      <c r="A691" s="342"/>
      <c r="B691" s="30"/>
      <c r="C691" s="30"/>
      <c r="D691" s="141"/>
      <c r="E691" s="42"/>
      <c r="F691" s="43"/>
      <c r="G691" s="59"/>
      <c r="H691" s="60"/>
      <c r="I691" s="60"/>
      <c r="J691" s="60"/>
      <c r="K691" s="60"/>
      <c r="L691" s="60"/>
      <c r="M691" s="60"/>
      <c r="N691" s="60"/>
      <c r="O691" s="30"/>
      <c r="P691" s="30"/>
      <c r="Q691" s="30"/>
      <c r="R691" s="30"/>
      <c r="S691" s="30"/>
      <c r="T691" s="30"/>
    </row>
    <row r="692" spans="1:20" ht="12.75" customHeight="1" x14ac:dyDescent="0.25">
      <c r="A692" s="342"/>
      <c r="B692" s="30"/>
      <c r="C692" s="30"/>
      <c r="D692" s="141"/>
      <c r="E692" s="42"/>
      <c r="F692" s="43"/>
      <c r="G692" s="59"/>
      <c r="H692" s="60"/>
      <c r="I692" s="60"/>
      <c r="J692" s="60"/>
      <c r="K692" s="60"/>
      <c r="L692" s="60"/>
      <c r="M692" s="60"/>
      <c r="N692" s="60"/>
      <c r="O692" s="30"/>
      <c r="P692" s="30"/>
      <c r="Q692" s="30"/>
      <c r="R692" s="30"/>
      <c r="S692" s="30"/>
      <c r="T692" s="30"/>
    </row>
    <row r="693" spans="1:20" ht="12.75" customHeight="1" x14ac:dyDescent="0.25">
      <c r="A693" s="342"/>
      <c r="B693" s="30"/>
      <c r="C693" s="30"/>
      <c r="D693" s="141"/>
      <c r="E693" s="42"/>
      <c r="F693" s="43"/>
      <c r="G693" s="59"/>
      <c r="H693" s="60"/>
      <c r="I693" s="60"/>
      <c r="J693" s="60"/>
      <c r="K693" s="60"/>
      <c r="L693" s="60"/>
      <c r="M693" s="60"/>
      <c r="N693" s="60"/>
      <c r="O693" s="30"/>
      <c r="P693" s="30"/>
      <c r="Q693" s="30"/>
      <c r="R693" s="30"/>
      <c r="S693" s="30"/>
      <c r="T693" s="30"/>
    </row>
    <row r="694" spans="1:20" ht="12.75" customHeight="1" x14ac:dyDescent="0.25">
      <c r="A694" s="342"/>
      <c r="B694" s="30"/>
      <c r="C694" s="30"/>
      <c r="D694" s="141"/>
      <c r="E694" s="42"/>
      <c r="F694" s="43"/>
      <c r="G694" s="59"/>
      <c r="H694" s="60"/>
      <c r="I694" s="60"/>
      <c r="J694" s="60"/>
      <c r="K694" s="60"/>
      <c r="L694" s="60"/>
      <c r="M694" s="60"/>
      <c r="N694" s="60"/>
      <c r="O694" s="30"/>
      <c r="P694" s="30"/>
      <c r="Q694" s="30"/>
      <c r="R694" s="30"/>
      <c r="S694" s="30"/>
      <c r="T694" s="30"/>
    </row>
    <row r="695" spans="1:20" ht="12.75" customHeight="1" x14ac:dyDescent="0.25">
      <c r="A695" s="342"/>
      <c r="B695" s="30"/>
      <c r="C695" s="30"/>
      <c r="D695" s="141"/>
      <c r="E695" s="42"/>
      <c r="F695" s="43"/>
      <c r="G695" s="59"/>
      <c r="H695" s="60"/>
      <c r="I695" s="60"/>
      <c r="J695" s="60"/>
      <c r="K695" s="60"/>
      <c r="L695" s="60"/>
      <c r="M695" s="60"/>
      <c r="N695" s="60"/>
      <c r="O695" s="30"/>
      <c r="P695" s="30"/>
      <c r="Q695" s="30"/>
      <c r="R695" s="30"/>
      <c r="S695" s="30"/>
      <c r="T695" s="30"/>
    </row>
    <row r="696" spans="1:20" ht="12.75" customHeight="1" x14ac:dyDescent="0.25">
      <c r="A696" s="342"/>
      <c r="B696" s="30"/>
      <c r="C696" s="30"/>
      <c r="D696" s="141"/>
      <c r="E696" s="42"/>
      <c r="F696" s="43"/>
      <c r="G696" s="59"/>
      <c r="H696" s="60"/>
      <c r="I696" s="60"/>
      <c r="J696" s="60"/>
      <c r="K696" s="60"/>
      <c r="L696" s="60"/>
      <c r="M696" s="60"/>
      <c r="N696" s="60"/>
      <c r="O696" s="30"/>
      <c r="P696" s="30"/>
      <c r="Q696" s="30"/>
      <c r="R696" s="30"/>
      <c r="S696" s="30"/>
      <c r="T696" s="30"/>
    </row>
    <row r="697" spans="1:20" ht="12.75" customHeight="1" x14ac:dyDescent="0.25">
      <c r="A697" s="342"/>
      <c r="B697" s="30"/>
      <c r="C697" s="30"/>
      <c r="D697" s="141"/>
      <c r="E697" s="42"/>
      <c r="F697" s="43"/>
      <c r="G697" s="59"/>
      <c r="H697" s="60"/>
      <c r="I697" s="60"/>
      <c r="J697" s="60"/>
      <c r="K697" s="60"/>
      <c r="L697" s="60"/>
      <c r="M697" s="60"/>
      <c r="N697" s="60"/>
      <c r="O697" s="30"/>
      <c r="P697" s="30"/>
      <c r="Q697" s="30"/>
      <c r="R697" s="30"/>
      <c r="S697" s="30"/>
      <c r="T697" s="30"/>
    </row>
    <row r="698" spans="1:20" ht="12.75" customHeight="1" x14ac:dyDescent="0.25">
      <c r="A698" s="342"/>
      <c r="B698" s="30"/>
      <c r="C698" s="30"/>
      <c r="D698" s="141"/>
      <c r="E698" s="42"/>
      <c r="F698" s="43"/>
      <c r="G698" s="59"/>
      <c r="H698" s="60"/>
      <c r="I698" s="60"/>
      <c r="J698" s="60"/>
      <c r="K698" s="60"/>
      <c r="L698" s="60"/>
      <c r="M698" s="60"/>
      <c r="N698" s="60"/>
      <c r="O698" s="30"/>
      <c r="P698" s="30"/>
      <c r="Q698" s="30"/>
      <c r="R698" s="30"/>
      <c r="S698" s="30"/>
      <c r="T698" s="30"/>
    </row>
    <row r="699" spans="1:20" ht="12.75" customHeight="1" x14ac:dyDescent="0.25">
      <c r="A699" s="342"/>
      <c r="B699" s="30"/>
      <c r="C699" s="30"/>
      <c r="D699" s="141"/>
      <c r="E699" s="42"/>
      <c r="F699" s="43"/>
      <c r="G699" s="59"/>
      <c r="H699" s="60"/>
      <c r="I699" s="60"/>
      <c r="J699" s="60"/>
      <c r="K699" s="60"/>
      <c r="L699" s="60"/>
      <c r="M699" s="60"/>
      <c r="N699" s="60"/>
      <c r="O699" s="30"/>
      <c r="P699" s="30"/>
      <c r="Q699" s="30"/>
      <c r="R699" s="30"/>
      <c r="S699" s="30"/>
      <c r="T699" s="30"/>
    </row>
    <row r="700" spans="1:20" ht="12.75" customHeight="1" x14ac:dyDescent="0.25">
      <c r="A700" s="342"/>
      <c r="B700" s="30"/>
      <c r="C700" s="30"/>
      <c r="D700" s="141"/>
      <c r="E700" s="42"/>
      <c r="F700" s="43"/>
      <c r="G700" s="59"/>
      <c r="H700" s="60"/>
      <c r="I700" s="60"/>
      <c r="J700" s="60"/>
      <c r="K700" s="60"/>
      <c r="L700" s="60"/>
      <c r="M700" s="60"/>
      <c r="N700" s="60"/>
      <c r="O700" s="30"/>
      <c r="P700" s="30"/>
      <c r="Q700" s="30"/>
      <c r="R700" s="30"/>
      <c r="S700" s="30"/>
      <c r="T700" s="30"/>
    </row>
    <row r="701" spans="1:20" ht="12.75" customHeight="1" x14ac:dyDescent="0.25">
      <c r="A701" s="342"/>
      <c r="B701" s="30"/>
      <c r="C701" s="30"/>
      <c r="D701" s="141"/>
      <c r="E701" s="42"/>
      <c r="F701" s="43"/>
      <c r="G701" s="59"/>
      <c r="H701" s="60"/>
      <c r="I701" s="60"/>
      <c r="J701" s="60"/>
      <c r="K701" s="60"/>
      <c r="L701" s="60"/>
      <c r="M701" s="60"/>
      <c r="N701" s="60"/>
      <c r="O701" s="30"/>
      <c r="P701" s="30"/>
      <c r="Q701" s="30"/>
      <c r="R701" s="30"/>
      <c r="S701" s="30"/>
      <c r="T701" s="30"/>
    </row>
    <row r="702" spans="1:20" ht="12.75" customHeight="1" x14ac:dyDescent="0.25">
      <c r="A702" s="342"/>
      <c r="B702" s="30"/>
      <c r="C702" s="30"/>
      <c r="D702" s="141"/>
      <c r="E702" s="42"/>
      <c r="F702" s="43"/>
      <c r="G702" s="59"/>
      <c r="H702" s="60"/>
      <c r="I702" s="60"/>
      <c r="J702" s="60"/>
      <c r="K702" s="60"/>
      <c r="L702" s="60"/>
      <c r="M702" s="60"/>
      <c r="N702" s="60"/>
      <c r="O702" s="30"/>
      <c r="P702" s="30"/>
      <c r="Q702" s="30"/>
      <c r="R702" s="30"/>
      <c r="S702" s="30"/>
      <c r="T702" s="30"/>
    </row>
    <row r="703" spans="1:20" ht="12.75" customHeight="1" x14ac:dyDescent="0.25">
      <c r="A703" s="342"/>
      <c r="B703" s="30"/>
      <c r="C703" s="30"/>
      <c r="D703" s="141"/>
      <c r="E703" s="42"/>
      <c r="F703" s="43"/>
      <c r="G703" s="59"/>
      <c r="H703" s="60"/>
      <c r="I703" s="60"/>
      <c r="J703" s="60"/>
      <c r="K703" s="60"/>
      <c r="L703" s="60"/>
      <c r="M703" s="60"/>
      <c r="N703" s="60"/>
      <c r="O703" s="30"/>
      <c r="P703" s="30"/>
      <c r="Q703" s="30"/>
      <c r="R703" s="30"/>
      <c r="S703" s="30"/>
      <c r="T703" s="30"/>
    </row>
    <row r="704" spans="1:20" ht="12.75" customHeight="1" x14ac:dyDescent="0.25">
      <c r="A704" s="342"/>
      <c r="B704" s="30"/>
      <c r="C704" s="30"/>
      <c r="D704" s="141"/>
      <c r="E704" s="42"/>
      <c r="F704" s="43"/>
      <c r="G704" s="59"/>
      <c r="H704" s="60"/>
      <c r="I704" s="60"/>
      <c r="J704" s="60"/>
      <c r="K704" s="60"/>
      <c r="L704" s="60"/>
      <c r="M704" s="60"/>
      <c r="N704" s="60"/>
      <c r="O704" s="30"/>
      <c r="P704" s="30"/>
      <c r="Q704" s="30"/>
      <c r="R704" s="30"/>
      <c r="S704" s="30"/>
      <c r="T704" s="30"/>
    </row>
    <row r="705" spans="1:20" ht="12.75" customHeight="1" x14ac:dyDescent="0.25">
      <c r="A705" s="342"/>
      <c r="B705" s="30"/>
      <c r="C705" s="30"/>
      <c r="D705" s="141"/>
      <c r="E705" s="42"/>
      <c r="F705" s="43"/>
      <c r="G705" s="59"/>
      <c r="H705" s="60"/>
      <c r="I705" s="60"/>
      <c r="J705" s="60"/>
      <c r="K705" s="60"/>
      <c r="L705" s="60"/>
      <c r="M705" s="60"/>
      <c r="N705" s="60"/>
      <c r="O705" s="30"/>
      <c r="P705" s="30"/>
      <c r="Q705" s="30"/>
      <c r="R705" s="30"/>
      <c r="S705" s="30"/>
      <c r="T705" s="30"/>
    </row>
    <row r="706" spans="1:20" ht="12.75" customHeight="1" x14ac:dyDescent="0.25">
      <c r="A706" s="342"/>
      <c r="B706" s="30"/>
      <c r="C706" s="30"/>
      <c r="D706" s="141"/>
      <c r="E706" s="42"/>
      <c r="F706" s="43"/>
      <c r="G706" s="59"/>
      <c r="H706" s="60"/>
      <c r="I706" s="60"/>
      <c r="J706" s="60"/>
      <c r="K706" s="60"/>
      <c r="L706" s="60"/>
      <c r="M706" s="60"/>
      <c r="N706" s="60"/>
      <c r="O706" s="30"/>
      <c r="P706" s="30"/>
      <c r="Q706" s="30"/>
      <c r="R706" s="30"/>
      <c r="S706" s="30"/>
      <c r="T706" s="30"/>
    </row>
    <row r="707" spans="1:20" ht="12.75" customHeight="1" x14ac:dyDescent="0.25">
      <c r="A707" s="342"/>
      <c r="B707" s="30"/>
      <c r="C707" s="30"/>
      <c r="D707" s="141"/>
      <c r="E707" s="42"/>
      <c r="F707" s="43"/>
      <c r="G707" s="59"/>
      <c r="H707" s="60"/>
      <c r="I707" s="60"/>
      <c r="J707" s="60"/>
      <c r="K707" s="60"/>
      <c r="L707" s="60"/>
      <c r="M707" s="60"/>
      <c r="N707" s="60"/>
      <c r="O707" s="30"/>
      <c r="P707" s="30"/>
      <c r="Q707" s="30"/>
      <c r="R707" s="30"/>
      <c r="S707" s="30"/>
      <c r="T707" s="30"/>
    </row>
    <row r="708" spans="1:20" ht="12.75" customHeight="1" x14ac:dyDescent="0.25">
      <c r="A708" s="342"/>
      <c r="B708" s="30"/>
      <c r="C708" s="30"/>
      <c r="D708" s="141"/>
      <c r="E708" s="42"/>
      <c r="F708" s="43"/>
      <c r="G708" s="59"/>
      <c r="H708" s="60"/>
      <c r="I708" s="60"/>
      <c r="J708" s="60"/>
      <c r="K708" s="60"/>
      <c r="L708" s="60"/>
      <c r="M708" s="60"/>
      <c r="N708" s="60"/>
      <c r="O708" s="30"/>
      <c r="P708" s="30"/>
      <c r="Q708" s="30"/>
      <c r="R708" s="30"/>
      <c r="S708" s="30"/>
      <c r="T708" s="30"/>
    </row>
    <row r="709" spans="1:20" ht="12.75" customHeight="1" x14ac:dyDescent="0.25">
      <c r="A709" s="342"/>
      <c r="B709" s="30"/>
      <c r="C709" s="30"/>
      <c r="D709" s="141"/>
      <c r="E709" s="42"/>
      <c r="F709" s="43"/>
      <c r="G709" s="59"/>
      <c r="H709" s="60"/>
      <c r="I709" s="60"/>
      <c r="J709" s="60"/>
      <c r="K709" s="60"/>
      <c r="L709" s="60"/>
      <c r="M709" s="60"/>
      <c r="N709" s="60"/>
      <c r="O709" s="30"/>
      <c r="P709" s="30"/>
      <c r="Q709" s="30"/>
      <c r="R709" s="30"/>
      <c r="S709" s="30"/>
      <c r="T709" s="30"/>
    </row>
    <row r="710" spans="1:20" ht="12.75" customHeight="1" x14ac:dyDescent="0.25">
      <c r="A710" s="342"/>
      <c r="B710" s="30"/>
      <c r="C710" s="30"/>
      <c r="D710" s="141"/>
      <c r="E710" s="42"/>
      <c r="F710" s="43"/>
      <c r="G710" s="59"/>
      <c r="H710" s="60"/>
      <c r="I710" s="60"/>
      <c r="J710" s="60"/>
      <c r="K710" s="60"/>
      <c r="L710" s="60"/>
      <c r="M710" s="60"/>
      <c r="N710" s="60"/>
      <c r="O710" s="30"/>
      <c r="P710" s="30"/>
      <c r="Q710" s="30"/>
      <c r="R710" s="30"/>
      <c r="S710" s="30"/>
      <c r="T710" s="30"/>
    </row>
    <row r="711" spans="1:20" ht="12.75" customHeight="1" x14ac:dyDescent="0.25">
      <c r="A711" s="342"/>
      <c r="B711" s="30"/>
      <c r="C711" s="30"/>
      <c r="D711" s="141"/>
      <c r="E711" s="42"/>
      <c r="F711" s="43"/>
      <c r="G711" s="59"/>
      <c r="H711" s="60"/>
      <c r="I711" s="60"/>
      <c r="J711" s="60"/>
      <c r="K711" s="60"/>
      <c r="L711" s="60"/>
      <c r="M711" s="60"/>
      <c r="N711" s="60"/>
      <c r="O711" s="30"/>
      <c r="P711" s="30"/>
      <c r="Q711" s="30"/>
      <c r="R711" s="30"/>
      <c r="S711" s="30"/>
      <c r="T711" s="30"/>
    </row>
    <row r="712" spans="1:20" ht="12.75" customHeight="1" x14ac:dyDescent="0.25">
      <c r="A712" s="342"/>
      <c r="B712" s="30"/>
      <c r="C712" s="30"/>
      <c r="D712" s="141"/>
      <c r="E712" s="42"/>
      <c r="F712" s="43"/>
      <c r="G712" s="59"/>
      <c r="H712" s="60"/>
      <c r="I712" s="60"/>
      <c r="J712" s="60"/>
      <c r="K712" s="60"/>
      <c r="L712" s="60"/>
      <c r="M712" s="60"/>
      <c r="N712" s="60"/>
      <c r="O712" s="30"/>
      <c r="P712" s="30"/>
      <c r="Q712" s="30"/>
      <c r="R712" s="30"/>
      <c r="S712" s="30"/>
      <c r="T712" s="30"/>
    </row>
    <row r="713" spans="1:20" ht="12.75" customHeight="1" x14ac:dyDescent="0.25">
      <c r="A713" s="342"/>
      <c r="B713" s="30"/>
      <c r="C713" s="30"/>
      <c r="D713" s="141"/>
      <c r="E713" s="42"/>
      <c r="F713" s="43"/>
      <c r="G713" s="59"/>
      <c r="H713" s="60"/>
      <c r="I713" s="60"/>
      <c r="J713" s="60"/>
      <c r="K713" s="60"/>
      <c r="L713" s="60"/>
      <c r="M713" s="60"/>
      <c r="N713" s="60"/>
      <c r="O713" s="30"/>
      <c r="P713" s="30"/>
      <c r="Q713" s="30"/>
      <c r="R713" s="30"/>
      <c r="S713" s="30"/>
      <c r="T713" s="30"/>
    </row>
    <row r="714" spans="1:20" ht="12.75" customHeight="1" x14ac:dyDescent="0.25">
      <c r="A714" s="342"/>
      <c r="B714" s="30"/>
      <c r="C714" s="30"/>
      <c r="D714" s="141"/>
      <c r="E714" s="42"/>
      <c r="F714" s="43"/>
      <c r="G714" s="59"/>
      <c r="H714" s="60"/>
      <c r="I714" s="60"/>
      <c r="J714" s="60"/>
      <c r="K714" s="60"/>
      <c r="L714" s="60"/>
      <c r="M714" s="60"/>
      <c r="N714" s="60"/>
      <c r="O714" s="30"/>
      <c r="P714" s="30"/>
      <c r="Q714" s="30"/>
      <c r="R714" s="30"/>
      <c r="S714" s="30"/>
      <c r="T714" s="30"/>
    </row>
    <row r="715" spans="1:20" ht="12.75" customHeight="1" x14ac:dyDescent="0.25">
      <c r="A715" s="342"/>
      <c r="B715" s="30"/>
      <c r="C715" s="30"/>
      <c r="D715" s="141"/>
      <c r="E715" s="42"/>
      <c r="F715" s="43"/>
      <c r="G715" s="59"/>
      <c r="H715" s="60"/>
      <c r="I715" s="60"/>
      <c r="J715" s="60"/>
      <c r="K715" s="60"/>
      <c r="L715" s="60"/>
      <c r="M715" s="60"/>
      <c r="N715" s="60"/>
      <c r="O715" s="30"/>
      <c r="P715" s="30"/>
      <c r="Q715" s="30"/>
      <c r="R715" s="30"/>
      <c r="S715" s="30"/>
      <c r="T715" s="30"/>
    </row>
    <row r="716" spans="1:20" ht="12.75" customHeight="1" x14ac:dyDescent="0.25">
      <c r="A716" s="342"/>
      <c r="B716" s="30"/>
      <c r="C716" s="30"/>
      <c r="D716" s="141"/>
      <c r="E716" s="42"/>
      <c r="F716" s="43"/>
      <c r="G716" s="59"/>
      <c r="H716" s="60"/>
      <c r="I716" s="60"/>
      <c r="J716" s="60"/>
      <c r="K716" s="60"/>
      <c r="L716" s="60"/>
      <c r="M716" s="60"/>
      <c r="N716" s="60"/>
      <c r="O716" s="30"/>
      <c r="P716" s="30"/>
      <c r="Q716" s="30"/>
      <c r="R716" s="30"/>
      <c r="S716" s="30"/>
      <c r="T716" s="30"/>
    </row>
    <row r="717" spans="1:20" ht="12.75" customHeight="1" x14ac:dyDescent="0.25">
      <c r="A717" s="342"/>
      <c r="B717" s="30"/>
      <c r="C717" s="30"/>
      <c r="D717" s="141"/>
      <c r="E717" s="42"/>
      <c r="F717" s="43"/>
      <c r="G717" s="59"/>
      <c r="H717" s="60"/>
      <c r="I717" s="60"/>
      <c r="J717" s="60"/>
      <c r="K717" s="60"/>
      <c r="L717" s="60"/>
      <c r="M717" s="60"/>
      <c r="N717" s="60"/>
      <c r="O717" s="30"/>
      <c r="P717" s="30"/>
      <c r="Q717" s="30"/>
      <c r="R717" s="30"/>
      <c r="S717" s="30"/>
      <c r="T717" s="30"/>
    </row>
    <row r="718" spans="1:20" ht="12.75" customHeight="1" x14ac:dyDescent="0.25">
      <c r="A718" s="342"/>
      <c r="B718" s="30"/>
      <c r="C718" s="30"/>
      <c r="D718" s="141"/>
      <c r="E718" s="42"/>
      <c r="F718" s="43"/>
      <c r="G718" s="59"/>
      <c r="H718" s="60"/>
      <c r="I718" s="60"/>
      <c r="J718" s="60"/>
      <c r="K718" s="60"/>
      <c r="L718" s="60"/>
      <c r="M718" s="60"/>
      <c r="N718" s="60"/>
      <c r="O718" s="30"/>
      <c r="P718" s="30"/>
      <c r="Q718" s="30"/>
      <c r="R718" s="30"/>
      <c r="S718" s="30"/>
      <c r="T718" s="30"/>
    </row>
    <row r="719" spans="1:20" ht="12.75" customHeight="1" x14ac:dyDescent="0.25">
      <c r="A719" s="342"/>
      <c r="B719" s="30"/>
      <c r="C719" s="30"/>
      <c r="D719" s="141"/>
      <c r="E719" s="42"/>
      <c r="F719" s="43"/>
      <c r="G719" s="59"/>
      <c r="H719" s="60"/>
      <c r="I719" s="60"/>
      <c r="J719" s="60"/>
      <c r="K719" s="60"/>
      <c r="L719" s="60"/>
      <c r="M719" s="60"/>
      <c r="N719" s="60"/>
      <c r="O719" s="30"/>
      <c r="P719" s="30"/>
      <c r="Q719" s="30"/>
      <c r="R719" s="30"/>
      <c r="S719" s="30"/>
      <c r="T719" s="30"/>
    </row>
    <row r="720" spans="1:20" ht="12.75" customHeight="1" x14ac:dyDescent="0.25">
      <c r="A720" s="342"/>
      <c r="B720" s="30"/>
      <c r="C720" s="30"/>
      <c r="D720" s="141"/>
      <c r="E720" s="42"/>
      <c r="F720" s="43"/>
      <c r="G720" s="59"/>
      <c r="H720" s="60"/>
      <c r="I720" s="60"/>
      <c r="J720" s="60"/>
      <c r="K720" s="60"/>
      <c r="L720" s="60"/>
      <c r="M720" s="60"/>
      <c r="N720" s="60"/>
      <c r="O720" s="30"/>
      <c r="P720" s="30"/>
      <c r="Q720" s="30"/>
      <c r="R720" s="30"/>
      <c r="S720" s="30"/>
      <c r="T720" s="30"/>
    </row>
    <row r="721" spans="1:20" ht="12.75" customHeight="1" x14ac:dyDescent="0.25">
      <c r="A721" s="342"/>
      <c r="B721" s="30"/>
      <c r="C721" s="30"/>
      <c r="D721" s="141"/>
      <c r="E721" s="42"/>
      <c r="F721" s="43"/>
      <c r="G721" s="59"/>
      <c r="H721" s="60"/>
      <c r="I721" s="60"/>
      <c r="J721" s="60"/>
      <c r="K721" s="60"/>
      <c r="L721" s="60"/>
      <c r="M721" s="60"/>
      <c r="N721" s="60"/>
      <c r="O721" s="30"/>
      <c r="P721" s="30"/>
      <c r="Q721" s="30"/>
      <c r="R721" s="30"/>
      <c r="S721" s="30"/>
      <c r="T721" s="30"/>
    </row>
    <row r="722" spans="1:20" ht="12.75" customHeight="1" x14ac:dyDescent="0.25">
      <c r="A722" s="342"/>
      <c r="B722" s="30"/>
      <c r="C722" s="30"/>
      <c r="D722" s="141"/>
      <c r="E722" s="42"/>
      <c r="F722" s="43"/>
      <c r="G722" s="59"/>
      <c r="H722" s="60"/>
      <c r="I722" s="60"/>
      <c r="J722" s="60"/>
      <c r="K722" s="60"/>
      <c r="L722" s="60"/>
      <c r="M722" s="60"/>
      <c r="N722" s="60"/>
      <c r="O722" s="30"/>
      <c r="P722" s="30"/>
      <c r="Q722" s="30"/>
      <c r="R722" s="30"/>
      <c r="S722" s="30"/>
      <c r="T722" s="30"/>
    </row>
    <row r="723" spans="1:20" ht="12.75" customHeight="1" x14ac:dyDescent="0.25">
      <c r="A723" s="342"/>
      <c r="B723" s="30"/>
      <c r="C723" s="30"/>
      <c r="D723" s="141"/>
      <c r="E723" s="42"/>
      <c r="F723" s="43"/>
      <c r="G723" s="59"/>
      <c r="H723" s="60"/>
      <c r="I723" s="60"/>
      <c r="J723" s="60"/>
      <c r="K723" s="60"/>
      <c r="L723" s="60"/>
      <c r="M723" s="60"/>
      <c r="N723" s="60"/>
      <c r="O723" s="30"/>
      <c r="P723" s="30"/>
      <c r="Q723" s="30"/>
      <c r="R723" s="30"/>
      <c r="S723" s="30"/>
      <c r="T723" s="30"/>
    </row>
    <row r="724" spans="1:20" ht="12.75" customHeight="1" x14ac:dyDescent="0.25">
      <c r="A724" s="342"/>
      <c r="B724" s="30"/>
      <c r="C724" s="30"/>
      <c r="D724" s="141"/>
      <c r="E724" s="42"/>
      <c r="F724" s="43"/>
      <c r="G724" s="59"/>
      <c r="H724" s="60"/>
      <c r="I724" s="60"/>
      <c r="J724" s="60"/>
      <c r="K724" s="60"/>
      <c r="L724" s="60"/>
      <c r="M724" s="60"/>
      <c r="N724" s="60"/>
      <c r="O724" s="30"/>
      <c r="P724" s="30"/>
      <c r="Q724" s="30"/>
      <c r="R724" s="30"/>
      <c r="S724" s="30"/>
      <c r="T724" s="30"/>
    </row>
    <row r="725" spans="1:20" ht="12.75" customHeight="1" x14ac:dyDescent="0.25">
      <c r="A725" s="342"/>
      <c r="B725" s="30"/>
      <c r="C725" s="30"/>
      <c r="D725" s="141"/>
      <c r="E725" s="42"/>
      <c r="F725" s="43"/>
      <c r="G725" s="59"/>
      <c r="H725" s="60"/>
      <c r="I725" s="60"/>
      <c r="J725" s="60"/>
      <c r="K725" s="60"/>
      <c r="L725" s="60"/>
      <c r="M725" s="60"/>
      <c r="N725" s="60"/>
      <c r="O725" s="30"/>
      <c r="P725" s="30"/>
      <c r="Q725" s="30"/>
      <c r="R725" s="30"/>
      <c r="S725" s="30"/>
      <c r="T725" s="30"/>
    </row>
    <row r="726" spans="1:20" ht="12.75" customHeight="1" x14ac:dyDescent="0.25">
      <c r="A726" s="342"/>
      <c r="B726" s="30"/>
      <c r="C726" s="30"/>
      <c r="D726" s="141"/>
      <c r="E726" s="42"/>
      <c r="F726" s="43"/>
      <c r="G726" s="59"/>
      <c r="H726" s="60"/>
      <c r="I726" s="60"/>
      <c r="J726" s="60"/>
      <c r="K726" s="60"/>
      <c r="L726" s="60"/>
      <c r="M726" s="60"/>
      <c r="N726" s="60"/>
      <c r="O726" s="30"/>
      <c r="P726" s="30"/>
      <c r="Q726" s="30"/>
      <c r="R726" s="30"/>
      <c r="S726" s="30"/>
      <c r="T726" s="30"/>
    </row>
    <row r="727" spans="1:20" ht="12.75" customHeight="1" x14ac:dyDescent="0.25">
      <c r="A727" s="342"/>
      <c r="B727" s="30"/>
      <c r="C727" s="30"/>
      <c r="D727" s="141"/>
      <c r="E727" s="42"/>
      <c r="F727" s="43"/>
      <c r="G727" s="59"/>
      <c r="H727" s="60"/>
      <c r="I727" s="60"/>
      <c r="J727" s="60"/>
      <c r="K727" s="60"/>
      <c r="L727" s="60"/>
      <c r="M727" s="60"/>
      <c r="N727" s="60"/>
      <c r="O727" s="30"/>
      <c r="P727" s="30"/>
      <c r="Q727" s="30"/>
      <c r="R727" s="30"/>
      <c r="S727" s="30"/>
      <c r="T727" s="30"/>
    </row>
    <row r="728" spans="1:20" ht="12.75" customHeight="1" x14ac:dyDescent="0.25">
      <c r="A728" s="342"/>
      <c r="B728" s="30"/>
      <c r="C728" s="30"/>
      <c r="D728" s="141"/>
      <c r="E728" s="42"/>
      <c r="F728" s="43"/>
      <c r="G728" s="59"/>
      <c r="H728" s="60"/>
      <c r="I728" s="60"/>
      <c r="J728" s="60"/>
      <c r="K728" s="60"/>
      <c r="L728" s="60"/>
      <c r="M728" s="60"/>
      <c r="N728" s="60"/>
      <c r="O728" s="30"/>
      <c r="P728" s="30"/>
      <c r="Q728" s="30"/>
      <c r="R728" s="30"/>
      <c r="S728" s="30"/>
      <c r="T728" s="30"/>
    </row>
    <row r="729" spans="1:20" ht="12.75" customHeight="1" x14ac:dyDescent="0.25">
      <c r="A729" s="342"/>
      <c r="B729" s="30"/>
      <c r="C729" s="30"/>
      <c r="D729" s="141"/>
      <c r="E729" s="42"/>
      <c r="F729" s="43"/>
      <c r="G729" s="59"/>
      <c r="H729" s="60"/>
      <c r="I729" s="60"/>
      <c r="J729" s="60"/>
      <c r="K729" s="60"/>
      <c r="L729" s="60"/>
      <c r="M729" s="60"/>
      <c r="N729" s="60"/>
      <c r="O729" s="30"/>
      <c r="P729" s="30"/>
      <c r="Q729" s="30"/>
      <c r="R729" s="30"/>
      <c r="S729" s="30"/>
      <c r="T729" s="30"/>
    </row>
    <row r="730" spans="1:20" ht="12.75" customHeight="1" x14ac:dyDescent="0.25">
      <c r="A730" s="342"/>
      <c r="B730" s="30"/>
      <c r="C730" s="30"/>
      <c r="D730" s="141"/>
      <c r="E730" s="42"/>
      <c r="F730" s="43"/>
      <c r="G730" s="59"/>
      <c r="H730" s="60"/>
      <c r="I730" s="60"/>
      <c r="J730" s="60"/>
      <c r="K730" s="60"/>
      <c r="L730" s="60"/>
      <c r="M730" s="60"/>
      <c r="N730" s="60"/>
      <c r="O730" s="30"/>
      <c r="P730" s="30"/>
      <c r="Q730" s="30"/>
      <c r="R730" s="30"/>
      <c r="S730" s="30"/>
      <c r="T730" s="30"/>
    </row>
    <row r="731" spans="1:20" ht="12.75" customHeight="1" x14ac:dyDescent="0.25">
      <c r="A731" s="342"/>
      <c r="B731" s="30"/>
      <c r="C731" s="30"/>
      <c r="D731" s="141"/>
      <c r="E731" s="42"/>
      <c r="F731" s="43"/>
      <c r="G731" s="59"/>
      <c r="H731" s="60"/>
      <c r="I731" s="60"/>
      <c r="J731" s="60"/>
      <c r="K731" s="60"/>
      <c r="L731" s="60"/>
      <c r="M731" s="60"/>
      <c r="N731" s="60"/>
      <c r="O731" s="30"/>
      <c r="P731" s="30"/>
      <c r="Q731" s="30"/>
      <c r="R731" s="30"/>
      <c r="S731" s="30"/>
      <c r="T731" s="30"/>
    </row>
    <row r="732" spans="1:20" ht="12.75" customHeight="1" x14ac:dyDescent="0.25">
      <c r="A732" s="342"/>
      <c r="B732" s="30"/>
      <c r="C732" s="30"/>
      <c r="D732" s="141"/>
      <c r="E732" s="42"/>
      <c r="F732" s="43"/>
      <c r="G732" s="59"/>
      <c r="H732" s="60"/>
      <c r="I732" s="60"/>
      <c r="J732" s="60"/>
      <c r="K732" s="60"/>
      <c r="L732" s="60"/>
      <c r="M732" s="60"/>
      <c r="N732" s="60"/>
      <c r="O732" s="30"/>
      <c r="P732" s="30"/>
      <c r="Q732" s="30"/>
      <c r="R732" s="30"/>
      <c r="S732" s="30"/>
      <c r="T732" s="30"/>
    </row>
    <row r="733" spans="1:20" ht="12.75" customHeight="1" x14ac:dyDescent="0.25">
      <c r="A733" s="342"/>
      <c r="B733" s="30"/>
      <c r="C733" s="30"/>
      <c r="D733" s="141"/>
      <c r="E733" s="42"/>
      <c r="F733" s="43"/>
      <c r="G733" s="59"/>
      <c r="H733" s="60"/>
      <c r="I733" s="60"/>
      <c r="J733" s="60"/>
      <c r="K733" s="60"/>
      <c r="L733" s="60"/>
      <c r="M733" s="60"/>
      <c r="N733" s="60"/>
      <c r="O733" s="30"/>
      <c r="P733" s="30"/>
      <c r="Q733" s="30"/>
      <c r="R733" s="30"/>
      <c r="S733" s="30"/>
      <c r="T733" s="30"/>
    </row>
    <row r="734" spans="1:20" ht="12.75" customHeight="1" x14ac:dyDescent="0.25">
      <c r="A734" s="342"/>
      <c r="B734" s="30"/>
      <c r="C734" s="30"/>
      <c r="D734" s="141"/>
      <c r="E734" s="42"/>
      <c r="F734" s="43"/>
      <c r="G734" s="59"/>
      <c r="H734" s="60"/>
      <c r="I734" s="60"/>
      <c r="J734" s="60"/>
      <c r="K734" s="60"/>
      <c r="L734" s="60"/>
      <c r="M734" s="60"/>
      <c r="N734" s="60"/>
      <c r="O734" s="30"/>
      <c r="P734" s="30"/>
      <c r="Q734" s="30"/>
      <c r="R734" s="30"/>
      <c r="S734" s="30"/>
      <c r="T734" s="30"/>
    </row>
    <row r="735" spans="1:20" ht="12.75" customHeight="1" x14ac:dyDescent="0.25">
      <c r="A735" s="342"/>
      <c r="B735" s="30"/>
      <c r="C735" s="30"/>
      <c r="D735" s="141"/>
      <c r="E735" s="42"/>
      <c r="F735" s="43"/>
      <c r="G735" s="59"/>
      <c r="H735" s="60"/>
      <c r="I735" s="60"/>
      <c r="J735" s="60"/>
      <c r="K735" s="60"/>
      <c r="L735" s="60"/>
      <c r="M735" s="60"/>
      <c r="N735" s="60"/>
      <c r="O735" s="30"/>
      <c r="P735" s="30"/>
      <c r="Q735" s="30"/>
      <c r="R735" s="30"/>
      <c r="S735" s="30"/>
      <c r="T735" s="30"/>
    </row>
    <row r="736" spans="1:20" ht="12.75" customHeight="1" x14ac:dyDescent="0.25">
      <c r="A736" s="342"/>
      <c r="B736" s="30"/>
      <c r="C736" s="30"/>
      <c r="D736" s="141"/>
      <c r="E736" s="42"/>
      <c r="F736" s="43"/>
      <c r="G736" s="59"/>
      <c r="H736" s="60"/>
      <c r="I736" s="60"/>
      <c r="J736" s="60"/>
      <c r="K736" s="60"/>
      <c r="L736" s="60"/>
      <c r="M736" s="60"/>
      <c r="N736" s="60"/>
      <c r="O736" s="30"/>
      <c r="P736" s="30"/>
      <c r="Q736" s="30"/>
      <c r="R736" s="30"/>
      <c r="S736" s="30"/>
      <c r="T736" s="30"/>
    </row>
    <row r="737" spans="1:20" ht="12.75" customHeight="1" x14ac:dyDescent="0.25">
      <c r="A737" s="342"/>
      <c r="B737" s="30"/>
      <c r="C737" s="30"/>
      <c r="D737" s="141"/>
      <c r="E737" s="42"/>
      <c r="F737" s="43"/>
      <c r="G737" s="59"/>
      <c r="H737" s="60"/>
      <c r="I737" s="60"/>
      <c r="J737" s="60"/>
      <c r="K737" s="60"/>
      <c r="L737" s="60"/>
      <c r="M737" s="60"/>
      <c r="N737" s="60"/>
      <c r="O737" s="30"/>
      <c r="P737" s="30"/>
      <c r="Q737" s="30"/>
      <c r="R737" s="30"/>
      <c r="S737" s="30"/>
      <c r="T737" s="30"/>
    </row>
    <row r="738" spans="1:20" ht="12.75" customHeight="1" x14ac:dyDescent="0.25">
      <c r="A738" s="342"/>
      <c r="B738" s="30"/>
      <c r="C738" s="30"/>
      <c r="D738" s="141"/>
      <c r="E738" s="42"/>
      <c r="F738" s="43"/>
      <c r="G738" s="59"/>
      <c r="H738" s="60"/>
      <c r="I738" s="60"/>
      <c r="J738" s="60"/>
      <c r="K738" s="60"/>
      <c r="L738" s="60"/>
      <c r="M738" s="60"/>
      <c r="N738" s="60"/>
      <c r="O738" s="30"/>
      <c r="P738" s="30"/>
      <c r="Q738" s="30"/>
      <c r="R738" s="30"/>
      <c r="S738" s="30"/>
      <c r="T738" s="30"/>
    </row>
    <row r="739" spans="1:20" ht="12.75" customHeight="1" x14ac:dyDescent="0.25">
      <c r="A739" s="342"/>
      <c r="B739" s="30"/>
      <c r="C739" s="30"/>
      <c r="D739" s="141"/>
      <c r="E739" s="42"/>
      <c r="F739" s="43"/>
      <c r="G739" s="59"/>
      <c r="H739" s="60"/>
      <c r="I739" s="60"/>
      <c r="J739" s="60"/>
      <c r="K739" s="60"/>
      <c r="L739" s="60"/>
      <c r="M739" s="60"/>
      <c r="N739" s="60"/>
      <c r="O739" s="30"/>
      <c r="P739" s="30"/>
      <c r="Q739" s="30"/>
      <c r="R739" s="30"/>
      <c r="S739" s="30"/>
      <c r="T739" s="30"/>
    </row>
    <row r="740" spans="1:20" ht="12.75" customHeight="1" x14ac:dyDescent="0.25">
      <c r="A740" s="342"/>
      <c r="B740" s="30"/>
      <c r="C740" s="30"/>
      <c r="D740" s="141"/>
      <c r="E740" s="42"/>
      <c r="F740" s="43"/>
      <c r="G740" s="59"/>
      <c r="H740" s="60"/>
      <c r="I740" s="60"/>
      <c r="J740" s="60"/>
      <c r="K740" s="60"/>
      <c r="L740" s="60"/>
      <c r="M740" s="60"/>
      <c r="N740" s="60"/>
      <c r="O740" s="30"/>
      <c r="P740" s="30"/>
      <c r="Q740" s="30"/>
      <c r="R740" s="30"/>
      <c r="S740" s="30"/>
      <c r="T740" s="30"/>
    </row>
    <row r="741" spans="1:20" ht="12.75" customHeight="1" x14ac:dyDescent="0.25">
      <c r="A741" s="342"/>
      <c r="B741" s="30"/>
      <c r="C741" s="30"/>
      <c r="D741" s="141"/>
      <c r="E741" s="42"/>
      <c r="F741" s="43"/>
      <c r="G741" s="59"/>
      <c r="H741" s="60"/>
      <c r="I741" s="60"/>
      <c r="J741" s="60"/>
      <c r="K741" s="60"/>
      <c r="L741" s="60"/>
      <c r="M741" s="60"/>
      <c r="N741" s="60"/>
      <c r="O741" s="30"/>
      <c r="P741" s="30"/>
      <c r="Q741" s="30"/>
      <c r="R741" s="30"/>
      <c r="S741" s="30"/>
      <c r="T741" s="30"/>
    </row>
    <row r="742" spans="1:20" ht="12.75" customHeight="1" x14ac:dyDescent="0.25">
      <c r="A742" s="342"/>
      <c r="B742" s="30"/>
      <c r="C742" s="30"/>
      <c r="D742" s="141"/>
      <c r="E742" s="42"/>
      <c r="F742" s="43"/>
      <c r="G742" s="59"/>
      <c r="H742" s="60"/>
      <c r="I742" s="60"/>
      <c r="J742" s="60"/>
      <c r="K742" s="60"/>
      <c r="L742" s="60"/>
      <c r="M742" s="60"/>
      <c r="N742" s="60"/>
      <c r="O742" s="30"/>
      <c r="P742" s="30"/>
      <c r="Q742" s="30"/>
      <c r="R742" s="30"/>
      <c r="S742" s="30"/>
      <c r="T742" s="30"/>
    </row>
    <row r="743" spans="1:20" ht="12.75" customHeight="1" x14ac:dyDescent="0.25">
      <c r="A743" s="342"/>
      <c r="B743" s="30"/>
      <c r="C743" s="30"/>
      <c r="D743" s="141"/>
      <c r="E743" s="42"/>
      <c r="F743" s="43"/>
      <c r="G743" s="59"/>
      <c r="H743" s="60"/>
      <c r="I743" s="60"/>
      <c r="J743" s="60"/>
      <c r="K743" s="60"/>
      <c r="L743" s="60"/>
      <c r="M743" s="60"/>
      <c r="N743" s="60"/>
      <c r="O743" s="30"/>
      <c r="P743" s="30"/>
      <c r="Q743" s="30"/>
      <c r="R743" s="30"/>
      <c r="S743" s="30"/>
      <c r="T743" s="30"/>
    </row>
    <row r="744" spans="1:20" ht="12.75" customHeight="1" x14ac:dyDescent="0.25">
      <c r="A744" s="342"/>
      <c r="B744" s="30"/>
      <c r="C744" s="30"/>
      <c r="D744" s="141"/>
      <c r="E744" s="42"/>
      <c r="F744" s="43"/>
      <c r="G744" s="59"/>
      <c r="H744" s="60"/>
      <c r="I744" s="60"/>
      <c r="J744" s="60"/>
      <c r="K744" s="60"/>
      <c r="L744" s="60"/>
      <c r="M744" s="60"/>
      <c r="N744" s="60"/>
      <c r="O744" s="30"/>
      <c r="P744" s="30"/>
      <c r="Q744" s="30"/>
      <c r="R744" s="30"/>
      <c r="S744" s="30"/>
      <c r="T744" s="30"/>
    </row>
    <row r="745" spans="1:20" ht="12.75" customHeight="1" x14ac:dyDescent="0.25">
      <c r="A745" s="342"/>
      <c r="B745" s="30"/>
      <c r="C745" s="30"/>
      <c r="D745" s="141"/>
      <c r="E745" s="42"/>
      <c r="F745" s="43"/>
      <c r="G745" s="59"/>
      <c r="H745" s="60"/>
      <c r="I745" s="60"/>
      <c r="J745" s="60"/>
      <c r="K745" s="60"/>
      <c r="L745" s="60"/>
      <c r="M745" s="60"/>
      <c r="N745" s="60"/>
      <c r="O745" s="30"/>
      <c r="P745" s="30"/>
      <c r="Q745" s="30"/>
      <c r="R745" s="30"/>
      <c r="S745" s="30"/>
      <c r="T745" s="30"/>
    </row>
    <row r="746" spans="1:20" ht="12.75" customHeight="1" x14ac:dyDescent="0.25">
      <c r="A746" s="342"/>
      <c r="B746" s="30"/>
      <c r="C746" s="30"/>
      <c r="D746" s="141"/>
      <c r="E746" s="42"/>
      <c r="F746" s="43"/>
      <c r="G746" s="59"/>
      <c r="H746" s="60"/>
      <c r="I746" s="60"/>
      <c r="J746" s="60"/>
      <c r="K746" s="60"/>
      <c r="L746" s="60"/>
      <c r="M746" s="60"/>
      <c r="N746" s="60"/>
      <c r="O746" s="30"/>
      <c r="P746" s="30"/>
      <c r="Q746" s="30"/>
      <c r="R746" s="30"/>
      <c r="S746" s="30"/>
      <c r="T746" s="30"/>
    </row>
    <row r="747" spans="1:20" ht="12.75" customHeight="1" x14ac:dyDescent="0.25">
      <c r="A747" s="342"/>
      <c r="B747" s="30"/>
      <c r="C747" s="30"/>
      <c r="D747" s="141"/>
      <c r="E747" s="42"/>
      <c r="F747" s="43"/>
      <c r="G747" s="59"/>
      <c r="H747" s="60"/>
      <c r="I747" s="60"/>
      <c r="J747" s="60"/>
      <c r="K747" s="60"/>
      <c r="L747" s="60"/>
      <c r="M747" s="60"/>
      <c r="N747" s="60"/>
      <c r="O747" s="30"/>
      <c r="P747" s="30"/>
      <c r="Q747" s="30"/>
      <c r="R747" s="30"/>
      <c r="S747" s="30"/>
      <c r="T747" s="30"/>
    </row>
    <row r="748" spans="1:20" ht="12.75" customHeight="1" x14ac:dyDescent="0.25">
      <c r="A748" s="342"/>
      <c r="B748" s="30"/>
      <c r="C748" s="30"/>
      <c r="D748" s="141"/>
      <c r="E748" s="42"/>
      <c r="F748" s="43"/>
      <c r="G748" s="59"/>
      <c r="H748" s="60"/>
      <c r="I748" s="60"/>
      <c r="J748" s="60"/>
      <c r="K748" s="60"/>
      <c r="L748" s="60"/>
      <c r="M748" s="60"/>
      <c r="N748" s="60"/>
      <c r="O748" s="30"/>
      <c r="P748" s="30"/>
      <c r="Q748" s="30"/>
      <c r="R748" s="30"/>
      <c r="S748" s="30"/>
      <c r="T748" s="30"/>
    </row>
    <row r="749" spans="1:20" ht="12.75" customHeight="1" x14ac:dyDescent="0.25">
      <c r="A749" s="342"/>
      <c r="B749" s="30"/>
      <c r="C749" s="30"/>
      <c r="D749" s="141"/>
      <c r="E749" s="42"/>
      <c r="F749" s="43"/>
      <c r="G749" s="59"/>
      <c r="H749" s="60"/>
      <c r="I749" s="60"/>
      <c r="J749" s="60"/>
      <c r="K749" s="60"/>
      <c r="L749" s="60"/>
      <c r="M749" s="60"/>
      <c r="N749" s="60"/>
      <c r="O749" s="30"/>
      <c r="P749" s="30"/>
      <c r="Q749" s="30"/>
      <c r="R749" s="30"/>
      <c r="S749" s="30"/>
      <c r="T749" s="30"/>
    </row>
    <row r="750" spans="1:20" ht="12.75" customHeight="1" x14ac:dyDescent="0.25">
      <c r="A750" s="342"/>
      <c r="B750" s="30"/>
      <c r="C750" s="30"/>
      <c r="D750" s="141"/>
      <c r="E750" s="42"/>
      <c r="F750" s="43"/>
      <c r="G750" s="59"/>
      <c r="H750" s="60"/>
      <c r="I750" s="60"/>
      <c r="J750" s="60"/>
      <c r="K750" s="60"/>
      <c r="L750" s="60"/>
      <c r="M750" s="60"/>
      <c r="N750" s="60"/>
      <c r="O750" s="30"/>
      <c r="P750" s="30"/>
      <c r="Q750" s="30"/>
      <c r="R750" s="30"/>
      <c r="S750" s="30"/>
      <c r="T750" s="30"/>
    </row>
    <row r="751" spans="1:20" ht="12.75" customHeight="1" x14ac:dyDescent="0.25">
      <c r="A751" s="342"/>
      <c r="B751" s="30"/>
      <c r="C751" s="30"/>
      <c r="D751" s="141"/>
      <c r="E751" s="42"/>
      <c r="F751" s="43"/>
      <c r="G751" s="59"/>
      <c r="H751" s="60"/>
      <c r="I751" s="60"/>
      <c r="J751" s="60"/>
      <c r="K751" s="60"/>
      <c r="L751" s="60"/>
      <c r="M751" s="60"/>
      <c r="N751" s="60"/>
      <c r="O751" s="30"/>
      <c r="P751" s="30"/>
      <c r="Q751" s="30"/>
      <c r="R751" s="30"/>
      <c r="S751" s="30"/>
      <c r="T751" s="30"/>
    </row>
    <row r="752" spans="1:20" ht="12.75" customHeight="1" x14ac:dyDescent="0.25">
      <c r="A752" s="342"/>
      <c r="B752" s="30"/>
      <c r="C752" s="30"/>
      <c r="D752" s="141"/>
      <c r="E752" s="42"/>
      <c r="F752" s="43"/>
      <c r="G752" s="59"/>
      <c r="H752" s="60"/>
      <c r="I752" s="60"/>
      <c r="J752" s="60"/>
      <c r="K752" s="60"/>
      <c r="L752" s="60"/>
      <c r="M752" s="60"/>
      <c r="N752" s="60"/>
      <c r="O752" s="30"/>
      <c r="P752" s="30"/>
      <c r="Q752" s="30"/>
      <c r="R752" s="30"/>
      <c r="S752" s="30"/>
      <c r="T752" s="30"/>
    </row>
    <row r="753" spans="1:20" ht="12.75" customHeight="1" x14ac:dyDescent="0.25">
      <c r="A753" s="342"/>
      <c r="B753" s="30"/>
      <c r="C753" s="30"/>
      <c r="D753" s="141"/>
      <c r="E753" s="42"/>
      <c r="F753" s="43"/>
      <c r="G753" s="59"/>
      <c r="H753" s="60"/>
      <c r="I753" s="60"/>
      <c r="J753" s="60"/>
      <c r="K753" s="60"/>
      <c r="L753" s="60"/>
      <c r="M753" s="60"/>
      <c r="N753" s="60"/>
      <c r="O753" s="30"/>
      <c r="P753" s="30"/>
      <c r="Q753" s="30"/>
      <c r="R753" s="30"/>
      <c r="S753" s="30"/>
      <c r="T753" s="30"/>
    </row>
    <row r="754" spans="1:20" ht="12.75" customHeight="1" x14ac:dyDescent="0.25">
      <c r="A754" s="342"/>
      <c r="B754" s="30"/>
      <c r="C754" s="30"/>
      <c r="D754" s="141"/>
      <c r="E754" s="42"/>
      <c r="F754" s="43"/>
      <c r="G754" s="59"/>
      <c r="H754" s="60"/>
      <c r="I754" s="60"/>
      <c r="J754" s="60"/>
      <c r="K754" s="60"/>
      <c r="L754" s="60"/>
      <c r="M754" s="60"/>
      <c r="N754" s="60"/>
      <c r="O754" s="30"/>
      <c r="P754" s="30"/>
      <c r="Q754" s="30"/>
      <c r="R754" s="30"/>
      <c r="S754" s="30"/>
      <c r="T754" s="30"/>
    </row>
    <row r="755" spans="1:20" ht="12.75" customHeight="1" x14ac:dyDescent="0.25">
      <c r="A755" s="342"/>
      <c r="B755" s="30"/>
      <c r="C755" s="30"/>
      <c r="D755" s="141"/>
      <c r="E755" s="42"/>
      <c r="F755" s="43"/>
      <c r="G755" s="59"/>
      <c r="H755" s="60"/>
      <c r="I755" s="60"/>
      <c r="J755" s="60"/>
      <c r="K755" s="60"/>
      <c r="L755" s="60"/>
      <c r="M755" s="60"/>
      <c r="N755" s="60"/>
      <c r="O755" s="30"/>
      <c r="P755" s="30"/>
      <c r="Q755" s="30"/>
      <c r="R755" s="30"/>
      <c r="S755" s="30"/>
      <c r="T755" s="30"/>
    </row>
    <row r="756" spans="1:20" ht="12.75" customHeight="1" x14ac:dyDescent="0.25">
      <c r="A756" s="342"/>
      <c r="B756" s="30"/>
      <c r="C756" s="30"/>
      <c r="D756" s="141"/>
      <c r="E756" s="42"/>
      <c r="F756" s="43"/>
      <c r="G756" s="59"/>
      <c r="H756" s="60"/>
      <c r="I756" s="60"/>
      <c r="J756" s="60"/>
      <c r="K756" s="60"/>
      <c r="L756" s="60"/>
      <c r="M756" s="60"/>
      <c r="N756" s="60"/>
      <c r="O756" s="30"/>
      <c r="P756" s="30"/>
      <c r="Q756" s="30"/>
      <c r="R756" s="30"/>
      <c r="S756" s="30"/>
      <c r="T756" s="30"/>
    </row>
    <row r="757" spans="1:20" ht="12.75" customHeight="1" x14ac:dyDescent="0.25">
      <c r="A757" s="342"/>
      <c r="B757" s="30"/>
      <c r="C757" s="30"/>
      <c r="D757" s="141"/>
      <c r="E757" s="42"/>
      <c r="F757" s="43"/>
      <c r="G757" s="59"/>
      <c r="H757" s="60"/>
      <c r="I757" s="60"/>
      <c r="J757" s="60"/>
      <c r="K757" s="60"/>
      <c r="L757" s="60"/>
      <c r="M757" s="60"/>
      <c r="N757" s="60"/>
      <c r="O757" s="30"/>
      <c r="P757" s="30"/>
      <c r="Q757" s="30"/>
      <c r="R757" s="30"/>
      <c r="S757" s="30"/>
      <c r="T757" s="30"/>
    </row>
    <row r="758" spans="1:20" ht="12.75" customHeight="1" x14ac:dyDescent="0.25">
      <c r="A758" s="342"/>
      <c r="B758" s="30"/>
      <c r="C758" s="30"/>
      <c r="D758" s="141"/>
      <c r="E758" s="42"/>
      <c r="F758" s="43"/>
      <c r="G758" s="59"/>
      <c r="H758" s="60"/>
      <c r="I758" s="60"/>
      <c r="J758" s="60"/>
      <c r="K758" s="60"/>
      <c r="L758" s="60"/>
      <c r="M758" s="60"/>
      <c r="N758" s="60"/>
      <c r="O758" s="30"/>
      <c r="P758" s="30"/>
      <c r="Q758" s="30"/>
      <c r="R758" s="30"/>
      <c r="S758" s="30"/>
      <c r="T758" s="30"/>
    </row>
    <row r="759" spans="1:20" ht="12.75" customHeight="1" x14ac:dyDescent="0.25">
      <c r="A759" s="342"/>
      <c r="B759" s="30"/>
      <c r="C759" s="30"/>
      <c r="D759" s="141"/>
      <c r="E759" s="42"/>
      <c r="F759" s="43"/>
      <c r="G759" s="59"/>
      <c r="H759" s="60"/>
      <c r="I759" s="60"/>
      <c r="J759" s="60"/>
      <c r="K759" s="60"/>
      <c r="L759" s="60"/>
      <c r="M759" s="60"/>
      <c r="N759" s="60"/>
      <c r="O759" s="30"/>
      <c r="P759" s="30"/>
      <c r="Q759" s="30"/>
      <c r="R759" s="30"/>
      <c r="S759" s="30"/>
      <c r="T759" s="30"/>
    </row>
    <row r="760" spans="1:20" ht="12.75" customHeight="1" x14ac:dyDescent="0.25">
      <c r="A760" s="342"/>
      <c r="B760" s="30"/>
      <c r="C760" s="30"/>
      <c r="D760" s="141"/>
      <c r="E760" s="42"/>
      <c r="F760" s="43"/>
      <c r="G760" s="59"/>
      <c r="H760" s="60"/>
      <c r="I760" s="60"/>
      <c r="J760" s="60"/>
      <c r="K760" s="60"/>
      <c r="L760" s="60"/>
      <c r="M760" s="60"/>
      <c r="N760" s="60"/>
      <c r="O760" s="30"/>
      <c r="P760" s="30"/>
      <c r="Q760" s="30"/>
      <c r="R760" s="30"/>
      <c r="S760" s="30"/>
      <c r="T760" s="30"/>
    </row>
    <row r="761" spans="1:20" ht="12.75" customHeight="1" x14ac:dyDescent="0.25">
      <c r="A761" s="342"/>
      <c r="B761" s="30"/>
      <c r="C761" s="30"/>
      <c r="D761" s="141"/>
      <c r="E761" s="42"/>
      <c r="F761" s="43"/>
      <c r="G761" s="59"/>
      <c r="H761" s="60"/>
      <c r="I761" s="60"/>
      <c r="J761" s="60"/>
      <c r="K761" s="60"/>
      <c r="L761" s="60"/>
      <c r="M761" s="60"/>
      <c r="N761" s="60"/>
      <c r="O761" s="30"/>
      <c r="P761" s="30"/>
      <c r="Q761" s="30"/>
      <c r="R761" s="30"/>
      <c r="S761" s="30"/>
      <c r="T761" s="30"/>
    </row>
    <row r="762" spans="1:20" ht="12.75" customHeight="1" x14ac:dyDescent="0.25">
      <c r="A762" s="342"/>
      <c r="B762" s="30"/>
      <c r="C762" s="30"/>
      <c r="D762" s="141"/>
      <c r="E762" s="42"/>
      <c r="F762" s="43"/>
      <c r="G762" s="59"/>
      <c r="H762" s="60"/>
      <c r="I762" s="60"/>
      <c r="J762" s="60"/>
      <c r="K762" s="60"/>
      <c r="L762" s="60"/>
      <c r="M762" s="60"/>
      <c r="N762" s="60"/>
      <c r="O762" s="30"/>
      <c r="P762" s="30"/>
      <c r="Q762" s="30"/>
      <c r="R762" s="30"/>
      <c r="S762" s="30"/>
      <c r="T762" s="30"/>
    </row>
    <row r="763" spans="1:20" ht="12.75" customHeight="1" x14ac:dyDescent="0.25">
      <c r="A763" s="342"/>
      <c r="B763" s="30"/>
      <c r="C763" s="30"/>
      <c r="D763" s="141"/>
      <c r="E763" s="42"/>
      <c r="F763" s="43"/>
      <c r="G763" s="59"/>
      <c r="H763" s="60"/>
      <c r="I763" s="60"/>
      <c r="J763" s="60"/>
      <c r="K763" s="60"/>
      <c r="L763" s="60"/>
      <c r="M763" s="60"/>
      <c r="N763" s="60"/>
      <c r="O763" s="30"/>
      <c r="P763" s="30"/>
      <c r="Q763" s="30"/>
      <c r="R763" s="30"/>
      <c r="S763" s="30"/>
      <c r="T763" s="30"/>
    </row>
    <row r="764" spans="1:20" ht="12.75" customHeight="1" x14ac:dyDescent="0.25">
      <c r="A764" s="342"/>
      <c r="B764" s="30"/>
      <c r="C764" s="30"/>
      <c r="D764" s="141"/>
      <c r="E764" s="42"/>
      <c r="F764" s="43"/>
      <c r="G764" s="59"/>
      <c r="H764" s="60"/>
      <c r="I764" s="60"/>
      <c r="J764" s="60"/>
      <c r="K764" s="60"/>
      <c r="L764" s="60"/>
      <c r="M764" s="60"/>
      <c r="N764" s="60"/>
      <c r="O764" s="30"/>
      <c r="P764" s="30"/>
      <c r="Q764" s="30"/>
      <c r="R764" s="30"/>
      <c r="S764" s="30"/>
      <c r="T764" s="30"/>
    </row>
    <row r="765" spans="1:20" ht="12.75" customHeight="1" x14ac:dyDescent="0.25">
      <c r="A765" s="342"/>
      <c r="B765" s="30"/>
      <c r="C765" s="30"/>
      <c r="D765" s="141"/>
      <c r="E765" s="42"/>
      <c r="F765" s="43"/>
      <c r="G765" s="59"/>
      <c r="H765" s="60"/>
      <c r="I765" s="60"/>
      <c r="J765" s="60"/>
      <c r="K765" s="60"/>
      <c r="L765" s="60"/>
      <c r="M765" s="60"/>
      <c r="N765" s="60"/>
      <c r="O765" s="30"/>
      <c r="P765" s="30"/>
      <c r="Q765" s="30"/>
      <c r="R765" s="30"/>
      <c r="S765" s="30"/>
      <c r="T765" s="30"/>
    </row>
    <row r="766" spans="1:20" ht="12.75" customHeight="1" x14ac:dyDescent="0.25">
      <c r="A766" s="342"/>
      <c r="B766" s="30"/>
      <c r="C766" s="30"/>
      <c r="D766" s="141"/>
      <c r="E766" s="42"/>
      <c r="F766" s="43"/>
      <c r="G766" s="59"/>
      <c r="H766" s="60"/>
      <c r="I766" s="60"/>
      <c r="J766" s="60"/>
      <c r="K766" s="60"/>
      <c r="L766" s="60"/>
      <c r="M766" s="60"/>
      <c r="N766" s="60"/>
      <c r="O766" s="30"/>
      <c r="P766" s="30"/>
      <c r="Q766" s="30"/>
      <c r="R766" s="30"/>
      <c r="S766" s="30"/>
      <c r="T766" s="30"/>
    </row>
    <row r="767" spans="1:20" ht="12.75" customHeight="1" x14ac:dyDescent="0.25">
      <c r="A767" s="342"/>
      <c r="B767" s="30"/>
      <c r="C767" s="30"/>
      <c r="D767" s="141"/>
      <c r="E767" s="42"/>
      <c r="F767" s="43"/>
      <c r="G767" s="59"/>
      <c r="H767" s="60"/>
      <c r="I767" s="60"/>
      <c r="J767" s="60"/>
      <c r="K767" s="60"/>
      <c r="L767" s="60"/>
      <c r="M767" s="60"/>
      <c r="N767" s="60"/>
      <c r="O767" s="30"/>
      <c r="P767" s="30"/>
      <c r="Q767" s="30"/>
      <c r="R767" s="30"/>
      <c r="S767" s="30"/>
      <c r="T767" s="30"/>
    </row>
    <row r="768" spans="1:20" ht="12.75" customHeight="1" x14ac:dyDescent="0.25">
      <c r="A768" s="342"/>
      <c r="B768" s="30"/>
      <c r="C768" s="30"/>
      <c r="D768" s="141"/>
      <c r="E768" s="42"/>
      <c r="F768" s="43"/>
      <c r="G768" s="59"/>
      <c r="H768" s="60"/>
      <c r="I768" s="60"/>
      <c r="J768" s="60"/>
      <c r="K768" s="60"/>
      <c r="L768" s="60"/>
      <c r="M768" s="60"/>
      <c r="N768" s="60"/>
      <c r="O768" s="30"/>
      <c r="P768" s="30"/>
      <c r="Q768" s="30"/>
      <c r="R768" s="30"/>
      <c r="S768" s="30"/>
      <c r="T768" s="30"/>
    </row>
    <row r="769" spans="1:20" ht="12.75" customHeight="1" x14ac:dyDescent="0.25">
      <c r="A769" s="342"/>
      <c r="B769" s="30"/>
      <c r="C769" s="30"/>
      <c r="D769" s="141"/>
      <c r="E769" s="42"/>
      <c r="F769" s="43"/>
      <c r="G769" s="59"/>
      <c r="H769" s="60"/>
      <c r="I769" s="60"/>
      <c r="J769" s="60"/>
      <c r="K769" s="60"/>
      <c r="L769" s="60"/>
      <c r="M769" s="60"/>
      <c r="N769" s="60"/>
      <c r="O769" s="30"/>
      <c r="P769" s="30"/>
      <c r="Q769" s="30"/>
      <c r="R769" s="30"/>
      <c r="S769" s="30"/>
      <c r="T769" s="30"/>
    </row>
    <row r="770" spans="1:20" ht="12.75" customHeight="1" x14ac:dyDescent="0.25">
      <c r="A770" s="342"/>
      <c r="B770" s="30"/>
      <c r="C770" s="30"/>
      <c r="D770" s="141"/>
      <c r="E770" s="42"/>
      <c r="F770" s="43"/>
      <c r="G770" s="59"/>
      <c r="H770" s="60"/>
      <c r="I770" s="60"/>
      <c r="J770" s="60"/>
      <c r="K770" s="60"/>
      <c r="L770" s="60"/>
      <c r="M770" s="60"/>
      <c r="N770" s="60"/>
      <c r="O770" s="30"/>
      <c r="P770" s="30"/>
      <c r="Q770" s="30"/>
      <c r="R770" s="30"/>
      <c r="S770" s="30"/>
      <c r="T770" s="30"/>
    </row>
    <row r="771" spans="1:20" ht="12.75" customHeight="1" x14ac:dyDescent="0.25">
      <c r="A771" s="342"/>
      <c r="B771" s="30"/>
      <c r="C771" s="30"/>
      <c r="D771" s="141"/>
      <c r="E771" s="42"/>
      <c r="F771" s="43"/>
      <c r="G771" s="59"/>
      <c r="H771" s="60"/>
      <c r="I771" s="60"/>
      <c r="J771" s="60"/>
      <c r="K771" s="60"/>
      <c r="L771" s="60"/>
      <c r="M771" s="60"/>
      <c r="N771" s="60"/>
      <c r="O771" s="30"/>
      <c r="P771" s="30"/>
      <c r="Q771" s="30"/>
      <c r="R771" s="30"/>
      <c r="S771" s="30"/>
      <c r="T771" s="30"/>
    </row>
    <row r="772" spans="1:20" ht="12.75" customHeight="1" x14ac:dyDescent="0.25">
      <c r="A772" s="342"/>
      <c r="B772" s="30"/>
      <c r="C772" s="30"/>
      <c r="D772" s="141"/>
      <c r="E772" s="42"/>
      <c r="F772" s="43"/>
      <c r="G772" s="59"/>
      <c r="H772" s="60"/>
      <c r="I772" s="60"/>
      <c r="J772" s="60"/>
      <c r="K772" s="60"/>
      <c r="L772" s="60"/>
      <c r="M772" s="60"/>
      <c r="N772" s="60"/>
      <c r="O772" s="30"/>
      <c r="P772" s="30"/>
      <c r="Q772" s="30"/>
      <c r="R772" s="30"/>
      <c r="S772" s="30"/>
      <c r="T772" s="30"/>
    </row>
    <row r="773" spans="1:20" ht="12.75" customHeight="1" x14ac:dyDescent="0.25">
      <c r="A773" s="342"/>
      <c r="B773" s="30"/>
      <c r="C773" s="30"/>
      <c r="D773" s="141"/>
      <c r="E773" s="42"/>
      <c r="F773" s="43"/>
      <c r="G773" s="59"/>
      <c r="H773" s="60"/>
      <c r="I773" s="60"/>
      <c r="J773" s="60"/>
      <c r="K773" s="60"/>
      <c r="L773" s="60"/>
      <c r="M773" s="60"/>
      <c r="N773" s="60"/>
      <c r="O773" s="30"/>
      <c r="P773" s="30"/>
      <c r="Q773" s="30"/>
      <c r="R773" s="30"/>
      <c r="S773" s="30"/>
      <c r="T773" s="30"/>
    </row>
    <row r="774" spans="1:20" ht="12.75" customHeight="1" x14ac:dyDescent="0.25">
      <c r="A774" s="342"/>
      <c r="B774" s="30"/>
      <c r="C774" s="30"/>
      <c r="D774" s="141"/>
      <c r="E774" s="42"/>
      <c r="F774" s="43"/>
      <c r="G774" s="59"/>
      <c r="H774" s="60"/>
      <c r="I774" s="60"/>
      <c r="J774" s="60"/>
      <c r="K774" s="60"/>
      <c r="L774" s="60"/>
      <c r="M774" s="60"/>
      <c r="N774" s="60"/>
      <c r="O774" s="30"/>
      <c r="P774" s="30"/>
      <c r="Q774" s="30"/>
      <c r="R774" s="30"/>
      <c r="S774" s="30"/>
      <c r="T774" s="30"/>
    </row>
    <row r="775" spans="1:20" ht="12.75" customHeight="1" x14ac:dyDescent="0.25">
      <c r="A775" s="342"/>
      <c r="B775" s="30"/>
      <c r="C775" s="30"/>
      <c r="D775" s="141"/>
      <c r="E775" s="42"/>
      <c r="F775" s="43"/>
      <c r="G775" s="59"/>
      <c r="H775" s="60"/>
      <c r="I775" s="60"/>
      <c r="J775" s="60"/>
      <c r="K775" s="60"/>
      <c r="L775" s="60"/>
      <c r="M775" s="60"/>
      <c r="N775" s="60"/>
      <c r="O775" s="30"/>
      <c r="P775" s="30"/>
      <c r="Q775" s="30"/>
      <c r="R775" s="30"/>
      <c r="S775" s="30"/>
      <c r="T775" s="30"/>
    </row>
    <row r="776" spans="1:20" ht="12.75" customHeight="1" x14ac:dyDescent="0.25">
      <c r="A776" s="342"/>
      <c r="B776" s="30"/>
      <c r="C776" s="30"/>
      <c r="D776" s="141"/>
      <c r="E776" s="42"/>
      <c r="F776" s="43"/>
      <c r="G776" s="59"/>
      <c r="H776" s="60"/>
      <c r="I776" s="60"/>
      <c r="J776" s="60"/>
      <c r="K776" s="60"/>
      <c r="L776" s="60"/>
      <c r="M776" s="60"/>
      <c r="N776" s="60"/>
      <c r="O776" s="30"/>
      <c r="P776" s="30"/>
      <c r="Q776" s="30"/>
      <c r="R776" s="30"/>
      <c r="S776" s="30"/>
      <c r="T776" s="30"/>
    </row>
    <row r="777" spans="1:20" ht="12.75" customHeight="1" x14ac:dyDescent="0.25">
      <c r="A777" s="342"/>
      <c r="B777" s="30"/>
      <c r="C777" s="30"/>
      <c r="D777" s="141"/>
      <c r="E777" s="42"/>
      <c r="F777" s="43"/>
      <c r="G777" s="59"/>
      <c r="H777" s="60"/>
      <c r="I777" s="60"/>
      <c r="J777" s="60"/>
      <c r="K777" s="60"/>
      <c r="L777" s="60"/>
      <c r="M777" s="60"/>
      <c r="N777" s="60"/>
      <c r="O777" s="30"/>
      <c r="P777" s="30"/>
      <c r="Q777" s="30"/>
      <c r="R777" s="30"/>
      <c r="S777" s="30"/>
      <c r="T777" s="30"/>
    </row>
    <row r="778" spans="1:20" ht="12.75" customHeight="1" x14ac:dyDescent="0.25">
      <c r="A778" s="342"/>
      <c r="B778" s="30"/>
      <c r="C778" s="30"/>
      <c r="D778" s="141"/>
      <c r="E778" s="42"/>
      <c r="F778" s="43"/>
      <c r="G778" s="59"/>
      <c r="H778" s="60"/>
      <c r="I778" s="60"/>
      <c r="J778" s="60"/>
      <c r="K778" s="60"/>
      <c r="L778" s="60"/>
      <c r="M778" s="60"/>
      <c r="N778" s="60"/>
      <c r="O778" s="30"/>
      <c r="P778" s="30"/>
      <c r="Q778" s="30"/>
      <c r="R778" s="30"/>
      <c r="S778" s="30"/>
      <c r="T778" s="30"/>
    </row>
    <row r="779" spans="1:20" ht="12.75" customHeight="1" x14ac:dyDescent="0.25">
      <c r="A779" s="342"/>
      <c r="B779" s="30"/>
      <c r="C779" s="30"/>
      <c r="D779" s="141"/>
      <c r="E779" s="42"/>
      <c r="F779" s="43"/>
      <c r="G779" s="59"/>
      <c r="H779" s="60"/>
      <c r="I779" s="60"/>
      <c r="J779" s="60"/>
      <c r="K779" s="60"/>
      <c r="L779" s="60"/>
      <c r="M779" s="60"/>
      <c r="N779" s="60"/>
      <c r="O779" s="30"/>
      <c r="P779" s="30"/>
      <c r="Q779" s="30"/>
      <c r="R779" s="30"/>
      <c r="S779" s="30"/>
      <c r="T779" s="30"/>
    </row>
    <row r="780" spans="1:20" ht="12.75" customHeight="1" x14ac:dyDescent="0.25">
      <c r="A780" s="342"/>
      <c r="B780" s="30"/>
      <c r="C780" s="30"/>
      <c r="D780" s="141"/>
      <c r="E780" s="42"/>
      <c r="F780" s="43"/>
      <c r="G780" s="59"/>
      <c r="H780" s="60"/>
      <c r="I780" s="60"/>
      <c r="J780" s="60"/>
      <c r="K780" s="60"/>
      <c r="L780" s="60"/>
      <c r="M780" s="60"/>
      <c r="N780" s="60"/>
      <c r="O780" s="30"/>
      <c r="P780" s="30"/>
      <c r="Q780" s="30"/>
      <c r="R780" s="30"/>
      <c r="S780" s="30"/>
      <c r="T780" s="30"/>
    </row>
    <row r="781" spans="1:20" ht="12.75" customHeight="1" x14ac:dyDescent="0.25">
      <c r="A781" s="342"/>
      <c r="B781" s="30"/>
      <c r="C781" s="30"/>
      <c r="D781" s="141"/>
      <c r="E781" s="42"/>
      <c r="F781" s="43"/>
      <c r="G781" s="59"/>
      <c r="H781" s="60"/>
      <c r="I781" s="60"/>
      <c r="J781" s="60"/>
      <c r="K781" s="60"/>
      <c r="L781" s="60"/>
      <c r="M781" s="60"/>
      <c r="N781" s="60"/>
      <c r="O781" s="30"/>
      <c r="P781" s="30"/>
      <c r="Q781" s="30"/>
      <c r="R781" s="30"/>
      <c r="S781" s="30"/>
      <c r="T781" s="30"/>
    </row>
    <row r="782" spans="1:20" ht="12.75" customHeight="1" x14ac:dyDescent="0.25">
      <c r="A782" s="342"/>
      <c r="B782" s="30"/>
      <c r="C782" s="30"/>
      <c r="D782" s="141"/>
      <c r="E782" s="42"/>
      <c r="F782" s="43"/>
      <c r="G782" s="59"/>
      <c r="H782" s="60"/>
      <c r="I782" s="60"/>
      <c r="J782" s="60"/>
      <c r="K782" s="60"/>
      <c r="L782" s="60"/>
      <c r="M782" s="60"/>
      <c r="N782" s="60"/>
      <c r="O782" s="30"/>
      <c r="P782" s="30"/>
      <c r="Q782" s="30"/>
      <c r="R782" s="30"/>
      <c r="S782" s="30"/>
      <c r="T782" s="30"/>
    </row>
    <row r="783" spans="1:20" ht="12.75" customHeight="1" x14ac:dyDescent="0.25">
      <c r="A783" s="342"/>
      <c r="B783" s="30"/>
      <c r="C783" s="30"/>
      <c r="D783" s="141"/>
      <c r="E783" s="42"/>
      <c r="F783" s="43"/>
      <c r="G783" s="59"/>
      <c r="H783" s="60"/>
      <c r="I783" s="60"/>
      <c r="J783" s="60"/>
      <c r="K783" s="60"/>
      <c r="L783" s="60"/>
      <c r="M783" s="60"/>
      <c r="N783" s="60"/>
      <c r="O783" s="30"/>
      <c r="P783" s="30"/>
      <c r="Q783" s="30"/>
      <c r="R783" s="30"/>
      <c r="S783" s="30"/>
      <c r="T783" s="30"/>
    </row>
    <row r="784" spans="1:20" ht="12.75" customHeight="1" x14ac:dyDescent="0.25">
      <c r="A784" s="342"/>
      <c r="B784" s="30"/>
      <c r="C784" s="30"/>
      <c r="D784" s="141"/>
      <c r="E784" s="42"/>
      <c r="F784" s="43"/>
      <c r="G784" s="59"/>
      <c r="H784" s="60"/>
      <c r="I784" s="60"/>
      <c r="J784" s="60"/>
      <c r="K784" s="60"/>
      <c r="L784" s="60"/>
      <c r="M784" s="60"/>
      <c r="N784" s="60"/>
      <c r="O784" s="30"/>
      <c r="P784" s="30"/>
      <c r="Q784" s="30"/>
      <c r="R784" s="30"/>
      <c r="S784" s="30"/>
      <c r="T784" s="30"/>
    </row>
    <row r="785" spans="1:20" ht="12.75" customHeight="1" x14ac:dyDescent="0.25">
      <c r="A785" s="342"/>
      <c r="B785" s="30"/>
      <c r="C785" s="30"/>
      <c r="D785" s="141"/>
      <c r="E785" s="42"/>
      <c r="F785" s="43"/>
      <c r="G785" s="59"/>
      <c r="H785" s="60"/>
      <c r="I785" s="60"/>
      <c r="J785" s="60"/>
      <c r="K785" s="60"/>
      <c r="L785" s="60"/>
      <c r="M785" s="60"/>
      <c r="N785" s="60"/>
      <c r="O785" s="30"/>
      <c r="P785" s="30"/>
      <c r="Q785" s="30"/>
      <c r="R785" s="30"/>
      <c r="S785" s="30"/>
      <c r="T785" s="30"/>
    </row>
    <row r="786" spans="1:20" ht="12.75" customHeight="1" x14ac:dyDescent="0.25">
      <c r="A786" s="342"/>
      <c r="B786" s="30"/>
      <c r="C786" s="30"/>
      <c r="D786" s="141"/>
      <c r="E786" s="42"/>
      <c r="F786" s="43"/>
      <c r="G786" s="59"/>
      <c r="H786" s="60"/>
      <c r="I786" s="60"/>
      <c r="J786" s="60"/>
      <c r="K786" s="60"/>
      <c r="L786" s="60"/>
      <c r="M786" s="60"/>
      <c r="N786" s="60"/>
      <c r="O786" s="30"/>
      <c r="P786" s="30"/>
      <c r="Q786" s="30"/>
      <c r="R786" s="30"/>
      <c r="S786" s="30"/>
      <c r="T786" s="30"/>
    </row>
    <row r="787" spans="1:20" ht="12.75" customHeight="1" x14ac:dyDescent="0.25">
      <c r="A787" s="342"/>
      <c r="B787" s="30"/>
      <c r="C787" s="30"/>
      <c r="D787" s="141"/>
      <c r="E787" s="42"/>
      <c r="F787" s="43"/>
      <c r="G787" s="59"/>
      <c r="H787" s="60"/>
      <c r="I787" s="60"/>
      <c r="J787" s="60"/>
      <c r="K787" s="60"/>
      <c r="L787" s="60"/>
      <c r="M787" s="60"/>
      <c r="N787" s="60"/>
      <c r="O787" s="30"/>
      <c r="P787" s="30"/>
      <c r="Q787" s="30"/>
      <c r="R787" s="30"/>
      <c r="S787" s="30"/>
      <c r="T787" s="30"/>
    </row>
    <row r="788" spans="1:20" ht="12.75" customHeight="1" x14ac:dyDescent="0.25">
      <c r="A788" s="342"/>
      <c r="B788" s="30"/>
      <c r="C788" s="30"/>
      <c r="D788" s="141"/>
      <c r="E788" s="42"/>
      <c r="F788" s="43"/>
      <c r="G788" s="59"/>
      <c r="H788" s="60"/>
      <c r="I788" s="60"/>
      <c r="J788" s="60"/>
      <c r="K788" s="60"/>
      <c r="L788" s="60"/>
      <c r="M788" s="60"/>
      <c r="N788" s="60"/>
      <c r="O788" s="30"/>
      <c r="P788" s="30"/>
      <c r="Q788" s="30"/>
      <c r="R788" s="30"/>
      <c r="S788" s="30"/>
      <c r="T788" s="30"/>
    </row>
    <row r="789" spans="1:20" ht="12.75" customHeight="1" x14ac:dyDescent="0.25">
      <c r="A789" s="342"/>
      <c r="B789" s="30"/>
      <c r="C789" s="30"/>
      <c r="D789" s="141"/>
      <c r="E789" s="42"/>
      <c r="F789" s="43"/>
      <c r="G789" s="59"/>
      <c r="H789" s="60"/>
      <c r="I789" s="60"/>
      <c r="J789" s="60"/>
      <c r="K789" s="60"/>
      <c r="L789" s="60"/>
      <c r="M789" s="60"/>
      <c r="N789" s="60"/>
      <c r="O789" s="30"/>
      <c r="P789" s="30"/>
      <c r="Q789" s="30"/>
      <c r="R789" s="30"/>
      <c r="S789" s="30"/>
      <c r="T789" s="30"/>
    </row>
    <row r="790" spans="1:20" ht="12.75" customHeight="1" x14ac:dyDescent="0.25">
      <c r="A790" s="342"/>
      <c r="B790" s="30"/>
      <c r="C790" s="30"/>
      <c r="D790" s="141"/>
      <c r="E790" s="42"/>
      <c r="F790" s="43"/>
      <c r="G790" s="59"/>
      <c r="H790" s="60"/>
      <c r="I790" s="60"/>
      <c r="J790" s="60"/>
      <c r="K790" s="60"/>
      <c r="L790" s="60"/>
      <c r="M790" s="60"/>
      <c r="N790" s="60"/>
      <c r="O790" s="30"/>
      <c r="P790" s="30"/>
      <c r="Q790" s="30"/>
      <c r="R790" s="30"/>
      <c r="S790" s="30"/>
      <c r="T790" s="30"/>
    </row>
    <row r="791" spans="1:20" ht="12.75" customHeight="1" x14ac:dyDescent="0.25">
      <c r="A791" s="342"/>
      <c r="B791" s="30"/>
      <c r="C791" s="30"/>
      <c r="D791" s="141"/>
      <c r="E791" s="42"/>
      <c r="F791" s="43"/>
      <c r="G791" s="59"/>
      <c r="H791" s="60"/>
      <c r="I791" s="60"/>
      <c r="J791" s="60"/>
      <c r="K791" s="60"/>
      <c r="L791" s="60"/>
      <c r="M791" s="60"/>
      <c r="N791" s="60"/>
      <c r="O791" s="30"/>
      <c r="P791" s="30"/>
      <c r="Q791" s="30"/>
      <c r="R791" s="30"/>
      <c r="S791" s="30"/>
      <c r="T791" s="30"/>
    </row>
    <row r="792" spans="1:20" ht="12.75" customHeight="1" x14ac:dyDescent="0.25">
      <c r="A792" s="342"/>
      <c r="B792" s="30"/>
      <c r="C792" s="30"/>
      <c r="D792" s="141"/>
      <c r="E792" s="42"/>
      <c r="F792" s="43"/>
      <c r="G792" s="59"/>
      <c r="H792" s="60"/>
      <c r="I792" s="60"/>
      <c r="J792" s="60"/>
      <c r="K792" s="60"/>
      <c r="L792" s="60"/>
      <c r="M792" s="60"/>
      <c r="N792" s="60"/>
      <c r="O792" s="30"/>
      <c r="P792" s="30"/>
      <c r="Q792" s="30"/>
      <c r="R792" s="30"/>
      <c r="S792" s="30"/>
      <c r="T792" s="30"/>
    </row>
    <row r="793" spans="1:20" ht="12.75" customHeight="1" x14ac:dyDescent="0.25">
      <c r="A793" s="342"/>
      <c r="B793" s="30"/>
      <c r="C793" s="30"/>
      <c r="D793" s="141"/>
      <c r="E793" s="42"/>
      <c r="F793" s="43"/>
      <c r="G793" s="59"/>
      <c r="H793" s="60"/>
      <c r="I793" s="60"/>
      <c r="J793" s="60"/>
      <c r="K793" s="60"/>
      <c r="L793" s="60"/>
      <c r="M793" s="60"/>
      <c r="N793" s="60"/>
      <c r="O793" s="30"/>
      <c r="P793" s="30"/>
      <c r="Q793" s="30"/>
      <c r="R793" s="30"/>
      <c r="S793" s="30"/>
      <c r="T793" s="30"/>
    </row>
    <row r="794" spans="1:20" ht="12.75" customHeight="1" x14ac:dyDescent="0.25">
      <c r="A794" s="342"/>
      <c r="B794" s="30"/>
      <c r="C794" s="30"/>
      <c r="D794" s="141"/>
      <c r="E794" s="42"/>
      <c r="F794" s="43"/>
      <c r="G794" s="59"/>
      <c r="H794" s="60"/>
      <c r="I794" s="60"/>
      <c r="J794" s="60"/>
      <c r="K794" s="60"/>
      <c r="L794" s="60"/>
      <c r="M794" s="60"/>
      <c r="N794" s="60"/>
      <c r="O794" s="30"/>
      <c r="P794" s="30"/>
      <c r="Q794" s="30"/>
      <c r="R794" s="30"/>
      <c r="S794" s="30"/>
      <c r="T794" s="30"/>
    </row>
    <row r="795" spans="1:20" ht="12.75" customHeight="1" x14ac:dyDescent="0.25">
      <c r="A795" s="342"/>
      <c r="B795" s="30"/>
      <c r="C795" s="30"/>
      <c r="D795" s="141"/>
      <c r="E795" s="42"/>
      <c r="F795" s="43"/>
      <c r="G795" s="59"/>
      <c r="H795" s="60"/>
      <c r="I795" s="60"/>
      <c r="J795" s="60"/>
      <c r="K795" s="60"/>
      <c r="L795" s="60"/>
      <c r="M795" s="60"/>
      <c r="N795" s="60"/>
      <c r="O795" s="30"/>
      <c r="P795" s="30"/>
      <c r="Q795" s="30"/>
      <c r="R795" s="30"/>
      <c r="S795" s="30"/>
      <c r="T795" s="30"/>
    </row>
    <row r="796" spans="1:20" ht="12.75" customHeight="1" x14ac:dyDescent="0.25">
      <c r="A796" s="342"/>
      <c r="B796" s="30"/>
      <c r="C796" s="30"/>
      <c r="D796" s="141"/>
      <c r="E796" s="42"/>
      <c r="F796" s="43"/>
      <c r="G796" s="59"/>
      <c r="H796" s="60"/>
      <c r="I796" s="60"/>
      <c r="J796" s="60"/>
      <c r="K796" s="60"/>
      <c r="L796" s="60"/>
      <c r="M796" s="60"/>
      <c r="N796" s="60"/>
      <c r="O796" s="30"/>
      <c r="P796" s="30"/>
      <c r="Q796" s="30"/>
      <c r="R796" s="30"/>
      <c r="S796" s="30"/>
      <c r="T796" s="30"/>
    </row>
    <row r="797" spans="1:20" ht="12.75" customHeight="1" x14ac:dyDescent="0.25">
      <c r="A797" s="342"/>
      <c r="B797" s="30"/>
      <c r="C797" s="30"/>
      <c r="D797" s="141"/>
      <c r="E797" s="42"/>
      <c r="F797" s="43"/>
      <c r="G797" s="59"/>
      <c r="H797" s="60"/>
      <c r="I797" s="60"/>
      <c r="J797" s="60"/>
      <c r="K797" s="60"/>
      <c r="L797" s="60"/>
      <c r="M797" s="60"/>
      <c r="N797" s="60"/>
      <c r="O797" s="30"/>
      <c r="P797" s="30"/>
      <c r="Q797" s="30"/>
      <c r="R797" s="30"/>
      <c r="S797" s="30"/>
      <c r="T797" s="30"/>
    </row>
    <row r="798" spans="1:20" ht="12.75" customHeight="1" x14ac:dyDescent="0.25">
      <c r="A798" s="342"/>
      <c r="B798" s="30"/>
      <c r="C798" s="30"/>
      <c r="D798" s="141"/>
      <c r="E798" s="42"/>
      <c r="F798" s="43"/>
      <c r="G798" s="59"/>
      <c r="H798" s="60"/>
      <c r="I798" s="60"/>
      <c r="J798" s="60"/>
      <c r="K798" s="60"/>
      <c r="L798" s="60"/>
      <c r="M798" s="60"/>
      <c r="N798" s="60"/>
      <c r="O798" s="30"/>
      <c r="P798" s="30"/>
      <c r="Q798" s="30"/>
      <c r="R798" s="30"/>
      <c r="S798" s="30"/>
      <c r="T798" s="30"/>
    </row>
    <row r="799" spans="1:20" ht="12.75" customHeight="1" x14ac:dyDescent="0.25">
      <c r="A799" s="342"/>
      <c r="B799" s="30"/>
      <c r="C799" s="30"/>
      <c r="D799" s="141"/>
      <c r="E799" s="42"/>
      <c r="F799" s="43"/>
      <c r="G799" s="59"/>
      <c r="H799" s="60"/>
      <c r="I799" s="60"/>
      <c r="J799" s="60"/>
      <c r="K799" s="60"/>
      <c r="L799" s="60"/>
      <c r="M799" s="60"/>
      <c r="N799" s="60"/>
      <c r="O799" s="30"/>
      <c r="P799" s="30"/>
      <c r="Q799" s="30"/>
      <c r="R799" s="30"/>
      <c r="S799" s="30"/>
      <c r="T799" s="30"/>
    </row>
    <row r="800" spans="1:20" ht="12.75" customHeight="1" x14ac:dyDescent="0.25">
      <c r="A800" s="342"/>
      <c r="B800" s="30"/>
      <c r="C800" s="30"/>
      <c r="D800" s="141"/>
      <c r="E800" s="42"/>
      <c r="F800" s="43"/>
      <c r="G800" s="59"/>
      <c r="H800" s="60"/>
      <c r="I800" s="60"/>
      <c r="J800" s="60"/>
      <c r="K800" s="60"/>
      <c r="L800" s="60"/>
      <c r="M800" s="60"/>
      <c r="N800" s="60"/>
      <c r="O800" s="30"/>
      <c r="P800" s="30"/>
      <c r="Q800" s="30"/>
      <c r="R800" s="30"/>
      <c r="S800" s="30"/>
      <c r="T800" s="30"/>
    </row>
    <row r="801" spans="1:20" ht="12.75" customHeight="1" x14ac:dyDescent="0.25">
      <c r="A801" s="342"/>
      <c r="B801" s="30"/>
      <c r="C801" s="30"/>
      <c r="D801" s="141"/>
      <c r="E801" s="42"/>
      <c r="F801" s="43"/>
      <c r="G801" s="59"/>
      <c r="H801" s="60"/>
      <c r="I801" s="60"/>
      <c r="J801" s="60"/>
      <c r="K801" s="60"/>
      <c r="L801" s="60"/>
      <c r="M801" s="60"/>
      <c r="N801" s="60"/>
      <c r="O801" s="30"/>
      <c r="P801" s="30"/>
      <c r="Q801" s="30"/>
      <c r="R801" s="30"/>
      <c r="S801" s="30"/>
      <c r="T801" s="30"/>
    </row>
    <row r="802" spans="1:20" ht="12.75" customHeight="1" x14ac:dyDescent="0.25">
      <c r="A802" s="342"/>
      <c r="B802" s="30"/>
      <c r="C802" s="30"/>
      <c r="D802" s="141"/>
      <c r="E802" s="42"/>
      <c r="F802" s="43"/>
      <c r="G802" s="59"/>
      <c r="H802" s="60"/>
      <c r="I802" s="60"/>
      <c r="J802" s="60"/>
      <c r="K802" s="60"/>
      <c r="L802" s="60"/>
      <c r="M802" s="60"/>
      <c r="N802" s="60"/>
      <c r="O802" s="30"/>
      <c r="P802" s="30"/>
      <c r="Q802" s="30"/>
      <c r="R802" s="30"/>
      <c r="S802" s="30"/>
      <c r="T802" s="30"/>
    </row>
    <row r="803" spans="1:20" ht="12.75" customHeight="1" x14ac:dyDescent="0.25">
      <c r="A803" s="342"/>
      <c r="B803" s="30"/>
      <c r="C803" s="30"/>
      <c r="D803" s="141"/>
      <c r="E803" s="42"/>
      <c r="F803" s="43"/>
      <c r="G803" s="59"/>
      <c r="H803" s="60"/>
      <c r="I803" s="60"/>
      <c r="J803" s="60"/>
      <c r="K803" s="60"/>
      <c r="L803" s="60"/>
      <c r="M803" s="60"/>
      <c r="N803" s="60"/>
      <c r="O803" s="30"/>
      <c r="P803" s="30"/>
      <c r="Q803" s="30"/>
      <c r="R803" s="30"/>
      <c r="S803" s="30"/>
      <c r="T803" s="30"/>
    </row>
    <row r="804" spans="1:20" ht="12.75" customHeight="1" x14ac:dyDescent="0.25">
      <c r="A804" s="342"/>
      <c r="B804" s="30"/>
      <c r="C804" s="30"/>
      <c r="D804" s="141"/>
      <c r="E804" s="42"/>
      <c r="F804" s="43"/>
      <c r="G804" s="59"/>
      <c r="H804" s="60"/>
      <c r="I804" s="60"/>
      <c r="J804" s="60"/>
      <c r="K804" s="60"/>
      <c r="L804" s="60"/>
      <c r="M804" s="60"/>
      <c r="N804" s="60"/>
      <c r="O804" s="30"/>
      <c r="P804" s="30"/>
      <c r="Q804" s="30"/>
      <c r="R804" s="30"/>
      <c r="S804" s="30"/>
      <c r="T804" s="30"/>
    </row>
    <row r="805" spans="1:20" ht="12.75" customHeight="1" x14ac:dyDescent="0.25">
      <c r="A805" s="342"/>
      <c r="B805" s="30"/>
      <c r="C805" s="30"/>
      <c r="D805" s="141"/>
      <c r="E805" s="42"/>
      <c r="F805" s="43"/>
      <c r="G805" s="59"/>
      <c r="H805" s="60"/>
      <c r="I805" s="60"/>
      <c r="J805" s="60"/>
      <c r="K805" s="60"/>
      <c r="L805" s="60"/>
      <c r="M805" s="60"/>
      <c r="N805" s="60"/>
      <c r="O805" s="30"/>
      <c r="P805" s="30"/>
      <c r="Q805" s="30"/>
      <c r="R805" s="30"/>
      <c r="S805" s="30"/>
      <c r="T805" s="30"/>
    </row>
    <row r="806" spans="1:20" ht="12.75" customHeight="1" x14ac:dyDescent="0.25">
      <c r="A806" s="342"/>
      <c r="B806" s="30"/>
      <c r="C806" s="30"/>
      <c r="D806" s="141"/>
      <c r="E806" s="42"/>
      <c r="F806" s="43"/>
      <c r="G806" s="59"/>
      <c r="H806" s="60"/>
      <c r="I806" s="60"/>
      <c r="J806" s="60"/>
      <c r="K806" s="60"/>
      <c r="L806" s="60"/>
      <c r="M806" s="60"/>
      <c r="N806" s="60"/>
      <c r="O806" s="30"/>
      <c r="P806" s="30"/>
      <c r="Q806" s="30"/>
      <c r="R806" s="30"/>
      <c r="S806" s="30"/>
      <c r="T806" s="30"/>
    </row>
    <row r="807" spans="1:20" ht="12.75" customHeight="1" x14ac:dyDescent="0.25">
      <c r="A807" s="342"/>
      <c r="B807" s="30"/>
      <c r="C807" s="30"/>
      <c r="D807" s="141"/>
      <c r="E807" s="42"/>
      <c r="F807" s="43"/>
      <c r="G807" s="59"/>
      <c r="H807" s="60"/>
      <c r="I807" s="60"/>
      <c r="J807" s="60"/>
      <c r="K807" s="60"/>
      <c r="L807" s="60"/>
      <c r="M807" s="60"/>
      <c r="N807" s="60"/>
      <c r="O807" s="30"/>
      <c r="P807" s="30"/>
      <c r="Q807" s="30"/>
      <c r="R807" s="30"/>
      <c r="S807" s="30"/>
      <c r="T807" s="30"/>
    </row>
    <row r="808" spans="1:20" ht="12.75" customHeight="1" x14ac:dyDescent="0.25">
      <c r="A808" s="342"/>
      <c r="B808" s="30"/>
      <c r="C808" s="30"/>
      <c r="D808" s="141"/>
      <c r="E808" s="42"/>
      <c r="F808" s="43"/>
      <c r="G808" s="59"/>
      <c r="H808" s="60"/>
      <c r="I808" s="60"/>
      <c r="J808" s="60"/>
      <c r="K808" s="60"/>
      <c r="L808" s="60"/>
      <c r="M808" s="60"/>
      <c r="N808" s="60"/>
      <c r="O808" s="30"/>
      <c r="P808" s="30"/>
      <c r="Q808" s="30"/>
      <c r="R808" s="30"/>
      <c r="S808" s="30"/>
      <c r="T808" s="30"/>
    </row>
    <row r="809" spans="1:20" ht="12.75" customHeight="1" x14ac:dyDescent="0.25">
      <c r="A809" s="342"/>
      <c r="B809" s="30"/>
      <c r="C809" s="30"/>
      <c r="D809" s="141"/>
      <c r="E809" s="42"/>
      <c r="F809" s="43"/>
      <c r="G809" s="59"/>
      <c r="H809" s="60"/>
      <c r="I809" s="60"/>
      <c r="J809" s="60"/>
      <c r="K809" s="60"/>
      <c r="L809" s="60"/>
      <c r="M809" s="60"/>
      <c r="N809" s="60"/>
      <c r="O809" s="30"/>
      <c r="P809" s="30"/>
      <c r="Q809" s="30"/>
      <c r="R809" s="30"/>
      <c r="S809" s="30"/>
      <c r="T809" s="30"/>
    </row>
    <row r="810" spans="1:20" ht="12.75" customHeight="1" x14ac:dyDescent="0.25">
      <c r="A810" s="342"/>
      <c r="B810" s="30"/>
      <c r="C810" s="30"/>
      <c r="D810" s="141"/>
      <c r="E810" s="42"/>
      <c r="F810" s="43"/>
      <c r="G810" s="59"/>
      <c r="H810" s="60"/>
      <c r="I810" s="60"/>
      <c r="J810" s="60"/>
      <c r="K810" s="60"/>
      <c r="L810" s="60"/>
      <c r="M810" s="60"/>
      <c r="N810" s="60"/>
      <c r="O810" s="30"/>
      <c r="P810" s="30"/>
      <c r="Q810" s="30"/>
      <c r="R810" s="30"/>
      <c r="S810" s="30"/>
      <c r="T810" s="30"/>
    </row>
    <row r="811" spans="1:20" ht="12.75" customHeight="1" x14ac:dyDescent="0.25">
      <c r="A811" s="342"/>
      <c r="B811" s="30"/>
      <c r="C811" s="30"/>
      <c r="D811" s="141"/>
      <c r="E811" s="42"/>
      <c r="F811" s="43"/>
      <c r="G811" s="59"/>
      <c r="H811" s="60"/>
      <c r="I811" s="60"/>
      <c r="J811" s="60"/>
      <c r="K811" s="60"/>
      <c r="L811" s="60"/>
      <c r="M811" s="60"/>
      <c r="N811" s="60"/>
      <c r="O811" s="30"/>
      <c r="P811" s="30"/>
      <c r="Q811" s="30"/>
      <c r="R811" s="30"/>
      <c r="S811" s="30"/>
      <c r="T811" s="30"/>
    </row>
    <row r="812" spans="1:20" ht="12.75" customHeight="1" x14ac:dyDescent="0.25">
      <c r="A812" s="342"/>
      <c r="B812" s="30"/>
      <c r="C812" s="30"/>
      <c r="D812" s="141"/>
      <c r="E812" s="42"/>
      <c r="F812" s="43"/>
      <c r="G812" s="59"/>
      <c r="H812" s="60"/>
      <c r="I812" s="60"/>
      <c r="J812" s="60"/>
      <c r="K812" s="60"/>
      <c r="L812" s="60"/>
      <c r="M812" s="60"/>
      <c r="N812" s="60"/>
      <c r="O812" s="30"/>
      <c r="P812" s="30"/>
      <c r="Q812" s="30"/>
      <c r="R812" s="30"/>
      <c r="S812" s="30"/>
      <c r="T812" s="30"/>
    </row>
    <row r="813" spans="1:20" ht="12.75" customHeight="1" x14ac:dyDescent="0.25">
      <c r="A813" s="342"/>
      <c r="B813" s="30"/>
      <c r="C813" s="30"/>
      <c r="D813" s="141"/>
      <c r="E813" s="42"/>
      <c r="F813" s="43"/>
      <c r="G813" s="59"/>
      <c r="H813" s="60"/>
      <c r="I813" s="60"/>
      <c r="J813" s="60"/>
      <c r="K813" s="60"/>
      <c r="L813" s="60"/>
      <c r="M813" s="60"/>
      <c r="N813" s="60"/>
      <c r="O813" s="30"/>
      <c r="P813" s="30"/>
      <c r="Q813" s="30"/>
      <c r="R813" s="30"/>
      <c r="S813" s="30"/>
      <c r="T813" s="30"/>
    </row>
    <row r="814" spans="1:20" ht="12.75" customHeight="1" x14ac:dyDescent="0.25">
      <c r="A814" s="342"/>
      <c r="B814" s="30"/>
      <c r="C814" s="30"/>
      <c r="D814" s="141"/>
      <c r="E814" s="42"/>
      <c r="F814" s="43"/>
      <c r="G814" s="59"/>
      <c r="H814" s="60"/>
      <c r="I814" s="60"/>
      <c r="J814" s="60"/>
      <c r="K814" s="60"/>
      <c r="L814" s="60"/>
      <c r="M814" s="60"/>
      <c r="N814" s="60"/>
      <c r="O814" s="30"/>
      <c r="P814" s="30"/>
      <c r="Q814" s="30"/>
      <c r="R814" s="30"/>
      <c r="S814" s="30"/>
      <c r="T814" s="30"/>
    </row>
    <row r="815" spans="1:20" ht="12.75" customHeight="1" x14ac:dyDescent="0.25">
      <c r="A815" s="342"/>
      <c r="B815" s="30"/>
      <c r="C815" s="30"/>
      <c r="D815" s="141"/>
      <c r="E815" s="42"/>
      <c r="F815" s="43"/>
      <c r="G815" s="59"/>
      <c r="H815" s="60"/>
      <c r="I815" s="60"/>
      <c r="J815" s="60"/>
      <c r="K815" s="60"/>
      <c r="L815" s="60"/>
      <c r="M815" s="60"/>
      <c r="N815" s="60"/>
      <c r="O815" s="30"/>
      <c r="P815" s="30"/>
      <c r="Q815" s="30"/>
      <c r="R815" s="30"/>
      <c r="S815" s="30"/>
      <c r="T815" s="30"/>
    </row>
    <row r="816" spans="1:20" ht="12.75" customHeight="1" x14ac:dyDescent="0.25">
      <c r="A816" s="342"/>
      <c r="B816" s="30"/>
      <c r="C816" s="30"/>
      <c r="D816" s="141"/>
      <c r="E816" s="42"/>
      <c r="F816" s="43"/>
      <c r="G816" s="59"/>
      <c r="H816" s="60"/>
      <c r="I816" s="60"/>
      <c r="J816" s="60"/>
      <c r="K816" s="60"/>
      <c r="L816" s="60"/>
      <c r="M816" s="60"/>
      <c r="N816" s="60"/>
      <c r="O816" s="30"/>
      <c r="P816" s="30"/>
      <c r="Q816" s="30"/>
      <c r="R816" s="30"/>
      <c r="S816" s="30"/>
      <c r="T816" s="30"/>
    </row>
    <row r="817" spans="1:20" ht="12.75" customHeight="1" x14ac:dyDescent="0.25">
      <c r="A817" s="342"/>
      <c r="B817" s="30"/>
      <c r="C817" s="30"/>
      <c r="D817" s="141"/>
      <c r="E817" s="42"/>
      <c r="F817" s="43"/>
      <c r="G817" s="59"/>
      <c r="H817" s="60"/>
      <c r="I817" s="60"/>
      <c r="J817" s="60"/>
      <c r="K817" s="60"/>
      <c r="L817" s="60"/>
      <c r="M817" s="60"/>
      <c r="N817" s="60"/>
      <c r="O817" s="30"/>
      <c r="P817" s="30"/>
      <c r="Q817" s="30"/>
      <c r="R817" s="30"/>
      <c r="S817" s="30"/>
      <c r="T817" s="30"/>
    </row>
    <row r="818" spans="1:20" ht="12.75" customHeight="1" x14ac:dyDescent="0.25">
      <c r="A818" s="342"/>
      <c r="B818" s="30"/>
      <c r="C818" s="30"/>
      <c r="D818" s="141"/>
      <c r="E818" s="42"/>
      <c r="F818" s="43"/>
      <c r="G818" s="59"/>
      <c r="H818" s="60"/>
      <c r="I818" s="60"/>
      <c r="J818" s="60"/>
      <c r="K818" s="60"/>
      <c r="L818" s="60"/>
      <c r="M818" s="60"/>
      <c r="N818" s="60"/>
      <c r="O818" s="30"/>
      <c r="P818" s="30"/>
      <c r="Q818" s="30"/>
      <c r="R818" s="30"/>
      <c r="S818" s="30"/>
      <c r="T818" s="30"/>
    </row>
    <row r="819" spans="1:20" ht="12.75" customHeight="1" x14ac:dyDescent="0.25">
      <c r="A819" s="342"/>
      <c r="B819" s="30"/>
      <c r="C819" s="30"/>
      <c r="D819" s="141"/>
      <c r="E819" s="42"/>
      <c r="F819" s="43"/>
      <c r="G819" s="59"/>
      <c r="H819" s="60"/>
      <c r="I819" s="60"/>
      <c r="J819" s="60"/>
      <c r="K819" s="60"/>
      <c r="L819" s="60"/>
      <c r="M819" s="60"/>
      <c r="N819" s="60"/>
      <c r="O819" s="30"/>
      <c r="P819" s="30"/>
      <c r="Q819" s="30"/>
      <c r="R819" s="30"/>
      <c r="S819" s="30"/>
      <c r="T819" s="30"/>
    </row>
    <row r="820" spans="1:20" ht="12.75" customHeight="1" x14ac:dyDescent="0.25">
      <c r="A820" s="342"/>
      <c r="B820" s="30"/>
      <c r="C820" s="30"/>
      <c r="D820" s="141"/>
      <c r="E820" s="42"/>
      <c r="F820" s="43"/>
      <c r="G820" s="59"/>
      <c r="H820" s="60"/>
      <c r="I820" s="60"/>
      <c r="J820" s="60"/>
      <c r="K820" s="60"/>
      <c r="L820" s="60"/>
      <c r="M820" s="60"/>
      <c r="N820" s="60"/>
      <c r="O820" s="30"/>
      <c r="P820" s="30"/>
      <c r="Q820" s="30"/>
      <c r="R820" s="30"/>
      <c r="S820" s="30"/>
      <c r="T820" s="30"/>
    </row>
    <row r="821" spans="1:20" ht="12.75" customHeight="1" x14ac:dyDescent="0.25">
      <c r="A821" s="342"/>
      <c r="B821" s="30"/>
      <c r="C821" s="30"/>
      <c r="D821" s="141"/>
      <c r="E821" s="42"/>
      <c r="F821" s="43"/>
      <c r="G821" s="59"/>
      <c r="H821" s="60"/>
      <c r="I821" s="60"/>
      <c r="J821" s="60"/>
      <c r="K821" s="60"/>
      <c r="L821" s="60"/>
      <c r="M821" s="60"/>
      <c r="N821" s="60"/>
      <c r="O821" s="30"/>
      <c r="P821" s="30"/>
      <c r="Q821" s="30"/>
      <c r="R821" s="30"/>
      <c r="S821" s="30"/>
      <c r="T821" s="30"/>
    </row>
    <row r="822" spans="1:20" ht="12.75" customHeight="1" x14ac:dyDescent="0.25">
      <c r="A822" s="342"/>
      <c r="B822" s="30"/>
      <c r="C822" s="30"/>
      <c r="D822" s="141"/>
      <c r="E822" s="42"/>
      <c r="F822" s="43"/>
      <c r="G822" s="59"/>
      <c r="H822" s="60"/>
      <c r="I822" s="60"/>
      <c r="J822" s="60"/>
      <c r="K822" s="60"/>
      <c r="L822" s="60"/>
      <c r="M822" s="60"/>
      <c r="N822" s="60"/>
      <c r="O822" s="30"/>
      <c r="P822" s="30"/>
      <c r="Q822" s="30"/>
      <c r="R822" s="30"/>
      <c r="S822" s="30"/>
      <c r="T822" s="30"/>
    </row>
    <row r="823" spans="1:20" ht="12.75" customHeight="1" x14ac:dyDescent="0.25">
      <c r="A823" s="342"/>
      <c r="B823" s="30"/>
      <c r="C823" s="30"/>
      <c r="D823" s="141"/>
      <c r="E823" s="42"/>
      <c r="F823" s="43"/>
      <c r="G823" s="59"/>
      <c r="H823" s="60"/>
      <c r="I823" s="60"/>
      <c r="J823" s="60"/>
      <c r="K823" s="60"/>
      <c r="L823" s="60"/>
      <c r="M823" s="60"/>
      <c r="N823" s="60"/>
      <c r="O823" s="30"/>
      <c r="P823" s="30"/>
      <c r="Q823" s="30"/>
      <c r="R823" s="30"/>
      <c r="S823" s="30"/>
      <c r="T823" s="30"/>
    </row>
    <row r="824" spans="1:20" ht="12.75" customHeight="1" x14ac:dyDescent="0.25">
      <c r="A824" s="342"/>
      <c r="B824" s="30"/>
      <c r="C824" s="30"/>
      <c r="D824" s="141"/>
      <c r="E824" s="42"/>
      <c r="F824" s="43"/>
      <c r="G824" s="59"/>
      <c r="H824" s="60"/>
      <c r="I824" s="60"/>
      <c r="J824" s="60"/>
      <c r="K824" s="60"/>
      <c r="L824" s="60"/>
      <c r="M824" s="60"/>
      <c r="N824" s="60"/>
      <c r="O824" s="30"/>
      <c r="P824" s="30"/>
      <c r="Q824" s="30"/>
      <c r="R824" s="30"/>
      <c r="S824" s="30"/>
      <c r="T824" s="30"/>
    </row>
    <row r="825" spans="1:20" ht="12.75" customHeight="1" x14ac:dyDescent="0.25">
      <c r="A825" s="342"/>
      <c r="B825" s="30"/>
      <c r="C825" s="30"/>
      <c r="D825" s="141"/>
      <c r="E825" s="42"/>
      <c r="F825" s="43"/>
      <c r="G825" s="59"/>
      <c r="H825" s="60"/>
      <c r="I825" s="60"/>
      <c r="J825" s="60"/>
      <c r="K825" s="60"/>
      <c r="L825" s="60"/>
      <c r="M825" s="60"/>
      <c r="N825" s="60"/>
      <c r="O825" s="30"/>
      <c r="P825" s="30"/>
      <c r="Q825" s="30"/>
      <c r="R825" s="30"/>
      <c r="S825" s="30"/>
      <c r="T825" s="30"/>
    </row>
    <row r="826" spans="1:20" ht="12.75" customHeight="1" x14ac:dyDescent="0.25">
      <c r="A826" s="342"/>
      <c r="B826" s="30"/>
      <c r="C826" s="30"/>
      <c r="D826" s="141"/>
      <c r="E826" s="42"/>
      <c r="F826" s="43"/>
      <c r="G826" s="59"/>
      <c r="H826" s="60"/>
      <c r="I826" s="60"/>
      <c r="J826" s="60"/>
      <c r="K826" s="60"/>
      <c r="L826" s="60"/>
      <c r="M826" s="60"/>
      <c r="N826" s="60"/>
      <c r="O826" s="30"/>
      <c r="P826" s="30"/>
      <c r="Q826" s="30"/>
      <c r="R826" s="30"/>
      <c r="S826" s="30"/>
      <c r="T826" s="30"/>
    </row>
    <row r="827" spans="1:20" ht="12.75" customHeight="1" x14ac:dyDescent="0.25">
      <c r="A827" s="342"/>
      <c r="B827" s="30"/>
      <c r="C827" s="30"/>
      <c r="D827" s="141"/>
      <c r="E827" s="42"/>
      <c r="F827" s="43"/>
      <c r="G827" s="59"/>
      <c r="H827" s="60"/>
      <c r="I827" s="60"/>
      <c r="J827" s="60"/>
      <c r="K827" s="60"/>
      <c r="L827" s="60"/>
      <c r="M827" s="60"/>
      <c r="N827" s="60"/>
      <c r="O827" s="30"/>
      <c r="P827" s="30"/>
      <c r="Q827" s="30"/>
      <c r="R827" s="30"/>
      <c r="S827" s="30"/>
      <c r="T827" s="30"/>
    </row>
    <row r="828" spans="1:20" ht="12.75" customHeight="1" x14ac:dyDescent="0.25">
      <c r="A828" s="342"/>
      <c r="B828" s="30"/>
      <c r="C828" s="30"/>
      <c r="D828" s="141"/>
      <c r="E828" s="42"/>
      <c r="F828" s="43"/>
      <c r="G828" s="59"/>
      <c r="H828" s="60"/>
      <c r="I828" s="60"/>
      <c r="J828" s="60"/>
      <c r="K828" s="60"/>
      <c r="L828" s="60"/>
      <c r="M828" s="60"/>
      <c r="N828" s="60"/>
      <c r="O828" s="30"/>
      <c r="P828" s="30"/>
      <c r="Q828" s="30"/>
      <c r="R828" s="30"/>
      <c r="S828" s="30"/>
      <c r="T828" s="30"/>
    </row>
    <row r="829" spans="1:20" ht="12.75" customHeight="1" x14ac:dyDescent="0.25">
      <c r="A829" s="342"/>
      <c r="B829" s="30"/>
      <c r="C829" s="30"/>
      <c r="D829" s="141"/>
      <c r="E829" s="42"/>
      <c r="F829" s="43"/>
      <c r="G829" s="59"/>
      <c r="H829" s="60"/>
      <c r="I829" s="60"/>
      <c r="J829" s="60"/>
      <c r="K829" s="60"/>
      <c r="L829" s="60"/>
      <c r="M829" s="60"/>
      <c r="N829" s="60"/>
      <c r="O829" s="30"/>
      <c r="P829" s="30"/>
      <c r="Q829" s="30"/>
      <c r="R829" s="30"/>
      <c r="S829" s="30"/>
      <c r="T829" s="30"/>
    </row>
    <row r="830" spans="1:20" ht="12.75" customHeight="1" x14ac:dyDescent="0.25">
      <c r="A830" s="342"/>
      <c r="B830" s="30"/>
      <c r="C830" s="30"/>
      <c r="D830" s="141"/>
      <c r="E830" s="42"/>
      <c r="F830" s="43"/>
      <c r="G830" s="59"/>
      <c r="H830" s="60"/>
      <c r="I830" s="60"/>
      <c r="J830" s="60"/>
      <c r="K830" s="60"/>
      <c r="L830" s="60"/>
      <c r="M830" s="60"/>
      <c r="N830" s="60"/>
      <c r="O830" s="30"/>
      <c r="P830" s="30"/>
      <c r="Q830" s="30"/>
      <c r="R830" s="30"/>
      <c r="S830" s="30"/>
      <c r="T830" s="30"/>
    </row>
    <row r="831" spans="1:20" ht="12.75" customHeight="1" x14ac:dyDescent="0.25">
      <c r="A831" s="342"/>
      <c r="B831" s="30"/>
      <c r="C831" s="30"/>
      <c r="D831" s="141"/>
      <c r="E831" s="42"/>
      <c r="F831" s="43"/>
      <c r="G831" s="59"/>
      <c r="H831" s="60"/>
      <c r="I831" s="60"/>
      <c r="J831" s="60"/>
      <c r="K831" s="60"/>
      <c r="L831" s="60"/>
      <c r="M831" s="60"/>
      <c r="N831" s="60"/>
      <c r="O831" s="30"/>
      <c r="P831" s="30"/>
      <c r="Q831" s="30"/>
      <c r="R831" s="30"/>
      <c r="S831" s="30"/>
      <c r="T831" s="30"/>
    </row>
    <row r="832" spans="1:20" ht="12.75" customHeight="1" x14ac:dyDescent="0.25">
      <c r="A832" s="342"/>
      <c r="B832" s="30"/>
      <c r="C832" s="30"/>
      <c r="D832" s="141"/>
      <c r="E832" s="42"/>
      <c r="F832" s="43"/>
      <c r="G832" s="59"/>
      <c r="H832" s="60"/>
      <c r="I832" s="60"/>
      <c r="J832" s="60"/>
      <c r="K832" s="60"/>
      <c r="L832" s="60"/>
      <c r="M832" s="60"/>
      <c r="N832" s="60"/>
      <c r="O832" s="30"/>
      <c r="P832" s="30"/>
      <c r="Q832" s="30"/>
      <c r="R832" s="30"/>
      <c r="S832" s="30"/>
      <c r="T832" s="30"/>
    </row>
    <row r="833" spans="1:20" ht="12.75" customHeight="1" x14ac:dyDescent="0.25">
      <c r="A833" s="342"/>
      <c r="B833" s="30"/>
      <c r="C833" s="30"/>
      <c r="D833" s="141"/>
      <c r="E833" s="42"/>
      <c r="F833" s="43"/>
      <c r="G833" s="59"/>
      <c r="H833" s="60"/>
      <c r="I833" s="60"/>
      <c r="J833" s="60"/>
      <c r="K833" s="60"/>
      <c r="L833" s="60"/>
      <c r="M833" s="60"/>
      <c r="N833" s="60"/>
      <c r="O833" s="30"/>
      <c r="P833" s="30"/>
      <c r="Q833" s="30"/>
      <c r="R833" s="30"/>
      <c r="S833" s="30"/>
      <c r="T833" s="30"/>
    </row>
    <row r="834" spans="1:20" ht="12.75" customHeight="1" x14ac:dyDescent="0.25">
      <c r="A834" s="342"/>
      <c r="B834" s="30"/>
      <c r="C834" s="30"/>
      <c r="D834" s="141"/>
      <c r="E834" s="42"/>
      <c r="F834" s="43"/>
      <c r="G834" s="59"/>
      <c r="H834" s="60"/>
      <c r="I834" s="60"/>
      <c r="J834" s="60"/>
      <c r="K834" s="60"/>
      <c r="L834" s="60"/>
      <c r="M834" s="60"/>
      <c r="N834" s="60"/>
      <c r="O834" s="30"/>
      <c r="P834" s="30"/>
      <c r="Q834" s="30"/>
      <c r="R834" s="30"/>
      <c r="S834" s="30"/>
      <c r="T834" s="30"/>
    </row>
    <row r="835" spans="1:20" ht="12.75" customHeight="1" x14ac:dyDescent="0.25">
      <c r="A835" s="342"/>
      <c r="B835" s="30"/>
      <c r="C835" s="30"/>
      <c r="D835" s="141"/>
      <c r="E835" s="42"/>
      <c r="F835" s="43"/>
      <c r="G835" s="59"/>
      <c r="H835" s="60"/>
      <c r="I835" s="60"/>
      <c r="J835" s="60"/>
      <c r="K835" s="60"/>
      <c r="L835" s="60"/>
      <c r="M835" s="60"/>
      <c r="N835" s="60"/>
      <c r="O835" s="30"/>
      <c r="P835" s="30"/>
      <c r="Q835" s="30"/>
      <c r="R835" s="30"/>
      <c r="S835" s="30"/>
      <c r="T835" s="30"/>
    </row>
    <row r="836" spans="1:20" ht="12.75" customHeight="1" x14ac:dyDescent="0.25">
      <c r="A836" s="342"/>
      <c r="B836" s="30"/>
      <c r="C836" s="30"/>
      <c r="D836" s="141"/>
      <c r="E836" s="42"/>
      <c r="F836" s="43"/>
      <c r="G836" s="59"/>
      <c r="H836" s="60"/>
      <c r="I836" s="60"/>
      <c r="J836" s="60"/>
      <c r="K836" s="60"/>
      <c r="L836" s="60"/>
      <c r="M836" s="60"/>
      <c r="N836" s="60"/>
      <c r="O836" s="30"/>
      <c r="P836" s="30"/>
      <c r="Q836" s="30"/>
      <c r="R836" s="30"/>
      <c r="S836" s="30"/>
      <c r="T836" s="30"/>
    </row>
    <row r="837" spans="1:20" ht="12.75" customHeight="1" x14ac:dyDescent="0.25">
      <c r="A837" s="342"/>
      <c r="B837" s="30"/>
      <c r="C837" s="30"/>
      <c r="D837" s="141"/>
      <c r="E837" s="42"/>
      <c r="F837" s="43"/>
      <c r="G837" s="59"/>
      <c r="H837" s="60"/>
      <c r="I837" s="60"/>
      <c r="J837" s="60"/>
      <c r="K837" s="60"/>
      <c r="L837" s="60"/>
      <c r="M837" s="60"/>
      <c r="N837" s="60"/>
      <c r="O837" s="30"/>
      <c r="P837" s="30"/>
      <c r="Q837" s="30"/>
      <c r="R837" s="30"/>
      <c r="S837" s="30"/>
      <c r="T837" s="30"/>
    </row>
    <row r="838" spans="1:20" ht="12.75" customHeight="1" x14ac:dyDescent="0.25">
      <c r="A838" s="342"/>
      <c r="B838" s="30"/>
      <c r="C838" s="30"/>
      <c r="D838" s="141"/>
      <c r="E838" s="42"/>
      <c r="F838" s="43"/>
      <c r="G838" s="59"/>
      <c r="H838" s="60"/>
      <c r="I838" s="60"/>
      <c r="J838" s="60"/>
      <c r="K838" s="60"/>
      <c r="L838" s="60"/>
      <c r="M838" s="60"/>
      <c r="N838" s="60"/>
      <c r="O838" s="30"/>
      <c r="P838" s="30"/>
      <c r="Q838" s="30"/>
      <c r="R838" s="30"/>
      <c r="S838" s="30"/>
      <c r="T838" s="30"/>
    </row>
    <row r="839" spans="1:20" ht="12.75" customHeight="1" x14ac:dyDescent="0.25">
      <c r="A839" s="342"/>
      <c r="B839" s="30"/>
      <c r="C839" s="30"/>
      <c r="D839" s="141"/>
      <c r="E839" s="42"/>
      <c r="F839" s="43"/>
      <c r="G839" s="59"/>
      <c r="H839" s="60"/>
      <c r="I839" s="60"/>
      <c r="J839" s="60"/>
      <c r="K839" s="60"/>
      <c r="L839" s="60"/>
      <c r="M839" s="60"/>
      <c r="N839" s="60"/>
      <c r="O839" s="30"/>
      <c r="P839" s="30"/>
      <c r="Q839" s="30"/>
      <c r="R839" s="30"/>
      <c r="S839" s="30"/>
      <c r="T839" s="30"/>
    </row>
    <row r="840" spans="1:20" ht="12.75" customHeight="1" x14ac:dyDescent="0.25">
      <c r="A840" s="342"/>
      <c r="B840" s="30"/>
      <c r="C840" s="30"/>
      <c r="D840" s="141"/>
      <c r="E840" s="42"/>
      <c r="F840" s="43"/>
      <c r="G840" s="59"/>
      <c r="H840" s="60"/>
      <c r="I840" s="60"/>
      <c r="J840" s="60"/>
      <c r="K840" s="60"/>
      <c r="L840" s="60"/>
      <c r="M840" s="60"/>
      <c r="N840" s="60"/>
      <c r="O840" s="30"/>
      <c r="P840" s="30"/>
      <c r="Q840" s="30"/>
      <c r="R840" s="30"/>
      <c r="S840" s="30"/>
      <c r="T840" s="30"/>
    </row>
    <row r="841" spans="1:20" ht="12.75" customHeight="1" x14ac:dyDescent="0.25">
      <c r="A841" s="342"/>
      <c r="B841" s="30"/>
      <c r="C841" s="30"/>
      <c r="D841" s="141"/>
      <c r="E841" s="42"/>
      <c r="F841" s="43"/>
      <c r="G841" s="59"/>
      <c r="H841" s="60"/>
      <c r="I841" s="60"/>
      <c r="J841" s="60"/>
      <c r="K841" s="60"/>
      <c r="L841" s="60"/>
      <c r="M841" s="60"/>
      <c r="N841" s="60"/>
      <c r="O841" s="30"/>
      <c r="P841" s="30"/>
      <c r="Q841" s="30"/>
      <c r="R841" s="30"/>
      <c r="S841" s="30"/>
      <c r="T841" s="30"/>
    </row>
    <row r="842" spans="1:20" ht="12.75" customHeight="1" x14ac:dyDescent="0.25">
      <c r="A842" s="342"/>
      <c r="B842" s="30"/>
      <c r="C842" s="30"/>
      <c r="D842" s="141"/>
      <c r="E842" s="42"/>
      <c r="F842" s="43"/>
      <c r="G842" s="59"/>
      <c r="H842" s="60"/>
      <c r="I842" s="60"/>
      <c r="J842" s="60"/>
      <c r="K842" s="60"/>
      <c r="L842" s="60"/>
      <c r="M842" s="60"/>
      <c r="N842" s="60"/>
      <c r="O842" s="30"/>
      <c r="P842" s="30"/>
      <c r="Q842" s="30"/>
      <c r="R842" s="30"/>
      <c r="S842" s="30"/>
      <c r="T842" s="30"/>
    </row>
    <row r="843" spans="1:20" ht="12.75" customHeight="1" x14ac:dyDescent="0.25">
      <c r="A843" s="342"/>
      <c r="B843" s="30"/>
      <c r="C843" s="30"/>
      <c r="D843" s="141"/>
      <c r="E843" s="42"/>
      <c r="F843" s="43"/>
      <c r="G843" s="59"/>
      <c r="H843" s="60"/>
      <c r="I843" s="60"/>
      <c r="J843" s="60"/>
      <c r="K843" s="60"/>
      <c r="L843" s="60"/>
      <c r="M843" s="60"/>
      <c r="N843" s="60"/>
      <c r="O843" s="30"/>
      <c r="P843" s="30"/>
      <c r="Q843" s="30"/>
      <c r="R843" s="30"/>
      <c r="S843" s="30"/>
      <c r="T843" s="30"/>
    </row>
    <row r="844" spans="1:20" ht="12.75" customHeight="1" x14ac:dyDescent="0.25">
      <c r="A844" s="342"/>
      <c r="B844" s="30"/>
      <c r="C844" s="30"/>
      <c r="D844" s="141"/>
      <c r="E844" s="42"/>
      <c r="F844" s="43"/>
      <c r="G844" s="59"/>
      <c r="H844" s="60"/>
      <c r="I844" s="60"/>
      <c r="J844" s="60"/>
      <c r="K844" s="60"/>
      <c r="L844" s="60"/>
      <c r="M844" s="60"/>
      <c r="N844" s="60"/>
      <c r="O844" s="30"/>
      <c r="P844" s="30"/>
      <c r="Q844" s="30"/>
      <c r="R844" s="30"/>
      <c r="S844" s="30"/>
      <c r="T844" s="30"/>
    </row>
    <row r="845" spans="1:20" ht="12.75" customHeight="1" x14ac:dyDescent="0.25">
      <c r="A845" s="342"/>
      <c r="B845" s="30"/>
      <c r="C845" s="30"/>
      <c r="D845" s="141"/>
      <c r="E845" s="42"/>
      <c r="F845" s="43"/>
      <c r="G845" s="59"/>
      <c r="H845" s="60"/>
      <c r="I845" s="60"/>
      <c r="J845" s="60"/>
      <c r="K845" s="60"/>
      <c r="L845" s="60"/>
      <c r="M845" s="60"/>
      <c r="N845" s="60"/>
      <c r="O845" s="30"/>
      <c r="P845" s="30"/>
      <c r="Q845" s="30"/>
      <c r="R845" s="30"/>
      <c r="S845" s="30"/>
      <c r="T845" s="30"/>
    </row>
    <row r="846" spans="1:20" ht="12.75" customHeight="1" x14ac:dyDescent="0.25">
      <c r="A846" s="342"/>
      <c r="B846" s="30"/>
      <c r="C846" s="30"/>
      <c r="D846" s="141"/>
      <c r="E846" s="42"/>
      <c r="F846" s="43"/>
      <c r="G846" s="59"/>
      <c r="H846" s="60"/>
      <c r="I846" s="60"/>
      <c r="J846" s="60"/>
      <c r="K846" s="60"/>
      <c r="L846" s="60"/>
      <c r="M846" s="60"/>
      <c r="N846" s="60"/>
      <c r="O846" s="30"/>
      <c r="P846" s="30"/>
      <c r="Q846" s="30"/>
      <c r="R846" s="30"/>
      <c r="S846" s="30"/>
      <c r="T846" s="30"/>
    </row>
    <row r="847" spans="1:20" ht="12.75" customHeight="1" x14ac:dyDescent="0.25">
      <c r="A847" s="342"/>
      <c r="B847" s="30"/>
      <c r="C847" s="30"/>
      <c r="D847" s="141"/>
      <c r="E847" s="42"/>
      <c r="F847" s="43"/>
      <c r="G847" s="59"/>
      <c r="H847" s="60"/>
      <c r="I847" s="60"/>
      <c r="J847" s="60"/>
      <c r="K847" s="60"/>
      <c r="L847" s="60"/>
      <c r="M847" s="60"/>
      <c r="N847" s="60"/>
      <c r="O847" s="30"/>
      <c r="P847" s="30"/>
      <c r="Q847" s="30"/>
      <c r="R847" s="30"/>
      <c r="S847" s="30"/>
      <c r="T847" s="30"/>
    </row>
    <row r="848" spans="1:20" ht="12.75" customHeight="1" x14ac:dyDescent="0.25">
      <c r="A848" s="342"/>
      <c r="B848" s="30"/>
      <c r="C848" s="30"/>
      <c r="D848" s="141"/>
      <c r="E848" s="42"/>
      <c r="F848" s="43"/>
      <c r="G848" s="59"/>
      <c r="H848" s="60"/>
      <c r="I848" s="60"/>
      <c r="J848" s="60"/>
      <c r="K848" s="60"/>
      <c r="L848" s="60"/>
      <c r="M848" s="60"/>
      <c r="N848" s="60"/>
      <c r="O848" s="30"/>
      <c r="P848" s="30"/>
      <c r="Q848" s="30"/>
      <c r="R848" s="30"/>
      <c r="S848" s="30"/>
      <c r="T848" s="30"/>
    </row>
    <row r="849" spans="1:20" ht="12.75" customHeight="1" x14ac:dyDescent="0.25">
      <c r="A849" s="342"/>
      <c r="B849" s="30"/>
      <c r="C849" s="30"/>
      <c r="D849" s="141"/>
      <c r="E849" s="42"/>
      <c r="F849" s="43"/>
      <c r="G849" s="59"/>
      <c r="H849" s="60"/>
      <c r="I849" s="60"/>
      <c r="J849" s="60"/>
      <c r="K849" s="60"/>
      <c r="L849" s="60"/>
      <c r="M849" s="60"/>
      <c r="N849" s="60"/>
      <c r="O849" s="30"/>
      <c r="P849" s="30"/>
      <c r="Q849" s="30"/>
      <c r="R849" s="30"/>
      <c r="S849" s="30"/>
      <c r="T849" s="30"/>
    </row>
    <row r="850" spans="1:20" ht="12.75" customHeight="1" x14ac:dyDescent="0.25">
      <c r="A850" s="342"/>
      <c r="B850" s="30"/>
      <c r="C850" s="30"/>
      <c r="D850" s="141"/>
      <c r="E850" s="42"/>
      <c r="F850" s="43"/>
      <c r="G850" s="59"/>
      <c r="H850" s="60"/>
      <c r="I850" s="60"/>
      <c r="J850" s="60"/>
      <c r="K850" s="60"/>
      <c r="L850" s="60"/>
      <c r="M850" s="60"/>
      <c r="N850" s="60"/>
      <c r="O850" s="30"/>
      <c r="P850" s="30"/>
      <c r="Q850" s="30"/>
      <c r="R850" s="30"/>
      <c r="S850" s="30"/>
      <c r="T850" s="30"/>
    </row>
    <row r="851" spans="1:20" ht="12.75" customHeight="1" x14ac:dyDescent="0.25">
      <c r="A851" s="342"/>
      <c r="B851" s="30"/>
      <c r="C851" s="30"/>
      <c r="D851" s="141"/>
      <c r="E851" s="42"/>
      <c r="F851" s="43"/>
      <c r="G851" s="59"/>
      <c r="H851" s="60"/>
      <c r="I851" s="60"/>
      <c r="J851" s="60"/>
      <c r="K851" s="60"/>
      <c r="L851" s="60"/>
      <c r="M851" s="60"/>
      <c r="N851" s="60"/>
      <c r="O851" s="30"/>
      <c r="P851" s="30"/>
      <c r="Q851" s="30"/>
      <c r="R851" s="30"/>
      <c r="S851" s="30"/>
      <c r="T851" s="30"/>
    </row>
    <row r="852" spans="1:20" ht="12.75" customHeight="1" x14ac:dyDescent="0.25">
      <c r="A852" s="342"/>
      <c r="B852" s="30"/>
      <c r="C852" s="30"/>
      <c r="D852" s="141"/>
      <c r="E852" s="42"/>
      <c r="F852" s="43"/>
      <c r="G852" s="59"/>
      <c r="H852" s="60"/>
      <c r="I852" s="60"/>
      <c r="J852" s="60"/>
      <c r="K852" s="60"/>
      <c r="L852" s="60"/>
      <c r="M852" s="60"/>
      <c r="N852" s="60"/>
      <c r="O852" s="30"/>
      <c r="P852" s="30"/>
      <c r="Q852" s="30"/>
      <c r="R852" s="30"/>
      <c r="S852" s="30"/>
      <c r="T852" s="30"/>
    </row>
    <row r="853" spans="1:20" ht="12.75" customHeight="1" x14ac:dyDescent="0.25">
      <c r="A853" s="342"/>
      <c r="B853" s="30"/>
      <c r="C853" s="30"/>
      <c r="D853" s="141"/>
      <c r="E853" s="42"/>
      <c r="F853" s="43"/>
      <c r="G853" s="59"/>
      <c r="H853" s="60"/>
      <c r="I853" s="60"/>
      <c r="J853" s="60"/>
      <c r="K853" s="60"/>
      <c r="L853" s="60"/>
      <c r="M853" s="60"/>
      <c r="N853" s="60"/>
      <c r="O853" s="30"/>
      <c r="P853" s="30"/>
      <c r="Q853" s="30"/>
      <c r="R853" s="30"/>
      <c r="S853" s="30"/>
      <c r="T853" s="30"/>
    </row>
    <row r="854" spans="1:20" ht="12.75" customHeight="1" x14ac:dyDescent="0.25">
      <c r="A854" s="342"/>
      <c r="B854" s="30"/>
      <c r="C854" s="30"/>
      <c r="D854" s="141"/>
      <c r="E854" s="42"/>
      <c r="F854" s="43"/>
      <c r="G854" s="59"/>
      <c r="H854" s="60"/>
      <c r="I854" s="60"/>
      <c r="J854" s="60"/>
      <c r="K854" s="60"/>
      <c r="L854" s="60"/>
      <c r="M854" s="60"/>
      <c r="N854" s="60"/>
      <c r="O854" s="30"/>
      <c r="P854" s="30"/>
      <c r="Q854" s="30"/>
      <c r="R854" s="30"/>
      <c r="S854" s="30"/>
      <c r="T854" s="30"/>
    </row>
    <row r="855" spans="1:20" ht="12.75" customHeight="1" x14ac:dyDescent="0.25">
      <c r="A855" s="342"/>
      <c r="B855" s="30"/>
      <c r="C855" s="30"/>
      <c r="D855" s="141"/>
      <c r="E855" s="42"/>
      <c r="F855" s="43"/>
      <c r="G855" s="59"/>
      <c r="H855" s="60"/>
      <c r="I855" s="60"/>
      <c r="J855" s="60"/>
      <c r="K855" s="60"/>
      <c r="L855" s="60"/>
      <c r="M855" s="60"/>
      <c r="N855" s="60"/>
      <c r="O855" s="30"/>
      <c r="P855" s="30"/>
      <c r="Q855" s="30"/>
      <c r="R855" s="30"/>
      <c r="S855" s="30"/>
      <c r="T855" s="30"/>
    </row>
    <row r="856" spans="1:20" ht="12.75" customHeight="1" x14ac:dyDescent="0.25">
      <c r="A856" s="342"/>
      <c r="B856" s="30"/>
      <c r="C856" s="30"/>
      <c r="D856" s="141"/>
      <c r="E856" s="42"/>
      <c r="F856" s="43"/>
      <c r="G856" s="59"/>
      <c r="H856" s="60"/>
      <c r="I856" s="60"/>
      <c r="J856" s="60"/>
      <c r="K856" s="60"/>
      <c r="L856" s="60"/>
      <c r="M856" s="60"/>
      <c r="N856" s="60"/>
      <c r="O856" s="30"/>
      <c r="P856" s="30"/>
      <c r="Q856" s="30"/>
      <c r="R856" s="30"/>
      <c r="S856" s="30"/>
      <c r="T856" s="30"/>
    </row>
    <row r="857" spans="1:20" ht="12.75" customHeight="1" x14ac:dyDescent="0.25">
      <c r="A857" s="342"/>
      <c r="B857" s="30"/>
      <c r="C857" s="30"/>
      <c r="D857" s="141"/>
      <c r="E857" s="42"/>
      <c r="F857" s="43"/>
      <c r="G857" s="59"/>
      <c r="H857" s="60"/>
      <c r="I857" s="60"/>
      <c r="J857" s="60"/>
      <c r="K857" s="60"/>
      <c r="L857" s="60"/>
      <c r="M857" s="60"/>
      <c r="N857" s="60"/>
      <c r="O857" s="30"/>
      <c r="P857" s="30"/>
      <c r="Q857" s="30"/>
      <c r="R857" s="30"/>
      <c r="S857" s="30"/>
      <c r="T857" s="30"/>
    </row>
    <row r="858" spans="1:20" ht="12.75" customHeight="1" x14ac:dyDescent="0.25">
      <c r="A858" s="342"/>
      <c r="B858" s="30"/>
      <c r="C858" s="30"/>
      <c r="D858" s="141"/>
      <c r="E858" s="42"/>
      <c r="F858" s="43"/>
      <c r="G858" s="59"/>
      <c r="H858" s="60"/>
      <c r="I858" s="60"/>
      <c r="J858" s="60"/>
      <c r="K858" s="60"/>
      <c r="L858" s="60"/>
      <c r="M858" s="60"/>
      <c r="N858" s="60"/>
      <c r="O858" s="30"/>
      <c r="P858" s="30"/>
      <c r="Q858" s="30"/>
      <c r="R858" s="30"/>
      <c r="S858" s="30"/>
      <c r="T858" s="30"/>
    </row>
    <row r="859" spans="1:20" ht="12.75" customHeight="1" x14ac:dyDescent="0.25">
      <c r="A859" s="342"/>
      <c r="B859" s="30"/>
      <c r="C859" s="30"/>
      <c r="D859" s="141"/>
      <c r="E859" s="42"/>
      <c r="F859" s="43"/>
      <c r="G859" s="59"/>
      <c r="H859" s="60"/>
      <c r="I859" s="60"/>
      <c r="J859" s="60"/>
      <c r="K859" s="60"/>
      <c r="L859" s="60"/>
      <c r="M859" s="60"/>
      <c r="N859" s="60"/>
      <c r="O859" s="30"/>
      <c r="P859" s="30"/>
      <c r="Q859" s="30"/>
      <c r="R859" s="30"/>
      <c r="S859" s="30"/>
      <c r="T859" s="30"/>
    </row>
    <row r="860" spans="1:20" ht="12.75" customHeight="1" x14ac:dyDescent="0.25">
      <c r="A860" s="342"/>
      <c r="B860" s="30"/>
      <c r="C860" s="30"/>
      <c r="D860" s="141"/>
      <c r="E860" s="42"/>
      <c r="F860" s="43"/>
      <c r="G860" s="59"/>
      <c r="H860" s="60"/>
      <c r="I860" s="60"/>
      <c r="J860" s="60"/>
      <c r="K860" s="60"/>
      <c r="L860" s="60"/>
      <c r="M860" s="60"/>
      <c r="N860" s="60"/>
      <c r="O860" s="30"/>
      <c r="P860" s="30"/>
      <c r="Q860" s="30"/>
      <c r="R860" s="30"/>
      <c r="S860" s="30"/>
      <c r="T860" s="30"/>
    </row>
    <row r="861" spans="1:20" ht="12.75" customHeight="1" x14ac:dyDescent="0.25">
      <c r="A861" s="342"/>
      <c r="B861" s="30"/>
      <c r="C861" s="30"/>
      <c r="D861" s="141"/>
      <c r="E861" s="42"/>
      <c r="F861" s="43"/>
      <c r="G861" s="59"/>
      <c r="H861" s="60"/>
      <c r="I861" s="60"/>
      <c r="J861" s="60"/>
      <c r="K861" s="60"/>
      <c r="L861" s="60"/>
      <c r="M861" s="60"/>
      <c r="N861" s="60"/>
      <c r="O861" s="30"/>
      <c r="P861" s="30"/>
      <c r="Q861" s="30"/>
      <c r="R861" s="30"/>
      <c r="S861" s="30"/>
      <c r="T861" s="30"/>
    </row>
    <row r="862" spans="1:20" ht="12.75" customHeight="1" x14ac:dyDescent="0.25">
      <c r="A862" s="342"/>
      <c r="B862" s="30"/>
      <c r="C862" s="30"/>
      <c r="D862" s="141"/>
      <c r="E862" s="42"/>
      <c r="F862" s="43"/>
      <c r="G862" s="59"/>
      <c r="H862" s="60"/>
      <c r="I862" s="60"/>
      <c r="J862" s="60"/>
      <c r="K862" s="60"/>
      <c r="L862" s="60"/>
      <c r="M862" s="60"/>
      <c r="N862" s="60"/>
      <c r="O862" s="30"/>
      <c r="P862" s="30"/>
      <c r="Q862" s="30"/>
      <c r="R862" s="30"/>
      <c r="S862" s="30"/>
      <c r="T862" s="30"/>
    </row>
    <row r="863" spans="1:20" ht="12.75" customHeight="1" x14ac:dyDescent="0.25">
      <c r="A863" s="342"/>
      <c r="B863" s="30"/>
      <c r="C863" s="30"/>
      <c r="D863" s="141"/>
      <c r="E863" s="42"/>
      <c r="F863" s="43"/>
      <c r="G863" s="59"/>
      <c r="H863" s="60"/>
      <c r="I863" s="60"/>
      <c r="J863" s="60"/>
      <c r="K863" s="60"/>
      <c r="L863" s="60"/>
      <c r="M863" s="60"/>
      <c r="N863" s="60"/>
      <c r="O863" s="30"/>
      <c r="P863" s="30"/>
      <c r="Q863" s="30"/>
      <c r="R863" s="30"/>
      <c r="S863" s="30"/>
      <c r="T863" s="30"/>
    </row>
    <row r="864" spans="1:20" ht="12.75" customHeight="1" x14ac:dyDescent="0.25">
      <c r="A864" s="342"/>
      <c r="B864" s="30"/>
      <c r="C864" s="30"/>
      <c r="D864" s="141"/>
      <c r="E864" s="42"/>
      <c r="F864" s="43"/>
      <c r="G864" s="59"/>
      <c r="H864" s="60"/>
      <c r="I864" s="60"/>
      <c r="J864" s="60"/>
      <c r="K864" s="60"/>
      <c r="L864" s="60"/>
      <c r="M864" s="60"/>
      <c r="N864" s="60"/>
      <c r="O864" s="30"/>
      <c r="P864" s="30"/>
      <c r="Q864" s="30"/>
      <c r="R864" s="30"/>
      <c r="S864" s="30"/>
      <c r="T864" s="30"/>
    </row>
    <row r="865" spans="1:20" ht="12.75" customHeight="1" x14ac:dyDescent="0.25">
      <c r="A865" s="342"/>
      <c r="B865" s="30"/>
      <c r="C865" s="30"/>
      <c r="D865" s="141"/>
      <c r="E865" s="42"/>
      <c r="F865" s="43"/>
      <c r="G865" s="59"/>
      <c r="H865" s="60"/>
      <c r="I865" s="60"/>
      <c r="J865" s="60"/>
      <c r="K865" s="60"/>
      <c r="L865" s="60"/>
      <c r="M865" s="60"/>
      <c r="N865" s="60"/>
      <c r="O865" s="30"/>
      <c r="P865" s="30"/>
      <c r="Q865" s="30"/>
      <c r="R865" s="30"/>
      <c r="S865" s="30"/>
      <c r="T865" s="30"/>
    </row>
    <row r="866" spans="1:20" ht="12.75" customHeight="1" x14ac:dyDescent="0.25">
      <c r="A866" s="342"/>
      <c r="B866" s="30"/>
      <c r="C866" s="30"/>
      <c r="D866" s="141"/>
      <c r="E866" s="42"/>
      <c r="F866" s="43"/>
      <c r="G866" s="59"/>
      <c r="H866" s="60"/>
      <c r="I866" s="60"/>
      <c r="J866" s="60"/>
      <c r="K866" s="60"/>
      <c r="L866" s="60"/>
      <c r="M866" s="60"/>
      <c r="N866" s="60"/>
      <c r="O866" s="30"/>
      <c r="P866" s="30"/>
      <c r="Q866" s="30"/>
      <c r="R866" s="30"/>
      <c r="S866" s="30"/>
      <c r="T866" s="30"/>
    </row>
    <row r="867" spans="1:20" ht="12.75" customHeight="1" x14ac:dyDescent="0.25">
      <c r="A867" s="342"/>
      <c r="B867" s="30"/>
      <c r="C867" s="30"/>
      <c r="D867" s="141"/>
      <c r="E867" s="42"/>
      <c r="F867" s="43"/>
      <c r="G867" s="59"/>
      <c r="H867" s="60"/>
      <c r="I867" s="60"/>
      <c r="J867" s="60"/>
      <c r="K867" s="60"/>
      <c r="L867" s="60"/>
      <c r="M867" s="60"/>
      <c r="N867" s="60"/>
      <c r="O867" s="30"/>
      <c r="P867" s="30"/>
      <c r="Q867" s="30"/>
      <c r="R867" s="30"/>
      <c r="S867" s="30"/>
      <c r="T867" s="30"/>
    </row>
    <row r="868" spans="1:20" ht="12.75" customHeight="1" x14ac:dyDescent="0.25">
      <c r="A868" s="342"/>
      <c r="B868" s="30"/>
      <c r="C868" s="30"/>
      <c r="D868" s="141"/>
      <c r="E868" s="42"/>
      <c r="F868" s="43"/>
      <c r="G868" s="59"/>
      <c r="H868" s="60"/>
      <c r="I868" s="60"/>
      <c r="J868" s="60"/>
      <c r="K868" s="60"/>
      <c r="L868" s="60"/>
      <c r="M868" s="60"/>
      <c r="N868" s="60"/>
      <c r="O868" s="30"/>
      <c r="P868" s="30"/>
      <c r="Q868" s="30"/>
      <c r="R868" s="30"/>
      <c r="S868" s="30"/>
      <c r="T868" s="30"/>
    </row>
    <row r="869" spans="1:20" ht="12.75" customHeight="1" x14ac:dyDescent="0.25">
      <c r="A869" s="342"/>
      <c r="B869" s="30"/>
      <c r="C869" s="30"/>
      <c r="D869" s="141"/>
      <c r="E869" s="42"/>
      <c r="F869" s="43"/>
      <c r="G869" s="59"/>
      <c r="H869" s="60"/>
      <c r="I869" s="60"/>
      <c r="J869" s="60"/>
      <c r="K869" s="60"/>
      <c r="L869" s="60"/>
      <c r="M869" s="60"/>
      <c r="N869" s="60"/>
      <c r="O869" s="30"/>
      <c r="P869" s="30"/>
      <c r="Q869" s="30"/>
      <c r="R869" s="30"/>
      <c r="S869" s="30"/>
      <c r="T869" s="30"/>
    </row>
    <row r="870" spans="1:20" ht="12.75" customHeight="1" x14ac:dyDescent="0.25">
      <c r="A870" s="342"/>
      <c r="B870" s="30"/>
      <c r="C870" s="30"/>
      <c r="D870" s="141"/>
      <c r="E870" s="42"/>
      <c r="F870" s="43"/>
      <c r="G870" s="59"/>
      <c r="H870" s="60"/>
      <c r="I870" s="60"/>
      <c r="J870" s="60"/>
      <c r="K870" s="60"/>
      <c r="L870" s="60"/>
      <c r="M870" s="60"/>
      <c r="N870" s="60"/>
      <c r="O870" s="30"/>
      <c r="P870" s="30"/>
      <c r="Q870" s="30"/>
      <c r="R870" s="30"/>
      <c r="S870" s="30"/>
      <c r="T870" s="30"/>
    </row>
    <row r="871" spans="1:20" ht="12.75" customHeight="1" x14ac:dyDescent="0.25">
      <c r="A871" s="342"/>
      <c r="B871" s="30"/>
      <c r="C871" s="30"/>
      <c r="D871" s="141"/>
      <c r="E871" s="42"/>
      <c r="F871" s="43"/>
      <c r="G871" s="59"/>
      <c r="H871" s="60"/>
      <c r="I871" s="60"/>
      <c r="J871" s="60"/>
      <c r="K871" s="60"/>
      <c r="L871" s="60"/>
      <c r="M871" s="60"/>
      <c r="N871" s="60"/>
      <c r="O871" s="30"/>
      <c r="P871" s="30"/>
      <c r="Q871" s="30"/>
      <c r="R871" s="30"/>
      <c r="S871" s="30"/>
      <c r="T871" s="30"/>
    </row>
    <row r="872" spans="1:20" ht="12.75" customHeight="1" x14ac:dyDescent="0.25">
      <c r="A872" s="342"/>
      <c r="B872" s="30"/>
      <c r="C872" s="30"/>
      <c r="D872" s="141"/>
      <c r="E872" s="42"/>
      <c r="F872" s="43"/>
      <c r="G872" s="59"/>
      <c r="H872" s="60"/>
      <c r="I872" s="60"/>
      <c r="J872" s="60"/>
      <c r="K872" s="60"/>
      <c r="L872" s="60"/>
      <c r="M872" s="60"/>
      <c r="N872" s="60"/>
      <c r="O872" s="30"/>
      <c r="P872" s="30"/>
      <c r="Q872" s="30"/>
      <c r="R872" s="30"/>
      <c r="S872" s="30"/>
      <c r="T872" s="30"/>
    </row>
    <row r="873" spans="1:20" ht="12.75" customHeight="1" x14ac:dyDescent="0.25">
      <c r="A873" s="342"/>
      <c r="B873" s="30"/>
      <c r="C873" s="30"/>
      <c r="D873" s="141"/>
      <c r="E873" s="42"/>
      <c r="F873" s="43"/>
      <c r="G873" s="59"/>
      <c r="H873" s="60"/>
      <c r="I873" s="60"/>
      <c r="J873" s="60"/>
      <c r="K873" s="60"/>
      <c r="L873" s="60"/>
      <c r="M873" s="60"/>
      <c r="N873" s="60"/>
      <c r="O873" s="30"/>
      <c r="P873" s="30"/>
      <c r="Q873" s="30"/>
      <c r="R873" s="30"/>
      <c r="S873" s="30"/>
      <c r="T873" s="30"/>
    </row>
    <row r="874" spans="1:20" ht="12.75" customHeight="1" x14ac:dyDescent="0.25">
      <c r="A874" s="342"/>
      <c r="B874" s="30"/>
      <c r="C874" s="30"/>
      <c r="D874" s="141"/>
      <c r="E874" s="42"/>
      <c r="F874" s="43"/>
      <c r="G874" s="59"/>
      <c r="H874" s="60"/>
      <c r="I874" s="60"/>
      <c r="J874" s="60"/>
      <c r="K874" s="60"/>
      <c r="L874" s="60"/>
      <c r="M874" s="60"/>
      <c r="N874" s="60"/>
      <c r="O874" s="30"/>
      <c r="P874" s="30"/>
      <c r="Q874" s="30"/>
      <c r="R874" s="30"/>
      <c r="S874" s="30"/>
      <c r="T874" s="30"/>
    </row>
    <row r="875" spans="1:20" ht="12.75" customHeight="1" x14ac:dyDescent="0.25">
      <c r="A875" s="342"/>
      <c r="B875" s="30"/>
      <c r="C875" s="30"/>
      <c r="D875" s="141"/>
      <c r="E875" s="42"/>
      <c r="F875" s="43"/>
      <c r="G875" s="59"/>
      <c r="H875" s="60"/>
      <c r="I875" s="60"/>
      <c r="J875" s="60"/>
      <c r="K875" s="60"/>
      <c r="L875" s="60"/>
      <c r="M875" s="60"/>
      <c r="N875" s="60"/>
      <c r="O875" s="30"/>
      <c r="P875" s="30"/>
      <c r="Q875" s="30"/>
      <c r="R875" s="30"/>
      <c r="S875" s="30"/>
      <c r="T875" s="30"/>
    </row>
    <row r="876" spans="1:20" ht="12.75" customHeight="1" x14ac:dyDescent="0.25">
      <c r="A876" s="342"/>
      <c r="B876" s="30"/>
      <c r="C876" s="30"/>
      <c r="D876" s="141"/>
      <c r="E876" s="42"/>
      <c r="F876" s="43"/>
      <c r="G876" s="59"/>
      <c r="H876" s="60"/>
      <c r="I876" s="60"/>
      <c r="J876" s="60"/>
      <c r="K876" s="60"/>
      <c r="L876" s="60"/>
      <c r="M876" s="60"/>
      <c r="N876" s="60"/>
      <c r="O876" s="30"/>
      <c r="P876" s="30"/>
      <c r="Q876" s="30"/>
      <c r="R876" s="30"/>
      <c r="S876" s="30"/>
      <c r="T876" s="30"/>
    </row>
    <row r="877" spans="1:20" ht="12.75" customHeight="1" x14ac:dyDescent="0.25">
      <c r="A877" s="342"/>
      <c r="B877" s="30"/>
      <c r="C877" s="30"/>
      <c r="D877" s="141"/>
      <c r="E877" s="42"/>
      <c r="F877" s="43"/>
      <c r="G877" s="59"/>
      <c r="H877" s="60"/>
      <c r="I877" s="60"/>
      <c r="J877" s="60"/>
      <c r="K877" s="60"/>
      <c r="L877" s="60"/>
      <c r="M877" s="60"/>
      <c r="N877" s="60"/>
      <c r="O877" s="30"/>
      <c r="P877" s="30"/>
      <c r="Q877" s="30"/>
      <c r="R877" s="30"/>
      <c r="S877" s="30"/>
      <c r="T877" s="30"/>
    </row>
    <row r="878" spans="1:20" ht="12.75" customHeight="1" x14ac:dyDescent="0.25">
      <c r="A878" s="342"/>
      <c r="B878" s="30"/>
      <c r="C878" s="30"/>
      <c r="D878" s="141"/>
      <c r="E878" s="42"/>
      <c r="F878" s="43"/>
      <c r="G878" s="59"/>
      <c r="H878" s="60"/>
      <c r="I878" s="60"/>
      <c r="J878" s="60"/>
      <c r="K878" s="60"/>
      <c r="L878" s="60"/>
      <c r="M878" s="60"/>
      <c r="N878" s="60"/>
      <c r="O878" s="30"/>
      <c r="P878" s="30"/>
      <c r="Q878" s="30"/>
      <c r="R878" s="30"/>
      <c r="S878" s="30"/>
      <c r="T878" s="30"/>
    </row>
    <row r="879" spans="1:20" ht="12.75" customHeight="1" x14ac:dyDescent="0.25">
      <c r="A879" s="342"/>
      <c r="B879" s="30"/>
      <c r="C879" s="30"/>
      <c r="D879" s="141"/>
      <c r="E879" s="42"/>
      <c r="F879" s="43"/>
      <c r="G879" s="59"/>
      <c r="H879" s="60"/>
      <c r="I879" s="60"/>
      <c r="J879" s="60"/>
      <c r="K879" s="60"/>
      <c r="L879" s="60"/>
      <c r="M879" s="60"/>
      <c r="N879" s="60"/>
      <c r="O879" s="30"/>
      <c r="P879" s="30"/>
      <c r="Q879" s="30"/>
      <c r="R879" s="30"/>
      <c r="S879" s="30"/>
      <c r="T879" s="30"/>
    </row>
    <row r="880" spans="1:20" ht="12.75" customHeight="1" x14ac:dyDescent="0.25">
      <c r="A880" s="342"/>
      <c r="B880" s="30"/>
      <c r="C880" s="30"/>
      <c r="D880" s="141"/>
      <c r="E880" s="42"/>
      <c r="F880" s="43"/>
      <c r="G880" s="59"/>
      <c r="H880" s="60"/>
      <c r="I880" s="60"/>
      <c r="J880" s="60"/>
      <c r="K880" s="60"/>
      <c r="L880" s="60"/>
      <c r="M880" s="60"/>
      <c r="N880" s="60"/>
      <c r="O880" s="30"/>
      <c r="P880" s="30"/>
      <c r="Q880" s="30"/>
      <c r="R880" s="30"/>
      <c r="S880" s="30"/>
      <c r="T880" s="30"/>
    </row>
    <row r="881" spans="1:20" ht="12.75" customHeight="1" x14ac:dyDescent="0.25">
      <c r="A881" s="342"/>
      <c r="B881" s="30"/>
      <c r="C881" s="30"/>
      <c r="D881" s="141"/>
      <c r="E881" s="42"/>
      <c r="F881" s="43"/>
      <c r="G881" s="59"/>
      <c r="H881" s="60"/>
      <c r="I881" s="60"/>
      <c r="J881" s="60"/>
      <c r="K881" s="60"/>
      <c r="L881" s="60"/>
      <c r="M881" s="60"/>
      <c r="N881" s="60"/>
      <c r="O881" s="30"/>
      <c r="P881" s="30"/>
      <c r="Q881" s="30"/>
      <c r="R881" s="30"/>
      <c r="S881" s="30"/>
      <c r="T881" s="30"/>
    </row>
    <row r="882" spans="1:20" ht="12.75" customHeight="1" x14ac:dyDescent="0.25">
      <c r="A882" s="342"/>
      <c r="B882" s="30"/>
      <c r="C882" s="30"/>
      <c r="D882" s="141"/>
      <c r="E882" s="42"/>
      <c r="F882" s="43"/>
      <c r="G882" s="59"/>
      <c r="H882" s="60"/>
      <c r="I882" s="60"/>
      <c r="J882" s="60"/>
      <c r="K882" s="60"/>
      <c r="L882" s="60"/>
      <c r="M882" s="60"/>
      <c r="N882" s="60"/>
      <c r="O882" s="30"/>
      <c r="P882" s="30"/>
      <c r="Q882" s="30"/>
      <c r="R882" s="30"/>
      <c r="S882" s="30"/>
      <c r="T882" s="30"/>
    </row>
    <row r="883" spans="1:20" ht="12.75" customHeight="1" x14ac:dyDescent="0.25">
      <c r="A883" s="342"/>
      <c r="B883" s="30"/>
      <c r="C883" s="30"/>
      <c r="D883" s="141"/>
      <c r="E883" s="42"/>
      <c r="F883" s="43"/>
      <c r="G883" s="59"/>
      <c r="H883" s="60"/>
      <c r="I883" s="60"/>
      <c r="J883" s="60"/>
      <c r="K883" s="60"/>
      <c r="L883" s="60"/>
      <c r="M883" s="60"/>
      <c r="N883" s="60"/>
      <c r="O883" s="30"/>
      <c r="P883" s="30"/>
      <c r="Q883" s="30"/>
      <c r="R883" s="30"/>
      <c r="S883" s="30"/>
      <c r="T883" s="30"/>
    </row>
    <row r="884" spans="1:20" ht="12.75" customHeight="1" x14ac:dyDescent="0.25">
      <c r="A884" s="342"/>
      <c r="B884" s="30"/>
      <c r="C884" s="30"/>
      <c r="D884" s="141"/>
      <c r="E884" s="42"/>
      <c r="F884" s="43"/>
      <c r="G884" s="59"/>
      <c r="H884" s="60"/>
      <c r="I884" s="60"/>
      <c r="J884" s="60"/>
      <c r="K884" s="60"/>
      <c r="L884" s="60"/>
      <c r="M884" s="60"/>
      <c r="N884" s="60"/>
      <c r="O884" s="30"/>
      <c r="P884" s="30"/>
      <c r="Q884" s="30"/>
      <c r="R884" s="30"/>
      <c r="S884" s="30"/>
      <c r="T884" s="30"/>
    </row>
    <row r="885" spans="1:20" ht="12.75" customHeight="1" x14ac:dyDescent="0.25">
      <c r="A885" s="342"/>
      <c r="B885" s="30"/>
      <c r="C885" s="30"/>
      <c r="D885" s="141"/>
      <c r="E885" s="42"/>
      <c r="F885" s="43"/>
      <c r="G885" s="59"/>
      <c r="H885" s="60"/>
      <c r="I885" s="60"/>
      <c r="J885" s="60"/>
      <c r="K885" s="60"/>
      <c r="L885" s="60"/>
      <c r="M885" s="60"/>
      <c r="N885" s="60"/>
      <c r="O885" s="30"/>
      <c r="P885" s="30"/>
      <c r="Q885" s="30"/>
      <c r="R885" s="30"/>
      <c r="S885" s="30"/>
      <c r="T885" s="30"/>
    </row>
    <row r="886" spans="1:20" ht="12.75" customHeight="1" x14ac:dyDescent="0.25">
      <c r="A886" s="342"/>
      <c r="B886" s="30"/>
      <c r="C886" s="30"/>
      <c r="D886" s="141"/>
      <c r="E886" s="42"/>
      <c r="F886" s="43"/>
      <c r="G886" s="59"/>
      <c r="H886" s="60"/>
      <c r="I886" s="60"/>
      <c r="J886" s="60"/>
      <c r="K886" s="60"/>
      <c r="L886" s="60"/>
      <c r="M886" s="60"/>
      <c r="N886" s="60"/>
      <c r="O886" s="30"/>
      <c r="P886" s="30"/>
      <c r="Q886" s="30"/>
      <c r="R886" s="30"/>
      <c r="S886" s="30"/>
      <c r="T886" s="30"/>
    </row>
    <row r="887" spans="1:20" ht="12.75" customHeight="1" x14ac:dyDescent="0.25">
      <c r="A887" s="342"/>
      <c r="B887" s="30"/>
      <c r="C887" s="30"/>
      <c r="D887" s="141"/>
      <c r="E887" s="42"/>
      <c r="F887" s="43"/>
      <c r="G887" s="59"/>
      <c r="H887" s="60"/>
      <c r="I887" s="60"/>
      <c r="J887" s="60"/>
      <c r="K887" s="60"/>
      <c r="L887" s="60"/>
      <c r="M887" s="60"/>
      <c r="N887" s="60"/>
      <c r="O887" s="30"/>
      <c r="P887" s="30"/>
      <c r="Q887" s="30"/>
      <c r="R887" s="30"/>
      <c r="S887" s="30"/>
      <c r="T887" s="30"/>
    </row>
    <row r="888" spans="1:20" ht="12.75" customHeight="1" x14ac:dyDescent="0.25">
      <c r="A888" s="342"/>
      <c r="B888" s="30"/>
      <c r="C888" s="30"/>
      <c r="D888" s="141"/>
      <c r="E888" s="42"/>
      <c r="F888" s="43"/>
      <c r="G888" s="59"/>
      <c r="H888" s="60"/>
      <c r="I888" s="60"/>
      <c r="J888" s="60"/>
      <c r="K888" s="60"/>
      <c r="L888" s="60"/>
      <c r="M888" s="60"/>
      <c r="N888" s="60"/>
      <c r="O888" s="30"/>
      <c r="P888" s="30"/>
      <c r="Q888" s="30"/>
      <c r="R888" s="30"/>
      <c r="S888" s="30"/>
      <c r="T888" s="30"/>
    </row>
    <row r="889" spans="1:20" ht="12.75" customHeight="1" x14ac:dyDescent="0.25">
      <c r="A889" s="342"/>
      <c r="B889" s="30"/>
      <c r="C889" s="30"/>
      <c r="D889" s="141"/>
      <c r="E889" s="42"/>
      <c r="F889" s="43"/>
      <c r="G889" s="59"/>
      <c r="H889" s="60"/>
      <c r="I889" s="60"/>
      <c r="J889" s="60"/>
      <c r="K889" s="60"/>
      <c r="L889" s="60"/>
      <c r="M889" s="60"/>
      <c r="N889" s="60"/>
      <c r="O889" s="30"/>
      <c r="P889" s="30"/>
      <c r="Q889" s="30"/>
      <c r="R889" s="30"/>
      <c r="S889" s="30"/>
      <c r="T889" s="30"/>
    </row>
    <row r="890" spans="1:20" ht="12.75" customHeight="1" x14ac:dyDescent="0.25">
      <c r="A890" s="342"/>
      <c r="B890" s="30"/>
      <c r="C890" s="30"/>
      <c r="D890" s="141"/>
      <c r="E890" s="42"/>
      <c r="F890" s="43"/>
      <c r="G890" s="59"/>
      <c r="H890" s="60"/>
      <c r="I890" s="60"/>
      <c r="J890" s="60"/>
      <c r="K890" s="60"/>
      <c r="L890" s="60"/>
      <c r="M890" s="60"/>
      <c r="N890" s="60"/>
      <c r="O890" s="30"/>
      <c r="P890" s="30"/>
      <c r="Q890" s="30"/>
      <c r="R890" s="30"/>
      <c r="S890" s="30"/>
      <c r="T890" s="30"/>
    </row>
    <row r="891" spans="1:20" ht="12.75" customHeight="1" x14ac:dyDescent="0.25">
      <c r="A891" s="342"/>
      <c r="B891" s="30"/>
      <c r="C891" s="30"/>
      <c r="D891" s="141"/>
      <c r="E891" s="42"/>
      <c r="F891" s="43"/>
      <c r="G891" s="59"/>
      <c r="H891" s="60"/>
      <c r="I891" s="60"/>
      <c r="J891" s="60"/>
      <c r="K891" s="60"/>
      <c r="L891" s="60"/>
      <c r="M891" s="60"/>
      <c r="N891" s="60"/>
      <c r="O891" s="30"/>
      <c r="P891" s="30"/>
      <c r="Q891" s="30"/>
      <c r="R891" s="30"/>
      <c r="S891" s="30"/>
      <c r="T891" s="30"/>
    </row>
    <row r="892" spans="1:20" ht="12.75" customHeight="1" x14ac:dyDescent="0.25">
      <c r="A892" s="342"/>
      <c r="B892" s="30"/>
      <c r="C892" s="30"/>
      <c r="D892" s="141"/>
      <c r="E892" s="42"/>
      <c r="F892" s="43"/>
      <c r="G892" s="59"/>
      <c r="H892" s="60"/>
      <c r="I892" s="60"/>
      <c r="J892" s="60"/>
      <c r="K892" s="60"/>
      <c r="L892" s="60"/>
      <c r="M892" s="60"/>
      <c r="N892" s="60"/>
      <c r="O892" s="30"/>
      <c r="P892" s="30"/>
      <c r="Q892" s="30"/>
      <c r="R892" s="30"/>
      <c r="S892" s="30"/>
      <c r="T892" s="30"/>
    </row>
    <row r="893" spans="1:20" ht="12.75" customHeight="1" x14ac:dyDescent="0.25">
      <c r="A893" s="342"/>
      <c r="B893" s="30"/>
      <c r="C893" s="30"/>
      <c r="D893" s="141"/>
      <c r="E893" s="42"/>
      <c r="F893" s="43"/>
      <c r="G893" s="59"/>
      <c r="H893" s="60"/>
      <c r="I893" s="60"/>
      <c r="J893" s="60"/>
      <c r="K893" s="60"/>
      <c r="L893" s="60"/>
      <c r="M893" s="60"/>
      <c r="N893" s="60"/>
      <c r="O893" s="30"/>
      <c r="P893" s="30"/>
      <c r="Q893" s="30"/>
      <c r="R893" s="30"/>
      <c r="S893" s="30"/>
      <c r="T893" s="30"/>
    </row>
    <row r="894" spans="1:20" ht="12.75" customHeight="1" x14ac:dyDescent="0.25">
      <c r="A894" s="342"/>
      <c r="B894" s="30"/>
      <c r="C894" s="30"/>
      <c r="D894" s="141"/>
      <c r="E894" s="42"/>
      <c r="F894" s="43"/>
      <c r="G894" s="59"/>
      <c r="H894" s="60"/>
      <c r="I894" s="60"/>
      <c r="J894" s="60"/>
      <c r="K894" s="60"/>
      <c r="L894" s="60"/>
      <c r="M894" s="60"/>
      <c r="N894" s="60"/>
      <c r="O894" s="30"/>
      <c r="P894" s="30"/>
      <c r="Q894" s="30"/>
      <c r="R894" s="30"/>
      <c r="S894" s="30"/>
      <c r="T894" s="30"/>
    </row>
    <row r="895" spans="1:20" ht="12.75" customHeight="1" x14ac:dyDescent="0.25">
      <c r="A895" s="342"/>
      <c r="B895" s="30"/>
      <c r="C895" s="30"/>
      <c r="D895" s="141"/>
      <c r="E895" s="42"/>
      <c r="F895" s="43"/>
      <c r="G895" s="59"/>
      <c r="H895" s="60"/>
      <c r="I895" s="60"/>
      <c r="J895" s="60"/>
      <c r="K895" s="60"/>
      <c r="L895" s="60"/>
      <c r="M895" s="60"/>
      <c r="N895" s="60"/>
      <c r="O895" s="30"/>
      <c r="P895" s="30"/>
      <c r="Q895" s="30"/>
      <c r="R895" s="30"/>
      <c r="S895" s="30"/>
      <c r="T895" s="30"/>
    </row>
    <row r="896" spans="1:20" ht="12.75" customHeight="1" x14ac:dyDescent="0.25">
      <c r="A896" s="342"/>
      <c r="B896" s="30"/>
      <c r="C896" s="30"/>
      <c r="D896" s="141"/>
      <c r="E896" s="42"/>
      <c r="F896" s="43"/>
      <c r="G896" s="59"/>
      <c r="H896" s="60"/>
      <c r="I896" s="60"/>
      <c r="J896" s="60"/>
      <c r="K896" s="60"/>
      <c r="L896" s="60"/>
      <c r="M896" s="60"/>
      <c r="N896" s="60"/>
      <c r="O896" s="30"/>
      <c r="P896" s="30"/>
      <c r="Q896" s="30"/>
      <c r="R896" s="30"/>
      <c r="S896" s="30"/>
      <c r="T896" s="30"/>
    </row>
    <row r="897" spans="1:20" ht="12.75" customHeight="1" x14ac:dyDescent="0.25">
      <c r="A897" s="342"/>
      <c r="B897" s="30"/>
      <c r="C897" s="30"/>
      <c r="D897" s="141"/>
      <c r="E897" s="42"/>
      <c r="F897" s="43"/>
      <c r="G897" s="59"/>
      <c r="H897" s="60"/>
      <c r="I897" s="60"/>
      <c r="J897" s="60"/>
      <c r="K897" s="60"/>
      <c r="L897" s="60"/>
      <c r="M897" s="60"/>
      <c r="N897" s="60"/>
      <c r="O897" s="30"/>
      <c r="P897" s="30"/>
      <c r="Q897" s="30"/>
      <c r="R897" s="30"/>
      <c r="S897" s="30"/>
      <c r="T897" s="30"/>
    </row>
    <row r="898" spans="1:20" ht="12.75" customHeight="1" x14ac:dyDescent="0.25">
      <c r="A898" s="342"/>
      <c r="B898" s="30"/>
      <c r="C898" s="30"/>
      <c r="D898" s="141"/>
      <c r="E898" s="42"/>
      <c r="F898" s="43"/>
      <c r="G898" s="59"/>
      <c r="H898" s="60"/>
      <c r="I898" s="60"/>
      <c r="J898" s="60"/>
      <c r="K898" s="60"/>
      <c r="L898" s="60"/>
      <c r="M898" s="60"/>
      <c r="N898" s="60"/>
      <c r="O898" s="30"/>
      <c r="P898" s="30"/>
      <c r="Q898" s="30"/>
      <c r="R898" s="30"/>
      <c r="S898" s="30"/>
      <c r="T898" s="30"/>
    </row>
    <row r="899" spans="1:20" ht="12.75" customHeight="1" x14ac:dyDescent="0.25">
      <c r="A899" s="342"/>
      <c r="B899" s="30"/>
      <c r="C899" s="30"/>
      <c r="D899" s="141"/>
      <c r="E899" s="42"/>
      <c r="F899" s="43"/>
      <c r="G899" s="59"/>
      <c r="H899" s="60"/>
      <c r="I899" s="60"/>
      <c r="J899" s="60"/>
      <c r="K899" s="60"/>
      <c r="L899" s="60"/>
      <c r="M899" s="60"/>
      <c r="N899" s="60"/>
      <c r="O899" s="30"/>
      <c r="P899" s="30"/>
      <c r="Q899" s="30"/>
      <c r="R899" s="30"/>
      <c r="S899" s="30"/>
      <c r="T899" s="30"/>
    </row>
    <row r="900" spans="1:20" ht="12.75" customHeight="1" x14ac:dyDescent="0.25">
      <c r="A900" s="342"/>
      <c r="B900" s="30"/>
      <c r="C900" s="30"/>
      <c r="D900" s="141"/>
      <c r="E900" s="42"/>
      <c r="F900" s="43"/>
      <c r="G900" s="59"/>
      <c r="H900" s="60"/>
      <c r="I900" s="60"/>
      <c r="J900" s="60"/>
      <c r="K900" s="60"/>
      <c r="L900" s="60"/>
      <c r="M900" s="60"/>
      <c r="N900" s="60"/>
      <c r="O900" s="30"/>
      <c r="P900" s="30"/>
      <c r="Q900" s="30"/>
      <c r="R900" s="30"/>
      <c r="S900" s="30"/>
      <c r="T900" s="30"/>
    </row>
    <row r="901" spans="1:20" ht="12.75" customHeight="1" x14ac:dyDescent="0.25">
      <c r="A901" s="342"/>
      <c r="B901" s="30"/>
      <c r="C901" s="30"/>
      <c r="D901" s="141"/>
      <c r="E901" s="42"/>
      <c r="F901" s="43"/>
      <c r="G901" s="59"/>
      <c r="H901" s="60"/>
      <c r="I901" s="60"/>
      <c r="J901" s="60"/>
      <c r="K901" s="60"/>
      <c r="L901" s="60"/>
      <c r="M901" s="60"/>
      <c r="N901" s="60"/>
      <c r="O901" s="30"/>
      <c r="P901" s="30"/>
      <c r="Q901" s="30"/>
      <c r="R901" s="30"/>
      <c r="S901" s="30"/>
      <c r="T901" s="30"/>
    </row>
    <row r="902" spans="1:20" ht="12.75" customHeight="1" x14ac:dyDescent="0.25">
      <c r="A902" s="342"/>
      <c r="B902" s="30"/>
      <c r="C902" s="30"/>
      <c r="D902" s="141"/>
      <c r="E902" s="42"/>
      <c r="F902" s="43"/>
      <c r="G902" s="59"/>
      <c r="H902" s="60"/>
      <c r="I902" s="60"/>
      <c r="J902" s="60"/>
      <c r="K902" s="60"/>
      <c r="L902" s="60"/>
      <c r="M902" s="60"/>
      <c r="N902" s="60"/>
      <c r="O902" s="30"/>
      <c r="P902" s="30"/>
      <c r="Q902" s="30"/>
      <c r="R902" s="30"/>
      <c r="S902" s="30"/>
      <c r="T902" s="30"/>
    </row>
    <row r="903" spans="1:20" ht="12.75" customHeight="1" x14ac:dyDescent="0.25">
      <c r="A903" s="342"/>
      <c r="B903" s="30"/>
      <c r="C903" s="30"/>
      <c r="D903" s="141"/>
      <c r="E903" s="42"/>
      <c r="F903" s="43"/>
      <c r="G903" s="59"/>
      <c r="H903" s="60"/>
      <c r="I903" s="60"/>
      <c r="J903" s="60"/>
      <c r="K903" s="60"/>
      <c r="L903" s="60"/>
      <c r="M903" s="60"/>
      <c r="N903" s="60"/>
      <c r="O903" s="30"/>
      <c r="P903" s="30"/>
      <c r="Q903" s="30"/>
      <c r="R903" s="30"/>
      <c r="S903" s="30"/>
      <c r="T903" s="30"/>
    </row>
    <row r="904" spans="1:20" ht="12.75" customHeight="1" x14ac:dyDescent="0.25">
      <c r="A904" s="342"/>
      <c r="B904" s="30"/>
      <c r="C904" s="30"/>
      <c r="D904" s="141"/>
      <c r="E904" s="42"/>
      <c r="F904" s="43"/>
      <c r="G904" s="59"/>
      <c r="H904" s="60"/>
      <c r="I904" s="60"/>
      <c r="J904" s="60"/>
      <c r="K904" s="60"/>
      <c r="L904" s="60"/>
      <c r="M904" s="60"/>
      <c r="N904" s="60"/>
      <c r="O904" s="30"/>
      <c r="P904" s="30"/>
      <c r="Q904" s="30"/>
      <c r="R904" s="30"/>
      <c r="S904" s="30"/>
      <c r="T904" s="30"/>
    </row>
    <row r="905" spans="1:20" ht="12.75" customHeight="1" x14ac:dyDescent="0.25">
      <c r="A905" s="342"/>
      <c r="B905" s="30"/>
      <c r="C905" s="30"/>
      <c r="D905" s="141"/>
      <c r="E905" s="42"/>
      <c r="F905" s="43"/>
      <c r="G905" s="59"/>
      <c r="H905" s="60"/>
      <c r="I905" s="60"/>
      <c r="J905" s="60"/>
      <c r="K905" s="60"/>
      <c r="L905" s="60"/>
      <c r="M905" s="60"/>
      <c r="N905" s="60"/>
      <c r="O905" s="30"/>
      <c r="P905" s="30"/>
      <c r="Q905" s="30"/>
      <c r="R905" s="30"/>
      <c r="S905" s="30"/>
      <c r="T905" s="30"/>
    </row>
    <row r="906" spans="1:20" ht="12.75" customHeight="1" x14ac:dyDescent="0.25">
      <c r="A906" s="342"/>
      <c r="B906" s="30"/>
      <c r="C906" s="30"/>
      <c r="D906" s="141"/>
      <c r="E906" s="42"/>
      <c r="F906" s="43"/>
      <c r="G906" s="59"/>
      <c r="H906" s="60"/>
      <c r="I906" s="60"/>
      <c r="J906" s="60"/>
      <c r="K906" s="60"/>
      <c r="L906" s="60"/>
      <c r="M906" s="60"/>
      <c r="N906" s="60"/>
      <c r="O906" s="30"/>
      <c r="P906" s="30"/>
      <c r="Q906" s="30"/>
      <c r="R906" s="30"/>
      <c r="S906" s="30"/>
      <c r="T906" s="30"/>
    </row>
    <row r="907" spans="1:20" ht="12.75" customHeight="1" x14ac:dyDescent="0.25">
      <c r="A907" s="342"/>
      <c r="B907" s="30"/>
      <c r="C907" s="30"/>
      <c r="D907" s="141"/>
      <c r="E907" s="42"/>
      <c r="F907" s="43"/>
      <c r="G907" s="59"/>
      <c r="H907" s="60"/>
      <c r="I907" s="60"/>
      <c r="J907" s="60"/>
      <c r="K907" s="60"/>
      <c r="L907" s="60"/>
      <c r="M907" s="60"/>
      <c r="N907" s="60"/>
      <c r="O907" s="30"/>
      <c r="P907" s="30"/>
      <c r="Q907" s="30"/>
      <c r="R907" s="30"/>
      <c r="S907" s="30"/>
      <c r="T907" s="30"/>
    </row>
    <row r="908" spans="1:20" ht="12.75" customHeight="1" x14ac:dyDescent="0.25">
      <c r="A908" s="342"/>
      <c r="B908" s="30"/>
      <c r="C908" s="30"/>
      <c r="D908" s="141"/>
      <c r="E908" s="42"/>
      <c r="F908" s="43"/>
      <c r="G908" s="59"/>
      <c r="H908" s="60"/>
      <c r="I908" s="60"/>
      <c r="J908" s="60"/>
      <c r="K908" s="60"/>
      <c r="L908" s="60"/>
      <c r="M908" s="60"/>
      <c r="N908" s="60"/>
      <c r="O908" s="30"/>
      <c r="P908" s="30"/>
      <c r="Q908" s="30"/>
      <c r="R908" s="30"/>
      <c r="S908" s="30"/>
      <c r="T908" s="30"/>
    </row>
    <row r="909" spans="1:20" ht="12.75" customHeight="1" x14ac:dyDescent="0.25">
      <c r="A909" s="342"/>
      <c r="B909" s="30"/>
      <c r="C909" s="30"/>
      <c r="D909" s="141"/>
      <c r="E909" s="42"/>
      <c r="F909" s="43"/>
      <c r="G909" s="59"/>
      <c r="H909" s="60"/>
      <c r="I909" s="60"/>
      <c r="J909" s="60"/>
      <c r="K909" s="60"/>
      <c r="L909" s="60"/>
      <c r="M909" s="60"/>
      <c r="N909" s="60"/>
      <c r="O909" s="30"/>
      <c r="P909" s="30"/>
      <c r="Q909" s="30"/>
      <c r="R909" s="30"/>
      <c r="S909" s="30"/>
      <c r="T909" s="30"/>
    </row>
    <row r="910" spans="1:20" ht="12.75" customHeight="1" x14ac:dyDescent="0.25">
      <c r="A910" s="342"/>
      <c r="B910" s="30"/>
      <c r="C910" s="30"/>
      <c r="D910" s="141"/>
      <c r="E910" s="42"/>
      <c r="F910" s="43"/>
      <c r="G910" s="59"/>
      <c r="H910" s="60"/>
      <c r="I910" s="60"/>
      <c r="J910" s="60"/>
      <c r="K910" s="60"/>
      <c r="L910" s="60"/>
      <c r="M910" s="60"/>
      <c r="N910" s="60"/>
      <c r="O910" s="30"/>
      <c r="P910" s="30"/>
      <c r="Q910" s="30"/>
      <c r="R910" s="30"/>
      <c r="S910" s="30"/>
      <c r="T910" s="30"/>
    </row>
    <row r="911" spans="1:20" ht="12.75" customHeight="1" x14ac:dyDescent="0.25">
      <c r="A911" s="342"/>
      <c r="B911" s="30"/>
      <c r="C911" s="30"/>
      <c r="D911" s="141"/>
      <c r="E911" s="42"/>
      <c r="F911" s="43"/>
      <c r="G911" s="59"/>
      <c r="H911" s="60"/>
      <c r="I911" s="60"/>
      <c r="J911" s="60"/>
      <c r="K911" s="60"/>
      <c r="L911" s="60"/>
      <c r="M911" s="60"/>
      <c r="N911" s="60"/>
      <c r="O911" s="30"/>
      <c r="P911" s="30"/>
      <c r="Q911" s="30"/>
      <c r="R911" s="30"/>
      <c r="S911" s="30"/>
      <c r="T911" s="30"/>
    </row>
    <row r="912" spans="1:20" ht="12.75" customHeight="1" x14ac:dyDescent="0.25">
      <c r="A912" s="342"/>
      <c r="B912" s="30"/>
      <c r="C912" s="30"/>
      <c r="D912" s="141"/>
      <c r="E912" s="42"/>
      <c r="F912" s="43"/>
      <c r="G912" s="59"/>
      <c r="H912" s="60"/>
      <c r="I912" s="60"/>
      <c r="J912" s="60"/>
      <c r="K912" s="60"/>
      <c r="L912" s="60"/>
      <c r="M912" s="60"/>
      <c r="N912" s="60"/>
      <c r="O912" s="30"/>
      <c r="P912" s="30"/>
      <c r="Q912" s="30"/>
      <c r="R912" s="30"/>
      <c r="S912" s="30"/>
      <c r="T912" s="30"/>
    </row>
    <row r="913" spans="1:20" ht="12.75" customHeight="1" x14ac:dyDescent="0.25">
      <c r="A913" s="342"/>
      <c r="B913" s="30"/>
      <c r="C913" s="30"/>
      <c r="D913" s="141"/>
      <c r="E913" s="42"/>
      <c r="F913" s="43"/>
      <c r="G913" s="59"/>
      <c r="H913" s="60"/>
      <c r="I913" s="60"/>
      <c r="J913" s="60"/>
      <c r="K913" s="60"/>
      <c r="L913" s="60"/>
      <c r="M913" s="60"/>
      <c r="N913" s="60"/>
      <c r="O913" s="30"/>
      <c r="P913" s="30"/>
      <c r="Q913" s="30"/>
      <c r="R913" s="30"/>
      <c r="S913" s="30"/>
      <c r="T913" s="30"/>
    </row>
    <row r="914" spans="1:20" ht="12.75" customHeight="1" x14ac:dyDescent="0.25">
      <c r="A914" s="342"/>
      <c r="B914" s="30"/>
      <c r="C914" s="30"/>
      <c r="D914" s="141"/>
      <c r="E914" s="42"/>
      <c r="F914" s="43"/>
      <c r="G914" s="59"/>
      <c r="H914" s="60"/>
      <c r="I914" s="60"/>
      <c r="J914" s="60"/>
      <c r="K914" s="60"/>
      <c r="L914" s="60"/>
      <c r="M914" s="60"/>
      <c r="N914" s="60"/>
      <c r="O914" s="30"/>
      <c r="P914" s="30"/>
      <c r="Q914" s="30"/>
      <c r="R914" s="30"/>
      <c r="S914" s="30"/>
      <c r="T914" s="30"/>
    </row>
    <row r="915" spans="1:20" ht="12.75" customHeight="1" x14ac:dyDescent="0.25">
      <c r="A915" s="342"/>
      <c r="B915" s="30"/>
      <c r="C915" s="30"/>
      <c r="D915" s="141"/>
      <c r="E915" s="42"/>
      <c r="F915" s="43"/>
      <c r="G915" s="59"/>
      <c r="H915" s="60"/>
      <c r="I915" s="60"/>
      <c r="J915" s="60"/>
      <c r="K915" s="60"/>
      <c r="L915" s="60"/>
      <c r="M915" s="60"/>
      <c r="N915" s="60"/>
      <c r="O915" s="30"/>
      <c r="P915" s="30"/>
      <c r="Q915" s="30"/>
      <c r="R915" s="30"/>
      <c r="S915" s="30"/>
      <c r="T915" s="30"/>
    </row>
    <row r="916" spans="1:20" ht="12.75" customHeight="1" x14ac:dyDescent="0.25">
      <c r="A916" s="342"/>
      <c r="B916" s="30"/>
      <c r="C916" s="30"/>
      <c r="D916" s="141"/>
      <c r="E916" s="42"/>
      <c r="F916" s="43"/>
      <c r="G916" s="59"/>
      <c r="H916" s="60"/>
      <c r="I916" s="60"/>
      <c r="J916" s="60"/>
      <c r="K916" s="60"/>
      <c r="L916" s="60"/>
      <c r="M916" s="60"/>
      <c r="N916" s="60"/>
      <c r="O916" s="30"/>
      <c r="P916" s="30"/>
      <c r="Q916" s="30"/>
      <c r="R916" s="30"/>
      <c r="S916" s="30"/>
      <c r="T916" s="30"/>
    </row>
    <row r="917" spans="1:20" ht="12.75" customHeight="1" x14ac:dyDescent="0.25">
      <c r="A917" s="342"/>
      <c r="B917" s="30"/>
      <c r="C917" s="30"/>
      <c r="D917" s="141"/>
      <c r="E917" s="42"/>
      <c r="F917" s="43"/>
      <c r="G917" s="59"/>
      <c r="H917" s="60"/>
      <c r="I917" s="60"/>
      <c r="J917" s="60"/>
      <c r="K917" s="60"/>
      <c r="L917" s="60"/>
      <c r="M917" s="60"/>
      <c r="N917" s="60"/>
      <c r="O917" s="30"/>
      <c r="P917" s="30"/>
      <c r="Q917" s="30"/>
      <c r="R917" s="30"/>
      <c r="S917" s="30"/>
      <c r="T917" s="30"/>
    </row>
    <row r="918" spans="1:20" ht="12.75" customHeight="1" x14ac:dyDescent="0.25">
      <c r="A918" s="342"/>
      <c r="B918" s="30"/>
      <c r="C918" s="30"/>
      <c r="D918" s="141"/>
      <c r="E918" s="42"/>
      <c r="F918" s="43"/>
      <c r="G918" s="59"/>
      <c r="H918" s="60"/>
      <c r="I918" s="60"/>
      <c r="J918" s="60"/>
      <c r="K918" s="60"/>
      <c r="L918" s="60"/>
      <c r="M918" s="60"/>
      <c r="N918" s="60"/>
      <c r="O918" s="30"/>
      <c r="P918" s="30"/>
      <c r="Q918" s="30"/>
      <c r="R918" s="30"/>
      <c r="S918" s="30"/>
      <c r="T918" s="30"/>
    </row>
    <row r="919" spans="1:20" ht="12.75" customHeight="1" x14ac:dyDescent="0.25">
      <c r="A919" s="342"/>
      <c r="B919" s="30"/>
      <c r="C919" s="30"/>
      <c r="D919" s="141"/>
      <c r="E919" s="42"/>
      <c r="F919" s="43"/>
      <c r="G919" s="59"/>
      <c r="H919" s="60"/>
      <c r="I919" s="60"/>
      <c r="J919" s="60"/>
      <c r="K919" s="60"/>
      <c r="L919" s="60"/>
      <c r="M919" s="60"/>
      <c r="N919" s="60"/>
      <c r="O919" s="30"/>
      <c r="P919" s="30"/>
      <c r="Q919" s="30"/>
      <c r="R919" s="30"/>
      <c r="S919" s="30"/>
      <c r="T919" s="30"/>
    </row>
    <row r="920" spans="1:20" ht="12.75" customHeight="1" x14ac:dyDescent="0.25">
      <c r="A920" s="342"/>
      <c r="B920" s="30"/>
      <c r="C920" s="30"/>
      <c r="D920" s="141"/>
      <c r="E920" s="42"/>
      <c r="F920" s="43"/>
      <c r="G920" s="59"/>
      <c r="H920" s="60"/>
      <c r="I920" s="60"/>
      <c r="J920" s="60"/>
      <c r="K920" s="60"/>
      <c r="L920" s="60"/>
      <c r="M920" s="60"/>
      <c r="N920" s="60"/>
      <c r="O920" s="30"/>
      <c r="P920" s="30"/>
      <c r="Q920" s="30"/>
      <c r="R920" s="30"/>
      <c r="S920" s="30"/>
      <c r="T920" s="30"/>
    </row>
    <row r="921" spans="1:20" ht="12.75" customHeight="1" x14ac:dyDescent="0.25">
      <c r="A921" s="342"/>
      <c r="B921" s="30"/>
      <c r="C921" s="30"/>
      <c r="D921" s="141"/>
      <c r="E921" s="42"/>
      <c r="F921" s="43"/>
      <c r="G921" s="59"/>
      <c r="H921" s="60"/>
      <c r="I921" s="60"/>
      <c r="J921" s="60"/>
      <c r="K921" s="60"/>
      <c r="L921" s="60"/>
      <c r="M921" s="60"/>
      <c r="N921" s="60"/>
      <c r="O921" s="30"/>
      <c r="P921" s="30"/>
      <c r="Q921" s="30"/>
      <c r="R921" s="30"/>
      <c r="S921" s="30"/>
      <c r="T921" s="30"/>
    </row>
    <row r="922" spans="1:20" ht="12.75" customHeight="1" x14ac:dyDescent="0.25">
      <c r="A922" s="342"/>
      <c r="B922" s="30"/>
      <c r="C922" s="30"/>
      <c r="D922" s="141"/>
      <c r="E922" s="42"/>
      <c r="F922" s="43"/>
      <c r="G922" s="59"/>
      <c r="H922" s="60"/>
      <c r="I922" s="60"/>
      <c r="J922" s="60"/>
      <c r="K922" s="60"/>
      <c r="L922" s="60"/>
      <c r="M922" s="60"/>
      <c r="N922" s="60"/>
      <c r="O922" s="30"/>
      <c r="P922" s="30"/>
      <c r="Q922" s="30"/>
      <c r="R922" s="30"/>
      <c r="S922" s="30"/>
      <c r="T922" s="30"/>
    </row>
    <row r="923" spans="1:20" ht="12.75" customHeight="1" x14ac:dyDescent="0.25">
      <c r="A923" s="342"/>
      <c r="B923" s="30"/>
      <c r="C923" s="30"/>
      <c r="D923" s="141"/>
      <c r="E923" s="42"/>
      <c r="F923" s="43"/>
      <c r="G923" s="59"/>
      <c r="H923" s="60"/>
      <c r="I923" s="60"/>
      <c r="J923" s="60"/>
      <c r="K923" s="60"/>
      <c r="L923" s="60"/>
      <c r="M923" s="60"/>
      <c r="N923" s="60"/>
      <c r="O923" s="30"/>
      <c r="P923" s="30"/>
      <c r="Q923" s="30"/>
      <c r="R923" s="30"/>
      <c r="S923" s="30"/>
      <c r="T923" s="30"/>
    </row>
    <row r="924" spans="1:20" ht="12.75" customHeight="1" x14ac:dyDescent="0.25">
      <c r="A924" s="342"/>
      <c r="B924" s="30"/>
      <c r="C924" s="30"/>
      <c r="D924" s="141"/>
      <c r="E924" s="42"/>
      <c r="F924" s="43"/>
      <c r="G924" s="59"/>
      <c r="H924" s="60"/>
      <c r="I924" s="60"/>
      <c r="J924" s="60"/>
      <c r="K924" s="60"/>
      <c r="L924" s="60"/>
      <c r="M924" s="60"/>
      <c r="N924" s="60"/>
      <c r="O924" s="30"/>
      <c r="P924" s="30"/>
      <c r="Q924" s="30"/>
      <c r="R924" s="30"/>
      <c r="S924" s="30"/>
      <c r="T924" s="30"/>
    </row>
    <row r="925" spans="1:20" ht="12.75" customHeight="1" x14ac:dyDescent="0.25">
      <c r="A925" s="342"/>
      <c r="B925" s="30"/>
      <c r="C925" s="30"/>
      <c r="D925" s="141"/>
      <c r="E925" s="42"/>
      <c r="F925" s="43"/>
      <c r="G925" s="59"/>
      <c r="H925" s="60"/>
      <c r="I925" s="60"/>
      <c r="J925" s="60"/>
      <c r="K925" s="60"/>
      <c r="L925" s="60"/>
      <c r="M925" s="60"/>
      <c r="N925" s="60"/>
      <c r="O925" s="30"/>
      <c r="P925" s="30"/>
      <c r="Q925" s="30"/>
      <c r="R925" s="30"/>
      <c r="S925" s="30"/>
      <c r="T925" s="30"/>
    </row>
    <row r="926" spans="1:20" ht="12.75" customHeight="1" x14ac:dyDescent="0.25">
      <c r="A926" s="342"/>
      <c r="B926" s="30"/>
      <c r="C926" s="30"/>
      <c r="D926" s="141"/>
      <c r="E926" s="42"/>
      <c r="F926" s="43"/>
      <c r="G926" s="59"/>
      <c r="H926" s="60"/>
      <c r="I926" s="60"/>
      <c r="J926" s="60"/>
      <c r="K926" s="60"/>
      <c r="L926" s="60"/>
      <c r="M926" s="60"/>
      <c r="N926" s="60"/>
      <c r="O926" s="30"/>
      <c r="P926" s="30"/>
      <c r="Q926" s="30"/>
      <c r="R926" s="30"/>
      <c r="S926" s="30"/>
      <c r="T926" s="30"/>
    </row>
    <row r="927" spans="1:20" ht="12.75" customHeight="1" x14ac:dyDescent="0.25">
      <c r="A927" s="342"/>
      <c r="B927" s="30"/>
      <c r="C927" s="30"/>
      <c r="D927" s="141"/>
      <c r="E927" s="42"/>
      <c r="F927" s="43"/>
      <c r="G927" s="59"/>
      <c r="H927" s="60"/>
      <c r="I927" s="60"/>
      <c r="J927" s="60"/>
      <c r="K927" s="60"/>
      <c r="L927" s="60"/>
      <c r="M927" s="60"/>
      <c r="N927" s="60"/>
      <c r="O927" s="30"/>
      <c r="P927" s="30"/>
      <c r="Q927" s="30"/>
      <c r="R927" s="30"/>
      <c r="S927" s="30"/>
      <c r="T927" s="30"/>
    </row>
    <row r="928" spans="1:20" ht="12.75" customHeight="1" x14ac:dyDescent="0.25">
      <c r="A928" s="342"/>
      <c r="B928" s="30"/>
      <c r="C928" s="30"/>
      <c r="D928" s="141"/>
      <c r="E928" s="42"/>
      <c r="F928" s="43"/>
      <c r="G928" s="59"/>
      <c r="H928" s="60"/>
      <c r="I928" s="60"/>
      <c r="J928" s="60"/>
      <c r="K928" s="60"/>
      <c r="L928" s="60"/>
      <c r="M928" s="60"/>
      <c r="N928" s="60"/>
      <c r="O928" s="30"/>
      <c r="P928" s="30"/>
      <c r="Q928" s="30"/>
      <c r="R928" s="30"/>
      <c r="S928" s="30"/>
      <c r="T928" s="30"/>
    </row>
    <row r="929" spans="1:20" ht="12.75" customHeight="1" x14ac:dyDescent="0.25">
      <c r="A929" s="342"/>
      <c r="B929" s="30"/>
      <c r="C929" s="30"/>
      <c r="D929" s="141"/>
      <c r="E929" s="42"/>
      <c r="F929" s="43"/>
      <c r="G929" s="59"/>
      <c r="H929" s="60"/>
      <c r="I929" s="60"/>
      <c r="J929" s="60"/>
      <c r="K929" s="60"/>
      <c r="L929" s="60"/>
      <c r="M929" s="60"/>
      <c r="N929" s="60"/>
      <c r="O929" s="30"/>
      <c r="P929" s="30"/>
      <c r="Q929" s="30"/>
      <c r="R929" s="30"/>
      <c r="S929" s="30"/>
      <c r="T929" s="30"/>
    </row>
    <row r="930" spans="1:20" ht="12.75" customHeight="1" x14ac:dyDescent="0.25">
      <c r="A930" s="342"/>
      <c r="B930" s="30"/>
      <c r="C930" s="30"/>
      <c r="D930" s="141"/>
      <c r="E930" s="42"/>
      <c r="F930" s="43"/>
      <c r="G930" s="59"/>
      <c r="H930" s="60"/>
      <c r="I930" s="60"/>
      <c r="J930" s="60"/>
      <c r="K930" s="60"/>
      <c r="L930" s="60"/>
      <c r="M930" s="60"/>
      <c r="N930" s="60"/>
      <c r="O930" s="30"/>
      <c r="P930" s="30"/>
      <c r="Q930" s="30"/>
      <c r="R930" s="30"/>
      <c r="S930" s="30"/>
      <c r="T930" s="30"/>
    </row>
    <row r="931" spans="1:20" ht="12.75" customHeight="1" x14ac:dyDescent="0.25">
      <c r="A931" s="342"/>
      <c r="B931" s="30"/>
      <c r="C931" s="30"/>
      <c r="D931" s="141"/>
      <c r="E931" s="42"/>
      <c r="F931" s="43"/>
      <c r="G931" s="59"/>
      <c r="H931" s="60"/>
      <c r="I931" s="60"/>
      <c r="J931" s="60"/>
      <c r="K931" s="60"/>
      <c r="L931" s="60"/>
      <c r="M931" s="60"/>
      <c r="N931" s="60"/>
      <c r="O931" s="30"/>
      <c r="P931" s="30"/>
      <c r="Q931" s="30"/>
      <c r="R931" s="30"/>
      <c r="S931" s="30"/>
      <c r="T931" s="30"/>
    </row>
    <row r="932" spans="1:20" ht="12.75" customHeight="1" x14ac:dyDescent="0.25">
      <c r="A932" s="342"/>
      <c r="B932" s="30"/>
      <c r="C932" s="30"/>
      <c r="D932" s="141"/>
      <c r="E932" s="42"/>
      <c r="F932" s="43"/>
      <c r="G932" s="59"/>
      <c r="H932" s="60"/>
      <c r="I932" s="60"/>
      <c r="J932" s="60"/>
      <c r="K932" s="60"/>
      <c r="L932" s="60"/>
      <c r="M932" s="60"/>
      <c r="N932" s="60"/>
      <c r="O932" s="30"/>
      <c r="P932" s="30"/>
      <c r="Q932" s="30"/>
      <c r="R932" s="30"/>
      <c r="S932" s="30"/>
      <c r="T932" s="30"/>
    </row>
    <row r="933" spans="1:20" ht="12.75" customHeight="1" x14ac:dyDescent="0.25">
      <c r="A933" s="342"/>
      <c r="B933" s="30"/>
      <c r="C933" s="30"/>
      <c r="D933" s="141"/>
      <c r="E933" s="42"/>
      <c r="F933" s="43"/>
      <c r="G933" s="59"/>
      <c r="H933" s="60"/>
      <c r="I933" s="60"/>
      <c r="J933" s="60"/>
      <c r="K933" s="60"/>
      <c r="L933" s="60"/>
      <c r="M933" s="60"/>
      <c r="N933" s="60"/>
      <c r="O933" s="30"/>
      <c r="P933" s="30"/>
      <c r="Q933" s="30"/>
      <c r="R933" s="30"/>
      <c r="S933" s="30"/>
      <c r="T933" s="30"/>
    </row>
    <row r="934" spans="1:20" ht="12.75" customHeight="1" x14ac:dyDescent="0.25">
      <c r="A934" s="342"/>
      <c r="B934" s="30"/>
      <c r="C934" s="30"/>
      <c r="D934" s="141"/>
      <c r="E934" s="42"/>
      <c r="F934" s="43"/>
      <c r="G934" s="59"/>
      <c r="H934" s="60"/>
      <c r="I934" s="60"/>
      <c r="J934" s="60"/>
      <c r="K934" s="60"/>
      <c r="L934" s="60"/>
      <c r="M934" s="60"/>
      <c r="N934" s="60"/>
      <c r="O934" s="30"/>
      <c r="P934" s="30"/>
      <c r="Q934" s="30"/>
      <c r="R934" s="30"/>
      <c r="S934" s="30"/>
      <c r="T934" s="30"/>
    </row>
    <row r="935" spans="1:20" ht="12.75" customHeight="1" x14ac:dyDescent="0.25">
      <c r="A935" s="342"/>
      <c r="B935" s="30"/>
      <c r="C935" s="30"/>
      <c r="D935" s="141"/>
      <c r="E935" s="42"/>
      <c r="F935" s="43"/>
      <c r="G935" s="59"/>
      <c r="H935" s="60"/>
      <c r="I935" s="60"/>
      <c r="J935" s="60"/>
      <c r="K935" s="60"/>
      <c r="L935" s="60"/>
      <c r="M935" s="60"/>
      <c r="N935" s="60"/>
      <c r="O935" s="30"/>
      <c r="P935" s="30"/>
      <c r="Q935" s="30"/>
      <c r="R935" s="30"/>
      <c r="S935" s="30"/>
      <c r="T935" s="30"/>
    </row>
    <row r="936" spans="1:20" ht="12.75" customHeight="1" x14ac:dyDescent="0.25">
      <c r="A936" s="342"/>
      <c r="B936" s="30"/>
      <c r="C936" s="30"/>
      <c r="D936" s="141"/>
      <c r="E936" s="42"/>
      <c r="F936" s="43"/>
      <c r="G936" s="59"/>
      <c r="H936" s="60"/>
      <c r="I936" s="60"/>
      <c r="J936" s="60"/>
      <c r="K936" s="60"/>
      <c r="L936" s="60"/>
      <c r="M936" s="60"/>
      <c r="N936" s="60"/>
      <c r="O936" s="30"/>
      <c r="P936" s="30"/>
      <c r="Q936" s="30"/>
      <c r="R936" s="30"/>
      <c r="S936" s="30"/>
      <c r="T936" s="30"/>
    </row>
    <row r="937" spans="1:20" ht="12.75" customHeight="1" x14ac:dyDescent="0.25">
      <c r="A937" s="342"/>
      <c r="B937" s="30"/>
      <c r="C937" s="30"/>
      <c r="D937" s="141"/>
      <c r="E937" s="42"/>
      <c r="F937" s="43"/>
      <c r="G937" s="59"/>
      <c r="H937" s="60"/>
      <c r="I937" s="60"/>
      <c r="J937" s="60"/>
      <c r="K937" s="60"/>
      <c r="L937" s="60"/>
      <c r="M937" s="60"/>
      <c r="N937" s="60"/>
      <c r="O937" s="30"/>
      <c r="P937" s="30"/>
      <c r="Q937" s="30"/>
      <c r="R937" s="30"/>
      <c r="S937" s="30"/>
      <c r="T937" s="30"/>
    </row>
    <row r="938" spans="1:20" ht="12.75" customHeight="1" x14ac:dyDescent="0.25">
      <c r="A938" s="342"/>
      <c r="B938" s="30"/>
      <c r="C938" s="30"/>
      <c r="D938" s="141"/>
      <c r="E938" s="42"/>
      <c r="F938" s="43"/>
      <c r="G938" s="59"/>
      <c r="H938" s="60"/>
      <c r="I938" s="60"/>
      <c r="J938" s="60"/>
      <c r="K938" s="60"/>
      <c r="L938" s="60"/>
      <c r="M938" s="60"/>
      <c r="N938" s="60"/>
      <c r="O938" s="30"/>
      <c r="P938" s="30"/>
      <c r="Q938" s="30"/>
      <c r="R938" s="30"/>
      <c r="S938" s="30"/>
      <c r="T938" s="30"/>
    </row>
    <row r="939" spans="1:20" ht="12.75" customHeight="1" x14ac:dyDescent="0.25">
      <c r="A939" s="342"/>
      <c r="B939" s="30"/>
      <c r="C939" s="30"/>
      <c r="D939" s="141"/>
      <c r="E939" s="42"/>
      <c r="F939" s="43"/>
      <c r="G939" s="59"/>
      <c r="H939" s="60"/>
      <c r="I939" s="60"/>
      <c r="J939" s="60"/>
      <c r="K939" s="60"/>
      <c r="L939" s="60"/>
      <c r="M939" s="60"/>
      <c r="N939" s="60"/>
      <c r="O939" s="30"/>
      <c r="P939" s="30"/>
      <c r="Q939" s="30"/>
      <c r="R939" s="30"/>
      <c r="S939" s="30"/>
      <c r="T939" s="30"/>
    </row>
    <row r="940" spans="1:20" ht="12.75" customHeight="1" x14ac:dyDescent="0.25">
      <c r="A940" s="342"/>
      <c r="B940" s="30"/>
      <c r="C940" s="30"/>
      <c r="D940" s="141"/>
      <c r="E940" s="42"/>
      <c r="F940" s="43"/>
      <c r="G940" s="59"/>
      <c r="H940" s="60"/>
      <c r="I940" s="60"/>
      <c r="J940" s="60"/>
      <c r="K940" s="60"/>
      <c r="L940" s="60"/>
      <c r="M940" s="60"/>
      <c r="N940" s="60"/>
      <c r="O940" s="30"/>
      <c r="P940" s="30"/>
      <c r="Q940" s="30"/>
      <c r="R940" s="30"/>
      <c r="S940" s="30"/>
      <c r="T940" s="30"/>
    </row>
    <row r="941" spans="1:20" ht="12.75" customHeight="1" x14ac:dyDescent="0.25">
      <c r="A941" s="342"/>
      <c r="B941" s="30"/>
      <c r="C941" s="30"/>
      <c r="D941" s="141"/>
      <c r="E941" s="42"/>
      <c r="F941" s="43"/>
      <c r="G941" s="59"/>
      <c r="H941" s="60"/>
      <c r="I941" s="60"/>
      <c r="J941" s="60"/>
      <c r="K941" s="60"/>
      <c r="L941" s="60"/>
      <c r="M941" s="60"/>
      <c r="N941" s="60"/>
      <c r="O941" s="30"/>
      <c r="P941" s="30"/>
      <c r="Q941" s="30"/>
      <c r="R941" s="30"/>
      <c r="S941" s="30"/>
      <c r="T941" s="30"/>
    </row>
    <row r="942" spans="1:20" ht="12.75" customHeight="1" x14ac:dyDescent="0.25">
      <c r="A942" s="342"/>
      <c r="B942" s="30"/>
      <c r="C942" s="30"/>
      <c r="D942" s="141"/>
      <c r="E942" s="42"/>
      <c r="F942" s="43"/>
      <c r="G942" s="59"/>
      <c r="H942" s="60"/>
      <c r="I942" s="60"/>
      <c r="J942" s="60"/>
      <c r="K942" s="60"/>
      <c r="L942" s="60"/>
      <c r="M942" s="60"/>
      <c r="N942" s="60"/>
      <c r="O942" s="30"/>
      <c r="P942" s="30"/>
      <c r="Q942" s="30"/>
      <c r="R942" s="30"/>
      <c r="S942" s="30"/>
      <c r="T942" s="30"/>
    </row>
    <row r="943" spans="1:20" ht="12.75" customHeight="1" x14ac:dyDescent="0.25">
      <c r="A943" s="342"/>
      <c r="B943" s="30"/>
      <c r="C943" s="30"/>
      <c r="D943" s="141"/>
      <c r="E943" s="42"/>
      <c r="F943" s="43"/>
      <c r="G943" s="59"/>
      <c r="H943" s="60"/>
      <c r="I943" s="60"/>
      <c r="J943" s="60"/>
      <c r="K943" s="60"/>
      <c r="L943" s="60"/>
      <c r="M943" s="60"/>
      <c r="N943" s="60"/>
      <c r="O943" s="30"/>
      <c r="P943" s="30"/>
      <c r="Q943" s="30"/>
      <c r="R943" s="30"/>
      <c r="S943" s="30"/>
      <c r="T943" s="30"/>
    </row>
    <row r="944" spans="1:20" ht="12.75" customHeight="1" x14ac:dyDescent="0.25">
      <c r="A944" s="342"/>
      <c r="B944" s="30"/>
      <c r="C944" s="30"/>
      <c r="D944" s="141"/>
      <c r="E944" s="42"/>
      <c r="F944" s="43"/>
      <c r="G944" s="59"/>
      <c r="H944" s="60"/>
      <c r="I944" s="60"/>
      <c r="J944" s="60"/>
      <c r="K944" s="60"/>
      <c r="L944" s="60"/>
      <c r="M944" s="60"/>
      <c r="N944" s="60"/>
      <c r="O944" s="30"/>
      <c r="P944" s="30"/>
      <c r="Q944" s="30"/>
      <c r="R944" s="30"/>
      <c r="S944" s="30"/>
      <c r="T944" s="30"/>
    </row>
    <row r="945" spans="1:20" ht="12.75" customHeight="1" x14ac:dyDescent="0.25">
      <c r="A945" s="342"/>
      <c r="B945" s="30"/>
      <c r="C945" s="30"/>
      <c r="D945" s="141"/>
      <c r="E945" s="42"/>
      <c r="F945" s="43"/>
      <c r="G945" s="59"/>
      <c r="H945" s="60"/>
      <c r="I945" s="60"/>
      <c r="J945" s="60"/>
      <c r="K945" s="60"/>
      <c r="L945" s="60"/>
      <c r="M945" s="60"/>
      <c r="N945" s="60"/>
      <c r="O945" s="30"/>
      <c r="P945" s="30"/>
      <c r="Q945" s="30"/>
      <c r="R945" s="30"/>
      <c r="S945" s="30"/>
      <c r="T945" s="30"/>
    </row>
    <row r="946" spans="1:20" ht="12.75" customHeight="1" x14ac:dyDescent="0.25">
      <c r="A946" s="342"/>
      <c r="B946" s="30"/>
      <c r="C946" s="30"/>
      <c r="D946" s="141"/>
      <c r="E946" s="42"/>
      <c r="F946" s="43"/>
      <c r="G946" s="59"/>
      <c r="H946" s="60"/>
      <c r="I946" s="60"/>
      <c r="J946" s="60"/>
      <c r="K946" s="60"/>
      <c r="L946" s="60"/>
      <c r="M946" s="60"/>
      <c r="N946" s="60"/>
      <c r="O946" s="30"/>
      <c r="P946" s="30"/>
      <c r="Q946" s="30"/>
      <c r="R946" s="30"/>
      <c r="S946" s="30"/>
      <c r="T946" s="30"/>
    </row>
    <row r="947" spans="1:20" ht="12.75" customHeight="1" x14ac:dyDescent="0.25">
      <c r="A947" s="342"/>
      <c r="B947" s="30"/>
      <c r="C947" s="30"/>
      <c r="D947" s="141"/>
      <c r="E947" s="42"/>
      <c r="F947" s="43"/>
      <c r="G947" s="59"/>
      <c r="H947" s="60"/>
      <c r="I947" s="60"/>
      <c r="J947" s="60"/>
      <c r="K947" s="60"/>
      <c r="L947" s="60"/>
      <c r="M947" s="60"/>
      <c r="N947" s="60"/>
      <c r="O947" s="30"/>
      <c r="P947" s="30"/>
      <c r="Q947" s="30"/>
      <c r="R947" s="30"/>
      <c r="S947" s="30"/>
      <c r="T947" s="30"/>
    </row>
    <row r="948" spans="1:20" ht="12.75" customHeight="1" x14ac:dyDescent="0.25">
      <c r="A948" s="342"/>
      <c r="B948" s="30"/>
      <c r="C948" s="30"/>
      <c r="D948" s="141"/>
      <c r="E948" s="42"/>
      <c r="F948" s="43"/>
      <c r="G948" s="59"/>
      <c r="H948" s="60"/>
      <c r="I948" s="60"/>
      <c r="J948" s="60"/>
      <c r="K948" s="60"/>
      <c r="L948" s="60"/>
      <c r="M948" s="60"/>
      <c r="N948" s="60"/>
      <c r="O948" s="30"/>
      <c r="P948" s="30"/>
      <c r="Q948" s="30"/>
      <c r="R948" s="30"/>
      <c r="S948" s="30"/>
      <c r="T948" s="30"/>
    </row>
    <row r="949" spans="1:20" ht="12.75" customHeight="1" x14ac:dyDescent="0.25">
      <c r="A949" s="342"/>
      <c r="B949" s="30"/>
      <c r="C949" s="30"/>
      <c r="D949" s="141"/>
      <c r="E949" s="42"/>
      <c r="F949" s="43"/>
      <c r="G949" s="59"/>
      <c r="H949" s="60"/>
      <c r="I949" s="60"/>
      <c r="J949" s="60"/>
      <c r="K949" s="60"/>
      <c r="L949" s="60"/>
      <c r="M949" s="60"/>
      <c r="N949" s="60"/>
      <c r="O949" s="30"/>
      <c r="P949" s="30"/>
      <c r="Q949" s="30"/>
      <c r="R949" s="30"/>
      <c r="S949" s="30"/>
      <c r="T949" s="30"/>
    </row>
    <row r="950" spans="1:20" ht="12.75" customHeight="1" x14ac:dyDescent="0.25">
      <c r="A950" s="342"/>
      <c r="B950" s="30"/>
      <c r="C950" s="30"/>
      <c r="D950" s="141"/>
      <c r="E950" s="42"/>
      <c r="F950" s="43"/>
      <c r="G950" s="59"/>
      <c r="H950" s="60"/>
      <c r="I950" s="60"/>
      <c r="J950" s="60"/>
      <c r="K950" s="60"/>
      <c r="L950" s="60"/>
      <c r="M950" s="60"/>
      <c r="N950" s="60"/>
      <c r="O950" s="30"/>
      <c r="P950" s="30"/>
      <c r="Q950" s="30"/>
      <c r="R950" s="30"/>
      <c r="S950" s="30"/>
      <c r="T950" s="30"/>
    </row>
    <row r="951" spans="1:20" ht="12.75" customHeight="1" x14ac:dyDescent="0.25">
      <c r="A951" s="342"/>
      <c r="B951" s="30"/>
      <c r="C951" s="30"/>
      <c r="D951" s="141"/>
      <c r="E951" s="42"/>
      <c r="F951" s="43"/>
      <c r="G951" s="59"/>
      <c r="H951" s="60"/>
      <c r="I951" s="60"/>
      <c r="J951" s="60"/>
      <c r="K951" s="60"/>
      <c r="L951" s="60"/>
      <c r="M951" s="60"/>
      <c r="N951" s="60"/>
      <c r="O951" s="30"/>
      <c r="P951" s="30"/>
      <c r="Q951" s="30"/>
      <c r="R951" s="30"/>
      <c r="S951" s="30"/>
      <c r="T951" s="30"/>
    </row>
    <row r="952" spans="1:20" ht="12.75" customHeight="1" x14ac:dyDescent="0.25">
      <c r="A952" s="342"/>
      <c r="B952" s="30"/>
      <c r="C952" s="30"/>
      <c r="D952" s="141"/>
      <c r="E952" s="42"/>
      <c r="F952" s="43"/>
      <c r="G952" s="59"/>
      <c r="H952" s="60"/>
      <c r="I952" s="60"/>
      <c r="J952" s="60"/>
      <c r="K952" s="60"/>
      <c r="L952" s="60"/>
      <c r="M952" s="60"/>
      <c r="N952" s="60"/>
      <c r="O952" s="30"/>
      <c r="P952" s="30"/>
      <c r="Q952" s="30"/>
      <c r="R952" s="30"/>
      <c r="S952" s="30"/>
      <c r="T952" s="30"/>
    </row>
    <row r="953" spans="1:20" ht="12.75" customHeight="1" x14ac:dyDescent="0.25">
      <c r="A953" s="342"/>
      <c r="B953" s="30"/>
      <c r="C953" s="30"/>
      <c r="D953" s="141"/>
      <c r="E953" s="42"/>
      <c r="F953" s="43"/>
      <c r="G953" s="59"/>
      <c r="H953" s="60"/>
      <c r="I953" s="60"/>
      <c r="J953" s="60"/>
      <c r="K953" s="60"/>
      <c r="L953" s="60"/>
      <c r="M953" s="60"/>
      <c r="N953" s="60"/>
      <c r="O953" s="30"/>
      <c r="P953" s="30"/>
      <c r="Q953" s="30"/>
      <c r="R953" s="30"/>
      <c r="S953" s="30"/>
      <c r="T953" s="30"/>
    </row>
    <row r="954" spans="1:20" ht="12.75" customHeight="1" x14ac:dyDescent="0.25">
      <c r="A954" s="342"/>
      <c r="B954" s="30"/>
      <c r="C954" s="30"/>
      <c r="D954" s="141"/>
      <c r="E954" s="42"/>
      <c r="F954" s="43"/>
      <c r="G954" s="59"/>
      <c r="H954" s="60"/>
      <c r="I954" s="60"/>
      <c r="J954" s="60"/>
      <c r="K954" s="60"/>
      <c r="L954" s="60"/>
      <c r="M954" s="60"/>
      <c r="N954" s="60"/>
      <c r="O954" s="30"/>
      <c r="P954" s="30"/>
      <c r="Q954" s="30"/>
      <c r="R954" s="30"/>
      <c r="S954" s="30"/>
      <c r="T954" s="30"/>
    </row>
    <row r="955" spans="1:20" ht="12.75" customHeight="1" x14ac:dyDescent="0.25">
      <c r="A955" s="342"/>
      <c r="B955" s="30"/>
      <c r="C955" s="30"/>
      <c r="D955" s="141"/>
      <c r="E955" s="42"/>
      <c r="F955" s="43"/>
      <c r="G955" s="59"/>
      <c r="H955" s="60"/>
      <c r="I955" s="60"/>
      <c r="J955" s="60"/>
      <c r="K955" s="60"/>
      <c r="L955" s="60"/>
      <c r="M955" s="60"/>
      <c r="N955" s="60"/>
      <c r="O955" s="30"/>
      <c r="P955" s="30"/>
      <c r="Q955" s="30"/>
      <c r="R955" s="30"/>
      <c r="S955" s="30"/>
      <c r="T955" s="30"/>
    </row>
    <row r="956" spans="1:20" ht="12.75" customHeight="1" x14ac:dyDescent="0.25">
      <c r="A956" s="342"/>
      <c r="B956" s="30"/>
      <c r="C956" s="30"/>
      <c r="D956" s="141"/>
      <c r="E956" s="42"/>
      <c r="F956" s="43"/>
      <c r="G956" s="59"/>
      <c r="H956" s="60"/>
      <c r="I956" s="60"/>
      <c r="J956" s="60"/>
      <c r="K956" s="60"/>
      <c r="L956" s="60"/>
      <c r="M956" s="60"/>
      <c r="N956" s="60"/>
      <c r="O956" s="30"/>
      <c r="P956" s="30"/>
      <c r="Q956" s="30"/>
      <c r="R956" s="30"/>
      <c r="S956" s="30"/>
      <c r="T956" s="30"/>
    </row>
    <row r="957" spans="1:20" ht="12.75" customHeight="1" x14ac:dyDescent="0.25">
      <c r="A957" s="342"/>
      <c r="B957" s="30"/>
      <c r="C957" s="30"/>
      <c r="D957" s="141"/>
      <c r="E957" s="42"/>
      <c r="F957" s="43"/>
      <c r="G957" s="59"/>
      <c r="H957" s="60"/>
      <c r="I957" s="60"/>
      <c r="J957" s="60"/>
      <c r="K957" s="60"/>
      <c r="L957" s="60"/>
      <c r="M957" s="60"/>
      <c r="N957" s="60"/>
      <c r="O957" s="30"/>
      <c r="P957" s="30"/>
      <c r="Q957" s="30"/>
      <c r="R957" s="30"/>
      <c r="S957" s="30"/>
      <c r="T957" s="30"/>
    </row>
    <row r="958" spans="1:20" ht="12.75" customHeight="1" x14ac:dyDescent="0.25">
      <c r="A958" s="342"/>
      <c r="B958" s="30"/>
      <c r="C958" s="30"/>
      <c r="D958" s="141"/>
      <c r="E958" s="42"/>
      <c r="F958" s="43"/>
      <c r="G958" s="59"/>
      <c r="H958" s="60"/>
      <c r="I958" s="60"/>
      <c r="J958" s="60"/>
      <c r="K958" s="60"/>
      <c r="L958" s="60"/>
      <c r="M958" s="60"/>
      <c r="N958" s="60"/>
      <c r="O958" s="30"/>
      <c r="P958" s="30"/>
      <c r="Q958" s="30"/>
      <c r="R958" s="30"/>
      <c r="S958" s="30"/>
      <c r="T958" s="30"/>
    </row>
    <row r="959" spans="1:20" ht="12.75" customHeight="1" x14ac:dyDescent="0.25">
      <c r="A959" s="342"/>
      <c r="B959" s="30"/>
      <c r="C959" s="30"/>
      <c r="D959" s="141"/>
      <c r="E959" s="42"/>
      <c r="F959" s="43"/>
      <c r="G959" s="59"/>
      <c r="H959" s="60"/>
      <c r="I959" s="60"/>
      <c r="J959" s="60"/>
      <c r="K959" s="60"/>
      <c r="L959" s="60"/>
      <c r="M959" s="60"/>
      <c r="N959" s="60"/>
      <c r="O959" s="30"/>
      <c r="P959" s="30"/>
      <c r="Q959" s="30"/>
      <c r="R959" s="30"/>
      <c r="S959" s="30"/>
      <c r="T959" s="30"/>
    </row>
    <row r="960" spans="1:20" ht="12.75" customHeight="1" x14ac:dyDescent="0.25">
      <c r="A960" s="342"/>
      <c r="B960" s="30"/>
      <c r="C960" s="30"/>
      <c r="D960" s="141"/>
      <c r="E960" s="42"/>
      <c r="F960" s="43"/>
      <c r="G960" s="59"/>
      <c r="H960" s="60"/>
      <c r="I960" s="60"/>
      <c r="J960" s="60"/>
      <c r="K960" s="60"/>
      <c r="L960" s="60"/>
      <c r="M960" s="60"/>
      <c r="N960" s="60"/>
      <c r="O960" s="30"/>
      <c r="P960" s="30"/>
      <c r="Q960" s="30"/>
      <c r="R960" s="30"/>
      <c r="S960" s="30"/>
      <c r="T960" s="30"/>
    </row>
    <row r="961" spans="1:20" ht="12.75" customHeight="1" x14ac:dyDescent="0.25">
      <c r="A961" s="342"/>
      <c r="B961" s="30"/>
      <c r="C961" s="30"/>
      <c r="D961" s="141"/>
      <c r="E961" s="42"/>
      <c r="F961" s="43"/>
      <c r="G961" s="59"/>
      <c r="H961" s="60"/>
      <c r="I961" s="60"/>
      <c r="J961" s="60"/>
      <c r="K961" s="60"/>
      <c r="L961" s="60"/>
      <c r="M961" s="60"/>
      <c r="N961" s="60"/>
      <c r="O961" s="30"/>
      <c r="P961" s="30"/>
      <c r="Q961" s="30"/>
      <c r="R961" s="30"/>
      <c r="S961" s="30"/>
      <c r="T961" s="30"/>
    </row>
    <row r="962" spans="1:20" ht="12.75" customHeight="1" x14ac:dyDescent="0.25">
      <c r="A962" s="342"/>
      <c r="B962" s="30"/>
      <c r="C962" s="30"/>
      <c r="D962" s="141"/>
      <c r="E962" s="42"/>
      <c r="F962" s="43"/>
      <c r="G962" s="59"/>
      <c r="H962" s="60"/>
      <c r="I962" s="60"/>
      <c r="J962" s="60"/>
      <c r="K962" s="60"/>
      <c r="L962" s="60"/>
      <c r="M962" s="60"/>
      <c r="N962" s="60"/>
      <c r="O962" s="30"/>
      <c r="P962" s="30"/>
      <c r="Q962" s="30"/>
      <c r="R962" s="30"/>
      <c r="S962" s="30"/>
      <c r="T962" s="30"/>
    </row>
    <row r="963" spans="1:20" ht="12.75" customHeight="1" x14ac:dyDescent="0.25">
      <c r="A963" s="342"/>
      <c r="B963" s="30"/>
      <c r="C963" s="30"/>
      <c r="D963" s="141"/>
      <c r="E963" s="42"/>
      <c r="F963" s="43"/>
      <c r="G963" s="59"/>
      <c r="H963" s="60"/>
      <c r="I963" s="60"/>
      <c r="J963" s="60"/>
      <c r="K963" s="60"/>
      <c r="L963" s="60"/>
      <c r="M963" s="60"/>
      <c r="N963" s="60"/>
      <c r="O963" s="30"/>
      <c r="P963" s="30"/>
      <c r="Q963" s="30"/>
      <c r="R963" s="30"/>
      <c r="S963" s="30"/>
      <c r="T963" s="30"/>
    </row>
    <row r="964" spans="1:20" ht="12.75" customHeight="1" x14ac:dyDescent="0.25">
      <c r="A964" s="342"/>
      <c r="B964" s="30"/>
      <c r="C964" s="30"/>
      <c r="D964" s="141"/>
      <c r="E964" s="42"/>
      <c r="F964" s="43"/>
      <c r="G964" s="59"/>
      <c r="H964" s="60"/>
      <c r="I964" s="60"/>
      <c r="J964" s="60"/>
      <c r="K964" s="60"/>
      <c r="L964" s="60"/>
      <c r="M964" s="60"/>
      <c r="N964" s="60"/>
      <c r="O964" s="30"/>
      <c r="P964" s="30"/>
      <c r="Q964" s="30"/>
      <c r="R964" s="30"/>
      <c r="S964" s="30"/>
      <c r="T964" s="30"/>
    </row>
    <row r="965" spans="1:20" ht="12.75" customHeight="1" x14ac:dyDescent="0.25">
      <c r="A965" s="342"/>
      <c r="B965" s="30"/>
      <c r="C965" s="30"/>
      <c r="D965" s="141"/>
      <c r="E965" s="42"/>
      <c r="F965" s="43"/>
      <c r="G965" s="59"/>
      <c r="H965" s="60"/>
      <c r="I965" s="60"/>
      <c r="J965" s="60"/>
      <c r="K965" s="60"/>
      <c r="L965" s="60"/>
      <c r="M965" s="60"/>
      <c r="N965" s="60"/>
      <c r="O965" s="30"/>
      <c r="P965" s="30"/>
      <c r="Q965" s="30"/>
      <c r="R965" s="30"/>
      <c r="S965" s="30"/>
      <c r="T965" s="30"/>
    </row>
    <row r="966" spans="1:20" ht="12.75" customHeight="1" x14ac:dyDescent="0.25">
      <c r="A966" s="342"/>
      <c r="B966" s="30"/>
      <c r="C966" s="30"/>
      <c r="D966" s="141"/>
      <c r="E966" s="42"/>
      <c r="F966" s="43"/>
      <c r="G966" s="59"/>
      <c r="H966" s="60"/>
      <c r="I966" s="60"/>
      <c r="J966" s="60"/>
      <c r="K966" s="60"/>
      <c r="L966" s="60"/>
      <c r="M966" s="60"/>
      <c r="N966" s="60"/>
      <c r="O966" s="30"/>
      <c r="P966" s="30"/>
      <c r="Q966" s="30"/>
      <c r="R966" s="30"/>
      <c r="S966" s="30"/>
      <c r="T966" s="30"/>
    </row>
    <row r="967" spans="1:20" ht="12.75" customHeight="1" x14ac:dyDescent="0.25">
      <c r="A967" s="342"/>
      <c r="B967" s="30"/>
      <c r="C967" s="30"/>
      <c r="D967" s="141"/>
      <c r="E967" s="42"/>
      <c r="F967" s="43"/>
      <c r="G967" s="59"/>
      <c r="H967" s="60"/>
      <c r="I967" s="60"/>
      <c r="J967" s="60"/>
      <c r="K967" s="60"/>
      <c r="L967" s="60"/>
      <c r="M967" s="60"/>
      <c r="N967" s="60"/>
      <c r="O967" s="30"/>
      <c r="P967" s="30"/>
      <c r="Q967" s="30"/>
      <c r="R967" s="30"/>
      <c r="S967" s="30"/>
      <c r="T967" s="30"/>
    </row>
    <row r="968" spans="1:20" ht="12.75" customHeight="1" x14ac:dyDescent="0.25">
      <c r="A968" s="342"/>
      <c r="B968" s="30"/>
      <c r="C968" s="30"/>
      <c r="D968" s="141"/>
      <c r="E968" s="42"/>
      <c r="F968" s="43"/>
      <c r="G968" s="59"/>
      <c r="H968" s="60"/>
      <c r="I968" s="60"/>
      <c r="J968" s="60"/>
      <c r="K968" s="60"/>
      <c r="L968" s="60"/>
      <c r="M968" s="60"/>
      <c r="N968" s="60"/>
      <c r="O968" s="30"/>
      <c r="P968" s="30"/>
      <c r="Q968" s="30"/>
      <c r="R968" s="30"/>
      <c r="S968" s="30"/>
      <c r="T968" s="30"/>
    </row>
    <row r="969" spans="1:20" ht="12.75" customHeight="1" x14ac:dyDescent="0.25">
      <c r="A969" s="342"/>
      <c r="B969" s="30"/>
      <c r="C969" s="30"/>
      <c r="D969" s="141"/>
      <c r="E969" s="42"/>
      <c r="F969" s="43"/>
      <c r="G969" s="59"/>
      <c r="H969" s="60"/>
      <c r="I969" s="60"/>
      <c r="J969" s="60"/>
      <c r="K969" s="60"/>
      <c r="L969" s="60"/>
      <c r="M969" s="60"/>
      <c r="N969" s="60"/>
      <c r="O969" s="30"/>
      <c r="P969" s="30"/>
      <c r="Q969" s="30"/>
      <c r="R969" s="30"/>
      <c r="S969" s="30"/>
      <c r="T969" s="30"/>
    </row>
    <row r="970" spans="1:20" ht="12.75" customHeight="1" x14ac:dyDescent="0.25">
      <c r="A970" s="342"/>
      <c r="B970" s="30"/>
      <c r="C970" s="30"/>
      <c r="D970" s="141"/>
      <c r="E970" s="42"/>
      <c r="F970" s="43"/>
      <c r="G970" s="59"/>
      <c r="H970" s="60"/>
      <c r="I970" s="60"/>
      <c r="J970" s="60"/>
      <c r="K970" s="60"/>
      <c r="L970" s="60"/>
      <c r="M970" s="60"/>
      <c r="N970" s="60"/>
      <c r="O970" s="30"/>
      <c r="P970" s="30"/>
      <c r="Q970" s="30"/>
      <c r="R970" s="30"/>
      <c r="S970" s="30"/>
      <c r="T970" s="30"/>
    </row>
    <row r="971" spans="1:20" ht="12.75" customHeight="1" x14ac:dyDescent="0.25">
      <c r="A971" s="342"/>
      <c r="B971" s="30"/>
      <c r="C971" s="30"/>
      <c r="D971" s="141"/>
      <c r="E971" s="42"/>
      <c r="F971" s="43"/>
      <c r="G971" s="59"/>
      <c r="H971" s="60"/>
      <c r="I971" s="60"/>
      <c r="J971" s="60"/>
      <c r="K971" s="60"/>
      <c r="L971" s="60"/>
      <c r="M971" s="60"/>
      <c r="N971" s="60"/>
      <c r="O971" s="30"/>
      <c r="P971" s="30"/>
      <c r="Q971" s="30"/>
      <c r="R971" s="30"/>
      <c r="S971" s="30"/>
      <c r="T971" s="30"/>
    </row>
    <row r="972" spans="1:20" ht="12.75" customHeight="1" x14ac:dyDescent="0.25">
      <c r="A972" s="342"/>
      <c r="B972" s="30"/>
      <c r="C972" s="30"/>
      <c r="D972" s="141"/>
      <c r="E972" s="42"/>
      <c r="F972" s="43"/>
      <c r="G972" s="59"/>
      <c r="H972" s="60"/>
      <c r="I972" s="60"/>
      <c r="J972" s="60"/>
      <c r="K972" s="60"/>
      <c r="L972" s="60"/>
      <c r="M972" s="60"/>
      <c r="N972" s="60"/>
      <c r="O972" s="30"/>
      <c r="P972" s="30"/>
      <c r="Q972" s="30"/>
      <c r="R972" s="30"/>
      <c r="S972" s="30"/>
      <c r="T972" s="30"/>
    </row>
    <row r="973" spans="1:20" ht="12.75" customHeight="1" x14ac:dyDescent="0.25">
      <c r="A973" s="342"/>
      <c r="B973" s="30"/>
      <c r="C973" s="30"/>
      <c r="D973" s="141"/>
      <c r="E973" s="42"/>
      <c r="F973" s="43"/>
      <c r="G973" s="59"/>
      <c r="H973" s="60"/>
      <c r="I973" s="60"/>
      <c r="J973" s="60"/>
      <c r="K973" s="60"/>
      <c r="L973" s="60"/>
      <c r="M973" s="60"/>
      <c r="N973" s="60"/>
      <c r="O973" s="30"/>
      <c r="P973" s="30"/>
      <c r="Q973" s="30"/>
      <c r="R973" s="30"/>
      <c r="S973" s="30"/>
      <c r="T973" s="30"/>
    </row>
    <row r="974" spans="1:20" ht="12.75" customHeight="1" x14ac:dyDescent="0.25">
      <c r="A974" s="342"/>
      <c r="B974" s="30"/>
      <c r="C974" s="30"/>
      <c r="D974" s="141"/>
      <c r="E974" s="42"/>
      <c r="F974" s="43"/>
      <c r="G974" s="59"/>
      <c r="H974" s="60"/>
      <c r="I974" s="60"/>
      <c r="J974" s="60"/>
      <c r="K974" s="60"/>
      <c r="L974" s="60"/>
      <c r="M974" s="60"/>
      <c r="N974" s="60"/>
      <c r="O974" s="30"/>
      <c r="P974" s="30"/>
      <c r="Q974" s="30"/>
      <c r="R974" s="30"/>
      <c r="S974" s="30"/>
      <c r="T974" s="30"/>
    </row>
  </sheetData>
  <autoFilter ref="A9:O34" xr:uid="{00000000-0009-0000-0000-000003000000}"/>
  <mergeCells count="13">
    <mergeCell ref="G6:H6"/>
    <mergeCell ref="I6:J6"/>
    <mergeCell ref="K6:L6"/>
    <mergeCell ref="M6:N6"/>
    <mergeCell ref="E7:F8"/>
    <mergeCell ref="G7:H7"/>
    <mergeCell ref="I7:J7"/>
    <mergeCell ref="K7:L7"/>
    <mergeCell ref="M7:N7"/>
    <mergeCell ref="G8:H8"/>
    <mergeCell ref="I8:J8"/>
    <mergeCell ref="K8:L8"/>
    <mergeCell ref="M8:N8"/>
  </mergeCells>
  <pageMargins left="0.7" right="0.7" top="0.75" bottom="0.75" header="0" footer="0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E0B3"/>
    <pageSetUpPr fitToPage="1"/>
  </sheetPr>
  <dimension ref="A1:N942"/>
  <sheetViews>
    <sheetView topLeftCell="A13" workbookViewId="0">
      <pane ySplit="4" topLeftCell="A17" activePane="bottomLeft" state="frozen"/>
      <selection activeCell="A13" sqref="A13"/>
      <selection pane="bottomLeft" activeCell="E27" sqref="E27"/>
    </sheetView>
  </sheetViews>
  <sheetFormatPr defaultColWidth="14.42578125" defaultRowHeight="15" customHeight="1" x14ac:dyDescent="0.25"/>
  <cols>
    <col min="1" max="1" width="10.85546875" customWidth="1"/>
    <col min="2" max="2" width="38.85546875" customWidth="1"/>
    <col min="3" max="3" width="10.42578125" customWidth="1"/>
    <col min="4" max="4" width="10.7109375" customWidth="1"/>
    <col min="5" max="5" width="12.5703125" customWidth="1"/>
    <col min="6" max="8" width="13.140625" style="139" customWidth="1"/>
    <col min="9" max="9" width="3" customWidth="1"/>
    <col min="10" max="10" width="15.7109375" customWidth="1"/>
    <col min="11" max="11" width="12.140625" customWidth="1"/>
    <col min="12" max="12" width="9.5703125" customWidth="1"/>
    <col min="13" max="13" width="12.85546875" style="139" customWidth="1"/>
    <col min="14" max="14" width="13.7109375" customWidth="1"/>
    <col min="15" max="15" width="13.28515625" customWidth="1"/>
    <col min="16" max="16" width="9.28515625" customWidth="1"/>
    <col min="17" max="17" width="9.85546875" customWidth="1"/>
    <col min="18" max="21" width="8.7109375" customWidth="1"/>
  </cols>
  <sheetData>
    <row r="1" spans="1:14" ht="15" customHeight="1" x14ac:dyDescent="0.25">
      <c r="A1" s="902" t="s">
        <v>38</v>
      </c>
      <c r="B1" s="903"/>
      <c r="C1" s="154"/>
      <c r="D1" s="75"/>
      <c r="F1" s="908" t="s">
        <v>63</v>
      </c>
      <c r="G1" s="909"/>
      <c r="H1" s="909"/>
    </row>
    <row r="2" spans="1:14" ht="15" customHeight="1" x14ac:dyDescent="0.25">
      <c r="A2" s="5"/>
      <c r="B2" s="7"/>
      <c r="C2" s="159">
        <f>SUM(C3:C10)</f>
        <v>2160</v>
      </c>
      <c r="D2" s="158"/>
      <c r="F2" s="6"/>
      <c r="G2" s="209"/>
      <c r="H2" s="210">
        <f>SUM(H3:H10)</f>
        <v>422220</v>
      </c>
    </row>
    <row r="3" spans="1:14" ht="15" customHeight="1" x14ac:dyDescent="0.25">
      <c r="A3" s="8">
        <v>100</v>
      </c>
      <c r="B3" s="123">
        <v>17</v>
      </c>
      <c r="C3" s="160">
        <f t="shared" ref="C3:C10" si="0">B3*A3</f>
        <v>1700</v>
      </c>
      <c r="D3" s="162"/>
      <c r="F3" s="161">
        <v>1000</v>
      </c>
      <c r="G3" s="219">
        <v>305</v>
      </c>
      <c r="H3" s="64">
        <f t="shared" ref="H3:H10" si="1">G3*F3</f>
        <v>305000</v>
      </c>
    </row>
    <row r="4" spans="1:14" ht="15" customHeight="1" x14ac:dyDescent="0.25">
      <c r="A4" s="8">
        <v>50</v>
      </c>
      <c r="B4" s="123">
        <v>8</v>
      </c>
      <c r="C4" s="160">
        <f t="shared" si="0"/>
        <v>400</v>
      </c>
      <c r="D4" s="162"/>
      <c r="F4" s="161">
        <v>500</v>
      </c>
      <c r="G4" s="219">
        <v>234</v>
      </c>
      <c r="H4" s="64">
        <f t="shared" si="1"/>
        <v>117000</v>
      </c>
    </row>
    <row r="5" spans="1:14" ht="15" customHeight="1" x14ac:dyDescent="0.25">
      <c r="A5" s="8">
        <v>20</v>
      </c>
      <c r="B5" s="123">
        <v>3</v>
      </c>
      <c r="C5" s="160">
        <f t="shared" si="0"/>
        <v>60</v>
      </c>
      <c r="D5" s="162"/>
      <c r="F5" s="161">
        <v>200</v>
      </c>
      <c r="G5" s="219">
        <v>1</v>
      </c>
      <c r="H5" s="64">
        <f t="shared" si="1"/>
        <v>200</v>
      </c>
    </row>
    <row r="6" spans="1:14" ht="15" customHeight="1" x14ac:dyDescent="0.25">
      <c r="A6" s="8">
        <v>10</v>
      </c>
      <c r="B6" s="123">
        <v>0</v>
      </c>
      <c r="C6" s="160">
        <f t="shared" si="0"/>
        <v>0</v>
      </c>
      <c r="D6" s="162"/>
      <c r="F6" s="161">
        <v>100</v>
      </c>
      <c r="G6" s="219">
        <v>0</v>
      </c>
      <c r="H6" s="64">
        <f t="shared" si="1"/>
        <v>0</v>
      </c>
    </row>
    <row r="7" spans="1:14" ht="15" customHeight="1" x14ac:dyDescent="0.25">
      <c r="A7" s="8">
        <v>5</v>
      </c>
      <c r="B7" s="123">
        <v>0</v>
      </c>
      <c r="C7" s="160">
        <f t="shared" si="0"/>
        <v>0</v>
      </c>
      <c r="D7" s="162"/>
      <c r="F7" s="161">
        <v>50</v>
      </c>
      <c r="G7" s="219">
        <v>0</v>
      </c>
      <c r="H7" s="64">
        <f t="shared" si="1"/>
        <v>0</v>
      </c>
    </row>
    <row r="8" spans="1:14" ht="15" customHeight="1" x14ac:dyDescent="0.25">
      <c r="A8" s="8">
        <v>2</v>
      </c>
      <c r="B8" s="123">
        <v>0</v>
      </c>
      <c r="C8" s="160">
        <f t="shared" si="0"/>
        <v>0</v>
      </c>
      <c r="D8" s="162"/>
      <c r="F8" s="161">
        <v>20</v>
      </c>
      <c r="G8" s="219">
        <v>1</v>
      </c>
      <c r="H8" s="64">
        <f t="shared" si="1"/>
        <v>20</v>
      </c>
    </row>
    <row r="9" spans="1:14" ht="15" customHeight="1" x14ac:dyDescent="0.25">
      <c r="A9" s="8">
        <v>1</v>
      </c>
      <c r="B9" s="123">
        <v>0</v>
      </c>
      <c r="C9" s="160">
        <f t="shared" si="0"/>
        <v>0</v>
      </c>
      <c r="D9" s="162"/>
      <c r="F9" s="161">
        <v>10</v>
      </c>
      <c r="G9" s="219">
        <v>0</v>
      </c>
      <c r="H9" s="64">
        <f t="shared" si="1"/>
        <v>0</v>
      </c>
    </row>
    <row r="10" spans="1:14" ht="15" customHeight="1" x14ac:dyDescent="0.25">
      <c r="A10" s="69"/>
      <c r="B10" s="16"/>
      <c r="C10" s="71">
        <f t="shared" si="0"/>
        <v>0</v>
      </c>
      <c r="D10" s="163"/>
      <c r="F10" s="104">
        <v>5</v>
      </c>
      <c r="G10" s="70">
        <v>0</v>
      </c>
      <c r="H10" s="68">
        <f t="shared" si="1"/>
        <v>0</v>
      </c>
    </row>
    <row r="11" spans="1:14" ht="15" customHeight="1" x14ac:dyDescent="0.25">
      <c r="D11" s="117"/>
      <c r="F11" s="111"/>
      <c r="H11" s="211"/>
    </row>
    <row r="13" spans="1:14" ht="15" customHeight="1" x14ac:dyDescent="0.25">
      <c r="F13" s="139" t="s">
        <v>240</v>
      </c>
      <c r="J13">
        <v>170900</v>
      </c>
    </row>
    <row r="14" spans="1:14" ht="18.75" x14ac:dyDescent="0.3">
      <c r="A14" s="72" t="s">
        <v>44</v>
      </c>
      <c r="B14" s="4"/>
      <c r="C14" s="906" t="s">
        <v>36</v>
      </c>
      <c r="D14" s="907"/>
      <c r="E14" s="80">
        <f>+E25</f>
        <v>350</v>
      </c>
      <c r="F14" s="904" t="s">
        <v>37</v>
      </c>
      <c r="G14" s="905"/>
      <c r="H14" s="136">
        <f>+H25</f>
        <v>177100</v>
      </c>
      <c r="I14" s="4"/>
      <c r="K14" s="386"/>
      <c r="L14" s="386"/>
      <c r="N14" s="75"/>
    </row>
    <row r="15" spans="1:14" ht="18.75" x14ac:dyDescent="0.3">
      <c r="A15" s="5"/>
      <c r="B15" s="73"/>
      <c r="C15" s="155"/>
      <c r="D15" s="157" t="s">
        <v>38</v>
      </c>
      <c r="E15" s="156"/>
      <c r="F15" s="212"/>
      <c r="G15" s="213" t="s">
        <v>0</v>
      </c>
      <c r="H15" s="214"/>
    </row>
    <row r="16" spans="1:14" x14ac:dyDescent="0.25">
      <c r="A16" s="8" t="s">
        <v>1</v>
      </c>
      <c r="B16" s="17" t="s">
        <v>3</v>
      </c>
      <c r="C16" s="83" t="s">
        <v>40</v>
      </c>
      <c r="D16" s="82" t="s">
        <v>39</v>
      </c>
      <c r="E16" s="84" t="s">
        <v>4</v>
      </c>
      <c r="F16" s="63" t="s">
        <v>40</v>
      </c>
      <c r="G16" s="63" t="s">
        <v>39</v>
      </c>
      <c r="H16" s="215" t="s">
        <v>4</v>
      </c>
    </row>
    <row r="17" spans="1:11" x14ac:dyDescent="0.25">
      <c r="A17" s="86">
        <v>46017</v>
      </c>
      <c r="B17" s="116" t="s">
        <v>228</v>
      </c>
      <c r="C17" s="128"/>
      <c r="D17" s="540"/>
      <c r="E17" s="84">
        <f>+C17-D17</f>
        <v>0</v>
      </c>
      <c r="F17" s="63">
        <f>+[3]RECON!$D$46</f>
        <v>0</v>
      </c>
      <c r="G17" s="63"/>
      <c r="H17" s="215">
        <f>+F17</f>
        <v>0</v>
      </c>
      <c r="J17" t="s">
        <v>238</v>
      </c>
    </row>
    <row r="18" spans="1:11" x14ac:dyDescent="0.25">
      <c r="A18" s="86">
        <v>46018</v>
      </c>
      <c r="B18" s="116" t="s">
        <v>239</v>
      </c>
      <c r="C18" s="128">
        <v>350</v>
      </c>
      <c r="D18" s="540"/>
      <c r="E18" s="84">
        <f>+E17+C18-D18</f>
        <v>350</v>
      </c>
      <c r="F18" s="63"/>
      <c r="G18" s="63"/>
      <c r="H18" s="215">
        <f>+H17+F18-G18</f>
        <v>0</v>
      </c>
    </row>
    <row r="19" spans="1:11" x14ac:dyDescent="0.25">
      <c r="A19" s="86">
        <v>46031</v>
      </c>
      <c r="B19" s="116" t="s">
        <v>265</v>
      </c>
      <c r="C19" s="128">
        <v>0</v>
      </c>
      <c r="D19" s="540"/>
      <c r="E19" s="84">
        <f>+E18+C19-D19</f>
        <v>350</v>
      </c>
      <c r="F19" s="63">
        <f>2800*63.25</f>
        <v>177100</v>
      </c>
      <c r="G19" s="63"/>
      <c r="H19" s="215"/>
    </row>
    <row r="20" spans="1:11" x14ac:dyDescent="0.25">
      <c r="A20" s="8"/>
      <c r="B20" s="116"/>
      <c r="C20" s="128"/>
      <c r="D20" s="540"/>
      <c r="E20" s="84"/>
      <c r="F20" s="63"/>
      <c r="G20" s="63"/>
      <c r="H20" s="215"/>
      <c r="J20" s="139">
        <f>+J13-H17</f>
        <v>170900</v>
      </c>
    </row>
    <row r="21" spans="1:11" x14ac:dyDescent="0.25">
      <c r="A21" s="8"/>
      <c r="B21" s="116"/>
      <c r="C21" s="128"/>
      <c r="D21" s="540"/>
      <c r="E21" s="84"/>
      <c r="F21" s="63"/>
      <c r="G21" s="63"/>
      <c r="H21" s="215"/>
    </row>
    <row r="22" spans="1:11" x14ac:dyDescent="0.25">
      <c r="A22" s="8"/>
      <c r="B22" s="116"/>
      <c r="C22" s="128"/>
      <c r="D22" s="540"/>
      <c r="E22" s="84"/>
      <c r="F22" s="63"/>
      <c r="G22" s="63"/>
      <c r="H22" s="215"/>
    </row>
    <row r="23" spans="1:11" x14ac:dyDescent="0.25">
      <c r="A23" s="8"/>
      <c r="B23" s="116"/>
      <c r="C23" s="128"/>
      <c r="D23" s="540"/>
      <c r="E23" s="84"/>
      <c r="F23" s="63"/>
      <c r="G23" s="63"/>
      <c r="H23" s="215"/>
      <c r="K23" s="139"/>
    </row>
    <row r="24" spans="1:11" x14ac:dyDescent="0.25">
      <c r="A24" s="8"/>
      <c r="B24" s="116"/>
      <c r="C24" s="128"/>
      <c r="D24" s="540"/>
      <c r="E24" s="84"/>
      <c r="F24" s="63"/>
      <c r="G24" s="63"/>
      <c r="H24" s="215"/>
    </row>
    <row r="25" spans="1:11" ht="15.75" customHeight="1" x14ac:dyDescent="0.25">
      <c r="A25" s="14"/>
      <c r="B25" s="17"/>
      <c r="C25" s="88">
        <f>SUM(C17:C24)</f>
        <v>350</v>
      </c>
      <c r="D25" s="88">
        <f>SUM(D15:D16)</f>
        <v>0</v>
      </c>
      <c r="E25" s="87">
        <f>+C25-D25</f>
        <v>350</v>
      </c>
      <c r="F25" s="63">
        <f>SUM(F17:F24)</f>
        <v>177100</v>
      </c>
      <c r="G25" s="63">
        <f>SUM(G15:G16)</f>
        <v>0</v>
      </c>
      <c r="H25" s="215">
        <f>+F25-G25</f>
        <v>177100</v>
      </c>
    </row>
    <row r="26" spans="1:11" ht="15.75" customHeight="1" x14ac:dyDescent="0.25">
      <c r="C26" s="81"/>
      <c r="D26" s="81"/>
      <c r="E26" s="80"/>
      <c r="H26" s="136"/>
    </row>
    <row r="27" spans="1:11" ht="15.75" customHeight="1" x14ac:dyDescent="0.25">
      <c r="C27" s="81"/>
      <c r="D27" s="81"/>
      <c r="E27" s="80"/>
      <c r="H27" s="136"/>
    </row>
    <row r="28" spans="1:11" ht="15.75" customHeight="1" x14ac:dyDescent="0.25">
      <c r="C28" s="81"/>
      <c r="D28" s="81"/>
      <c r="E28" s="80"/>
      <c r="H28" s="136"/>
    </row>
    <row r="29" spans="1:11" ht="15.75" customHeight="1" x14ac:dyDescent="0.25">
      <c r="C29" s="81"/>
      <c r="D29" s="81"/>
      <c r="E29" s="80"/>
      <c r="H29" s="136"/>
    </row>
    <row r="30" spans="1:11" ht="15.75" customHeight="1" x14ac:dyDescent="0.25">
      <c r="C30" s="81"/>
      <c r="D30" s="81"/>
      <c r="E30" s="80"/>
      <c r="H30" s="136"/>
    </row>
    <row r="31" spans="1:11" ht="15.75" customHeight="1" x14ac:dyDescent="0.25">
      <c r="C31" s="81"/>
      <c r="D31" s="81"/>
      <c r="E31" s="80"/>
      <c r="H31" s="136"/>
    </row>
    <row r="32" spans="1:11" ht="15.75" customHeight="1" x14ac:dyDescent="0.25">
      <c r="C32" s="81"/>
      <c r="D32" s="81"/>
      <c r="E32" s="80"/>
      <c r="H32" s="136"/>
    </row>
    <row r="33" spans="3:8" ht="15.75" customHeight="1" x14ac:dyDescent="0.25">
      <c r="C33" s="81"/>
      <c r="D33" s="81"/>
      <c r="E33" s="80"/>
      <c r="H33" s="136"/>
    </row>
    <row r="34" spans="3:8" ht="15.75" customHeight="1" x14ac:dyDescent="0.25">
      <c r="C34" s="81"/>
      <c r="D34" s="81"/>
      <c r="E34" s="80"/>
      <c r="H34" s="136"/>
    </row>
    <row r="35" spans="3:8" ht="15.75" customHeight="1" x14ac:dyDescent="0.25">
      <c r="C35" s="81"/>
      <c r="D35" s="81"/>
      <c r="E35" s="80"/>
      <c r="H35" s="136"/>
    </row>
    <row r="36" spans="3:8" ht="15.75" customHeight="1" x14ac:dyDescent="0.25">
      <c r="C36" s="81"/>
      <c r="D36" s="81"/>
      <c r="E36" s="80"/>
      <c r="H36" s="136"/>
    </row>
    <row r="37" spans="3:8" ht="15.75" customHeight="1" x14ac:dyDescent="0.25">
      <c r="C37" s="81"/>
      <c r="D37" s="81"/>
      <c r="E37" s="80"/>
      <c r="H37" s="136"/>
    </row>
    <row r="38" spans="3:8" ht="15.75" customHeight="1" x14ac:dyDescent="0.25">
      <c r="C38" s="81"/>
      <c r="D38" s="81"/>
      <c r="E38" s="80"/>
      <c r="H38" s="136"/>
    </row>
    <row r="39" spans="3:8" ht="15.75" customHeight="1" x14ac:dyDescent="0.25">
      <c r="C39" s="81"/>
      <c r="D39" s="81"/>
      <c r="E39" s="80"/>
      <c r="H39" s="136"/>
    </row>
    <row r="40" spans="3:8" ht="15.75" customHeight="1" x14ac:dyDescent="0.25">
      <c r="C40" s="81"/>
      <c r="D40" s="81"/>
      <c r="E40" s="80"/>
      <c r="H40" s="136"/>
    </row>
    <row r="41" spans="3:8" ht="15.75" customHeight="1" x14ac:dyDescent="0.25">
      <c r="C41" s="81"/>
      <c r="D41" s="81"/>
      <c r="E41" s="80"/>
      <c r="H41" s="136"/>
    </row>
    <row r="42" spans="3:8" ht="15.75" customHeight="1" x14ac:dyDescent="0.25">
      <c r="C42" s="81"/>
      <c r="D42" s="81"/>
      <c r="E42" s="80"/>
      <c r="H42" s="136"/>
    </row>
    <row r="43" spans="3:8" ht="15.75" customHeight="1" x14ac:dyDescent="0.25">
      <c r="C43" s="81"/>
      <c r="D43" s="81"/>
      <c r="E43" s="80"/>
      <c r="H43" s="136"/>
    </row>
    <row r="44" spans="3:8" ht="15.75" customHeight="1" x14ac:dyDescent="0.25">
      <c r="C44" s="81"/>
      <c r="D44" s="81"/>
      <c r="E44" s="80"/>
      <c r="H44" s="136"/>
    </row>
    <row r="45" spans="3:8" ht="15.75" customHeight="1" x14ac:dyDescent="0.25">
      <c r="C45" s="81"/>
      <c r="D45" s="81"/>
      <c r="E45" s="80"/>
      <c r="H45" s="136"/>
    </row>
    <row r="46" spans="3:8" ht="15.75" customHeight="1" x14ac:dyDescent="0.25">
      <c r="C46" s="81"/>
      <c r="D46" s="81"/>
      <c r="E46" s="80"/>
      <c r="H46" s="136"/>
    </row>
    <row r="47" spans="3:8" ht="15.75" customHeight="1" x14ac:dyDescent="0.25">
      <c r="C47" s="81"/>
      <c r="D47" s="81"/>
      <c r="E47" s="80"/>
      <c r="H47" s="136"/>
    </row>
    <row r="48" spans="3:8" ht="15.75" customHeight="1" x14ac:dyDescent="0.25">
      <c r="C48" s="81"/>
      <c r="D48" s="81"/>
      <c r="E48" s="80"/>
      <c r="H48" s="136"/>
    </row>
    <row r="49" spans="3:8" ht="15.75" customHeight="1" x14ac:dyDescent="0.25">
      <c r="C49" s="81"/>
      <c r="D49" s="81"/>
      <c r="E49" s="80"/>
      <c r="H49" s="136"/>
    </row>
    <row r="50" spans="3:8" ht="15.75" customHeight="1" x14ac:dyDescent="0.25">
      <c r="C50" s="81"/>
      <c r="D50" s="81"/>
      <c r="E50" s="80"/>
      <c r="H50" s="136"/>
    </row>
    <row r="51" spans="3:8" ht="15.75" customHeight="1" x14ac:dyDescent="0.25">
      <c r="C51" s="81"/>
      <c r="D51" s="81"/>
      <c r="E51" s="80"/>
      <c r="H51" s="136"/>
    </row>
    <row r="52" spans="3:8" ht="15.75" customHeight="1" x14ac:dyDescent="0.25">
      <c r="C52" s="81"/>
      <c r="D52" s="81"/>
      <c r="E52" s="80"/>
      <c r="H52" s="136"/>
    </row>
    <row r="53" spans="3:8" ht="15.75" customHeight="1" x14ac:dyDescent="0.25">
      <c r="C53" s="81"/>
      <c r="D53" s="81"/>
      <c r="E53" s="80"/>
      <c r="H53" s="136"/>
    </row>
    <row r="54" spans="3:8" ht="15.75" customHeight="1" x14ac:dyDescent="0.25">
      <c r="C54" s="81"/>
      <c r="D54" s="81"/>
      <c r="E54" s="80"/>
      <c r="H54" s="136"/>
    </row>
    <row r="55" spans="3:8" ht="15.75" customHeight="1" x14ac:dyDescent="0.25">
      <c r="C55" s="81"/>
      <c r="D55" s="81"/>
      <c r="E55" s="80"/>
      <c r="H55" s="136"/>
    </row>
    <row r="56" spans="3:8" ht="15.75" customHeight="1" x14ac:dyDescent="0.25">
      <c r="C56" s="81"/>
      <c r="D56" s="81"/>
      <c r="E56" s="80"/>
      <c r="H56" s="136"/>
    </row>
    <row r="57" spans="3:8" ht="15.75" customHeight="1" x14ac:dyDescent="0.25">
      <c r="C57" s="81"/>
      <c r="D57" s="81"/>
      <c r="E57" s="80"/>
      <c r="H57" s="136"/>
    </row>
    <row r="58" spans="3:8" ht="15.75" customHeight="1" x14ac:dyDescent="0.25">
      <c r="C58" s="81"/>
      <c r="D58" s="81"/>
      <c r="E58" s="80"/>
      <c r="H58" s="136"/>
    </row>
    <row r="59" spans="3:8" ht="15.75" customHeight="1" x14ac:dyDescent="0.25">
      <c r="C59" s="81"/>
      <c r="D59" s="81"/>
      <c r="E59" s="80"/>
      <c r="H59" s="136"/>
    </row>
    <row r="60" spans="3:8" ht="15.75" customHeight="1" x14ac:dyDescent="0.25">
      <c r="C60" s="81"/>
      <c r="D60" s="81"/>
      <c r="E60" s="80"/>
      <c r="H60" s="136"/>
    </row>
    <row r="61" spans="3:8" ht="15.75" customHeight="1" x14ac:dyDescent="0.25">
      <c r="C61" s="81"/>
      <c r="D61" s="81"/>
      <c r="E61" s="80"/>
      <c r="H61" s="136"/>
    </row>
    <row r="62" spans="3:8" ht="15.75" customHeight="1" x14ac:dyDescent="0.25">
      <c r="C62" s="81"/>
      <c r="D62" s="81"/>
      <c r="E62" s="80"/>
      <c r="H62" s="136"/>
    </row>
    <row r="63" spans="3:8" ht="15.75" customHeight="1" x14ac:dyDescent="0.25">
      <c r="C63" s="81"/>
      <c r="D63" s="81"/>
      <c r="E63" s="80"/>
      <c r="H63" s="136"/>
    </row>
    <row r="64" spans="3:8" ht="15.75" customHeight="1" x14ac:dyDescent="0.25">
      <c r="C64" s="81"/>
      <c r="D64" s="81"/>
      <c r="E64" s="80"/>
      <c r="H64" s="136"/>
    </row>
    <row r="65" spans="3:8" ht="15.75" customHeight="1" x14ac:dyDescent="0.25">
      <c r="C65" s="81"/>
      <c r="D65" s="81"/>
      <c r="E65" s="80"/>
      <c r="H65" s="136"/>
    </row>
    <row r="66" spans="3:8" ht="15.75" customHeight="1" x14ac:dyDescent="0.25">
      <c r="C66" s="81"/>
      <c r="D66" s="81"/>
      <c r="E66" s="80"/>
      <c r="H66" s="136"/>
    </row>
    <row r="67" spans="3:8" ht="15.75" customHeight="1" x14ac:dyDescent="0.25">
      <c r="C67" s="81"/>
      <c r="D67" s="81"/>
      <c r="E67" s="80"/>
      <c r="H67" s="136"/>
    </row>
    <row r="68" spans="3:8" ht="15.75" customHeight="1" x14ac:dyDescent="0.25">
      <c r="C68" s="81"/>
      <c r="D68" s="81"/>
      <c r="E68" s="80"/>
      <c r="H68" s="136"/>
    </row>
    <row r="69" spans="3:8" ht="15.75" customHeight="1" x14ac:dyDescent="0.25">
      <c r="C69" s="81"/>
      <c r="D69" s="81"/>
      <c r="E69" s="80"/>
      <c r="H69" s="136"/>
    </row>
    <row r="70" spans="3:8" ht="15.75" customHeight="1" x14ac:dyDescent="0.25">
      <c r="C70" s="81"/>
      <c r="D70" s="81"/>
      <c r="E70" s="80"/>
      <c r="H70" s="136"/>
    </row>
    <row r="71" spans="3:8" ht="15.75" customHeight="1" x14ac:dyDescent="0.25">
      <c r="C71" s="81"/>
      <c r="D71" s="81"/>
      <c r="E71" s="80"/>
      <c r="H71" s="136"/>
    </row>
    <row r="72" spans="3:8" ht="15.75" customHeight="1" x14ac:dyDescent="0.25">
      <c r="C72" s="81"/>
      <c r="D72" s="81"/>
      <c r="E72" s="80"/>
      <c r="H72" s="136"/>
    </row>
    <row r="73" spans="3:8" ht="15.75" customHeight="1" x14ac:dyDescent="0.25">
      <c r="C73" s="81"/>
      <c r="D73" s="81"/>
      <c r="E73" s="80"/>
      <c r="H73" s="136"/>
    </row>
    <row r="74" spans="3:8" ht="15.75" customHeight="1" x14ac:dyDescent="0.25">
      <c r="C74" s="81"/>
      <c r="D74" s="81"/>
      <c r="E74" s="80"/>
      <c r="H74" s="136"/>
    </row>
    <row r="75" spans="3:8" ht="15.75" customHeight="1" x14ac:dyDescent="0.25">
      <c r="C75" s="81"/>
      <c r="D75" s="81"/>
      <c r="E75" s="80"/>
      <c r="H75" s="136"/>
    </row>
    <row r="76" spans="3:8" ht="15.75" customHeight="1" x14ac:dyDescent="0.25">
      <c r="C76" s="81"/>
      <c r="D76" s="81"/>
      <c r="E76" s="80"/>
      <c r="H76" s="136"/>
    </row>
    <row r="77" spans="3:8" ht="15.75" customHeight="1" x14ac:dyDescent="0.25">
      <c r="C77" s="81"/>
      <c r="D77" s="81"/>
      <c r="E77" s="80"/>
      <c r="H77" s="136"/>
    </row>
    <row r="78" spans="3:8" ht="15.75" customHeight="1" x14ac:dyDescent="0.25">
      <c r="C78" s="81"/>
      <c r="D78" s="81"/>
      <c r="E78" s="80"/>
      <c r="H78" s="136"/>
    </row>
    <row r="79" spans="3:8" ht="15.75" customHeight="1" x14ac:dyDescent="0.25">
      <c r="C79" s="81"/>
      <c r="D79" s="81"/>
      <c r="E79" s="80"/>
      <c r="H79" s="136"/>
    </row>
    <row r="80" spans="3:8" ht="15.75" customHeight="1" x14ac:dyDescent="0.25">
      <c r="C80" s="81"/>
      <c r="D80" s="81"/>
      <c r="E80" s="80"/>
      <c r="H80" s="136"/>
    </row>
    <row r="81" spans="3:8" ht="15.75" customHeight="1" x14ac:dyDescent="0.25">
      <c r="C81" s="81"/>
      <c r="D81" s="81"/>
      <c r="E81" s="80"/>
      <c r="H81" s="136"/>
    </row>
    <row r="82" spans="3:8" ht="15.75" customHeight="1" x14ac:dyDescent="0.25">
      <c r="C82" s="81"/>
      <c r="D82" s="81"/>
      <c r="E82" s="80"/>
      <c r="H82" s="136"/>
    </row>
    <row r="83" spans="3:8" ht="15.75" customHeight="1" x14ac:dyDescent="0.25">
      <c r="C83" s="81"/>
      <c r="D83" s="81"/>
      <c r="E83" s="80"/>
      <c r="H83" s="136"/>
    </row>
    <row r="84" spans="3:8" ht="15.75" customHeight="1" x14ac:dyDescent="0.25">
      <c r="C84" s="81"/>
      <c r="D84" s="81"/>
      <c r="E84" s="80"/>
      <c r="H84" s="136"/>
    </row>
    <row r="85" spans="3:8" ht="15.75" customHeight="1" x14ac:dyDescent="0.25">
      <c r="C85" s="81"/>
      <c r="D85" s="81"/>
      <c r="E85" s="80"/>
      <c r="H85" s="136"/>
    </row>
    <row r="86" spans="3:8" ht="15.75" customHeight="1" x14ac:dyDescent="0.25">
      <c r="C86" s="81"/>
      <c r="D86" s="81"/>
      <c r="E86" s="80"/>
      <c r="H86" s="136"/>
    </row>
    <row r="87" spans="3:8" ht="15.75" customHeight="1" x14ac:dyDescent="0.25">
      <c r="C87" s="81"/>
      <c r="D87" s="81"/>
      <c r="E87" s="80"/>
      <c r="H87" s="136"/>
    </row>
    <row r="88" spans="3:8" ht="15.75" customHeight="1" x14ac:dyDescent="0.25">
      <c r="C88" s="81"/>
      <c r="D88" s="81"/>
      <c r="E88" s="80"/>
      <c r="H88" s="136"/>
    </row>
    <row r="89" spans="3:8" ht="15.75" customHeight="1" x14ac:dyDescent="0.25">
      <c r="C89" s="81"/>
      <c r="D89" s="81"/>
      <c r="E89" s="80"/>
      <c r="H89" s="136"/>
    </row>
    <row r="90" spans="3:8" ht="15.75" customHeight="1" x14ac:dyDescent="0.25">
      <c r="C90" s="81"/>
      <c r="D90" s="81"/>
      <c r="E90" s="80"/>
      <c r="H90" s="136"/>
    </row>
    <row r="91" spans="3:8" ht="15.75" customHeight="1" x14ac:dyDescent="0.25">
      <c r="C91" s="81"/>
      <c r="D91" s="81"/>
      <c r="E91" s="80"/>
      <c r="H91" s="136"/>
    </row>
    <row r="92" spans="3:8" ht="15.75" customHeight="1" x14ac:dyDescent="0.25">
      <c r="C92" s="81"/>
      <c r="D92" s="81"/>
      <c r="E92" s="80"/>
      <c r="H92" s="136"/>
    </row>
    <row r="93" spans="3:8" ht="15.75" customHeight="1" x14ac:dyDescent="0.25">
      <c r="C93" s="81"/>
      <c r="D93" s="81"/>
      <c r="E93" s="80"/>
      <c r="H93" s="136"/>
    </row>
    <row r="94" spans="3:8" ht="15.75" customHeight="1" x14ac:dyDescent="0.25">
      <c r="C94" s="81"/>
      <c r="D94" s="81"/>
      <c r="E94" s="80"/>
      <c r="H94" s="136"/>
    </row>
    <row r="95" spans="3:8" ht="15.75" customHeight="1" x14ac:dyDescent="0.25">
      <c r="C95" s="81"/>
      <c r="D95" s="81"/>
      <c r="E95" s="80"/>
      <c r="H95" s="136"/>
    </row>
    <row r="96" spans="3:8" ht="15.75" customHeight="1" x14ac:dyDescent="0.25">
      <c r="C96" s="81"/>
      <c r="D96" s="81"/>
      <c r="E96" s="80"/>
      <c r="H96" s="136"/>
    </row>
    <row r="97" spans="3:8" ht="15.75" customHeight="1" x14ac:dyDescent="0.25">
      <c r="C97" s="81"/>
      <c r="D97" s="81"/>
      <c r="E97" s="80"/>
      <c r="H97" s="136"/>
    </row>
    <row r="98" spans="3:8" ht="15.75" customHeight="1" x14ac:dyDescent="0.25">
      <c r="C98" s="81"/>
      <c r="D98" s="81"/>
      <c r="E98" s="80"/>
      <c r="H98" s="136"/>
    </row>
    <row r="99" spans="3:8" ht="15.75" customHeight="1" x14ac:dyDescent="0.25">
      <c r="C99" s="81"/>
      <c r="D99" s="81"/>
      <c r="E99" s="80"/>
      <c r="H99" s="136"/>
    </row>
    <row r="100" spans="3:8" ht="15.75" customHeight="1" x14ac:dyDescent="0.25">
      <c r="C100" s="81"/>
      <c r="D100" s="81"/>
      <c r="E100" s="80"/>
      <c r="H100" s="136"/>
    </row>
    <row r="101" spans="3:8" ht="15.75" customHeight="1" x14ac:dyDescent="0.25">
      <c r="C101" s="81"/>
      <c r="D101" s="81"/>
      <c r="E101" s="80"/>
      <c r="H101" s="136"/>
    </row>
    <row r="102" spans="3:8" ht="15.75" customHeight="1" x14ac:dyDescent="0.25">
      <c r="C102" s="81"/>
      <c r="D102" s="81"/>
      <c r="E102" s="80"/>
      <c r="H102" s="136"/>
    </row>
    <row r="103" spans="3:8" ht="15.75" customHeight="1" x14ac:dyDescent="0.25">
      <c r="C103" s="81"/>
      <c r="D103" s="81"/>
      <c r="E103" s="80"/>
      <c r="H103" s="136"/>
    </row>
    <row r="104" spans="3:8" ht="15.75" customHeight="1" x14ac:dyDescent="0.25">
      <c r="C104" s="81"/>
      <c r="D104" s="81"/>
      <c r="E104" s="80"/>
      <c r="H104" s="136"/>
    </row>
    <row r="105" spans="3:8" ht="15.75" customHeight="1" x14ac:dyDescent="0.25">
      <c r="C105" s="81"/>
      <c r="D105" s="81"/>
      <c r="E105" s="80"/>
      <c r="H105" s="136"/>
    </row>
    <row r="106" spans="3:8" ht="15.75" customHeight="1" x14ac:dyDescent="0.25">
      <c r="C106" s="81"/>
      <c r="D106" s="81"/>
      <c r="E106" s="80"/>
      <c r="H106" s="136"/>
    </row>
    <row r="107" spans="3:8" ht="15.75" customHeight="1" x14ac:dyDescent="0.25">
      <c r="C107" s="81"/>
      <c r="D107" s="81"/>
      <c r="E107" s="80"/>
      <c r="H107" s="136"/>
    </row>
    <row r="108" spans="3:8" ht="15.75" customHeight="1" x14ac:dyDescent="0.25">
      <c r="C108" s="81"/>
      <c r="D108" s="81"/>
      <c r="E108" s="80"/>
      <c r="H108" s="136"/>
    </row>
    <row r="109" spans="3:8" ht="15.75" customHeight="1" x14ac:dyDescent="0.25">
      <c r="C109" s="81"/>
      <c r="D109" s="81"/>
      <c r="E109" s="80"/>
      <c r="H109" s="136"/>
    </row>
    <row r="110" spans="3:8" ht="15.75" customHeight="1" x14ac:dyDescent="0.25">
      <c r="C110" s="81"/>
      <c r="D110" s="81"/>
      <c r="E110" s="80"/>
      <c r="H110" s="136"/>
    </row>
    <row r="111" spans="3:8" ht="15.75" customHeight="1" x14ac:dyDescent="0.25">
      <c r="C111" s="81"/>
      <c r="D111" s="81"/>
      <c r="E111" s="80"/>
      <c r="H111" s="136"/>
    </row>
    <row r="112" spans="3:8" ht="15.75" customHeight="1" x14ac:dyDescent="0.25">
      <c r="C112" s="81"/>
      <c r="D112" s="81"/>
      <c r="E112" s="80"/>
      <c r="H112" s="136"/>
    </row>
    <row r="113" spans="3:8" ht="15.75" customHeight="1" x14ac:dyDescent="0.25">
      <c r="C113" s="81"/>
      <c r="D113" s="81"/>
      <c r="E113" s="80"/>
      <c r="H113" s="136"/>
    </row>
    <row r="114" spans="3:8" ht="15.75" customHeight="1" x14ac:dyDescent="0.25">
      <c r="C114" s="81"/>
      <c r="D114" s="81"/>
      <c r="E114" s="80"/>
      <c r="H114" s="136"/>
    </row>
    <row r="115" spans="3:8" ht="15.75" customHeight="1" x14ac:dyDescent="0.25">
      <c r="C115" s="81"/>
      <c r="D115" s="81"/>
      <c r="E115" s="80"/>
      <c r="H115" s="136"/>
    </row>
    <row r="116" spans="3:8" ht="15.75" customHeight="1" x14ac:dyDescent="0.25">
      <c r="C116" s="81"/>
      <c r="D116" s="81"/>
      <c r="E116" s="80"/>
      <c r="H116" s="136"/>
    </row>
    <row r="117" spans="3:8" ht="15.75" customHeight="1" x14ac:dyDescent="0.25">
      <c r="C117" s="81"/>
      <c r="D117" s="81"/>
      <c r="E117" s="80"/>
      <c r="H117" s="136"/>
    </row>
    <row r="118" spans="3:8" ht="15.75" customHeight="1" x14ac:dyDescent="0.25">
      <c r="C118" s="81"/>
      <c r="D118" s="81"/>
      <c r="E118" s="80"/>
      <c r="H118" s="136"/>
    </row>
    <row r="119" spans="3:8" ht="15.75" customHeight="1" x14ac:dyDescent="0.25">
      <c r="C119" s="81"/>
      <c r="D119" s="81"/>
      <c r="E119" s="80"/>
      <c r="H119" s="136"/>
    </row>
    <row r="120" spans="3:8" ht="15.75" customHeight="1" x14ac:dyDescent="0.25">
      <c r="C120" s="81"/>
      <c r="D120" s="81"/>
      <c r="E120" s="80"/>
      <c r="H120" s="136"/>
    </row>
    <row r="121" spans="3:8" ht="15.75" customHeight="1" x14ac:dyDescent="0.25">
      <c r="C121" s="81"/>
      <c r="D121" s="81"/>
      <c r="E121" s="80"/>
      <c r="H121" s="136"/>
    </row>
    <row r="122" spans="3:8" ht="15.75" customHeight="1" x14ac:dyDescent="0.25">
      <c r="C122" s="81"/>
      <c r="D122" s="81"/>
      <c r="E122" s="80"/>
      <c r="H122" s="136"/>
    </row>
    <row r="123" spans="3:8" ht="15.75" customHeight="1" x14ac:dyDescent="0.25">
      <c r="C123" s="81"/>
      <c r="D123" s="81"/>
      <c r="E123" s="80"/>
      <c r="H123" s="136"/>
    </row>
    <row r="124" spans="3:8" ht="15.75" customHeight="1" x14ac:dyDescent="0.25">
      <c r="C124" s="81"/>
      <c r="D124" s="81"/>
      <c r="E124" s="80"/>
      <c r="H124" s="136"/>
    </row>
    <row r="125" spans="3:8" ht="15.75" customHeight="1" x14ac:dyDescent="0.25">
      <c r="C125" s="81"/>
      <c r="D125" s="81"/>
      <c r="E125" s="80"/>
      <c r="H125" s="136"/>
    </row>
    <row r="126" spans="3:8" ht="15.75" customHeight="1" x14ac:dyDescent="0.25">
      <c r="C126" s="81"/>
      <c r="D126" s="81"/>
      <c r="E126" s="80"/>
      <c r="H126" s="136"/>
    </row>
    <row r="127" spans="3:8" ht="15.75" customHeight="1" x14ac:dyDescent="0.25">
      <c r="C127" s="81"/>
      <c r="D127" s="81"/>
      <c r="E127" s="80"/>
      <c r="H127" s="136"/>
    </row>
    <row r="128" spans="3:8" ht="15.75" customHeight="1" x14ac:dyDescent="0.25">
      <c r="C128" s="81"/>
      <c r="D128" s="81"/>
      <c r="E128" s="80"/>
      <c r="H128" s="136"/>
    </row>
    <row r="129" spans="3:8" ht="15.75" customHeight="1" x14ac:dyDescent="0.25">
      <c r="C129" s="81"/>
      <c r="D129" s="81"/>
      <c r="E129" s="80"/>
      <c r="H129" s="136"/>
    </row>
    <row r="130" spans="3:8" ht="15.75" customHeight="1" x14ac:dyDescent="0.25">
      <c r="C130" s="81"/>
      <c r="D130" s="81"/>
      <c r="E130" s="80"/>
      <c r="H130" s="136"/>
    </row>
    <row r="131" spans="3:8" ht="15.75" customHeight="1" x14ac:dyDescent="0.25">
      <c r="C131" s="81"/>
      <c r="D131" s="81"/>
      <c r="E131" s="80"/>
      <c r="H131" s="136"/>
    </row>
    <row r="132" spans="3:8" ht="15.75" customHeight="1" x14ac:dyDescent="0.25">
      <c r="C132" s="81"/>
      <c r="D132" s="81"/>
      <c r="E132" s="80"/>
      <c r="H132" s="136"/>
    </row>
    <row r="133" spans="3:8" ht="15.75" customHeight="1" x14ac:dyDescent="0.25">
      <c r="C133" s="81"/>
      <c r="D133" s="81"/>
      <c r="E133" s="80"/>
      <c r="H133" s="136"/>
    </row>
    <row r="134" spans="3:8" ht="15.75" customHeight="1" x14ac:dyDescent="0.25">
      <c r="C134" s="81"/>
      <c r="D134" s="81"/>
      <c r="E134" s="80"/>
      <c r="H134" s="136"/>
    </row>
    <row r="135" spans="3:8" ht="15.75" customHeight="1" x14ac:dyDescent="0.25">
      <c r="C135" s="81"/>
      <c r="D135" s="81"/>
      <c r="E135" s="80"/>
      <c r="H135" s="136"/>
    </row>
    <row r="136" spans="3:8" ht="15.75" customHeight="1" x14ac:dyDescent="0.25">
      <c r="C136" s="81"/>
      <c r="D136" s="81"/>
      <c r="E136" s="80"/>
      <c r="H136" s="136"/>
    </row>
    <row r="137" spans="3:8" ht="15.75" customHeight="1" x14ac:dyDescent="0.25">
      <c r="C137" s="81"/>
      <c r="D137" s="81"/>
      <c r="E137" s="80"/>
      <c r="H137" s="136"/>
    </row>
    <row r="138" spans="3:8" ht="15.75" customHeight="1" x14ac:dyDescent="0.25">
      <c r="C138" s="81"/>
      <c r="D138" s="81"/>
      <c r="E138" s="80"/>
      <c r="H138" s="136"/>
    </row>
    <row r="139" spans="3:8" ht="15.75" customHeight="1" x14ac:dyDescent="0.25">
      <c r="C139" s="81"/>
      <c r="D139" s="81"/>
      <c r="E139" s="80"/>
      <c r="H139" s="136"/>
    </row>
    <row r="140" spans="3:8" ht="15.75" customHeight="1" x14ac:dyDescent="0.25">
      <c r="C140" s="81"/>
      <c r="D140" s="81"/>
      <c r="E140" s="80"/>
      <c r="H140" s="136"/>
    </row>
    <row r="141" spans="3:8" ht="15.75" customHeight="1" x14ac:dyDescent="0.25">
      <c r="C141" s="81"/>
      <c r="D141" s="81"/>
      <c r="E141" s="80"/>
      <c r="H141" s="136"/>
    </row>
    <row r="142" spans="3:8" ht="15.75" customHeight="1" x14ac:dyDescent="0.25">
      <c r="C142" s="81"/>
      <c r="D142" s="81"/>
      <c r="E142" s="80"/>
      <c r="H142" s="136"/>
    </row>
    <row r="143" spans="3:8" ht="15.75" customHeight="1" x14ac:dyDescent="0.25">
      <c r="C143" s="81"/>
      <c r="D143" s="81"/>
      <c r="E143" s="80"/>
      <c r="H143" s="136"/>
    </row>
    <row r="144" spans="3:8" ht="15.75" customHeight="1" x14ac:dyDescent="0.25">
      <c r="C144" s="81"/>
      <c r="D144" s="81"/>
      <c r="E144" s="80"/>
      <c r="H144" s="136"/>
    </row>
    <row r="145" spans="3:8" ht="15.75" customHeight="1" x14ac:dyDescent="0.25">
      <c r="C145" s="81"/>
      <c r="D145" s="81"/>
      <c r="E145" s="80"/>
      <c r="H145" s="136"/>
    </row>
    <row r="146" spans="3:8" ht="15.75" customHeight="1" x14ac:dyDescent="0.25">
      <c r="C146" s="81"/>
      <c r="D146" s="81"/>
      <c r="E146" s="80"/>
      <c r="H146" s="136"/>
    </row>
    <row r="147" spans="3:8" ht="15.75" customHeight="1" x14ac:dyDescent="0.25">
      <c r="C147" s="81"/>
      <c r="D147" s="81"/>
      <c r="E147" s="80"/>
      <c r="H147" s="136"/>
    </row>
    <row r="148" spans="3:8" ht="15.75" customHeight="1" x14ac:dyDescent="0.25">
      <c r="C148" s="81"/>
      <c r="D148" s="81"/>
      <c r="E148" s="80"/>
      <c r="H148" s="136"/>
    </row>
    <row r="149" spans="3:8" ht="15.75" customHeight="1" x14ac:dyDescent="0.25">
      <c r="C149" s="81"/>
      <c r="D149" s="81"/>
      <c r="E149" s="80"/>
      <c r="H149" s="136"/>
    </row>
    <row r="150" spans="3:8" ht="15.75" customHeight="1" x14ac:dyDescent="0.25">
      <c r="C150" s="81"/>
      <c r="D150" s="81"/>
      <c r="E150" s="80"/>
      <c r="H150" s="136"/>
    </row>
    <row r="151" spans="3:8" ht="15.75" customHeight="1" x14ac:dyDescent="0.25">
      <c r="C151" s="81"/>
      <c r="D151" s="81"/>
      <c r="E151" s="80"/>
      <c r="H151" s="136"/>
    </row>
    <row r="152" spans="3:8" ht="15.75" customHeight="1" x14ac:dyDescent="0.25">
      <c r="C152" s="81"/>
      <c r="D152" s="81"/>
      <c r="E152" s="80"/>
      <c r="H152" s="136"/>
    </row>
    <row r="153" spans="3:8" ht="15.75" customHeight="1" x14ac:dyDescent="0.25">
      <c r="C153" s="81"/>
      <c r="D153" s="81"/>
      <c r="E153" s="80"/>
      <c r="H153" s="136"/>
    </row>
    <row r="154" spans="3:8" ht="15.75" customHeight="1" x14ac:dyDescent="0.25">
      <c r="C154" s="81"/>
      <c r="D154" s="81"/>
      <c r="E154" s="80"/>
      <c r="H154" s="136"/>
    </row>
    <row r="155" spans="3:8" ht="15.75" customHeight="1" x14ac:dyDescent="0.25">
      <c r="C155" s="81"/>
      <c r="D155" s="81"/>
      <c r="E155" s="80"/>
      <c r="H155" s="136"/>
    </row>
    <row r="156" spans="3:8" ht="15.75" customHeight="1" x14ac:dyDescent="0.25">
      <c r="C156" s="81"/>
      <c r="D156" s="81"/>
      <c r="E156" s="80"/>
      <c r="H156" s="136"/>
    </row>
    <row r="157" spans="3:8" ht="15.75" customHeight="1" x14ac:dyDescent="0.25">
      <c r="C157" s="81"/>
      <c r="D157" s="81"/>
      <c r="E157" s="80"/>
      <c r="H157" s="136"/>
    </row>
    <row r="158" spans="3:8" ht="15.75" customHeight="1" x14ac:dyDescent="0.25">
      <c r="C158" s="81"/>
      <c r="D158" s="81"/>
      <c r="E158" s="80"/>
      <c r="H158" s="136"/>
    </row>
    <row r="159" spans="3:8" ht="15.75" customHeight="1" x14ac:dyDescent="0.25">
      <c r="C159" s="81"/>
      <c r="D159" s="81"/>
      <c r="E159" s="80"/>
      <c r="H159" s="136"/>
    </row>
    <row r="160" spans="3:8" ht="15.75" customHeight="1" x14ac:dyDescent="0.25">
      <c r="C160" s="81"/>
      <c r="D160" s="81"/>
      <c r="E160" s="80"/>
      <c r="H160" s="136"/>
    </row>
    <row r="161" spans="3:8" ht="15.75" customHeight="1" x14ac:dyDescent="0.25">
      <c r="C161" s="81"/>
      <c r="D161" s="81"/>
      <c r="E161" s="80"/>
      <c r="H161" s="136"/>
    </row>
    <row r="162" spans="3:8" ht="15.75" customHeight="1" x14ac:dyDescent="0.25">
      <c r="C162" s="81"/>
      <c r="D162" s="81"/>
      <c r="E162" s="80"/>
      <c r="H162" s="136"/>
    </row>
    <row r="163" spans="3:8" ht="15.75" customHeight="1" x14ac:dyDescent="0.25">
      <c r="C163" s="81"/>
      <c r="D163" s="81"/>
      <c r="E163" s="80"/>
      <c r="H163" s="136"/>
    </row>
    <row r="164" spans="3:8" ht="15.75" customHeight="1" x14ac:dyDescent="0.25">
      <c r="C164" s="81"/>
      <c r="D164" s="81"/>
      <c r="E164" s="80"/>
      <c r="H164" s="136"/>
    </row>
    <row r="165" spans="3:8" ht="15.75" customHeight="1" x14ac:dyDescent="0.25">
      <c r="C165" s="81"/>
      <c r="D165" s="81"/>
      <c r="E165" s="80"/>
      <c r="H165" s="136"/>
    </row>
    <row r="166" spans="3:8" ht="15.75" customHeight="1" x14ac:dyDescent="0.25">
      <c r="C166" s="81"/>
      <c r="D166" s="81"/>
      <c r="E166" s="80"/>
      <c r="H166" s="136"/>
    </row>
    <row r="167" spans="3:8" ht="15.75" customHeight="1" x14ac:dyDescent="0.25">
      <c r="C167" s="81"/>
      <c r="D167" s="81"/>
      <c r="E167" s="80"/>
      <c r="H167" s="136"/>
    </row>
    <row r="168" spans="3:8" ht="15.75" customHeight="1" x14ac:dyDescent="0.25">
      <c r="C168" s="81"/>
      <c r="D168" s="81"/>
      <c r="E168" s="80"/>
      <c r="H168" s="136"/>
    </row>
    <row r="169" spans="3:8" ht="15.75" customHeight="1" x14ac:dyDescent="0.25">
      <c r="C169" s="81"/>
      <c r="D169" s="81"/>
      <c r="E169" s="80"/>
      <c r="H169" s="136"/>
    </row>
    <row r="170" spans="3:8" ht="15.75" customHeight="1" x14ac:dyDescent="0.25">
      <c r="C170" s="81"/>
      <c r="D170" s="81"/>
      <c r="E170" s="80"/>
      <c r="H170" s="136"/>
    </row>
    <row r="171" spans="3:8" ht="15.75" customHeight="1" x14ac:dyDescent="0.25">
      <c r="C171" s="81"/>
      <c r="D171" s="81"/>
      <c r="E171" s="80"/>
      <c r="H171" s="136"/>
    </row>
    <row r="172" spans="3:8" ht="15.75" customHeight="1" x14ac:dyDescent="0.25">
      <c r="C172" s="81"/>
      <c r="D172" s="81"/>
      <c r="E172" s="80"/>
      <c r="H172" s="136"/>
    </row>
    <row r="173" spans="3:8" ht="15.75" customHeight="1" x14ac:dyDescent="0.25">
      <c r="C173" s="81"/>
      <c r="D173" s="81"/>
      <c r="E173" s="80"/>
      <c r="H173" s="136"/>
    </row>
    <row r="174" spans="3:8" ht="15.75" customHeight="1" x14ac:dyDescent="0.25">
      <c r="C174" s="81"/>
      <c r="D174" s="81"/>
      <c r="E174" s="80"/>
      <c r="H174" s="136"/>
    </row>
    <row r="175" spans="3:8" ht="15.75" customHeight="1" x14ac:dyDescent="0.25">
      <c r="C175" s="81"/>
      <c r="D175" s="81"/>
      <c r="E175" s="80"/>
      <c r="H175" s="136"/>
    </row>
    <row r="176" spans="3:8" ht="15.75" customHeight="1" x14ac:dyDescent="0.25">
      <c r="C176" s="81"/>
      <c r="D176" s="81"/>
      <c r="E176" s="80"/>
      <c r="H176" s="136"/>
    </row>
    <row r="177" spans="3:8" ht="15.75" customHeight="1" x14ac:dyDescent="0.25">
      <c r="C177" s="81"/>
      <c r="D177" s="81"/>
      <c r="E177" s="80"/>
      <c r="H177" s="136"/>
    </row>
    <row r="178" spans="3:8" ht="15.75" customHeight="1" x14ac:dyDescent="0.25">
      <c r="C178" s="81"/>
      <c r="D178" s="81"/>
      <c r="E178" s="80"/>
      <c r="H178" s="136"/>
    </row>
    <row r="179" spans="3:8" ht="15.75" customHeight="1" x14ac:dyDescent="0.25">
      <c r="C179" s="81"/>
      <c r="D179" s="81"/>
      <c r="E179" s="80"/>
      <c r="H179" s="136"/>
    </row>
    <row r="180" spans="3:8" ht="15.75" customHeight="1" x14ac:dyDescent="0.25">
      <c r="C180" s="81"/>
      <c r="D180" s="81"/>
      <c r="E180" s="80"/>
      <c r="H180" s="136"/>
    </row>
    <row r="181" spans="3:8" ht="15.75" customHeight="1" x14ac:dyDescent="0.25">
      <c r="C181" s="81"/>
      <c r="D181" s="81"/>
      <c r="E181" s="80"/>
      <c r="H181" s="136"/>
    </row>
    <row r="182" spans="3:8" ht="15.75" customHeight="1" x14ac:dyDescent="0.25">
      <c r="C182" s="81"/>
      <c r="D182" s="81"/>
      <c r="E182" s="80"/>
      <c r="H182" s="136"/>
    </row>
    <row r="183" spans="3:8" ht="15.75" customHeight="1" x14ac:dyDescent="0.25">
      <c r="C183" s="81"/>
      <c r="D183" s="81"/>
      <c r="E183" s="80"/>
      <c r="H183" s="136"/>
    </row>
    <row r="184" spans="3:8" ht="15.75" customHeight="1" x14ac:dyDescent="0.25">
      <c r="C184" s="81"/>
      <c r="D184" s="81"/>
      <c r="E184" s="80"/>
      <c r="H184" s="136"/>
    </row>
    <row r="185" spans="3:8" ht="15.75" customHeight="1" x14ac:dyDescent="0.25">
      <c r="C185" s="81"/>
      <c r="D185" s="81"/>
      <c r="E185" s="80"/>
      <c r="H185" s="136"/>
    </row>
    <row r="186" spans="3:8" ht="15.75" customHeight="1" x14ac:dyDescent="0.25">
      <c r="C186" s="81"/>
      <c r="D186" s="81"/>
      <c r="E186" s="80"/>
      <c r="H186" s="136"/>
    </row>
    <row r="187" spans="3:8" ht="15.75" customHeight="1" x14ac:dyDescent="0.25">
      <c r="C187" s="81"/>
      <c r="D187" s="81"/>
      <c r="E187" s="80"/>
      <c r="H187" s="136"/>
    </row>
    <row r="188" spans="3:8" ht="15.75" customHeight="1" x14ac:dyDescent="0.25">
      <c r="C188" s="81"/>
      <c r="D188" s="81"/>
      <c r="E188" s="80"/>
      <c r="H188" s="136"/>
    </row>
    <row r="189" spans="3:8" ht="15.75" customHeight="1" x14ac:dyDescent="0.25">
      <c r="C189" s="81"/>
      <c r="D189" s="81"/>
      <c r="E189" s="80"/>
      <c r="H189" s="136"/>
    </row>
    <row r="190" spans="3:8" ht="15.75" customHeight="1" x14ac:dyDescent="0.25">
      <c r="C190" s="81"/>
      <c r="D190" s="81"/>
      <c r="E190" s="80"/>
      <c r="H190" s="136"/>
    </row>
    <row r="191" spans="3:8" ht="15.75" customHeight="1" x14ac:dyDescent="0.25">
      <c r="C191" s="81"/>
      <c r="D191" s="81"/>
      <c r="E191" s="80"/>
      <c r="H191" s="136"/>
    </row>
    <row r="192" spans="3:8" ht="15.75" customHeight="1" x14ac:dyDescent="0.25">
      <c r="C192" s="81"/>
      <c r="D192" s="81"/>
      <c r="E192" s="80"/>
      <c r="H192" s="136"/>
    </row>
    <row r="193" spans="3:8" ht="15.75" customHeight="1" x14ac:dyDescent="0.25">
      <c r="C193" s="81"/>
      <c r="D193" s="81"/>
      <c r="E193" s="80"/>
      <c r="H193" s="136"/>
    </row>
    <row r="194" spans="3:8" ht="15.75" customHeight="1" x14ac:dyDescent="0.25">
      <c r="C194" s="81"/>
      <c r="D194" s="81"/>
      <c r="E194" s="80"/>
      <c r="H194" s="136"/>
    </row>
    <row r="195" spans="3:8" ht="15.75" customHeight="1" x14ac:dyDescent="0.25">
      <c r="C195" s="81"/>
      <c r="D195" s="81"/>
      <c r="E195" s="80"/>
      <c r="H195" s="136"/>
    </row>
    <row r="196" spans="3:8" ht="15.75" customHeight="1" x14ac:dyDescent="0.25">
      <c r="C196" s="81"/>
      <c r="D196" s="81"/>
      <c r="E196" s="80"/>
      <c r="H196" s="136"/>
    </row>
    <row r="197" spans="3:8" ht="15.75" customHeight="1" x14ac:dyDescent="0.25">
      <c r="C197" s="81"/>
      <c r="D197" s="81"/>
      <c r="E197" s="80"/>
      <c r="H197" s="136"/>
    </row>
    <row r="198" spans="3:8" ht="15.75" customHeight="1" x14ac:dyDescent="0.25">
      <c r="C198" s="81"/>
      <c r="D198" s="81"/>
      <c r="E198" s="80"/>
      <c r="H198" s="136"/>
    </row>
    <row r="199" spans="3:8" ht="15.75" customHeight="1" x14ac:dyDescent="0.25">
      <c r="C199" s="81"/>
      <c r="D199" s="81"/>
      <c r="E199" s="80"/>
      <c r="H199" s="136"/>
    </row>
    <row r="200" spans="3:8" ht="15.75" customHeight="1" x14ac:dyDescent="0.25">
      <c r="C200" s="81"/>
      <c r="D200" s="81"/>
      <c r="E200" s="80"/>
      <c r="H200" s="136"/>
    </row>
    <row r="201" spans="3:8" ht="15.75" customHeight="1" x14ac:dyDescent="0.25">
      <c r="C201" s="81"/>
      <c r="D201" s="81"/>
      <c r="E201" s="80"/>
      <c r="H201" s="136"/>
    </row>
    <row r="202" spans="3:8" ht="15.75" customHeight="1" x14ac:dyDescent="0.25">
      <c r="C202" s="81"/>
      <c r="D202" s="81"/>
      <c r="E202" s="80"/>
      <c r="H202" s="136"/>
    </row>
    <row r="203" spans="3:8" ht="15.75" customHeight="1" x14ac:dyDescent="0.25">
      <c r="C203" s="81"/>
      <c r="D203" s="81"/>
      <c r="E203" s="80"/>
      <c r="H203" s="136"/>
    </row>
    <row r="204" spans="3:8" ht="15.75" customHeight="1" x14ac:dyDescent="0.25">
      <c r="C204" s="81"/>
      <c r="D204" s="81"/>
      <c r="E204" s="80"/>
      <c r="H204" s="136"/>
    </row>
    <row r="205" spans="3:8" ht="15.75" customHeight="1" x14ac:dyDescent="0.25">
      <c r="C205" s="81"/>
      <c r="D205" s="81"/>
      <c r="E205" s="80"/>
      <c r="H205" s="136"/>
    </row>
    <row r="206" spans="3:8" ht="15.75" customHeight="1" x14ac:dyDescent="0.25">
      <c r="C206" s="81"/>
      <c r="D206" s="81"/>
      <c r="E206" s="80"/>
      <c r="H206" s="136"/>
    </row>
    <row r="207" spans="3:8" ht="15.75" customHeight="1" x14ac:dyDescent="0.25">
      <c r="C207" s="81"/>
      <c r="D207" s="81"/>
      <c r="E207" s="80"/>
      <c r="H207" s="136"/>
    </row>
    <row r="208" spans="3:8" ht="15.75" customHeight="1" x14ac:dyDescent="0.25">
      <c r="C208" s="81"/>
      <c r="D208" s="81"/>
      <c r="E208" s="80"/>
      <c r="H208" s="136"/>
    </row>
    <row r="209" spans="3:8" ht="15.75" customHeight="1" x14ac:dyDescent="0.25">
      <c r="C209" s="81"/>
      <c r="D209" s="81"/>
      <c r="E209" s="80"/>
      <c r="H209" s="136"/>
    </row>
    <row r="210" spans="3:8" ht="15.75" customHeight="1" x14ac:dyDescent="0.25">
      <c r="C210" s="81"/>
      <c r="D210" s="81"/>
      <c r="E210" s="80"/>
      <c r="H210" s="136"/>
    </row>
    <row r="211" spans="3:8" ht="15.75" customHeight="1" x14ac:dyDescent="0.25">
      <c r="C211" s="81"/>
      <c r="D211" s="81"/>
      <c r="E211" s="80"/>
      <c r="H211" s="136"/>
    </row>
    <row r="212" spans="3:8" ht="15.75" customHeight="1" x14ac:dyDescent="0.25">
      <c r="C212" s="81"/>
      <c r="D212" s="81"/>
      <c r="E212" s="80"/>
      <c r="H212" s="136"/>
    </row>
    <row r="213" spans="3:8" ht="15.75" customHeight="1" x14ac:dyDescent="0.25">
      <c r="C213" s="81"/>
      <c r="D213" s="81"/>
      <c r="E213" s="80"/>
      <c r="H213" s="136"/>
    </row>
    <row r="214" spans="3:8" ht="15.75" customHeight="1" x14ac:dyDescent="0.25">
      <c r="C214" s="81"/>
      <c r="D214" s="81"/>
      <c r="E214" s="80"/>
      <c r="H214" s="136"/>
    </row>
    <row r="215" spans="3:8" ht="15.75" customHeight="1" x14ac:dyDescent="0.25">
      <c r="C215" s="81"/>
      <c r="D215" s="81"/>
      <c r="E215" s="80"/>
      <c r="H215" s="136"/>
    </row>
    <row r="216" spans="3:8" ht="15.75" customHeight="1" x14ac:dyDescent="0.25">
      <c r="C216" s="81"/>
      <c r="D216" s="81"/>
      <c r="E216" s="80"/>
      <c r="H216" s="136"/>
    </row>
    <row r="217" spans="3:8" ht="15.75" customHeight="1" x14ac:dyDescent="0.25">
      <c r="C217" s="81"/>
      <c r="D217" s="81"/>
      <c r="E217" s="80"/>
      <c r="H217" s="136"/>
    </row>
    <row r="218" spans="3:8" ht="15.75" customHeight="1" x14ac:dyDescent="0.25">
      <c r="C218" s="81"/>
      <c r="D218" s="81"/>
      <c r="E218" s="80"/>
      <c r="H218" s="136"/>
    </row>
    <row r="219" spans="3:8" ht="15.75" customHeight="1" x14ac:dyDescent="0.25">
      <c r="C219" s="81"/>
      <c r="D219" s="81"/>
      <c r="E219" s="80"/>
      <c r="H219" s="136"/>
    </row>
    <row r="220" spans="3:8" ht="15.75" customHeight="1" x14ac:dyDescent="0.25">
      <c r="C220" s="81"/>
      <c r="D220" s="81"/>
      <c r="E220" s="80"/>
      <c r="H220" s="136"/>
    </row>
    <row r="221" spans="3:8" ht="15.75" customHeight="1" x14ac:dyDescent="0.25">
      <c r="C221" s="81"/>
      <c r="D221" s="81"/>
      <c r="E221" s="80"/>
      <c r="H221" s="136"/>
    </row>
    <row r="222" spans="3:8" ht="15.75" customHeight="1" x14ac:dyDescent="0.25">
      <c r="C222" s="81"/>
      <c r="D222" s="81"/>
      <c r="E222" s="80"/>
      <c r="H222" s="136"/>
    </row>
    <row r="223" spans="3:8" ht="15.75" customHeight="1" x14ac:dyDescent="0.25">
      <c r="C223" s="81"/>
      <c r="D223" s="81"/>
      <c r="E223" s="80"/>
      <c r="H223" s="136"/>
    </row>
    <row r="224" spans="3:8" ht="15.75" customHeight="1" x14ac:dyDescent="0.25">
      <c r="C224" s="81"/>
      <c r="D224" s="81"/>
      <c r="E224" s="80"/>
      <c r="H224" s="136"/>
    </row>
    <row r="225" spans="3:8" ht="15.75" customHeight="1" x14ac:dyDescent="0.25">
      <c r="C225" s="81"/>
      <c r="D225" s="81"/>
      <c r="E225" s="80"/>
      <c r="H225" s="136"/>
    </row>
    <row r="226" spans="3:8" ht="15.75" customHeight="1" x14ac:dyDescent="0.25">
      <c r="C226" s="81"/>
      <c r="D226" s="81"/>
      <c r="E226" s="80"/>
      <c r="H226" s="136"/>
    </row>
    <row r="227" spans="3:8" ht="15.75" customHeight="1" x14ac:dyDescent="0.25">
      <c r="C227" s="81"/>
      <c r="D227" s="81"/>
      <c r="E227" s="80"/>
      <c r="H227" s="136"/>
    </row>
    <row r="228" spans="3:8" ht="15.75" customHeight="1" x14ac:dyDescent="0.25">
      <c r="C228" s="81"/>
      <c r="D228" s="81"/>
      <c r="E228" s="80"/>
      <c r="H228" s="136"/>
    </row>
    <row r="229" spans="3:8" ht="15.75" customHeight="1" x14ac:dyDescent="0.25">
      <c r="C229" s="81"/>
      <c r="D229" s="81"/>
      <c r="E229" s="80"/>
      <c r="H229" s="136"/>
    </row>
    <row r="230" spans="3:8" ht="15.75" customHeight="1" x14ac:dyDescent="0.25">
      <c r="C230" s="81"/>
      <c r="D230" s="81"/>
      <c r="E230" s="80"/>
      <c r="H230" s="136"/>
    </row>
    <row r="231" spans="3:8" ht="15.75" customHeight="1" x14ac:dyDescent="0.25">
      <c r="C231" s="81"/>
      <c r="D231" s="81"/>
      <c r="E231" s="80"/>
      <c r="H231" s="136"/>
    </row>
    <row r="232" spans="3:8" ht="15.75" customHeight="1" x14ac:dyDescent="0.25">
      <c r="C232" s="81"/>
      <c r="D232" s="81"/>
      <c r="E232" s="80"/>
      <c r="H232" s="136"/>
    </row>
    <row r="233" spans="3:8" ht="15.75" customHeight="1" x14ac:dyDescent="0.25">
      <c r="C233" s="81"/>
      <c r="D233" s="81"/>
      <c r="E233" s="80"/>
      <c r="H233" s="136"/>
    </row>
    <row r="234" spans="3:8" ht="15.75" customHeight="1" x14ac:dyDescent="0.25">
      <c r="C234" s="81"/>
      <c r="D234" s="81"/>
      <c r="E234" s="80"/>
      <c r="H234" s="136"/>
    </row>
    <row r="235" spans="3:8" ht="15.75" customHeight="1" x14ac:dyDescent="0.25">
      <c r="C235" s="81"/>
      <c r="D235" s="81"/>
      <c r="E235" s="80"/>
      <c r="H235" s="136"/>
    </row>
    <row r="236" spans="3:8" ht="15.75" customHeight="1" x14ac:dyDescent="0.25">
      <c r="C236" s="81"/>
      <c r="D236" s="81"/>
      <c r="E236" s="80"/>
      <c r="H236" s="136"/>
    </row>
    <row r="237" spans="3:8" ht="15.75" customHeight="1" x14ac:dyDescent="0.25">
      <c r="C237" s="81"/>
      <c r="D237" s="81"/>
      <c r="E237" s="80"/>
      <c r="H237" s="136"/>
    </row>
    <row r="238" spans="3:8" ht="15.75" customHeight="1" x14ac:dyDescent="0.25">
      <c r="C238" s="81"/>
      <c r="D238" s="81"/>
      <c r="E238" s="80"/>
      <c r="H238" s="136"/>
    </row>
    <row r="239" spans="3:8" ht="15.75" customHeight="1" x14ac:dyDescent="0.25">
      <c r="C239" s="81"/>
      <c r="D239" s="81"/>
      <c r="E239" s="80"/>
      <c r="H239" s="136"/>
    </row>
    <row r="240" spans="3:8" ht="15.75" customHeight="1" x14ac:dyDescent="0.25">
      <c r="C240" s="81"/>
      <c r="D240" s="81"/>
      <c r="E240" s="80"/>
      <c r="H240" s="136"/>
    </row>
    <row r="241" spans="3:8" ht="15.75" customHeight="1" x14ac:dyDescent="0.25">
      <c r="C241" s="81"/>
      <c r="D241" s="81"/>
      <c r="E241" s="80"/>
      <c r="H241" s="136"/>
    </row>
    <row r="242" spans="3:8" ht="15.75" customHeight="1" x14ac:dyDescent="0.25">
      <c r="C242" s="81"/>
      <c r="D242" s="81"/>
      <c r="E242" s="80"/>
      <c r="H242" s="136"/>
    </row>
    <row r="243" spans="3:8" ht="15.75" customHeight="1" x14ac:dyDescent="0.25">
      <c r="C243" s="81"/>
      <c r="D243" s="81"/>
      <c r="E243" s="80"/>
      <c r="H243" s="136"/>
    </row>
    <row r="244" spans="3:8" ht="15.75" customHeight="1" x14ac:dyDescent="0.25">
      <c r="C244" s="81"/>
      <c r="D244" s="81"/>
      <c r="E244" s="80"/>
      <c r="H244" s="136"/>
    </row>
    <row r="245" spans="3:8" ht="15.75" customHeight="1" x14ac:dyDescent="0.25">
      <c r="C245" s="81"/>
      <c r="D245" s="81"/>
      <c r="E245" s="80"/>
      <c r="H245" s="136"/>
    </row>
    <row r="246" spans="3:8" ht="15.75" customHeight="1" x14ac:dyDescent="0.25">
      <c r="C246" s="81"/>
      <c r="D246" s="81"/>
      <c r="E246" s="80"/>
      <c r="H246" s="136"/>
    </row>
    <row r="247" spans="3:8" ht="15.75" customHeight="1" x14ac:dyDescent="0.25">
      <c r="C247" s="81"/>
      <c r="D247" s="81"/>
      <c r="E247" s="80"/>
      <c r="H247" s="136"/>
    </row>
    <row r="248" spans="3:8" ht="15.75" customHeight="1" x14ac:dyDescent="0.25">
      <c r="C248" s="81"/>
      <c r="D248" s="81"/>
      <c r="E248" s="80"/>
      <c r="H248" s="136"/>
    </row>
    <row r="249" spans="3:8" ht="15.75" customHeight="1" x14ac:dyDescent="0.25">
      <c r="C249" s="81"/>
      <c r="D249" s="81"/>
      <c r="E249" s="80"/>
      <c r="H249" s="136"/>
    </row>
    <row r="250" spans="3:8" ht="15.75" customHeight="1" x14ac:dyDescent="0.25">
      <c r="C250" s="81"/>
      <c r="D250" s="81"/>
      <c r="E250" s="80"/>
      <c r="H250" s="136"/>
    </row>
    <row r="251" spans="3:8" ht="15.75" customHeight="1" x14ac:dyDescent="0.25">
      <c r="C251" s="81"/>
      <c r="D251" s="81"/>
      <c r="E251" s="80"/>
      <c r="H251" s="136"/>
    </row>
    <row r="252" spans="3:8" ht="15.75" customHeight="1" x14ac:dyDescent="0.25">
      <c r="C252" s="81"/>
      <c r="D252" s="81"/>
      <c r="E252" s="80"/>
      <c r="H252" s="136"/>
    </row>
    <row r="253" spans="3:8" ht="15.75" customHeight="1" x14ac:dyDescent="0.25">
      <c r="C253" s="81"/>
      <c r="D253" s="81"/>
      <c r="E253" s="80"/>
      <c r="H253" s="136"/>
    </row>
    <row r="254" spans="3:8" ht="15.75" customHeight="1" x14ac:dyDescent="0.25">
      <c r="C254" s="81"/>
      <c r="D254" s="81"/>
      <c r="E254" s="80"/>
      <c r="H254" s="136"/>
    </row>
    <row r="255" spans="3:8" ht="15.75" customHeight="1" x14ac:dyDescent="0.25">
      <c r="C255" s="81"/>
      <c r="D255" s="81"/>
      <c r="E255" s="80"/>
      <c r="H255" s="136"/>
    </row>
    <row r="256" spans="3:8" ht="15.75" customHeight="1" x14ac:dyDescent="0.25">
      <c r="C256" s="81"/>
      <c r="D256" s="81"/>
      <c r="E256" s="80"/>
      <c r="H256" s="136"/>
    </row>
    <row r="257" spans="3:8" ht="15.75" customHeight="1" x14ac:dyDescent="0.25">
      <c r="C257" s="81"/>
      <c r="D257" s="81"/>
      <c r="E257" s="80"/>
      <c r="H257" s="136"/>
    </row>
    <row r="258" spans="3:8" ht="15.75" customHeight="1" x14ac:dyDescent="0.25">
      <c r="C258" s="81"/>
      <c r="D258" s="81"/>
      <c r="E258" s="80"/>
      <c r="H258" s="136"/>
    </row>
    <row r="259" spans="3:8" ht="15.75" customHeight="1" x14ac:dyDescent="0.25">
      <c r="C259" s="81"/>
      <c r="D259" s="81"/>
      <c r="E259" s="80"/>
      <c r="H259" s="136"/>
    </row>
    <row r="260" spans="3:8" ht="15.75" customHeight="1" x14ac:dyDescent="0.25">
      <c r="C260" s="81"/>
      <c r="D260" s="81"/>
      <c r="E260" s="80"/>
      <c r="H260" s="136"/>
    </row>
    <row r="261" spans="3:8" ht="15.75" customHeight="1" x14ac:dyDescent="0.25">
      <c r="C261" s="81"/>
      <c r="D261" s="81"/>
      <c r="E261" s="80"/>
      <c r="H261" s="136"/>
    </row>
    <row r="262" spans="3:8" ht="15.75" customHeight="1" x14ac:dyDescent="0.25">
      <c r="C262" s="81"/>
      <c r="D262" s="81"/>
      <c r="E262" s="80"/>
      <c r="H262" s="136"/>
    </row>
    <row r="263" spans="3:8" ht="15.75" customHeight="1" x14ac:dyDescent="0.25">
      <c r="C263" s="81"/>
      <c r="D263" s="81"/>
      <c r="E263" s="80"/>
      <c r="H263" s="136"/>
    </row>
    <row r="264" spans="3:8" ht="15.75" customHeight="1" x14ac:dyDescent="0.25">
      <c r="C264" s="81"/>
      <c r="D264" s="81"/>
      <c r="E264" s="80"/>
      <c r="H264" s="136"/>
    </row>
    <row r="265" spans="3:8" ht="15.75" customHeight="1" x14ac:dyDescent="0.25">
      <c r="C265" s="81"/>
      <c r="D265" s="81"/>
      <c r="E265" s="80"/>
      <c r="H265" s="136"/>
    </row>
    <row r="266" spans="3:8" ht="15.75" customHeight="1" x14ac:dyDescent="0.25">
      <c r="C266" s="81"/>
      <c r="D266" s="81"/>
      <c r="E266" s="80"/>
      <c r="H266" s="136"/>
    </row>
    <row r="267" spans="3:8" ht="15.75" customHeight="1" x14ac:dyDescent="0.25">
      <c r="C267" s="81"/>
      <c r="D267" s="81"/>
      <c r="E267" s="80"/>
      <c r="H267" s="136"/>
    </row>
    <row r="268" spans="3:8" ht="15.75" customHeight="1" x14ac:dyDescent="0.25">
      <c r="C268" s="81"/>
      <c r="D268" s="81"/>
      <c r="E268" s="80"/>
      <c r="H268" s="136"/>
    </row>
    <row r="269" spans="3:8" ht="15.75" customHeight="1" x14ac:dyDescent="0.25">
      <c r="C269" s="81"/>
      <c r="D269" s="81"/>
      <c r="E269" s="80"/>
      <c r="H269" s="136"/>
    </row>
    <row r="270" spans="3:8" ht="15.75" customHeight="1" x14ac:dyDescent="0.25">
      <c r="C270" s="81"/>
      <c r="D270" s="81"/>
      <c r="E270" s="80"/>
      <c r="H270" s="136"/>
    </row>
    <row r="271" spans="3:8" ht="15.75" customHeight="1" x14ac:dyDescent="0.25">
      <c r="C271" s="81"/>
      <c r="D271" s="81"/>
      <c r="E271" s="80"/>
      <c r="H271" s="136"/>
    </row>
    <row r="272" spans="3:8" ht="15.75" customHeight="1" x14ac:dyDescent="0.25">
      <c r="C272" s="81"/>
      <c r="D272" s="81"/>
      <c r="E272" s="80"/>
      <c r="H272" s="136"/>
    </row>
    <row r="273" spans="3:8" ht="15.75" customHeight="1" x14ac:dyDescent="0.25">
      <c r="C273" s="81"/>
      <c r="D273" s="81"/>
      <c r="E273" s="80"/>
      <c r="H273" s="136"/>
    </row>
    <row r="274" spans="3:8" ht="15.75" customHeight="1" x14ac:dyDescent="0.25">
      <c r="C274" s="81"/>
      <c r="D274" s="81"/>
      <c r="E274" s="80"/>
      <c r="H274" s="136"/>
    </row>
    <row r="275" spans="3:8" ht="15.75" customHeight="1" x14ac:dyDescent="0.25">
      <c r="C275" s="81"/>
      <c r="D275" s="81"/>
      <c r="E275" s="80"/>
      <c r="H275" s="136"/>
    </row>
    <row r="276" spans="3:8" ht="15.75" customHeight="1" x14ac:dyDescent="0.25">
      <c r="C276" s="81"/>
      <c r="D276" s="81"/>
      <c r="E276" s="80"/>
      <c r="H276" s="136"/>
    </row>
    <row r="277" spans="3:8" ht="15.75" customHeight="1" x14ac:dyDescent="0.25">
      <c r="C277" s="81"/>
      <c r="D277" s="81"/>
      <c r="E277" s="80"/>
      <c r="H277" s="136"/>
    </row>
    <row r="278" spans="3:8" ht="15.75" customHeight="1" x14ac:dyDescent="0.25">
      <c r="C278" s="81"/>
      <c r="D278" s="81"/>
      <c r="E278" s="80"/>
      <c r="H278" s="136"/>
    </row>
    <row r="279" spans="3:8" ht="15.75" customHeight="1" x14ac:dyDescent="0.25">
      <c r="C279" s="81"/>
      <c r="D279" s="81"/>
      <c r="E279" s="80"/>
      <c r="H279" s="136"/>
    </row>
    <row r="280" spans="3:8" ht="15.75" customHeight="1" x14ac:dyDescent="0.25">
      <c r="C280" s="81"/>
      <c r="D280" s="81"/>
      <c r="E280" s="80"/>
      <c r="H280" s="136"/>
    </row>
    <row r="281" spans="3:8" ht="15.75" customHeight="1" x14ac:dyDescent="0.25">
      <c r="C281" s="81"/>
      <c r="D281" s="81"/>
      <c r="E281" s="80"/>
      <c r="H281" s="136"/>
    </row>
    <row r="282" spans="3:8" ht="15.75" customHeight="1" x14ac:dyDescent="0.25">
      <c r="C282" s="81"/>
      <c r="D282" s="81"/>
      <c r="E282" s="80"/>
      <c r="H282" s="136"/>
    </row>
    <row r="283" spans="3:8" ht="15.75" customHeight="1" x14ac:dyDescent="0.25">
      <c r="C283" s="81"/>
      <c r="D283" s="81"/>
      <c r="E283" s="80"/>
      <c r="H283" s="136"/>
    </row>
    <row r="284" spans="3:8" ht="15.75" customHeight="1" x14ac:dyDescent="0.25">
      <c r="C284" s="81"/>
      <c r="D284" s="81"/>
      <c r="E284" s="80"/>
      <c r="H284" s="136"/>
    </row>
    <row r="285" spans="3:8" ht="15.75" customHeight="1" x14ac:dyDescent="0.25">
      <c r="C285" s="81"/>
      <c r="D285" s="81"/>
      <c r="E285" s="80"/>
      <c r="H285" s="136"/>
    </row>
    <row r="286" spans="3:8" ht="15.75" customHeight="1" x14ac:dyDescent="0.25">
      <c r="C286" s="81"/>
      <c r="D286" s="81"/>
      <c r="E286" s="80"/>
      <c r="H286" s="136"/>
    </row>
    <row r="287" spans="3:8" ht="15.75" customHeight="1" x14ac:dyDescent="0.25">
      <c r="C287" s="81"/>
      <c r="D287" s="81"/>
      <c r="E287" s="80"/>
      <c r="H287" s="136"/>
    </row>
    <row r="288" spans="3:8" ht="15.75" customHeight="1" x14ac:dyDescent="0.25">
      <c r="C288" s="81"/>
      <c r="D288" s="81"/>
      <c r="E288" s="80"/>
      <c r="H288" s="136"/>
    </row>
    <row r="289" spans="3:8" ht="15.75" customHeight="1" x14ac:dyDescent="0.25">
      <c r="C289" s="81"/>
      <c r="D289" s="81"/>
      <c r="E289" s="80"/>
      <c r="H289" s="136"/>
    </row>
    <row r="290" spans="3:8" ht="15.75" customHeight="1" x14ac:dyDescent="0.25">
      <c r="C290" s="81"/>
      <c r="D290" s="81"/>
      <c r="E290" s="80"/>
      <c r="H290" s="136"/>
    </row>
    <row r="291" spans="3:8" ht="15.75" customHeight="1" x14ac:dyDescent="0.25">
      <c r="C291" s="81"/>
      <c r="D291" s="81"/>
      <c r="E291" s="80"/>
      <c r="H291" s="136"/>
    </row>
    <row r="292" spans="3:8" ht="15.75" customHeight="1" x14ac:dyDescent="0.25">
      <c r="C292" s="81"/>
      <c r="D292" s="81"/>
      <c r="E292" s="80"/>
      <c r="H292" s="136"/>
    </row>
    <row r="293" spans="3:8" ht="15.75" customHeight="1" x14ac:dyDescent="0.25">
      <c r="C293" s="81"/>
      <c r="D293" s="81"/>
      <c r="E293" s="80"/>
      <c r="H293" s="136"/>
    </row>
    <row r="294" spans="3:8" ht="15.75" customHeight="1" x14ac:dyDescent="0.25">
      <c r="C294" s="81"/>
      <c r="D294" s="81"/>
      <c r="E294" s="80"/>
      <c r="H294" s="136"/>
    </row>
    <row r="295" spans="3:8" ht="15.75" customHeight="1" x14ac:dyDescent="0.25">
      <c r="C295" s="81"/>
      <c r="D295" s="81"/>
      <c r="E295" s="80"/>
      <c r="H295" s="136"/>
    </row>
    <row r="296" spans="3:8" ht="15.75" customHeight="1" x14ac:dyDescent="0.25">
      <c r="C296" s="81"/>
      <c r="D296" s="81"/>
      <c r="E296" s="80"/>
      <c r="H296" s="136"/>
    </row>
    <row r="297" spans="3:8" ht="15.75" customHeight="1" x14ac:dyDescent="0.25">
      <c r="C297" s="81"/>
      <c r="D297" s="81"/>
      <c r="E297" s="80"/>
      <c r="H297" s="136"/>
    </row>
    <row r="298" spans="3:8" ht="15.75" customHeight="1" x14ac:dyDescent="0.25">
      <c r="C298" s="81"/>
      <c r="D298" s="81"/>
      <c r="E298" s="80"/>
      <c r="H298" s="136"/>
    </row>
    <row r="299" spans="3:8" ht="15.75" customHeight="1" x14ac:dyDescent="0.25">
      <c r="C299" s="81"/>
      <c r="D299" s="81"/>
      <c r="E299" s="80"/>
      <c r="H299" s="136"/>
    </row>
    <row r="300" spans="3:8" ht="15.75" customHeight="1" x14ac:dyDescent="0.25">
      <c r="C300" s="81"/>
      <c r="D300" s="81"/>
      <c r="E300" s="80"/>
      <c r="H300" s="136"/>
    </row>
    <row r="301" spans="3:8" ht="15.75" customHeight="1" x14ac:dyDescent="0.25">
      <c r="C301" s="81"/>
      <c r="D301" s="81"/>
      <c r="E301" s="80"/>
      <c r="H301" s="136"/>
    </row>
    <row r="302" spans="3:8" ht="15.75" customHeight="1" x14ac:dyDescent="0.25">
      <c r="C302" s="81"/>
      <c r="D302" s="81"/>
      <c r="E302" s="80"/>
      <c r="H302" s="136"/>
    </row>
    <row r="303" spans="3:8" ht="15.75" customHeight="1" x14ac:dyDescent="0.25">
      <c r="C303" s="81"/>
      <c r="D303" s="81"/>
      <c r="E303" s="80"/>
      <c r="H303" s="136"/>
    </row>
    <row r="304" spans="3:8" ht="15.75" customHeight="1" x14ac:dyDescent="0.25">
      <c r="C304" s="81"/>
      <c r="D304" s="81"/>
      <c r="E304" s="80"/>
      <c r="H304" s="136"/>
    </row>
    <row r="305" spans="3:8" ht="15.75" customHeight="1" x14ac:dyDescent="0.25">
      <c r="C305" s="81"/>
      <c r="D305" s="81"/>
      <c r="E305" s="80"/>
      <c r="H305" s="136"/>
    </row>
    <row r="306" spans="3:8" ht="15.75" customHeight="1" x14ac:dyDescent="0.25">
      <c r="C306" s="81"/>
      <c r="D306" s="81"/>
      <c r="E306" s="80"/>
      <c r="H306" s="136"/>
    </row>
    <row r="307" spans="3:8" ht="15.75" customHeight="1" x14ac:dyDescent="0.25">
      <c r="C307" s="81"/>
      <c r="D307" s="81"/>
      <c r="E307" s="80"/>
      <c r="H307" s="136"/>
    </row>
    <row r="308" spans="3:8" ht="15.75" customHeight="1" x14ac:dyDescent="0.25">
      <c r="C308" s="81"/>
      <c r="D308" s="81"/>
      <c r="E308" s="80"/>
      <c r="H308" s="136"/>
    </row>
    <row r="309" spans="3:8" ht="15.75" customHeight="1" x14ac:dyDescent="0.25">
      <c r="C309" s="81"/>
      <c r="D309" s="81"/>
      <c r="E309" s="80"/>
      <c r="H309" s="136"/>
    </row>
    <row r="310" spans="3:8" ht="15.75" customHeight="1" x14ac:dyDescent="0.25">
      <c r="C310" s="81"/>
      <c r="D310" s="81"/>
      <c r="E310" s="80"/>
      <c r="H310" s="136"/>
    </row>
    <row r="311" spans="3:8" ht="15.75" customHeight="1" x14ac:dyDescent="0.25">
      <c r="C311" s="81"/>
      <c r="D311" s="81"/>
      <c r="E311" s="80"/>
      <c r="H311" s="136"/>
    </row>
    <row r="312" spans="3:8" ht="15.75" customHeight="1" x14ac:dyDescent="0.25">
      <c r="C312" s="81"/>
      <c r="D312" s="81"/>
      <c r="E312" s="80"/>
      <c r="H312" s="136"/>
    </row>
    <row r="313" spans="3:8" ht="15.75" customHeight="1" x14ac:dyDescent="0.25">
      <c r="C313" s="81"/>
      <c r="D313" s="81"/>
      <c r="E313" s="80"/>
      <c r="H313" s="136"/>
    </row>
    <row r="314" spans="3:8" ht="15.75" customHeight="1" x14ac:dyDescent="0.25">
      <c r="C314" s="81"/>
      <c r="D314" s="81"/>
      <c r="E314" s="80"/>
      <c r="H314" s="136"/>
    </row>
    <row r="315" spans="3:8" ht="15.75" customHeight="1" x14ac:dyDescent="0.25">
      <c r="C315" s="81"/>
      <c r="D315" s="81"/>
      <c r="E315" s="80"/>
      <c r="H315" s="136"/>
    </row>
    <row r="316" spans="3:8" ht="15.75" customHeight="1" x14ac:dyDescent="0.25">
      <c r="C316" s="81"/>
      <c r="D316" s="81"/>
      <c r="E316" s="80"/>
      <c r="H316" s="136"/>
    </row>
    <row r="317" spans="3:8" ht="15.75" customHeight="1" x14ac:dyDescent="0.25">
      <c r="C317" s="81"/>
      <c r="D317" s="81"/>
      <c r="E317" s="80"/>
      <c r="H317" s="136"/>
    </row>
    <row r="318" spans="3:8" ht="15.75" customHeight="1" x14ac:dyDescent="0.25">
      <c r="C318" s="81"/>
      <c r="D318" s="81"/>
      <c r="E318" s="80"/>
      <c r="H318" s="136"/>
    </row>
    <row r="319" spans="3:8" ht="15.75" customHeight="1" x14ac:dyDescent="0.25">
      <c r="C319" s="81"/>
      <c r="D319" s="81"/>
      <c r="E319" s="80"/>
      <c r="H319" s="136"/>
    </row>
    <row r="320" spans="3:8" ht="15.75" customHeight="1" x14ac:dyDescent="0.25">
      <c r="C320" s="81"/>
      <c r="D320" s="81"/>
      <c r="E320" s="80"/>
      <c r="H320" s="136"/>
    </row>
    <row r="321" spans="3:8" ht="15.75" customHeight="1" x14ac:dyDescent="0.25">
      <c r="C321" s="81"/>
      <c r="D321" s="81"/>
      <c r="E321" s="80"/>
      <c r="H321" s="136"/>
    </row>
    <row r="322" spans="3:8" ht="15.75" customHeight="1" x14ac:dyDescent="0.25">
      <c r="C322" s="81"/>
      <c r="D322" s="81"/>
      <c r="E322" s="80"/>
      <c r="H322" s="136"/>
    </row>
    <row r="323" spans="3:8" ht="15.75" customHeight="1" x14ac:dyDescent="0.25">
      <c r="C323" s="81"/>
      <c r="D323" s="81"/>
      <c r="E323" s="80"/>
      <c r="H323" s="136"/>
    </row>
    <row r="324" spans="3:8" ht="15.75" customHeight="1" x14ac:dyDescent="0.25">
      <c r="C324" s="81"/>
      <c r="D324" s="81"/>
      <c r="E324" s="80"/>
      <c r="H324" s="136"/>
    </row>
    <row r="325" spans="3:8" ht="15.75" customHeight="1" x14ac:dyDescent="0.25">
      <c r="C325" s="81"/>
      <c r="D325" s="81"/>
      <c r="E325" s="80"/>
      <c r="H325" s="136"/>
    </row>
    <row r="326" spans="3:8" ht="15.75" customHeight="1" x14ac:dyDescent="0.25">
      <c r="C326" s="81"/>
      <c r="D326" s="81"/>
      <c r="E326" s="80"/>
      <c r="H326" s="136"/>
    </row>
    <row r="327" spans="3:8" ht="15.75" customHeight="1" x14ac:dyDescent="0.25">
      <c r="C327" s="81"/>
      <c r="D327" s="81"/>
      <c r="E327" s="80"/>
      <c r="H327" s="136"/>
    </row>
    <row r="328" spans="3:8" ht="15.75" customHeight="1" x14ac:dyDescent="0.25">
      <c r="C328" s="81"/>
      <c r="D328" s="81"/>
      <c r="E328" s="80"/>
      <c r="H328" s="136"/>
    </row>
    <row r="329" spans="3:8" ht="15.75" customHeight="1" x14ac:dyDescent="0.25">
      <c r="C329" s="81"/>
      <c r="D329" s="81"/>
      <c r="E329" s="80"/>
      <c r="H329" s="136"/>
    </row>
    <row r="330" spans="3:8" ht="15.75" customHeight="1" x14ac:dyDescent="0.25">
      <c r="C330" s="81"/>
      <c r="D330" s="81"/>
      <c r="E330" s="80"/>
      <c r="H330" s="136"/>
    </row>
    <row r="331" spans="3:8" ht="15.75" customHeight="1" x14ac:dyDescent="0.25">
      <c r="C331" s="81"/>
      <c r="D331" s="81"/>
      <c r="E331" s="80"/>
      <c r="H331" s="136"/>
    </row>
    <row r="332" spans="3:8" ht="15.75" customHeight="1" x14ac:dyDescent="0.25">
      <c r="C332" s="81"/>
      <c r="D332" s="81"/>
      <c r="E332" s="80"/>
      <c r="H332" s="136"/>
    </row>
    <row r="333" spans="3:8" ht="15.75" customHeight="1" x14ac:dyDescent="0.25">
      <c r="C333" s="81"/>
      <c r="D333" s="81"/>
      <c r="E333" s="80"/>
      <c r="H333" s="136"/>
    </row>
    <row r="334" spans="3:8" ht="15.75" customHeight="1" x14ac:dyDescent="0.25">
      <c r="C334" s="81"/>
      <c r="D334" s="81"/>
      <c r="E334" s="80"/>
      <c r="H334" s="136"/>
    </row>
    <row r="335" spans="3:8" ht="15.75" customHeight="1" x14ac:dyDescent="0.25">
      <c r="C335" s="81"/>
      <c r="D335" s="81"/>
      <c r="E335" s="80"/>
      <c r="H335" s="136"/>
    </row>
    <row r="336" spans="3:8" ht="15.75" customHeight="1" x14ac:dyDescent="0.25">
      <c r="C336" s="81"/>
      <c r="D336" s="81"/>
      <c r="E336" s="80"/>
      <c r="H336" s="136"/>
    </row>
    <row r="337" spans="3:8" ht="15.75" customHeight="1" x14ac:dyDescent="0.25">
      <c r="C337" s="81"/>
      <c r="D337" s="81"/>
      <c r="E337" s="80"/>
      <c r="H337" s="136"/>
    </row>
    <row r="338" spans="3:8" ht="15.75" customHeight="1" x14ac:dyDescent="0.25">
      <c r="C338" s="81"/>
      <c r="D338" s="81"/>
      <c r="E338" s="80"/>
      <c r="H338" s="136"/>
    </row>
    <row r="339" spans="3:8" ht="15.75" customHeight="1" x14ac:dyDescent="0.25">
      <c r="C339" s="81"/>
      <c r="D339" s="81"/>
      <c r="E339" s="80"/>
      <c r="H339" s="136"/>
    </row>
    <row r="340" spans="3:8" ht="15.75" customHeight="1" x14ac:dyDescent="0.25">
      <c r="C340" s="81"/>
      <c r="D340" s="81"/>
      <c r="E340" s="80"/>
      <c r="H340" s="136"/>
    </row>
    <row r="341" spans="3:8" ht="15.75" customHeight="1" x14ac:dyDescent="0.25">
      <c r="C341" s="81"/>
      <c r="D341" s="81"/>
      <c r="E341" s="80"/>
      <c r="H341" s="136"/>
    </row>
    <row r="342" spans="3:8" ht="15.75" customHeight="1" x14ac:dyDescent="0.25">
      <c r="C342" s="81"/>
      <c r="D342" s="81"/>
      <c r="E342" s="80"/>
      <c r="H342" s="136"/>
    </row>
    <row r="343" spans="3:8" ht="15.75" customHeight="1" x14ac:dyDescent="0.25">
      <c r="C343" s="81"/>
      <c r="D343" s="81"/>
      <c r="E343" s="80"/>
      <c r="H343" s="136"/>
    </row>
    <row r="344" spans="3:8" ht="15.75" customHeight="1" x14ac:dyDescent="0.25">
      <c r="C344" s="81"/>
      <c r="D344" s="81"/>
      <c r="E344" s="80"/>
      <c r="H344" s="136"/>
    </row>
    <row r="345" spans="3:8" ht="15.75" customHeight="1" x14ac:dyDescent="0.25">
      <c r="C345" s="81"/>
      <c r="D345" s="81"/>
      <c r="E345" s="80"/>
      <c r="H345" s="136"/>
    </row>
    <row r="346" spans="3:8" ht="15.75" customHeight="1" x14ac:dyDescent="0.25">
      <c r="C346" s="81"/>
      <c r="D346" s="81"/>
      <c r="E346" s="80"/>
      <c r="H346" s="136"/>
    </row>
    <row r="347" spans="3:8" ht="15.75" customHeight="1" x14ac:dyDescent="0.25">
      <c r="C347" s="81"/>
      <c r="D347" s="81"/>
      <c r="E347" s="80"/>
      <c r="H347" s="136"/>
    </row>
    <row r="348" spans="3:8" ht="15.75" customHeight="1" x14ac:dyDescent="0.25">
      <c r="C348" s="81"/>
      <c r="D348" s="81"/>
      <c r="E348" s="80"/>
      <c r="H348" s="136"/>
    </row>
    <row r="349" spans="3:8" ht="15.75" customHeight="1" x14ac:dyDescent="0.25">
      <c r="C349" s="81"/>
      <c r="D349" s="81"/>
      <c r="E349" s="80"/>
      <c r="H349" s="136"/>
    </row>
    <row r="350" spans="3:8" ht="15.75" customHeight="1" x14ac:dyDescent="0.25">
      <c r="C350" s="81"/>
      <c r="D350" s="81"/>
      <c r="E350" s="80"/>
      <c r="H350" s="136"/>
    </row>
    <row r="351" spans="3:8" ht="15.75" customHeight="1" x14ac:dyDescent="0.25">
      <c r="C351" s="81"/>
      <c r="D351" s="81"/>
      <c r="E351" s="80"/>
      <c r="H351" s="136"/>
    </row>
    <row r="352" spans="3:8" ht="15.75" customHeight="1" x14ac:dyDescent="0.25">
      <c r="C352" s="81"/>
      <c r="D352" s="81"/>
      <c r="E352" s="80"/>
      <c r="H352" s="136"/>
    </row>
    <row r="353" spans="3:8" ht="15.75" customHeight="1" x14ac:dyDescent="0.25">
      <c r="C353" s="81"/>
      <c r="D353" s="81"/>
      <c r="E353" s="80"/>
      <c r="H353" s="136"/>
    </row>
    <row r="354" spans="3:8" ht="15.75" customHeight="1" x14ac:dyDescent="0.25">
      <c r="C354" s="81"/>
      <c r="D354" s="81"/>
      <c r="E354" s="80"/>
      <c r="H354" s="136"/>
    </row>
    <row r="355" spans="3:8" ht="15.75" customHeight="1" x14ac:dyDescent="0.25">
      <c r="C355" s="81"/>
      <c r="D355" s="81"/>
      <c r="E355" s="80"/>
      <c r="H355" s="136"/>
    </row>
    <row r="356" spans="3:8" ht="15.75" customHeight="1" x14ac:dyDescent="0.25">
      <c r="C356" s="81"/>
      <c r="D356" s="81"/>
      <c r="E356" s="80"/>
      <c r="H356" s="136"/>
    </row>
    <row r="357" spans="3:8" ht="15.75" customHeight="1" x14ac:dyDescent="0.25">
      <c r="C357" s="81"/>
      <c r="D357" s="81"/>
      <c r="E357" s="80"/>
      <c r="H357" s="136"/>
    </row>
    <row r="358" spans="3:8" ht="15.75" customHeight="1" x14ac:dyDescent="0.25">
      <c r="C358" s="81"/>
      <c r="D358" s="81"/>
      <c r="E358" s="80"/>
      <c r="H358" s="136"/>
    </row>
    <row r="359" spans="3:8" ht="15.75" customHeight="1" x14ac:dyDescent="0.25">
      <c r="C359" s="81"/>
      <c r="D359" s="81"/>
      <c r="E359" s="80"/>
      <c r="H359" s="136"/>
    </row>
    <row r="360" spans="3:8" ht="15.75" customHeight="1" x14ac:dyDescent="0.25">
      <c r="C360" s="81"/>
      <c r="D360" s="81"/>
      <c r="E360" s="80"/>
      <c r="H360" s="136"/>
    </row>
    <row r="361" spans="3:8" ht="15.75" customHeight="1" x14ac:dyDescent="0.25">
      <c r="C361" s="81"/>
      <c r="D361" s="81"/>
      <c r="E361" s="80"/>
      <c r="H361" s="136"/>
    </row>
    <row r="362" spans="3:8" ht="15.75" customHeight="1" x14ac:dyDescent="0.25">
      <c r="C362" s="81"/>
      <c r="D362" s="81"/>
      <c r="E362" s="80"/>
      <c r="H362" s="136"/>
    </row>
    <row r="363" spans="3:8" ht="15.75" customHeight="1" x14ac:dyDescent="0.25">
      <c r="C363" s="81"/>
      <c r="D363" s="81"/>
      <c r="E363" s="80"/>
      <c r="H363" s="136"/>
    </row>
    <row r="364" spans="3:8" ht="15.75" customHeight="1" x14ac:dyDescent="0.25">
      <c r="C364" s="81"/>
      <c r="D364" s="81"/>
      <c r="E364" s="80"/>
      <c r="H364" s="136"/>
    </row>
    <row r="365" spans="3:8" ht="15.75" customHeight="1" x14ac:dyDescent="0.25">
      <c r="C365" s="81"/>
      <c r="D365" s="81"/>
      <c r="E365" s="80"/>
      <c r="H365" s="136"/>
    </row>
    <row r="366" spans="3:8" ht="15.75" customHeight="1" x14ac:dyDescent="0.25">
      <c r="C366" s="81"/>
      <c r="D366" s="81"/>
      <c r="E366" s="80"/>
      <c r="H366" s="136"/>
    </row>
    <row r="367" spans="3:8" ht="15.75" customHeight="1" x14ac:dyDescent="0.25">
      <c r="C367" s="81"/>
      <c r="D367" s="81"/>
      <c r="E367" s="80"/>
      <c r="H367" s="136"/>
    </row>
    <row r="368" spans="3:8" ht="15.75" customHeight="1" x14ac:dyDescent="0.25">
      <c r="C368" s="81"/>
      <c r="D368" s="81"/>
      <c r="E368" s="80"/>
      <c r="H368" s="136"/>
    </row>
    <row r="369" spans="3:8" ht="15.75" customHeight="1" x14ac:dyDescent="0.25">
      <c r="C369" s="81"/>
      <c r="D369" s="81"/>
      <c r="E369" s="80"/>
      <c r="H369" s="136"/>
    </row>
    <row r="370" spans="3:8" ht="15.75" customHeight="1" x14ac:dyDescent="0.25">
      <c r="C370" s="81"/>
      <c r="D370" s="81"/>
      <c r="E370" s="80"/>
      <c r="H370" s="136"/>
    </row>
    <row r="371" spans="3:8" ht="15.75" customHeight="1" x14ac:dyDescent="0.25">
      <c r="C371" s="81"/>
      <c r="D371" s="81"/>
      <c r="E371" s="80"/>
      <c r="H371" s="136"/>
    </row>
    <row r="372" spans="3:8" ht="15.75" customHeight="1" x14ac:dyDescent="0.25">
      <c r="C372" s="81"/>
      <c r="D372" s="81"/>
      <c r="E372" s="80"/>
      <c r="H372" s="136"/>
    </row>
    <row r="373" spans="3:8" ht="15.75" customHeight="1" x14ac:dyDescent="0.25">
      <c r="C373" s="81"/>
      <c r="D373" s="81"/>
      <c r="E373" s="80"/>
      <c r="H373" s="136"/>
    </row>
    <row r="374" spans="3:8" ht="15.75" customHeight="1" x14ac:dyDescent="0.25">
      <c r="C374" s="81"/>
      <c r="D374" s="81"/>
      <c r="E374" s="80"/>
      <c r="H374" s="136"/>
    </row>
    <row r="375" spans="3:8" ht="15.75" customHeight="1" x14ac:dyDescent="0.25">
      <c r="C375" s="81"/>
      <c r="D375" s="81"/>
      <c r="E375" s="80"/>
      <c r="H375" s="136"/>
    </row>
    <row r="376" spans="3:8" ht="15.75" customHeight="1" x14ac:dyDescent="0.25">
      <c r="C376" s="81"/>
      <c r="D376" s="81"/>
      <c r="E376" s="80"/>
      <c r="H376" s="136"/>
    </row>
    <row r="377" spans="3:8" ht="15.75" customHeight="1" x14ac:dyDescent="0.25">
      <c r="C377" s="81"/>
      <c r="D377" s="81"/>
      <c r="E377" s="80"/>
      <c r="H377" s="136"/>
    </row>
    <row r="378" spans="3:8" ht="15.75" customHeight="1" x14ac:dyDescent="0.25">
      <c r="C378" s="81"/>
      <c r="D378" s="81"/>
      <c r="E378" s="80"/>
      <c r="H378" s="136"/>
    </row>
    <row r="379" spans="3:8" ht="15.75" customHeight="1" x14ac:dyDescent="0.25">
      <c r="C379" s="81"/>
      <c r="D379" s="81"/>
      <c r="E379" s="80"/>
      <c r="H379" s="136"/>
    </row>
    <row r="380" spans="3:8" ht="15.75" customHeight="1" x14ac:dyDescent="0.25">
      <c r="C380" s="81"/>
      <c r="D380" s="81"/>
      <c r="E380" s="80"/>
      <c r="H380" s="136"/>
    </row>
    <row r="381" spans="3:8" ht="15.75" customHeight="1" x14ac:dyDescent="0.25">
      <c r="C381" s="81"/>
      <c r="D381" s="81"/>
      <c r="E381" s="80"/>
      <c r="H381" s="136"/>
    </row>
    <row r="382" spans="3:8" ht="15.75" customHeight="1" x14ac:dyDescent="0.25">
      <c r="C382" s="81"/>
      <c r="D382" s="81"/>
      <c r="E382" s="80"/>
      <c r="H382" s="136"/>
    </row>
    <row r="383" spans="3:8" ht="15.75" customHeight="1" x14ac:dyDescent="0.25">
      <c r="C383" s="81"/>
      <c r="D383" s="81"/>
      <c r="E383" s="80"/>
      <c r="H383" s="136"/>
    </row>
    <row r="384" spans="3:8" ht="15.75" customHeight="1" x14ac:dyDescent="0.25">
      <c r="C384" s="81"/>
      <c r="D384" s="81"/>
      <c r="E384" s="80"/>
      <c r="H384" s="136"/>
    </row>
    <row r="385" spans="3:8" ht="15.75" customHeight="1" x14ac:dyDescent="0.25">
      <c r="C385" s="81"/>
      <c r="D385" s="81"/>
      <c r="E385" s="80"/>
      <c r="H385" s="136"/>
    </row>
    <row r="386" spans="3:8" ht="15.75" customHeight="1" x14ac:dyDescent="0.25">
      <c r="C386" s="81"/>
      <c r="D386" s="81"/>
      <c r="E386" s="80"/>
      <c r="H386" s="136"/>
    </row>
    <row r="387" spans="3:8" ht="15.75" customHeight="1" x14ac:dyDescent="0.25">
      <c r="C387" s="81"/>
      <c r="D387" s="81"/>
      <c r="E387" s="80"/>
      <c r="H387" s="136"/>
    </row>
    <row r="388" spans="3:8" ht="15.75" customHeight="1" x14ac:dyDescent="0.25">
      <c r="C388" s="81"/>
      <c r="D388" s="81"/>
      <c r="E388" s="80"/>
      <c r="H388" s="136"/>
    </row>
    <row r="389" spans="3:8" ht="15.75" customHeight="1" x14ac:dyDescent="0.25">
      <c r="C389" s="81"/>
      <c r="D389" s="81"/>
      <c r="E389" s="80"/>
      <c r="H389" s="136"/>
    </row>
    <row r="390" spans="3:8" ht="15.75" customHeight="1" x14ac:dyDescent="0.25">
      <c r="C390" s="81"/>
      <c r="D390" s="81"/>
      <c r="E390" s="80"/>
      <c r="H390" s="136"/>
    </row>
    <row r="391" spans="3:8" ht="15.75" customHeight="1" x14ac:dyDescent="0.25">
      <c r="C391" s="81"/>
      <c r="D391" s="81"/>
      <c r="E391" s="80"/>
      <c r="H391" s="136"/>
    </row>
    <row r="392" spans="3:8" ht="15.75" customHeight="1" x14ac:dyDescent="0.25">
      <c r="C392" s="81"/>
      <c r="D392" s="81"/>
      <c r="E392" s="80"/>
      <c r="H392" s="136"/>
    </row>
    <row r="393" spans="3:8" ht="15.75" customHeight="1" x14ac:dyDescent="0.25">
      <c r="C393" s="81"/>
      <c r="D393" s="81"/>
      <c r="E393" s="80"/>
      <c r="H393" s="136"/>
    </row>
    <row r="394" spans="3:8" ht="15.75" customHeight="1" x14ac:dyDescent="0.25">
      <c r="C394" s="81"/>
      <c r="D394" s="81"/>
      <c r="E394" s="80"/>
      <c r="H394" s="136"/>
    </row>
    <row r="395" spans="3:8" ht="15.75" customHeight="1" x14ac:dyDescent="0.25">
      <c r="C395" s="81"/>
      <c r="D395" s="81"/>
      <c r="E395" s="80"/>
      <c r="H395" s="136"/>
    </row>
    <row r="396" spans="3:8" ht="15.75" customHeight="1" x14ac:dyDescent="0.25">
      <c r="C396" s="81"/>
      <c r="D396" s="81"/>
      <c r="E396" s="80"/>
      <c r="H396" s="136"/>
    </row>
    <row r="397" spans="3:8" ht="15.75" customHeight="1" x14ac:dyDescent="0.25">
      <c r="C397" s="81"/>
      <c r="D397" s="81"/>
      <c r="E397" s="80"/>
      <c r="H397" s="136"/>
    </row>
    <row r="398" spans="3:8" ht="15.75" customHeight="1" x14ac:dyDescent="0.25">
      <c r="C398" s="81"/>
      <c r="D398" s="81"/>
      <c r="E398" s="80"/>
      <c r="H398" s="136"/>
    </row>
    <row r="399" spans="3:8" ht="15.75" customHeight="1" x14ac:dyDescent="0.25">
      <c r="C399" s="81"/>
      <c r="D399" s="81"/>
      <c r="E399" s="80"/>
      <c r="H399" s="136"/>
    </row>
    <row r="400" spans="3:8" ht="15.75" customHeight="1" x14ac:dyDescent="0.25">
      <c r="C400" s="81"/>
      <c r="D400" s="81"/>
      <c r="E400" s="80"/>
      <c r="H400" s="136"/>
    </row>
    <row r="401" spans="3:8" ht="15.75" customHeight="1" x14ac:dyDescent="0.25">
      <c r="C401" s="81"/>
      <c r="D401" s="81"/>
      <c r="E401" s="80"/>
      <c r="H401" s="136"/>
    </row>
    <row r="402" spans="3:8" ht="15.75" customHeight="1" x14ac:dyDescent="0.25">
      <c r="C402" s="81"/>
      <c r="D402" s="81"/>
      <c r="E402" s="80"/>
      <c r="H402" s="136"/>
    </row>
    <row r="403" spans="3:8" ht="15.75" customHeight="1" x14ac:dyDescent="0.25">
      <c r="C403" s="81"/>
      <c r="D403" s="81"/>
      <c r="E403" s="80"/>
      <c r="H403" s="136"/>
    </row>
    <row r="404" spans="3:8" ht="15.75" customHeight="1" x14ac:dyDescent="0.25">
      <c r="C404" s="81"/>
      <c r="D404" s="81"/>
      <c r="E404" s="80"/>
      <c r="H404" s="136"/>
    </row>
    <row r="405" spans="3:8" ht="15.75" customHeight="1" x14ac:dyDescent="0.25">
      <c r="C405" s="81"/>
      <c r="D405" s="81"/>
      <c r="E405" s="80"/>
      <c r="H405" s="136"/>
    </row>
    <row r="406" spans="3:8" ht="15.75" customHeight="1" x14ac:dyDescent="0.25">
      <c r="C406" s="81"/>
      <c r="D406" s="81"/>
      <c r="E406" s="80"/>
      <c r="H406" s="136"/>
    </row>
    <row r="407" spans="3:8" ht="15.75" customHeight="1" x14ac:dyDescent="0.25">
      <c r="C407" s="81"/>
      <c r="D407" s="81"/>
      <c r="E407" s="80"/>
      <c r="H407" s="136"/>
    </row>
    <row r="408" spans="3:8" ht="15.75" customHeight="1" x14ac:dyDescent="0.25">
      <c r="C408" s="81"/>
      <c r="D408" s="81"/>
      <c r="E408" s="80"/>
      <c r="H408" s="136"/>
    </row>
    <row r="409" spans="3:8" ht="15.75" customHeight="1" x14ac:dyDescent="0.25">
      <c r="C409" s="81"/>
      <c r="D409" s="81"/>
      <c r="E409" s="80"/>
      <c r="H409" s="136"/>
    </row>
    <row r="410" spans="3:8" ht="15.75" customHeight="1" x14ac:dyDescent="0.25">
      <c r="C410" s="81"/>
      <c r="D410" s="81"/>
      <c r="E410" s="80"/>
      <c r="H410" s="136"/>
    </row>
    <row r="411" spans="3:8" ht="15.75" customHeight="1" x14ac:dyDescent="0.25">
      <c r="C411" s="81"/>
      <c r="D411" s="81"/>
      <c r="E411" s="80"/>
      <c r="H411" s="136"/>
    </row>
    <row r="412" spans="3:8" ht="15.75" customHeight="1" x14ac:dyDescent="0.25">
      <c r="C412" s="81"/>
      <c r="D412" s="81"/>
      <c r="E412" s="80"/>
      <c r="H412" s="136"/>
    </row>
    <row r="413" spans="3:8" ht="15.75" customHeight="1" x14ac:dyDescent="0.25">
      <c r="C413" s="81"/>
      <c r="D413" s="81"/>
      <c r="E413" s="80"/>
      <c r="H413" s="136"/>
    </row>
    <row r="414" spans="3:8" ht="15.75" customHeight="1" x14ac:dyDescent="0.25">
      <c r="C414" s="81"/>
      <c r="D414" s="81"/>
      <c r="E414" s="80"/>
      <c r="H414" s="136"/>
    </row>
    <row r="415" spans="3:8" ht="15.75" customHeight="1" x14ac:dyDescent="0.25">
      <c r="C415" s="81"/>
      <c r="D415" s="81"/>
      <c r="E415" s="80"/>
      <c r="H415" s="136"/>
    </row>
    <row r="416" spans="3:8" ht="15.75" customHeight="1" x14ac:dyDescent="0.25">
      <c r="C416" s="81"/>
      <c r="D416" s="81"/>
      <c r="E416" s="80"/>
      <c r="H416" s="136"/>
    </row>
    <row r="417" spans="3:8" ht="15.75" customHeight="1" x14ac:dyDescent="0.25">
      <c r="C417" s="81"/>
      <c r="D417" s="81"/>
      <c r="E417" s="80"/>
      <c r="H417" s="136"/>
    </row>
    <row r="418" spans="3:8" ht="15.75" customHeight="1" x14ac:dyDescent="0.25">
      <c r="C418" s="81"/>
      <c r="D418" s="81"/>
      <c r="E418" s="80"/>
      <c r="H418" s="136"/>
    </row>
    <row r="419" spans="3:8" ht="15.75" customHeight="1" x14ac:dyDescent="0.25">
      <c r="C419" s="81"/>
      <c r="D419" s="81"/>
      <c r="E419" s="80"/>
      <c r="H419" s="136"/>
    </row>
    <row r="420" spans="3:8" ht="15.75" customHeight="1" x14ac:dyDescent="0.25">
      <c r="C420" s="81"/>
      <c r="D420" s="81"/>
      <c r="E420" s="80"/>
      <c r="H420" s="136"/>
    </row>
    <row r="421" spans="3:8" ht="15.75" customHeight="1" x14ac:dyDescent="0.25">
      <c r="C421" s="81"/>
      <c r="D421" s="81"/>
      <c r="E421" s="80"/>
      <c r="H421" s="136"/>
    </row>
    <row r="422" spans="3:8" ht="15.75" customHeight="1" x14ac:dyDescent="0.25">
      <c r="C422" s="81"/>
      <c r="D422" s="81"/>
      <c r="E422" s="80"/>
      <c r="H422" s="136"/>
    </row>
    <row r="423" spans="3:8" ht="15.75" customHeight="1" x14ac:dyDescent="0.25">
      <c r="C423" s="81"/>
      <c r="D423" s="81"/>
      <c r="E423" s="80"/>
      <c r="H423" s="136"/>
    </row>
    <row r="424" spans="3:8" ht="15.75" customHeight="1" x14ac:dyDescent="0.25">
      <c r="C424" s="81"/>
      <c r="D424" s="81"/>
      <c r="E424" s="80"/>
      <c r="H424" s="136"/>
    </row>
    <row r="425" spans="3:8" ht="15.75" customHeight="1" x14ac:dyDescent="0.25">
      <c r="C425" s="81"/>
      <c r="D425" s="81"/>
      <c r="E425" s="80"/>
      <c r="H425" s="136"/>
    </row>
    <row r="426" spans="3:8" ht="15.75" customHeight="1" x14ac:dyDescent="0.25">
      <c r="C426" s="81"/>
      <c r="D426" s="81"/>
      <c r="E426" s="80"/>
      <c r="H426" s="136"/>
    </row>
    <row r="427" spans="3:8" ht="15.75" customHeight="1" x14ac:dyDescent="0.25">
      <c r="C427" s="81"/>
      <c r="D427" s="81"/>
      <c r="E427" s="80"/>
      <c r="H427" s="136"/>
    </row>
    <row r="428" spans="3:8" ht="15.75" customHeight="1" x14ac:dyDescent="0.25">
      <c r="C428" s="81"/>
      <c r="D428" s="81"/>
      <c r="E428" s="80"/>
      <c r="H428" s="136"/>
    </row>
    <row r="429" spans="3:8" ht="15.75" customHeight="1" x14ac:dyDescent="0.25">
      <c r="C429" s="81"/>
      <c r="D429" s="81"/>
      <c r="E429" s="80"/>
      <c r="H429" s="136"/>
    </row>
    <row r="430" spans="3:8" ht="15.75" customHeight="1" x14ac:dyDescent="0.25">
      <c r="C430" s="81"/>
      <c r="D430" s="81"/>
      <c r="E430" s="80"/>
      <c r="H430" s="136"/>
    </row>
    <row r="431" spans="3:8" ht="15.75" customHeight="1" x14ac:dyDescent="0.25">
      <c r="C431" s="81"/>
      <c r="D431" s="81"/>
      <c r="E431" s="80"/>
      <c r="H431" s="136"/>
    </row>
    <row r="432" spans="3:8" ht="15.75" customHeight="1" x14ac:dyDescent="0.25">
      <c r="C432" s="81"/>
      <c r="D432" s="81"/>
      <c r="E432" s="80"/>
      <c r="H432" s="136"/>
    </row>
    <row r="433" spans="3:8" ht="15.75" customHeight="1" x14ac:dyDescent="0.25">
      <c r="C433" s="81"/>
      <c r="D433" s="81"/>
      <c r="E433" s="80"/>
      <c r="H433" s="136"/>
    </row>
    <row r="434" spans="3:8" ht="15.75" customHeight="1" x14ac:dyDescent="0.25">
      <c r="C434" s="81"/>
      <c r="D434" s="81"/>
      <c r="E434" s="80"/>
      <c r="H434" s="136"/>
    </row>
    <row r="435" spans="3:8" ht="15.75" customHeight="1" x14ac:dyDescent="0.25">
      <c r="C435" s="81"/>
      <c r="D435" s="81"/>
      <c r="E435" s="80"/>
      <c r="H435" s="136"/>
    </row>
    <row r="436" spans="3:8" ht="15.75" customHeight="1" x14ac:dyDescent="0.25">
      <c r="C436" s="81"/>
      <c r="D436" s="81"/>
      <c r="E436" s="80"/>
      <c r="H436" s="136"/>
    </row>
    <row r="437" spans="3:8" ht="15.75" customHeight="1" x14ac:dyDescent="0.25">
      <c r="C437" s="81"/>
      <c r="D437" s="81"/>
      <c r="E437" s="80"/>
      <c r="H437" s="136"/>
    </row>
    <row r="438" spans="3:8" ht="15.75" customHeight="1" x14ac:dyDescent="0.25">
      <c r="C438" s="81"/>
      <c r="D438" s="81"/>
      <c r="E438" s="80"/>
      <c r="H438" s="136"/>
    </row>
    <row r="439" spans="3:8" ht="15.75" customHeight="1" x14ac:dyDescent="0.25">
      <c r="C439" s="81"/>
      <c r="D439" s="81"/>
      <c r="E439" s="80"/>
      <c r="H439" s="136"/>
    </row>
    <row r="440" spans="3:8" ht="15.75" customHeight="1" x14ac:dyDescent="0.25">
      <c r="C440" s="81"/>
      <c r="D440" s="81"/>
      <c r="E440" s="80"/>
      <c r="H440" s="136"/>
    </row>
    <row r="441" spans="3:8" ht="15.75" customHeight="1" x14ac:dyDescent="0.25">
      <c r="C441" s="81"/>
      <c r="D441" s="81"/>
      <c r="E441" s="80"/>
      <c r="H441" s="136"/>
    </row>
    <row r="442" spans="3:8" ht="15.75" customHeight="1" x14ac:dyDescent="0.25">
      <c r="C442" s="81"/>
      <c r="D442" s="81"/>
      <c r="E442" s="80"/>
      <c r="H442" s="136"/>
    </row>
    <row r="443" spans="3:8" ht="15.75" customHeight="1" x14ac:dyDescent="0.25">
      <c r="C443" s="81"/>
      <c r="D443" s="81"/>
      <c r="E443" s="80"/>
      <c r="H443" s="136"/>
    </row>
    <row r="444" spans="3:8" ht="15.75" customHeight="1" x14ac:dyDescent="0.25">
      <c r="C444" s="81"/>
      <c r="D444" s="81"/>
      <c r="E444" s="80"/>
      <c r="H444" s="136"/>
    </row>
    <row r="445" spans="3:8" ht="15.75" customHeight="1" x14ac:dyDescent="0.25">
      <c r="C445" s="81"/>
      <c r="D445" s="81"/>
      <c r="E445" s="80"/>
      <c r="H445" s="136"/>
    </row>
    <row r="446" spans="3:8" ht="15.75" customHeight="1" x14ac:dyDescent="0.25">
      <c r="C446" s="81"/>
      <c r="D446" s="81"/>
      <c r="E446" s="80"/>
      <c r="H446" s="136"/>
    </row>
    <row r="447" spans="3:8" ht="15.75" customHeight="1" x14ac:dyDescent="0.25">
      <c r="C447" s="81"/>
      <c r="D447" s="81"/>
      <c r="E447" s="80"/>
      <c r="H447" s="136"/>
    </row>
    <row r="448" spans="3:8" ht="15.75" customHeight="1" x14ac:dyDescent="0.25">
      <c r="C448" s="81"/>
      <c r="D448" s="81"/>
      <c r="E448" s="80"/>
      <c r="H448" s="136"/>
    </row>
    <row r="449" spans="3:8" ht="15.75" customHeight="1" x14ac:dyDescent="0.25">
      <c r="C449" s="81"/>
      <c r="D449" s="81"/>
      <c r="E449" s="80"/>
      <c r="H449" s="136"/>
    </row>
    <row r="450" spans="3:8" ht="15.75" customHeight="1" x14ac:dyDescent="0.25">
      <c r="C450" s="81"/>
      <c r="D450" s="81"/>
      <c r="E450" s="80"/>
      <c r="H450" s="136"/>
    </row>
    <row r="451" spans="3:8" ht="15.75" customHeight="1" x14ac:dyDescent="0.25">
      <c r="C451" s="81"/>
      <c r="D451" s="81"/>
      <c r="E451" s="80"/>
      <c r="H451" s="136"/>
    </row>
    <row r="452" spans="3:8" ht="15.75" customHeight="1" x14ac:dyDescent="0.25">
      <c r="C452" s="81"/>
      <c r="D452" s="81"/>
      <c r="E452" s="80"/>
      <c r="H452" s="136"/>
    </row>
    <row r="453" spans="3:8" ht="15.75" customHeight="1" x14ac:dyDescent="0.25">
      <c r="C453" s="81"/>
      <c r="D453" s="81"/>
      <c r="E453" s="80"/>
      <c r="H453" s="136"/>
    </row>
    <row r="454" spans="3:8" ht="15.75" customHeight="1" x14ac:dyDescent="0.25">
      <c r="C454" s="81"/>
      <c r="D454" s="81"/>
      <c r="E454" s="80"/>
      <c r="H454" s="136"/>
    </row>
    <row r="455" spans="3:8" ht="15.75" customHeight="1" x14ac:dyDescent="0.25">
      <c r="C455" s="81"/>
      <c r="D455" s="81"/>
      <c r="E455" s="80"/>
      <c r="H455" s="136"/>
    </row>
    <row r="456" spans="3:8" ht="15.75" customHeight="1" x14ac:dyDescent="0.25">
      <c r="C456" s="81"/>
      <c r="D456" s="81"/>
      <c r="E456" s="80"/>
      <c r="H456" s="136"/>
    </row>
    <row r="457" spans="3:8" ht="15.75" customHeight="1" x14ac:dyDescent="0.25">
      <c r="C457" s="81"/>
      <c r="D457" s="81"/>
      <c r="E457" s="80"/>
      <c r="H457" s="136"/>
    </row>
    <row r="458" spans="3:8" ht="15.75" customHeight="1" x14ac:dyDescent="0.25">
      <c r="C458" s="81"/>
      <c r="D458" s="81"/>
      <c r="E458" s="80"/>
      <c r="H458" s="136"/>
    </row>
    <row r="459" spans="3:8" ht="15.75" customHeight="1" x14ac:dyDescent="0.25">
      <c r="C459" s="81"/>
      <c r="D459" s="81"/>
      <c r="E459" s="80"/>
      <c r="H459" s="136"/>
    </row>
    <row r="460" spans="3:8" ht="15.75" customHeight="1" x14ac:dyDescent="0.25">
      <c r="C460" s="81"/>
      <c r="D460" s="81"/>
      <c r="E460" s="80"/>
      <c r="H460" s="136"/>
    </row>
    <row r="461" spans="3:8" ht="15.75" customHeight="1" x14ac:dyDescent="0.25">
      <c r="C461" s="81"/>
      <c r="D461" s="81"/>
      <c r="E461" s="80"/>
      <c r="H461" s="136"/>
    </row>
    <row r="462" spans="3:8" ht="15.75" customHeight="1" x14ac:dyDescent="0.25">
      <c r="C462" s="81"/>
      <c r="D462" s="81"/>
      <c r="E462" s="80"/>
      <c r="H462" s="136"/>
    </row>
    <row r="463" spans="3:8" ht="15.75" customHeight="1" x14ac:dyDescent="0.25">
      <c r="C463" s="81"/>
      <c r="D463" s="81"/>
      <c r="E463" s="80"/>
      <c r="H463" s="136"/>
    </row>
    <row r="464" spans="3:8" ht="15.75" customHeight="1" x14ac:dyDescent="0.25">
      <c r="C464" s="81"/>
      <c r="D464" s="81"/>
      <c r="E464" s="80"/>
      <c r="H464" s="136"/>
    </row>
    <row r="465" spans="3:8" ht="15.75" customHeight="1" x14ac:dyDescent="0.25">
      <c r="C465" s="81"/>
      <c r="D465" s="81"/>
      <c r="E465" s="80"/>
      <c r="H465" s="136"/>
    </row>
    <row r="466" spans="3:8" ht="15.75" customHeight="1" x14ac:dyDescent="0.25">
      <c r="C466" s="81"/>
      <c r="D466" s="81"/>
      <c r="E466" s="80"/>
      <c r="H466" s="136"/>
    </row>
    <row r="467" spans="3:8" ht="15.75" customHeight="1" x14ac:dyDescent="0.25">
      <c r="C467" s="81"/>
      <c r="D467" s="81"/>
      <c r="E467" s="80"/>
      <c r="H467" s="136"/>
    </row>
    <row r="468" spans="3:8" ht="15.75" customHeight="1" x14ac:dyDescent="0.25">
      <c r="C468" s="81"/>
      <c r="D468" s="81"/>
      <c r="E468" s="80"/>
      <c r="H468" s="136"/>
    </row>
    <row r="469" spans="3:8" ht="15.75" customHeight="1" x14ac:dyDescent="0.25">
      <c r="C469" s="81"/>
      <c r="D469" s="81"/>
      <c r="E469" s="80"/>
      <c r="H469" s="136"/>
    </row>
    <row r="470" spans="3:8" ht="15.75" customHeight="1" x14ac:dyDescent="0.25">
      <c r="C470" s="81"/>
      <c r="D470" s="81"/>
      <c r="E470" s="80"/>
      <c r="H470" s="136"/>
    </row>
    <row r="471" spans="3:8" ht="15.75" customHeight="1" x14ac:dyDescent="0.25">
      <c r="C471" s="81"/>
      <c r="D471" s="81"/>
      <c r="E471" s="80"/>
      <c r="H471" s="136"/>
    </row>
    <row r="472" spans="3:8" ht="15.75" customHeight="1" x14ac:dyDescent="0.25">
      <c r="C472" s="81"/>
      <c r="D472" s="81"/>
      <c r="E472" s="80"/>
      <c r="H472" s="136"/>
    </row>
    <row r="473" spans="3:8" ht="15.75" customHeight="1" x14ac:dyDescent="0.25">
      <c r="C473" s="81"/>
      <c r="D473" s="81"/>
      <c r="E473" s="80"/>
      <c r="H473" s="136"/>
    </row>
    <row r="474" spans="3:8" ht="15.75" customHeight="1" x14ac:dyDescent="0.25">
      <c r="C474" s="81"/>
      <c r="D474" s="81"/>
      <c r="E474" s="80"/>
      <c r="H474" s="136"/>
    </row>
    <row r="475" spans="3:8" ht="15.75" customHeight="1" x14ac:dyDescent="0.25">
      <c r="C475" s="81"/>
      <c r="D475" s="81"/>
      <c r="E475" s="80"/>
      <c r="H475" s="136"/>
    </row>
    <row r="476" spans="3:8" ht="15.75" customHeight="1" x14ac:dyDescent="0.25">
      <c r="C476" s="81"/>
      <c r="D476" s="81"/>
      <c r="E476" s="80"/>
      <c r="H476" s="136"/>
    </row>
    <row r="477" spans="3:8" ht="15.75" customHeight="1" x14ac:dyDescent="0.25">
      <c r="C477" s="81"/>
      <c r="D477" s="81"/>
      <c r="E477" s="80"/>
      <c r="H477" s="136"/>
    </row>
    <row r="478" spans="3:8" ht="15.75" customHeight="1" x14ac:dyDescent="0.25">
      <c r="C478" s="81"/>
      <c r="D478" s="81"/>
      <c r="E478" s="80"/>
      <c r="H478" s="136"/>
    </row>
    <row r="479" spans="3:8" ht="15.75" customHeight="1" x14ac:dyDescent="0.25">
      <c r="C479" s="81"/>
      <c r="D479" s="81"/>
      <c r="E479" s="80"/>
      <c r="H479" s="136"/>
    </row>
    <row r="480" spans="3:8" ht="15.75" customHeight="1" x14ac:dyDescent="0.25">
      <c r="C480" s="81"/>
      <c r="D480" s="81"/>
      <c r="E480" s="80"/>
      <c r="H480" s="136"/>
    </row>
    <row r="481" spans="3:8" ht="15.75" customHeight="1" x14ac:dyDescent="0.25">
      <c r="C481" s="81"/>
      <c r="D481" s="81"/>
      <c r="E481" s="80"/>
      <c r="H481" s="136"/>
    </row>
    <row r="482" spans="3:8" ht="15.75" customHeight="1" x14ac:dyDescent="0.25">
      <c r="C482" s="81"/>
      <c r="D482" s="81"/>
      <c r="E482" s="80"/>
      <c r="H482" s="136"/>
    </row>
    <row r="483" spans="3:8" ht="15.75" customHeight="1" x14ac:dyDescent="0.25">
      <c r="C483" s="81"/>
      <c r="D483" s="81"/>
      <c r="E483" s="80"/>
      <c r="H483" s="136"/>
    </row>
    <row r="484" spans="3:8" ht="15.75" customHeight="1" x14ac:dyDescent="0.25">
      <c r="C484" s="81"/>
      <c r="D484" s="81"/>
      <c r="E484" s="80"/>
      <c r="H484" s="136"/>
    </row>
    <row r="485" spans="3:8" ht="15.75" customHeight="1" x14ac:dyDescent="0.25">
      <c r="C485" s="81"/>
      <c r="D485" s="81"/>
      <c r="E485" s="80"/>
      <c r="H485" s="136"/>
    </row>
    <row r="486" spans="3:8" ht="15.75" customHeight="1" x14ac:dyDescent="0.25">
      <c r="C486" s="81"/>
      <c r="D486" s="81"/>
      <c r="E486" s="80"/>
      <c r="H486" s="136"/>
    </row>
    <row r="487" spans="3:8" ht="15.75" customHeight="1" x14ac:dyDescent="0.25">
      <c r="C487" s="81"/>
      <c r="D487" s="81"/>
      <c r="E487" s="80"/>
      <c r="H487" s="136"/>
    </row>
    <row r="488" spans="3:8" ht="15.75" customHeight="1" x14ac:dyDescent="0.25">
      <c r="C488" s="81"/>
      <c r="D488" s="81"/>
      <c r="E488" s="80"/>
      <c r="H488" s="136"/>
    </row>
    <row r="489" spans="3:8" ht="15.75" customHeight="1" x14ac:dyDescent="0.25">
      <c r="C489" s="81"/>
      <c r="D489" s="81"/>
      <c r="E489" s="80"/>
      <c r="H489" s="136"/>
    </row>
    <row r="490" spans="3:8" ht="15.75" customHeight="1" x14ac:dyDescent="0.25">
      <c r="C490" s="81"/>
      <c r="D490" s="81"/>
      <c r="E490" s="80"/>
      <c r="H490" s="136"/>
    </row>
    <row r="491" spans="3:8" ht="15.75" customHeight="1" x14ac:dyDescent="0.25">
      <c r="C491" s="81"/>
      <c r="D491" s="81"/>
      <c r="E491" s="80"/>
      <c r="H491" s="136"/>
    </row>
    <row r="492" spans="3:8" ht="15.75" customHeight="1" x14ac:dyDescent="0.25">
      <c r="C492" s="81"/>
      <c r="D492" s="81"/>
      <c r="E492" s="80"/>
      <c r="H492" s="136"/>
    </row>
    <row r="493" spans="3:8" ht="15.75" customHeight="1" x14ac:dyDescent="0.25">
      <c r="C493" s="81"/>
      <c r="D493" s="81"/>
      <c r="E493" s="80"/>
      <c r="H493" s="136"/>
    </row>
    <row r="494" spans="3:8" ht="15.75" customHeight="1" x14ac:dyDescent="0.25">
      <c r="C494" s="81"/>
      <c r="D494" s="81"/>
      <c r="E494" s="80"/>
      <c r="H494" s="136"/>
    </row>
    <row r="495" spans="3:8" ht="15.75" customHeight="1" x14ac:dyDescent="0.25">
      <c r="C495" s="81"/>
      <c r="D495" s="81"/>
      <c r="E495" s="80"/>
      <c r="H495" s="136"/>
    </row>
    <row r="496" spans="3:8" ht="15.75" customHeight="1" x14ac:dyDescent="0.25">
      <c r="C496" s="81"/>
      <c r="D496" s="81"/>
      <c r="E496" s="80"/>
      <c r="H496" s="136"/>
    </row>
    <row r="497" spans="3:8" ht="15.75" customHeight="1" x14ac:dyDescent="0.25">
      <c r="C497" s="81"/>
      <c r="D497" s="81"/>
      <c r="E497" s="80"/>
      <c r="H497" s="136"/>
    </row>
    <row r="498" spans="3:8" ht="15.75" customHeight="1" x14ac:dyDescent="0.25">
      <c r="C498" s="81"/>
      <c r="D498" s="81"/>
      <c r="E498" s="80"/>
      <c r="H498" s="136"/>
    </row>
    <row r="499" spans="3:8" ht="15.75" customHeight="1" x14ac:dyDescent="0.25">
      <c r="C499" s="81"/>
      <c r="D499" s="81"/>
      <c r="E499" s="80"/>
      <c r="H499" s="136"/>
    </row>
    <row r="500" spans="3:8" ht="15.75" customHeight="1" x14ac:dyDescent="0.25">
      <c r="C500" s="81"/>
      <c r="D500" s="81"/>
      <c r="E500" s="80"/>
      <c r="H500" s="136"/>
    </row>
    <row r="501" spans="3:8" ht="15.75" customHeight="1" x14ac:dyDescent="0.25">
      <c r="C501" s="81"/>
      <c r="D501" s="81"/>
      <c r="E501" s="80"/>
      <c r="H501" s="136"/>
    </row>
    <row r="502" spans="3:8" ht="15.75" customHeight="1" x14ac:dyDescent="0.25">
      <c r="C502" s="81"/>
      <c r="D502" s="81"/>
      <c r="E502" s="80"/>
      <c r="H502" s="136"/>
    </row>
    <row r="503" spans="3:8" ht="15.75" customHeight="1" x14ac:dyDescent="0.25">
      <c r="C503" s="81"/>
      <c r="D503" s="81"/>
      <c r="E503" s="80"/>
      <c r="H503" s="136"/>
    </row>
    <row r="504" spans="3:8" ht="15.75" customHeight="1" x14ac:dyDescent="0.25">
      <c r="C504" s="81"/>
      <c r="D504" s="81"/>
      <c r="E504" s="80"/>
      <c r="H504" s="136"/>
    </row>
    <row r="505" spans="3:8" ht="15.75" customHeight="1" x14ac:dyDescent="0.25">
      <c r="C505" s="81"/>
      <c r="D505" s="81"/>
      <c r="E505" s="80"/>
      <c r="H505" s="136"/>
    </row>
    <row r="506" spans="3:8" ht="15.75" customHeight="1" x14ac:dyDescent="0.25">
      <c r="C506" s="81"/>
      <c r="D506" s="81"/>
      <c r="E506" s="80"/>
      <c r="H506" s="136"/>
    </row>
    <row r="507" spans="3:8" ht="15.75" customHeight="1" x14ac:dyDescent="0.25">
      <c r="C507" s="81"/>
      <c r="D507" s="81"/>
      <c r="E507" s="80"/>
      <c r="H507" s="136"/>
    </row>
    <row r="508" spans="3:8" ht="15.75" customHeight="1" x14ac:dyDescent="0.25">
      <c r="C508" s="81"/>
      <c r="D508" s="81"/>
      <c r="E508" s="80"/>
      <c r="H508" s="136"/>
    </row>
    <row r="509" spans="3:8" ht="15.75" customHeight="1" x14ac:dyDescent="0.25">
      <c r="C509" s="81"/>
      <c r="D509" s="81"/>
      <c r="E509" s="80"/>
      <c r="H509" s="136"/>
    </row>
    <row r="510" spans="3:8" ht="15.75" customHeight="1" x14ac:dyDescent="0.25">
      <c r="C510" s="81"/>
      <c r="D510" s="81"/>
      <c r="E510" s="80"/>
      <c r="H510" s="136"/>
    </row>
    <row r="511" spans="3:8" ht="15.75" customHeight="1" x14ac:dyDescent="0.25">
      <c r="C511" s="81"/>
      <c r="D511" s="81"/>
      <c r="E511" s="80"/>
      <c r="H511" s="136"/>
    </row>
    <row r="512" spans="3:8" ht="15.75" customHeight="1" x14ac:dyDescent="0.25">
      <c r="C512" s="81"/>
      <c r="D512" s="81"/>
      <c r="E512" s="80"/>
      <c r="H512" s="136"/>
    </row>
    <row r="513" spans="3:8" ht="15.75" customHeight="1" x14ac:dyDescent="0.25">
      <c r="C513" s="81"/>
      <c r="D513" s="81"/>
      <c r="E513" s="80"/>
      <c r="H513" s="136"/>
    </row>
    <row r="514" spans="3:8" ht="15.75" customHeight="1" x14ac:dyDescent="0.25">
      <c r="C514" s="81"/>
      <c r="D514" s="81"/>
      <c r="E514" s="80"/>
      <c r="H514" s="136"/>
    </row>
    <row r="515" spans="3:8" ht="15.75" customHeight="1" x14ac:dyDescent="0.25">
      <c r="C515" s="81"/>
      <c r="D515" s="81"/>
      <c r="E515" s="80"/>
      <c r="H515" s="136"/>
    </row>
    <row r="516" spans="3:8" ht="15.75" customHeight="1" x14ac:dyDescent="0.25">
      <c r="C516" s="81"/>
      <c r="D516" s="81"/>
      <c r="E516" s="80"/>
      <c r="H516" s="136"/>
    </row>
    <row r="517" spans="3:8" ht="15.75" customHeight="1" x14ac:dyDescent="0.25">
      <c r="C517" s="81"/>
      <c r="D517" s="81"/>
      <c r="E517" s="80"/>
      <c r="H517" s="136"/>
    </row>
    <row r="518" spans="3:8" ht="15.75" customHeight="1" x14ac:dyDescent="0.25">
      <c r="C518" s="81"/>
      <c r="D518" s="81"/>
      <c r="E518" s="80"/>
      <c r="H518" s="136"/>
    </row>
    <row r="519" spans="3:8" ht="15.75" customHeight="1" x14ac:dyDescent="0.25">
      <c r="C519" s="81"/>
      <c r="D519" s="81"/>
      <c r="E519" s="80"/>
      <c r="H519" s="136"/>
    </row>
    <row r="520" spans="3:8" ht="15.75" customHeight="1" x14ac:dyDescent="0.25">
      <c r="C520" s="81"/>
      <c r="D520" s="81"/>
      <c r="E520" s="80"/>
      <c r="H520" s="136"/>
    </row>
    <row r="521" spans="3:8" ht="15.75" customHeight="1" x14ac:dyDescent="0.25">
      <c r="C521" s="81"/>
      <c r="D521" s="81"/>
      <c r="E521" s="80"/>
      <c r="H521" s="136"/>
    </row>
    <row r="522" spans="3:8" ht="15.75" customHeight="1" x14ac:dyDescent="0.25">
      <c r="C522" s="81"/>
      <c r="D522" s="81"/>
      <c r="E522" s="80"/>
      <c r="H522" s="136"/>
    </row>
    <row r="523" spans="3:8" ht="15.75" customHeight="1" x14ac:dyDescent="0.25">
      <c r="C523" s="81"/>
      <c r="D523" s="81"/>
      <c r="E523" s="80"/>
      <c r="H523" s="136"/>
    </row>
    <row r="524" spans="3:8" ht="15.75" customHeight="1" x14ac:dyDescent="0.25">
      <c r="C524" s="81"/>
      <c r="D524" s="81"/>
      <c r="E524" s="80"/>
      <c r="H524" s="136"/>
    </row>
    <row r="525" spans="3:8" ht="15.75" customHeight="1" x14ac:dyDescent="0.25">
      <c r="C525" s="81"/>
      <c r="D525" s="81"/>
      <c r="E525" s="80"/>
      <c r="H525" s="136"/>
    </row>
    <row r="526" spans="3:8" ht="15.75" customHeight="1" x14ac:dyDescent="0.25">
      <c r="C526" s="81"/>
      <c r="D526" s="81"/>
      <c r="E526" s="80"/>
      <c r="H526" s="136"/>
    </row>
    <row r="527" spans="3:8" ht="15.75" customHeight="1" x14ac:dyDescent="0.25">
      <c r="C527" s="81"/>
      <c r="D527" s="81"/>
      <c r="E527" s="80"/>
      <c r="H527" s="136"/>
    </row>
    <row r="528" spans="3:8" ht="15.75" customHeight="1" x14ac:dyDescent="0.25">
      <c r="C528" s="81"/>
      <c r="D528" s="81"/>
      <c r="E528" s="80"/>
      <c r="H528" s="136"/>
    </row>
    <row r="529" spans="3:8" ht="15.75" customHeight="1" x14ac:dyDescent="0.25">
      <c r="C529" s="81"/>
      <c r="D529" s="81"/>
      <c r="E529" s="80"/>
      <c r="H529" s="136"/>
    </row>
    <row r="530" spans="3:8" ht="15.75" customHeight="1" x14ac:dyDescent="0.25">
      <c r="C530" s="81"/>
      <c r="D530" s="81"/>
      <c r="E530" s="80"/>
      <c r="H530" s="136"/>
    </row>
    <row r="531" spans="3:8" ht="15.75" customHeight="1" x14ac:dyDescent="0.25">
      <c r="C531" s="81"/>
      <c r="D531" s="81"/>
      <c r="E531" s="80"/>
      <c r="H531" s="136"/>
    </row>
    <row r="532" spans="3:8" ht="15.75" customHeight="1" x14ac:dyDescent="0.25">
      <c r="C532" s="81"/>
      <c r="D532" s="81"/>
      <c r="E532" s="80"/>
      <c r="H532" s="136"/>
    </row>
    <row r="533" spans="3:8" ht="15.75" customHeight="1" x14ac:dyDescent="0.25">
      <c r="C533" s="81"/>
      <c r="D533" s="81"/>
      <c r="E533" s="80"/>
      <c r="H533" s="136"/>
    </row>
    <row r="534" spans="3:8" ht="15.75" customHeight="1" x14ac:dyDescent="0.25">
      <c r="C534" s="81"/>
      <c r="D534" s="81"/>
      <c r="E534" s="80"/>
      <c r="H534" s="136"/>
    </row>
    <row r="535" spans="3:8" ht="15.75" customHeight="1" x14ac:dyDescent="0.25">
      <c r="C535" s="81"/>
      <c r="D535" s="81"/>
      <c r="E535" s="80"/>
      <c r="H535" s="136"/>
    </row>
    <row r="536" spans="3:8" ht="15.75" customHeight="1" x14ac:dyDescent="0.25">
      <c r="C536" s="81"/>
      <c r="D536" s="81"/>
      <c r="E536" s="80"/>
      <c r="H536" s="136"/>
    </row>
    <row r="537" spans="3:8" ht="15.75" customHeight="1" x14ac:dyDescent="0.25">
      <c r="C537" s="81"/>
      <c r="D537" s="81"/>
      <c r="E537" s="80"/>
      <c r="H537" s="136"/>
    </row>
    <row r="538" spans="3:8" ht="15.75" customHeight="1" x14ac:dyDescent="0.25">
      <c r="C538" s="81"/>
      <c r="D538" s="81"/>
      <c r="E538" s="80"/>
      <c r="H538" s="136"/>
    </row>
    <row r="539" spans="3:8" ht="15.75" customHeight="1" x14ac:dyDescent="0.25">
      <c r="C539" s="81"/>
      <c r="D539" s="81"/>
      <c r="E539" s="80"/>
      <c r="H539" s="136"/>
    </row>
    <row r="540" spans="3:8" ht="15.75" customHeight="1" x14ac:dyDescent="0.25">
      <c r="C540" s="81"/>
      <c r="D540" s="81"/>
      <c r="E540" s="80"/>
      <c r="H540" s="136"/>
    </row>
    <row r="541" spans="3:8" ht="15.75" customHeight="1" x14ac:dyDescent="0.25">
      <c r="C541" s="81"/>
      <c r="D541" s="81"/>
      <c r="E541" s="80"/>
      <c r="H541" s="136"/>
    </row>
    <row r="542" spans="3:8" ht="15.75" customHeight="1" x14ac:dyDescent="0.25">
      <c r="C542" s="81"/>
      <c r="D542" s="81"/>
      <c r="E542" s="80"/>
      <c r="H542" s="136"/>
    </row>
    <row r="543" spans="3:8" ht="15.75" customHeight="1" x14ac:dyDescent="0.25">
      <c r="C543" s="81"/>
      <c r="D543" s="81"/>
      <c r="E543" s="80"/>
      <c r="H543" s="136"/>
    </row>
    <row r="544" spans="3:8" ht="15.75" customHeight="1" x14ac:dyDescent="0.25">
      <c r="C544" s="81"/>
      <c r="D544" s="81"/>
      <c r="E544" s="80"/>
      <c r="H544" s="136"/>
    </row>
    <row r="545" spans="3:8" ht="15.75" customHeight="1" x14ac:dyDescent="0.25">
      <c r="C545" s="81"/>
      <c r="D545" s="81"/>
      <c r="E545" s="80"/>
      <c r="H545" s="136"/>
    </row>
    <row r="546" spans="3:8" ht="15.75" customHeight="1" x14ac:dyDescent="0.25">
      <c r="C546" s="81"/>
      <c r="D546" s="81"/>
      <c r="E546" s="80"/>
      <c r="H546" s="136"/>
    </row>
    <row r="547" spans="3:8" ht="15.75" customHeight="1" x14ac:dyDescent="0.25">
      <c r="C547" s="81"/>
      <c r="D547" s="81"/>
      <c r="E547" s="80"/>
      <c r="H547" s="136"/>
    </row>
    <row r="548" spans="3:8" ht="15.75" customHeight="1" x14ac:dyDescent="0.25">
      <c r="C548" s="81"/>
      <c r="D548" s="81"/>
      <c r="E548" s="80"/>
      <c r="H548" s="136"/>
    </row>
    <row r="549" spans="3:8" ht="15.75" customHeight="1" x14ac:dyDescent="0.25">
      <c r="C549" s="81"/>
      <c r="D549" s="81"/>
      <c r="E549" s="80"/>
      <c r="H549" s="136"/>
    </row>
    <row r="550" spans="3:8" ht="15.75" customHeight="1" x14ac:dyDescent="0.25">
      <c r="C550" s="81"/>
      <c r="D550" s="81"/>
      <c r="E550" s="80"/>
      <c r="H550" s="136"/>
    </row>
    <row r="551" spans="3:8" ht="15.75" customHeight="1" x14ac:dyDescent="0.25">
      <c r="C551" s="81"/>
      <c r="D551" s="81"/>
      <c r="E551" s="80"/>
      <c r="H551" s="136"/>
    </row>
    <row r="552" spans="3:8" ht="15.75" customHeight="1" x14ac:dyDescent="0.25">
      <c r="C552" s="81"/>
      <c r="D552" s="81"/>
      <c r="E552" s="80"/>
      <c r="H552" s="136"/>
    </row>
    <row r="553" spans="3:8" ht="15.75" customHeight="1" x14ac:dyDescent="0.25">
      <c r="C553" s="81"/>
      <c r="D553" s="81"/>
      <c r="E553" s="80"/>
      <c r="H553" s="136"/>
    </row>
    <row r="554" spans="3:8" ht="15.75" customHeight="1" x14ac:dyDescent="0.25">
      <c r="C554" s="81"/>
      <c r="D554" s="81"/>
      <c r="E554" s="80"/>
      <c r="H554" s="136"/>
    </row>
    <row r="555" spans="3:8" ht="15.75" customHeight="1" x14ac:dyDescent="0.25">
      <c r="C555" s="81"/>
      <c r="D555" s="81"/>
      <c r="E555" s="80"/>
      <c r="H555" s="136"/>
    </row>
    <row r="556" spans="3:8" ht="15.75" customHeight="1" x14ac:dyDescent="0.25">
      <c r="C556" s="81"/>
      <c r="D556" s="81"/>
      <c r="E556" s="80"/>
      <c r="H556" s="136"/>
    </row>
    <row r="557" spans="3:8" ht="15.75" customHeight="1" x14ac:dyDescent="0.25">
      <c r="C557" s="81"/>
      <c r="D557" s="81"/>
      <c r="E557" s="80"/>
      <c r="H557" s="136"/>
    </row>
    <row r="558" spans="3:8" ht="15.75" customHeight="1" x14ac:dyDescent="0.25">
      <c r="C558" s="81"/>
      <c r="D558" s="81"/>
      <c r="E558" s="80"/>
      <c r="H558" s="136"/>
    </row>
    <row r="559" spans="3:8" ht="15.75" customHeight="1" x14ac:dyDescent="0.25">
      <c r="C559" s="81"/>
      <c r="D559" s="81"/>
      <c r="E559" s="80"/>
      <c r="H559" s="136"/>
    </row>
    <row r="560" spans="3:8" ht="15.75" customHeight="1" x14ac:dyDescent="0.25">
      <c r="C560" s="81"/>
      <c r="D560" s="81"/>
      <c r="E560" s="80"/>
      <c r="H560" s="136"/>
    </row>
    <row r="561" spans="3:8" ht="15.75" customHeight="1" x14ac:dyDescent="0.25">
      <c r="C561" s="81"/>
      <c r="D561" s="81"/>
      <c r="E561" s="80"/>
      <c r="H561" s="136"/>
    </row>
    <row r="562" spans="3:8" ht="15.75" customHeight="1" x14ac:dyDescent="0.25">
      <c r="C562" s="81"/>
      <c r="D562" s="81"/>
      <c r="E562" s="80"/>
      <c r="H562" s="136"/>
    </row>
    <row r="563" spans="3:8" ht="15.75" customHeight="1" x14ac:dyDescent="0.25">
      <c r="C563" s="81"/>
      <c r="D563" s="81"/>
      <c r="E563" s="80"/>
      <c r="H563" s="136"/>
    </row>
    <row r="564" spans="3:8" ht="15.75" customHeight="1" x14ac:dyDescent="0.25">
      <c r="C564" s="81"/>
      <c r="D564" s="81"/>
      <c r="E564" s="80"/>
      <c r="H564" s="136"/>
    </row>
    <row r="565" spans="3:8" ht="15.75" customHeight="1" x14ac:dyDescent="0.25">
      <c r="C565" s="81"/>
      <c r="D565" s="81"/>
      <c r="E565" s="80"/>
      <c r="H565" s="136"/>
    </row>
    <row r="566" spans="3:8" ht="15.75" customHeight="1" x14ac:dyDescent="0.25">
      <c r="C566" s="81"/>
      <c r="D566" s="81"/>
      <c r="E566" s="80"/>
      <c r="H566" s="136"/>
    </row>
    <row r="567" spans="3:8" ht="15.75" customHeight="1" x14ac:dyDescent="0.25">
      <c r="C567" s="81"/>
      <c r="D567" s="81"/>
      <c r="E567" s="80"/>
      <c r="H567" s="136"/>
    </row>
    <row r="568" spans="3:8" ht="15.75" customHeight="1" x14ac:dyDescent="0.25">
      <c r="C568" s="81"/>
      <c r="D568" s="81"/>
      <c r="E568" s="80"/>
      <c r="H568" s="136"/>
    </row>
    <row r="569" spans="3:8" ht="15.75" customHeight="1" x14ac:dyDescent="0.25">
      <c r="C569" s="81"/>
      <c r="D569" s="81"/>
      <c r="E569" s="80"/>
      <c r="H569" s="136"/>
    </row>
    <row r="570" spans="3:8" ht="15.75" customHeight="1" x14ac:dyDescent="0.25">
      <c r="C570" s="81"/>
      <c r="D570" s="81"/>
      <c r="E570" s="80"/>
      <c r="H570" s="136"/>
    </row>
    <row r="571" spans="3:8" ht="15.75" customHeight="1" x14ac:dyDescent="0.25">
      <c r="C571" s="81"/>
      <c r="D571" s="81"/>
      <c r="E571" s="80"/>
      <c r="H571" s="136"/>
    </row>
    <row r="572" spans="3:8" ht="15.75" customHeight="1" x14ac:dyDescent="0.25">
      <c r="C572" s="81"/>
      <c r="D572" s="81"/>
      <c r="E572" s="80"/>
      <c r="H572" s="136"/>
    </row>
    <row r="573" spans="3:8" ht="15.75" customHeight="1" x14ac:dyDescent="0.25">
      <c r="C573" s="81"/>
      <c r="D573" s="81"/>
      <c r="E573" s="80"/>
      <c r="H573" s="136"/>
    </row>
    <row r="574" spans="3:8" ht="15.75" customHeight="1" x14ac:dyDescent="0.25">
      <c r="C574" s="81"/>
      <c r="D574" s="81"/>
      <c r="E574" s="80"/>
      <c r="H574" s="136"/>
    </row>
    <row r="575" spans="3:8" ht="15.75" customHeight="1" x14ac:dyDescent="0.25">
      <c r="C575" s="81"/>
      <c r="D575" s="81"/>
      <c r="E575" s="80"/>
      <c r="H575" s="136"/>
    </row>
    <row r="576" spans="3:8" ht="15.75" customHeight="1" x14ac:dyDescent="0.25">
      <c r="C576" s="81"/>
      <c r="D576" s="81"/>
      <c r="E576" s="80"/>
      <c r="H576" s="136"/>
    </row>
    <row r="577" spans="3:8" ht="15.75" customHeight="1" x14ac:dyDescent="0.25">
      <c r="C577" s="81"/>
      <c r="D577" s="81"/>
      <c r="E577" s="80"/>
      <c r="H577" s="136"/>
    </row>
    <row r="578" spans="3:8" ht="15.75" customHeight="1" x14ac:dyDescent="0.25">
      <c r="C578" s="81"/>
      <c r="D578" s="81"/>
      <c r="E578" s="80"/>
      <c r="H578" s="136"/>
    </row>
    <row r="579" spans="3:8" ht="15.75" customHeight="1" x14ac:dyDescent="0.25">
      <c r="C579" s="81"/>
      <c r="D579" s="81"/>
      <c r="E579" s="80"/>
      <c r="H579" s="136"/>
    </row>
    <row r="580" spans="3:8" ht="15.75" customHeight="1" x14ac:dyDescent="0.25">
      <c r="C580" s="81"/>
      <c r="D580" s="81"/>
      <c r="E580" s="80"/>
      <c r="H580" s="136"/>
    </row>
    <row r="581" spans="3:8" ht="15.75" customHeight="1" x14ac:dyDescent="0.25">
      <c r="C581" s="81"/>
      <c r="D581" s="81"/>
      <c r="E581" s="80"/>
      <c r="H581" s="136"/>
    </row>
    <row r="582" spans="3:8" ht="15.75" customHeight="1" x14ac:dyDescent="0.25">
      <c r="C582" s="81"/>
      <c r="D582" s="81"/>
      <c r="E582" s="80"/>
      <c r="H582" s="136"/>
    </row>
    <row r="583" spans="3:8" ht="15.75" customHeight="1" x14ac:dyDescent="0.25">
      <c r="C583" s="81"/>
      <c r="D583" s="81"/>
      <c r="E583" s="80"/>
      <c r="H583" s="136"/>
    </row>
    <row r="584" spans="3:8" ht="15.75" customHeight="1" x14ac:dyDescent="0.25">
      <c r="C584" s="81"/>
      <c r="D584" s="81"/>
      <c r="E584" s="80"/>
      <c r="H584" s="136"/>
    </row>
    <row r="585" spans="3:8" ht="15.75" customHeight="1" x14ac:dyDescent="0.25">
      <c r="C585" s="81"/>
      <c r="D585" s="81"/>
      <c r="E585" s="80"/>
      <c r="H585" s="136"/>
    </row>
    <row r="586" spans="3:8" ht="15.75" customHeight="1" x14ac:dyDescent="0.25">
      <c r="C586" s="81"/>
      <c r="D586" s="81"/>
      <c r="E586" s="80"/>
      <c r="H586" s="136"/>
    </row>
    <row r="587" spans="3:8" ht="15.75" customHeight="1" x14ac:dyDescent="0.25">
      <c r="C587" s="81"/>
      <c r="D587" s="81"/>
      <c r="E587" s="80"/>
      <c r="H587" s="136"/>
    </row>
    <row r="588" spans="3:8" ht="15.75" customHeight="1" x14ac:dyDescent="0.25">
      <c r="C588" s="81"/>
      <c r="D588" s="81"/>
      <c r="E588" s="80"/>
      <c r="H588" s="136"/>
    </row>
    <row r="589" spans="3:8" ht="15.75" customHeight="1" x14ac:dyDescent="0.25">
      <c r="C589" s="81"/>
      <c r="D589" s="81"/>
      <c r="E589" s="80"/>
      <c r="H589" s="136"/>
    </row>
    <row r="590" spans="3:8" ht="15.75" customHeight="1" x14ac:dyDescent="0.25">
      <c r="C590" s="81"/>
      <c r="D590" s="81"/>
      <c r="E590" s="80"/>
      <c r="H590" s="136"/>
    </row>
    <row r="591" spans="3:8" ht="15.75" customHeight="1" x14ac:dyDescent="0.25">
      <c r="C591" s="81"/>
      <c r="D591" s="81"/>
      <c r="E591" s="80"/>
      <c r="H591" s="136"/>
    </row>
    <row r="592" spans="3:8" ht="15.75" customHeight="1" x14ac:dyDescent="0.25">
      <c r="C592" s="81"/>
      <c r="D592" s="81"/>
      <c r="E592" s="80"/>
      <c r="H592" s="136"/>
    </row>
    <row r="593" spans="3:8" ht="15.75" customHeight="1" x14ac:dyDescent="0.25">
      <c r="C593" s="81"/>
      <c r="D593" s="81"/>
      <c r="E593" s="80"/>
      <c r="H593" s="136"/>
    </row>
    <row r="594" spans="3:8" ht="15.75" customHeight="1" x14ac:dyDescent="0.25">
      <c r="C594" s="81"/>
      <c r="D594" s="81"/>
      <c r="E594" s="80"/>
      <c r="H594" s="136"/>
    </row>
    <row r="595" spans="3:8" ht="15.75" customHeight="1" x14ac:dyDescent="0.25">
      <c r="C595" s="81"/>
      <c r="D595" s="81"/>
      <c r="E595" s="80"/>
      <c r="H595" s="136"/>
    </row>
    <row r="596" spans="3:8" ht="15.75" customHeight="1" x14ac:dyDescent="0.25">
      <c r="C596" s="81"/>
      <c r="D596" s="81"/>
      <c r="E596" s="80"/>
      <c r="H596" s="136"/>
    </row>
    <row r="597" spans="3:8" ht="15.75" customHeight="1" x14ac:dyDescent="0.25">
      <c r="C597" s="81"/>
      <c r="D597" s="81"/>
      <c r="E597" s="80"/>
      <c r="H597" s="136"/>
    </row>
    <row r="598" spans="3:8" ht="15.75" customHeight="1" x14ac:dyDescent="0.25">
      <c r="C598" s="81"/>
      <c r="D598" s="81"/>
      <c r="E598" s="80"/>
      <c r="H598" s="136"/>
    </row>
    <row r="599" spans="3:8" ht="15.75" customHeight="1" x14ac:dyDescent="0.25">
      <c r="C599" s="81"/>
      <c r="D599" s="81"/>
      <c r="E599" s="80"/>
      <c r="H599" s="136"/>
    </row>
    <row r="600" spans="3:8" ht="15.75" customHeight="1" x14ac:dyDescent="0.25">
      <c r="C600" s="81"/>
      <c r="D600" s="81"/>
      <c r="E600" s="80"/>
      <c r="H600" s="136"/>
    </row>
    <row r="601" spans="3:8" ht="15.75" customHeight="1" x14ac:dyDescent="0.25">
      <c r="C601" s="81"/>
      <c r="D601" s="81"/>
      <c r="E601" s="80"/>
      <c r="H601" s="136"/>
    </row>
    <row r="602" spans="3:8" ht="15.75" customHeight="1" x14ac:dyDescent="0.25">
      <c r="C602" s="81"/>
      <c r="D602" s="81"/>
      <c r="E602" s="80"/>
      <c r="H602" s="136"/>
    </row>
    <row r="603" spans="3:8" ht="15.75" customHeight="1" x14ac:dyDescent="0.25">
      <c r="C603" s="81"/>
      <c r="D603" s="81"/>
      <c r="E603" s="80"/>
      <c r="H603" s="136"/>
    </row>
    <row r="604" spans="3:8" ht="15.75" customHeight="1" x14ac:dyDescent="0.25">
      <c r="C604" s="81"/>
      <c r="D604" s="81"/>
      <c r="E604" s="80"/>
      <c r="H604" s="136"/>
    </row>
    <row r="605" spans="3:8" ht="15.75" customHeight="1" x14ac:dyDescent="0.25">
      <c r="C605" s="81"/>
      <c r="D605" s="81"/>
      <c r="E605" s="80"/>
      <c r="H605" s="136"/>
    </row>
    <row r="606" spans="3:8" ht="15.75" customHeight="1" x14ac:dyDescent="0.25">
      <c r="C606" s="81"/>
      <c r="D606" s="81"/>
      <c r="E606" s="80"/>
      <c r="H606" s="136"/>
    </row>
    <row r="607" spans="3:8" ht="15.75" customHeight="1" x14ac:dyDescent="0.25">
      <c r="C607" s="81"/>
      <c r="D607" s="81"/>
      <c r="E607" s="80"/>
      <c r="H607" s="136"/>
    </row>
    <row r="608" spans="3:8" ht="15.75" customHeight="1" x14ac:dyDescent="0.25">
      <c r="C608" s="81"/>
      <c r="D608" s="81"/>
      <c r="E608" s="80"/>
      <c r="H608" s="136"/>
    </row>
    <row r="609" spans="3:8" ht="15.75" customHeight="1" x14ac:dyDescent="0.25">
      <c r="C609" s="81"/>
      <c r="D609" s="81"/>
      <c r="E609" s="80"/>
      <c r="H609" s="136"/>
    </row>
    <row r="610" spans="3:8" ht="15.75" customHeight="1" x14ac:dyDescent="0.25">
      <c r="C610" s="81"/>
      <c r="D610" s="81"/>
      <c r="E610" s="80"/>
      <c r="H610" s="136"/>
    </row>
    <row r="611" spans="3:8" ht="15.75" customHeight="1" x14ac:dyDescent="0.25">
      <c r="C611" s="81"/>
      <c r="D611" s="81"/>
      <c r="E611" s="80"/>
      <c r="H611" s="136"/>
    </row>
    <row r="612" spans="3:8" ht="15.75" customHeight="1" x14ac:dyDescent="0.25">
      <c r="C612" s="81"/>
      <c r="D612" s="81"/>
      <c r="E612" s="80"/>
      <c r="H612" s="136"/>
    </row>
    <row r="613" spans="3:8" ht="15.75" customHeight="1" x14ac:dyDescent="0.25">
      <c r="C613" s="81"/>
      <c r="D613" s="81"/>
      <c r="E613" s="80"/>
      <c r="H613" s="136"/>
    </row>
    <row r="614" spans="3:8" ht="15.75" customHeight="1" x14ac:dyDescent="0.25">
      <c r="C614" s="81"/>
      <c r="D614" s="81"/>
      <c r="E614" s="80"/>
      <c r="H614" s="136"/>
    </row>
    <row r="615" spans="3:8" ht="15.75" customHeight="1" x14ac:dyDescent="0.25">
      <c r="C615" s="81"/>
      <c r="D615" s="81"/>
      <c r="E615" s="80"/>
      <c r="H615" s="136"/>
    </row>
    <row r="616" spans="3:8" ht="15.75" customHeight="1" x14ac:dyDescent="0.25">
      <c r="C616" s="81"/>
      <c r="D616" s="81"/>
      <c r="E616" s="80"/>
      <c r="H616" s="136"/>
    </row>
    <row r="617" spans="3:8" ht="15.75" customHeight="1" x14ac:dyDescent="0.25">
      <c r="C617" s="81"/>
      <c r="D617" s="81"/>
      <c r="E617" s="80"/>
      <c r="H617" s="136"/>
    </row>
    <row r="618" spans="3:8" ht="15.75" customHeight="1" x14ac:dyDescent="0.25">
      <c r="C618" s="81"/>
      <c r="D618" s="81"/>
      <c r="E618" s="80"/>
      <c r="H618" s="136"/>
    </row>
    <row r="619" spans="3:8" ht="15.75" customHeight="1" x14ac:dyDescent="0.25">
      <c r="C619" s="81"/>
      <c r="D619" s="81"/>
      <c r="E619" s="80"/>
      <c r="H619" s="136"/>
    </row>
    <row r="620" spans="3:8" ht="15.75" customHeight="1" x14ac:dyDescent="0.25">
      <c r="C620" s="81"/>
      <c r="D620" s="81"/>
      <c r="E620" s="80"/>
      <c r="H620" s="136"/>
    </row>
    <row r="621" spans="3:8" ht="15.75" customHeight="1" x14ac:dyDescent="0.25">
      <c r="C621" s="81"/>
      <c r="D621" s="81"/>
      <c r="E621" s="80"/>
      <c r="H621" s="136"/>
    </row>
    <row r="622" spans="3:8" ht="15.75" customHeight="1" x14ac:dyDescent="0.25">
      <c r="C622" s="81"/>
      <c r="D622" s="81"/>
      <c r="E622" s="80"/>
      <c r="H622" s="136"/>
    </row>
    <row r="623" spans="3:8" ht="15.75" customHeight="1" x14ac:dyDescent="0.25">
      <c r="C623" s="81"/>
      <c r="D623" s="81"/>
      <c r="E623" s="80"/>
      <c r="H623" s="136"/>
    </row>
    <row r="624" spans="3:8" ht="15.75" customHeight="1" x14ac:dyDescent="0.25">
      <c r="C624" s="81"/>
      <c r="D624" s="81"/>
      <c r="E624" s="80"/>
      <c r="H624" s="136"/>
    </row>
    <row r="625" spans="3:8" ht="15.75" customHeight="1" x14ac:dyDescent="0.25">
      <c r="C625" s="81"/>
      <c r="D625" s="81"/>
      <c r="E625" s="80"/>
      <c r="H625" s="136"/>
    </row>
    <row r="626" spans="3:8" ht="15.75" customHeight="1" x14ac:dyDescent="0.25">
      <c r="C626" s="81"/>
      <c r="D626" s="81"/>
      <c r="E626" s="80"/>
      <c r="H626" s="136"/>
    </row>
    <row r="627" spans="3:8" ht="15.75" customHeight="1" x14ac:dyDescent="0.25">
      <c r="C627" s="81"/>
      <c r="D627" s="81"/>
      <c r="E627" s="80"/>
      <c r="H627" s="136"/>
    </row>
    <row r="628" spans="3:8" ht="15.75" customHeight="1" x14ac:dyDescent="0.25">
      <c r="C628" s="81"/>
      <c r="D628" s="81"/>
      <c r="E628" s="80"/>
      <c r="H628" s="136"/>
    </row>
    <row r="629" spans="3:8" ht="15.75" customHeight="1" x14ac:dyDescent="0.25">
      <c r="C629" s="81"/>
      <c r="D629" s="81"/>
      <c r="E629" s="80"/>
      <c r="H629" s="136"/>
    </row>
    <row r="630" spans="3:8" ht="15.75" customHeight="1" x14ac:dyDescent="0.25">
      <c r="C630" s="81"/>
      <c r="D630" s="81"/>
      <c r="E630" s="80"/>
      <c r="H630" s="136"/>
    </row>
    <row r="631" spans="3:8" ht="15.75" customHeight="1" x14ac:dyDescent="0.25">
      <c r="C631" s="81"/>
      <c r="D631" s="81"/>
      <c r="E631" s="80"/>
      <c r="H631" s="136"/>
    </row>
    <row r="632" spans="3:8" ht="15.75" customHeight="1" x14ac:dyDescent="0.25">
      <c r="C632" s="81"/>
      <c r="D632" s="81"/>
      <c r="E632" s="80"/>
      <c r="H632" s="136"/>
    </row>
    <row r="633" spans="3:8" ht="15.75" customHeight="1" x14ac:dyDescent="0.25">
      <c r="C633" s="81"/>
      <c r="D633" s="81"/>
      <c r="E633" s="80"/>
      <c r="H633" s="136"/>
    </row>
    <row r="634" spans="3:8" ht="15.75" customHeight="1" x14ac:dyDescent="0.25">
      <c r="C634" s="81"/>
      <c r="D634" s="81"/>
      <c r="E634" s="80"/>
      <c r="H634" s="136"/>
    </row>
    <row r="635" spans="3:8" ht="15.75" customHeight="1" x14ac:dyDescent="0.25">
      <c r="C635" s="81"/>
      <c r="D635" s="81"/>
      <c r="E635" s="80"/>
      <c r="H635" s="136"/>
    </row>
    <row r="636" spans="3:8" ht="15.75" customHeight="1" x14ac:dyDescent="0.25">
      <c r="C636" s="81"/>
      <c r="D636" s="81"/>
      <c r="E636" s="80"/>
      <c r="H636" s="136"/>
    </row>
    <row r="637" spans="3:8" ht="15.75" customHeight="1" x14ac:dyDescent="0.25">
      <c r="C637" s="81"/>
      <c r="D637" s="81"/>
      <c r="E637" s="80"/>
      <c r="H637" s="136"/>
    </row>
    <row r="638" spans="3:8" ht="15.75" customHeight="1" x14ac:dyDescent="0.25">
      <c r="C638" s="81"/>
      <c r="D638" s="81"/>
      <c r="E638" s="80"/>
      <c r="H638" s="136"/>
    </row>
    <row r="639" spans="3:8" ht="15.75" customHeight="1" x14ac:dyDescent="0.25">
      <c r="C639" s="81"/>
      <c r="D639" s="81"/>
      <c r="E639" s="80"/>
      <c r="H639" s="136"/>
    </row>
    <row r="640" spans="3:8" ht="15.75" customHeight="1" x14ac:dyDescent="0.25">
      <c r="C640" s="81"/>
      <c r="D640" s="81"/>
      <c r="E640" s="80"/>
      <c r="H640" s="136"/>
    </row>
    <row r="641" spans="3:8" ht="15.75" customHeight="1" x14ac:dyDescent="0.25">
      <c r="C641" s="81"/>
      <c r="D641" s="81"/>
      <c r="E641" s="80"/>
      <c r="H641" s="136"/>
    </row>
    <row r="642" spans="3:8" ht="15.75" customHeight="1" x14ac:dyDescent="0.25">
      <c r="C642" s="81"/>
      <c r="D642" s="81"/>
      <c r="E642" s="80"/>
      <c r="H642" s="136"/>
    </row>
    <row r="643" spans="3:8" ht="15.75" customHeight="1" x14ac:dyDescent="0.25">
      <c r="C643" s="81"/>
      <c r="D643" s="81"/>
      <c r="E643" s="80"/>
      <c r="H643" s="136"/>
    </row>
    <row r="644" spans="3:8" ht="15.75" customHeight="1" x14ac:dyDescent="0.25">
      <c r="C644" s="81"/>
      <c r="D644" s="81"/>
      <c r="E644" s="80"/>
      <c r="H644" s="136"/>
    </row>
    <row r="645" spans="3:8" ht="15.75" customHeight="1" x14ac:dyDescent="0.25">
      <c r="C645" s="81"/>
      <c r="D645" s="81"/>
      <c r="E645" s="80"/>
      <c r="H645" s="136"/>
    </row>
    <row r="646" spans="3:8" ht="15.75" customHeight="1" x14ac:dyDescent="0.25">
      <c r="C646" s="81"/>
      <c r="D646" s="81"/>
      <c r="E646" s="80"/>
      <c r="H646" s="136"/>
    </row>
    <row r="647" spans="3:8" ht="15.75" customHeight="1" x14ac:dyDescent="0.25">
      <c r="C647" s="81"/>
      <c r="D647" s="81"/>
      <c r="E647" s="80"/>
      <c r="H647" s="136"/>
    </row>
    <row r="648" spans="3:8" ht="15.75" customHeight="1" x14ac:dyDescent="0.25">
      <c r="C648" s="81"/>
      <c r="D648" s="81"/>
      <c r="E648" s="80"/>
      <c r="H648" s="136"/>
    </row>
    <row r="649" spans="3:8" ht="15.75" customHeight="1" x14ac:dyDescent="0.25">
      <c r="C649" s="81"/>
      <c r="D649" s="81"/>
      <c r="E649" s="80"/>
      <c r="H649" s="136"/>
    </row>
    <row r="650" spans="3:8" ht="15.75" customHeight="1" x14ac:dyDescent="0.25">
      <c r="C650" s="81"/>
      <c r="D650" s="81"/>
      <c r="E650" s="80"/>
      <c r="H650" s="136"/>
    </row>
    <row r="651" spans="3:8" ht="15.75" customHeight="1" x14ac:dyDescent="0.25">
      <c r="C651" s="81"/>
      <c r="D651" s="81"/>
      <c r="E651" s="80"/>
      <c r="H651" s="136"/>
    </row>
    <row r="652" spans="3:8" ht="15.75" customHeight="1" x14ac:dyDescent="0.25">
      <c r="C652" s="81"/>
      <c r="D652" s="81"/>
      <c r="E652" s="80"/>
      <c r="H652" s="136"/>
    </row>
    <row r="653" spans="3:8" ht="15.75" customHeight="1" x14ac:dyDescent="0.25">
      <c r="C653" s="81"/>
      <c r="D653" s="81"/>
      <c r="E653" s="80"/>
      <c r="H653" s="136"/>
    </row>
    <row r="654" spans="3:8" ht="15.75" customHeight="1" x14ac:dyDescent="0.25">
      <c r="C654" s="81"/>
      <c r="D654" s="81"/>
      <c r="E654" s="80"/>
      <c r="H654" s="136"/>
    </row>
    <row r="655" spans="3:8" ht="15.75" customHeight="1" x14ac:dyDescent="0.25">
      <c r="C655" s="81"/>
      <c r="D655" s="81"/>
      <c r="E655" s="80"/>
      <c r="H655" s="136"/>
    </row>
    <row r="656" spans="3:8" ht="15.75" customHeight="1" x14ac:dyDescent="0.25">
      <c r="C656" s="81"/>
      <c r="D656" s="81"/>
      <c r="E656" s="80"/>
      <c r="H656" s="136"/>
    </row>
    <row r="657" spans="3:8" ht="15.75" customHeight="1" x14ac:dyDescent="0.25">
      <c r="C657" s="81"/>
      <c r="D657" s="81"/>
      <c r="E657" s="80"/>
      <c r="H657" s="136"/>
    </row>
    <row r="658" spans="3:8" ht="15.75" customHeight="1" x14ac:dyDescent="0.25">
      <c r="C658" s="81"/>
      <c r="D658" s="81"/>
      <c r="E658" s="80"/>
      <c r="H658" s="136"/>
    </row>
    <row r="659" spans="3:8" ht="15.75" customHeight="1" x14ac:dyDescent="0.25">
      <c r="C659" s="81"/>
      <c r="D659" s="81"/>
      <c r="E659" s="80"/>
      <c r="H659" s="136"/>
    </row>
    <row r="660" spans="3:8" ht="15.75" customHeight="1" x14ac:dyDescent="0.25">
      <c r="C660" s="81"/>
      <c r="D660" s="81"/>
      <c r="E660" s="80"/>
      <c r="H660" s="136"/>
    </row>
    <row r="661" spans="3:8" ht="15.75" customHeight="1" x14ac:dyDescent="0.25">
      <c r="C661" s="81"/>
      <c r="D661" s="81"/>
      <c r="E661" s="80"/>
      <c r="H661" s="136"/>
    </row>
    <row r="662" spans="3:8" ht="15.75" customHeight="1" x14ac:dyDescent="0.25">
      <c r="C662" s="81"/>
      <c r="D662" s="81"/>
      <c r="E662" s="80"/>
      <c r="H662" s="136"/>
    </row>
    <row r="663" spans="3:8" ht="15.75" customHeight="1" x14ac:dyDescent="0.25">
      <c r="C663" s="81"/>
      <c r="D663" s="81"/>
      <c r="E663" s="80"/>
      <c r="H663" s="136"/>
    </row>
    <row r="664" spans="3:8" ht="15.75" customHeight="1" x14ac:dyDescent="0.25">
      <c r="C664" s="81"/>
      <c r="D664" s="81"/>
      <c r="E664" s="80"/>
      <c r="H664" s="136"/>
    </row>
    <row r="665" spans="3:8" ht="15.75" customHeight="1" x14ac:dyDescent="0.25">
      <c r="C665" s="81"/>
      <c r="D665" s="81"/>
      <c r="E665" s="80"/>
      <c r="H665" s="136"/>
    </row>
    <row r="666" spans="3:8" ht="15.75" customHeight="1" x14ac:dyDescent="0.25">
      <c r="C666" s="81"/>
      <c r="D666" s="81"/>
      <c r="E666" s="80"/>
      <c r="H666" s="136"/>
    </row>
    <row r="667" spans="3:8" ht="15.75" customHeight="1" x14ac:dyDescent="0.25">
      <c r="C667" s="81"/>
      <c r="D667" s="81"/>
      <c r="E667" s="80"/>
      <c r="H667" s="136"/>
    </row>
    <row r="668" spans="3:8" ht="15.75" customHeight="1" x14ac:dyDescent="0.25">
      <c r="C668" s="81"/>
      <c r="D668" s="81"/>
      <c r="E668" s="80"/>
      <c r="H668" s="136"/>
    </row>
    <row r="669" spans="3:8" ht="15.75" customHeight="1" x14ac:dyDescent="0.25">
      <c r="C669" s="81"/>
      <c r="D669" s="81"/>
      <c r="E669" s="80"/>
      <c r="H669" s="136"/>
    </row>
    <row r="670" spans="3:8" ht="15.75" customHeight="1" x14ac:dyDescent="0.25">
      <c r="C670" s="81"/>
      <c r="D670" s="81"/>
      <c r="E670" s="80"/>
      <c r="H670" s="136"/>
    </row>
    <row r="671" spans="3:8" ht="15.75" customHeight="1" x14ac:dyDescent="0.25">
      <c r="C671" s="81"/>
      <c r="D671" s="81"/>
      <c r="E671" s="80"/>
      <c r="H671" s="136"/>
    </row>
    <row r="672" spans="3:8" ht="15.75" customHeight="1" x14ac:dyDescent="0.25">
      <c r="C672" s="81"/>
      <c r="D672" s="81"/>
      <c r="E672" s="80"/>
      <c r="H672" s="136"/>
    </row>
    <row r="673" spans="3:8" ht="15.75" customHeight="1" x14ac:dyDescent="0.25">
      <c r="C673" s="81"/>
      <c r="D673" s="81"/>
      <c r="E673" s="80"/>
      <c r="H673" s="136"/>
    </row>
    <row r="674" spans="3:8" ht="15.75" customHeight="1" x14ac:dyDescent="0.25">
      <c r="C674" s="81"/>
      <c r="D674" s="81"/>
      <c r="E674" s="80"/>
      <c r="H674" s="136"/>
    </row>
    <row r="675" spans="3:8" ht="15.75" customHeight="1" x14ac:dyDescent="0.25">
      <c r="C675" s="81"/>
      <c r="D675" s="81"/>
      <c r="E675" s="80"/>
      <c r="H675" s="136"/>
    </row>
    <row r="676" spans="3:8" ht="15.75" customHeight="1" x14ac:dyDescent="0.25">
      <c r="C676" s="81"/>
      <c r="D676" s="81"/>
      <c r="E676" s="80"/>
      <c r="H676" s="136"/>
    </row>
    <row r="677" spans="3:8" ht="15.75" customHeight="1" x14ac:dyDescent="0.25">
      <c r="C677" s="81"/>
      <c r="D677" s="81"/>
      <c r="E677" s="80"/>
      <c r="H677" s="136"/>
    </row>
    <row r="678" spans="3:8" ht="15.75" customHeight="1" x14ac:dyDescent="0.25">
      <c r="C678" s="81"/>
      <c r="D678" s="81"/>
      <c r="E678" s="80"/>
      <c r="H678" s="136"/>
    </row>
    <row r="679" spans="3:8" ht="15.75" customHeight="1" x14ac:dyDescent="0.25">
      <c r="C679" s="81"/>
      <c r="D679" s="81"/>
      <c r="E679" s="80"/>
      <c r="H679" s="136"/>
    </row>
    <row r="680" spans="3:8" ht="15.75" customHeight="1" x14ac:dyDescent="0.25">
      <c r="C680" s="81"/>
      <c r="D680" s="81"/>
      <c r="E680" s="80"/>
      <c r="H680" s="136"/>
    </row>
    <row r="681" spans="3:8" ht="15.75" customHeight="1" x14ac:dyDescent="0.25">
      <c r="C681" s="81"/>
      <c r="D681" s="81"/>
      <c r="E681" s="80"/>
      <c r="H681" s="136"/>
    </row>
    <row r="682" spans="3:8" ht="15.75" customHeight="1" x14ac:dyDescent="0.25">
      <c r="C682" s="81"/>
      <c r="D682" s="81"/>
      <c r="E682" s="80"/>
      <c r="H682" s="136"/>
    </row>
    <row r="683" spans="3:8" ht="15.75" customHeight="1" x14ac:dyDescent="0.25">
      <c r="C683" s="81"/>
      <c r="D683" s="81"/>
      <c r="E683" s="80"/>
      <c r="H683" s="136"/>
    </row>
    <row r="684" spans="3:8" ht="15.75" customHeight="1" x14ac:dyDescent="0.25">
      <c r="C684" s="81"/>
      <c r="D684" s="81"/>
      <c r="E684" s="80"/>
      <c r="H684" s="136"/>
    </row>
    <row r="685" spans="3:8" ht="15.75" customHeight="1" x14ac:dyDescent="0.25">
      <c r="C685" s="81"/>
      <c r="D685" s="81"/>
      <c r="E685" s="80"/>
      <c r="H685" s="136"/>
    </row>
    <row r="686" spans="3:8" ht="15.75" customHeight="1" x14ac:dyDescent="0.25">
      <c r="C686" s="81"/>
      <c r="D686" s="81"/>
      <c r="E686" s="80"/>
      <c r="H686" s="136"/>
    </row>
    <row r="687" spans="3:8" ht="15.75" customHeight="1" x14ac:dyDescent="0.25">
      <c r="C687" s="81"/>
      <c r="D687" s="81"/>
      <c r="E687" s="80"/>
      <c r="H687" s="136"/>
    </row>
    <row r="688" spans="3:8" ht="15.75" customHeight="1" x14ac:dyDescent="0.25">
      <c r="C688" s="81"/>
      <c r="D688" s="81"/>
      <c r="E688" s="80"/>
      <c r="H688" s="136"/>
    </row>
    <row r="689" spans="3:8" ht="15.75" customHeight="1" x14ac:dyDescent="0.25">
      <c r="C689" s="81"/>
      <c r="D689" s="81"/>
      <c r="E689" s="80"/>
      <c r="H689" s="136"/>
    </row>
    <row r="690" spans="3:8" ht="15.75" customHeight="1" x14ac:dyDescent="0.25">
      <c r="C690" s="81"/>
      <c r="D690" s="81"/>
      <c r="E690" s="80"/>
      <c r="H690" s="136"/>
    </row>
    <row r="691" spans="3:8" ht="15.75" customHeight="1" x14ac:dyDescent="0.25">
      <c r="C691" s="81"/>
      <c r="D691" s="81"/>
      <c r="E691" s="80"/>
      <c r="H691" s="136"/>
    </row>
    <row r="692" spans="3:8" ht="15.75" customHeight="1" x14ac:dyDescent="0.25">
      <c r="C692" s="81"/>
      <c r="D692" s="81"/>
      <c r="E692" s="80"/>
      <c r="H692" s="136"/>
    </row>
    <row r="693" spans="3:8" ht="15.75" customHeight="1" x14ac:dyDescent="0.25">
      <c r="C693" s="81"/>
      <c r="D693" s="81"/>
      <c r="E693" s="80"/>
      <c r="H693" s="136"/>
    </row>
    <row r="694" spans="3:8" ht="15.75" customHeight="1" x14ac:dyDescent="0.25">
      <c r="C694" s="81"/>
      <c r="D694" s="81"/>
      <c r="E694" s="80"/>
      <c r="H694" s="136"/>
    </row>
    <row r="695" spans="3:8" ht="15.75" customHeight="1" x14ac:dyDescent="0.25">
      <c r="C695" s="81"/>
      <c r="D695" s="81"/>
      <c r="E695" s="80"/>
      <c r="H695" s="136"/>
    </row>
    <row r="696" spans="3:8" ht="15.75" customHeight="1" x14ac:dyDescent="0.25">
      <c r="C696" s="81"/>
      <c r="D696" s="81"/>
      <c r="E696" s="80"/>
      <c r="H696" s="136"/>
    </row>
    <row r="697" spans="3:8" ht="15.75" customHeight="1" x14ac:dyDescent="0.25">
      <c r="C697" s="81"/>
      <c r="D697" s="81"/>
      <c r="E697" s="80"/>
      <c r="H697" s="136"/>
    </row>
    <row r="698" spans="3:8" ht="15.75" customHeight="1" x14ac:dyDescent="0.25">
      <c r="C698" s="81"/>
      <c r="D698" s="81"/>
      <c r="E698" s="80"/>
      <c r="H698" s="136"/>
    </row>
    <row r="699" spans="3:8" ht="15.75" customHeight="1" x14ac:dyDescent="0.25">
      <c r="C699" s="81"/>
      <c r="D699" s="81"/>
      <c r="E699" s="80"/>
      <c r="H699" s="136"/>
    </row>
    <row r="700" spans="3:8" ht="15.75" customHeight="1" x14ac:dyDescent="0.25">
      <c r="C700" s="81"/>
      <c r="D700" s="81"/>
      <c r="E700" s="80"/>
      <c r="H700" s="136"/>
    </row>
    <row r="701" spans="3:8" ht="15.75" customHeight="1" x14ac:dyDescent="0.25">
      <c r="C701" s="81"/>
      <c r="D701" s="81"/>
      <c r="E701" s="80"/>
      <c r="H701" s="136"/>
    </row>
    <row r="702" spans="3:8" ht="15.75" customHeight="1" x14ac:dyDescent="0.25">
      <c r="C702" s="81"/>
      <c r="D702" s="81"/>
      <c r="E702" s="80"/>
      <c r="H702" s="136"/>
    </row>
    <row r="703" spans="3:8" ht="15.75" customHeight="1" x14ac:dyDescent="0.25">
      <c r="C703" s="81"/>
      <c r="D703" s="81"/>
      <c r="E703" s="80"/>
      <c r="H703" s="136"/>
    </row>
    <row r="704" spans="3:8" ht="15.75" customHeight="1" x14ac:dyDescent="0.25">
      <c r="C704" s="81"/>
      <c r="D704" s="81"/>
      <c r="E704" s="80"/>
      <c r="H704" s="136"/>
    </row>
    <row r="705" spans="3:8" ht="15.75" customHeight="1" x14ac:dyDescent="0.25">
      <c r="C705" s="81"/>
      <c r="D705" s="81"/>
      <c r="E705" s="80"/>
      <c r="H705" s="136"/>
    </row>
    <row r="706" spans="3:8" ht="15.75" customHeight="1" x14ac:dyDescent="0.25">
      <c r="C706" s="81"/>
      <c r="D706" s="81"/>
      <c r="E706" s="80"/>
      <c r="H706" s="136"/>
    </row>
    <row r="707" spans="3:8" ht="15.75" customHeight="1" x14ac:dyDescent="0.25">
      <c r="C707" s="81"/>
      <c r="D707" s="81"/>
      <c r="E707" s="80"/>
      <c r="H707" s="136"/>
    </row>
    <row r="708" spans="3:8" ht="15.75" customHeight="1" x14ac:dyDescent="0.25">
      <c r="C708" s="81"/>
      <c r="D708" s="81"/>
      <c r="E708" s="80"/>
      <c r="H708" s="136"/>
    </row>
    <row r="709" spans="3:8" ht="15.75" customHeight="1" x14ac:dyDescent="0.25">
      <c r="C709" s="81"/>
      <c r="D709" s="81"/>
      <c r="E709" s="80"/>
      <c r="H709" s="136"/>
    </row>
    <row r="710" spans="3:8" ht="15.75" customHeight="1" x14ac:dyDescent="0.25">
      <c r="C710" s="81"/>
      <c r="D710" s="81"/>
      <c r="E710" s="80"/>
      <c r="H710" s="136"/>
    </row>
    <row r="711" spans="3:8" ht="15.75" customHeight="1" x14ac:dyDescent="0.25">
      <c r="C711" s="81"/>
      <c r="D711" s="81"/>
      <c r="E711" s="80"/>
      <c r="H711" s="136"/>
    </row>
    <row r="712" spans="3:8" ht="15.75" customHeight="1" x14ac:dyDescent="0.25">
      <c r="C712" s="81"/>
      <c r="D712" s="81"/>
      <c r="E712" s="80"/>
      <c r="H712" s="136"/>
    </row>
    <row r="713" spans="3:8" ht="15.75" customHeight="1" x14ac:dyDescent="0.25">
      <c r="C713" s="81"/>
      <c r="D713" s="81"/>
      <c r="E713" s="80"/>
      <c r="H713" s="136"/>
    </row>
    <row r="714" spans="3:8" ht="15.75" customHeight="1" x14ac:dyDescent="0.25">
      <c r="C714" s="81"/>
      <c r="D714" s="81"/>
      <c r="E714" s="80"/>
      <c r="H714" s="136"/>
    </row>
    <row r="715" spans="3:8" ht="15.75" customHeight="1" x14ac:dyDescent="0.25">
      <c r="C715" s="81"/>
      <c r="D715" s="81"/>
      <c r="E715" s="80"/>
      <c r="H715" s="136"/>
    </row>
    <row r="716" spans="3:8" ht="15.75" customHeight="1" x14ac:dyDescent="0.25">
      <c r="C716" s="81"/>
      <c r="D716" s="81"/>
      <c r="E716" s="80"/>
      <c r="H716" s="136"/>
    </row>
    <row r="717" spans="3:8" ht="15.75" customHeight="1" x14ac:dyDescent="0.25">
      <c r="C717" s="81"/>
      <c r="D717" s="81"/>
      <c r="E717" s="80"/>
      <c r="H717" s="136"/>
    </row>
    <row r="718" spans="3:8" ht="15.75" customHeight="1" x14ac:dyDescent="0.25">
      <c r="C718" s="81"/>
      <c r="D718" s="81"/>
      <c r="E718" s="80"/>
      <c r="H718" s="136"/>
    </row>
    <row r="719" spans="3:8" ht="15.75" customHeight="1" x14ac:dyDescent="0.25">
      <c r="C719" s="81"/>
      <c r="D719" s="81"/>
      <c r="E719" s="80"/>
      <c r="H719" s="136"/>
    </row>
    <row r="720" spans="3:8" ht="15.75" customHeight="1" x14ac:dyDescent="0.25">
      <c r="C720" s="81"/>
      <c r="D720" s="81"/>
      <c r="E720" s="80"/>
      <c r="H720" s="136"/>
    </row>
    <row r="721" spans="3:8" ht="15.75" customHeight="1" x14ac:dyDescent="0.25">
      <c r="C721" s="81"/>
      <c r="D721" s="81"/>
      <c r="E721" s="80"/>
      <c r="H721" s="136"/>
    </row>
    <row r="722" spans="3:8" ht="15.75" customHeight="1" x14ac:dyDescent="0.25">
      <c r="C722" s="81"/>
      <c r="D722" s="81"/>
      <c r="E722" s="80"/>
      <c r="H722" s="136"/>
    </row>
    <row r="723" spans="3:8" ht="15.75" customHeight="1" x14ac:dyDescent="0.25">
      <c r="C723" s="81"/>
      <c r="D723" s="81"/>
      <c r="E723" s="80"/>
      <c r="H723" s="136"/>
    </row>
    <row r="724" spans="3:8" ht="15.75" customHeight="1" x14ac:dyDescent="0.25">
      <c r="C724" s="81"/>
      <c r="D724" s="81"/>
      <c r="E724" s="80"/>
      <c r="H724" s="136"/>
    </row>
    <row r="725" spans="3:8" ht="15.75" customHeight="1" x14ac:dyDescent="0.25">
      <c r="C725" s="81"/>
      <c r="D725" s="81"/>
      <c r="E725" s="80"/>
      <c r="H725" s="136"/>
    </row>
    <row r="726" spans="3:8" ht="15.75" customHeight="1" x14ac:dyDescent="0.25">
      <c r="C726" s="81"/>
      <c r="D726" s="81"/>
      <c r="E726" s="80"/>
      <c r="H726" s="136"/>
    </row>
    <row r="727" spans="3:8" ht="15.75" customHeight="1" x14ac:dyDescent="0.25">
      <c r="C727" s="81"/>
      <c r="D727" s="81"/>
      <c r="E727" s="80"/>
      <c r="H727" s="136"/>
    </row>
    <row r="728" spans="3:8" ht="15.75" customHeight="1" x14ac:dyDescent="0.25">
      <c r="C728" s="81"/>
      <c r="D728" s="81"/>
      <c r="E728" s="80"/>
      <c r="H728" s="136"/>
    </row>
    <row r="729" spans="3:8" ht="15.75" customHeight="1" x14ac:dyDescent="0.25">
      <c r="C729" s="81"/>
      <c r="D729" s="81"/>
      <c r="E729" s="80"/>
      <c r="H729" s="136"/>
    </row>
    <row r="730" spans="3:8" ht="15.75" customHeight="1" x14ac:dyDescent="0.25">
      <c r="C730" s="81"/>
      <c r="D730" s="81"/>
      <c r="E730" s="80"/>
      <c r="H730" s="136"/>
    </row>
    <row r="731" spans="3:8" ht="15.75" customHeight="1" x14ac:dyDescent="0.25">
      <c r="C731" s="81"/>
      <c r="D731" s="81"/>
      <c r="E731" s="80"/>
      <c r="H731" s="136"/>
    </row>
    <row r="732" spans="3:8" ht="15.75" customHeight="1" x14ac:dyDescent="0.25">
      <c r="C732" s="81"/>
      <c r="D732" s="81"/>
      <c r="E732" s="80"/>
      <c r="H732" s="136"/>
    </row>
    <row r="733" spans="3:8" ht="15.75" customHeight="1" x14ac:dyDescent="0.25">
      <c r="C733" s="81"/>
      <c r="D733" s="81"/>
      <c r="E733" s="80"/>
      <c r="H733" s="136"/>
    </row>
    <row r="734" spans="3:8" ht="15.75" customHeight="1" x14ac:dyDescent="0.25">
      <c r="C734" s="81"/>
      <c r="D734" s="81"/>
      <c r="E734" s="80"/>
      <c r="H734" s="136"/>
    </row>
    <row r="735" spans="3:8" ht="15.75" customHeight="1" x14ac:dyDescent="0.25">
      <c r="C735" s="81"/>
      <c r="D735" s="81"/>
      <c r="E735" s="80"/>
      <c r="H735" s="136"/>
    </row>
    <row r="736" spans="3:8" ht="15.75" customHeight="1" x14ac:dyDescent="0.25">
      <c r="C736" s="81"/>
      <c r="D736" s="81"/>
      <c r="E736" s="80"/>
      <c r="H736" s="136"/>
    </row>
    <row r="737" spans="3:8" ht="15.75" customHeight="1" x14ac:dyDescent="0.25">
      <c r="C737" s="81"/>
      <c r="D737" s="81"/>
      <c r="E737" s="80"/>
      <c r="H737" s="136"/>
    </row>
    <row r="738" spans="3:8" ht="15.75" customHeight="1" x14ac:dyDescent="0.25">
      <c r="C738" s="81"/>
      <c r="D738" s="81"/>
      <c r="E738" s="80"/>
      <c r="H738" s="136"/>
    </row>
    <row r="739" spans="3:8" ht="15.75" customHeight="1" x14ac:dyDescent="0.25">
      <c r="C739" s="81"/>
      <c r="D739" s="81"/>
      <c r="E739" s="80"/>
      <c r="H739" s="136"/>
    </row>
    <row r="740" spans="3:8" ht="15.75" customHeight="1" x14ac:dyDescent="0.25">
      <c r="C740" s="81"/>
      <c r="D740" s="81"/>
      <c r="E740" s="80"/>
      <c r="H740" s="136"/>
    </row>
    <row r="741" spans="3:8" ht="15.75" customHeight="1" x14ac:dyDescent="0.25">
      <c r="C741" s="81"/>
      <c r="D741" s="81"/>
      <c r="E741" s="80"/>
      <c r="H741" s="136"/>
    </row>
    <row r="742" spans="3:8" ht="15.75" customHeight="1" x14ac:dyDescent="0.25">
      <c r="C742" s="81"/>
      <c r="D742" s="81"/>
      <c r="E742" s="80"/>
      <c r="H742" s="136"/>
    </row>
    <row r="743" spans="3:8" ht="15.75" customHeight="1" x14ac:dyDescent="0.25">
      <c r="C743" s="81"/>
      <c r="D743" s="81"/>
      <c r="E743" s="80"/>
      <c r="H743" s="136"/>
    </row>
    <row r="744" spans="3:8" ht="15.75" customHeight="1" x14ac:dyDescent="0.25">
      <c r="C744" s="81"/>
      <c r="D744" s="81"/>
      <c r="E744" s="80"/>
      <c r="H744" s="136"/>
    </row>
    <row r="745" spans="3:8" ht="15.75" customHeight="1" x14ac:dyDescent="0.25">
      <c r="C745" s="81"/>
      <c r="D745" s="81"/>
      <c r="E745" s="80"/>
      <c r="H745" s="136"/>
    </row>
    <row r="746" spans="3:8" ht="15.75" customHeight="1" x14ac:dyDescent="0.25">
      <c r="C746" s="81"/>
      <c r="D746" s="81"/>
      <c r="E746" s="80"/>
      <c r="H746" s="136"/>
    </row>
    <row r="747" spans="3:8" ht="15.75" customHeight="1" x14ac:dyDescent="0.25">
      <c r="C747" s="81"/>
      <c r="D747" s="81"/>
      <c r="E747" s="80"/>
      <c r="H747" s="136"/>
    </row>
    <row r="748" spans="3:8" ht="15.75" customHeight="1" x14ac:dyDescent="0.25">
      <c r="C748" s="81"/>
      <c r="D748" s="81"/>
      <c r="E748" s="80"/>
      <c r="H748" s="136"/>
    </row>
    <row r="749" spans="3:8" ht="15.75" customHeight="1" x14ac:dyDescent="0.25">
      <c r="C749" s="81"/>
      <c r="D749" s="81"/>
      <c r="E749" s="80"/>
      <c r="H749" s="136"/>
    </row>
    <row r="750" spans="3:8" ht="15.75" customHeight="1" x14ac:dyDescent="0.25">
      <c r="C750" s="81"/>
      <c r="D750" s="81"/>
      <c r="E750" s="80"/>
      <c r="H750" s="136"/>
    </row>
    <row r="751" spans="3:8" ht="15.75" customHeight="1" x14ac:dyDescent="0.25">
      <c r="C751" s="81"/>
      <c r="D751" s="81"/>
      <c r="E751" s="80"/>
      <c r="H751" s="136"/>
    </row>
    <row r="752" spans="3:8" ht="15.75" customHeight="1" x14ac:dyDescent="0.25">
      <c r="C752" s="81"/>
      <c r="D752" s="81"/>
      <c r="E752" s="80"/>
      <c r="H752" s="136"/>
    </row>
    <row r="753" spans="3:8" ht="15.75" customHeight="1" x14ac:dyDescent="0.25">
      <c r="C753" s="81"/>
      <c r="D753" s="81"/>
      <c r="E753" s="80"/>
      <c r="H753" s="136"/>
    </row>
    <row r="754" spans="3:8" ht="15.75" customHeight="1" x14ac:dyDescent="0.25">
      <c r="C754" s="81"/>
      <c r="D754" s="81"/>
      <c r="E754" s="80"/>
      <c r="H754" s="136"/>
    </row>
    <row r="755" spans="3:8" ht="15.75" customHeight="1" x14ac:dyDescent="0.25">
      <c r="C755" s="81"/>
      <c r="D755" s="81"/>
      <c r="E755" s="80"/>
      <c r="H755" s="136"/>
    </row>
    <row r="756" spans="3:8" ht="15.75" customHeight="1" x14ac:dyDescent="0.25">
      <c r="C756" s="81"/>
      <c r="D756" s="81"/>
      <c r="E756" s="80"/>
      <c r="H756" s="136"/>
    </row>
    <row r="757" spans="3:8" ht="15.75" customHeight="1" x14ac:dyDescent="0.25">
      <c r="C757" s="81"/>
      <c r="D757" s="81"/>
      <c r="E757" s="80"/>
      <c r="H757" s="136"/>
    </row>
    <row r="758" spans="3:8" ht="15.75" customHeight="1" x14ac:dyDescent="0.25">
      <c r="C758" s="81"/>
      <c r="D758" s="81"/>
      <c r="E758" s="80"/>
      <c r="H758" s="136"/>
    </row>
    <row r="759" spans="3:8" ht="15.75" customHeight="1" x14ac:dyDescent="0.25">
      <c r="C759" s="81"/>
      <c r="D759" s="81"/>
      <c r="E759" s="80"/>
      <c r="H759" s="136"/>
    </row>
    <row r="760" spans="3:8" ht="15.75" customHeight="1" x14ac:dyDescent="0.25">
      <c r="C760" s="81"/>
      <c r="D760" s="81"/>
      <c r="E760" s="80"/>
      <c r="H760" s="136"/>
    </row>
    <row r="761" spans="3:8" ht="15.75" customHeight="1" x14ac:dyDescent="0.25">
      <c r="C761" s="81"/>
      <c r="D761" s="81"/>
      <c r="E761" s="80"/>
      <c r="H761" s="136"/>
    </row>
    <row r="762" spans="3:8" ht="15.75" customHeight="1" x14ac:dyDescent="0.25">
      <c r="C762" s="81"/>
      <c r="D762" s="81"/>
      <c r="E762" s="80"/>
      <c r="H762" s="136"/>
    </row>
    <row r="763" spans="3:8" ht="15.75" customHeight="1" x14ac:dyDescent="0.25">
      <c r="C763" s="81"/>
      <c r="D763" s="81"/>
      <c r="E763" s="80"/>
      <c r="H763" s="136"/>
    </row>
    <row r="764" spans="3:8" ht="15.75" customHeight="1" x14ac:dyDescent="0.25">
      <c r="C764" s="81"/>
      <c r="D764" s="81"/>
      <c r="E764" s="80"/>
      <c r="H764" s="136"/>
    </row>
    <row r="765" spans="3:8" ht="15.75" customHeight="1" x14ac:dyDescent="0.25">
      <c r="C765" s="81"/>
      <c r="D765" s="81"/>
      <c r="E765" s="80"/>
      <c r="H765" s="136"/>
    </row>
    <row r="766" spans="3:8" ht="15.75" customHeight="1" x14ac:dyDescent="0.25">
      <c r="C766" s="81"/>
      <c r="D766" s="81"/>
      <c r="E766" s="80"/>
      <c r="H766" s="136"/>
    </row>
    <row r="767" spans="3:8" ht="15.75" customHeight="1" x14ac:dyDescent="0.25">
      <c r="C767" s="81"/>
      <c r="D767" s="81"/>
      <c r="E767" s="80"/>
      <c r="H767" s="136"/>
    </row>
    <row r="768" spans="3:8" ht="15.75" customHeight="1" x14ac:dyDescent="0.25">
      <c r="C768" s="81"/>
      <c r="D768" s="81"/>
      <c r="E768" s="80"/>
      <c r="H768" s="136"/>
    </row>
    <row r="769" spans="3:8" ht="15.75" customHeight="1" x14ac:dyDescent="0.25">
      <c r="C769" s="81"/>
      <c r="D769" s="81"/>
      <c r="E769" s="80"/>
      <c r="H769" s="136"/>
    </row>
    <row r="770" spans="3:8" ht="15.75" customHeight="1" x14ac:dyDescent="0.25">
      <c r="C770" s="81"/>
      <c r="D770" s="81"/>
      <c r="E770" s="80"/>
      <c r="H770" s="136"/>
    </row>
    <row r="771" spans="3:8" ht="15.75" customHeight="1" x14ac:dyDescent="0.25">
      <c r="C771" s="81"/>
      <c r="D771" s="81"/>
      <c r="E771" s="80"/>
      <c r="H771" s="136"/>
    </row>
    <row r="772" spans="3:8" ht="15.75" customHeight="1" x14ac:dyDescent="0.25">
      <c r="C772" s="81"/>
      <c r="D772" s="81"/>
      <c r="E772" s="80"/>
      <c r="H772" s="136"/>
    </row>
    <row r="773" spans="3:8" ht="15.75" customHeight="1" x14ac:dyDescent="0.25">
      <c r="C773" s="81"/>
      <c r="D773" s="81"/>
      <c r="E773" s="80"/>
      <c r="H773" s="136"/>
    </row>
    <row r="774" spans="3:8" ht="15.75" customHeight="1" x14ac:dyDescent="0.25">
      <c r="C774" s="81"/>
      <c r="D774" s="81"/>
      <c r="E774" s="80"/>
      <c r="H774" s="136"/>
    </row>
    <row r="775" spans="3:8" ht="15.75" customHeight="1" x14ac:dyDescent="0.25">
      <c r="C775" s="81"/>
      <c r="D775" s="81"/>
      <c r="E775" s="80"/>
      <c r="H775" s="136"/>
    </row>
    <row r="776" spans="3:8" ht="15.75" customHeight="1" x14ac:dyDescent="0.25">
      <c r="C776" s="81"/>
      <c r="D776" s="81"/>
      <c r="E776" s="80"/>
      <c r="H776" s="136"/>
    </row>
    <row r="777" spans="3:8" ht="15.75" customHeight="1" x14ac:dyDescent="0.25">
      <c r="C777" s="81"/>
      <c r="D777" s="81"/>
      <c r="E777" s="80"/>
      <c r="H777" s="136"/>
    </row>
    <row r="778" spans="3:8" ht="15.75" customHeight="1" x14ac:dyDescent="0.25">
      <c r="C778" s="81"/>
      <c r="D778" s="81"/>
      <c r="E778" s="80"/>
      <c r="H778" s="136"/>
    </row>
    <row r="779" spans="3:8" ht="15.75" customHeight="1" x14ac:dyDescent="0.25">
      <c r="C779" s="81"/>
      <c r="D779" s="81"/>
      <c r="E779" s="80"/>
      <c r="H779" s="136"/>
    </row>
    <row r="780" spans="3:8" ht="15.75" customHeight="1" x14ac:dyDescent="0.25">
      <c r="C780" s="81"/>
      <c r="D780" s="81"/>
      <c r="E780" s="80"/>
      <c r="H780" s="136"/>
    </row>
    <row r="781" spans="3:8" ht="15.75" customHeight="1" x14ac:dyDescent="0.25">
      <c r="C781" s="81"/>
      <c r="D781" s="81"/>
      <c r="E781" s="80"/>
      <c r="H781" s="136"/>
    </row>
    <row r="782" spans="3:8" ht="15.75" customHeight="1" x14ac:dyDescent="0.25">
      <c r="C782" s="81"/>
      <c r="D782" s="81"/>
      <c r="E782" s="80"/>
      <c r="H782" s="136"/>
    </row>
    <row r="783" spans="3:8" ht="15.75" customHeight="1" x14ac:dyDescent="0.25">
      <c r="C783" s="81"/>
      <c r="D783" s="81"/>
      <c r="E783" s="80"/>
      <c r="H783" s="136"/>
    </row>
    <row r="784" spans="3:8" ht="15.75" customHeight="1" x14ac:dyDescent="0.25">
      <c r="C784" s="81"/>
      <c r="D784" s="81"/>
      <c r="E784" s="80"/>
      <c r="H784" s="136"/>
    </row>
    <row r="785" spans="3:8" ht="15.75" customHeight="1" x14ac:dyDescent="0.25">
      <c r="C785" s="81"/>
      <c r="D785" s="81"/>
      <c r="E785" s="80"/>
      <c r="H785" s="136"/>
    </row>
    <row r="786" spans="3:8" ht="15.75" customHeight="1" x14ac:dyDescent="0.25">
      <c r="C786" s="81"/>
      <c r="D786" s="81"/>
      <c r="E786" s="80"/>
      <c r="H786" s="136"/>
    </row>
    <row r="787" spans="3:8" ht="15.75" customHeight="1" x14ac:dyDescent="0.25">
      <c r="C787" s="81"/>
      <c r="D787" s="81"/>
      <c r="E787" s="80"/>
      <c r="H787" s="136"/>
    </row>
    <row r="788" spans="3:8" ht="15.75" customHeight="1" x14ac:dyDescent="0.25">
      <c r="C788" s="81"/>
      <c r="D788" s="81"/>
      <c r="E788" s="80"/>
      <c r="H788" s="136"/>
    </row>
    <row r="789" spans="3:8" ht="15.75" customHeight="1" x14ac:dyDescent="0.25">
      <c r="C789" s="81"/>
      <c r="D789" s="81"/>
      <c r="E789" s="80"/>
      <c r="H789" s="136"/>
    </row>
    <row r="790" spans="3:8" ht="15.75" customHeight="1" x14ac:dyDescent="0.25">
      <c r="C790" s="81"/>
      <c r="D790" s="81"/>
      <c r="E790" s="80"/>
      <c r="H790" s="136"/>
    </row>
    <row r="791" spans="3:8" ht="15.75" customHeight="1" x14ac:dyDescent="0.25">
      <c r="C791" s="81"/>
      <c r="D791" s="81"/>
      <c r="E791" s="80"/>
      <c r="H791" s="136"/>
    </row>
    <row r="792" spans="3:8" ht="15.75" customHeight="1" x14ac:dyDescent="0.25">
      <c r="C792" s="81"/>
      <c r="D792" s="81"/>
      <c r="E792" s="80"/>
      <c r="H792" s="136"/>
    </row>
    <row r="793" spans="3:8" ht="15.75" customHeight="1" x14ac:dyDescent="0.25">
      <c r="C793" s="81"/>
      <c r="D793" s="81"/>
      <c r="E793" s="80"/>
      <c r="H793" s="136"/>
    </row>
    <row r="794" spans="3:8" ht="15.75" customHeight="1" x14ac:dyDescent="0.25">
      <c r="C794" s="81"/>
      <c r="D794" s="81"/>
      <c r="E794" s="80"/>
      <c r="H794" s="136"/>
    </row>
    <row r="795" spans="3:8" ht="15.75" customHeight="1" x14ac:dyDescent="0.25">
      <c r="C795" s="81"/>
      <c r="D795" s="81"/>
      <c r="E795" s="80"/>
      <c r="H795" s="136"/>
    </row>
    <row r="796" spans="3:8" ht="15.75" customHeight="1" x14ac:dyDescent="0.25">
      <c r="C796" s="81"/>
      <c r="D796" s="81"/>
      <c r="E796" s="80"/>
      <c r="H796" s="136"/>
    </row>
    <row r="797" spans="3:8" ht="15.75" customHeight="1" x14ac:dyDescent="0.25">
      <c r="C797" s="81"/>
      <c r="D797" s="81"/>
      <c r="E797" s="80"/>
      <c r="H797" s="136"/>
    </row>
    <row r="798" spans="3:8" ht="15.75" customHeight="1" x14ac:dyDescent="0.25">
      <c r="C798" s="81"/>
      <c r="D798" s="81"/>
      <c r="E798" s="80"/>
      <c r="H798" s="136"/>
    </row>
    <row r="799" spans="3:8" ht="15.75" customHeight="1" x14ac:dyDescent="0.25">
      <c r="C799" s="81"/>
      <c r="D799" s="81"/>
      <c r="E799" s="80"/>
      <c r="H799" s="136"/>
    </row>
    <row r="800" spans="3:8" ht="15.75" customHeight="1" x14ac:dyDescent="0.25">
      <c r="C800" s="81"/>
      <c r="D800" s="81"/>
      <c r="E800" s="80"/>
      <c r="H800" s="136"/>
    </row>
    <row r="801" spans="3:8" ht="15.75" customHeight="1" x14ac:dyDescent="0.25">
      <c r="C801" s="81"/>
      <c r="D801" s="81"/>
      <c r="E801" s="80"/>
      <c r="H801" s="136"/>
    </row>
    <row r="802" spans="3:8" ht="15.75" customHeight="1" x14ac:dyDescent="0.25">
      <c r="C802" s="81"/>
      <c r="D802" s="81"/>
      <c r="E802" s="80"/>
      <c r="H802" s="136"/>
    </row>
    <row r="803" spans="3:8" ht="15.75" customHeight="1" x14ac:dyDescent="0.25">
      <c r="C803" s="81"/>
      <c r="D803" s="81"/>
      <c r="E803" s="80"/>
      <c r="H803" s="136"/>
    </row>
    <row r="804" spans="3:8" ht="15.75" customHeight="1" x14ac:dyDescent="0.25">
      <c r="C804" s="81"/>
      <c r="D804" s="81"/>
      <c r="E804" s="80"/>
      <c r="H804" s="136"/>
    </row>
    <row r="805" spans="3:8" ht="15.75" customHeight="1" x14ac:dyDescent="0.25">
      <c r="C805" s="81"/>
      <c r="D805" s="81"/>
      <c r="E805" s="80"/>
      <c r="H805" s="136"/>
    </row>
    <row r="806" spans="3:8" ht="15.75" customHeight="1" x14ac:dyDescent="0.25">
      <c r="C806" s="81"/>
      <c r="D806" s="81"/>
      <c r="E806" s="80"/>
      <c r="H806" s="136"/>
    </row>
    <row r="807" spans="3:8" ht="15.75" customHeight="1" x14ac:dyDescent="0.25">
      <c r="C807" s="81"/>
      <c r="D807" s="81"/>
      <c r="E807" s="80"/>
      <c r="H807" s="136"/>
    </row>
    <row r="808" spans="3:8" ht="15.75" customHeight="1" x14ac:dyDescent="0.25">
      <c r="C808" s="81"/>
      <c r="D808" s="81"/>
      <c r="E808" s="80"/>
      <c r="H808" s="136"/>
    </row>
    <row r="809" spans="3:8" ht="15.75" customHeight="1" x14ac:dyDescent="0.25">
      <c r="C809" s="81"/>
      <c r="D809" s="81"/>
      <c r="E809" s="80"/>
      <c r="H809" s="136"/>
    </row>
    <row r="810" spans="3:8" ht="15.75" customHeight="1" x14ac:dyDescent="0.25">
      <c r="C810" s="81"/>
      <c r="D810" s="81"/>
      <c r="E810" s="80"/>
      <c r="H810" s="136"/>
    </row>
    <row r="811" spans="3:8" ht="15.75" customHeight="1" x14ac:dyDescent="0.25">
      <c r="C811" s="81"/>
      <c r="D811" s="81"/>
      <c r="E811" s="80"/>
      <c r="H811" s="136"/>
    </row>
    <row r="812" spans="3:8" ht="15.75" customHeight="1" x14ac:dyDescent="0.25">
      <c r="C812" s="81"/>
      <c r="D812" s="81"/>
      <c r="E812" s="80"/>
      <c r="H812" s="136"/>
    </row>
    <row r="813" spans="3:8" ht="15.75" customHeight="1" x14ac:dyDescent="0.25">
      <c r="C813" s="81"/>
      <c r="D813" s="81"/>
      <c r="E813" s="80"/>
      <c r="H813" s="136"/>
    </row>
    <row r="814" spans="3:8" ht="15.75" customHeight="1" x14ac:dyDescent="0.25">
      <c r="C814" s="81"/>
      <c r="D814" s="81"/>
      <c r="E814" s="80"/>
      <c r="H814" s="136"/>
    </row>
    <row r="815" spans="3:8" ht="15.75" customHeight="1" x14ac:dyDescent="0.25">
      <c r="C815" s="81"/>
      <c r="D815" s="81"/>
      <c r="E815" s="80"/>
      <c r="H815" s="136"/>
    </row>
    <row r="816" spans="3:8" ht="15.75" customHeight="1" x14ac:dyDescent="0.25">
      <c r="C816" s="81"/>
      <c r="D816" s="81"/>
      <c r="E816" s="80"/>
      <c r="H816" s="136"/>
    </row>
    <row r="817" spans="3:8" ht="15.75" customHeight="1" x14ac:dyDescent="0.25">
      <c r="C817" s="81"/>
      <c r="D817" s="81"/>
      <c r="E817" s="80"/>
      <c r="H817" s="136"/>
    </row>
    <row r="818" spans="3:8" ht="15.75" customHeight="1" x14ac:dyDescent="0.25">
      <c r="C818" s="81"/>
      <c r="D818" s="81"/>
      <c r="E818" s="80"/>
      <c r="H818" s="136"/>
    </row>
    <row r="819" spans="3:8" ht="15.75" customHeight="1" x14ac:dyDescent="0.25">
      <c r="C819" s="81"/>
      <c r="D819" s="81"/>
      <c r="E819" s="80"/>
      <c r="H819" s="136"/>
    </row>
    <row r="820" spans="3:8" ht="15.75" customHeight="1" x14ac:dyDescent="0.25">
      <c r="C820" s="81"/>
      <c r="D820" s="81"/>
      <c r="E820" s="80"/>
      <c r="H820" s="136"/>
    </row>
    <row r="821" spans="3:8" ht="15.75" customHeight="1" x14ac:dyDescent="0.25">
      <c r="C821" s="81"/>
      <c r="D821" s="81"/>
      <c r="E821" s="80"/>
      <c r="H821" s="136"/>
    </row>
    <row r="822" spans="3:8" ht="15.75" customHeight="1" x14ac:dyDescent="0.25">
      <c r="C822" s="81"/>
      <c r="D822" s="81"/>
      <c r="E822" s="80"/>
      <c r="H822" s="136"/>
    </row>
    <row r="823" spans="3:8" ht="15.75" customHeight="1" x14ac:dyDescent="0.25">
      <c r="C823" s="81"/>
      <c r="D823" s="81"/>
      <c r="E823" s="80"/>
      <c r="H823" s="136"/>
    </row>
    <row r="824" spans="3:8" ht="15.75" customHeight="1" x14ac:dyDescent="0.25">
      <c r="C824" s="81"/>
      <c r="D824" s="81"/>
      <c r="E824" s="80"/>
      <c r="H824" s="136"/>
    </row>
    <row r="825" spans="3:8" ht="15.75" customHeight="1" x14ac:dyDescent="0.25">
      <c r="C825" s="81"/>
      <c r="D825" s="81"/>
      <c r="E825" s="80"/>
      <c r="H825" s="136"/>
    </row>
    <row r="826" spans="3:8" ht="15.75" customHeight="1" x14ac:dyDescent="0.25">
      <c r="C826" s="81"/>
      <c r="D826" s="81"/>
      <c r="E826" s="80"/>
      <c r="H826" s="136"/>
    </row>
    <row r="827" spans="3:8" ht="15.75" customHeight="1" x14ac:dyDescent="0.25">
      <c r="C827" s="81"/>
      <c r="D827" s="81"/>
      <c r="E827" s="80"/>
      <c r="H827" s="136"/>
    </row>
    <row r="828" spans="3:8" ht="15.75" customHeight="1" x14ac:dyDescent="0.25">
      <c r="C828" s="81"/>
      <c r="D828" s="81"/>
      <c r="E828" s="80"/>
      <c r="H828" s="136"/>
    </row>
    <row r="829" spans="3:8" ht="15.75" customHeight="1" x14ac:dyDescent="0.25">
      <c r="C829" s="81"/>
      <c r="D829" s="81"/>
      <c r="E829" s="80"/>
      <c r="H829" s="136"/>
    </row>
    <row r="830" spans="3:8" ht="15.75" customHeight="1" x14ac:dyDescent="0.25">
      <c r="C830" s="81"/>
      <c r="D830" s="81"/>
      <c r="E830" s="80"/>
      <c r="H830" s="136"/>
    </row>
    <row r="831" spans="3:8" ht="15.75" customHeight="1" x14ac:dyDescent="0.25">
      <c r="C831" s="81"/>
      <c r="D831" s="81"/>
      <c r="E831" s="80"/>
      <c r="H831" s="136"/>
    </row>
    <row r="832" spans="3:8" ht="15.75" customHeight="1" x14ac:dyDescent="0.25">
      <c r="C832" s="81"/>
      <c r="D832" s="81"/>
      <c r="E832" s="80"/>
      <c r="H832" s="136"/>
    </row>
    <row r="833" spans="3:8" ht="15.75" customHeight="1" x14ac:dyDescent="0.25">
      <c r="C833" s="81"/>
      <c r="D833" s="81"/>
      <c r="E833" s="80"/>
      <c r="H833" s="136"/>
    </row>
    <row r="834" spans="3:8" ht="15.75" customHeight="1" x14ac:dyDescent="0.25">
      <c r="C834" s="81"/>
      <c r="D834" s="81"/>
      <c r="E834" s="80"/>
      <c r="H834" s="136"/>
    </row>
    <row r="835" spans="3:8" ht="15.75" customHeight="1" x14ac:dyDescent="0.25">
      <c r="C835" s="81"/>
      <c r="D835" s="81"/>
      <c r="E835" s="80"/>
      <c r="H835" s="136"/>
    </row>
    <row r="836" spans="3:8" ht="15.75" customHeight="1" x14ac:dyDescent="0.25">
      <c r="C836" s="81"/>
      <c r="D836" s="81"/>
      <c r="E836" s="80"/>
      <c r="H836" s="136"/>
    </row>
    <row r="837" spans="3:8" ht="15.75" customHeight="1" x14ac:dyDescent="0.25">
      <c r="C837" s="81"/>
      <c r="D837" s="81"/>
      <c r="E837" s="80"/>
      <c r="H837" s="136"/>
    </row>
    <row r="838" spans="3:8" ht="15.75" customHeight="1" x14ac:dyDescent="0.25">
      <c r="C838" s="81"/>
      <c r="D838" s="81"/>
      <c r="E838" s="80"/>
      <c r="H838" s="136"/>
    </row>
    <row r="839" spans="3:8" ht="15.75" customHeight="1" x14ac:dyDescent="0.25">
      <c r="C839" s="81"/>
      <c r="D839" s="81"/>
      <c r="E839" s="80"/>
      <c r="H839" s="136"/>
    </row>
    <row r="840" spans="3:8" ht="15.75" customHeight="1" x14ac:dyDescent="0.25">
      <c r="C840" s="81"/>
      <c r="D840" s="81"/>
      <c r="E840" s="80"/>
      <c r="H840" s="136"/>
    </row>
    <row r="841" spans="3:8" ht="15.75" customHeight="1" x14ac:dyDescent="0.25">
      <c r="C841" s="81"/>
      <c r="D841" s="81"/>
      <c r="E841" s="80"/>
      <c r="H841" s="136"/>
    </row>
    <row r="842" spans="3:8" ht="15.75" customHeight="1" x14ac:dyDescent="0.25">
      <c r="C842" s="81"/>
      <c r="D842" s="81"/>
      <c r="E842" s="80"/>
      <c r="H842" s="136"/>
    </row>
    <row r="843" spans="3:8" ht="15.75" customHeight="1" x14ac:dyDescent="0.25">
      <c r="C843" s="81"/>
      <c r="D843" s="81"/>
      <c r="E843" s="80"/>
      <c r="H843" s="136"/>
    </row>
    <row r="844" spans="3:8" ht="15.75" customHeight="1" x14ac:dyDescent="0.25">
      <c r="C844" s="81"/>
      <c r="D844" s="81"/>
      <c r="E844" s="80"/>
      <c r="H844" s="136"/>
    </row>
    <row r="845" spans="3:8" ht="15.75" customHeight="1" x14ac:dyDescent="0.25">
      <c r="C845" s="81"/>
      <c r="D845" s="81"/>
      <c r="E845" s="80"/>
      <c r="H845" s="136"/>
    </row>
    <row r="846" spans="3:8" ht="15.75" customHeight="1" x14ac:dyDescent="0.25">
      <c r="C846" s="81"/>
      <c r="D846" s="81"/>
      <c r="E846" s="80"/>
      <c r="H846" s="136"/>
    </row>
    <row r="847" spans="3:8" ht="15.75" customHeight="1" x14ac:dyDescent="0.25">
      <c r="C847" s="81"/>
      <c r="D847" s="81"/>
      <c r="E847" s="80"/>
      <c r="H847" s="136"/>
    </row>
    <row r="848" spans="3:8" ht="15.75" customHeight="1" x14ac:dyDescent="0.25">
      <c r="C848" s="81"/>
      <c r="D848" s="81"/>
      <c r="E848" s="80"/>
      <c r="H848" s="136"/>
    </row>
    <row r="849" spans="3:8" ht="15.75" customHeight="1" x14ac:dyDescent="0.25">
      <c r="C849" s="81"/>
      <c r="D849" s="81"/>
      <c r="E849" s="80"/>
      <c r="H849" s="136"/>
    </row>
    <row r="850" spans="3:8" ht="15.75" customHeight="1" x14ac:dyDescent="0.25">
      <c r="C850" s="81"/>
      <c r="D850" s="81"/>
      <c r="E850" s="80"/>
      <c r="H850" s="136"/>
    </row>
    <row r="851" spans="3:8" ht="15.75" customHeight="1" x14ac:dyDescent="0.25">
      <c r="C851" s="81"/>
      <c r="D851" s="81"/>
      <c r="E851" s="80"/>
      <c r="H851" s="136"/>
    </row>
    <row r="852" spans="3:8" ht="15.75" customHeight="1" x14ac:dyDescent="0.25">
      <c r="C852" s="81"/>
      <c r="D852" s="81"/>
      <c r="E852" s="80"/>
      <c r="H852" s="136"/>
    </row>
    <row r="853" spans="3:8" ht="15.75" customHeight="1" x14ac:dyDescent="0.25">
      <c r="C853" s="81"/>
      <c r="D853" s="81"/>
      <c r="E853" s="80"/>
      <c r="H853" s="136"/>
    </row>
    <row r="854" spans="3:8" ht="15.75" customHeight="1" x14ac:dyDescent="0.25">
      <c r="C854" s="81"/>
      <c r="D854" s="81"/>
      <c r="E854" s="80"/>
      <c r="H854" s="136"/>
    </row>
    <row r="855" spans="3:8" ht="15.75" customHeight="1" x14ac:dyDescent="0.25">
      <c r="C855" s="81"/>
      <c r="D855" s="81"/>
      <c r="E855" s="80"/>
      <c r="H855" s="136"/>
    </row>
    <row r="856" spans="3:8" ht="15.75" customHeight="1" x14ac:dyDescent="0.25">
      <c r="C856" s="81"/>
      <c r="D856" s="81"/>
      <c r="E856" s="80"/>
      <c r="H856" s="136"/>
    </row>
    <row r="857" spans="3:8" ht="15.75" customHeight="1" x14ac:dyDescent="0.25">
      <c r="C857" s="81"/>
      <c r="D857" s="81"/>
      <c r="E857" s="80"/>
      <c r="H857" s="136"/>
    </row>
    <row r="858" spans="3:8" ht="15.75" customHeight="1" x14ac:dyDescent="0.25">
      <c r="C858" s="81"/>
      <c r="D858" s="81"/>
      <c r="E858" s="80"/>
      <c r="H858" s="136"/>
    </row>
    <row r="859" spans="3:8" ht="15.75" customHeight="1" x14ac:dyDescent="0.25">
      <c r="C859" s="81"/>
      <c r="D859" s="81"/>
      <c r="E859" s="80"/>
      <c r="H859" s="136"/>
    </row>
    <row r="860" spans="3:8" ht="15.75" customHeight="1" x14ac:dyDescent="0.25">
      <c r="C860" s="81"/>
      <c r="D860" s="81"/>
      <c r="E860" s="80"/>
      <c r="H860" s="136"/>
    </row>
    <row r="861" spans="3:8" ht="15.75" customHeight="1" x14ac:dyDescent="0.25">
      <c r="C861" s="81"/>
      <c r="D861" s="81"/>
      <c r="E861" s="80"/>
      <c r="H861" s="136"/>
    </row>
    <row r="862" spans="3:8" ht="15.75" customHeight="1" x14ac:dyDescent="0.25">
      <c r="C862" s="81"/>
      <c r="D862" s="81"/>
      <c r="E862" s="80"/>
      <c r="H862" s="136"/>
    </row>
    <row r="863" spans="3:8" ht="15.75" customHeight="1" x14ac:dyDescent="0.25">
      <c r="C863" s="81"/>
      <c r="D863" s="81"/>
      <c r="E863" s="80"/>
      <c r="H863" s="136"/>
    </row>
    <row r="864" spans="3:8" ht="15.75" customHeight="1" x14ac:dyDescent="0.25">
      <c r="C864" s="81"/>
      <c r="D864" s="81"/>
      <c r="E864" s="80"/>
      <c r="H864" s="136"/>
    </row>
    <row r="865" spans="3:8" ht="15.75" customHeight="1" x14ac:dyDescent="0.25">
      <c r="C865" s="81"/>
      <c r="D865" s="81"/>
      <c r="E865" s="80"/>
      <c r="H865" s="136"/>
    </row>
    <row r="866" spans="3:8" ht="15.75" customHeight="1" x14ac:dyDescent="0.25">
      <c r="C866" s="81"/>
      <c r="D866" s="81"/>
      <c r="E866" s="80"/>
      <c r="H866" s="136"/>
    </row>
    <row r="867" spans="3:8" ht="15.75" customHeight="1" x14ac:dyDescent="0.25">
      <c r="C867" s="81"/>
      <c r="D867" s="81"/>
      <c r="E867" s="80"/>
      <c r="H867" s="136"/>
    </row>
    <row r="868" spans="3:8" ht="15.75" customHeight="1" x14ac:dyDescent="0.25">
      <c r="C868" s="81"/>
      <c r="D868" s="81"/>
      <c r="E868" s="80"/>
      <c r="H868" s="136"/>
    </row>
    <row r="869" spans="3:8" ht="15.75" customHeight="1" x14ac:dyDescent="0.25">
      <c r="C869" s="81"/>
      <c r="D869" s="81"/>
      <c r="E869" s="80"/>
      <c r="H869" s="136"/>
    </row>
    <row r="870" spans="3:8" ht="15.75" customHeight="1" x14ac:dyDescent="0.25">
      <c r="C870" s="81"/>
      <c r="D870" s="81"/>
      <c r="E870" s="80"/>
      <c r="H870" s="136"/>
    </row>
    <row r="871" spans="3:8" ht="15.75" customHeight="1" x14ac:dyDescent="0.25">
      <c r="C871" s="81"/>
      <c r="D871" s="81"/>
      <c r="E871" s="80"/>
      <c r="H871" s="136"/>
    </row>
    <row r="872" spans="3:8" ht="15.75" customHeight="1" x14ac:dyDescent="0.25">
      <c r="C872" s="81"/>
      <c r="D872" s="81"/>
      <c r="E872" s="80"/>
      <c r="H872" s="136"/>
    </row>
    <row r="873" spans="3:8" ht="15.75" customHeight="1" x14ac:dyDescent="0.25">
      <c r="C873" s="81"/>
      <c r="D873" s="81"/>
      <c r="E873" s="80"/>
      <c r="H873" s="136"/>
    </row>
    <row r="874" spans="3:8" ht="15.75" customHeight="1" x14ac:dyDescent="0.25">
      <c r="C874" s="81"/>
      <c r="D874" s="81"/>
      <c r="E874" s="80"/>
      <c r="H874" s="136"/>
    </row>
    <row r="875" spans="3:8" ht="15.75" customHeight="1" x14ac:dyDescent="0.25">
      <c r="C875" s="81"/>
      <c r="D875" s="81"/>
      <c r="E875" s="80"/>
      <c r="H875" s="136"/>
    </row>
    <row r="876" spans="3:8" ht="15.75" customHeight="1" x14ac:dyDescent="0.25">
      <c r="C876" s="81"/>
      <c r="D876" s="81"/>
      <c r="E876" s="80"/>
      <c r="H876" s="136"/>
    </row>
    <row r="877" spans="3:8" ht="15.75" customHeight="1" x14ac:dyDescent="0.25">
      <c r="C877" s="81"/>
      <c r="D877" s="81"/>
      <c r="E877" s="80"/>
      <c r="H877" s="136"/>
    </row>
    <row r="878" spans="3:8" ht="15.75" customHeight="1" x14ac:dyDescent="0.25">
      <c r="C878" s="81"/>
      <c r="D878" s="81"/>
      <c r="E878" s="80"/>
      <c r="H878" s="136"/>
    </row>
    <row r="879" spans="3:8" ht="15.75" customHeight="1" x14ac:dyDescent="0.25">
      <c r="C879" s="81"/>
      <c r="D879" s="81"/>
      <c r="E879" s="80"/>
      <c r="H879" s="136"/>
    </row>
    <row r="880" spans="3:8" ht="15.75" customHeight="1" x14ac:dyDescent="0.25">
      <c r="C880" s="81"/>
      <c r="D880" s="81"/>
      <c r="E880" s="80"/>
      <c r="H880" s="136"/>
    </row>
    <row r="881" spans="3:8" ht="15.75" customHeight="1" x14ac:dyDescent="0.25">
      <c r="C881" s="81"/>
      <c r="D881" s="81"/>
      <c r="E881" s="80"/>
      <c r="H881" s="136"/>
    </row>
    <row r="882" spans="3:8" ht="15.75" customHeight="1" x14ac:dyDescent="0.25">
      <c r="C882" s="81"/>
      <c r="D882" s="81"/>
      <c r="E882" s="80"/>
      <c r="H882" s="136"/>
    </row>
    <row r="883" spans="3:8" ht="15.75" customHeight="1" x14ac:dyDescent="0.25">
      <c r="C883" s="81"/>
      <c r="D883" s="81"/>
      <c r="E883" s="80"/>
      <c r="H883" s="136"/>
    </row>
    <row r="884" spans="3:8" ht="15.75" customHeight="1" x14ac:dyDescent="0.25">
      <c r="C884" s="81"/>
      <c r="D884" s="81"/>
      <c r="E884" s="80"/>
      <c r="H884" s="136"/>
    </row>
    <row r="885" spans="3:8" ht="15.75" customHeight="1" x14ac:dyDescent="0.25">
      <c r="C885" s="81"/>
      <c r="D885" s="81"/>
      <c r="E885" s="80"/>
      <c r="H885" s="136"/>
    </row>
    <row r="886" spans="3:8" ht="15.75" customHeight="1" x14ac:dyDescent="0.25">
      <c r="C886" s="81"/>
      <c r="D886" s="81"/>
      <c r="E886" s="80"/>
      <c r="H886" s="136"/>
    </row>
    <row r="887" spans="3:8" ht="15.75" customHeight="1" x14ac:dyDescent="0.25">
      <c r="C887" s="81"/>
      <c r="D887" s="81"/>
      <c r="E887" s="80"/>
      <c r="H887" s="136"/>
    </row>
    <row r="888" spans="3:8" ht="15.75" customHeight="1" x14ac:dyDescent="0.25">
      <c r="C888" s="81"/>
      <c r="D888" s="81"/>
      <c r="E888" s="80"/>
      <c r="H888" s="136"/>
    </row>
    <row r="889" spans="3:8" ht="15.75" customHeight="1" x14ac:dyDescent="0.25">
      <c r="C889" s="81"/>
      <c r="D889" s="81"/>
      <c r="E889" s="80"/>
      <c r="H889" s="136"/>
    </row>
    <row r="890" spans="3:8" ht="15.75" customHeight="1" x14ac:dyDescent="0.25">
      <c r="C890" s="81"/>
      <c r="D890" s="81"/>
      <c r="E890" s="80"/>
      <c r="H890" s="136"/>
    </row>
    <row r="891" spans="3:8" ht="15.75" customHeight="1" x14ac:dyDescent="0.25">
      <c r="C891" s="81"/>
      <c r="D891" s="81"/>
      <c r="E891" s="80"/>
      <c r="H891" s="136"/>
    </row>
    <row r="892" spans="3:8" ht="15.75" customHeight="1" x14ac:dyDescent="0.25">
      <c r="C892" s="81"/>
      <c r="D892" s="81"/>
      <c r="E892" s="80"/>
      <c r="H892" s="136"/>
    </row>
    <row r="893" spans="3:8" ht="15.75" customHeight="1" x14ac:dyDescent="0.25">
      <c r="C893" s="81"/>
      <c r="D893" s="81"/>
      <c r="E893" s="80"/>
      <c r="H893" s="136"/>
    </row>
    <row r="894" spans="3:8" ht="15.75" customHeight="1" x14ac:dyDescent="0.25">
      <c r="C894" s="81"/>
      <c r="D894" s="81"/>
      <c r="E894" s="80"/>
      <c r="H894" s="136"/>
    </row>
    <row r="895" spans="3:8" ht="15.75" customHeight="1" x14ac:dyDescent="0.25">
      <c r="C895" s="81"/>
      <c r="D895" s="81"/>
      <c r="E895" s="80"/>
      <c r="H895" s="136"/>
    </row>
    <row r="896" spans="3:8" ht="15.75" customHeight="1" x14ac:dyDescent="0.25">
      <c r="C896" s="81"/>
      <c r="D896" s="81"/>
      <c r="E896" s="80"/>
      <c r="H896" s="136"/>
    </row>
    <row r="897" spans="3:8" ht="15.75" customHeight="1" x14ac:dyDescent="0.25">
      <c r="C897" s="81"/>
      <c r="D897" s="81"/>
      <c r="E897" s="80"/>
      <c r="H897" s="136"/>
    </row>
    <row r="898" spans="3:8" ht="15.75" customHeight="1" x14ac:dyDescent="0.25">
      <c r="C898" s="81"/>
      <c r="D898" s="81"/>
      <c r="E898" s="80"/>
      <c r="H898" s="136"/>
    </row>
    <row r="899" spans="3:8" ht="15.75" customHeight="1" x14ac:dyDescent="0.25">
      <c r="C899" s="81"/>
      <c r="D899" s="81"/>
      <c r="E899" s="80"/>
      <c r="H899" s="136"/>
    </row>
    <row r="900" spans="3:8" ht="15.75" customHeight="1" x14ac:dyDescent="0.25">
      <c r="C900" s="81"/>
      <c r="D900" s="81"/>
      <c r="E900" s="80"/>
      <c r="H900" s="136"/>
    </row>
    <row r="901" spans="3:8" ht="15.75" customHeight="1" x14ac:dyDescent="0.25">
      <c r="C901" s="81"/>
      <c r="D901" s="81"/>
      <c r="E901" s="80"/>
      <c r="H901" s="136"/>
    </row>
    <row r="902" spans="3:8" ht="15.75" customHeight="1" x14ac:dyDescent="0.25">
      <c r="C902" s="81"/>
      <c r="D902" s="81"/>
      <c r="E902" s="80"/>
      <c r="H902" s="136"/>
    </row>
    <row r="903" spans="3:8" ht="15.75" customHeight="1" x14ac:dyDescent="0.25">
      <c r="C903" s="81"/>
      <c r="D903" s="81"/>
      <c r="E903" s="80"/>
      <c r="H903" s="136"/>
    </row>
    <row r="904" spans="3:8" ht="15.75" customHeight="1" x14ac:dyDescent="0.25">
      <c r="C904" s="81"/>
      <c r="D904" s="81"/>
      <c r="E904" s="80"/>
      <c r="H904" s="136"/>
    </row>
    <row r="905" spans="3:8" ht="15.75" customHeight="1" x14ac:dyDescent="0.25">
      <c r="C905" s="81"/>
      <c r="D905" s="81"/>
      <c r="E905" s="80"/>
      <c r="H905" s="136"/>
    </row>
    <row r="906" spans="3:8" ht="15.75" customHeight="1" x14ac:dyDescent="0.25">
      <c r="C906" s="81"/>
      <c r="D906" s="81"/>
      <c r="E906" s="80"/>
      <c r="H906" s="136"/>
    </row>
    <row r="907" spans="3:8" ht="15.75" customHeight="1" x14ac:dyDescent="0.25">
      <c r="C907" s="81"/>
      <c r="D907" s="81"/>
      <c r="E907" s="80"/>
      <c r="H907" s="136"/>
    </row>
    <row r="908" spans="3:8" ht="15.75" customHeight="1" x14ac:dyDescent="0.25">
      <c r="C908" s="81"/>
      <c r="D908" s="81"/>
      <c r="E908" s="80"/>
      <c r="H908" s="136"/>
    </row>
    <row r="909" spans="3:8" ht="15.75" customHeight="1" x14ac:dyDescent="0.25">
      <c r="C909" s="81"/>
      <c r="D909" s="81"/>
      <c r="E909" s="80"/>
      <c r="H909" s="136"/>
    </row>
    <row r="910" spans="3:8" ht="15.75" customHeight="1" x14ac:dyDescent="0.25">
      <c r="C910" s="81"/>
      <c r="D910" s="81"/>
      <c r="E910" s="80"/>
      <c r="H910" s="136"/>
    </row>
    <row r="911" spans="3:8" ht="15.75" customHeight="1" x14ac:dyDescent="0.25">
      <c r="C911" s="81"/>
      <c r="D911" s="81"/>
      <c r="E911" s="80"/>
      <c r="H911" s="136"/>
    </row>
    <row r="912" spans="3:8" ht="15.75" customHeight="1" x14ac:dyDescent="0.25">
      <c r="C912" s="81"/>
      <c r="D912" s="81"/>
      <c r="E912" s="80"/>
      <c r="H912" s="136"/>
    </row>
    <row r="913" spans="3:8" ht="15.75" customHeight="1" x14ac:dyDescent="0.25">
      <c r="C913" s="81"/>
      <c r="D913" s="81"/>
      <c r="E913" s="80"/>
      <c r="H913" s="136"/>
    </row>
    <row r="914" spans="3:8" ht="15.75" customHeight="1" x14ac:dyDescent="0.25">
      <c r="C914" s="81"/>
      <c r="D914" s="81"/>
      <c r="E914" s="80"/>
      <c r="H914" s="136"/>
    </row>
    <row r="915" spans="3:8" ht="15.75" customHeight="1" x14ac:dyDescent="0.25">
      <c r="C915" s="81"/>
      <c r="D915" s="81"/>
      <c r="E915" s="80"/>
      <c r="H915" s="136"/>
    </row>
    <row r="916" spans="3:8" ht="15.75" customHeight="1" x14ac:dyDescent="0.25">
      <c r="C916" s="81"/>
      <c r="D916" s="81"/>
      <c r="E916" s="80"/>
      <c r="H916" s="136"/>
    </row>
    <row r="917" spans="3:8" ht="15.75" customHeight="1" x14ac:dyDescent="0.25">
      <c r="C917" s="81"/>
      <c r="D917" s="81"/>
      <c r="E917" s="80"/>
      <c r="H917" s="136"/>
    </row>
    <row r="918" spans="3:8" ht="15.75" customHeight="1" x14ac:dyDescent="0.25">
      <c r="C918" s="81"/>
      <c r="D918" s="81"/>
      <c r="E918" s="80"/>
      <c r="H918" s="136"/>
    </row>
    <row r="919" spans="3:8" ht="15.75" customHeight="1" x14ac:dyDescent="0.25">
      <c r="C919" s="81"/>
      <c r="D919" s="81"/>
      <c r="E919" s="80"/>
      <c r="H919" s="136"/>
    </row>
    <row r="920" spans="3:8" ht="15.75" customHeight="1" x14ac:dyDescent="0.25">
      <c r="C920" s="81"/>
      <c r="D920" s="81"/>
      <c r="E920" s="80"/>
      <c r="H920" s="136"/>
    </row>
    <row r="921" spans="3:8" ht="15.75" customHeight="1" x14ac:dyDescent="0.25">
      <c r="C921" s="81"/>
      <c r="D921" s="81"/>
      <c r="E921" s="80"/>
      <c r="H921" s="136"/>
    </row>
    <row r="922" spans="3:8" ht="15.75" customHeight="1" x14ac:dyDescent="0.25">
      <c r="C922" s="81"/>
      <c r="D922" s="81"/>
      <c r="E922" s="80"/>
      <c r="H922" s="136"/>
    </row>
    <row r="923" spans="3:8" ht="15.75" customHeight="1" x14ac:dyDescent="0.25">
      <c r="C923" s="81"/>
      <c r="D923" s="81"/>
      <c r="E923" s="80"/>
      <c r="H923" s="136"/>
    </row>
    <row r="924" spans="3:8" ht="15.75" customHeight="1" x14ac:dyDescent="0.25">
      <c r="C924" s="81"/>
      <c r="D924" s="81"/>
      <c r="E924" s="80"/>
      <c r="H924" s="136"/>
    </row>
    <row r="925" spans="3:8" ht="15.75" customHeight="1" x14ac:dyDescent="0.25">
      <c r="C925" s="81"/>
      <c r="D925" s="81"/>
      <c r="E925" s="80"/>
      <c r="H925" s="136"/>
    </row>
    <row r="926" spans="3:8" ht="15.75" customHeight="1" x14ac:dyDescent="0.25">
      <c r="C926" s="81"/>
      <c r="D926" s="81"/>
      <c r="E926" s="80"/>
      <c r="H926" s="136"/>
    </row>
    <row r="927" spans="3:8" ht="15.75" customHeight="1" x14ac:dyDescent="0.25">
      <c r="C927" s="81"/>
      <c r="D927" s="81"/>
      <c r="E927" s="80"/>
      <c r="H927" s="136"/>
    </row>
    <row r="928" spans="3:8" ht="15.75" customHeight="1" x14ac:dyDescent="0.25">
      <c r="C928" s="81"/>
      <c r="D928" s="81"/>
      <c r="E928" s="80"/>
      <c r="H928" s="136"/>
    </row>
    <row r="929" spans="3:8" ht="15.75" customHeight="1" x14ac:dyDescent="0.25">
      <c r="C929" s="81"/>
      <c r="D929" s="81"/>
      <c r="E929" s="80"/>
      <c r="H929" s="136"/>
    </row>
    <row r="930" spans="3:8" ht="15.75" customHeight="1" x14ac:dyDescent="0.25">
      <c r="C930" s="81"/>
      <c r="D930" s="81"/>
      <c r="E930" s="80"/>
      <c r="H930" s="136"/>
    </row>
    <row r="931" spans="3:8" ht="15.75" customHeight="1" x14ac:dyDescent="0.25">
      <c r="C931" s="81"/>
      <c r="D931" s="81"/>
      <c r="E931" s="80"/>
      <c r="H931" s="136"/>
    </row>
    <row r="932" spans="3:8" ht="15.75" customHeight="1" x14ac:dyDescent="0.25">
      <c r="C932" s="81"/>
      <c r="D932" s="81"/>
      <c r="E932" s="80"/>
      <c r="H932" s="136"/>
    </row>
    <row r="933" spans="3:8" ht="15.75" customHeight="1" x14ac:dyDescent="0.25">
      <c r="C933" s="81"/>
      <c r="D933" s="81"/>
      <c r="E933" s="80"/>
      <c r="H933" s="136"/>
    </row>
    <row r="934" spans="3:8" ht="15.75" customHeight="1" x14ac:dyDescent="0.25">
      <c r="C934" s="81"/>
      <c r="D934" s="81"/>
      <c r="E934" s="80"/>
      <c r="H934" s="136"/>
    </row>
    <row r="935" spans="3:8" ht="15.75" customHeight="1" x14ac:dyDescent="0.25">
      <c r="C935" s="81"/>
      <c r="D935" s="81"/>
      <c r="E935" s="80"/>
      <c r="H935" s="136"/>
    </row>
    <row r="936" spans="3:8" ht="15.75" customHeight="1" x14ac:dyDescent="0.25">
      <c r="C936" s="81"/>
      <c r="D936" s="81"/>
      <c r="E936" s="80"/>
      <c r="H936" s="136"/>
    </row>
    <row r="937" spans="3:8" ht="15.75" customHeight="1" x14ac:dyDescent="0.25">
      <c r="C937" s="81"/>
      <c r="D937" s="81"/>
      <c r="E937" s="80"/>
      <c r="H937" s="136"/>
    </row>
    <row r="938" spans="3:8" ht="15.75" customHeight="1" x14ac:dyDescent="0.25">
      <c r="C938" s="81"/>
      <c r="D938" s="81"/>
      <c r="E938" s="80"/>
      <c r="H938" s="136"/>
    </row>
    <row r="939" spans="3:8" ht="15.75" customHeight="1" x14ac:dyDescent="0.25">
      <c r="C939" s="81"/>
      <c r="D939" s="81"/>
      <c r="E939" s="80"/>
      <c r="H939" s="136"/>
    </row>
    <row r="940" spans="3:8" ht="15.75" customHeight="1" x14ac:dyDescent="0.25">
      <c r="C940" s="81"/>
      <c r="D940" s="81"/>
      <c r="E940" s="80"/>
      <c r="H940" s="136"/>
    </row>
    <row r="941" spans="3:8" ht="15.75" customHeight="1" x14ac:dyDescent="0.25">
      <c r="C941" s="81"/>
      <c r="D941" s="81"/>
      <c r="E941" s="80"/>
      <c r="H941" s="136"/>
    </row>
    <row r="942" spans="3:8" ht="15.75" customHeight="1" x14ac:dyDescent="0.25">
      <c r="C942" s="81"/>
      <c r="D942" s="81"/>
      <c r="E942" s="80"/>
      <c r="H942" s="136"/>
    </row>
  </sheetData>
  <mergeCells count="4">
    <mergeCell ref="A1:B1"/>
    <mergeCell ref="F14:G14"/>
    <mergeCell ref="C14:D14"/>
    <mergeCell ref="F1:H1"/>
  </mergeCells>
  <phoneticPr fontId="50" type="noConversion"/>
  <pageMargins left="0.51181102362204722" right="0.31496062992125984" top="0.35433070866141736" bottom="0.35433070866141736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D483-569F-4599-AAFE-F3A3F70DBFAE}">
  <sheetPr>
    <tabColor rgb="FFF4B083"/>
    <pageSetUpPr fitToPage="1"/>
  </sheetPr>
  <dimension ref="A1:I1047"/>
  <sheetViews>
    <sheetView workbookViewId="0">
      <pane xSplit="1" ySplit="5" topLeftCell="B6" activePane="bottomRight" state="frozen"/>
      <selection pane="topRight" activeCell="H1" sqref="H1"/>
      <selection pane="bottomLeft" activeCell="A17" sqref="A17"/>
      <selection pane="bottomRight" activeCell="B18" sqref="B18"/>
    </sheetView>
  </sheetViews>
  <sheetFormatPr defaultColWidth="19.140625" defaultRowHeight="15" customHeight="1" x14ac:dyDescent="0.25"/>
  <cols>
    <col min="1" max="1" width="10.28515625" style="849" customWidth="1"/>
    <col min="2" max="2" width="37.7109375" style="387" customWidth="1"/>
    <col min="3" max="3" width="14.28515625" style="541" customWidth="1"/>
    <col min="4" max="4" width="17.28515625" style="541" customWidth="1"/>
    <col min="5" max="5" width="16" style="541" customWidth="1"/>
    <col min="6" max="16384" width="19.140625" style="387"/>
  </cols>
  <sheetData>
    <row r="1" spans="1:6" ht="15" customHeight="1" x14ac:dyDescent="0.25">
      <c r="A1" s="848"/>
      <c r="B1" s="430">
        <f ca="1">TODAY()</f>
        <v>46107</v>
      </c>
    </row>
    <row r="2" spans="1:6" ht="18.75" x14ac:dyDescent="0.3">
      <c r="A2" s="839" t="s">
        <v>53</v>
      </c>
      <c r="B2" s="389"/>
      <c r="C2" s="542" t="s">
        <v>59</v>
      </c>
      <c r="D2" s="543"/>
      <c r="E2" s="543">
        <f>+C68-D68</f>
        <v>1278.4199999999983</v>
      </c>
    </row>
    <row r="3" spans="1:6" x14ac:dyDescent="0.25">
      <c r="E3" s="543"/>
    </row>
    <row r="4" spans="1:6" x14ac:dyDescent="0.25">
      <c r="A4" s="840"/>
      <c r="B4" s="390"/>
      <c r="C4" s="854" t="s">
        <v>63</v>
      </c>
      <c r="D4" s="855"/>
      <c r="E4" s="856"/>
    </row>
    <row r="5" spans="1:6" ht="20.100000000000001" customHeight="1" x14ac:dyDescent="0.25">
      <c r="A5" s="841" t="s">
        <v>1</v>
      </c>
      <c r="B5" s="391" t="s">
        <v>3</v>
      </c>
      <c r="C5" s="544" t="s">
        <v>42</v>
      </c>
      <c r="D5" s="544" t="s">
        <v>41</v>
      </c>
      <c r="E5" s="545" t="s">
        <v>4</v>
      </c>
    </row>
    <row r="6" spans="1:6" ht="31.5" customHeight="1" x14ac:dyDescent="0.25">
      <c r="A6" s="842">
        <v>45979</v>
      </c>
      <c r="B6" s="780" t="s">
        <v>95</v>
      </c>
      <c r="C6" s="783">
        <f>10000*3.9</f>
        <v>39000</v>
      </c>
      <c r="D6" s="783">
        <v>0</v>
      </c>
      <c r="E6" s="784">
        <f>+C6-D6</f>
        <v>39000</v>
      </c>
      <c r="F6" s="785"/>
    </row>
    <row r="7" spans="1:6" x14ac:dyDescent="0.25">
      <c r="A7" s="842">
        <v>45980</v>
      </c>
      <c r="B7" s="780" t="s">
        <v>106</v>
      </c>
      <c r="C7" s="781">
        <f>10000*3.8</f>
        <v>38000</v>
      </c>
      <c r="D7" s="781"/>
      <c r="E7" s="782">
        <f t="shared" ref="E7:E17" si="0">E6-D7+C7</f>
        <v>77000</v>
      </c>
      <c r="F7" s="785"/>
    </row>
    <row r="8" spans="1:6" x14ac:dyDescent="0.25">
      <c r="A8" s="842">
        <v>45994</v>
      </c>
      <c r="B8" s="780" t="s">
        <v>217</v>
      </c>
      <c r="C8" s="781"/>
      <c r="D8" s="781">
        <v>21500</v>
      </c>
      <c r="E8" s="782">
        <f t="shared" si="0"/>
        <v>55500</v>
      </c>
      <c r="F8" s="785"/>
    </row>
    <row r="9" spans="1:6" x14ac:dyDescent="0.25">
      <c r="A9" s="842">
        <v>45994</v>
      </c>
      <c r="B9" s="780" t="s">
        <v>204</v>
      </c>
      <c r="C9" s="781"/>
      <c r="D9" s="781">
        <v>1500</v>
      </c>
      <c r="E9" s="782">
        <f t="shared" si="0"/>
        <v>54000</v>
      </c>
      <c r="F9" s="785"/>
    </row>
    <row r="10" spans="1:6" x14ac:dyDescent="0.25">
      <c r="A10" s="842">
        <v>45995</v>
      </c>
      <c r="B10" s="780" t="s">
        <v>218</v>
      </c>
      <c r="C10" s="781"/>
      <c r="D10" s="781">
        <v>4900</v>
      </c>
      <c r="E10" s="782">
        <f t="shared" si="0"/>
        <v>49100</v>
      </c>
      <c r="F10" s="785"/>
    </row>
    <row r="11" spans="1:6" x14ac:dyDescent="0.25">
      <c r="A11" s="842">
        <v>45996</v>
      </c>
      <c r="B11" s="780" t="s">
        <v>219</v>
      </c>
      <c r="C11" s="781"/>
      <c r="D11" s="781">
        <v>4000</v>
      </c>
      <c r="E11" s="782">
        <f t="shared" si="0"/>
        <v>45100</v>
      </c>
      <c r="F11" s="785"/>
    </row>
    <row r="12" spans="1:6" x14ac:dyDescent="0.25">
      <c r="A12" s="842">
        <v>46003</v>
      </c>
      <c r="B12" s="780" t="s">
        <v>205</v>
      </c>
      <c r="C12" s="781"/>
      <c r="D12" s="781">
        <v>5000</v>
      </c>
      <c r="E12" s="782">
        <f t="shared" si="0"/>
        <v>40100</v>
      </c>
      <c r="F12" s="785"/>
    </row>
    <row r="13" spans="1:6" x14ac:dyDescent="0.25">
      <c r="A13" s="842">
        <v>46010</v>
      </c>
      <c r="B13" s="780" t="s">
        <v>206</v>
      </c>
      <c r="C13" s="781"/>
      <c r="D13" s="781">
        <v>11871.58</v>
      </c>
      <c r="E13" s="782">
        <f t="shared" si="0"/>
        <v>28228.42</v>
      </c>
      <c r="F13" s="785"/>
    </row>
    <row r="14" spans="1:6" x14ac:dyDescent="0.25">
      <c r="A14" s="842">
        <v>46005</v>
      </c>
      <c r="B14" s="780" t="s">
        <v>205</v>
      </c>
      <c r="C14" s="781"/>
      <c r="D14" s="781">
        <v>13550</v>
      </c>
      <c r="E14" s="782">
        <f t="shared" si="0"/>
        <v>14678.419999999998</v>
      </c>
      <c r="F14" s="785"/>
    </row>
    <row r="15" spans="1:6" x14ac:dyDescent="0.25">
      <c r="A15" s="842">
        <v>46013</v>
      </c>
      <c r="B15" s="780" t="s">
        <v>216</v>
      </c>
      <c r="C15" s="778"/>
      <c r="D15" s="779">
        <v>2700</v>
      </c>
      <c r="E15" s="782">
        <f t="shared" si="0"/>
        <v>11978.419999999998</v>
      </c>
      <c r="F15" s="786"/>
    </row>
    <row r="16" spans="1:6" x14ac:dyDescent="0.25">
      <c r="A16" s="851">
        <v>46006</v>
      </c>
      <c r="B16" s="776" t="s">
        <v>231</v>
      </c>
      <c r="C16" s="778"/>
      <c r="D16" s="779">
        <v>10200</v>
      </c>
      <c r="E16" s="782">
        <f t="shared" si="0"/>
        <v>1778.4199999999983</v>
      </c>
      <c r="F16" s="785"/>
    </row>
    <row r="17" spans="1:9" x14ac:dyDescent="0.25">
      <c r="A17" s="851">
        <v>46038</v>
      </c>
      <c r="B17" s="776" t="s">
        <v>286</v>
      </c>
      <c r="C17" s="778"/>
      <c r="D17" s="779">
        <v>500</v>
      </c>
      <c r="E17" s="782">
        <f t="shared" si="0"/>
        <v>1278.4199999999983</v>
      </c>
      <c r="F17" s="787"/>
      <c r="G17" s="396"/>
      <c r="H17" s="397"/>
    </row>
    <row r="18" spans="1:9" x14ac:dyDescent="0.25">
      <c r="A18" s="843"/>
      <c r="B18" s="776"/>
      <c r="C18" s="778"/>
      <c r="D18" s="779"/>
      <c r="E18" s="838"/>
    </row>
    <row r="19" spans="1:9" x14ac:dyDescent="0.25">
      <c r="A19" s="843"/>
      <c r="B19" s="777"/>
      <c r="C19" s="778"/>
      <c r="D19" s="779"/>
      <c r="E19" s="838"/>
    </row>
    <row r="20" spans="1:9" ht="15.75" customHeight="1" x14ac:dyDescent="0.3">
      <c r="A20" s="850"/>
      <c r="B20" s="777"/>
      <c r="C20" s="774"/>
      <c r="D20" s="775"/>
      <c r="E20" s="547"/>
      <c r="F20" s="399"/>
      <c r="G20" s="400"/>
      <c r="H20" s="401"/>
      <c r="I20" s="400"/>
    </row>
    <row r="21" spans="1:9" x14ac:dyDescent="0.25">
      <c r="A21" s="850"/>
      <c r="B21" s="777"/>
      <c r="C21" s="774"/>
      <c r="D21" s="775"/>
      <c r="E21" s="547"/>
      <c r="F21" s="402"/>
      <c r="G21" s="857"/>
      <c r="H21" s="857"/>
      <c r="I21" s="403"/>
    </row>
    <row r="22" spans="1:9" x14ac:dyDescent="0.25">
      <c r="A22" s="850"/>
      <c r="B22" s="777"/>
      <c r="C22" s="774"/>
      <c r="D22" s="775"/>
      <c r="E22" s="547"/>
      <c r="F22" s="402"/>
      <c r="G22" s="400"/>
      <c r="H22" s="400"/>
      <c r="I22" s="404"/>
    </row>
    <row r="23" spans="1:9" x14ac:dyDescent="0.25">
      <c r="A23" s="844"/>
      <c r="B23" s="398"/>
      <c r="C23" s="546"/>
      <c r="D23" s="546"/>
      <c r="E23" s="547"/>
      <c r="F23" s="402"/>
      <c r="G23" s="400"/>
      <c r="H23" s="400"/>
      <c r="I23" s="400"/>
    </row>
    <row r="24" spans="1:9" x14ac:dyDescent="0.25">
      <c r="A24" s="844"/>
      <c r="B24" s="398"/>
      <c r="C24" s="546"/>
      <c r="D24" s="546"/>
      <c r="E24" s="547"/>
      <c r="F24" s="405"/>
      <c r="G24" s="400"/>
      <c r="H24" s="401"/>
      <c r="I24" s="400"/>
    </row>
    <row r="25" spans="1:9" ht="15.75" customHeight="1" x14ac:dyDescent="0.25">
      <c r="A25" s="844"/>
      <c r="B25" s="398"/>
      <c r="C25" s="546"/>
      <c r="D25" s="546"/>
      <c r="E25" s="547"/>
      <c r="F25" s="402"/>
      <c r="G25" s="400"/>
      <c r="H25" s="401"/>
      <c r="I25" s="400"/>
    </row>
    <row r="26" spans="1:9" ht="15.75" customHeight="1" x14ac:dyDescent="0.25">
      <c r="A26" s="844"/>
      <c r="B26" s="391"/>
      <c r="C26" s="546"/>
      <c r="D26" s="546"/>
      <c r="E26" s="547"/>
      <c r="G26" s="400"/>
      <c r="H26" s="401"/>
      <c r="I26" s="400"/>
    </row>
    <row r="27" spans="1:9" ht="15.75" customHeight="1" x14ac:dyDescent="0.25">
      <c r="A27" s="844"/>
      <c r="B27" s="391"/>
      <c r="C27" s="546"/>
      <c r="D27" s="546"/>
      <c r="E27" s="547"/>
      <c r="G27" s="400"/>
      <c r="H27" s="401"/>
      <c r="I27" s="400"/>
    </row>
    <row r="28" spans="1:9" ht="15.75" customHeight="1" x14ac:dyDescent="0.25">
      <c r="A28" s="844"/>
      <c r="B28" s="391"/>
      <c r="C28" s="546"/>
      <c r="D28" s="546"/>
      <c r="E28" s="547"/>
      <c r="G28" s="400"/>
      <c r="H28" s="401"/>
      <c r="I28" s="400"/>
    </row>
    <row r="29" spans="1:9" ht="15.75" customHeight="1" x14ac:dyDescent="0.25">
      <c r="A29" s="844"/>
      <c r="B29" s="398"/>
      <c r="C29" s="546"/>
      <c r="D29" s="546"/>
      <c r="E29" s="547"/>
      <c r="G29" s="400"/>
      <c r="H29" s="401"/>
      <c r="I29" s="400"/>
    </row>
    <row r="30" spans="1:9" ht="15.75" customHeight="1" x14ac:dyDescent="0.25">
      <c r="A30" s="844"/>
      <c r="B30" s="398"/>
      <c r="C30" s="546"/>
      <c r="D30" s="546"/>
      <c r="E30" s="547"/>
      <c r="G30" s="388"/>
      <c r="H30" s="406"/>
      <c r="I30" s="400"/>
    </row>
    <row r="31" spans="1:9" ht="15.75" customHeight="1" x14ac:dyDescent="0.25">
      <c r="A31" s="844"/>
      <c r="B31" s="398"/>
      <c r="C31" s="546"/>
      <c r="D31" s="546"/>
      <c r="E31" s="547"/>
      <c r="H31" s="407"/>
    </row>
    <row r="32" spans="1:9" ht="15.75" customHeight="1" x14ac:dyDescent="0.25">
      <c r="A32" s="844"/>
      <c r="B32" s="391"/>
      <c r="C32" s="546"/>
      <c r="D32" s="546"/>
      <c r="E32" s="547"/>
      <c r="H32" s="407"/>
    </row>
    <row r="33" spans="1:8" ht="15.75" customHeight="1" x14ac:dyDescent="0.25">
      <c r="A33" s="844"/>
      <c r="B33" s="391"/>
      <c r="C33" s="546"/>
      <c r="D33" s="546"/>
      <c r="E33" s="547"/>
      <c r="H33" s="407"/>
    </row>
    <row r="34" spans="1:8" ht="15.75" customHeight="1" x14ac:dyDescent="0.25">
      <c r="A34" s="844"/>
      <c r="B34" s="398"/>
      <c r="C34" s="548"/>
      <c r="D34" s="548"/>
      <c r="E34" s="549"/>
      <c r="H34" s="407"/>
    </row>
    <row r="35" spans="1:8" ht="15.75" customHeight="1" x14ac:dyDescent="0.25">
      <c r="A35" s="844"/>
      <c r="B35" s="391"/>
      <c r="C35" s="546"/>
      <c r="D35" s="550"/>
      <c r="E35" s="549"/>
      <c r="F35" s="394"/>
      <c r="H35" s="407"/>
    </row>
    <row r="36" spans="1:8" ht="15.75" customHeight="1" x14ac:dyDescent="0.25">
      <c r="A36" s="844"/>
      <c r="B36" s="391"/>
      <c r="C36" s="551"/>
      <c r="D36" s="551"/>
      <c r="E36" s="549"/>
      <c r="H36" s="407"/>
    </row>
    <row r="37" spans="1:8" ht="15.75" customHeight="1" x14ac:dyDescent="0.25">
      <c r="A37" s="844"/>
      <c r="B37" s="391"/>
      <c r="C37" s="551"/>
      <c r="D37" s="551"/>
      <c r="E37" s="549"/>
      <c r="H37" s="407"/>
    </row>
    <row r="38" spans="1:8" ht="15.75" customHeight="1" x14ac:dyDescent="0.25">
      <c r="A38" s="844"/>
      <c r="B38" s="391"/>
      <c r="C38" s="551"/>
      <c r="D38" s="551"/>
      <c r="E38" s="549"/>
      <c r="H38" s="407"/>
    </row>
    <row r="39" spans="1:8" ht="15.75" customHeight="1" x14ac:dyDescent="0.25">
      <c r="A39" s="844"/>
      <c r="B39" s="391"/>
      <c r="C39" s="551"/>
      <c r="D39" s="551"/>
      <c r="E39" s="549"/>
      <c r="H39" s="407"/>
    </row>
    <row r="40" spans="1:8" ht="15.75" customHeight="1" x14ac:dyDescent="0.25">
      <c r="A40" s="844"/>
      <c r="B40" s="391"/>
      <c r="C40" s="551"/>
      <c r="D40" s="551"/>
      <c r="E40" s="549"/>
      <c r="H40" s="407"/>
    </row>
    <row r="41" spans="1:8" ht="15.75" customHeight="1" x14ac:dyDescent="0.25">
      <c r="A41" s="845"/>
      <c r="B41" s="391"/>
      <c r="C41" s="551"/>
      <c r="D41" s="551"/>
      <c r="E41" s="549"/>
      <c r="H41" s="407"/>
    </row>
    <row r="42" spans="1:8" ht="15.75" customHeight="1" x14ac:dyDescent="0.25">
      <c r="A42" s="845"/>
      <c r="B42" s="391"/>
      <c r="C42" s="551"/>
      <c r="D42" s="551"/>
      <c r="E42" s="549"/>
      <c r="H42" s="407"/>
    </row>
    <row r="43" spans="1:8" ht="15.75" customHeight="1" x14ac:dyDescent="0.25">
      <c r="A43" s="845"/>
      <c r="B43" s="391"/>
      <c r="C43" s="551"/>
      <c r="D43" s="551"/>
      <c r="E43" s="549"/>
      <c r="H43" s="407"/>
    </row>
    <row r="44" spans="1:8" ht="15.75" customHeight="1" x14ac:dyDescent="0.25">
      <c r="A44" s="845"/>
      <c r="B44" s="391"/>
      <c r="C44" s="551"/>
      <c r="D44" s="551"/>
      <c r="E44" s="549"/>
      <c r="H44" s="407"/>
    </row>
    <row r="45" spans="1:8" ht="15.75" customHeight="1" x14ac:dyDescent="0.25">
      <c r="A45" s="845"/>
      <c r="B45" s="391"/>
      <c r="C45" s="551"/>
      <c r="D45" s="551"/>
      <c r="E45" s="549"/>
      <c r="F45" s="414"/>
      <c r="H45" s="407"/>
    </row>
    <row r="46" spans="1:8" ht="15.75" customHeight="1" x14ac:dyDescent="0.25">
      <c r="A46" s="845"/>
      <c r="B46" s="391"/>
      <c r="C46" s="551"/>
      <c r="D46" s="551"/>
      <c r="E46" s="549"/>
      <c r="F46" s="414"/>
      <c r="H46" s="407"/>
    </row>
    <row r="47" spans="1:8" ht="15.75" customHeight="1" x14ac:dyDescent="0.25">
      <c r="A47" s="845"/>
      <c r="B47" s="391"/>
      <c r="C47" s="551"/>
      <c r="D47" s="551"/>
      <c r="E47" s="549"/>
      <c r="F47" s="415"/>
      <c r="H47" s="407"/>
    </row>
    <row r="48" spans="1:8" ht="15.75" customHeight="1" x14ac:dyDescent="0.25">
      <c r="A48" s="845"/>
      <c r="B48" s="391"/>
      <c r="C48" s="551"/>
      <c r="D48" s="551"/>
      <c r="E48" s="549"/>
      <c r="H48" s="407"/>
    </row>
    <row r="49" spans="1:8" ht="15.75" customHeight="1" x14ac:dyDescent="0.25">
      <c r="A49" s="845"/>
      <c r="B49" s="391"/>
      <c r="C49" s="551"/>
      <c r="D49" s="551"/>
      <c r="E49" s="549"/>
      <c r="H49" s="407"/>
    </row>
    <row r="50" spans="1:8" ht="15.75" customHeight="1" x14ac:dyDescent="0.25">
      <c r="A50" s="845"/>
      <c r="B50" s="391"/>
      <c r="C50" s="551"/>
      <c r="D50" s="551"/>
      <c r="E50" s="549"/>
      <c r="H50" s="407"/>
    </row>
    <row r="51" spans="1:8" ht="15.75" customHeight="1" x14ac:dyDescent="0.25">
      <c r="A51" s="845"/>
      <c r="B51" s="391"/>
      <c r="C51" s="551"/>
      <c r="D51" s="551"/>
      <c r="E51" s="549"/>
      <c r="F51" s="414"/>
      <c r="H51" s="407"/>
    </row>
    <row r="52" spans="1:8" ht="15.75" customHeight="1" x14ac:dyDescent="0.25">
      <c r="A52" s="845"/>
      <c r="B52" s="391"/>
      <c r="C52" s="551"/>
      <c r="D52" s="551"/>
      <c r="E52" s="549"/>
      <c r="F52" s="414"/>
      <c r="H52" s="407"/>
    </row>
    <row r="53" spans="1:8" ht="15.75" customHeight="1" x14ac:dyDescent="0.25">
      <c r="A53" s="845"/>
      <c r="B53" s="391"/>
      <c r="C53" s="551"/>
      <c r="D53" s="551"/>
      <c r="E53" s="549"/>
      <c r="F53" s="415"/>
      <c r="H53" s="407"/>
    </row>
    <row r="54" spans="1:8" ht="15.75" customHeight="1" x14ac:dyDescent="0.25">
      <c r="A54" s="845"/>
      <c r="B54" s="391"/>
      <c r="C54" s="551"/>
      <c r="D54" s="551"/>
      <c r="E54" s="549"/>
      <c r="H54" s="407"/>
    </row>
    <row r="55" spans="1:8" ht="15.75" customHeight="1" x14ac:dyDescent="0.25">
      <c r="A55" s="845"/>
      <c r="B55" s="391"/>
      <c r="C55" s="551"/>
      <c r="D55" s="551"/>
      <c r="E55" s="549"/>
      <c r="H55" s="407"/>
    </row>
    <row r="56" spans="1:8" ht="15.75" customHeight="1" x14ac:dyDescent="0.25">
      <c r="A56" s="845"/>
      <c r="B56" s="391"/>
      <c r="C56" s="551"/>
      <c r="D56" s="551"/>
      <c r="E56" s="549"/>
      <c r="H56" s="407"/>
    </row>
    <row r="57" spans="1:8" ht="15.75" customHeight="1" x14ac:dyDescent="0.25">
      <c r="A57" s="845"/>
      <c r="B57" s="391"/>
      <c r="C57" s="551"/>
      <c r="D57" s="551"/>
      <c r="E57" s="549"/>
      <c r="H57" s="407"/>
    </row>
    <row r="58" spans="1:8" ht="15.75" customHeight="1" x14ac:dyDescent="0.25">
      <c r="A58" s="845"/>
      <c r="B58" s="391"/>
      <c r="C58" s="551"/>
      <c r="D58" s="551"/>
      <c r="E58" s="549"/>
      <c r="H58" s="407"/>
    </row>
    <row r="59" spans="1:8" ht="15.75" customHeight="1" x14ac:dyDescent="0.25">
      <c r="A59" s="845"/>
      <c r="B59" s="391"/>
      <c r="C59" s="551"/>
      <c r="D59" s="551"/>
      <c r="E59" s="549"/>
      <c r="H59" s="407"/>
    </row>
    <row r="60" spans="1:8" ht="15.75" customHeight="1" x14ac:dyDescent="0.25">
      <c r="A60" s="845"/>
      <c r="B60" s="391"/>
      <c r="C60" s="551"/>
      <c r="D60" s="551"/>
      <c r="E60" s="549"/>
      <c r="H60" s="407"/>
    </row>
    <row r="61" spans="1:8" ht="15.75" customHeight="1" x14ac:dyDescent="0.25">
      <c r="A61" s="845"/>
      <c r="B61" s="391"/>
      <c r="C61" s="551"/>
      <c r="D61" s="551"/>
      <c r="E61" s="549"/>
      <c r="H61" s="407"/>
    </row>
    <row r="62" spans="1:8" ht="15.75" customHeight="1" x14ac:dyDescent="0.25">
      <c r="A62" s="846"/>
      <c r="B62" s="431"/>
      <c r="C62" s="552"/>
      <c r="D62" s="552"/>
      <c r="E62" s="553"/>
      <c r="H62" s="407"/>
    </row>
    <row r="63" spans="1:8" ht="15.75" customHeight="1" x14ac:dyDescent="0.25">
      <c r="A63" s="845"/>
      <c r="B63" s="391"/>
      <c r="C63" s="551"/>
      <c r="D63" s="551"/>
      <c r="E63" s="549"/>
      <c r="H63" s="407"/>
    </row>
    <row r="64" spans="1:8" ht="15.75" customHeight="1" x14ac:dyDescent="0.25">
      <c r="A64" s="845"/>
      <c r="B64" s="391"/>
      <c r="C64" s="551"/>
      <c r="D64" s="551"/>
      <c r="E64" s="549"/>
      <c r="H64" s="407"/>
    </row>
    <row r="65" spans="1:8" ht="15.75" customHeight="1" x14ac:dyDescent="0.25">
      <c r="A65" s="845"/>
      <c r="B65" s="391"/>
      <c r="C65" s="551"/>
      <c r="D65" s="551"/>
      <c r="E65" s="549"/>
      <c r="H65" s="407"/>
    </row>
    <row r="66" spans="1:8" ht="15.75" customHeight="1" x14ac:dyDescent="0.25">
      <c r="A66" s="845"/>
      <c r="B66" s="391"/>
      <c r="C66" s="551"/>
      <c r="D66" s="551"/>
      <c r="E66" s="549"/>
      <c r="H66" s="407"/>
    </row>
    <row r="67" spans="1:8" ht="15.75" customHeight="1" x14ac:dyDescent="0.25">
      <c r="A67" s="845"/>
      <c r="B67" s="391"/>
      <c r="C67" s="551"/>
      <c r="D67" s="551"/>
      <c r="E67" s="549"/>
      <c r="H67" s="407"/>
    </row>
    <row r="68" spans="1:8" ht="15.75" customHeight="1" x14ac:dyDescent="0.25">
      <c r="A68" s="841"/>
      <c r="B68" s="409" t="s">
        <v>52</v>
      </c>
      <c r="C68" s="551">
        <f>SUM(C6:C67)</f>
        <v>77000</v>
      </c>
      <c r="D68" s="551">
        <f>SUM(D6:D67)</f>
        <v>75721.58</v>
      </c>
      <c r="E68" s="549">
        <f>+C68-D68</f>
        <v>1278.4199999999983</v>
      </c>
      <c r="F68" s="397"/>
      <c r="H68" s="407"/>
    </row>
    <row r="69" spans="1:8" ht="15.75" customHeight="1" x14ac:dyDescent="0.25">
      <c r="A69" s="847"/>
      <c r="B69" s="410"/>
      <c r="C69" s="554"/>
      <c r="D69" s="555"/>
      <c r="E69" s="549"/>
      <c r="G69" s="394"/>
      <c r="H69" s="407"/>
    </row>
    <row r="70" spans="1:8" ht="15.75" customHeight="1" x14ac:dyDescent="0.25">
      <c r="C70" s="556"/>
      <c r="D70" s="556"/>
      <c r="E70" s="557"/>
      <c r="H70" s="407"/>
    </row>
    <row r="71" spans="1:8" ht="15.75" customHeight="1" x14ac:dyDescent="0.25">
      <c r="C71" s="551"/>
      <c r="D71" s="551"/>
      <c r="E71" s="558"/>
      <c r="H71" s="407"/>
    </row>
    <row r="72" spans="1:8" ht="15.75" customHeight="1" x14ac:dyDescent="0.25">
      <c r="C72" s="551"/>
      <c r="D72" s="551"/>
      <c r="E72" s="558"/>
      <c r="H72" s="407"/>
    </row>
    <row r="73" spans="1:8" ht="15.75" customHeight="1" x14ac:dyDescent="0.25">
      <c r="C73" s="551"/>
      <c r="D73" s="551"/>
      <c r="E73" s="558"/>
      <c r="H73" s="407"/>
    </row>
    <row r="74" spans="1:8" ht="15.75" customHeight="1" x14ac:dyDescent="0.25">
      <c r="C74" s="551"/>
      <c r="D74" s="551"/>
      <c r="E74" s="558"/>
    </row>
    <row r="75" spans="1:8" ht="15.75" customHeight="1" x14ac:dyDescent="0.25">
      <c r="C75" s="551"/>
      <c r="D75" s="551"/>
      <c r="E75" s="558"/>
    </row>
    <row r="76" spans="1:8" ht="15.75" customHeight="1" x14ac:dyDescent="0.25">
      <c r="C76" s="551"/>
      <c r="D76" s="551"/>
      <c r="E76" s="558"/>
    </row>
    <row r="77" spans="1:8" ht="15.75" customHeight="1" x14ac:dyDescent="0.25">
      <c r="C77" s="551"/>
      <c r="D77" s="551"/>
      <c r="E77" s="558"/>
    </row>
    <row r="78" spans="1:8" ht="15.75" customHeight="1" x14ac:dyDescent="0.25">
      <c r="C78" s="551"/>
      <c r="D78" s="551"/>
      <c r="E78" s="558"/>
    </row>
    <row r="79" spans="1:8" ht="15.75" customHeight="1" x14ac:dyDescent="0.25">
      <c r="C79" s="551"/>
      <c r="D79" s="551"/>
      <c r="E79" s="558"/>
    </row>
    <row r="80" spans="1:8" ht="15.75" customHeight="1" x14ac:dyDescent="0.25">
      <c r="C80" s="551"/>
      <c r="D80" s="551"/>
      <c r="E80" s="558"/>
    </row>
    <row r="81" spans="5:5" ht="15.75" customHeight="1" x14ac:dyDescent="0.25">
      <c r="E81" s="543"/>
    </row>
    <row r="82" spans="5:5" ht="15.75" customHeight="1" x14ac:dyDescent="0.25">
      <c r="E82" s="543"/>
    </row>
    <row r="83" spans="5:5" ht="15.75" customHeight="1" x14ac:dyDescent="0.25">
      <c r="E83" s="543"/>
    </row>
    <row r="84" spans="5:5" ht="15.75" customHeight="1" x14ac:dyDescent="0.25">
      <c r="E84" s="543"/>
    </row>
    <row r="85" spans="5:5" ht="15.75" customHeight="1" x14ac:dyDescent="0.25">
      <c r="E85" s="543"/>
    </row>
    <row r="86" spans="5:5" ht="15.75" customHeight="1" x14ac:dyDescent="0.25">
      <c r="E86" s="543"/>
    </row>
    <row r="87" spans="5:5" ht="15.75" customHeight="1" x14ac:dyDescent="0.25">
      <c r="E87" s="543"/>
    </row>
    <row r="88" spans="5:5" ht="15.75" customHeight="1" x14ac:dyDescent="0.25">
      <c r="E88" s="543"/>
    </row>
    <row r="89" spans="5:5" ht="15.75" customHeight="1" x14ac:dyDescent="0.25">
      <c r="E89" s="543"/>
    </row>
    <row r="90" spans="5:5" ht="15.75" customHeight="1" x14ac:dyDescent="0.25">
      <c r="E90" s="543"/>
    </row>
    <row r="91" spans="5:5" ht="15.75" customHeight="1" x14ac:dyDescent="0.25">
      <c r="E91" s="543"/>
    </row>
    <row r="92" spans="5:5" ht="15.75" customHeight="1" x14ac:dyDescent="0.25">
      <c r="E92" s="543"/>
    </row>
    <row r="93" spans="5:5" ht="15.75" customHeight="1" x14ac:dyDescent="0.25">
      <c r="E93" s="543"/>
    </row>
    <row r="94" spans="5:5" ht="15.75" customHeight="1" x14ac:dyDescent="0.25">
      <c r="E94" s="543"/>
    </row>
    <row r="95" spans="5:5" ht="15.75" customHeight="1" x14ac:dyDescent="0.25">
      <c r="E95" s="543"/>
    </row>
    <row r="96" spans="5:5" ht="15.75" customHeight="1" x14ac:dyDescent="0.25">
      <c r="E96" s="543"/>
    </row>
    <row r="97" spans="5:5" ht="15.75" customHeight="1" x14ac:dyDescent="0.25">
      <c r="E97" s="543"/>
    </row>
    <row r="98" spans="5:5" ht="15.75" customHeight="1" x14ac:dyDescent="0.25">
      <c r="E98" s="543"/>
    </row>
    <row r="99" spans="5:5" ht="15.75" customHeight="1" x14ac:dyDescent="0.25">
      <c r="E99" s="543"/>
    </row>
    <row r="100" spans="5:5" ht="15.75" customHeight="1" x14ac:dyDescent="0.25">
      <c r="E100" s="543"/>
    </row>
    <row r="101" spans="5:5" ht="15.75" customHeight="1" x14ac:dyDescent="0.25">
      <c r="E101" s="543"/>
    </row>
    <row r="102" spans="5:5" ht="15.75" customHeight="1" x14ac:dyDescent="0.25">
      <c r="E102" s="543"/>
    </row>
    <row r="103" spans="5:5" ht="15.75" customHeight="1" x14ac:dyDescent="0.25">
      <c r="E103" s="543"/>
    </row>
    <row r="104" spans="5:5" ht="15.75" customHeight="1" x14ac:dyDescent="0.25">
      <c r="E104" s="543"/>
    </row>
    <row r="105" spans="5:5" ht="15.75" customHeight="1" x14ac:dyDescent="0.25">
      <c r="E105" s="543"/>
    </row>
    <row r="106" spans="5:5" ht="15.75" customHeight="1" x14ac:dyDescent="0.25">
      <c r="E106" s="543"/>
    </row>
    <row r="107" spans="5:5" ht="15.75" customHeight="1" x14ac:dyDescent="0.25">
      <c r="E107" s="543"/>
    </row>
    <row r="108" spans="5:5" ht="15.75" customHeight="1" x14ac:dyDescent="0.25">
      <c r="E108" s="543"/>
    </row>
    <row r="109" spans="5:5" ht="15.75" customHeight="1" x14ac:dyDescent="0.25">
      <c r="E109" s="543"/>
    </row>
    <row r="110" spans="5:5" ht="15.75" customHeight="1" x14ac:dyDescent="0.25">
      <c r="E110" s="543"/>
    </row>
    <row r="111" spans="5:5" ht="15.75" customHeight="1" x14ac:dyDescent="0.25">
      <c r="E111" s="543"/>
    </row>
    <row r="112" spans="5:5" ht="15.75" customHeight="1" x14ac:dyDescent="0.25">
      <c r="E112" s="543"/>
    </row>
    <row r="113" spans="5:5" ht="15.75" customHeight="1" x14ac:dyDescent="0.25">
      <c r="E113" s="543"/>
    </row>
    <row r="114" spans="5:5" ht="15.75" customHeight="1" x14ac:dyDescent="0.25">
      <c r="E114" s="543"/>
    </row>
    <row r="115" spans="5:5" ht="15.75" customHeight="1" x14ac:dyDescent="0.25">
      <c r="E115" s="543"/>
    </row>
    <row r="116" spans="5:5" ht="15.75" customHeight="1" x14ac:dyDescent="0.25">
      <c r="E116" s="543"/>
    </row>
    <row r="117" spans="5:5" ht="15.75" customHeight="1" x14ac:dyDescent="0.25">
      <c r="E117" s="543"/>
    </row>
    <row r="118" spans="5:5" ht="15.75" customHeight="1" x14ac:dyDescent="0.25">
      <c r="E118" s="543"/>
    </row>
    <row r="119" spans="5:5" ht="15.75" customHeight="1" x14ac:dyDescent="0.25">
      <c r="E119" s="543"/>
    </row>
    <row r="120" spans="5:5" ht="15.75" customHeight="1" x14ac:dyDescent="0.25">
      <c r="E120" s="543"/>
    </row>
    <row r="121" spans="5:5" ht="15.75" customHeight="1" x14ac:dyDescent="0.25">
      <c r="E121" s="543"/>
    </row>
    <row r="122" spans="5:5" ht="15.75" customHeight="1" x14ac:dyDescent="0.25">
      <c r="E122" s="543"/>
    </row>
    <row r="123" spans="5:5" ht="15.75" customHeight="1" x14ac:dyDescent="0.25">
      <c r="E123" s="543"/>
    </row>
    <row r="124" spans="5:5" ht="15.75" customHeight="1" x14ac:dyDescent="0.25">
      <c r="E124" s="543"/>
    </row>
    <row r="125" spans="5:5" ht="15.75" customHeight="1" x14ac:dyDescent="0.25">
      <c r="E125" s="543"/>
    </row>
    <row r="126" spans="5:5" ht="15.75" customHeight="1" x14ac:dyDescent="0.25">
      <c r="E126" s="543"/>
    </row>
    <row r="127" spans="5:5" ht="15.75" customHeight="1" x14ac:dyDescent="0.25">
      <c r="E127" s="543"/>
    </row>
    <row r="128" spans="5:5" ht="15.75" customHeight="1" x14ac:dyDescent="0.25">
      <c r="E128" s="543"/>
    </row>
    <row r="129" spans="5:5" ht="15.75" customHeight="1" x14ac:dyDescent="0.25">
      <c r="E129" s="543"/>
    </row>
    <row r="130" spans="5:5" ht="15.75" customHeight="1" x14ac:dyDescent="0.25">
      <c r="E130" s="543"/>
    </row>
    <row r="131" spans="5:5" ht="15.75" customHeight="1" x14ac:dyDescent="0.25">
      <c r="E131" s="543"/>
    </row>
    <row r="132" spans="5:5" ht="15.75" customHeight="1" x14ac:dyDescent="0.25">
      <c r="E132" s="543"/>
    </row>
    <row r="133" spans="5:5" ht="15.75" customHeight="1" x14ac:dyDescent="0.25">
      <c r="E133" s="543"/>
    </row>
    <row r="134" spans="5:5" ht="15.75" customHeight="1" x14ac:dyDescent="0.25">
      <c r="E134" s="543"/>
    </row>
    <row r="135" spans="5:5" ht="15.75" customHeight="1" x14ac:dyDescent="0.25">
      <c r="E135" s="543"/>
    </row>
    <row r="136" spans="5:5" ht="15.75" customHeight="1" x14ac:dyDescent="0.25">
      <c r="E136" s="543"/>
    </row>
    <row r="137" spans="5:5" ht="15.75" customHeight="1" x14ac:dyDescent="0.25">
      <c r="E137" s="543"/>
    </row>
    <row r="138" spans="5:5" ht="15.75" customHeight="1" x14ac:dyDescent="0.25">
      <c r="E138" s="543"/>
    </row>
    <row r="139" spans="5:5" ht="15.75" customHeight="1" x14ac:dyDescent="0.25">
      <c r="E139" s="543"/>
    </row>
    <row r="140" spans="5:5" ht="15.75" customHeight="1" x14ac:dyDescent="0.25">
      <c r="E140" s="543"/>
    </row>
    <row r="141" spans="5:5" ht="15.75" customHeight="1" x14ac:dyDescent="0.25">
      <c r="E141" s="543"/>
    </row>
    <row r="142" spans="5:5" ht="15.75" customHeight="1" x14ac:dyDescent="0.25">
      <c r="E142" s="543"/>
    </row>
    <row r="143" spans="5:5" ht="15.75" customHeight="1" x14ac:dyDescent="0.25">
      <c r="E143" s="543"/>
    </row>
    <row r="144" spans="5:5" ht="15.75" customHeight="1" x14ac:dyDescent="0.25">
      <c r="E144" s="543"/>
    </row>
    <row r="145" spans="5:5" ht="15.75" customHeight="1" x14ac:dyDescent="0.25">
      <c r="E145" s="543"/>
    </row>
    <row r="146" spans="5:5" ht="15.75" customHeight="1" x14ac:dyDescent="0.25">
      <c r="E146" s="543"/>
    </row>
    <row r="147" spans="5:5" ht="15.75" customHeight="1" x14ac:dyDescent="0.25">
      <c r="E147" s="543"/>
    </row>
    <row r="148" spans="5:5" ht="15.75" customHeight="1" x14ac:dyDescent="0.25">
      <c r="E148" s="543"/>
    </row>
    <row r="149" spans="5:5" ht="15.75" customHeight="1" x14ac:dyDescent="0.25">
      <c r="E149" s="543"/>
    </row>
    <row r="150" spans="5:5" ht="15.75" customHeight="1" x14ac:dyDescent="0.25">
      <c r="E150" s="543"/>
    </row>
    <row r="151" spans="5:5" ht="15.75" customHeight="1" x14ac:dyDescent="0.25">
      <c r="E151" s="543"/>
    </row>
    <row r="152" spans="5:5" ht="15.75" customHeight="1" x14ac:dyDescent="0.25">
      <c r="E152" s="543"/>
    </row>
    <row r="153" spans="5:5" ht="15.75" customHeight="1" x14ac:dyDescent="0.25">
      <c r="E153" s="543"/>
    </row>
    <row r="154" spans="5:5" ht="15.75" customHeight="1" x14ac:dyDescent="0.25">
      <c r="E154" s="543"/>
    </row>
    <row r="155" spans="5:5" ht="15.75" customHeight="1" x14ac:dyDescent="0.25">
      <c r="E155" s="543"/>
    </row>
    <row r="156" spans="5:5" ht="15.75" customHeight="1" x14ac:dyDescent="0.25">
      <c r="E156" s="543"/>
    </row>
    <row r="157" spans="5:5" ht="15.75" customHeight="1" x14ac:dyDescent="0.25">
      <c r="E157" s="543"/>
    </row>
    <row r="158" spans="5:5" ht="15.75" customHeight="1" x14ac:dyDescent="0.25">
      <c r="E158" s="543"/>
    </row>
    <row r="159" spans="5:5" ht="15.75" customHeight="1" x14ac:dyDescent="0.25">
      <c r="E159" s="543"/>
    </row>
    <row r="160" spans="5:5" ht="15.75" customHeight="1" x14ac:dyDescent="0.25">
      <c r="E160" s="543"/>
    </row>
    <row r="161" spans="5:5" ht="15.75" customHeight="1" x14ac:dyDescent="0.25">
      <c r="E161" s="543"/>
    </row>
    <row r="162" spans="5:5" ht="15.75" customHeight="1" x14ac:dyDescent="0.25">
      <c r="E162" s="543"/>
    </row>
    <row r="163" spans="5:5" ht="15.75" customHeight="1" x14ac:dyDescent="0.25">
      <c r="E163" s="543"/>
    </row>
    <row r="164" spans="5:5" ht="15.75" customHeight="1" x14ac:dyDescent="0.25">
      <c r="E164" s="543"/>
    </row>
    <row r="165" spans="5:5" ht="15.75" customHeight="1" x14ac:dyDescent="0.25">
      <c r="E165" s="543"/>
    </row>
    <row r="166" spans="5:5" ht="15.75" customHeight="1" x14ac:dyDescent="0.25">
      <c r="E166" s="543"/>
    </row>
    <row r="167" spans="5:5" ht="15.75" customHeight="1" x14ac:dyDescent="0.25">
      <c r="E167" s="543"/>
    </row>
    <row r="168" spans="5:5" ht="15.75" customHeight="1" x14ac:dyDescent="0.25">
      <c r="E168" s="543"/>
    </row>
    <row r="169" spans="5:5" ht="15.75" customHeight="1" x14ac:dyDescent="0.25">
      <c r="E169" s="543"/>
    </row>
    <row r="170" spans="5:5" ht="15.75" customHeight="1" x14ac:dyDescent="0.25">
      <c r="E170" s="543"/>
    </row>
    <row r="171" spans="5:5" ht="15.75" customHeight="1" x14ac:dyDescent="0.25">
      <c r="E171" s="543"/>
    </row>
    <row r="172" spans="5:5" ht="15.75" customHeight="1" x14ac:dyDescent="0.25">
      <c r="E172" s="543"/>
    </row>
    <row r="173" spans="5:5" ht="15.75" customHeight="1" x14ac:dyDescent="0.25">
      <c r="E173" s="543"/>
    </row>
    <row r="174" spans="5:5" ht="15.75" customHeight="1" x14ac:dyDescent="0.25">
      <c r="E174" s="543"/>
    </row>
    <row r="175" spans="5:5" ht="15.75" customHeight="1" x14ac:dyDescent="0.25">
      <c r="E175" s="543"/>
    </row>
    <row r="176" spans="5:5" ht="15.75" customHeight="1" x14ac:dyDescent="0.25">
      <c r="E176" s="543"/>
    </row>
    <row r="177" spans="5:5" ht="15.75" customHeight="1" x14ac:dyDescent="0.25">
      <c r="E177" s="543"/>
    </row>
    <row r="178" spans="5:5" ht="15.75" customHeight="1" x14ac:dyDescent="0.25">
      <c r="E178" s="543"/>
    </row>
    <row r="179" spans="5:5" ht="15.75" customHeight="1" x14ac:dyDescent="0.25">
      <c r="E179" s="543"/>
    </row>
    <row r="180" spans="5:5" ht="15.75" customHeight="1" x14ac:dyDescent="0.25">
      <c r="E180" s="543"/>
    </row>
    <row r="181" spans="5:5" ht="15.75" customHeight="1" x14ac:dyDescent="0.25">
      <c r="E181" s="543"/>
    </row>
    <row r="182" spans="5:5" ht="15.75" customHeight="1" x14ac:dyDescent="0.25">
      <c r="E182" s="543"/>
    </row>
    <row r="183" spans="5:5" ht="15.75" customHeight="1" x14ac:dyDescent="0.25">
      <c r="E183" s="543"/>
    </row>
    <row r="184" spans="5:5" ht="15.75" customHeight="1" x14ac:dyDescent="0.25">
      <c r="E184" s="543"/>
    </row>
    <row r="185" spans="5:5" ht="15.75" customHeight="1" x14ac:dyDescent="0.25">
      <c r="E185" s="543"/>
    </row>
    <row r="186" spans="5:5" ht="15.75" customHeight="1" x14ac:dyDescent="0.25">
      <c r="E186" s="543"/>
    </row>
    <row r="187" spans="5:5" ht="15.75" customHeight="1" x14ac:dyDescent="0.25">
      <c r="E187" s="543"/>
    </row>
    <row r="188" spans="5:5" ht="15.75" customHeight="1" x14ac:dyDescent="0.25">
      <c r="E188" s="543"/>
    </row>
    <row r="189" spans="5:5" ht="15.75" customHeight="1" x14ac:dyDescent="0.25">
      <c r="E189" s="543"/>
    </row>
    <row r="190" spans="5:5" ht="15.75" customHeight="1" x14ac:dyDescent="0.25">
      <c r="E190" s="543"/>
    </row>
    <row r="191" spans="5:5" ht="15.75" customHeight="1" x14ac:dyDescent="0.25">
      <c r="E191" s="543"/>
    </row>
    <row r="192" spans="5:5" ht="15.75" customHeight="1" x14ac:dyDescent="0.25">
      <c r="E192" s="543"/>
    </row>
    <row r="193" spans="5:5" ht="15.75" customHeight="1" x14ac:dyDescent="0.25">
      <c r="E193" s="543"/>
    </row>
    <row r="194" spans="5:5" ht="15.75" customHeight="1" x14ac:dyDescent="0.25">
      <c r="E194" s="543"/>
    </row>
    <row r="195" spans="5:5" ht="15.75" customHeight="1" x14ac:dyDescent="0.25">
      <c r="E195" s="543"/>
    </row>
    <row r="196" spans="5:5" ht="15.75" customHeight="1" x14ac:dyDescent="0.25">
      <c r="E196" s="543"/>
    </row>
    <row r="197" spans="5:5" ht="15.75" customHeight="1" x14ac:dyDescent="0.25">
      <c r="E197" s="543"/>
    </row>
    <row r="198" spans="5:5" ht="15.75" customHeight="1" x14ac:dyDescent="0.25">
      <c r="E198" s="543"/>
    </row>
    <row r="199" spans="5:5" ht="15.75" customHeight="1" x14ac:dyDescent="0.25">
      <c r="E199" s="543"/>
    </row>
    <row r="200" spans="5:5" ht="15.75" customHeight="1" x14ac:dyDescent="0.25">
      <c r="E200" s="543"/>
    </row>
    <row r="201" spans="5:5" ht="15.75" customHeight="1" x14ac:dyDescent="0.25">
      <c r="E201" s="543"/>
    </row>
    <row r="202" spans="5:5" ht="15.75" customHeight="1" x14ac:dyDescent="0.25">
      <c r="E202" s="543"/>
    </row>
    <row r="203" spans="5:5" ht="15.75" customHeight="1" x14ac:dyDescent="0.25">
      <c r="E203" s="543"/>
    </row>
    <row r="204" spans="5:5" ht="15.75" customHeight="1" x14ac:dyDescent="0.25">
      <c r="E204" s="543"/>
    </row>
    <row r="205" spans="5:5" ht="15.75" customHeight="1" x14ac:dyDescent="0.25">
      <c r="E205" s="543"/>
    </row>
    <row r="206" spans="5:5" ht="15.75" customHeight="1" x14ac:dyDescent="0.25">
      <c r="E206" s="543"/>
    </row>
    <row r="207" spans="5:5" ht="15.75" customHeight="1" x14ac:dyDescent="0.25">
      <c r="E207" s="543"/>
    </row>
    <row r="208" spans="5:5" ht="15.75" customHeight="1" x14ac:dyDescent="0.25">
      <c r="E208" s="543"/>
    </row>
    <row r="209" spans="5:5" ht="15.75" customHeight="1" x14ac:dyDescent="0.25">
      <c r="E209" s="543"/>
    </row>
    <row r="210" spans="5:5" ht="15.75" customHeight="1" x14ac:dyDescent="0.25">
      <c r="E210" s="543"/>
    </row>
    <row r="211" spans="5:5" ht="15.75" customHeight="1" x14ac:dyDescent="0.25">
      <c r="E211" s="543"/>
    </row>
    <row r="212" spans="5:5" ht="15.75" customHeight="1" x14ac:dyDescent="0.25">
      <c r="E212" s="543"/>
    </row>
    <row r="213" spans="5:5" ht="15.75" customHeight="1" x14ac:dyDescent="0.25">
      <c r="E213" s="543"/>
    </row>
    <row r="214" spans="5:5" ht="15.75" customHeight="1" x14ac:dyDescent="0.25">
      <c r="E214" s="543"/>
    </row>
    <row r="215" spans="5:5" ht="15.75" customHeight="1" x14ac:dyDescent="0.25">
      <c r="E215" s="543"/>
    </row>
    <row r="216" spans="5:5" ht="15.75" customHeight="1" x14ac:dyDescent="0.25">
      <c r="E216" s="543"/>
    </row>
    <row r="217" spans="5:5" ht="15.75" customHeight="1" x14ac:dyDescent="0.25">
      <c r="E217" s="543"/>
    </row>
    <row r="218" spans="5:5" ht="15.75" customHeight="1" x14ac:dyDescent="0.25">
      <c r="E218" s="543"/>
    </row>
    <row r="219" spans="5:5" ht="15.75" customHeight="1" x14ac:dyDescent="0.25">
      <c r="E219" s="543"/>
    </row>
    <row r="220" spans="5:5" ht="15.75" customHeight="1" x14ac:dyDescent="0.25">
      <c r="E220" s="543"/>
    </row>
    <row r="221" spans="5:5" ht="15.75" customHeight="1" x14ac:dyDescent="0.25">
      <c r="E221" s="543"/>
    </row>
    <row r="222" spans="5:5" ht="15.75" customHeight="1" x14ac:dyDescent="0.25">
      <c r="E222" s="543"/>
    </row>
    <row r="223" spans="5:5" ht="15.75" customHeight="1" x14ac:dyDescent="0.25">
      <c r="E223" s="543"/>
    </row>
    <row r="224" spans="5:5" ht="15.75" customHeight="1" x14ac:dyDescent="0.25">
      <c r="E224" s="543"/>
    </row>
    <row r="225" spans="5:5" ht="15.75" customHeight="1" x14ac:dyDescent="0.25">
      <c r="E225" s="543"/>
    </row>
    <row r="226" spans="5:5" ht="15.75" customHeight="1" x14ac:dyDescent="0.25">
      <c r="E226" s="543"/>
    </row>
    <row r="227" spans="5:5" ht="15.75" customHeight="1" x14ac:dyDescent="0.25">
      <c r="E227" s="543"/>
    </row>
    <row r="228" spans="5:5" ht="15.75" customHeight="1" x14ac:dyDescent="0.25">
      <c r="E228" s="543"/>
    </row>
    <row r="229" spans="5:5" ht="15.75" customHeight="1" x14ac:dyDescent="0.25">
      <c r="E229" s="543"/>
    </row>
    <row r="230" spans="5:5" ht="15.75" customHeight="1" x14ac:dyDescent="0.25">
      <c r="E230" s="543"/>
    </row>
    <row r="231" spans="5:5" ht="15.75" customHeight="1" x14ac:dyDescent="0.25">
      <c r="E231" s="543"/>
    </row>
    <row r="232" spans="5:5" ht="15.75" customHeight="1" x14ac:dyDescent="0.25">
      <c r="E232" s="543"/>
    </row>
    <row r="233" spans="5:5" ht="15.75" customHeight="1" x14ac:dyDescent="0.25">
      <c r="E233" s="543"/>
    </row>
    <row r="234" spans="5:5" ht="15.75" customHeight="1" x14ac:dyDescent="0.25">
      <c r="E234" s="543"/>
    </row>
    <row r="235" spans="5:5" ht="15.75" customHeight="1" x14ac:dyDescent="0.25">
      <c r="E235" s="543"/>
    </row>
    <row r="236" spans="5:5" ht="15.75" customHeight="1" x14ac:dyDescent="0.25">
      <c r="E236" s="543"/>
    </row>
    <row r="237" spans="5:5" ht="15.75" customHeight="1" x14ac:dyDescent="0.25">
      <c r="E237" s="543"/>
    </row>
    <row r="238" spans="5:5" ht="15.75" customHeight="1" x14ac:dyDescent="0.25">
      <c r="E238" s="543"/>
    </row>
    <row r="239" spans="5:5" ht="15.75" customHeight="1" x14ac:dyDescent="0.25">
      <c r="E239" s="543"/>
    </row>
    <row r="240" spans="5:5" ht="15.75" customHeight="1" x14ac:dyDescent="0.25">
      <c r="E240" s="543"/>
    </row>
    <row r="241" spans="5:5" ht="15.75" customHeight="1" x14ac:dyDescent="0.25">
      <c r="E241" s="543"/>
    </row>
    <row r="242" spans="5:5" ht="15.75" customHeight="1" x14ac:dyDescent="0.25">
      <c r="E242" s="543"/>
    </row>
    <row r="243" spans="5:5" ht="15.75" customHeight="1" x14ac:dyDescent="0.25">
      <c r="E243" s="543"/>
    </row>
    <row r="244" spans="5:5" ht="15.75" customHeight="1" x14ac:dyDescent="0.25">
      <c r="E244" s="543"/>
    </row>
    <row r="245" spans="5:5" ht="15.75" customHeight="1" x14ac:dyDescent="0.25">
      <c r="E245" s="543"/>
    </row>
    <row r="246" spans="5:5" ht="15.75" customHeight="1" x14ac:dyDescent="0.25">
      <c r="E246" s="543"/>
    </row>
    <row r="247" spans="5:5" ht="15.75" customHeight="1" x14ac:dyDescent="0.25">
      <c r="E247" s="543"/>
    </row>
    <row r="248" spans="5:5" ht="15.75" customHeight="1" x14ac:dyDescent="0.25">
      <c r="E248" s="543"/>
    </row>
    <row r="249" spans="5:5" ht="15.75" customHeight="1" x14ac:dyDescent="0.25">
      <c r="E249" s="543"/>
    </row>
    <row r="250" spans="5:5" ht="15.75" customHeight="1" x14ac:dyDescent="0.25">
      <c r="E250" s="543"/>
    </row>
    <row r="251" spans="5:5" ht="15.75" customHeight="1" x14ac:dyDescent="0.25">
      <c r="E251" s="543"/>
    </row>
    <row r="252" spans="5:5" ht="15.75" customHeight="1" x14ac:dyDescent="0.25">
      <c r="E252" s="543"/>
    </row>
    <row r="253" spans="5:5" ht="15.75" customHeight="1" x14ac:dyDescent="0.25">
      <c r="E253" s="543"/>
    </row>
    <row r="254" spans="5:5" ht="15.75" customHeight="1" x14ac:dyDescent="0.25">
      <c r="E254" s="543"/>
    </row>
    <row r="255" spans="5:5" ht="15.75" customHeight="1" x14ac:dyDescent="0.25">
      <c r="E255" s="543"/>
    </row>
    <row r="256" spans="5:5" ht="15.75" customHeight="1" x14ac:dyDescent="0.25">
      <c r="E256" s="543"/>
    </row>
    <row r="257" spans="5:5" ht="15.75" customHeight="1" x14ac:dyDescent="0.25">
      <c r="E257" s="543"/>
    </row>
    <row r="258" spans="5:5" ht="15.75" customHeight="1" x14ac:dyDescent="0.25">
      <c r="E258" s="543"/>
    </row>
    <row r="259" spans="5:5" ht="15.75" customHeight="1" x14ac:dyDescent="0.25">
      <c r="E259" s="543"/>
    </row>
    <row r="260" spans="5:5" ht="15.75" customHeight="1" x14ac:dyDescent="0.25">
      <c r="E260" s="543"/>
    </row>
    <row r="261" spans="5:5" ht="15.75" customHeight="1" x14ac:dyDescent="0.25">
      <c r="E261" s="543"/>
    </row>
    <row r="262" spans="5:5" ht="15.75" customHeight="1" x14ac:dyDescent="0.25">
      <c r="E262" s="543"/>
    </row>
    <row r="263" spans="5:5" ht="15.75" customHeight="1" x14ac:dyDescent="0.25">
      <c r="E263" s="543"/>
    </row>
    <row r="264" spans="5:5" ht="15.75" customHeight="1" x14ac:dyDescent="0.25">
      <c r="E264" s="543"/>
    </row>
    <row r="265" spans="5:5" ht="15.75" customHeight="1" x14ac:dyDescent="0.25">
      <c r="E265" s="543"/>
    </row>
    <row r="266" spans="5:5" ht="15.75" customHeight="1" x14ac:dyDescent="0.25">
      <c r="E266" s="543"/>
    </row>
    <row r="267" spans="5:5" ht="15.75" customHeight="1" x14ac:dyDescent="0.25">
      <c r="E267" s="543"/>
    </row>
    <row r="268" spans="5:5" ht="15.75" customHeight="1" x14ac:dyDescent="0.25">
      <c r="E268" s="543"/>
    </row>
    <row r="269" spans="5:5" ht="15.75" customHeight="1" x14ac:dyDescent="0.25">
      <c r="E269" s="543"/>
    </row>
    <row r="270" spans="5:5" ht="15.75" customHeight="1" x14ac:dyDescent="0.25">
      <c r="E270" s="543"/>
    </row>
    <row r="271" spans="5:5" ht="15.75" customHeight="1" x14ac:dyDescent="0.25">
      <c r="E271" s="543"/>
    </row>
    <row r="272" spans="5:5" ht="15.75" customHeight="1" x14ac:dyDescent="0.25">
      <c r="E272" s="543"/>
    </row>
    <row r="273" spans="5:5" ht="15.75" customHeight="1" x14ac:dyDescent="0.25">
      <c r="E273" s="543"/>
    </row>
    <row r="274" spans="5:5" ht="15.75" customHeight="1" x14ac:dyDescent="0.25">
      <c r="E274" s="543"/>
    </row>
    <row r="275" spans="5:5" ht="15.75" customHeight="1" x14ac:dyDescent="0.25">
      <c r="E275" s="543"/>
    </row>
    <row r="276" spans="5:5" ht="15.75" customHeight="1" x14ac:dyDescent="0.25">
      <c r="E276" s="543"/>
    </row>
    <row r="277" spans="5:5" ht="15.75" customHeight="1" x14ac:dyDescent="0.25">
      <c r="E277" s="543"/>
    </row>
    <row r="278" spans="5:5" ht="15.75" customHeight="1" x14ac:dyDescent="0.25">
      <c r="E278" s="543"/>
    </row>
    <row r="279" spans="5:5" ht="15.75" customHeight="1" x14ac:dyDescent="0.25">
      <c r="E279" s="543"/>
    </row>
    <row r="280" spans="5:5" ht="15.75" customHeight="1" x14ac:dyDescent="0.25">
      <c r="E280" s="543"/>
    </row>
    <row r="281" spans="5:5" ht="15.75" customHeight="1" x14ac:dyDescent="0.25">
      <c r="E281" s="543"/>
    </row>
    <row r="282" spans="5:5" ht="15.75" customHeight="1" x14ac:dyDescent="0.25">
      <c r="E282" s="543"/>
    </row>
    <row r="283" spans="5:5" ht="15.75" customHeight="1" x14ac:dyDescent="0.25">
      <c r="E283" s="543"/>
    </row>
    <row r="284" spans="5:5" ht="15.75" customHeight="1" x14ac:dyDescent="0.25">
      <c r="E284" s="543"/>
    </row>
    <row r="285" spans="5:5" ht="15.75" customHeight="1" x14ac:dyDescent="0.25">
      <c r="E285" s="543"/>
    </row>
    <row r="286" spans="5:5" ht="15.75" customHeight="1" x14ac:dyDescent="0.25">
      <c r="E286" s="543"/>
    </row>
    <row r="287" spans="5:5" ht="15.75" customHeight="1" x14ac:dyDescent="0.25">
      <c r="E287" s="543"/>
    </row>
    <row r="288" spans="5:5" ht="15.75" customHeight="1" x14ac:dyDescent="0.25">
      <c r="E288" s="543"/>
    </row>
    <row r="289" spans="5:5" ht="15.75" customHeight="1" x14ac:dyDescent="0.25">
      <c r="E289" s="543"/>
    </row>
    <row r="290" spans="5:5" ht="15.75" customHeight="1" x14ac:dyDescent="0.25">
      <c r="E290" s="543"/>
    </row>
    <row r="291" spans="5:5" ht="15.75" customHeight="1" x14ac:dyDescent="0.25">
      <c r="E291" s="543"/>
    </row>
    <row r="292" spans="5:5" ht="15.75" customHeight="1" x14ac:dyDescent="0.25">
      <c r="E292" s="543"/>
    </row>
    <row r="293" spans="5:5" ht="15.75" customHeight="1" x14ac:dyDescent="0.25">
      <c r="E293" s="543"/>
    </row>
    <row r="294" spans="5:5" ht="15.75" customHeight="1" x14ac:dyDescent="0.25">
      <c r="E294" s="543"/>
    </row>
    <row r="295" spans="5:5" ht="15.75" customHeight="1" x14ac:dyDescent="0.25">
      <c r="E295" s="543"/>
    </row>
    <row r="296" spans="5:5" ht="15.75" customHeight="1" x14ac:dyDescent="0.25">
      <c r="E296" s="543"/>
    </row>
    <row r="297" spans="5:5" ht="15.75" customHeight="1" x14ac:dyDescent="0.25">
      <c r="E297" s="543"/>
    </row>
    <row r="298" spans="5:5" ht="15.75" customHeight="1" x14ac:dyDescent="0.25">
      <c r="E298" s="543"/>
    </row>
    <row r="299" spans="5:5" ht="15.75" customHeight="1" x14ac:dyDescent="0.25">
      <c r="E299" s="543"/>
    </row>
    <row r="300" spans="5:5" ht="15.75" customHeight="1" x14ac:dyDescent="0.25">
      <c r="E300" s="543"/>
    </row>
    <row r="301" spans="5:5" ht="15.75" customHeight="1" x14ac:dyDescent="0.25">
      <c r="E301" s="543"/>
    </row>
    <row r="302" spans="5:5" ht="15.75" customHeight="1" x14ac:dyDescent="0.25">
      <c r="E302" s="543"/>
    </row>
    <row r="303" spans="5:5" ht="15.75" customHeight="1" x14ac:dyDescent="0.25">
      <c r="E303" s="543"/>
    </row>
    <row r="304" spans="5:5" ht="15.75" customHeight="1" x14ac:dyDescent="0.25">
      <c r="E304" s="543"/>
    </row>
    <row r="305" spans="5:5" ht="15.75" customHeight="1" x14ac:dyDescent="0.25">
      <c r="E305" s="543"/>
    </row>
    <row r="306" spans="5:5" ht="15.75" customHeight="1" x14ac:dyDescent="0.25">
      <c r="E306" s="543"/>
    </row>
    <row r="307" spans="5:5" ht="15.75" customHeight="1" x14ac:dyDescent="0.25">
      <c r="E307" s="543"/>
    </row>
    <row r="308" spans="5:5" ht="15.75" customHeight="1" x14ac:dyDescent="0.25">
      <c r="E308" s="543"/>
    </row>
    <row r="309" spans="5:5" ht="15.75" customHeight="1" x14ac:dyDescent="0.25">
      <c r="E309" s="543"/>
    </row>
    <row r="310" spans="5:5" ht="15.75" customHeight="1" x14ac:dyDescent="0.25">
      <c r="E310" s="543"/>
    </row>
    <row r="311" spans="5:5" ht="15.75" customHeight="1" x14ac:dyDescent="0.25">
      <c r="E311" s="543"/>
    </row>
    <row r="312" spans="5:5" ht="15.75" customHeight="1" x14ac:dyDescent="0.25">
      <c r="E312" s="543"/>
    </row>
    <row r="313" spans="5:5" ht="15.75" customHeight="1" x14ac:dyDescent="0.25">
      <c r="E313" s="543"/>
    </row>
    <row r="314" spans="5:5" ht="15.75" customHeight="1" x14ac:dyDescent="0.25">
      <c r="E314" s="543"/>
    </row>
    <row r="315" spans="5:5" ht="15.75" customHeight="1" x14ac:dyDescent="0.25">
      <c r="E315" s="543"/>
    </row>
    <row r="316" spans="5:5" ht="15.75" customHeight="1" x14ac:dyDescent="0.25">
      <c r="E316" s="543"/>
    </row>
    <row r="317" spans="5:5" ht="15.75" customHeight="1" x14ac:dyDescent="0.25">
      <c r="E317" s="543"/>
    </row>
    <row r="318" spans="5:5" ht="15.75" customHeight="1" x14ac:dyDescent="0.25">
      <c r="E318" s="543"/>
    </row>
    <row r="319" spans="5:5" ht="15.75" customHeight="1" x14ac:dyDescent="0.25">
      <c r="E319" s="543"/>
    </row>
    <row r="320" spans="5:5" ht="15.75" customHeight="1" x14ac:dyDescent="0.25">
      <c r="E320" s="543"/>
    </row>
    <row r="321" spans="5:5" ht="15.75" customHeight="1" x14ac:dyDescent="0.25">
      <c r="E321" s="543"/>
    </row>
    <row r="322" spans="5:5" ht="15.75" customHeight="1" x14ac:dyDescent="0.25">
      <c r="E322" s="543"/>
    </row>
    <row r="323" spans="5:5" ht="15.75" customHeight="1" x14ac:dyDescent="0.25">
      <c r="E323" s="543"/>
    </row>
    <row r="324" spans="5:5" ht="15.75" customHeight="1" x14ac:dyDescent="0.25">
      <c r="E324" s="543"/>
    </row>
    <row r="325" spans="5:5" ht="15.75" customHeight="1" x14ac:dyDescent="0.25">
      <c r="E325" s="543"/>
    </row>
    <row r="326" spans="5:5" ht="15.75" customHeight="1" x14ac:dyDescent="0.25">
      <c r="E326" s="543"/>
    </row>
    <row r="327" spans="5:5" ht="15.75" customHeight="1" x14ac:dyDescent="0.25">
      <c r="E327" s="543"/>
    </row>
    <row r="328" spans="5:5" ht="15.75" customHeight="1" x14ac:dyDescent="0.25">
      <c r="E328" s="543"/>
    </row>
    <row r="329" spans="5:5" ht="15.75" customHeight="1" x14ac:dyDescent="0.25">
      <c r="E329" s="543"/>
    </row>
    <row r="330" spans="5:5" ht="15.75" customHeight="1" x14ac:dyDescent="0.25">
      <c r="E330" s="543"/>
    </row>
    <row r="331" spans="5:5" ht="15.75" customHeight="1" x14ac:dyDescent="0.25">
      <c r="E331" s="543"/>
    </row>
    <row r="332" spans="5:5" ht="15.75" customHeight="1" x14ac:dyDescent="0.25">
      <c r="E332" s="543"/>
    </row>
    <row r="333" spans="5:5" ht="15.75" customHeight="1" x14ac:dyDescent="0.25">
      <c r="E333" s="543"/>
    </row>
    <row r="334" spans="5:5" ht="15.75" customHeight="1" x14ac:dyDescent="0.25">
      <c r="E334" s="543"/>
    </row>
    <row r="335" spans="5:5" ht="15.75" customHeight="1" x14ac:dyDescent="0.25">
      <c r="E335" s="543"/>
    </row>
    <row r="336" spans="5:5" ht="15.75" customHeight="1" x14ac:dyDescent="0.25">
      <c r="E336" s="543"/>
    </row>
    <row r="337" spans="5:5" ht="15.75" customHeight="1" x14ac:dyDescent="0.25">
      <c r="E337" s="543"/>
    </row>
    <row r="338" spans="5:5" ht="15.75" customHeight="1" x14ac:dyDescent="0.25">
      <c r="E338" s="543"/>
    </row>
    <row r="339" spans="5:5" ht="15.75" customHeight="1" x14ac:dyDescent="0.25">
      <c r="E339" s="543"/>
    </row>
    <row r="340" spans="5:5" ht="15.75" customHeight="1" x14ac:dyDescent="0.25">
      <c r="E340" s="543"/>
    </row>
    <row r="341" spans="5:5" ht="15.75" customHeight="1" x14ac:dyDescent="0.25">
      <c r="E341" s="543"/>
    </row>
    <row r="342" spans="5:5" ht="15.75" customHeight="1" x14ac:dyDescent="0.25">
      <c r="E342" s="543"/>
    </row>
    <row r="343" spans="5:5" ht="15.75" customHeight="1" x14ac:dyDescent="0.25">
      <c r="E343" s="543"/>
    </row>
    <row r="344" spans="5:5" ht="15.75" customHeight="1" x14ac:dyDescent="0.25">
      <c r="E344" s="543"/>
    </row>
    <row r="345" spans="5:5" ht="15.75" customHeight="1" x14ac:dyDescent="0.25">
      <c r="E345" s="543"/>
    </row>
    <row r="346" spans="5:5" ht="15.75" customHeight="1" x14ac:dyDescent="0.25">
      <c r="E346" s="543"/>
    </row>
    <row r="347" spans="5:5" ht="15.75" customHeight="1" x14ac:dyDescent="0.25">
      <c r="E347" s="543"/>
    </row>
    <row r="348" spans="5:5" ht="15.75" customHeight="1" x14ac:dyDescent="0.25">
      <c r="E348" s="543"/>
    </row>
    <row r="349" spans="5:5" ht="15.75" customHeight="1" x14ac:dyDescent="0.25">
      <c r="E349" s="543"/>
    </row>
    <row r="350" spans="5:5" ht="15.75" customHeight="1" x14ac:dyDescent="0.25">
      <c r="E350" s="543"/>
    </row>
    <row r="351" spans="5:5" ht="15.75" customHeight="1" x14ac:dyDescent="0.25">
      <c r="E351" s="543"/>
    </row>
    <row r="352" spans="5:5" ht="15.75" customHeight="1" x14ac:dyDescent="0.25">
      <c r="E352" s="543"/>
    </row>
    <row r="353" spans="5:5" ht="15.75" customHeight="1" x14ac:dyDescent="0.25">
      <c r="E353" s="543"/>
    </row>
    <row r="354" spans="5:5" ht="15.75" customHeight="1" x14ac:dyDescent="0.25">
      <c r="E354" s="543"/>
    </row>
    <row r="355" spans="5:5" ht="15.75" customHeight="1" x14ac:dyDescent="0.25">
      <c r="E355" s="543"/>
    </row>
    <row r="356" spans="5:5" ht="15.75" customHeight="1" x14ac:dyDescent="0.25">
      <c r="E356" s="543"/>
    </row>
    <row r="357" spans="5:5" ht="15.75" customHeight="1" x14ac:dyDescent="0.25">
      <c r="E357" s="543"/>
    </row>
    <row r="358" spans="5:5" ht="15.75" customHeight="1" x14ac:dyDescent="0.25">
      <c r="E358" s="543"/>
    </row>
    <row r="359" spans="5:5" ht="15.75" customHeight="1" x14ac:dyDescent="0.25">
      <c r="E359" s="543"/>
    </row>
    <row r="360" spans="5:5" ht="15.75" customHeight="1" x14ac:dyDescent="0.25">
      <c r="E360" s="543"/>
    </row>
    <row r="361" spans="5:5" ht="15.75" customHeight="1" x14ac:dyDescent="0.25">
      <c r="E361" s="543"/>
    </row>
    <row r="362" spans="5:5" ht="15.75" customHeight="1" x14ac:dyDescent="0.25">
      <c r="E362" s="543"/>
    </row>
    <row r="363" spans="5:5" ht="15.75" customHeight="1" x14ac:dyDescent="0.25">
      <c r="E363" s="543"/>
    </row>
    <row r="364" spans="5:5" ht="15.75" customHeight="1" x14ac:dyDescent="0.25">
      <c r="E364" s="543"/>
    </row>
    <row r="365" spans="5:5" ht="15.75" customHeight="1" x14ac:dyDescent="0.25">
      <c r="E365" s="543"/>
    </row>
    <row r="366" spans="5:5" ht="15.75" customHeight="1" x14ac:dyDescent="0.25">
      <c r="E366" s="543"/>
    </row>
    <row r="367" spans="5:5" ht="15.75" customHeight="1" x14ac:dyDescent="0.25">
      <c r="E367" s="543"/>
    </row>
    <row r="368" spans="5:5" ht="15.75" customHeight="1" x14ac:dyDescent="0.25">
      <c r="E368" s="543"/>
    </row>
    <row r="369" spans="5:5" ht="15.75" customHeight="1" x14ac:dyDescent="0.25">
      <c r="E369" s="543"/>
    </row>
    <row r="370" spans="5:5" ht="15.75" customHeight="1" x14ac:dyDescent="0.25">
      <c r="E370" s="543"/>
    </row>
    <row r="371" spans="5:5" ht="15.75" customHeight="1" x14ac:dyDescent="0.25">
      <c r="E371" s="543"/>
    </row>
    <row r="372" spans="5:5" ht="15.75" customHeight="1" x14ac:dyDescent="0.25">
      <c r="E372" s="543"/>
    </row>
    <row r="373" spans="5:5" ht="15.75" customHeight="1" x14ac:dyDescent="0.25">
      <c r="E373" s="543"/>
    </row>
    <row r="374" spans="5:5" ht="15.75" customHeight="1" x14ac:dyDescent="0.25">
      <c r="E374" s="543"/>
    </row>
    <row r="375" spans="5:5" ht="15.75" customHeight="1" x14ac:dyDescent="0.25">
      <c r="E375" s="543"/>
    </row>
    <row r="376" spans="5:5" ht="15.75" customHeight="1" x14ac:dyDescent="0.25">
      <c r="E376" s="543"/>
    </row>
    <row r="377" spans="5:5" ht="15.75" customHeight="1" x14ac:dyDescent="0.25">
      <c r="E377" s="543"/>
    </row>
    <row r="378" spans="5:5" ht="15.75" customHeight="1" x14ac:dyDescent="0.25">
      <c r="E378" s="543"/>
    </row>
    <row r="379" spans="5:5" ht="15.75" customHeight="1" x14ac:dyDescent="0.25">
      <c r="E379" s="543"/>
    </row>
    <row r="380" spans="5:5" ht="15.75" customHeight="1" x14ac:dyDescent="0.25">
      <c r="E380" s="543"/>
    </row>
    <row r="381" spans="5:5" ht="15.75" customHeight="1" x14ac:dyDescent="0.25">
      <c r="E381" s="543"/>
    </row>
    <row r="382" spans="5:5" ht="15.75" customHeight="1" x14ac:dyDescent="0.25">
      <c r="E382" s="543"/>
    </row>
    <row r="383" spans="5:5" ht="15.75" customHeight="1" x14ac:dyDescent="0.25">
      <c r="E383" s="543"/>
    </row>
    <row r="384" spans="5:5" ht="15.75" customHeight="1" x14ac:dyDescent="0.25">
      <c r="E384" s="543"/>
    </row>
    <row r="385" spans="5:5" ht="15.75" customHeight="1" x14ac:dyDescent="0.25">
      <c r="E385" s="543"/>
    </row>
    <row r="386" spans="5:5" ht="15.75" customHeight="1" x14ac:dyDescent="0.25">
      <c r="E386" s="543"/>
    </row>
    <row r="387" spans="5:5" ht="15.75" customHeight="1" x14ac:dyDescent="0.25">
      <c r="E387" s="543"/>
    </row>
    <row r="388" spans="5:5" ht="15.75" customHeight="1" x14ac:dyDescent="0.25">
      <c r="E388" s="543"/>
    </row>
    <row r="389" spans="5:5" ht="15.75" customHeight="1" x14ac:dyDescent="0.25">
      <c r="E389" s="543"/>
    </row>
    <row r="390" spans="5:5" ht="15.75" customHeight="1" x14ac:dyDescent="0.25">
      <c r="E390" s="543"/>
    </row>
    <row r="391" spans="5:5" ht="15.75" customHeight="1" x14ac:dyDescent="0.25">
      <c r="E391" s="543"/>
    </row>
    <row r="392" spans="5:5" ht="15.75" customHeight="1" x14ac:dyDescent="0.25">
      <c r="E392" s="543"/>
    </row>
    <row r="393" spans="5:5" ht="15.75" customHeight="1" x14ac:dyDescent="0.25">
      <c r="E393" s="543"/>
    </row>
    <row r="394" spans="5:5" ht="15.75" customHeight="1" x14ac:dyDescent="0.25">
      <c r="E394" s="543"/>
    </row>
    <row r="395" spans="5:5" ht="15.75" customHeight="1" x14ac:dyDescent="0.25">
      <c r="E395" s="543"/>
    </row>
    <row r="396" spans="5:5" ht="15.75" customHeight="1" x14ac:dyDescent="0.25">
      <c r="E396" s="543"/>
    </row>
    <row r="397" spans="5:5" ht="15.75" customHeight="1" x14ac:dyDescent="0.25">
      <c r="E397" s="543"/>
    </row>
    <row r="398" spans="5:5" ht="15.75" customHeight="1" x14ac:dyDescent="0.25">
      <c r="E398" s="543"/>
    </row>
    <row r="399" spans="5:5" ht="15.75" customHeight="1" x14ac:dyDescent="0.25">
      <c r="E399" s="543"/>
    </row>
    <row r="400" spans="5:5" ht="15.75" customHeight="1" x14ac:dyDescent="0.25">
      <c r="E400" s="543"/>
    </row>
    <row r="401" spans="5:5" ht="15.75" customHeight="1" x14ac:dyDescent="0.25">
      <c r="E401" s="543"/>
    </row>
    <row r="402" spans="5:5" ht="15.75" customHeight="1" x14ac:dyDescent="0.25">
      <c r="E402" s="543"/>
    </row>
    <row r="403" spans="5:5" ht="15.75" customHeight="1" x14ac:dyDescent="0.25">
      <c r="E403" s="543"/>
    </row>
    <row r="404" spans="5:5" ht="15.75" customHeight="1" x14ac:dyDescent="0.25">
      <c r="E404" s="543"/>
    </row>
    <row r="405" spans="5:5" ht="15.75" customHeight="1" x14ac:dyDescent="0.25">
      <c r="E405" s="543"/>
    </row>
    <row r="406" spans="5:5" ht="15.75" customHeight="1" x14ac:dyDescent="0.25">
      <c r="E406" s="543"/>
    </row>
    <row r="407" spans="5:5" ht="15.75" customHeight="1" x14ac:dyDescent="0.25">
      <c r="E407" s="543"/>
    </row>
    <row r="408" spans="5:5" ht="15.75" customHeight="1" x14ac:dyDescent="0.25">
      <c r="E408" s="543"/>
    </row>
    <row r="409" spans="5:5" ht="15.75" customHeight="1" x14ac:dyDescent="0.25">
      <c r="E409" s="543"/>
    </row>
    <row r="410" spans="5:5" ht="15.75" customHeight="1" x14ac:dyDescent="0.25">
      <c r="E410" s="543"/>
    </row>
    <row r="411" spans="5:5" ht="15.75" customHeight="1" x14ac:dyDescent="0.25">
      <c r="E411" s="543"/>
    </row>
    <row r="412" spans="5:5" ht="15.75" customHeight="1" x14ac:dyDescent="0.25">
      <c r="E412" s="543"/>
    </row>
    <row r="413" spans="5:5" ht="15.75" customHeight="1" x14ac:dyDescent="0.25">
      <c r="E413" s="543"/>
    </row>
    <row r="414" spans="5:5" ht="15.75" customHeight="1" x14ac:dyDescent="0.25">
      <c r="E414" s="543"/>
    </row>
    <row r="415" spans="5:5" ht="15.75" customHeight="1" x14ac:dyDescent="0.25">
      <c r="E415" s="543"/>
    </row>
    <row r="416" spans="5:5" ht="15.75" customHeight="1" x14ac:dyDescent="0.25">
      <c r="E416" s="543"/>
    </row>
    <row r="417" spans="5:5" ht="15.75" customHeight="1" x14ac:dyDescent="0.25">
      <c r="E417" s="543"/>
    </row>
    <row r="418" spans="5:5" ht="15.75" customHeight="1" x14ac:dyDescent="0.25">
      <c r="E418" s="543"/>
    </row>
    <row r="419" spans="5:5" ht="15.75" customHeight="1" x14ac:dyDescent="0.25">
      <c r="E419" s="543"/>
    </row>
    <row r="420" spans="5:5" ht="15.75" customHeight="1" x14ac:dyDescent="0.25">
      <c r="E420" s="543"/>
    </row>
    <row r="421" spans="5:5" ht="15.75" customHeight="1" x14ac:dyDescent="0.25">
      <c r="E421" s="543"/>
    </row>
    <row r="422" spans="5:5" ht="15.75" customHeight="1" x14ac:dyDescent="0.25">
      <c r="E422" s="543"/>
    </row>
    <row r="423" spans="5:5" ht="15.75" customHeight="1" x14ac:dyDescent="0.25">
      <c r="E423" s="543"/>
    </row>
    <row r="424" spans="5:5" ht="15.75" customHeight="1" x14ac:dyDescent="0.25">
      <c r="E424" s="543"/>
    </row>
    <row r="425" spans="5:5" ht="15.75" customHeight="1" x14ac:dyDescent="0.25">
      <c r="E425" s="543"/>
    </row>
    <row r="426" spans="5:5" ht="15.75" customHeight="1" x14ac:dyDescent="0.25">
      <c r="E426" s="543"/>
    </row>
    <row r="427" spans="5:5" ht="15.75" customHeight="1" x14ac:dyDescent="0.25">
      <c r="E427" s="543"/>
    </row>
    <row r="428" spans="5:5" ht="15.75" customHeight="1" x14ac:dyDescent="0.25">
      <c r="E428" s="543"/>
    </row>
    <row r="429" spans="5:5" ht="15.75" customHeight="1" x14ac:dyDescent="0.25">
      <c r="E429" s="543"/>
    </row>
    <row r="430" spans="5:5" ht="15.75" customHeight="1" x14ac:dyDescent="0.25">
      <c r="E430" s="543"/>
    </row>
    <row r="431" spans="5:5" ht="15.75" customHeight="1" x14ac:dyDescent="0.25">
      <c r="E431" s="543"/>
    </row>
    <row r="432" spans="5:5" ht="15.75" customHeight="1" x14ac:dyDescent="0.25">
      <c r="E432" s="543"/>
    </row>
    <row r="433" spans="5:5" ht="15.75" customHeight="1" x14ac:dyDescent="0.25">
      <c r="E433" s="543"/>
    </row>
    <row r="434" spans="5:5" ht="15.75" customHeight="1" x14ac:dyDescent="0.25">
      <c r="E434" s="543"/>
    </row>
    <row r="435" spans="5:5" ht="15.75" customHeight="1" x14ac:dyDescent="0.25">
      <c r="E435" s="543"/>
    </row>
    <row r="436" spans="5:5" ht="15.75" customHeight="1" x14ac:dyDescent="0.25">
      <c r="E436" s="543"/>
    </row>
    <row r="437" spans="5:5" ht="15.75" customHeight="1" x14ac:dyDescent="0.25">
      <c r="E437" s="543"/>
    </row>
    <row r="438" spans="5:5" ht="15.75" customHeight="1" x14ac:dyDescent="0.25">
      <c r="E438" s="543"/>
    </row>
    <row r="439" spans="5:5" ht="15.75" customHeight="1" x14ac:dyDescent="0.25">
      <c r="E439" s="543"/>
    </row>
    <row r="440" spans="5:5" ht="15.75" customHeight="1" x14ac:dyDescent="0.25">
      <c r="E440" s="543"/>
    </row>
    <row r="441" spans="5:5" ht="15.75" customHeight="1" x14ac:dyDescent="0.25">
      <c r="E441" s="543"/>
    </row>
    <row r="442" spans="5:5" ht="15.75" customHeight="1" x14ac:dyDescent="0.25">
      <c r="E442" s="543"/>
    </row>
    <row r="443" spans="5:5" ht="15.75" customHeight="1" x14ac:dyDescent="0.25">
      <c r="E443" s="543"/>
    </row>
    <row r="444" spans="5:5" ht="15.75" customHeight="1" x14ac:dyDescent="0.25">
      <c r="E444" s="543"/>
    </row>
    <row r="445" spans="5:5" ht="15.75" customHeight="1" x14ac:dyDescent="0.25">
      <c r="E445" s="543"/>
    </row>
    <row r="446" spans="5:5" ht="15.75" customHeight="1" x14ac:dyDescent="0.25">
      <c r="E446" s="543"/>
    </row>
    <row r="447" spans="5:5" ht="15.75" customHeight="1" x14ac:dyDescent="0.25">
      <c r="E447" s="543"/>
    </row>
    <row r="448" spans="5:5" ht="15.75" customHeight="1" x14ac:dyDescent="0.25">
      <c r="E448" s="543"/>
    </row>
    <row r="449" spans="5:5" ht="15.75" customHeight="1" x14ac:dyDescent="0.25">
      <c r="E449" s="543"/>
    </row>
    <row r="450" spans="5:5" ht="15.75" customHeight="1" x14ac:dyDescent="0.25">
      <c r="E450" s="543"/>
    </row>
    <row r="451" spans="5:5" ht="15.75" customHeight="1" x14ac:dyDescent="0.25">
      <c r="E451" s="543"/>
    </row>
    <row r="452" spans="5:5" ht="15.75" customHeight="1" x14ac:dyDescent="0.25">
      <c r="E452" s="543"/>
    </row>
    <row r="453" spans="5:5" ht="15.75" customHeight="1" x14ac:dyDescent="0.25">
      <c r="E453" s="543"/>
    </row>
    <row r="454" spans="5:5" ht="15.75" customHeight="1" x14ac:dyDescent="0.25">
      <c r="E454" s="543"/>
    </row>
    <row r="455" spans="5:5" ht="15.75" customHeight="1" x14ac:dyDescent="0.25">
      <c r="E455" s="543"/>
    </row>
    <row r="456" spans="5:5" ht="15.75" customHeight="1" x14ac:dyDescent="0.25">
      <c r="E456" s="543"/>
    </row>
    <row r="457" spans="5:5" ht="15.75" customHeight="1" x14ac:dyDescent="0.25">
      <c r="E457" s="543"/>
    </row>
    <row r="458" spans="5:5" ht="15.75" customHeight="1" x14ac:dyDescent="0.25">
      <c r="E458" s="543"/>
    </row>
    <row r="459" spans="5:5" ht="15.75" customHeight="1" x14ac:dyDescent="0.25">
      <c r="E459" s="543"/>
    </row>
    <row r="460" spans="5:5" ht="15.75" customHeight="1" x14ac:dyDescent="0.25">
      <c r="E460" s="543"/>
    </row>
    <row r="461" spans="5:5" ht="15.75" customHeight="1" x14ac:dyDescent="0.25">
      <c r="E461" s="543"/>
    </row>
    <row r="462" spans="5:5" ht="15.75" customHeight="1" x14ac:dyDescent="0.25">
      <c r="E462" s="543"/>
    </row>
    <row r="463" spans="5:5" ht="15.75" customHeight="1" x14ac:dyDescent="0.25">
      <c r="E463" s="543"/>
    </row>
    <row r="464" spans="5:5" ht="15.75" customHeight="1" x14ac:dyDescent="0.25">
      <c r="E464" s="543"/>
    </row>
    <row r="465" spans="5:5" ht="15.75" customHeight="1" x14ac:dyDescent="0.25">
      <c r="E465" s="543"/>
    </row>
    <row r="466" spans="5:5" ht="15.75" customHeight="1" x14ac:dyDescent="0.25">
      <c r="E466" s="543"/>
    </row>
    <row r="467" spans="5:5" ht="15.75" customHeight="1" x14ac:dyDescent="0.25">
      <c r="E467" s="543"/>
    </row>
    <row r="468" spans="5:5" ht="15.75" customHeight="1" x14ac:dyDescent="0.25">
      <c r="E468" s="543"/>
    </row>
    <row r="469" spans="5:5" ht="15.75" customHeight="1" x14ac:dyDescent="0.25">
      <c r="E469" s="543"/>
    </row>
    <row r="470" spans="5:5" ht="15.75" customHeight="1" x14ac:dyDescent="0.25">
      <c r="E470" s="543"/>
    </row>
    <row r="471" spans="5:5" ht="15.75" customHeight="1" x14ac:dyDescent="0.25">
      <c r="E471" s="543"/>
    </row>
    <row r="472" spans="5:5" ht="15.75" customHeight="1" x14ac:dyDescent="0.25">
      <c r="E472" s="543"/>
    </row>
    <row r="473" spans="5:5" ht="15.75" customHeight="1" x14ac:dyDescent="0.25">
      <c r="E473" s="543"/>
    </row>
    <row r="474" spans="5:5" ht="15.75" customHeight="1" x14ac:dyDescent="0.25">
      <c r="E474" s="543"/>
    </row>
    <row r="475" spans="5:5" ht="15.75" customHeight="1" x14ac:dyDescent="0.25">
      <c r="E475" s="543"/>
    </row>
    <row r="476" spans="5:5" ht="15.75" customHeight="1" x14ac:dyDescent="0.25">
      <c r="E476" s="543"/>
    </row>
    <row r="477" spans="5:5" ht="15.75" customHeight="1" x14ac:dyDescent="0.25">
      <c r="E477" s="543"/>
    </row>
    <row r="478" spans="5:5" ht="15.75" customHeight="1" x14ac:dyDescent="0.25">
      <c r="E478" s="543"/>
    </row>
    <row r="479" spans="5:5" ht="15.75" customHeight="1" x14ac:dyDescent="0.25">
      <c r="E479" s="543"/>
    </row>
    <row r="480" spans="5:5" ht="15.75" customHeight="1" x14ac:dyDescent="0.25">
      <c r="E480" s="543"/>
    </row>
    <row r="481" spans="5:5" ht="15.75" customHeight="1" x14ac:dyDescent="0.25">
      <c r="E481" s="543"/>
    </row>
    <row r="482" spans="5:5" ht="15.75" customHeight="1" x14ac:dyDescent="0.25">
      <c r="E482" s="543"/>
    </row>
    <row r="483" spans="5:5" ht="15.75" customHeight="1" x14ac:dyDescent="0.25">
      <c r="E483" s="543"/>
    </row>
    <row r="484" spans="5:5" ht="15.75" customHeight="1" x14ac:dyDescent="0.25">
      <c r="E484" s="543"/>
    </row>
    <row r="485" spans="5:5" ht="15.75" customHeight="1" x14ac:dyDescent="0.25">
      <c r="E485" s="543"/>
    </row>
    <row r="486" spans="5:5" ht="15.75" customHeight="1" x14ac:dyDescent="0.25">
      <c r="E486" s="543"/>
    </row>
    <row r="487" spans="5:5" ht="15.75" customHeight="1" x14ac:dyDescent="0.25">
      <c r="E487" s="543"/>
    </row>
    <row r="488" spans="5:5" ht="15.75" customHeight="1" x14ac:dyDescent="0.25">
      <c r="E488" s="543"/>
    </row>
    <row r="489" spans="5:5" ht="15.75" customHeight="1" x14ac:dyDescent="0.25">
      <c r="E489" s="543"/>
    </row>
    <row r="490" spans="5:5" ht="15.75" customHeight="1" x14ac:dyDescent="0.25">
      <c r="E490" s="543"/>
    </row>
    <row r="491" spans="5:5" ht="15.75" customHeight="1" x14ac:dyDescent="0.25">
      <c r="E491" s="543"/>
    </row>
    <row r="492" spans="5:5" ht="15.75" customHeight="1" x14ac:dyDescent="0.25">
      <c r="E492" s="543"/>
    </row>
    <row r="493" spans="5:5" ht="15.75" customHeight="1" x14ac:dyDescent="0.25">
      <c r="E493" s="543"/>
    </row>
    <row r="494" spans="5:5" ht="15.75" customHeight="1" x14ac:dyDescent="0.25">
      <c r="E494" s="543"/>
    </row>
    <row r="495" spans="5:5" ht="15.75" customHeight="1" x14ac:dyDescent="0.25">
      <c r="E495" s="543"/>
    </row>
    <row r="496" spans="5:5" ht="15.75" customHeight="1" x14ac:dyDescent="0.25">
      <c r="E496" s="543"/>
    </row>
    <row r="497" spans="5:5" ht="15.75" customHeight="1" x14ac:dyDescent="0.25">
      <c r="E497" s="543"/>
    </row>
    <row r="498" spans="5:5" ht="15.75" customHeight="1" x14ac:dyDescent="0.25">
      <c r="E498" s="543"/>
    </row>
    <row r="499" spans="5:5" ht="15.75" customHeight="1" x14ac:dyDescent="0.25">
      <c r="E499" s="543"/>
    </row>
    <row r="500" spans="5:5" ht="15.75" customHeight="1" x14ac:dyDescent="0.25">
      <c r="E500" s="543"/>
    </row>
    <row r="501" spans="5:5" ht="15.75" customHeight="1" x14ac:dyDescent="0.25">
      <c r="E501" s="543"/>
    </row>
    <row r="502" spans="5:5" ht="15.75" customHeight="1" x14ac:dyDescent="0.25">
      <c r="E502" s="543"/>
    </row>
    <row r="503" spans="5:5" ht="15.75" customHeight="1" x14ac:dyDescent="0.25">
      <c r="E503" s="543"/>
    </row>
    <row r="504" spans="5:5" ht="15.75" customHeight="1" x14ac:dyDescent="0.25">
      <c r="E504" s="543"/>
    </row>
    <row r="505" spans="5:5" ht="15.75" customHeight="1" x14ac:dyDescent="0.25">
      <c r="E505" s="543"/>
    </row>
    <row r="506" spans="5:5" ht="15.75" customHeight="1" x14ac:dyDescent="0.25">
      <c r="E506" s="543"/>
    </row>
    <row r="507" spans="5:5" ht="15.75" customHeight="1" x14ac:dyDescent="0.25">
      <c r="E507" s="543"/>
    </row>
    <row r="508" spans="5:5" ht="15.75" customHeight="1" x14ac:dyDescent="0.25">
      <c r="E508" s="543"/>
    </row>
    <row r="509" spans="5:5" ht="15.75" customHeight="1" x14ac:dyDescent="0.25">
      <c r="E509" s="543"/>
    </row>
    <row r="510" spans="5:5" ht="15.75" customHeight="1" x14ac:dyDescent="0.25">
      <c r="E510" s="543"/>
    </row>
    <row r="511" spans="5:5" ht="15.75" customHeight="1" x14ac:dyDescent="0.25">
      <c r="E511" s="543"/>
    </row>
    <row r="512" spans="5:5" ht="15.75" customHeight="1" x14ac:dyDescent="0.25">
      <c r="E512" s="543"/>
    </row>
    <row r="513" spans="5:5" ht="15.75" customHeight="1" x14ac:dyDescent="0.25">
      <c r="E513" s="543"/>
    </row>
    <row r="514" spans="5:5" ht="15.75" customHeight="1" x14ac:dyDescent="0.25">
      <c r="E514" s="543"/>
    </row>
    <row r="515" spans="5:5" ht="15.75" customHeight="1" x14ac:dyDescent="0.25">
      <c r="E515" s="543"/>
    </row>
    <row r="516" spans="5:5" ht="15.75" customHeight="1" x14ac:dyDescent="0.25">
      <c r="E516" s="543"/>
    </row>
    <row r="517" spans="5:5" ht="15.75" customHeight="1" x14ac:dyDescent="0.25">
      <c r="E517" s="543"/>
    </row>
    <row r="518" spans="5:5" ht="15.75" customHeight="1" x14ac:dyDescent="0.25">
      <c r="E518" s="543"/>
    </row>
    <row r="519" spans="5:5" ht="15.75" customHeight="1" x14ac:dyDescent="0.25">
      <c r="E519" s="543"/>
    </row>
    <row r="520" spans="5:5" ht="15.75" customHeight="1" x14ac:dyDescent="0.25">
      <c r="E520" s="543"/>
    </row>
    <row r="521" spans="5:5" ht="15.75" customHeight="1" x14ac:dyDescent="0.25">
      <c r="E521" s="543"/>
    </row>
    <row r="522" spans="5:5" ht="15.75" customHeight="1" x14ac:dyDescent="0.25">
      <c r="E522" s="543"/>
    </row>
    <row r="523" spans="5:5" ht="15.75" customHeight="1" x14ac:dyDescent="0.25">
      <c r="E523" s="543"/>
    </row>
    <row r="524" spans="5:5" ht="15.75" customHeight="1" x14ac:dyDescent="0.25">
      <c r="E524" s="543"/>
    </row>
    <row r="525" spans="5:5" ht="15.75" customHeight="1" x14ac:dyDescent="0.25">
      <c r="E525" s="543"/>
    </row>
    <row r="526" spans="5:5" ht="15.75" customHeight="1" x14ac:dyDescent="0.25">
      <c r="E526" s="543"/>
    </row>
    <row r="527" spans="5:5" ht="15.75" customHeight="1" x14ac:dyDescent="0.25">
      <c r="E527" s="543"/>
    </row>
    <row r="528" spans="5:5" ht="15.75" customHeight="1" x14ac:dyDescent="0.25">
      <c r="E528" s="543"/>
    </row>
    <row r="529" spans="5:5" ht="15.75" customHeight="1" x14ac:dyDescent="0.25">
      <c r="E529" s="543"/>
    </row>
    <row r="530" spans="5:5" ht="15.75" customHeight="1" x14ac:dyDescent="0.25">
      <c r="E530" s="543"/>
    </row>
    <row r="531" spans="5:5" ht="15.75" customHeight="1" x14ac:dyDescent="0.25">
      <c r="E531" s="543"/>
    </row>
    <row r="532" spans="5:5" ht="15.75" customHeight="1" x14ac:dyDescent="0.25">
      <c r="E532" s="543"/>
    </row>
    <row r="533" spans="5:5" ht="15.75" customHeight="1" x14ac:dyDescent="0.25">
      <c r="E533" s="543"/>
    </row>
    <row r="534" spans="5:5" ht="15.75" customHeight="1" x14ac:dyDescent="0.25">
      <c r="E534" s="543"/>
    </row>
    <row r="535" spans="5:5" ht="15.75" customHeight="1" x14ac:dyDescent="0.25">
      <c r="E535" s="543"/>
    </row>
    <row r="536" spans="5:5" ht="15.75" customHeight="1" x14ac:dyDescent="0.25">
      <c r="E536" s="543"/>
    </row>
    <row r="537" spans="5:5" ht="15.75" customHeight="1" x14ac:dyDescent="0.25">
      <c r="E537" s="543"/>
    </row>
    <row r="538" spans="5:5" ht="15.75" customHeight="1" x14ac:dyDescent="0.25">
      <c r="E538" s="543"/>
    </row>
    <row r="539" spans="5:5" ht="15.75" customHeight="1" x14ac:dyDescent="0.25">
      <c r="E539" s="543"/>
    </row>
    <row r="540" spans="5:5" ht="15.75" customHeight="1" x14ac:dyDescent="0.25">
      <c r="E540" s="543"/>
    </row>
    <row r="541" spans="5:5" ht="15.75" customHeight="1" x14ac:dyDescent="0.25">
      <c r="E541" s="543"/>
    </row>
    <row r="542" spans="5:5" ht="15.75" customHeight="1" x14ac:dyDescent="0.25">
      <c r="E542" s="543"/>
    </row>
    <row r="543" spans="5:5" ht="15.75" customHeight="1" x14ac:dyDescent="0.25">
      <c r="E543" s="543"/>
    </row>
    <row r="544" spans="5:5" ht="15.75" customHeight="1" x14ac:dyDescent="0.25">
      <c r="E544" s="543"/>
    </row>
    <row r="545" spans="5:5" ht="15.75" customHeight="1" x14ac:dyDescent="0.25">
      <c r="E545" s="543"/>
    </row>
    <row r="546" spans="5:5" ht="15.75" customHeight="1" x14ac:dyDescent="0.25">
      <c r="E546" s="543"/>
    </row>
    <row r="547" spans="5:5" ht="15.75" customHeight="1" x14ac:dyDescent="0.25">
      <c r="E547" s="543"/>
    </row>
    <row r="548" spans="5:5" ht="15.75" customHeight="1" x14ac:dyDescent="0.25">
      <c r="E548" s="543"/>
    </row>
    <row r="549" spans="5:5" ht="15.75" customHeight="1" x14ac:dyDescent="0.25">
      <c r="E549" s="543"/>
    </row>
    <row r="550" spans="5:5" ht="15.75" customHeight="1" x14ac:dyDescent="0.25">
      <c r="E550" s="543"/>
    </row>
    <row r="551" spans="5:5" ht="15.75" customHeight="1" x14ac:dyDescent="0.25">
      <c r="E551" s="543"/>
    </row>
    <row r="552" spans="5:5" ht="15.75" customHeight="1" x14ac:dyDescent="0.25">
      <c r="E552" s="543"/>
    </row>
    <row r="553" spans="5:5" ht="15.75" customHeight="1" x14ac:dyDescent="0.25">
      <c r="E553" s="543"/>
    </row>
    <row r="554" spans="5:5" ht="15.75" customHeight="1" x14ac:dyDescent="0.25">
      <c r="E554" s="543"/>
    </row>
    <row r="555" spans="5:5" ht="15.75" customHeight="1" x14ac:dyDescent="0.25">
      <c r="E555" s="543"/>
    </row>
    <row r="556" spans="5:5" ht="15.75" customHeight="1" x14ac:dyDescent="0.25">
      <c r="E556" s="543"/>
    </row>
    <row r="557" spans="5:5" ht="15.75" customHeight="1" x14ac:dyDescent="0.25">
      <c r="E557" s="543"/>
    </row>
    <row r="558" spans="5:5" ht="15.75" customHeight="1" x14ac:dyDescent="0.25">
      <c r="E558" s="543"/>
    </row>
    <row r="559" spans="5:5" ht="15.75" customHeight="1" x14ac:dyDescent="0.25">
      <c r="E559" s="543"/>
    </row>
    <row r="560" spans="5:5" ht="15.75" customHeight="1" x14ac:dyDescent="0.25">
      <c r="E560" s="543"/>
    </row>
    <row r="561" spans="5:5" ht="15.75" customHeight="1" x14ac:dyDescent="0.25">
      <c r="E561" s="543"/>
    </row>
    <row r="562" spans="5:5" ht="15.75" customHeight="1" x14ac:dyDescent="0.25">
      <c r="E562" s="543"/>
    </row>
    <row r="563" spans="5:5" ht="15.75" customHeight="1" x14ac:dyDescent="0.25">
      <c r="E563" s="543"/>
    </row>
    <row r="564" spans="5:5" ht="15.75" customHeight="1" x14ac:dyDescent="0.25">
      <c r="E564" s="543"/>
    </row>
    <row r="565" spans="5:5" ht="15.75" customHeight="1" x14ac:dyDescent="0.25">
      <c r="E565" s="543"/>
    </row>
    <row r="566" spans="5:5" ht="15.75" customHeight="1" x14ac:dyDescent="0.25">
      <c r="E566" s="543"/>
    </row>
    <row r="567" spans="5:5" ht="15.75" customHeight="1" x14ac:dyDescent="0.25">
      <c r="E567" s="543"/>
    </row>
    <row r="568" spans="5:5" ht="15.75" customHeight="1" x14ac:dyDescent="0.25">
      <c r="E568" s="543"/>
    </row>
    <row r="569" spans="5:5" ht="15.75" customHeight="1" x14ac:dyDescent="0.25">
      <c r="E569" s="543"/>
    </row>
    <row r="570" spans="5:5" ht="15.75" customHeight="1" x14ac:dyDescent="0.25">
      <c r="E570" s="543"/>
    </row>
    <row r="571" spans="5:5" ht="15.75" customHeight="1" x14ac:dyDescent="0.25">
      <c r="E571" s="543"/>
    </row>
    <row r="572" spans="5:5" ht="15.75" customHeight="1" x14ac:dyDescent="0.25">
      <c r="E572" s="543"/>
    </row>
    <row r="573" spans="5:5" ht="15.75" customHeight="1" x14ac:dyDescent="0.25">
      <c r="E573" s="543"/>
    </row>
    <row r="574" spans="5:5" ht="15.75" customHeight="1" x14ac:dyDescent="0.25">
      <c r="E574" s="543"/>
    </row>
    <row r="575" spans="5:5" ht="15.75" customHeight="1" x14ac:dyDescent="0.25">
      <c r="E575" s="543"/>
    </row>
    <row r="576" spans="5:5" ht="15.75" customHeight="1" x14ac:dyDescent="0.25">
      <c r="E576" s="543"/>
    </row>
    <row r="577" spans="5:5" ht="15.75" customHeight="1" x14ac:dyDescent="0.25">
      <c r="E577" s="543"/>
    </row>
    <row r="578" spans="5:5" ht="15.75" customHeight="1" x14ac:dyDescent="0.25">
      <c r="E578" s="543"/>
    </row>
    <row r="579" spans="5:5" ht="15.75" customHeight="1" x14ac:dyDescent="0.25">
      <c r="E579" s="543"/>
    </row>
    <row r="580" spans="5:5" ht="15.75" customHeight="1" x14ac:dyDescent="0.25">
      <c r="E580" s="543"/>
    </row>
    <row r="581" spans="5:5" ht="15.75" customHeight="1" x14ac:dyDescent="0.25">
      <c r="E581" s="543"/>
    </row>
    <row r="582" spans="5:5" ht="15.75" customHeight="1" x14ac:dyDescent="0.25">
      <c r="E582" s="543"/>
    </row>
    <row r="583" spans="5:5" ht="15.75" customHeight="1" x14ac:dyDescent="0.25">
      <c r="E583" s="543"/>
    </row>
    <row r="584" spans="5:5" ht="15.75" customHeight="1" x14ac:dyDescent="0.25">
      <c r="E584" s="543"/>
    </row>
    <row r="585" spans="5:5" ht="15.75" customHeight="1" x14ac:dyDescent="0.25">
      <c r="E585" s="543"/>
    </row>
    <row r="586" spans="5:5" ht="15.75" customHeight="1" x14ac:dyDescent="0.25">
      <c r="E586" s="543"/>
    </row>
    <row r="587" spans="5:5" ht="15.75" customHeight="1" x14ac:dyDescent="0.25">
      <c r="E587" s="543"/>
    </row>
    <row r="588" spans="5:5" ht="15.75" customHeight="1" x14ac:dyDescent="0.25">
      <c r="E588" s="543"/>
    </row>
    <row r="589" spans="5:5" ht="15.75" customHeight="1" x14ac:dyDescent="0.25">
      <c r="E589" s="543"/>
    </row>
    <row r="590" spans="5:5" ht="15.75" customHeight="1" x14ac:dyDescent="0.25">
      <c r="E590" s="543"/>
    </row>
    <row r="591" spans="5:5" ht="15.75" customHeight="1" x14ac:dyDescent="0.25">
      <c r="E591" s="543"/>
    </row>
    <row r="592" spans="5:5" ht="15.75" customHeight="1" x14ac:dyDescent="0.25">
      <c r="E592" s="543"/>
    </row>
    <row r="593" spans="5:5" ht="15.75" customHeight="1" x14ac:dyDescent="0.25">
      <c r="E593" s="543"/>
    </row>
    <row r="594" spans="5:5" ht="15.75" customHeight="1" x14ac:dyDescent="0.25">
      <c r="E594" s="543"/>
    </row>
    <row r="595" spans="5:5" ht="15.75" customHeight="1" x14ac:dyDescent="0.25">
      <c r="E595" s="543"/>
    </row>
    <row r="596" spans="5:5" ht="15.75" customHeight="1" x14ac:dyDescent="0.25">
      <c r="E596" s="543"/>
    </row>
    <row r="597" spans="5:5" ht="15.75" customHeight="1" x14ac:dyDescent="0.25">
      <c r="E597" s="543"/>
    </row>
    <row r="598" spans="5:5" ht="15.75" customHeight="1" x14ac:dyDescent="0.25">
      <c r="E598" s="543"/>
    </row>
    <row r="599" spans="5:5" ht="15.75" customHeight="1" x14ac:dyDescent="0.25">
      <c r="E599" s="543"/>
    </row>
    <row r="600" spans="5:5" ht="15.75" customHeight="1" x14ac:dyDescent="0.25">
      <c r="E600" s="543"/>
    </row>
    <row r="601" spans="5:5" ht="15.75" customHeight="1" x14ac:dyDescent="0.25">
      <c r="E601" s="543"/>
    </row>
    <row r="602" spans="5:5" ht="15.75" customHeight="1" x14ac:dyDescent="0.25">
      <c r="E602" s="543"/>
    </row>
    <row r="603" spans="5:5" ht="15.75" customHeight="1" x14ac:dyDescent="0.25">
      <c r="E603" s="543"/>
    </row>
    <row r="604" spans="5:5" ht="15.75" customHeight="1" x14ac:dyDescent="0.25">
      <c r="E604" s="543"/>
    </row>
    <row r="605" spans="5:5" ht="15.75" customHeight="1" x14ac:dyDescent="0.25">
      <c r="E605" s="543"/>
    </row>
    <row r="606" spans="5:5" ht="15.75" customHeight="1" x14ac:dyDescent="0.25">
      <c r="E606" s="543"/>
    </row>
    <row r="607" spans="5:5" ht="15.75" customHeight="1" x14ac:dyDescent="0.25">
      <c r="E607" s="543"/>
    </row>
    <row r="608" spans="5:5" ht="15.75" customHeight="1" x14ac:dyDescent="0.25">
      <c r="E608" s="543"/>
    </row>
    <row r="609" spans="5:5" ht="15.75" customHeight="1" x14ac:dyDescent="0.25">
      <c r="E609" s="543"/>
    </row>
    <row r="610" spans="5:5" ht="15.75" customHeight="1" x14ac:dyDescent="0.25">
      <c r="E610" s="543"/>
    </row>
    <row r="611" spans="5:5" ht="15.75" customHeight="1" x14ac:dyDescent="0.25">
      <c r="E611" s="543"/>
    </row>
    <row r="612" spans="5:5" ht="15.75" customHeight="1" x14ac:dyDescent="0.25">
      <c r="E612" s="543"/>
    </row>
    <row r="613" spans="5:5" ht="15.75" customHeight="1" x14ac:dyDescent="0.25">
      <c r="E613" s="543"/>
    </row>
    <row r="614" spans="5:5" ht="15.75" customHeight="1" x14ac:dyDescent="0.25">
      <c r="E614" s="543"/>
    </row>
    <row r="615" spans="5:5" ht="15.75" customHeight="1" x14ac:dyDescent="0.25">
      <c r="E615" s="543"/>
    </row>
    <row r="616" spans="5:5" ht="15.75" customHeight="1" x14ac:dyDescent="0.25">
      <c r="E616" s="543"/>
    </row>
    <row r="617" spans="5:5" ht="15.75" customHeight="1" x14ac:dyDescent="0.25">
      <c r="E617" s="543"/>
    </row>
    <row r="618" spans="5:5" ht="15.75" customHeight="1" x14ac:dyDescent="0.25">
      <c r="E618" s="543"/>
    </row>
    <row r="619" spans="5:5" ht="15.75" customHeight="1" x14ac:dyDescent="0.25">
      <c r="E619" s="543"/>
    </row>
    <row r="620" spans="5:5" ht="15.75" customHeight="1" x14ac:dyDescent="0.25">
      <c r="E620" s="543"/>
    </row>
    <row r="621" spans="5:5" ht="15.75" customHeight="1" x14ac:dyDescent="0.25">
      <c r="E621" s="543"/>
    </row>
    <row r="622" spans="5:5" ht="15.75" customHeight="1" x14ac:dyDescent="0.25">
      <c r="E622" s="543"/>
    </row>
    <row r="623" spans="5:5" ht="15.75" customHeight="1" x14ac:dyDescent="0.25">
      <c r="E623" s="543"/>
    </row>
    <row r="624" spans="5:5" ht="15.75" customHeight="1" x14ac:dyDescent="0.25">
      <c r="E624" s="543"/>
    </row>
    <row r="625" spans="5:5" ht="15.75" customHeight="1" x14ac:dyDescent="0.25">
      <c r="E625" s="543"/>
    </row>
    <row r="626" spans="5:5" ht="15.75" customHeight="1" x14ac:dyDescent="0.25">
      <c r="E626" s="543"/>
    </row>
    <row r="627" spans="5:5" ht="15.75" customHeight="1" x14ac:dyDescent="0.25">
      <c r="E627" s="543"/>
    </row>
    <row r="628" spans="5:5" ht="15.75" customHeight="1" x14ac:dyDescent="0.25">
      <c r="E628" s="543"/>
    </row>
    <row r="629" spans="5:5" ht="15.75" customHeight="1" x14ac:dyDescent="0.25">
      <c r="E629" s="543"/>
    </row>
    <row r="630" spans="5:5" ht="15.75" customHeight="1" x14ac:dyDescent="0.25">
      <c r="E630" s="543"/>
    </row>
    <row r="631" spans="5:5" ht="15.75" customHeight="1" x14ac:dyDescent="0.25">
      <c r="E631" s="543"/>
    </row>
    <row r="632" spans="5:5" ht="15.75" customHeight="1" x14ac:dyDescent="0.25">
      <c r="E632" s="543"/>
    </row>
    <row r="633" spans="5:5" ht="15.75" customHeight="1" x14ac:dyDescent="0.25">
      <c r="E633" s="543"/>
    </row>
    <row r="634" spans="5:5" ht="15.75" customHeight="1" x14ac:dyDescent="0.25">
      <c r="E634" s="543"/>
    </row>
    <row r="635" spans="5:5" ht="15.75" customHeight="1" x14ac:dyDescent="0.25">
      <c r="E635" s="543"/>
    </row>
    <row r="636" spans="5:5" ht="15.75" customHeight="1" x14ac:dyDescent="0.25">
      <c r="E636" s="543"/>
    </row>
    <row r="637" spans="5:5" ht="15.75" customHeight="1" x14ac:dyDescent="0.25">
      <c r="E637" s="543"/>
    </row>
    <row r="638" spans="5:5" ht="15.75" customHeight="1" x14ac:dyDescent="0.25">
      <c r="E638" s="543"/>
    </row>
    <row r="639" spans="5:5" ht="15.75" customHeight="1" x14ac:dyDescent="0.25">
      <c r="E639" s="543"/>
    </row>
    <row r="640" spans="5:5" ht="15.75" customHeight="1" x14ac:dyDescent="0.25">
      <c r="E640" s="543"/>
    </row>
    <row r="641" spans="5:5" ht="15.75" customHeight="1" x14ac:dyDescent="0.25">
      <c r="E641" s="543"/>
    </row>
    <row r="642" spans="5:5" ht="15.75" customHeight="1" x14ac:dyDescent="0.25">
      <c r="E642" s="543"/>
    </row>
    <row r="643" spans="5:5" ht="15.75" customHeight="1" x14ac:dyDescent="0.25">
      <c r="E643" s="543"/>
    </row>
    <row r="644" spans="5:5" ht="15.75" customHeight="1" x14ac:dyDescent="0.25">
      <c r="E644" s="543"/>
    </row>
    <row r="645" spans="5:5" ht="15.75" customHeight="1" x14ac:dyDescent="0.25">
      <c r="E645" s="543"/>
    </row>
    <row r="646" spans="5:5" ht="15.75" customHeight="1" x14ac:dyDescent="0.25">
      <c r="E646" s="543"/>
    </row>
    <row r="647" spans="5:5" ht="15.75" customHeight="1" x14ac:dyDescent="0.25">
      <c r="E647" s="543"/>
    </row>
    <row r="648" spans="5:5" ht="15.75" customHeight="1" x14ac:dyDescent="0.25">
      <c r="E648" s="543"/>
    </row>
    <row r="649" spans="5:5" ht="15.75" customHeight="1" x14ac:dyDescent="0.25">
      <c r="E649" s="543"/>
    </row>
    <row r="650" spans="5:5" ht="15.75" customHeight="1" x14ac:dyDescent="0.25">
      <c r="E650" s="543"/>
    </row>
    <row r="651" spans="5:5" ht="15.75" customHeight="1" x14ac:dyDescent="0.25">
      <c r="E651" s="543"/>
    </row>
    <row r="652" spans="5:5" ht="15.75" customHeight="1" x14ac:dyDescent="0.25">
      <c r="E652" s="543"/>
    </row>
    <row r="653" spans="5:5" ht="15.75" customHeight="1" x14ac:dyDescent="0.25">
      <c r="E653" s="543"/>
    </row>
    <row r="654" spans="5:5" ht="15.75" customHeight="1" x14ac:dyDescent="0.25">
      <c r="E654" s="543"/>
    </row>
    <row r="655" spans="5:5" ht="15.75" customHeight="1" x14ac:dyDescent="0.25">
      <c r="E655" s="543"/>
    </row>
    <row r="656" spans="5:5" ht="15.75" customHeight="1" x14ac:dyDescent="0.25">
      <c r="E656" s="543"/>
    </row>
    <row r="657" spans="5:5" ht="15.75" customHeight="1" x14ac:dyDescent="0.25">
      <c r="E657" s="543"/>
    </row>
    <row r="658" spans="5:5" ht="15.75" customHeight="1" x14ac:dyDescent="0.25">
      <c r="E658" s="543"/>
    </row>
    <row r="659" spans="5:5" ht="15.75" customHeight="1" x14ac:dyDescent="0.25">
      <c r="E659" s="543"/>
    </row>
    <row r="660" spans="5:5" ht="15.75" customHeight="1" x14ac:dyDescent="0.25">
      <c r="E660" s="543"/>
    </row>
    <row r="661" spans="5:5" ht="15.75" customHeight="1" x14ac:dyDescent="0.25">
      <c r="E661" s="543"/>
    </row>
    <row r="662" spans="5:5" ht="15.75" customHeight="1" x14ac:dyDescent="0.25">
      <c r="E662" s="543"/>
    </row>
    <row r="663" spans="5:5" ht="15.75" customHeight="1" x14ac:dyDescent="0.25">
      <c r="E663" s="543"/>
    </row>
    <row r="664" spans="5:5" ht="15.75" customHeight="1" x14ac:dyDescent="0.25">
      <c r="E664" s="543"/>
    </row>
    <row r="665" spans="5:5" ht="15.75" customHeight="1" x14ac:dyDescent="0.25">
      <c r="E665" s="543"/>
    </row>
    <row r="666" spans="5:5" ht="15.75" customHeight="1" x14ac:dyDescent="0.25">
      <c r="E666" s="543"/>
    </row>
    <row r="667" spans="5:5" ht="15.75" customHeight="1" x14ac:dyDescent="0.25">
      <c r="E667" s="543"/>
    </row>
    <row r="668" spans="5:5" ht="15.75" customHeight="1" x14ac:dyDescent="0.25">
      <c r="E668" s="543"/>
    </row>
    <row r="669" spans="5:5" ht="15.75" customHeight="1" x14ac:dyDescent="0.25">
      <c r="E669" s="543"/>
    </row>
    <row r="670" spans="5:5" ht="15.75" customHeight="1" x14ac:dyDescent="0.25">
      <c r="E670" s="543"/>
    </row>
    <row r="671" spans="5:5" ht="15.75" customHeight="1" x14ac:dyDescent="0.25">
      <c r="E671" s="543"/>
    </row>
    <row r="672" spans="5:5" ht="15.75" customHeight="1" x14ac:dyDescent="0.25">
      <c r="E672" s="543"/>
    </row>
    <row r="673" spans="5:5" ht="15.75" customHeight="1" x14ac:dyDescent="0.25">
      <c r="E673" s="543"/>
    </row>
    <row r="674" spans="5:5" ht="15.75" customHeight="1" x14ac:dyDescent="0.25">
      <c r="E674" s="543"/>
    </row>
    <row r="675" spans="5:5" ht="15.75" customHeight="1" x14ac:dyDescent="0.25">
      <c r="E675" s="543"/>
    </row>
    <row r="676" spans="5:5" ht="15.75" customHeight="1" x14ac:dyDescent="0.25">
      <c r="E676" s="543"/>
    </row>
    <row r="677" spans="5:5" ht="15.75" customHeight="1" x14ac:dyDescent="0.25">
      <c r="E677" s="543"/>
    </row>
    <row r="678" spans="5:5" ht="15.75" customHeight="1" x14ac:dyDescent="0.25">
      <c r="E678" s="543"/>
    </row>
    <row r="679" spans="5:5" ht="15.75" customHeight="1" x14ac:dyDescent="0.25">
      <c r="E679" s="543"/>
    </row>
    <row r="680" spans="5:5" ht="15.75" customHeight="1" x14ac:dyDescent="0.25">
      <c r="E680" s="543"/>
    </row>
    <row r="681" spans="5:5" ht="15.75" customHeight="1" x14ac:dyDescent="0.25">
      <c r="E681" s="543"/>
    </row>
    <row r="682" spans="5:5" ht="15.75" customHeight="1" x14ac:dyDescent="0.25">
      <c r="E682" s="543"/>
    </row>
    <row r="683" spans="5:5" ht="15.75" customHeight="1" x14ac:dyDescent="0.25">
      <c r="E683" s="543"/>
    </row>
    <row r="684" spans="5:5" ht="15.75" customHeight="1" x14ac:dyDescent="0.25">
      <c r="E684" s="543"/>
    </row>
    <row r="685" spans="5:5" ht="15.75" customHeight="1" x14ac:dyDescent="0.25">
      <c r="E685" s="543"/>
    </row>
    <row r="686" spans="5:5" ht="15.75" customHeight="1" x14ac:dyDescent="0.25">
      <c r="E686" s="543"/>
    </row>
    <row r="687" spans="5:5" ht="15.75" customHeight="1" x14ac:dyDescent="0.25">
      <c r="E687" s="543"/>
    </row>
    <row r="688" spans="5:5" ht="15.75" customHeight="1" x14ac:dyDescent="0.25">
      <c r="E688" s="543"/>
    </row>
    <row r="689" spans="5:5" ht="15.75" customHeight="1" x14ac:dyDescent="0.25">
      <c r="E689" s="543"/>
    </row>
    <row r="690" spans="5:5" ht="15.75" customHeight="1" x14ac:dyDescent="0.25">
      <c r="E690" s="543"/>
    </row>
    <row r="691" spans="5:5" ht="15.75" customHeight="1" x14ac:dyDescent="0.25">
      <c r="E691" s="543"/>
    </row>
    <row r="692" spans="5:5" ht="15.75" customHeight="1" x14ac:dyDescent="0.25">
      <c r="E692" s="543"/>
    </row>
    <row r="693" spans="5:5" ht="15.75" customHeight="1" x14ac:dyDescent="0.25">
      <c r="E693" s="543"/>
    </row>
    <row r="694" spans="5:5" ht="15.75" customHeight="1" x14ac:dyDescent="0.25">
      <c r="E694" s="543"/>
    </row>
    <row r="695" spans="5:5" ht="15.75" customHeight="1" x14ac:dyDescent="0.25">
      <c r="E695" s="543"/>
    </row>
    <row r="696" spans="5:5" ht="15.75" customHeight="1" x14ac:dyDescent="0.25">
      <c r="E696" s="543"/>
    </row>
    <row r="697" spans="5:5" ht="15.75" customHeight="1" x14ac:dyDescent="0.25">
      <c r="E697" s="543"/>
    </row>
    <row r="698" spans="5:5" ht="15.75" customHeight="1" x14ac:dyDescent="0.25">
      <c r="E698" s="543"/>
    </row>
    <row r="699" spans="5:5" ht="15.75" customHeight="1" x14ac:dyDescent="0.25">
      <c r="E699" s="543"/>
    </row>
    <row r="700" spans="5:5" ht="15.75" customHeight="1" x14ac:dyDescent="0.25">
      <c r="E700" s="543"/>
    </row>
    <row r="701" spans="5:5" ht="15.75" customHeight="1" x14ac:dyDescent="0.25">
      <c r="E701" s="543"/>
    </row>
    <row r="702" spans="5:5" ht="15.75" customHeight="1" x14ac:dyDescent="0.25">
      <c r="E702" s="543"/>
    </row>
    <row r="703" spans="5:5" ht="15.75" customHeight="1" x14ac:dyDescent="0.25">
      <c r="E703" s="543"/>
    </row>
    <row r="704" spans="5:5" ht="15.75" customHeight="1" x14ac:dyDescent="0.25">
      <c r="E704" s="543"/>
    </row>
    <row r="705" spans="5:5" ht="15.75" customHeight="1" x14ac:dyDescent="0.25">
      <c r="E705" s="543"/>
    </row>
    <row r="706" spans="5:5" ht="15.75" customHeight="1" x14ac:dyDescent="0.25">
      <c r="E706" s="543"/>
    </row>
    <row r="707" spans="5:5" ht="15.75" customHeight="1" x14ac:dyDescent="0.25">
      <c r="E707" s="543"/>
    </row>
    <row r="708" spans="5:5" ht="15.75" customHeight="1" x14ac:dyDescent="0.25">
      <c r="E708" s="543"/>
    </row>
    <row r="709" spans="5:5" ht="15.75" customHeight="1" x14ac:dyDescent="0.25">
      <c r="E709" s="543"/>
    </row>
    <row r="710" spans="5:5" ht="15.75" customHeight="1" x14ac:dyDescent="0.25">
      <c r="E710" s="543"/>
    </row>
    <row r="711" spans="5:5" ht="15.75" customHeight="1" x14ac:dyDescent="0.25">
      <c r="E711" s="543"/>
    </row>
    <row r="712" spans="5:5" ht="15.75" customHeight="1" x14ac:dyDescent="0.25">
      <c r="E712" s="543"/>
    </row>
    <row r="713" spans="5:5" ht="15.75" customHeight="1" x14ac:dyDescent="0.25">
      <c r="E713" s="543"/>
    </row>
    <row r="714" spans="5:5" ht="15.75" customHeight="1" x14ac:dyDescent="0.25">
      <c r="E714" s="543"/>
    </row>
    <row r="715" spans="5:5" ht="15.75" customHeight="1" x14ac:dyDescent="0.25">
      <c r="E715" s="543"/>
    </row>
    <row r="716" spans="5:5" ht="15.75" customHeight="1" x14ac:dyDescent="0.25">
      <c r="E716" s="543"/>
    </row>
    <row r="717" spans="5:5" ht="15.75" customHeight="1" x14ac:dyDescent="0.25">
      <c r="E717" s="543"/>
    </row>
    <row r="718" spans="5:5" ht="15.75" customHeight="1" x14ac:dyDescent="0.25">
      <c r="E718" s="543"/>
    </row>
    <row r="719" spans="5:5" ht="15.75" customHeight="1" x14ac:dyDescent="0.25">
      <c r="E719" s="543"/>
    </row>
    <row r="720" spans="5:5" ht="15.75" customHeight="1" x14ac:dyDescent="0.25">
      <c r="E720" s="543"/>
    </row>
    <row r="721" spans="5:5" ht="15.75" customHeight="1" x14ac:dyDescent="0.25">
      <c r="E721" s="543"/>
    </row>
    <row r="722" spans="5:5" ht="15.75" customHeight="1" x14ac:dyDescent="0.25">
      <c r="E722" s="543"/>
    </row>
    <row r="723" spans="5:5" ht="15.75" customHeight="1" x14ac:dyDescent="0.25">
      <c r="E723" s="543"/>
    </row>
    <row r="724" spans="5:5" ht="15.75" customHeight="1" x14ac:dyDescent="0.25">
      <c r="E724" s="543"/>
    </row>
    <row r="725" spans="5:5" ht="15.75" customHeight="1" x14ac:dyDescent="0.25">
      <c r="E725" s="543"/>
    </row>
    <row r="726" spans="5:5" ht="15.75" customHeight="1" x14ac:dyDescent="0.25">
      <c r="E726" s="543"/>
    </row>
    <row r="727" spans="5:5" ht="15.75" customHeight="1" x14ac:dyDescent="0.25">
      <c r="E727" s="543"/>
    </row>
    <row r="728" spans="5:5" ht="15.75" customHeight="1" x14ac:dyDescent="0.25">
      <c r="E728" s="543"/>
    </row>
    <row r="729" spans="5:5" ht="15.75" customHeight="1" x14ac:dyDescent="0.25">
      <c r="E729" s="543"/>
    </row>
    <row r="730" spans="5:5" ht="15.75" customHeight="1" x14ac:dyDescent="0.25">
      <c r="E730" s="543"/>
    </row>
    <row r="731" spans="5:5" ht="15.75" customHeight="1" x14ac:dyDescent="0.25">
      <c r="E731" s="543"/>
    </row>
    <row r="732" spans="5:5" ht="15.75" customHeight="1" x14ac:dyDescent="0.25">
      <c r="E732" s="543"/>
    </row>
    <row r="733" spans="5:5" ht="15.75" customHeight="1" x14ac:dyDescent="0.25">
      <c r="E733" s="543"/>
    </row>
    <row r="734" spans="5:5" ht="15.75" customHeight="1" x14ac:dyDescent="0.25">
      <c r="E734" s="543"/>
    </row>
    <row r="735" spans="5:5" ht="15.75" customHeight="1" x14ac:dyDescent="0.25">
      <c r="E735" s="543"/>
    </row>
    <row r="736" spans="5:5" ht="15.75" customHeight="1" x14ac:dyDescent="0.25">
      <c r="E736" s="543"/>
    </row>
    <row r="737" spans="5:5" ht="15.75" customHeight="1" x14ac:dyDescent="0.25">
      <c r="E737" s="543"/>
    </row>
    <row r="738" spans="5:5" ht="15.75" customHeight="1" x14ac:dyDescent="0.25">
      <c r="E738" s="543"/>
    </row>
    <row r="739" spans="5:5" ht="15.75" customHeight="1" x14ac:dyDescent="0.25">
      <c r="E739" s="543"/>
    </row>
    <row r="740" spans="5:5" ht="15.75" customHeight="1" x14ac:dyDescent="0.25">
      <c r="E740" s="543"/>
    </row>
    <row r="741" spans="5:5" ht="15.75" customHeight="1" x14ac:dyDescent="0.25">
      <c r="E741" s="543"/>
    </row>
    <row r="742" spans="5:5" ht="15.75" customHeight="1" x14ac:dyDescent="0.25">
      <c r="E742" s="543"/>
    </row>
    <row r="743" spans="5:5" ht="15.75" customHeight="1" x14ac:dyDescent="0.25">
      <c r="E743" s="543"/>
    </row>
    <row r="744" spans="5:5" ht="15.75" customHeight="1" x14ac:dyDescent="0.25">
      <c r="E744" s="543"/>
    </row>
    <row r="745" spans="5:5" ht="15.75" customHeight="1" x14ac:dyDescent="0.25">
      <c r="E745" s="543"/>
    </row>
    <row r="746" spans="5:5" ht="15.75" customHeight="1" x14ac:dyDescent="0.25">
      <c r="E746" s="543"/>
    </row>
    <row r="747" spans="5:5" ht="15.75" customHeight="1" x14ac:dyDescent="0.25">
      <c r="E747" s="543"/>
    </row>
    <row r="748" spans="5:5" ht="15.75" customHeight="1" x14ac:dyDescent="0.25">
      <c r="E748" s="543"/>
    </row>
    <row r="749" spans="5:5" ht="15.75" customHeight="1" x14ac:dyDescent="0.25">
      <c r="E749" s="543"/>
    </row>
    <row r="750" spans="5:5" ht="15.75" customHeight="1" x14ac:dyDescent="0.25">
      <c r="E750" s="543"/>
    </row>
    <row r="751" spans="5:5" ht="15.75" customHeight="1" x14ac:dyDescent="0.25">
      <c r="E751" s="543"/>
    </row>
    <row r="752" spans="5:5" ht="15.75" customHeight="1" x14ac:dyDescent="0.25">
      <c r="E752" s="543"/>
    </row>
    <row r="753" spans="5:5" ht="15.75" customHeight="1" x14ac:dyDescent="0.25">
      <c r="E753" s="543"/>
    </row>
    <row r="754" spans="5:5" ht="15.75" customHeight="1" x14ac:dyDescent="0.25">
      <c r="E754" s="543"/>
    </row>
    <row r="755" spans="5:5" ht="15.75" customHeight="1" x14ac:dyDescent="0.25">
      <c r="E755" s="543"/>
    </row>
    <row r="756" spans="5:5" ht="15.75" customHeight="1" x14ac:dyDescent="0.25">
      <c r="E756" s="543"/>
    </row>
    <row r="757" spans="5:5" ht="15.75" customHeight="1" x14ac:dyDescent="0.25">
      <c r="E757" s="543"/>
    </row>
    <row r="758" spans="5:5" ht="15.75" customHeight="1" x14ac:dyDescent="0.25">
      <c r="E758" s="543"/>
    </row>
    <row r="759" spans="5:5" ht="15.75" customHeight="1" x14ac:dyDescent="0.25">
      <c r="E759" s="543"/>
    </row>
    <row r="760" spans="5:5" ht="15.75" customHeight="1" x14ac:dyDescent="0.25">
      <c r="E760" s="543"/>
    </row>
    <row r="761" spans="5:5" ht="15.75" customHeight="1" x14ac:dyDescent="0.25">
      <c r="E761" s="543"/>
    </row>
    <row r="762" spans="5:5" ht="15.75" customHeight="1" x14ac:dyDescent="0.25">
      <c r="E762" s="543"/>
    </row>
    <row r="763" spans="5:5" ht="15.75" customHeight="1" x14ac:dyDescent="0.25">
      <c r="E763" s="543"/>
    </row>
    <row r="764" spans="5:5" ht="15.75" customHeight="1" x14ac:dyDescent="0.25">
      <c r="E764" s="543"/>
    </row>
    <row r="765" spans="5:5" ht="15.75" customHeight="1" x14ac:dyDescent="0.25">
      <c r="E765" s="543"/>
    </row>
    <row r="766" spans="5:5" ht="15.75" customHeight="1" x14ac:dyDescent="0.25">
      <c r="E766" s="543"/>
    </row>
    <row r="767" spans="5:5" ht="15.75" customHeight="1" x14ac:dyDescent="0.25">
      <c r="E767" s="543"/>
    </row>
    <row r="768" spans="5:5" ht="15.75" customHeight="1" x14ac:dyDescent="0.25">
      <c r="E768" s="543"/>
    </row>
    <row r="769" spans="5:5" ht="15.75" customHeight="1" x14ac:dyDescent="0.25">
      <c r="E769" s="543"/>
    </row>
    <row r="770" spans="5:5" ht="15.75" customHeight="1" x14ac:dyDescent="0.25">
      <c r="E770" s="543"/>
    </row>
    <row r="771" spans="5:5" ht="15.75" customHeight="1" x14ac:dyDescent="0.25">
      <c r="E771" s="543"/>
    </row>
    <row r="772" spans="5:5" ht="15.75" customHeight="1" x14ac:dyDescent="0.25">
      <c r="E772" s="543"/>
    </row>
    <row r="773" spans="5:5" ht="15.75" customHeight="1" x14ac:dyDescent="0.25">
      <c r="E773" s="543"/>
    </row>
    <row r="774" spans="5:5" ht="15.75" customHeight="1" x14ac:dyDescent="0.25">
      <c r="E774" s="543"/>
    </row>
    <row r="775" spans="5:5" ht="15.75" customHeight="1" x14ac:dyDescent="0.25">
      <c r="E775" s="543"/>
    </row>
    <row r="776" spans="5:5" ht="15.75" customHeight="1" x14ac:dyDescent="0.25">
      <c r="E776" s="543"/>
    </row>
    <row r="777" spans="5:5" ht="15.75" customHeight="1" x14ac:dyDescent="0.25">
      <c r="E777" s="543"/>
    </row>
    <row r="778" spans="5:5" ht="15.75" customHeight="1" x14ac:dyDescent="0.25">
      <c r="E778" s="543"/>
    </row>
    <row r="779" spans="5:5" ht="15.75" customHeight="1" x14ac:dyDescent="0.25">
      <c r="E779" s="543"/>
    </row>
    <row r="780" spans="5:5" ht="15.75" customHeight="1" x14ac:dyDescent="0.25">
      <c r="E780" s="543"/>
    </row>
    <row r="781" spans="5:5" ht="15.75" customHeight="1" x14ac:dyDescent="0.25">
      <c r="E781" s="543"/>
    </row>
    <row r="782" spans="5:5" ht="15.75" customHeight="1" x14ac:dyDescent="0.25">
      <c r="E782" s="543"/>
    </row>
    <row r="783" spans="5:5" ht="15.75" customHeight="1" x14ac:dyDescent="0.25">
      <c r="E783" s="543"/>
    </row>
    <row r="784" spans="5:5" ht="15.75" customHeight="1" x14ac:dyDescent="0.25">
      <c r="E784" s="543"/>
    </row>
    <row r="785" spans="5:5" ht="15.75" customHeight="1" x14ac:dyDescent="0.25">
      <c r="E785" s="543"/>
    </row>
    <row r="786" spans="5:5" ht="15.75" customHeight="1" x14ac:dyDescent="0.25">
      <c r="E786" s="543"/>
    </row>
    <row r="787" spans="5:5" ht="15.75" customHeight="1" x14ac:dyDescent="0.25">
      <c r="E787" s="543"/>
    </row>
    <row r="788" spans="5:5" ht="15.75" customHeight="1" x14ac:dyDescent="0.25">
      <c r="E788" s="543"/>
    </row>
    <row r="789" spans="5:5" ht="15.75" customHeight="1" x14ac:dyDescent="0.25">
      <c r="E789" s="543"/>
    </row>
    <row r="790" spans="5:5" ht="15.75" customHeight="1" x14ac:dyDescent="0.25">
      <c r="E790" s="543"/>
    </row>
    <row r="791" spans="5:5" ht="15.75" customHeight="1" x14ac:dyDescent="0.25">
      <c r="E791" s="543"/>
    </row>
    <row r="792" spans="5:5" ht="15.75" customHeight="1" x14ac:dyDescent="0.25">
      <c r="E792" s="543"/>
    </row>
    <row r="793" spans="5:5" ht="15.75" customHeight="1" x14ac:dyDescent="0.25">
      <c r="E793" s="543"/>
    </row>
    <row r="794" spans="5:5" ht="15.75" customHeight="1" x14ac:dyDescent="0.25">
      <c r="E794" s="543"/>
    </row>
    <row r="795" spans="5:5" ht="15.75" customHeight="1" x14ac:dyDescent="0.25">
      <c r="E795" s="543"/>
    </row>
    <row r="796" spans="5:5" ht="15.75" customHeight="1" x14ac:dyDescent="0.25">
      <c r="E796" s="543"/>
    </row>
    <row r="797" spans="5:5" ht="15.75" customHeight="1" x14ac:dyDescent="0.25">
      <c r="E797" s="543"/>
    </row>
    <row r="798" spans="5:5" ht="15.75" customHeight="1" x14ac:dyDescent="0.25">
      <c r="E798" s="543"/>
    </row>
    <row r="799" spans="5:5" ht="15.75" customHeight="1" x14ac:dyDescent="0.25">
      <c r="E799" s="543"/>
    </row>
    <row r="800" spans="5:5" ht="15.75" customHeight="1" x14ac:dyDescent="0.25">
      <c r="E800" s="543"/>
    </row>
    <row r="801" spans="5:5" ht="15.75" customHeight="1" x14ac:dyDescent="0.25">
      <c r="E801" s="543"/>
    </row>
    <row r="802" spans="5:5" ht="15.75" customHeight="1" x14ac:dyDescent="0.25">
      <c r="E802" s="543"/>
    </row>
    <row r="803" spans="5:5" ht="15.75" customHeight="1" x14ac:dyDescent="0.25">
      <c r="E803" s="543"/>
    </row>
    <row r="804" spans="5:5" ht="15.75" customHeight="1" x14ac:dyDescent="0.25">
      <c r="E804" s="543"/>
    </row>
    <row r="805" spans="5:5" ht="15.75" customHeight="1" x14ac:dyDescent="0.25">
      <c r="E805" s="543"/>
    </row>
    <row r="806" spans="5:5" ht="15.75" customHeight="1" x14ac:dyDescent="0.25">
      <c r="E806" s="543"/>
    </row>
    <row r="807" spans="5:5" ht="15.75" customHeight="1" x14ac:dyDescent="0.25">
      <c r="E807" s="543"/>
    </row>
    <row r="808" spans="5:5" ht="15.75" customHeight="1" x14ac:dyDescent="0.25">
      <c r="E808" s="543"/>
    </row>
    <row r="809" spans="5:5" ht="15.75" customHeight="1" x14ac:dyDescent="0.25">
      <c r="E809" s="543"/>
    </row>
    <row r="810" spans="5:5" ht="15.75" customHeight="1" x14ac:dyDescent="0.25">
      <c r="E810" s="543"/>
    </row>
    <row r="811" spans="5:5" ht="15.75" customHeight="1" x14ac:dyDescent="0.25">
      <c r="E811" s="543"/>
    </row>
    <row r="812" spans="5:5" ht="15.75" customHeight="1" x14ac:dyDescent="0.25">
      <c r="E812" s="543"/>
    </row>
    <row r="813" spans="5:5" ht="15.75" customHeight="1" x14ac:dyDescent="0.25">
      <c r="E813" s="543"/>
    </row>
    <row r="814" spans="5:5" ht="15.75" customHeight="1" x14ac:dyDescent="0.25">
      <c r="E814" s="543"/>
    </row>
    <row r="815" spans="5:5" ht="15.75" customHeight="1" x14ac:dyDescent="0.25">
      <c r="E815" s="543"/>
    </row>
    <row r="816" spans="5:5" ht="15.75" customHeight="1" x14ac:dyDescent="0.25">
      <c r="E816" s="543"/>
    </row>
    <row r="817" spans="5:5" ht="15.75" customHeight="1" x14ac:dyDescent="0.25">
      <c r="E817" s="543"/>
    </row>
    <row r="818" spans="5:5" ht="15.75" customHeight="1" x14ac:dyDescent="0.25">
      <c r="E818" s="543"/>
    </row>
    <row r="819" spans="5:5" ht="15.75" customHeight="1" x14ac:dyDescent="0.25">
      <c r="E819" s="543"/>
    </row>
    <row r="820" spans="5:5" ht="15.75" customHeight="1" x14ac:dyDescent="0.25">
      <c r="E820" s="543"/>
    </row>
    <row r="821" spans="5:5" ht="15.75" customHeight="1" x14ac:dyDescent="0.25">
      <c r="E821" s="543"/>
    </row>
    <row r="822" spans="5:5" ht="15.75" customHeight="1" x14ac:dyDescent="0.25">
      <c r="E822" s="543"/>
    </row>
    <row r="823" spans="5:5" ht="15.75" customHeight="1" x14ac:dyDescent="0.25">
      <c r="E823" s="543"/>
    </row>
    <row r="824" spans="5:5" ht="15.75" customHeight="1" x14ac:dyDescent="0.25">
      <c r="E824" s="543"/>
    </row>
    <row r="825" spans="5:5" ht="15.75" customHeight="1" x14ac:dyDescent="0.25">
      <c r="E825" s="543"/>
    </row>
    <row r="826" spans="5:5" ht="15.75" customHeight="1" x14ac:dyDescent="0.25">
      <c r="E826" s="543"/>
    </row>
    <row r="827" spans="5:5" ht="15.75" customHeight="1" x14ac:dyDescent="0.25">
      <c r="E827" s="543"/>
    </row>
    <row r="828" spans="5:5" ht="15.75" customHeight="1" x14ac:dyDescent="0.25">
      <c r="E828" s="543"/>
    </row>
    <row r="829" spans="5:5" ht="15.75" customHeight="1" x14ac:dyDescent="0.25">
      <c r="E829" s="543"/>
    </row>
    <row r="830" spans="5:5" ht="15.75" customHeight="1" x14ac:dyDescent="0.25">
      <c r="E830" s="543"/>
    </row>
    <row r="831" spans="5:5" ht="15.75" customHeight="1" x14ac:dyDescent="0.25">
      <c r="E831" s="543"/>
    </row>
    <row r="832" spans="5:5" ht="15.75" customHeight="1" x14ac:dyDescent="0.25">
      <c r="E832" s="543"/>
    </row>
    <row r="833" spans="5:5" ht="15.75" customHeight="1" x14ac:dyDescent="0.25">
      <c r="E833" s="543"/>
    </row>
    <row r="834" spans="5:5" ht="15.75" customHeight="1" x14ac:dyDescent="0.25">
      <c r="E834" s="543"/>
    </row>
    <row r="835" spans="5:5" ht="15.75" customHeight="1" x14ac:dyDescent="0.25">
      <c r="E835" s="543"/>
    </row>
    <row r="836" spans="5:5" ht="15.75" customHeight="1" x14ac:dyDescent="0.25">
      <c r="E836" s="543"/>
    </row>
    <row r="837" spans="5:5" ht="15.75" customHeight="1" x14ac:dyDescent="0.25">
      <c r="E837" s="543"/>
    </row>
    <row r="838" spans="5:5" ht="15.75" customHeight="1" x14ac:dyDescent="0.25">
      <c r="E838" s="543"/>
    </row>
    <row r="839" spans="5:5" ht="15.75" customHeight="1" x14ac:dyDescent="0.25">
      <c r="E839" s="543"/>
    </row>
    <row r="840" spans="5:5" ht="15.75" customHeight="1" x14ac:dyDescent="0.25">
      <c r="E840" s="543"/>
    </row>
    <row r="841" spans="5:5" ht="15.75" customHeight="1" x14ac:dyDescent="0.25">
      <c r="E841" s="543"/>
    </row>
    <row r="842" spans="5:5" ht="15.75" customHeight="1" x14ac:dyDescent="0.25">
      <c r="E842" s="543"/>
    </row>
    <row r="843" spans="5:5" ht="15.75" customHeight="1" x14ac:dyDescent="0.25">
      <c r="E843" s="543"/>
    </row>
    <row r="844" spans="5:5" ht="15.75" customHeight="1" x14ac:dyDescent="0.25">
      <c r="E844" s="543"/>
    </row>
    <row r="845" spans="5:5" ht="15.75" customHeight="1" x14ac:dyDescent="0.25">
      <c r="E845" s="543"/>
    </row>
    <row r="846" spans="5:5" ht="15.75" customHeight="1" x14ac:dyDescent="0.25">
      <c r="E846" s="543"/>
    </row>
    <row r="847" spans="5:5" ht="15.75" customHeight="1" x14ac:dyDescent="0.25">
      <c r="E847" s="543"/>
    </row>
    <row r="848" spans="5:5" ht="15.75" customHeight="1" x14ac:dyDescent="0.25">
      <c r="E848" s="543"/>
    </row>
    <row r="849" spans="5:5" ht="15.75" customHeight="1" x14ac:dyDescent="0.25">
      <c r="E849" s="543"/>
    </row>
    <row r="850" spans="5:5" ht="15.75" customHeight="1" x14ac:dyDescent="0.25">
      <c r="E850" s="543"/>
    </row>
    <row r="851" spans="5:5" ht="15.75" customHeight="1" x14ac:dyDescent="0.25">
      <c r="E851" s="543"/>
    </row>
    <row r="852" spans="5:5" ht="15.75" customHeight="1" x14ac:dyDescent="0.25">
      <c r="E852" s="543"/>
    </row>
    <row r="853" spans="5:5" ht="15.75" customHeight="1" x14ac:dyDescent="0.25">
      <c r="E853" s="543"/>
    </row>
    <row r="854" spans="5:5" ht="15.75" customHeight="1" x14ac:dyDescent="0.25">
      <c r="E854" s="543"/>
    </row>
    <row r="855" spans="5:5" ht="15.75" customHeight="1" x14ac:dyDescent="0.25">
      <c r="E855" s="543"/>
    </row>
    <row r="856" spans="5:5" ht="15.75" customHeight="1" x14ac:dyDescent="0.25">
      <c r="E856" s="543"/>
    </row>
    <row r="857" spans="5:5" ht="15.75" customHeight="1" x14ac:dyDescent="0.25">
      <c r="E857" s="543"/>
    </row>
    <row r="858" spans="5:5" ht="15.75" customHeight="1" x14ac:dyDescent="0.25">
      <c r="E858" s="543"/>
    </row>
    <row r="859" spans="5:5" ht="15.75" customHeight="1" x14ac:dyDescent="0.25">
      <c r="E859" s="543"/>
    </row>
    <row r="860" spans="5:5" ht="15.75" customHeight="1" x14ac:dyDescent="0.25">
      <c r="E860" s="543"/>
    </row>
    <row r="861" spans="5:5" ht="15.75" customHeight="1" x14ac:dyDescent="0.25">
      <c r="E861" s="543"/>
    </row>
    <row r="862" spans="5:5" ht="15.75" customHeight="1" x14ac:dyDescent="0.25">
      <c r="E862" s="543"/>
    </row>
    <row r="863" spans="5:5" ht="15.75" customHeight="1" x14ac:dyDescent="0.25">
      <c r="E863" s="543"/>
    </row>
    <row r="864" spans="5:5" ht="15.75" customHeight="1" x14ac:dyDescent="0.25">
      <c r="E864" s="543"/>
    </row>
    <row r="865" spans="5:5" ht="15.75" customHeight="1" x14ac:dyDescent="0.25">
      <c r="E865" s="543"/>
    </row>
    <row r="866" spans="5:5" ht="15.75" customHeight="1" x14ac:dyDescent="0.25">
      <c r="E866" s="543"/>
    </row>
    <row r="867" spans="5:5" ht="15.75" customHeight="1" x14ac:dyDescent="0.25">
      <c r="E867" s="543"/>
    </row>
    <row r="868" spans="5:5" ht="15.75" customHeight="1" x14ac:dyDescent="0.25">
      <c r="E868" s="543"/>
    </row>
    <row r="869" spans="5:5" ht="15.75" customHeight="1" x14ac:dyDescent="0.25">
      <c r="E869" s="543"/>
    </row>
    <row r="870" spans="5:5" ht="15.75" customHeight="1" x14ac:dyDescent="0.25">
      <c r="E870" s="543"/>
    </row>
    <row r="871" spans="5:5" ht="15.75" customHeight="1" x14ac:dyDescent="0.25">
      <c r="E871" s="543"/>
    </row>
    <row r="872" spans="5:5" ht="15.75" customHeight="1" x14ac:dyDescent="0.25">
      <c r="E872" s="543"/>
    </row>
    <row r="873" spans="5:5" ht="15.75" customHeight="1" x14ac:dyDescent="0.25">
      <c r="E873" s="543"/>
    </row>
    <row r="874" spans="5:5" ht="15.75" customHeight="1" x14ac:dyDescent="0.25">
      <c r="E874" s="543"/>
    </row>
    <row r="875" spans="5:5" ht="15.75" customHeight="1" x14ac:dyDescent="0.25">
      <c r="E875" s="543"/>
    </row>
    <row r="876" spans="5:5" ht="15.75" customHeight="1" x14ac:dyDescent="0.25">
      <c r="E876" s="543"/>
    </row>
    <row r="877" spans="5:5" ht="15.75" customHeight="1" x14ac:dyDescent="0.25">
      <c r="E877" s="543"/>
    </row>
    <row r="878" spans="5:5" ht="15.75" customHeight="1" x14ac:dyDescent="0.25">
      <c r="E878" s="543"/>
    </row>
    <row r="879" spans="5:5" ht="15.75" customHeight="1" x14ac:dyDescent="0.25">
      <c r="E879" s="543"/>
    </row>
    <row r="880" spans="5:5" ht="15.75" customHeight="1" x14ac:dyDescent="0.25">
      <c r="E880" s="543"/>
    </row>
    <row r="881" spans="5:5" ht="15.75" customHeight="1" x14ac:dyDescent="0.25">
      <c r="E881" s="543"/>
    </row>
    <row r="882" spans="5:5" ht="15.75" customHeight="1" x14ac:dyDescent="0.25">
      <c r="E882" s="543"/>
    </row>
    <row r="883" spans="5:5" ht="15.75" customHeight="1" x14ac:dyDescent="0.25">
      <c r="E883" s="543"/>
    </row>
    <row r="884" spans="5:5" ht="15.75" customHeight="1" x14ac:dyDescent="0.25">
      <c r="E884" s="543"/>
    </row>
    <row r="885" spans="5:5" ht="15.75" customHeight="1" x14ac:dyDescent="0.25">
      <c r="E885" s="543"/>
    </row>
    <row r="886" spans="5:5" ht="15.75" customHeight="1" x14ac:dyDescent="0.25">
      <c r="E886" s="543"/>
    </row>
    <row r="887" spans="5:5" ht="15.75" customHeight="1" x14ac:dyDescent="0.25">
      <c r="E887" s="543"/>
    </row>
    <row r="888" spans="5:5" ht="15.75" customHeight="1" x14ac:dyDescent="0.25">
      <c r="E888" s="543"/>
    </row>
    <row r="889" spans="5:5" ht="15.75" customHeight="1" x14ac:dyDescent="0.25">
      <c r="E889" s="543"/>
    </row>
    <row r="890" spans="5:5" ht="15.75" customHeight="1" x14ac:dyDescent="0.25">
      <c r="E890" s="543"/>
    </row>
    <row r="891" spans="5:5" ht="15.75" customHeight="1" x14ac:dyDescent="0.25">
      <c r="E891" s="543"/>
    </row>
    <row r="892" spans="5:5" ht="15.75" customHeight="1" x14ac:dyDescent="0.25">
      <c r="E892" s="543"/>
    </row>
    <row r="893" spans="5:5" ht="15.75" customHeight="1" x14ac:dyDescent="0.25">
      <c r="E893" s="543"/>
    </row>
    <row r="894" spans="5:5" ht="15.75" customHeight="1" x14ac:dyDescent="0.25">
      <c r="E894" s="543"/>
    </row>
    <row r="895" spans="5:5" ht="15.75" customHeight="1" x14ac:dyDescent="0.25">
      <c r="E895" s="543"/>
    </row>
    <row r="896" spans="5:5" ht="15.75" customHeight="1" x14ac:dyDescent="0.25">
      <c r="E896" s="543"/>
    </row>
    <row r="897" spans="5:5" ht="15.75" customHeight="1" x14ac:dyDescent="0.25">
      <c r="E897" s="543"/>
    </row>
    <row r="898" spans="5:5" ht="15.75" customHeight="1" x14ac:dyDescent="0.25">
      <c r="E898" s="543"/>
    </row>
    <row r="899" spans="5:5" ht="15.75" customHeight="1" x14ac:dyDescent="0.25">
      <c r="E899" s="543"/>
    </row>
    <row r="900" spans="5:5" ht="15.75" customHeight="1" x14ac:dyDescent="0.25">
      <c r="E900" s="543"/>
    </row>
    <row r="901" spans="5:5" ht="15.75" customHeight="1" x14ac:dyDescent="0.25">
      <c r="E901" s="543"/>
    </row>
    <row r="902" spans="5:5" ht="15.75" customHeight="1" x14ac:dyDescent="0.25">
      <c r="E902" s="543"/>
    </row>
    <row r="903" spans="5:5" ht="15.75" customHeight="1" x14ac:dyDescent="0.25">
      <c r="E903" s="543"/>
    </row>
    <row r="904" spans="5:5" ht="15.75" customHeight="1" x14ac:dyDescent="0.25">
      <c r="E904" s="543"/>
    </row>
    <row r="905" spans="5:5" ht="15.75" customHeight="1" x14ac:dyDescent="0.25">
      <c r="E905" s="543"/>
    </row>
    <row r="906" spans="5:5" ht="15.75" customHeight="1" x14ac:dyDescent="0.25">
      <c r="E906" s="543"/>
    </row>
    <row r="907" spans="5:5" ht="15.75" customHeight="1" x14ac:dyDescent="0.25">
      <c r="E907" s="543"/>
    </row>
    <row r="908" spans="5:5" ht="15.75" customHeight="1" x14ac:dyDescent="0.25">
      <c r="E908" s="543"/>
    </row>
    <row r="909" spans="5:5" ht="15.75" customHeight="1" x14ac:dyDescent="0.25">
      <c r="E909" s="543"/>
    </row>
    <row r="910" spans="5:5" ht="15.75" customHeight="1" x14ac:dyDescent="0.25">
      <c r="E910" s="543"/>
    </row>
    <row r="911" spans="5:5" ht="15.75" customHeight="1" x14ac:dyDescent="0.25">
      <c r="E911" s="543"/>
    </row>
    <row r="912" spans="5:5" ht="15.75" customHeight="1" x14ac:dyDescent="0.25">
      <c r="E912" s="543"/>
    </row>
    <row r="913" spans="5:5" ht="15.75" customHeight="1" x14ac:dyDescent="0.25">
      <c r="E913" s="543"/>
    </row>
    <row r="914" spans="5:5" ht="15.75" customHeight="1" x14ac:dyDescent="0.25">
      <c r="E914" s="543"/>
    </row>
    <row r="915" spans="5:5" ht="15.75" customHeight="1" x14ac:dyDescent="0.25">
      <c r="E915" s="543"/>
    </row>
    <row r="916" spans="5:5" ht="15.75" customHeight="1" x14ac:dyDescent="0.25">
      <c r="E916" s="543"/>
    </row>
    <row r="917" spans="5:5" ht="15.75" customHeight="1" x14ac:dyDescent="0.25">
      <c r="E917" s="543"/>
    </row>
    <row r="918" spans="5:5" ht="15.75" customHeight="1" x14ac:dyDescent="0.25">
      <c r="E918" s="543"/>
    </row>
    <row r="919" spans="5:5" ht="15.75" customHeight="1" x14ac:dyDescent="0.25">
      <c r="E919" s="543"/>
    </row>
    <row r="920" spans="5:5" ht="15.75" customHeight="1" x14ac:dyDescent="0.25">
      <c r="E920" s="543"/>
    </row>
    <row r="921" spans="5:5" ht="15.75" customHeight="1" x14ac:dyDescent="0.25">
      <c r="E921" s="543"/>
    </row>
    <row r="922" spans="5:5" ht="15.75" customHeight="1" x14ac:dyDescent="0.25">
      <c r="E922" s="543"/>
    </row>
    <row r="923" spans="5:5" ht="15.75" customHeight="1" x14ac:dyDescent="0.25">
      <c r="E923" s="543"/>
    </row>
    <row r="924" spans="5:5" ht="15.75" customHeight="1" x14ac:dyDescent="0.25">
      <c r="E924" s="543"/>
    </row>
    <row r="925" spans="5:5" ht="15.75" customHeight="1" x14ac:dyDescent="0.25">
      <c r="E925" s="543"/>
    </row>
    <row r="926" spans="5:5" ht="15.75" customHeight="1" x14ac:dyDescent="0.25">
      <c r="E926" s="543"/>
    </row>
    <row r="927" spans="5:5" ht="15.75" customHeight="1" x14ac:dyDescent="0.25">
      <c r="E927" s="543"/>
    </row>
    <row r="928" spans="5:5" ht="15.75" customHeight="1" x14ac:dyDescent="0.25">
      <c r="E928" s="543"/>
    </row>
    <row r="929" spans="5:5" ht="15.75" customHeight="1" x14ac:dyDescent="0.25">
      <c r="E929" s="543"/>
    </row>
    <row r="930" spans="5:5" ht="15.75" customHeight="1" x14ac:dyDescent="0.25">
      <c r="E930" s="543"/>
    </row>
    <row r="931" spans="5:5" ht="15.75" customHeight="1" x14ac:dyDescent="0.25">
      <c r="E931" s="543"/>
    </row>
    <row r="932" spans="5:5" ht="15.75" customHeight="1" x14ac:dyDescent="0.25">
      <c r="E932" s="543"/>
    </row>
    <row r="933" spans="5:5" ht="15.75" customHeight="1" x14ac:dyDescent="0.25">
      <c r="E933" s="543"/>
    </row>
    <row r="934" spans="5:5" ht="15.75" customHeight="1" x14ac:dyDescent="0.25">
      <c r="E934" s="543"/>
    </row>
    <row r="935" spans="5:5" ht="15.75" customHeight="1" x14ac:dyDescent="0.25">
      <c r="E935" s="543"/>
    </row>
    <row r="936" spans="5:5" ht="15.75" customHeight="1" x14ac:dyDescent="0.25">
      <c r="E936" s="543"/>
    </row>
    <row r="937" spans="5:5" ht="15.75" customHeight="1" x14ac:dyDescent="0.25">
      <c r="E937" s="543"/>
    </row>
    <row r="938" spans="5:5" ht="15.75" customHeight="1" x14ac:dyDescent="0.25">
      <c r="E938" s="543"/>
    </row>
    <row r="939" spans="5:5" ht="15.75" customHeight="1" x14ac:dyDescent="0.25">
      <c r="E939" s="543"/>
    </row>
    <row r="940" spans="5:5" ht="15.75" customHeight="1" x14ac:dyDescent="0.25">
      <c r="E940" s="543"/>
    </row>
    <row r="941" spans="5:5" ht="15.75" customHeight="1" x14ac:dyDescent="0.25">
      <c r="E941" s="543"/>
    </row>
    <row r="942" spans="5:5" ht="15.75" customHeight="1" x14ac:dyDescent="0.25">
      <c r="E942" s="543"/>
    </row>
    <row r="943" spans="5:5" ht="15.75" customHeight="1" x14ac:dyDescent="0.25">
      <c r="E943" s="543"/>
    </row>
    <row r="944" spans="5:5" ht="15.75" customHeight="1" x14ac:dyDescent="0.25">
      <c r="E944" s="543"/>
    </row>
    <row r="945" spans="5:5" ht="15.75" customHeight="1" x14ac:dyDescent="0.25">
      <c r="E945" s="543"/>
    </row>
    <row r="946" spans="5:5" ht="15.75" customHeight="1" x14ac:dyDescent="0.25">
      <c r="E946" s="543"/>
    </row>
    <row r="947" spans="5:5" ht="15.75" customHeight="1" x14ac:dyDescent="0.25">
      <c r="E947" s="543"/>
    </row>
    <row r="948" spans="5:5" ht="15.75" customHeight="1" x14ac:dyDescent="0.25">
      <c r="E948" s="543"/>
    </row>
    <row r="949" spans="5:5" ht="15.75" customHeight="1" x14ac:dyDescent="0.25">
      <c r="E949" s="543"/>
    </row>
    <row r="950" spans="5:5" ht="15.75" customHeight="1" x14ac:dyDescent="0.25">
      <c r="E950" s="543"/>
    </row>
    <row r="951" spans="5:5" ht="15.75" customHeight="1" x14ac:dyDescent="0.25">
      <c r="E951" s="543"/>
    </row>
    <row r="952" spans="5:5" ht="15.75" customHeight="1" x14ac:dyDescent="0.25">
      <c r="E952" s="543"/>
    </row>
    <row r="953" spans="5:5" ht="15.75" customHeight="1" x14ac:dyDescent="0.25">
      <c r="E953" s="543"/>
    </row>
    <row r="954" spans="5:5" ht="15.75" customHeight="1" x14ac:dyDescent="0.25">
      <c r="E954" s="543"/>
    </row>
    <row r="955" spans="5:5" ht="15.75" customHeight="1" x14ac:dyDescent="0.25">
      <c r="E955" s="543"/>
    </row>
    <row r="956" spans="5:5" ht="15.75" customHeight="1" x14ac:dyDescent="0.25">
      <c r="E956" s="543"/>
    </row>
    <row r="957" spans="5:5" ht="15.75" customHeight="1" x14ac:dyDescent="0.25">
      <c r="E957" s="543"/>
    </row>
    <row r="958" spans="5:5" ht="15.75" customHeight="1" x14ac:dyDescent="0.25">
      <c r="E958" s="543"/>
    </row>
    <row r="959" spans="5:5" ht="15.75" customHeight="1" x14ac:dyDescent="0.25">
      <c r="E959" s="543"/>
    </row>
    <row r="960" spans="5:5" ht="15.75" customHeight="1" x14ac:dyDescent="0.25">
      <c r="E960" s="543"/>
    </row>
    <row r="961" spans="5:5" ht="15.75" customHeight="1" x14ac:dyDescent="0.25">
      <c r="E961" s="543"/>
    </row>
    <row r="962" spans="5:5" ht="15.75" customHeight="1" x14ac:dyDescent="0.25">
      <c r="E962" s="543"/>
    </row>
    <row r="963" spans="5:5" ht="15.75" customHeight="1" x14ac:dyDescent="0.25">
      <c r="E963" s="543"/>
    </row>
    <row r="964" spans="5:5" ht="15.75" customHeight="1" x14ac:dyDescent="0.25">
      <c r="E964" s="543"/>
    </row>
    <row r="965" spans="5:5" ht="15.75" customHeight="1" x14ac:dyDescent="0.25">
      <c r="E965" s="543"/>
    </row>
    <row r="966" spans="5:5" ht="15.75" customHeight="1" x14ac:dyDescent="0.25">
      <c r="E966" s="543"/>
    </row>
    <row r="967" spans="5:5" ht="15.75" customHeight="1" x14ac:dyDescent="0.25">
      <c r="E967" s="543"/>
    </row>
    <row r="968" spans="5:5" ht="15.75" customHeight="1" x14ac:dyDescent="0.25">
      <c r="E968" s="543"/>
    </row>
    <row r="969" spans="5:5" ht="15.75" customHeight="1" x14ac:dyDescent="0.25">
      <c r="E969" s="543"/>
    </row>
    <row r="970" spans="5:5" ht="15.75" customHeight="1" x14ac:dyDescent="0.25">
      <c r="E970" s="543"/>
    </row>
    <row r="971" spans="5:5" ht="15.75" customHeight="1" x14ac:dyDescent="0.25">
      <c r="E971" s="543"/>
    </row>
    <row r="972" spans="5:5" ht="15.75" customHeight="1" x14ac:dyDescent="0.25">
      <c r="E972" s="543"/>
    </row>
    <row r="973" spans="5:5" ht="15.75" customHeight="1" x14ac:dyDescent="0.25">
      <c r="E973" s="543"/>
    </row>
    <row r="974" spans="5:5" ht="15.75" customHeight="1" x14ac:dyDescent="0.25">
      <c r="E974" s="543"/>
    </row>
    <row r="975" spans="5:5" ht="15.75" customHeight="1" x14ac:dyDescent="0.25">
      <c r="E975" s="543"/>
    </row>
    <row r="976" spans="5:5" ht="15.75" customHeight="1" x14ac:dyDescent="0.25">
      <c r="E976" s="543"/>
    </row>
    <row r="977" spans="5:5" ht="15.75" customHeight="1" x14ac:dyDescent="0.25">
      <c r="E977" s="543"/>
    </row>
    <row r="978" spans="5:5" ht="15.75" customHeight="1" x14ac:dyDescent="0.25">
      <c r="E978" s="543"/>
    </row>
    <row r="979" spans="5:5" ht="15.75" customHeight="1" x14ac:dyDescent="0.25">
      <c r="E979" s="543"/>
    </row>
    <row r="980" spans="5:5" ht="15.75" customHeight="1" x14ac:dyDescent="0.25">
      <c r="E980" s="543"/>
    </row>
    <row r="981" spans="5:5" ht="15.75" customHeight="1" x14ac:dyDescent="0.25">
      <c r="E981" s="543"/>
    </row>
    <row r="982" spans="5:5" ht="15.75" customHeight="1" x14ac:dyDescent="0.25">
      <c r="E982" s="543"/>
    </row>
    <row r="983" spans="5:5" ht="15.75" customHeight="1" x14ac:dyDescent="0.25">
      <c r="E983" s="543"/>
    </row>
    <row r="984" spans="5:5" ht="15.75" customHeight="1" x14ac:dyDescent="0.25">
      <c r="E984" s="543"/>
    </row>
    <row r="985" spans="5:5" ht="15.75" customHeight="1" x14ac:dyDescent="0.25">
      <c r="E985" s="543"/>
    </row>
    <row r="986" spans="5:5" ht="15.75" customHeight="1" x14ac:dyDescent="0.25">
      <c r="E986" s="543"/>
    </row>
    <row r="987" spans="5:5" ht="15.75" customHeight="1" x14ac:dyDescent="0.25">
      <c r="E987" s="543"/>
    </row>
    <row r="988" spans="5:5" ht="15.75" customHeight="1" x14ac:dyDescent="0.25">
      <c r="E988" s="543"/>
    </row>
    <row r="989" spans="5:5" ht="15.75" customHeight="1" x14ac:dyDescent="0.25">
      <c r="E989" s="543"/>
    </row>
    <row r="990" spans="5:5" ht="15.75" customHeight="1" x14ac:dyDescent="0.25">
      <c r="E990" s="543"/>
    </row>
    <row r="991" spans="5:5" ht="15.75" customHeight="1" x14ac:dyDescent="0.25">
      <c r="E991" s="543"/>
    </row>
    <row r="992" spans="5:5" ht="15.75" customHeight="1" x14ac:dyDescent="0.25">
      <c r="E992" s="543"/>
    </row>
    <row r="993" spans="5:5" ht="15.75" customHeight="1" x14ac:dyDescent="0.25">
      <c r="E993" s="543"/>
    </row>
    <row r="994" spans="5:5" ht="15.75" customHeight="1" x14ac:dyDescent="0.25">
      <c r="E994" s="543"/>
    </row>
    <row r="995" spans="5:5" ht="15.75" customHeight="1" x14ac:dyDescent="0.25">
      <c r="E995" s="543"/>
    </row>
    <row r="996" spans="5:5" ht="15.75" customHeight="1" x14ac:dyDescent="0.25">
      <c r="E996" s="543"/>
    </row>
    <row r="997" spans="5:5" ht="15.75" customHeight="1" x14ac:dyDescent="0.25">
      <c r="E997" s="543"/>
    </row>
    <row r="998" spans="5:5" ht="15.75" customHeight="1" x14ac:dyDescent="0.25">
      <c r="E998" s="543"/>
    </row>
    <row r="999" spans="5:5" ht="15.75" customHeight="1" x14ac:dyDescent="0.25">
      <c r="E999" s="543"/>
    </row>
    <row r="1000" spans="5:5" ht="15.75" customHeight="1" x14ac:dyDescent="0.25">
      <c r="E1000" s="543"/>
    </row>
    <row r="1001" spans="5:5" ht="15.75" customHeight="1" x14ac:dyDescent="0.25">
      <c r="E1001" s="543"/>
    </row>
    <row r="1002" spans="5:5" ht="15.75" customHeight="1" x14ac:dyDescent="0.25">
      <c r="E1002" s="543"/>
    </row>
    <row r="1003" spans="5:5" ht="15.75" customHeight="1" x14ac:dyDescent="0.25">
      <c r="E1003" s="543"/>
    </row>
    <row r="1004" spans="5:5" ht="15.75" customHeight="1" x14ac:dyDescent="0.25">
      <c r="E1004" s="543"/>
    </row>
    <row r="1005" spans="5:5" ht="15.75" customHeight="1" x14ac:dyDescent="0.25">
      <c r="E1005" s="543"/>
    </row>
    <row r="1006" spans="5:5" ht="15.75" customHeight="1" x14ac:dyDescent="0.25">
      <c r="E1006" s="543"/>
    </row>
    <row r="1007" spans="5:5" ht="15.75" customHeight="1" x14ac:dyDescent="0.25">
      <c r="E1007" s="543"/>
    </row>
    <row r="1008" spans="5:5" ht="15.75" customHeight="1" x14ac:dyDescent="0.25">
      <c r="E1008" s="543"/>
    </row>
    <row r="1009" spans="5:5" ht="15.75" customHeight="1" x14ac:dyDescent="0.25">
      <c r="E1009" s="543"/>
    </row>
    <row r="1010" spans="5:5" ht="15.75" customHeight="1" x14ac:dyDescent="0.25">
      <c r="E1010" s="543"/>
    </row>
    <row r="1011" spans="5:5" ht="15.75" customHeight="1" x14ac:dyDescent="0.25">
      <c r="E1011" s="543"/>
    </row>
    <row r="1012" spans="5:5" ht="15.75" customHeight="1" x14ac:dyDescent="0.25">
      <c r="E1012" s="543"/>
    </row>
    <row r="1013" spans="5:5" ht="15.75" customHeight="1" x14ac:dyDescent="0.25">
      <c r="E1013" s="543"/>
    </row>
    <row r="1014" spans="5:5" ht="15.75" customHeight="1" x14ac:dyDescent="0.25">
      <c r="E1014" s="543"/>
    </row>
    <row r="1015" spans="5:5" ht="15.75" customHeight="1" x14ac:dyDescent="0.25">
      <c r="E1015" s="543"/>
    </row>
    <row r="1016" spans="5:5" ht="15.75" customHeight="1" x14ac:dyDescent="0.25">
      <c r="E1016" s="543"/>
    </row>
    <row r="1017" spans="5:5" ht="15.75" customHeight="1" x14ac:dyDescent="0.25">
      <c r="E1017" s="543"/>
    </row>
    <row r="1018" spans="5:5" ht="15.75" customHeight="1" x14ac:dyDescent="0.25">
      <c r="E1018" s="543"/>
    </row>
    <row r="1019" spans="5:5" ht="15.75" customHeight="1" x14ac:dyDescent="0.25">
      <c r="E1019" s="543"/>
    </row>
    <row r="1020" spans="5:5" ht="15.75" customHeight="1" x14ac:dyDescent="0.25">
      <c r="E1020" s="543"/>
    </row>
    <row r="1021" spans="5:5" ht="15.75" customHeight="1" x14ac:dyDescent="0.25">
      <c r="E1021" s="543"/>
    </row>
    <row r="1022" spans="5:5" ht="15.75" customHeight="1" x14ac:dyDescent="0.25">
      <c r="E1022" s="543"/>
    </row>
    <row r="1023" spans="5:5" ht="15.75" customHeight="1" x14ac:dyDescent="0.25">
      <c r="E1023" s="543"/>
    </row>
    <row r="1024" spans="5:5" ht="15.75" customHeight="1" x14ac:dyDescent="0.25">
      <c r="E1024" s="543"/>
    </row>
    <row r="1025" spans="5:5" ht="15.75" customHeight="1" x14ac:dyDescent="0.25">
      <c r="E1025" s="543"/>
    </row>
    <row r="1026" spans="5:5" ht="15.75" customHeight="1" x14ac:dyDescent="0.25">
      <c r="E1026" s="543"/>
    </row>
    <row r="1027" spans="5:5" ht="15" customHeight="1" x14ac:dyDescent="0.25">
      <c r="E1027" s="543"/>
    </row>
    <row r="1028" spans="5:5" ht="15" customHeight="1" x14ac:dyDescent="0.25">
      <c r="E1028" s="543"/>
    </row>
    <row r="1029" spans="5:5" ht="15" customHeight="1" x14ac:dyDescent="0.25">
      <c r="E1029" s="543"/>
    </row>
    <row r="1030" spans="5:5" ht="15" customHeight="1" x14ac:dyDescent="0.25">
      <c r="E1030" s="543"/>
    </row>
    <row r="1031" spans="5:5" ht="15" customHeight="1" x14ac:dyDescent="0.25">
      <c r="E1031" s="543"/>
    </row>
    <row r="1032" spans="5:5" ht="15" customHeight="1" x14ac:dyDescent="0.25">
      <c r="E1032" s="543"/>
    </row>
    <row r="1033" spans="5:5" ht="15" customHeight="1" x14ac:dyDescent="0.25">
      <c r="E1033" s="543"/>
    </row>
    <row r="1034" spans="5:5" ht="15" customHeight="1" x14ac:dyDescent="0.25">
      <c r="E1034" s="543"/>
    </row>
    <row r="1035" spans="5:5" ht="15" customHeight="1" x14ac:dyDescent="0.25">
      <c r="E1035" s="543"/>
    </row>
    <row r="1036" spans="5:5" ht="15" customHeight="1" x14ac:dyDescent="0.25">
      <c r="E1036" s="543"/>
    </row>
    <row r="1037" spans="5:5" ht="15" customHeight="1" x14ac:dyDescent="0.25">
      <c r="E1037" s="543"/>
    </row>
    <row r="1038" spans="5:5" ht="15" customHeight="1" x14ac:dyDescent="0.25">
      <c r="E1038" s="543"/>
    </row>
    <row r="1039" spans="5:5" ht="15" customHeight="1" x14ac:dyDescent="0.25">
      <c r="E1039" s="543"/>
    </row>
    <row r="1040" spans="5:5" ht="15" customHeight="1" x14ac:dyDescent="0.25">
      <c r="E1040" s="543"/>
    </row>
    <row r="1041" spans="5:5" ht="15" customHeight="1" x14ac:dyDescent="0.25">
      <c r="E1041" s="543"/>
    </row>
    <row r="1042" spans="5:5" ht="15" customHeight="1" x14ac:dyDescent="0.25">
      <c r="E1042" s="543"/>
    </row>
    <row r="1043" spans="5:5" ht="15" customHeight="1" x14ac:dyDescent="0.25">
      <c r="E1043" s="543"/>
    </row>
    <row r="1044" spans="5:5" ht="15" customHeight="1" x14ac:dyDescent="0.25">
      <c r="E1044" s="543"/>
    </row>
    <row r="1045" spans="5:5" ht="15" customHeight="1" x14ac:dyDescent="0.25">
      <c r="E1045" s="543"/>
    </row>
    <row r="1046" spans="5:5" ht="15" customHeight="1" x14ac:dyDescent="0.25">
      <c r="E1046" s="543"/>
    </row>
    <row r="1047" spans="5:5" ht="15" customHeight="1" x14ac:dyDescent="0.25">
      <c r="E1047" s="543"/>
    </row>
  </sheetData>
  <mergeCells count="2">
    <mergeCell ref="G21:H21"/>
    <mergeCell ref="C4:E4"/>
  </mergeCells>
  <phoneticPr fontId="64" type="noConversion"/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DF34-90D7-490A-A09B-498533F9D837}">
  <sheetPr>
    <tabColor rgb="FFF4B083"/>
    <pageSetUpPr fitToPage="1"/>
  </sheetPr>
  <dimension ref="A1:K1019"/>
  <sheetViews>
    <sheetView workbookViewId="0">
      <pane xSplit="2" ySplit="4" topLeftCell="C22" activePane="bottomRight" state="frozen"/>
      <selection activeCell="H1" sqref="H1"/>
      <selection pane="topRight" activeCell="J1" sqref="J1"/>
      <selection pane="bottomLeft" activeCell="H5" sqref="H5"/>
      <selection pane="bottomRight" activeCell="D35" sqref="D35"/>
    </sheetView>
  </sheetViews>
  <sheetFormatPr defaultColWidth="14.42578125" defaultRowHeight="15" customHeight="1" x14ac:dyDescent="0.25"/>
  <cols>
    <col min="1" max="1" width="11" style="177" customWidth="1"/>
    <col min="2" max="2" width="42" style="177" customWidth="1"/>
    <col min="3" max="3" width="17" style="177" customWidth="1"/>
    <col min="4" max="4" width="10.28515625" style="177" customWidth="1"/>
    <col min="5" max="5" width="10.7109375" style="177" customWidth="1"/>
    <col min="6" max="6" width="12" style="177" customWidth="1"/>
    <col min="7" max="7" width="11.28515625" style="177" customWidth="1"/>
    <col min="8" max="8" width="12.28515625" style="177" customWidth="1"/>
    <col min="9" max="9" width="12" style="177" customWidth="1"/>
    <col min="10" max="10" width="3" style="177" customWidth="1"/>
    <col min="11" max="16384" width="14.42578125" style="177"/>
  </cols>
  <sheetData>
    <row r="1" spans="1:10" ht="18.75" x14ac:dyDescent="0.3">
      <c r="A1" s="176" t="s">
        <v>46</v>
      </c>
      <c r="C1" s="818" t="s">
        <v>112</v>
      </c>
      <c r="D1" s="181"/>
      <c r="E1" s="794">
        <v>855920893</v>
      </c>
      <c r="F1" s="793"/>
      <c r="G1" s="793" t="s">
        <v>111</v>
      </c>
      <c r="H1" s="181"/>
      <c r="I1" s="794">
        <v>861590067</v>
      </c>
    </row>
    <row r="2" spans="1:10" ht="15" customHeight="1" x14ac:dyDescent="0.25">
      <c r="A2" s="910" t="s">
        <v>52</v>
      </c>
      <c r="B2" s="911"/>
      <c r="C2" s="807"/>
      <c r="D2" s="179">
        <f>+F51</f>
        <v>-100</v>
      </c>
      <c r="E2" s="180"/>
      <c r="F2" s="910" t="s">
        <v>59</v>
      </c>
      <c r="G2" s="911"/>
      <c r="H2" s="181"/>
      <c r="I2" s="792">
        <f>+I51</f>
        <v>1560</v>
      </c>
      <c r="J2" s="793"/>
    </row>
    <row r="3" spans="1:10" x14ac:dyDescent="0.25">
      <c r="A3" s="182"/>
      <c r="B3" s="183"/>
      <c r="C3" s="809"/>
      <c r="D3" s="184"/>
      <c r="E3" s="185" t="s">
        <v>38</v>
      </c>
      <c r="F3" s="186"/>
      <c r="G3" s="186"/>
      <c r="H3" s="186"/>
      <c r="I3" s="187"/>
    </row>
    <row r="4" spans="1:10" x14ac:dyDescent="0.25">
      <c r="A4" s="188" t="s">
        <v>1</v>
      </c>
      <c r="B4" s="189" t="s">
        <v>3</v>
      </c>
      <c r="C4" s="189"/>
      <c r="D4" s="190" t="s">
        <v>42</v>
      </c>
      <c r="E4" s="190" t="s">
        <v>41</v>
      </c>
      <c r="F4" s="191" t="s">
        <v>4</v>
      </c>
      <c r="G4" s="190" t="s">
        <v>42</v>
      </c>
      <c r="H4" s="190" t="s">
        <v>41</v>
      </c>
      <c r="I4" s="191" t="s">
        <v>4</v>
      </c>
    </row>
    <row r="5" spans="1:10" x14ac:dyDescent="0.25">
      <c r="A5" s="192">
        <v>45962</v>
      </c>
      <c r="B5" s="189" t="s">
        <v>96</v>
      </c>
      <c r="C5" s="189"/>
      <c r="D5" s="190">
        <v>0</v>
      </c>
      <c r="E5" s="190"/>
      <c r="F5" s="191">
        <f>+D5-E5</f>
        <v>0</v>
      </c>
      <c r="G5" s="193">
        <v>0</v>
      </c>
      <c r="H5" s="193"/>
      <c r="I5" s="194">
        <f>+G5</f>
        <v>0</v>
      </c>
    </row>
    <row r="6" spans="1:10" x14ac:dyDescent="0.25">
      <c r="A6" s="192">
        <v>45963</v>
      </c>
      <c r="B6" s="189" t="s">
        <v>128</v>
      </c>
      <c r="C6" s="189"/>
      <c r="D6" s="190"/>
      <c r="E6" s="190"/>
      <c r="F6" s="191">
        <f>+F5+D6-E6</f>
        <v>0</v>
      </c>
      <c r="G6" s="193">
        <v>3000</v>
      </c>
      <c r="H6" s="193"/>
      <c r="I6" s="194">
        <f>+G6-H6</f>
        <v>3000</v>
      </c>
    </row>
    <row r="7" spans="1:10" ht="15.75" customHeight="1" x14ac:dyDescent="0.25">
      <c r="A7" s="192">
        <v>45980</v>
      </c>
      <c r="B7" s="195" t="s">
        <v>97</v>
      </c>
      <c r="C7" s="195"/>
      <c r="D7" s="190"/>
      <c r="E7" s="190"/>
      <c r="F7" s="191">
        <f t="shared" ref="F7:F11" si="0">+F6+D7-E7</f>
        <v>0</v>
      </c>
      <c r="G7" s="193">
        <f>26500*3.9</f>
        <v>103350</v>
      </c>
      <c r="H7" s="193"/>
      <c r="I7" s="194">
        <f>+I6+G7-H7</f>
        <v>106350</v>
      </c>
    </row>
    <row r="8" spans="1:10" ht="15.75" customHeight="1" x14ac:dyDescent="0.25">
      <c r="A8" s="192">
        <v>45980</v>
      </c>
      <c r="B8" s="423" t="s">
        <v>98</v>
      </c>
      <c r="C8" s="423"/>
      <c r="D8" s="190"/>
      <c r="E8" s="190"/>
      <c r="F8" s="191">
        <f t="shared" si="0"/>
        <v>0</v>
      </c>
      <c r="G8" s="193"/>
      <c r="H8" s="193">
        <v>103350</v>
      </c>
      <c r="I8" s="194">
        <f>+I7+G8-H8</f>
        <v>3000</v>
      </c>
    </row>
    <row r="9" spans="1:10" ht="15.75" customHeight="1" x14ac:dyDescent="0.25">
      <c r="A9" s="192">
        <v>45992</v>
      </c>
      <c r="B9" s="189" t="s">
        <v>128</v>
      </c>
      <c r="C9" s="189"/>
      <c r="D9" s="190"/>
      <c r="E9" s="190"/>
      <c r="F9" s="191">
        <f t="shared" si="0"/>
        <v>0</v>
      </c>
      <c r="G9" s="193">
        <v>3000</v>
      </c>
      <c r="H9" s="193"/>
      <c r="I9" s="194">
        <f t="shared" ref="I9:I25" si="1">+I8+G9-H9</f>
        <v>6000</v>
      </c>
    </row>
    <row r="10" spans="1:10" ht="14.45" customHeight="1" x14ac:dyDescent="0.25">
      <c r="A10" s="192">
        <v>46014</v>
      </c>
      <c r="B10" s="189" t="s">
        <v>220</v>
      </c>
      <c r="C10" s="189"/>
      <c r="D10" s="190">
        <v>900</v>
      </c>
      <c r="E10" s="190"/>
      <c r="F10" s="191">
        <f t="shared" si="0"/>
        <v>900</v>
      </c>
      <c r="G10" s="193"/>
      <c r="H10" s="193"/>
      <c r="I10" s="194">
        <f t="shared" si="1"/>
        <v>6000</v>
      </c>
    </row>
    <row r="11" spans="1:10" ht="15.75" customHeight="1" x14ac:dyDescent="0.25">
      <c r="A11" s="192">
        <v>46014</v>
      </c>
      <c r="B11" s="189" t="s">
        <v>221</v>
      </c>
      <c r="C11" s="189"/>
      <c r="D11" s="190"/>
      <c r="E11" s="190">
        <v>900</v>
      </c>
      <c r="F11" s="191">
        <f t="shared" si="0"/>
        <v>0</v>
      </c>
      <c r="G11" s="193">
        <f>+E11*69</f>
        <v>62100</v>
      </c>
      <c r="H11" s="193"/>
      <c r="I11" s="194">
        <f t="shared" si="1"/>
        <v>68100</v>
      </c>
    </row>
    <row r="12" spans="1:10" ht="15.75" customHeight="1" x14ac:dyDescent="0.25">
      <c r="A12" s="192">
        <v>46014</v>
      </c>
      <c r="B12" s="189" t="s">
        <v>222</v>
      </c>
      <c r="C12" s="189"/>
      <c r="D12" s="190"/>
      <c r="E12" s="190"/>
      <c r="F12" s="191">
        <f>+F11+D12-E12</f>
        <v>0</v>
      </c>
      <c r="G12" s="193"/>
      <c r="H12" s="193">
        <f>9500*2</f>
        <v>19000</v>
      </c>
      <c r="I12" s="194">
        <f t="shared" si="1"/>
        <v>49100</v>
      </c>
    </row>
    <row r="13" spans="1:10" ht="15.75" customHeight="1" x14ac:dyDescent="0.25">
      <c r="A13" s="192">
        <v>46014</v>
      </c>
      <c r="B13" s="189" t="s">
        <v>223</v>
      </c>
      <c r="C13" s="189"/>
      <c r="D13" s="190"/>
      <c r="E13" s="190"/>
      <c r="F13" s="191">
        <f>+F12+D13-E13</f>
        <v>0</v>
      </c>
      <c r="G13" s="193"/>
      <c r="H13" s="193">
        <v>1350</v>
      </c>
      <c r="I13" s="194">
        <f t="shared" si="1"/>
        <v>47750</v>
      </c>
    </row>
    <row r="14" spans="1:10" ht="15.75" customHeight="1" x14ac:dyDescent="0.25">
      <c r="A14" s="192">
        <v>46017</v>
      </c>
      <c r="B14" s="195" t="s">
        <v>226</v>
      </c>
      <c r="C14" s="195"/>
      <c r="D14" s="196">
        <v>500</v>
      </c>
      <c r="E14" s="196"/>
      <c r="F14" s="191">
        <f>+F13+D14-E14</f>
        <v>500</v>
      </c>
      <c r="G14" s="193"/>
      <c r="H14" s="193"/>
      <c r="I14" s="194">
        <f t="shared" si="1"/>
        <v>47750</v>
      </c>
    </row>
    <row r="15" spans="1:10" ht="15.75" customHeight="1" x14ac:dyDescent="0.25">
      <c r="A15" s="192">
        <v>46016</v>
      </c>
      <c r="B15" s="189" t="s">
        <v>227</v>
      </c>
      <c r="C15" s="203"/>
      <c r="D15" s="200"/>
      <c r="E15" s="200">
        <v>500</v>
      </c>
      <c r="F15" s="191">
        <f>+F14+D15-E15</f>
        <v>0</v>
      </c>
      <c r="G15" s="202">
        <f>+E15*69</f>
        <v>34500</v>
      </c>
      <c r="H15" s="202"/>
      <c r="I15" s="194">
        <f t="shared" si="1"/>
        <v>82250</v>
      </c>
    </row>
    <row r="16" spans="1:10" ht="15.75" customHeight="1" x14ac:dyDescent="0.25">
      <c r="A16" s="192">
        <v>46002</v>
      </c>
      <c r="B16" s="789" t="s">
        <v>229</v>
      </c>
      <c r="C16" s="790"/>
      <c r="D16" s="200"/>
      <c r="E16" s="200"/>
      <c r="F16" s="191">
        <f t="shared" ref="F16:F23" si="2">+F15+D16-E16</f>
        <v>0</v>
      </c>
      <c r="G16" s="202"/>
      <c r="H16" s="788">
        <v>4700</v>
      </c>
      <c r="I16" s="194">
        <f t="shared" si="1"/>
        <v>77550</v>
      </c>
    </row>
    <row r="17" spans="1:9" ht="15.75" customHeight="1" x14ac:dyDescent="0.25">
      <c r="A17" s="192">
        <v>46003</v>
      </c>
      <c r="B17" s="789" t="s">
        <v>230</v>
      </c>
      <c r="C17" s="790"/>
      <c r="D17" s="196"/>
      <c r="E17" s="196"/>
      <c r="F17" s="191">
        <f t="shared" si="2"/>
        <v>0</v>
      </c>
      <c r="G17" s="193"/>
      <c r="H17" s="788">
        <v>9710</v>
      </c>
      <c r="I17" s="194">
        <f t="shared" si="1"/>
        <v>67840</v>
      </c>
    </row>
    <row r="18" spans="1:9" ht="15.75" customHeight="1" x14ac:dyDescent="0.25">
      <c r="A18" s="192">
        <v>46010</v>
      </c>
      <c r="B18" s="789" t="s">
        <v>232</v>
      </c>
      <c r="C18" s="790"/>
      <c r="D18" s="200"/>
      <c r="E18" s="200"/>
      <c r="F18" s="191">
        <f t="shared" si="2"/>
        <v>0</v>
      </c>
      <c r="G18" s="204"/>
      <c r="H18" s="788">
        <v>2220</v>
      </c>
      <c r="I18" s="194">
        <f t="shared" si="1"/>
        <v>65620</v>
      </c>
    </row>
    <row r="19" spans="1:9" ht="15.75" customHeight="1" x14ac:dyDescent="0.25">
      <c r="A19" s="192">
        <v>46011</v>
      </c>
      <c r="B19" s="790" t="s">
        <v>235</v>
      </c>
      <c r="C19" s="790"/>
      <c r="D19" s="200">
        <v>300</v>
      </c>
      <c r="E19" s="200"/>
      <c r="F19" s="191">
        <f t="shared" si="2"/>
        <v>300</v>
      </c>
      <c r="G19" s="204"/>
      <c r="H19" s="791"/>
      <c r="I19" s="194">
        <f t="shared" si="1"/>
        <v>65620</v>
      </c>
    </row>
    <row r="20" spans="1:9" ht="15.75" customHeight="1" x14ac:dyDescent="0.25">
      <c r="A20" s="192">
        <v>46020</v>
      </c>
      <c r="B20" s="199" t="s">
        <v>233</v>
      </c>
      <c r="C20" s="199"/>
      <c r="D20" s="200">
        <v>0</v>
      </c>
      <c r="E20" s="200"/>
      <c r="F20" s="191">
        <f t="shared" si="2"/>
        <v>300</v>
      </c>
      <c r="G20" s="204"/>
      <c r="H20" s="204"/>
      <c r="I20" s="194">
        <f t="shared" si="1"/>
        <v>65620</v>
      </c>
    </row>
    <row r="21" spans="1:9" ht="15.75" customHeight="1" x14ac:dyDescent="0.25">
      <c r="A21" s="192">
        <v>46020</v>
      </c>
      <c r="B21" s="199" t="s">
        <v>234</v>
      </c>
      <c r="C21" s="199"/>
      <c r="D21" s="200"/>
      <c r="E21" s="200">
        <v>0</v>
      </c>
      <c r="F21" s="191">
        <f t="shared" si="2"/>
        <v>300</v>
      </c>
      <c r="G21" s="204"/>
      <c r="H21" s="204"/>
      <c r="I21" s="194">
        <f t="shared" si="1"/>
        <v>65620</v>
      </c>
    </row>
    <row r="22" spans="1:9" ht="15.75" customHeight="1" x14ac:dyDescent="0.25">
      <c r="A22" s="192">
        <v>46020</v>
      </c>
      <c r="B22" s="199" t="s">
        <v>236</v>
      </c>
      <c r="C22" s="199"/>
      <c r="D22" s="201"/>
      <c r="E22" s="201"/>
      <c r="F22" s="191">
        <f t="shared" si="2"/>
        <v>300</v>
      </c>
      <c r="G22" s="204"/>
      <c r="H22" s="204">
        <f>400+200+200+200+500</f>
        <v>1500</v>
      </c>
      <c r="I22" s="194">
        <f t="shared" si="1"/>
        <v>64120</v>
      </c>
    </row>
    <row r="23" spans="1:9" ht="15.75" customHeight="1" x14ac:dyDescent="0.25">
      <c r="A23" s="192">
        <v>46020</v>
      </c>
      <c r="B23" s="199" t="s">
        <v>237</v>
      </c>
      <c r="C23" s="199"/>
      <c r="D23" s="201"/>
      <c r="E23" s="201"/>
      <c r="F23" s="191">
        <f t="shared" si="2"/>
        <v>300</v>
      </c>
      <c r="G23" s="204"/>
      <c r="H23" s="204"/>
      <c r="I23" s="194">
        <f t="shared" si="1"/>
        <v>64120</v>
      </c>
    </row>
    <row r="24" spans="1:9" ht="15.75" customHeight="1" x14ac:dyDescent="0.25">
      <c r="A24" s="192">
        <v>46028</v>
      </c>
      <c r="B24" s="199" t="s">
        <v>257</v>
      </c>
      <c r="C24" s="199"/>
      <c r="D24" s="201"/>
      <c r="E24" s="201">
        <v>400</v>
      </c>
      <c r="F24" s="191">
        <f>+F23+D24-E24</f>
        <v>-100</v>
      </c>
      <c r="G24" s="204"/>
      <c r="H24" s="204"/>
      <c r="I24" s="194">
        <f t="shared" si="1"/>
        <v>64120</v>
      </c>
    </row>
    <row r="25" spans="1:9" ht="15.75" customHeight="1" x14ac:dyDescent="0.25">
      <c r="A25" s="192">
        <v>46030</v>
      </c>
      <c r="B25" s="199" t="s">
        <v>267</v>
      </c>
      <c r="C25" s="199">
        <v>848913562</v>
      </c>
      <c r="D25" s="201"/>
      <c r="E25" s="201"/>
      <c r="F25" s="191"/>
      <c r="G25" s="204"/>
      <c r="H25" s="204">
        <v>960</v>
      </c>
      <c r="I25" s="194">
        <f t="shared" si="1"/>
        <v>63160</v>
      </c>
    </row>
    <row r="26" spans="1:9" ht="15.75" customHeight="1" x14ac:dyDescent="0.25">
      <c r="A26" s="192">
        <v>46030</v>
      </c>
      <c r="B26" s="811" t="s">
        <v>268</v>
      </c>
      <c r="C26">
        <v>877999071</v>
      </c>
      <c r="D26" s="201"/>
      <c r="E26" s="201"/>
      <c r="F26" s="191"/>
      <c r="G26" s="204"/>
      <c r="H26" s="204">
        <v>6500</v>
      </c>
      <c r="I26" s="194">
        <f t="shared" ref="I26:I40" si="3">+I25+G26-H26</f>
        <v>56660</v>
      </c>
    </row>
    <row r="27" spans="1:9" ht="15.75" customHeight="1" x14ac:dyDescent="0.25">
      <c r="A27" s="192">
        <v>46030</v>
      </c>
      <c r="B27" s="199" t="s">
        <v>274</v>
      </c>
      <c r="C27" s="812">
        <f>+'[4]Cell no'!$E$13</f>
        <v>862265991</v>
      </c>
      <c r="D27" s="201"/>
      <c r="E27" s="201"/>
      <c r="F27" s="191"/>
      <c r="G27" s="204"/>
      <c r="H27" s="204">
        <f>3900+3250</f>
        <v>7150</v>
      </c>
      <c r="I27" s="194">
        <f t="shared" si="3"/>
        <v>49510</v>
      </c>
    </row>
    <row r="28" spans="1:9" ht="15.75" customHeight="1" x14ac:dyDescent="0.25">
      <c r="A28" s="192">
        <v>46030</v>
      </c>
      <c r="B28" s="199" t="s">
        <v>275</v>
      </c>
      <c r="C28" s="199">
        <v>867118246</v>
      </c>
      <c r="D28" s="201"/>
      <c r="E28" s="201"/>
      <c r="F28" s="191"/>
      <c r="G28" s="204"/>
      <c r="H28" s="204">
        <f>3250+7500</f>
        <v>10750</v>
      </c>
      <c r="I28" s="194">
        <f t="shared" si="3"/>
        <v>38760</v>
      </c>
    </row>
    <row r="29" spans="1:9" ht="15.75" customHeight="1" x14ac:dyDescent="0.25">
      <c r="A29" s="192">
        <v>46030</v>
      </c>
      <c r="B29" s="199" t="s">
        <v>269</v>
      </c>
      <c r="C29" s="812">
        <f>+'[4]Cell no'!$E$22</f>
        <v>848976998</v>
      </c>
      <c r="D29" s="201"/>
      <c r="E29" s="201"/>
      <c r="F29" s="191"/>
      <c r="G29" s="204"/>
      <c r="H29" s="204">
        <v>2600</v>
      </c>
      <c r="I29" s="194">
        <f t="shared" si="3"/>
        <v>36160</v>
      </c>
    </row>
    <row r="30" spans="1:9" ht="15.75" customHeight="1" x14ac:dyDescent="0.25">
      <c r="A30" s="192">
        <v>46030</v>
      </c>
      <c r="B30" s="199" t="s">
        <v>276</v>
      </c>
      <c r="C30" s="812">
        <f>+'[4]Cell no'!$E$14</f>
        <v>851670852</v>
      </c>
      <c r="D30" s="201"/>
      <c r="E30" s="201"/>
      <c r="F30" s="191"/>
      <c r="G30" s="204"/>
      <c r="H30" s="204">
        <f>1950+2500</f>
        <v>4450</v>
      </c>
      <c r="I30" s="194">
        <f t="shared" si="3"/>
        <v>31710</v>
      </c>
    </row>
    <row r="31" spans="1:9" ht="15.75" customHeight="1" x14ac:dyDescent="0.25">
      <c r="A31" s="192">
        <v>46030</v>
      </c>
      <c r="B31" s="195" t="s">
        <v>277</v>
      </c>
      <c r="C31" s="812">
        <f>+'[4]Cell no'!$E$17</f>
        <v>866429715</v>
      </c>
      <c r="D31" s="200"/>
      <c r="E31" s="200"/>
      <c r="F31" s="191"/>
      <c r="G31" s="204"/>
      <c r="H31" s="204">
        <f>250+650</f>
        <v>900</v>
      </c>
      <c r="I31" s="194">
        <f t="shared" si="3"/>
        <v>30810</v>
      </c>
    </row>
    <row r="32" spans="1:9" ht="15.75" customHeight="1" x14ac:dyDescent="0.25">
      <c r="A32" s="192">
        <v>46030</v>
      </c>
      <c r="B32" s="199" t="s">
        <v>278</v>
      </c>
      <c r="C32" s="199">
        <v>850713713</v>
      </c>
      <c r="D32" s="201"/>
      <c r="E32" s="201"/>
      <c r="F32" s="191"/>
      <c r="G32" s="204"/>
      <c r="H32" s="204">
        <f>250+650</f>
        <v>900</v>
      </c>
      <c r="I32" s="194">
        <f t="shared" si="3"/>
        <v>29910</v>
      </c>
    </row>
    <row r="33" spans="1:11" ht="15.75" customHeight="1" x14ac:dyDescent="0.25">
      <c r="A33" s="192">
        <v>46030</v>
      </c>
      <c r="B33" s="815" t="s">
        <v>270</v>
      </c>
      <c r="C33" s="813">
        <f>+'[4]Cell no'!$E$8</f>
        <v>845911293</v>
      </c>
      <c r="D33" s="201"/>
      <c r="E33" s="201"/>
      <c r="F33" s="191"/>
      <c r="G33" s="204"/>
      <c r="H33" s="204">
        <v>650</v>
      </c>
      <c r="I33" s="194">
        <f t="shared" si="3"/>
        <v>29260</v>
      </c>
    </row>
    <row r="34" spans="1:11" ht="15.75" customHeight="1" x14ac:dyDescent="0.25">
      <c r="A34" s="192">
        <v>46030</v>
      </c>
      <c r="B34" s="816" t="s">
        <v>279</v>
      </c>
      <c r="C34" s="813">
        <f>+'[4]Cell no'!$E$9</f>
        <v>842979613</v>
      </c>
      <c r="D34" s="201"/>
      <c r="E34" s="201"/>
      <c r="F34" s="191"/>
      <c r="G34" s="204"/>
      <c r="H34" s="204">
        <v>650</v>
      </c>
      <c r="I34" s="194">
        <f t="shared" si="3"/>
        <v>28610</v>
      </c>
    </row>
    <row r="35" spans="1:11" ht="15.75" customHeight="1" x14ac:dyDescent="0.25">
      <c r="A35" s="192">
        <v>46030</v>
      </c>
      <c r="B35" s="817" t="s">
        <v>271</v>
      </c>
      <c r="C35" s="813">
        <f>+'[4]Cell no'!$E$10</f>
        <v>853027429</v>
      </c>
      <c r="D35" s="201"/>
      <c r="E35" s="201"/>
      <c r="F35" s="191"/>
      <c r="G35" s="204"/>
      <c r="H35" s="204">
        <v>650</v>
      </c>
      <c r="I35" s="194">
        <f t="shared" si="3"/>
        <v>27960</v>
      </c>
    </row>
    <row r="36" spans="1:11" ht="15.75" customHeight="1" x14ac:dyDescent="0.25">
      <c r="A36" s="192">
        <v>46030</v>
      </c>
      <c r="B36" s="817" t="s">
        <v>272</v>
      </c>
      <c r="C36" s="813">
        <f>+'[4]Cell no'!$E$11</f>
        <v>862246051</v>
      </c>
      <c r="D36" s="201"/>
      <c r="E36" s="201"/>
      <c r="F36" s="191"/>
      <c r="G36" s="204"/>
      <c r="H36" s="204">
        <v>650</v>
      </c>
      <c r="I36" s="194">
        <f t="shared" si="3"/>
        <v>27310</v>
      </c>
    </row>
    <row r="37" spans="1:11" ht="15.75" customHeight="1" x14ac:dyDescent="0.25">
      <c r="A37" s="192">
        <v>46030</v>
      </c>
      <c r="B37" s="814" t="s">
        <v>273</v>
      </c>
      <c r="C37" s="199"/>
      <c r="D37" s="201"/>
      <c r="E37" s="201"/>
      <c r="F37" s="191"/>
      <c r="G37" s="204"/>
      <c r="H37" s="204">
        <v>24250</v>
      </c>
      <c r="I37" s="194">
        <f t="shared" si="3"/>
        <v>3060</v>
      </c>
    </row>
    <row r="38" spans="1:11" ht="15.75" customHeight="1" x14ac:dyDescent="0.25">
      <c r="A38" s="192">
        <v>46023</v>
      </c>
      <c r="B38" s="199" t="s">
        <v>283</v>
      </c>
      <c r="C38" s="199"/>
      <c r="D38" s="201"/>
      <c r="E38" s="201"/>
      <c r="F38" s="191"/>
      <c r="G38" s="204">
        <v>3000</v>
      </c>
      <c r="H38" s="204"/>
      <c r="I38" s="194">
        <f t="shared" si="3"/>
        <v>6060</v>
      </c>
    </row>
    <row r="39" spans="1:11" ht="15.75" customHeight="1" x14ac:dyDescent="0.25">
      <c r="A39" s="192">
        <v>46037</v>
      </c>
      <c r="B39" s="199" t="s">
        <v>285</v>
      </c>
      <c r="C39" s="199">
        <v>877339366</v>
      </c>
      <c r="D39" s="201"/>
      <c r="E39" s="201"/>
      <c r="F39" s="191"/>
      <c r="G39" s="204"/>
      <c r="H39" s="204">
        <v>4500</v>
      </c>
      <c r="I39" s="194">
        <f t="shared" si="3"/>
        <v>1560</v>
      </c>
    </row>
    <row r="40" spans="1:11" ht="15.75" customHeight="1" x14ac:dyDescent="0.25">
      <c r="A40" s="198"/>
      <c r="B40" s="199"/>
      <c r="C40" s="199"/>
      <c r="D40" s="200"/>
      <c r="E40" s="200"/>
      <c r="F40" s="191"/>
      <c r="G40" s="205"/>
      <c r="H40" s="205"/>
      <c r="I40" s="194">
        <f t="shared" si="3"/>
        <v>1560</v>
      </c>
    </row>
    <row r="41" spans="1:11" ht="15.75" customHeight="1" x14ac:dyDescent="0.25">
      <c r="A41" s="198"/>
      <c r="B41" s="195"/>
      <c r="C41" s="199"/>
      <c r="D41" s="200"/>
      <c r="E41" s="200"/>
      <c r="F41" s="191"/>
      <c r="G41" s="205"/>
      <c r="H41" s="205"/>
      <c r="I41" s="197"/>
      <c r="K41" s="819"/>
    </row>
    <row r="42" spans="1:11" ht="15.75" customHeight="1" x14ac:dyDescent="0.25">
      <c r="A42" s="198"/>
      <c r="B42" s="199"/>
      <c r="C42" s="199"/>
      <c r="D42" s="200"/>
      <c r="E42" s="200"/>
      <c r="F42" s="191"/>
      <c r="G42" s="205"/>
      <c r="H42" s="205"/>
      <c r="I42" s="197"/>
    </row>
    <row r="43" spans="1:11" ht="15.75" customHeight="1" x14ac:dyDescent="0.25">
      <c r="A43" s="198"/>
      <c r="B43" s="195"/>
      <c r="C43" s="199"/>
      <c r="D43" s="200"/>
      <c r="E43" s="200"/>
      <c r="F43" s="191"/>
      <c r="G43" s="204"/>
      <c r="H43" s="204"/>
      <c r="I43" s="197"/>
    </row>
    <row r="44" spans="1:11" ht="15.75" customHeight="1" x14ac:dyDescent="0.25">
      <c r="A44" s="198"/>
      <c r="B44" s="199"/>
      <c r="C44" s="199"/>
      <c r="D44" s="200"/>
      <c r="E44" s="200"/>
      <c r="F44" s="191"/>
      <c r="G44" s="205"/>
      <c r="H44" s="205"/>
      <c r="I44" s="197"/>
    </row>
    <row r="45" spans="1:11" ht="15.75" customHeight="1" x14ac:dyDescent="0.25">
      <c r="A45" s="198"/>
      <c r="B45" s="199"/>
      <c r="C45" s="199"/>
      <c r="D45" s="200"/>
      <c r="E45" s="200"/>
      <c r="F45" s="191"/>
      <c r="G45" s="205"/>
      <c r="H45" s="205"/>
      <c r="I45" s="197"/>
    </row>
    <row r="46" spans="1:11" ht="15.75" customHeight="1" x14ac:dyDescent="0.25">
      <c r="A46" s="198"/>
      <c r="B46" s="199"/>
      <c r="C46" s="199"/>
      <c r="D46" s="200"/>
      <c r="E46" s="200"/>
      <c r="F46" s="191"/>
      <c r="G46" s="205"/>
      <c r="H46" s="205"/>
      <c r="I46" s="197"/>
    </row>
    <row r="47" spans="1:11" ht="15.75" customHeight="1" x14ac:dyDescent="0.25">
      <c r="A47" s="198"/>
      <c r="B47" s="199"/>
      <c r="C47" s="199"/>
      <c r="D47" s="200"/>
      <c r="E47" s="200"/>
      <c r="F47" s="191"/>
      <c r="G47" s="338"/>
      <c r="H47" s="205"/>
      <c r="I47" s="197"/>
    </row>
    <row r="48" spans="1:11" ht="15.75" customHeight="1" x14ac:dyDescent="0.25">
      <c r="A48" s="336"/>
      <c r="B48" s="195"/>
      <c r="C48" s="195"/>
      <c r="D48" s="196"/>
      <c r="E48" s="196"/>
      <c r="F48" s="191"/>
      <c r="G48" s="339"/>
      <c r="H48" s="337"/>
      <c r="I48" s="197"/>
    </row>
    <row r="49" spans="1:9" ht="15.75" customHeight="1" x14ac:dyDescent="0.25">
      <c r="A49" s="336"/>
      <c r="B49" s="199"/>
      <c r="C49" s="199"/>
      <c r="D49" s="200"/>
      <c r="E49" s="200"/>
      <c r="F49" s="191">
        <f t="shared" ref="F49:F50" si="4">+F48+D49-E49</f>
        <v>0</v>
      </c>
      <c r="G49" s="345"/>
      <c r="H49" s="346"/>
      <c r="I49" s="197"/>
    </row>
    <row r="50" spans="1:9" ht="15.75" customHeight="1" x14ac:dyDescent="0.25">
      <c r="A50" s="336"/>
      <c r="B50" s="199"/>
      <c r="C50" s="199"/>
      <c r="D50" s="200"/>
      <c r="E50" s="200"/>
      <c r="F50" s="191">
        <f t="shared" si="4"/>
        <v>0</v>
      </c>
      <c r="G50" s="347"/>
      <c r="H50" s="205"/>
      <c r="I50" s="197"/>
    </row>
    <row r="51" spans="1:9" ht="15.75" customHeight="1" thickBot="1" x14ac:dyDescent="0.3">
      <c r="A51" s="206"/>
      <c r="B51" s="207"/>
      <c r="C51" s="810"/>
      <c r="D51" s="348">
        <f>SUM(D5:D50)</f>
        <v>1700</v>
      </c>
      <c r="E51" s="348">
        <f>SUM(E5:E50)</f>
        <v>1800</v>
      </c>
      <c r="F51" s="349">
        <f>+D51-E51</f>
        <v>-100</v>
      </c>
      <c r="G51" s="350">
        <f>SUM(G5:G50)</f>
        <v>208950</v>
      </c>
      <c r="H51" s="351">
        <f>SUM(H5:H50)</f>
        <v>207390</v>
      </c>
      <c r="I51" s="350">
        <f>+G51-H51</f>
        <v>1560</v>
      </c>
    </row>
    <row r="52" spans="1:9" ht="15.75" customHeight="1" thickTop="1" x14ac:dyDescent="0.25">
      <c r="D52" s="208"/>
      <c r="E52" s="208"/>
      <c r="F52" s="178"/>
      <c r="G52" s="208"/>
      <c r="H52" s="208"/>
      <c r="I52" s="178"/>
    </row>
    <row r="53" spans="1:9" ht="15.75" customHeight="1" x14ac:dyDescent="0.25">
      <c r="D53" s="208"/>
      <c r="E53" s="208"/>
      <c r="F53" s="178"/>
      <c r="G53" s="208"/>
      <c r="H53" s="208"/>
      <c r="I53" s="178"/>
    </row>
    <row r="54" spans="1:9" ht="15.75" customHeight="1" x14ac:dyDescent="0.25">
      <c r="D54" s="208"/>
      <c r="E54" s="208"/>
      <c r="F54" s="178"/>
      <c r="G54" s="208"/>
      <c r="H54" s="208"/>
      <c r="I54" s="178"/>
    </row>
    <row r="55" spans="1:9" ht="15.75" customHeight="1" x14ac:dyDescent="0.25">
      <c r="D55" s="208"/>
      <c r="E55" s="208"/>
      <c r="F55" s="178"/>
      <c r="G55" s="208"/>
      <c r="H55" s="208"/>
      <c r="I55" s="178"/>
    </row>
    <row r="56" spans="1:9" ht="15.75" customHeight="1" x14ac:dyDescent="0.25">
      <c r="D56" s="208"/>
      <c r="E56" s="208"/>
      <c r="F56" s="178"/>
      <c r="G56" s="208"/>
      <c r="H56" s="208"/>
      <c r="I56" s="178"/>
    </row>
    <row r="57" spans="1:9" ht="15.75" customHeight="1" x14ac:dyDescent="0.25">
      <c r="D57" s="208"/>
      <c r="E57" s="208"/>
      <c r="F57" s="178"/>
      <c r="G57" s="208"/>
      <c r="H57" s="208"/>
      <c r="I57" s="178"/>
    </row>
    <row r="58" spans="1:9" ht="15.75" customHeight="1" x14ac:dyDescent="0.25">
      <c r="D58" s="208"/>
      <c r="E58" s="208"/>
      <c r="F58" s="178"/>
      <c r="G58" s="208"/>
      <c r="H58" s="208"/>
      <c r="I58" s="178"/>
    </row>
    <row r="59" spans="1:9" ht="15.75" customHeight="1" x14ac:dyDescent="0.25">
      <c r="D59" s="208"/>
      <c r="E59" s="208"/>
      <c r="F59" s="178"/>
      <c r="G59" s="208"/>
      <c r="H59" s="208"/>
      <c r="I59" s="178"/>
    </row>
    <row r="60" spans="1:9" ht="15.75" customHeight="1" x14ac:dyDescent="0.25">
      <c r="D60" s="208"/>
      <c r="E60" s="208"/>
      <c r="F60" s="178"/>
      <c r="G60" s="208"/>
      <c r="H60" s="208"/>
      <c r="I60" s="178"/>
    </row>
    <row r="61" spans="1:9" ht="15.75" customHeight="1" x14ac:dyDescent="0.25">
      <c r="D61" s="208"/>
      <c r="E61" s="208"/>
      <c r="F61" s="178"/>
      <c r="G61" s="208"/>
      <c r="H61" s="208"/>
      <c r="I61" s="178"/>
    </row>
    <row r="62" spans="1:9" ht="15.75" customHeight="1" x14ac:dyDescent="0.25">
      <c r="D62" s="208"/>
      <c r="E62" s="208"/>
      <c r="F62" s="178"/>
      <c r="G62" s="208"/>
      <c r="H62" s="208"/>
      <c r="I62" s="178"/>
    </row>
    <row r="63" spans="1:9" ht="15.75" customHeight="1" x14ac:dyDescent="0.25">
      <c r="D63" s="208"/>
      <c r="E63" s="208"/>
      <c r="F63" s="178"/>
      <c r="G63" s="208"/>
      <c r="H63" s="208"/>
      <c r="I63" s="178"/>
    </row>
    <row r="64" spans="1:9" ht="15.75" customHeight="1" x14ac:dyDescent="0.25">
      <c r="D64" s="208"/>
      <c r="E64" s="208"/>
      <c r="F64" s="178"/>
      <c r="G64" s="208"/>
      <c r="H64" s="208"/>
      <c r="I64" s="178"/>
    </row>
    <row r="65" spans="4:9" ht="15.75" customHeight="1" x14ac:dyDescent="0.25">
      <c r="D65" s="208"/>
      <c r="E65" s="208"/>
      <c r="F65" s="178"/>
      <c r="G65" s="208"/>
      <c r="H65" s="208"/>
      <c r="I65" s="178"/>
    </row>
    <row r="66" spans="4:9" ht="15.75" customHeight="1" x14ac:dyDescent="0.25">
      <c r="D66" s="208"/>
      <c r="E66" s="208"/>
      <c r="F66" s="178"/>
      <c r="G66" s="208"/>
      <c r="H66" s="208"/>
      <c r="I66" s="178"/>
    </row>
    <row r="67" spans="4:9" ht="15.75" customHeight="1" x14ac:dyDescent="0.25">
      <c r="D67" s="208"/>
      <c r="E67" s="208"/>
      <c r="F67" s="178"/>
      <c r="G67" s="208"/>
      <c r="H67" s="208"/>
      <c r="I67" s="178"/>
    </row>
    <row r="68" spans="4:9" ht="15.75" customHeight="1" x14ac:dyDescent="0.25">
      <c r="D68" s="208"/>
      <c r="E68" s="208"/>
      <c r="F68" s="178"/>
      <c r="G68" s="208"/>
      <c r="H68" s="208"/>
      <c r="I68" s="178"/>
    </row>
    <row r="69" spans="4:9" ht="15.75" customHeight="1" x14ac:dyDescent="0.25">
      <c r="D69" s="208"/>
      <c r="E69" s="208"/>
      <c r="F69" s="178"/>
      <c r="G69" s="208"/>
      <c r="H69" s="208"/>
      <c r="I69" s="178"/>
    </row>
    <row r="70" spans="4:9" ht="15.75" customHeight="1" x14ac:dyDescent="0.25">
      <c r="D70" s="208"/>
      <c r="E70" s="208"/>
      <c r="F70" s="178"/>
      <c r="G70" s="208"/>
      <c r="H70" s="208"/>
      <c r="I70" s="178"/>
    </row>
    <row r="71" spans="4:9" ht="15.75" customHeight="1" x14ac:dyDescent="0.25">
      <c r="D71" s="208"/>
      <c r="E71" s="208"/>
      <c r="F71" s="178"/>
      <c r="G71" s="208"/>
      <c r="H71" s="208"/>
      <c r="I71" s="178"/>
    </row>
    <row r="72" spans="4:9" ht="15.75" customHeight="1" x14ac:dyDescent="0.25">
      <c r="D72" s="208"/>
      <c r="E72" s="208"/>
      <c r="F72" s="178"/>
      <c r="G72" s="208"/>
      <c r="H72" s="208"/>
      <c r="I72" s="178"/>
    </row>
    <row r="73" spans="4:9" ht="15.75" customHeight="1" x14ac:dyDescent="0.25">
      <c r="D73" s="208"/>
      <c r="E73" s="208"/>
      <c r="F73" s="178"/>
      <c r="G73" s="208"/>
      <c r="H73" s="208"/>
      <c r="I73" s="178"/>
    </row>
    <row r="74" spans="4:9" ht="15.75" customHeight="1" x14ac:dyDescent="0.25">
      <c r="D74" s="208"/>
      <c r="E74" s="208"/>
      <c r="F74" s="178"/>
      <c r="G74" s="208"/>
      <c r="H74" s="208"/>
      <c r="I74" s="178"/>
    </row>
    <row r="75" spans="4:9" ht="15.75" customHeight="1" x14ac:dyDescent="0.25">
      <c r="D75" s="208"/>
      <c r="E75" s="208"/>
      <c r="F75" s="178"/>
      <c r="G75" s="208"/>
      <c r="H75" s="208"/>
      <c r="I75" s="178"/>
    </row>
    <row r="76" spans="4:9" ht="15.75" customHeight="1" x14ac:dyDescent="0.25">
      <c r="D76" s="208"/>
      <c r="E76" s="208"/>
      <c r="F76" s="178"/>
      <c r="G76" s="208"/>
      <c r="H76" s="208"/>
      <c r="I76" s="178"/>
    </row>
    <row r="77" spans="4:9" ht="15.75" customHeight="1" x14ac:dyDescent="0.25">
      <c r="D77" s="208"/>
      <c r="E77" s="208"/>
      <c r="F77" s="178"/>
      <c r="G77" s="208"/>
      <c r="H77" s="208"/>
      <c r="I77" s="178"/>
    </row>
    <row r="78" spans="4:9" ht="15.75" customHeight="1" x14ac:dyDescent="0.25">
      <c r="D78" s="208"/>
      <c r="E78" s="208"/>
      <c r="F78" s="178"/>
      <c r="G78" s="208"/>
      <c r="H78" s="208"/>
      <c r="I78" s="178"/>
    </row>
    <row r="79" spans="4:9" ht="15.75" customHeight="1" x14ac:dyDescent="0.25">
      <c r="D79" s="208"/>
      <c r="E79" s="208"/>
      <c r="F79" s="178"/>
      <c r="G79" s="208"/>
      <c r="H79" s="208"/>
      <c r="I79" s="178"/>
    </row>
    <row r="80" spans="4:9" ht="15.75" customHeight="1" x14ac:dyDescent="0.25">
      <c r="D80" s="208"/>
      <c r="E80" s="208"/>
      <c r="F80" s="178"/>
      <c r="G80" s="208"/>
      <c r="H80" s="208"/>
      <c r="I80" s="178"/>
    </row>
    <row r="81" spans="4:9" ht="15.75" customHeight="1" x14ac:dyDescent="0.25">
      <c r="D81" s="208"/>
      <c r="E81" s="208"/>
      <c r="F81" s="178"/>
      <c r="G81" s="208"/>
      <c r="H81" s="208"/>
      <c r="I81" s="178"/>
    </row>
    <row r="82" spans="4:9" ht="15.75" customHeight="1" x14ac:dyDescent="0.25">
      <c r="D82" s="208"/>
      <c r="E82" s="208"/>
      <c r="F82" s="178"/>
      <c r="G82" s="208"/>
      <c r="H82" s="208"/>
      <c r="I82" s="178"/>
    </row>
    <row r="83" spans="4:9" ht="15.75" customHeight="1" x14ac:dyDescent="0.25">
      <c r="D83" s="208"/>
      <c r="E83" s="208"/>
      <c r="F83" s="178"/>
      <c r="G83" s="208"/>
      <c r="H83" s="208"/>
      <c r="I83" s="178"/>
    </row>
    <row r="84" spans="4:9" ht="15.75" customHeight="1" x14ac:dyDescent="0.25">
      <c r="D84" s="208"/>
      <c r="E84" s="208"/>
      <c r="F84" s="178"/>
      <c r="G84" s="208"/>
      <c r="H84" s="208"/>
      <c r="I84" s="178"/>
    </row>
    <row r="85" spans="4:9" ht="15.75" customHeight="1" x14ac:dyDescent="0.25">
      <c r="D85" s="208"/>
      <c r="E85" s="208"/>
      <c r="F85" s="178"/>
      <c r="G85" s="208"/>
      <c r="H85" s="208"/>
      <c r="I85" s="178"/>
    </row>
    <row r="86" spans="4:9" ht="15.75" customHeight="1" x14ac:dyDescent="0.25">
      <c r="D86" s="208"/>
      <c r="E86" s="208"/>
      <c r="F86" s="178"/>
      <c r="G86" s="208"/>
      <c r="H86" s="208"/>
      <c r="I86" s="178"/>
    </row>
    <row r="87" spans="4:9" ht="15.75" customHeight="1" x14ac:dyDescent="0.25">
      <c r="D87" s="208"/>
      <c r="E87" s="208"/>
      <c r="F87" s="178"/>
      <c r="G87" s="208"/>
      <c r="H87" s="208"/>
      <c r="I87" s="178"/>
    </row>
    <row r="88" spans="4:9" ht="15.75" customHeight="1" x14ac:dyDescent="0.25">
      <c r="D88" s="208"/>
      <c r="E88" s="208"/>
      <c r="F88" s="178"/>
      <c r="G88" s="208"/>
      <c r="H88" s="208"/>
      <c r="I88" s="178"/>
    </row>
    <row r="89" spans="4:9" ht="15.75" customHeight="1" x14ac:dyDescent="0.25">
      <c r="D89" s="208"/>
      <c r="E89" s="208"/>
      <c r="F89" s="178"/>
      <c r="G89" s="208"/>
      <c r="H89" s="208"/>
      <c r="I89" s="178"/>
    </row>
    <row r="90" spans="4:9" ht="15.75" customHeight="1" x14ac:dyDescent="0.25">
      <c r="D90" s="208"/>
      <c r="E90" s="208"/>
      <c r="F90" s="178"/>
      <c r="G90" s="208"/>
      <c r="H90" s="208"/>
      <c r="I90" s="178"/>
    </row>
    <row r="91" spans="4:9" ht="15.75" customHeight="1" x14ac:dyDescent="0.25">
      <c r="D91" s="208"/>
      <c r="E91" s="208"/>
      <c r="F91" s="178"/>
      <c r="G91" s="208"/>
      <c r="H91" s="208"/>
      <c r="I91" s="178"/>
    </row>
    <row r="92" spans="4:9" ht="15.75" customHeight="1" x14ac:dyDescent="0.25">
      <c r="D92" s="208"/>
      <c r="E92" s="208"/>
      <c r="F92" s="178"/>
      <c r="G92" s="208"/>
      <c r="H92" s="208"/>
      <c r="I92" s="178"/>
    </row>
    <row r="93" spans="4:9" ht="15.75" customHeight="1" x14ac:dyDescent="0.25">
      <c r="D93" s="208"/>
      <c r="E93" s="208"/>
      <c r="F93" s="178"/>
      <c r="G93" s="208"/>
      <c r="H93" s="208"/>
      <c r="I93" s="178"/>
    </row>
    <row r="94" spans="4:9" ht="15.75" customHeight="1" x14ac:dyDescent="0.25">
      <c r="D94" s="208"/>
      <c r="E94" s="208"/>
      <c r="F94" s="178"/>
      <c r="G94" s="208"/>
      <c r="H94" s="208"/>
      <c r="I94" s="178"/>
    </row>
    <row r="95" spans="4:9" ht="15.75" customHeight="1" x14ac:dyDescent="0.25">
      <c r="D95" s="208"/>
      <c r="E95" s="208"/>
      <c r="F95" s="178"/>
      <c r="G95" s="208"/>
      <c r="H95" s="208"/>
      <c r="I95" s="178"/>
    </row>
    <row r="96" spans="4:9" ht="15.75" customHeight="1" x14ac:dyDescent="0.25">
      <c r="D96" s="208"/>
      <c r="E96" s="208"/>
      <c r="F96" s="178"/>
      <c r="G96" s="208"/>
      <c r="H96" s="208"/>
      <c r="I96" s="178"/>
    </row>
    <row r="97" spans="4:9" ht="15.75" customHeight="1" x14ac:dyDescent="0.25">
      <c r="D97" s="208"/>
      <c r="E97" s="208"/>
      <c r="F97" s="178"/>
      <c r="G97" s="208"/>
      <c r="H97" s="208"/>
      <c r="I97" s="178"/>
    </row>
    <row r="98" spans="4:9" ht="15.75" customHeight="1" x14ac:dyDescent="0.25">
      <c r="D98" s="208"/>
      <c r="E98" s="208"/>
      <c r="F98" s="178"/>
      <c r="G98" s="208"/>
      <c r="H98" s="208"/>
      <c r="I98" s="178"/>
    </row>
    <row r="99" spans="4:9" ht="15.75" customHeight="1" x14ac:dyDescent="0.25">
      <c r="D99" s="208"/>
      <c r="E99" s="208"/>
      <c r="F99" s="178"/>
      <c r="G99" s="208"/>
      <c r="H99" s="208"/>
      <c r="I99" s="178"/>
    </row>
    <row r="100" spans="4:9" ht="15.75" customHeight="1" x14ac:dyDescent="0.25">
      <c r="D100" s="208"/>
      <c r="E100" s="208"/>
      <c r="F100" s="178"/>
      <c r="G100" s="208"/>
      <c r="H100" s="208"/>
      <c r="I100" s="178"/>
    </row>
    <row r="101" spans="4:9" ht="15.75" customHeight="1" x14ac:dyDescent="0.25">
      <c r="D101" s="208"/>
      <c r="E101" s="208"/>
      <c r="F101" s="178"/>
      <c r="G101" s="208"/>
      <c r="H101" s="208"/>
      <c r="I101" s="178"/>
    </row>
    <row r="102" spans="4:9" ht="15.75" customHeight="1" x14ac:dyDescent="0.25">
      <c r="D102" s="208"/>
      <c r="E102" s="208"/>
      <c r="F102" s="178"/>
      <c r="G102" s="208"/>
      <c r="H102" s="208"/>
      <c r="I102" s="178"/>
    </row>
    <row r="103" spans="4:9" ht="15.75" customHeight="1" x14ac:dyDescent="0.25">
      <c r="D103" s="208"/>
      <c r="E103" s="208"/>
      <c r="F103" s="178"/>
      <c r="G103" s="208"/>
      <c r="H103" s="208"/>
      <c r="I103" s="178"/>
    </row>
    <row r="104" spans="4:9" ht="15.75" customHeight="1" x14ac:dyDescent="0.25">
      <c r="D104" s="208"/>
      <c r="E104" s="208"/>
      <c r="F104" s="178"/>
      <c r="G104" s="208"/>
      <c r="H104" s="208"/>
      <c r="I104" s="178"/>
    </row>
    <row r="105" spans="4:9" ht="15.75" customHeight="1" x14ac:dyDescent="0.25">
      <c r="D105" s="208"/>
      <c r="E105" s="208"/>
      <c r="F105" s="178"/>
      <c r="G105" s="208"/>
      <c r="H105" s="208"/>
      <c r="I105" s="178"/>
    </row>
    <row r="106" spans="4:9" ht="15.75" customHeight="1" x14ac:dyDescent="0.25">
      <c r="D106" s="208"/>
      <c r="E106" s="208"/>
      <c r="F106" s="178"/>
      <c r="G106" s="208"/>
      <c r="H106" s="208"/>
      <c r="I106" s="178"/>
    </row>
    <row r="107" spans="4:9" ht="15.75" customHeight="1" x14ac:dyDescent="0.25">
      <c r="D107" s="208"/>
      <c r="E107" s="208"/>
      <c r="F107" s="178"/>
      <c r="G107" s="208"/>
      <c r="H107" s="208"/>
      <c r="I107" s="178"/>
    </row>
    <row r="108" spans="4:9" ht="15.75" customHeight="1" x14ac:dyDescent="0.25">
      <c r="D108" s="208"/>
      <c r="E108" s="208"/>
      <c r="F108" s="178"/>
      <c r="G108" s="208"/>
      <c r="H108" s="208"/>
      <c r="I108" s="178"/>
    </row>
    <row r="109" spans="4:9" ht="15.75" customHeight="1" x14ac:dyDescent="0.25">
      <c r="D109" s="208"/>
      <c r="E109" s="208"/>
      <c r="F109" s="178"/>
      <c r="G109" s="208"/>
      <c r="H109" s="208"/>
      <c r="I109" s="178"/>
    </row>
    <row r="110" spans="4:9" ht="15.75" customHeight="1" x14ac:dyDescent="0.25">
      <c r="D110" s="208"/>
      <c r="E110" s="208"/>
      <c r="F110" s="178"/>
      <c r="G110" s="208"/>
      <c r="H110" s="208"/>
      <c r="I110" s="178"/>
    </row>
    <row r="111" spans="4:9" ht="15.75" customHeight="1" x14ac:dyDescent="0.25">
      <c r="D111" s="208"/>
      <c r="E111" s="208"/>
      <c r="F111" s="178"/>
      <c r="G111" s="208"/>
      <c r="H111" s="208"/>
      <c r="I111" s="178"/>
    </row>
    <row r="112" spans="4:9" ht="15.75" customHeight="1" x14ac:dyDescent="0.25">
      <c r="D112" s="208"/>
      <c r="E112" s="208"/>
      <c r="F112" s="178"/>
      <c r="G112" s="208"/>
      <c r="H112" s="208"/>
      <c r="I112" s="178"/>
    </row>
    <row r="113" spans="4:9" ht="15.75" customHeight="1" x14ac:dyDescent="0.25">
      <c r="D113" s="208"/>
      <c r="E113" s="208"/>
      <c r="F113" s="178"/>
      <c r="G113" s="208"/>
      <c r="H113" s="208"/>
      <c r="I113" s="178"/>
    </row>
    <row r="114" spans="4:9" ht="15.75" customHeight="1" x14ac:dyDescent="0.25">
      <c r="D114" s="208"/>
      <c r="E114" s="208"/>
      <c r="F114" s="178"/>
      <c r="G114" s="208"/>
      <c r="H114" s="208"/>
      <c r="I114" s="178"/>
    </row>
    <row r="115" spans="4:9" ht="15.75" customHeight="1" x14ac:dyDescent="0.25">
      <c r="D115" s="208"/>
      <c r="E115" s="208"/>
      <c r="F115" s="178"/>
      <c r="G115" s="208"/>
      <c r="H115" s="208"/>
      <c r="I115" s="178"/>
    </row>
    <row r="116" spans="4:9" ht="15.75" customHeight="1" x14ac:dyDescent="0.25">
      <c r="D116" s="208"/>
      <c r="E116" s="208"/>
      <c r="F116" s="178"/>
      <c r="G116" s="208"/>
      <c r="H116" s="208"/>
      <c r="I116" s="178"/>
    </row>
    <row r="117" spans="4:9" ht="15.75" customHeight="1" x14ac:dyDescent="0.25">
      <c r="D117" s="208"/>
      <c r="E117" s="208"/>
      <c r="F117" s="178"/>
      <c r="G117" s="208"/>
      <c r="H117" s="208"/>
      <c r="I117" s="178"/>
    </row>
    <row r="118" spans="4:9" ht="15.75" customHeight="1" x14ac:dyDescent="0.25">
      <c r="D118" s="208"/>
      <c r="E118" s="208"/>
      <c r="F118" s="178"/>
      <c r="G118" s="208"/>
      <c r="H118" s="208"/>
      <c r="I118" s="178"/>
    </row>
    <row r="119" spans="4:9" ht="15.75" customHeight="1" x14ac:dyDescent="0.25">
      <c r="D119" s="208"/>
      <c r="E119" s="208"/>
      <c r="F119" s="178"/>
      <c r="G119" s="208"/>
      <c r="H119" s="208"/>
      <c r="I119" s="178"/>
    </row>
    <row r="120" spans="4:9" ht="15.75" customHeight="1" x14ac:dyDescent="0.25">
      <c r="D120" s="208"/>
      <c r="E120" s="208"/>
      <c r="F120" s="178"/>
      <c r="G120" s="208"/>
      <c r="H120" s="208"/>
      <c r="I120" s="178"/>
    </row>
    <row r="121" spans="4:9" ht="15.75" customHeight="1" x14ac:dyDescent="0.25">
      <c r="D121" s="208"/>
      <c r="E121" s="208"/>
      <c r="F121" s="178"/>
      <c r="G121" s="208"/>
      <c r="H121" s="208"/>
      <c r="I121" s="178"/>
    </row>
    <row r="122" spans="4:9" ht="15.75" customHeight="1" x14ac:dyDescent="0.25">
      <c r="D122" s="208"/>
      <c r="E122" s="208"/>
      <c r="F122" s="178"/>
      <c r="G122" s="208"/>
      <c r="H122" s="208"/>
      <c r="I122" s="178"/>
    </row>
    <row r="123" spans="4:9" ht="15.75" customHeight="1" x14ac:dyDescent="0.25">
      <c r="D123" s="208"/>
      <c r="E123" s="208"/>
      <c r="F123" s="178"/>
      <c r="G123" s="208"/>
      <c r="H123" s="208"/>
      <c r="I123" s="178"/>
    </row>
    <row r="124" spans="4:9" ht="15.75" customHeight="1" x14ac:dyDescent="0.25">
      <c r="D124" s="208"/>
      <c r="E124" s="208"/>
      <c r="F124" s="178"/>
      <c r="G124" s="208"/>
      <c r="H124" s="208"/>
      <c r="I124" s="178"/>
    </row>
    <row r="125" spans="4:9" ht="15.75" customHeight="1" x14ac:dyDescent="0.25">
      <c r="D125" s="208"/>
      <c r="E125" s="208"/>
      <c r="F125" s="178"/>
      <c r="G125" s="208"/>
      <c r="H125" s="208"/>
      <c r="I125" s="178"/>
    </row>
    <row r="126" spans="4:9" ht="15.75" customHeight="1" x14ac:dyDescent="0.25">
      <c r="D126" s="208"/>
      <c r="E126" s="208"/>
      <c r="F126" s="178"/>
      <c r="G126" s="208"/>
      <c r="H126" s="208"/>
      <c r="I126" s="178"/>
    </row>
    <row r="127" spans="4:9" ht="15.75" customHeight="1" x14ac:dyDescent="0.25">
      <c r="D127" s="208"/>
      <c r="E127" s="208"/>
      <c r="F127" s="178"/>
      <c r="G127" s="208"/>
      <c r="H127" s="208"/>
      <c r="I127" s="178"/>
    </row>
    <row r="128" spans="4:9" ht="15.75" customHeight="1" x14ac:dyDescent="0.25">
      <c r="D128" s="208"/>
      <c r="E128" s="208"/>
      <c r="F128" s="178"/>
      <c r="G128" s="208"/>
      <c r="H128" s="208"/>
      <c r="I128" s="178"/>
    </row>
    <row r="129" spans="4:9" ht="15.75" customHeight="1" x14ac:dyDescent="0.25">
      <c r="D129" s="208"/>
      <c r="E129" s="208"/>
      <c r="F129" s="178"/>
      <c r="G129" s="208"/>
      <c r="H129" s="208"/>
      <c r="I129" s="178"/>
    </row>
    <row r="130" spans="4:9" ht="15.75" customHeight="1" x14ac:dyDescent="0.25">
      <c r="D130" s="208"/>
      <c r="E130" s="208"/>
      <c r="F130" s="178"/>
      <c r="G130" s="208"/>
      <c r="H130" s="208"/>
      <c r="I130" s="178"/>
    </row>
    <row r="131" spans="4:9" ht="15.75" customHeight="1" x14ac:dyDescent="0.25">
      <c r="D131" s="208"/>
      <c r="E131" s="208"/>
      <c r="F131" s="178"/>
      <c r="G131" s="208"/>
      <c r="H131" s="208"/>
      <c r="I131" s="178"/>
    </row>
    <row r="132" spans="4:9" ht="15.75" customHeight="1" x14ac:dyDescent="0.25">
      <c r="D132" s="208"/>
      <c r="E132" s="208"/>
      <c r="F132" s="178"/>
      <c r="G132" s="208"/>
      <c r="H132" s="208"/>
      <c r="I132" s="178"/>
    </row>
    <row r="133" spans="4:9" ht="15.75" customHeight="1" x14ac:dyDescent="0.25">
      <c r="D133" s="208"/>
      <c r="E133" s="208"/>
      <c r="F133" s="178"/>
      <c r="G133" s="208"/>
      <c r="H133" s="208"/>
      <c r="I133" s="178"/>
    </row>
    <row r="134" spans="4:9" ht="15.75" customHeight="1" x14ac:dyDescent="0.25">
      <c r="D134" s="208"/>
      <c r="E134" s="208"/>
      <c r="F134" s="178"/>
      <c r="G134" s="208"/>
      <c r="H134" s="208"/>
      <c r="I134" s="178"/>
    </row>
    <row r="135" spans="4:9" ht="15.75" customHeight="1" x14ac:dyDescent="0.25">
      <c r="D135" s="208"/>
      <c r="E135" s="208"/>
      <c r="F135" s="178"/>
      <c r="G135" s="208"/>
      <c r="H135" s="208"/>
      <c r="I135" s="178"/>
    </row>
    <row r="136" spans="4:9" ht="15.75" customHeight="1" x14ac:dyDescent="0.25">
      <c r="D136" s="208"/>
      <c r="E136" s="208"/>
      <c r="F136" s="178"/>
      <c r="G136" s="208"/>
      <c r="H136" s="208"/>
      <c r="I136" s="178"/>
    </row>
    <row r="137" spans="4:9" ht="15.75" customHeight="1" x14ac:dyDescent="0.25">
      <c r="D137" s="208"/>
      <c r="E137" s="208"/>
      <c r="F137" s="178"/>
      <c r="G137" s="208"/>
      <c r="H137" s="208"/>
      <c r="I137" s="178"/>
    </row>
    <row r="138" spans="4:9" ht="15.75" customHeight="1" x14ac:dyDescent="0.25">
      <c r="D138" s="208"/>
      <c r="E138" s="208"/>
      <c r="F138" s="178"/>
      <c r="G138" s="208"/>
      <c r="H138" s="208"/>
      <c r="I138" s="178"/>
    </row>
    <row r="139" spans="4:9" ht="15.75" customHeight="1" x14ac:dyDescent="0.25">
      <c r="D139" s="208"/>
      <c r="E139" s="208"/>
      <c r="F139" s="178"/>
      <c r="G139" s="208"/>
      <c r="H139" s="208"/>
      <c r="I139" s="178"/>
    </row>
    <row r="140" spans="4:9" ht="15.75" customHeight="1" x14ac:dyDescent="0.25">
      <c r="D140" s="208"/>
      <c r="E140" s="208"/>
      <c r="F140" s="178"/>
      <c r="G140" s="208"/>
      <c r="H140" s="208"/>
      <c r="I140" s="178"/>
    </row>
    <row r="141" spans="4:9" ht="15.75" customHeight="1" x14ac:dyDescent="0.25">
      <c r="D141" s="208"/>
      <c r="E141" s="208"/>
      <c r="F141" s="178"/>
      <c r="G141" s="208"/>
      <c r="H141" s="208"/>
      <c r="I141" s="178"/>
    </row>
    <row r="142" spans="4:9" ht="15.75" customHeight="1" x14ac:dyDescent="0.25">
      <c r="D142" s="208"/>
      <c r="E142" s="208"/>
      <c r="F142" s="178"/>
      <c r="G142" s="208"/>
      <c r="H142" s="208"/>
      <c r="I142" s="178"/>
    </row>
    <row r="143" spans="4:9" ht="15.75" customHeight="1" x14ac:dyDescent="0.25">
      <c r="D143" s="208"/>
      <c r="E143" s="208"/>
      <c r="F143" s="178"/>
      <c r="G143" s="208"/>
      <c r="H143" s="208"/>
      <c r="I143" s="178"/>
    </row>
    <row r="144" spans="4:9" ht="15.75" customHeight="1" x14ac:dyDescent="0.25">
      <c r="D144" s="208"/>
      <c r="E144" s="208"/>
      <c r="F144" s="178"/>
      <c r="G144" s="208"/>
      <c r="H144" s="208"/>
      <c r="I144" s="178"/>
    </row>
    <row r="145" spans="4:9" ht="15.75" customHeight="1" x14ac:dyDescent="0.25">
      <c r="D145" s="208"/>
      <c r="E145" s="208"/>
      <c r="F145" s="178"/>
      <c r="G145" s="208"/>
      <c r="H145" s="208"/>
      <c r="I145" s="178"/>
    </row>
    <row r="146" spans="4:9" ht="15.75" customHeight="1" x14ac:dyDescent="0.25">
      <c r="D146" s="208"/>
      <c r="E146" s="208"/>
      <c r="F146" s="178"/>
      <c r="G146" s="208"/>
      <c r="H146" s="208"/>
      <c r="I146" s="178"/>
    </row>
    <row r="147" spans="4:9" ht="15.75" customHeight="1" x14ac:dyDescent="0.25">
      <c r="D147" s="208"/>
      <c r="E147" s="208"/>
      <c r="F147" s="178"/>
      <c r="G147" s="208"/>
      <c r="H147" s="208"/>
      <c r="I147" s="178"/>
    </row>
    <row r="148" spans="4:9" ht="15.75" customHeight="1" x14ac:dyDescent="0.25">
      <c r="D148" s="208"/>
      <c r="E148" s="208"/>
      <c r="F148" s="178"/>
      <c r="G148" s="208"/>
      <c r="H148" s="208"/>
      <c r="I148" s="178"/>
    </row>
    <row r="149" spans="4:9" ht="15.75" customHeight="1" x14ac:dyDescent="0.25">
      <c r="D149" s="208"/>
      <c r="E149" s="208"/>
      <c r="F149" s="178"/>
      <c r="G149" s="208"/>
      <c r="H149" s="208"/>
      <c r="I149" s="178"/>
    </row>
    <row r="150" spans="4:9" ht="15.75" customHeight="1" x14ac:dyDescent="0.25">
      <c r="D150" s="208"/>
      <c r="E150" s="208"/>
      <c r="F150" s="178"/>
      <c r="G150" s="208"/>
      <c r="H150" s="208"/>
      <c r="I150" s="178"/>
    </row>
    <row r="151" spans="4:9" ht="15.75" customHeight="1" x14ac:dyDescent="0.25">
      <c r="D151" s="208"/>
      <c r="E151" s="208"/>
      <c r="F151" s="178"/>
      <c r="G151" s="208"/>
      <c r="H151" s="208"/>
      <c r="I151" s="178"/>
    </row>
    <row r="152" spans="4:9" ht="15.75" customHeight="1" x14ac:dyDescent="0.25">
      <c r="D152" s="208"/>
      <c r="E152" s="208"/>
      <c r="F152" s="178"/>
      <c r="G152" s="208"/>
      <c r="H152" s="208"/>
      <c r="I152" s="178"/>
    </row>
    <row r="153" spans="4:9" ht="15.75" customHeight="1" x14ac:dyDescent="0.25">
      <c r="D153" s="208"/>
      <c r="E153" s="208"/>
      <c r="F153" s="178"/>
      <c r="G153" s="208"/>
      <c r="H153" s="208"/>
      <c r="I153" s="178"/>
    </row>
    <row r="154" spans="4:9" ht="15.75" customHeight="1" x14ac:dyDescent="0.25">
      <c r="D154" s="208"/>
      <c r="E154" s="208"/>
      <c r="F154" s="178"/>
      <c r="G154" s="208"/>
      <c r="H154" s="208"/>
      <c r="I154" s="178"/>
    </row>
    <row r="155" spans="4:9" ht="15.75" customHeight="1" x14ac:dyDescent="0.25">
      <c r="D155" s="208"/>
      <c r="E155" s="208"/>
      <c r="F155" s="178"/>
      <c r="G155" s="208"/>
      <c r="H155" s="208"/>
      <c r="I155" s="178"/>
    </row>
    <row r="156" spans="4:9" ht="15.75" customHeight="1" x14ac:dyDescent="0.25">
      <c r="D156" s="208"/>
      <c r="E156" s="208"/>
      <c r="F156" s="178"/>
      <c r="G156" s="208"/>
      <c r="H156" s="208"/>
      <c r="I156" s="178"/>
    </row>
    <row r="157" spans="4:9" ht="15.75" customHeight="1" x14ac:dyDescent="0.25">
      <c r="D157" s="208"/>
      <c r="E157" s="208"/>
      <c r="F157" s="178"/>
      <c r="G157" s="208"/>
      <c r="H157" s="208"/>
      <c r="I157" s="178"/>
    </row>
    <row r="158" spans="4:9" ht="15.75" customHeight="1" x14ac:dyDescent="0.25">
      <c r="D158" s="208"/>
      <c r="E158" s="208"/>
      <c r="F158" s="178"/>
      <c r="G158" s="208"/>
      <c r="H158" s="208"/>
      <c r="I158" s="178"/>
    </row>
    <row r="159" spans="4:9" ht="15.75" customHeight="1" x14ac:dyDescent="0.25">
      <c r="D159" s="208"/>
      <c r="E159" s="208"/>
      <c r="F159" s="178"/>
      <c r="G159" s="208"/>
      <c r="H159" s="208"/>
      <c r="I159" s="178"/>
    </row>
    <row r="160" spans="4:9" ht="15.75" customHeight="1" x14ac:dyDescent="0.25">
      <c r="D160" s="208"/>
      <c r="E160" s="208"/>
      <c r="F160" s="178"/>
      <c r="G160" s="208"/>
      <c r="H160" s="208"/>
      <c r="I160" s="178"/>
    </row>
    <row r="161" spans="4:9" ht="15.75" customHeight="1" x14ac:dyDescent="0.25">
      <c r="D161" s="208"/>
      <c r="E161" s="208"/>
      <c r="F161" s="178"/>
      <c r="G161" s="208"/>
      <c r="H161" s="208"/>
      <c r="I161" s="178"/>
    </row>
    <row r="162" spans="4:9" ht="15.75" customHeight="1" x14ac:dyDescent="0.25">
      <c r="D162" s="208"/>
      <c r="E162" s="208"/>
      <c r="F162" s="178"/>
      <c r="G162" s="208"/>
      <c r="H162" s="208"/>
      <c r="I162" s="178"/>
    </row>
    <row r="163" spans="4:9" ht="15.75" customHeight="1" x14ac:dyDescent="0.25">
      <c r="D163" s="208"/>
      <c r="E163" s="208"/>
      <c r="F163" s="178"/>
      <c r="G163" s="208"/>
      <c r="H163" s="208"/>
      <c r="I163" s="178"/>
    </row>
    <row r="164" spans="4:9" ht="15.75" customHeight="1" x14ac:dyDescent="0.25">
      <c r="D164" s="208"/>
      <c r="E164" s="208"/>
      <c r="F164" s="178"/>
      <c r="G164" s="208"/>
      <c r="H164" s="208"/>
      <c r="I164" s="178"/>
    </row>
    <row r="165" spans="4:9" ht="15.75" customHeight="1" x14ac:dyDescent="0.25">
      <c r="D165" s="208"/>
      <c r="E165" s="208"/>
      <c r="F165" s="178"/>
      <c r="G165" s="208"/>
      <c r="H165" s="208"/>
      <c r="I165" s="178"/>
    </row>
    <row r="166" spans="4:9" ht="15.75" customHeight="1" x14ac:dyDescent="0.25">
      <c r="D166" s="208"/>
      <c r="E166" s="208"/>
      <c r="F166" s="178"/>
      <c r="G166" s="208"/>
      <c r="H166" s="208"/>
      <c r="I166" s="178"/>
    </row>
    <row r="167" spans="4:9" ht="15.75" customHeight="1" x14ac:dyDescent="0.25">
      <c r="D167" s="208"/>
      <c r="E167" s="208"/>
      <c r="F167" s="178"/>
      <c r="G167" s="208"/>
      <c r="H167" s="208"/>
      <c r="I167" s="178"/>
    </row>
    <row r="168" spans="4:9" ht="15.75" customHeight="1" x14ac:dyDescent="0.25">
      <c r="D168" s="208"/>
      <c r="E168" s="208"/>
      <c r="F168" s="178"/>
      <c r="G168" s="208"/>
      <c r="H168" s="208"/>
      <c r="I168" s="178"/>
    </row>
    <row r="169" spans="4:9" ht="15.75" customHeight="1" x14ac:dyDescent="0.25">
      <c r="D169" s="208"/>
      <c r="E169" s="208"/>
      <c r="F169" s="178"/>
      <c r="G169" s="208"/>
      <c r="H169" s="208"/>
      <c r="I169" s="178"/>
    </row>
    <row r="170" spans="4:9" ht="15.75" customHeight="1" x14ac:dyDescent="0.25">
      <c r="D170" s="208"/>
      <c r="E170" s="208"/>
      <c r="F170" s="178"/>
      <c r="G170" s="208"/>
      <c r="H170" s="208"/>
      <c r="I170" s="178"/>
    </row>
    <row r="171" spans="4:9" ht="15.75" customHeight="1" x14ac:dyDescent="0.25">
      <c r="D171" s="208"/>
      <c r="E171" s="208"/>
      <c r="F171" s="178"/>
      <c r="G171" s="208"/>
      <c r="H171" s="208"/>
      <c r="I171" s="178"/>
    </row>
    <row r="172" spans="4:9" ht="15.75" customHeight="1" x14ac:dyDescent="0.25">
      <c r="D172" s="208"/>
      <c r="E172" s="208"/>
      <c r="F172" s="178"/>
      <c r="G172" s="208"/>
      <c r="H172" s="208"/>
      <c r="I172" s="178"/>
    </row>
    <row r="173" spans="4:9" ht="15.75" customHeight="1" x14ac:dyDescent="0.25">
      <c r="D173" s="208"/>
      <c r="E173" s="208"/>
      <c r="F173" s="178"/>
      <c r="G173" s="208"/>
      <c r="H173" s="208"/>
      <c r="I173" s="178"/>
    </row>
    <row r="174" spans="4:9" ht="15.75" customHeight="1" x14ac:dyDescent="0.25">
      <c r="D174" s="208"/>
      <c r="E174" s="208"/>
      <c r="F174" s="178"/>
      <c r="G174" s="208"/>
      <c r="H174" s="208"/>
      <c r="I174" s="178"/>
    </row>
    <row r="175" spans="4:9" ht="15.75" customHeight="1" x14ac:dyDescent="0.25">
      <c r="D175" s="208"/>
      <c r="E175" s="208"/>
      <c r="F175" s="178"/>
      <c r="G175" s="208"/>
      <c r="H175" s="208"/>
      <c r="I175" s="178"/>
    </row>
    <row r="176" spans="4:9" ht="15.75" customHeight="1" x14ac:dyDescent="0.25">
      <c r="D176" s="208"/>
      <c r="E176" s="208"/>
      <c r="F176" s="178"/>
      <c r="G176" s="208"/>
      <c r="H176" s="208"/>
      <c r="I176" s="178"/>
    </row>
    <row r="177" spans="4:9" ht="15.75" customHeight="1" x14ac:dyDescent="0.25">
      <c r="D177" s="208"/>
      <c r="E177" s="208"/>
      <c r="F177" s="178"/>
      <c r="G177" s="208"/>
      <c r="H177" s="208"/>
      <c r="I177" s="178"/>
    </row>
    <row r="178" spans="4:9" ht="15.75" customHeight="1" x14ac:dyDescent="0.25">
      <c r="D178" s="208"/>
      <c r="E178" s="208"/>
      <c r="F178" s="178"/>
      <c r="G178" s="208"/>
      <c r="H178" s="208"/>
      <c r="I178" s="178"/>
    </row>
    <row r="179" spans="4:9" ht="15.75" customHeight="1" x14ac:dyDescent="0.25">
      <c r="D179" s="208"/>
      <c r="E179" s="208"/>
      <c r="F179" s="178"/>
      <c r="G179" s="208"/>
      <c r="H179" s="208"/>
      <c r="I179" s="178"/>
    </row>
    <row r="180" spans="4:9" ht="15.75" customHeight="1" x14ac:dyDescent="0.25">
      <c r="D180" s="208"/>
      <c r="E180" s="208"/>
      <c r="F180" s="178"/>
      <c r="G180" s="208"/>
      <c r="H180" s="208"/>
      <c r="I180" s="178"/>
    </row>
    <row r="181" spans="4:9" ht="15.75" customHeight="1" x14ac:dyDescent="0.25">
      <c r="D181" s="208"/>
      <c r="E181" s="208"/>
      <c r="F181" s="178"/>
      <c r="G181" s="208"/>
      <c r="H181" s="208"/>
      <c r="I181" s="178"/>
    </row>
    <row r="182" spans="4:9" ht="15.75" customHeight="1" x14ac:dyDescent="0.25">
      <c r="D182" s="208"/>
      <c r="E182" s="208"/>
      <c r="F182" s="178"/>
      <c r="G182" s="208"/>
      <c r="H182" s="208"/>
      <c r="I182" s="178"/>
    </row>
    <row r="183" spans="4:9" ht="15.75" customHeight="1" x14ac:dyDescent="0.25">
      <c r="D183" s="208"/>
      <c r="E183" s="208"/>
      <c r="F183" s="178"/>
      <c r="G183" s="208"/>
      <c r="H183" s="208"/>
      <c r="I183" s="178"/>
    </row>
    <row r="184" spans="4:9" ht="15.75" customHeight="1" x14ac:dyDescent="0.25">
      <c r="D184" s="208"/>
      <c r="E184" s="208"/>
      <c r="F184" s="178"/>
      <c r="G184" s="208"/>
      <c r="H184" s="208"/>
      <c r="I184" s="178"/>
    </row>
    <row r="185" spans="4:9" ht="15.75" customHeight="1" x14ac:dyDescent="0.25">
      <c r="D185" s="208"/>
      <c r="E185" s="208"/>
      <c r="F185" s="178"/>
      <c r="G185" s="208"/>
      <c r="H185" s="208"/>
      <c r="I185" s="178"/>
    </row>
    <row r="186" spans="4:9" ht="15.75" customHeight="1" x14ac:dyDescent="0.25">
      <c r="D186" s="208"/>
      <c r="E186" s="208"/>
      <c r="F186" s="178"/>
      <c r="G186" s="208"/>
      <c r="H186" s="208"/>
      <c r="I186" s="178"/>
    </row>
    <row r="187" spans="4:9" ht="15.75" customHeight="1" x14ac:dyDescent="0.25">
      <c r="D187" s="208"/>
      <c r="E187" s="208"/>
      <c r="F187" s="178"/>
      <c r="G187" s="208"/>
      <c r="H187" s="208"/>
      <c r="I187" s="178"/>
    </row>
    <row r="188" spans="4:9" ht="15.75" customHeight="1" x14ac:dyDescent="0.25">
      <c r="D188" s="208"/>
      <c r="E188" s="208"/>
      <c r="F188" s="178"/>
      <c r="G188" s="208"/>
      <c r="H188" s="208"/>
      <c r="I188" s="178"/>
    </row>
    <row r="189" spans="4:9" ht="15.75" customHeight="1" x14ac:dyDescent="0.25">
      <c r="D189" s="208"/>
      <c r="E189" s="208"/>
      <c r="F189" s="178"/>
      <c r="G189" s="208"/>
      <c r="H189" s="208"/>
      <c r="I189" s="178"/>
    </row>
    <row r="190" spans="4:9" ht="15.75" customHeight="1" x14ac:dyDescent="0.25">
      <c r="D190" s="208"/>
      <c r="E190" s="208"/>
      <c r="F190" s="178"/>
      <c r="G190" s="208"/>
      <c r="H190" s="208"/>
      <c r="I190" s="178"/>
    </row>
    <row r="191" spans="4:9" ht="15.75" customHeight="1" x14ac:dyDescent="0.25">
      <c r="D191" s="208"/>
      <c r="E191" s="208"/>
      <c r="F191" s="178"/>
      <c r="G191" s="208"/>
      <c r="H191" s="208"/>
      <c r="I191" s="178"/>
    </row>
    <row r="192" spans="4:9" ht="15.75" customHeight="1" x14ac:dyDescent="0.25">
      <c r="D192" s="208"/>
      <c r="E192" s="208"/>
      <c r="F192" s="178"/>
      <c r="G192" s="208"/>
      <c r="H192" s="208"/>
      <c r="I192" s="178"/>
    </row>
    <row r="193" spans="4:9" ht="15.75" customHeight="1" x14ac:dyDescent="0.25">
      <c r="D193" s="208"/>
      <c r="E193" s="208"/>
      <c r="F193" s="178"/>
      <c r="G193" s="208"/>
      <c r="H193" s="208"/>
      <c r="I193" s="178"/>
    </row>
    <row r="194" spans="4:9" ht="15.75" customHeight="1" x14ac:dyDescent="0.25">
      <c r="D194" s="208"/>
      <c r="E194" s="208"/>
      <c r="F194" s="178"/>
      <c r="G194" s="208"/>
      <c r="H194" s="208"/>
      <c r="I194" s="178"/>
    </row>
    <row r="195" spans="4:9" ht="15.75" customHeight="1" x14ac:dyDescent="0.25">
      <c r="D195" s="208"/>
      <c r="E195" s="208"/>
      <c r="F195" s="178"/>
      <c r="G195" s="208"/>
      <c r="H195" s="208"/>
      <c r="I195" s="178"/>
    </row>
    <row r="196" spans="4:9" ht="15.75" customHeight="1" x14ac:dyDescent="0.25">
      <c r="D196" s="208"/>
      <c r="E196" s="208"/>
      <c r="F196" s="178"/>
      <c r="G196" s="208"/>
      <c r="H196" s="208"/>
      <c r="I196" s="178"/>
    </row>
    <row r="197" spans="4:9" ht="15.75" customHeight="1" x14ac:dyDescent="0.25">
      <c r="D197" s="208"/>
      <c r="E197" s="208"/>
      <c r="F197" s="178"/>
      <c r="G197" s="208"/>
      <c r="H197" s="208"/>
      <c r="I197" s="178"/>
    </row>
    <row r="198" spans="4:9" ht="15.75" customHeight="1" x14ac:dyDescent="0.25">
      <c r="D198" s="208"/>
      <c r="E198" s="208"/>
      <c r="F198" s="178"/>
      <c r="G198" s="208"/>
      <c r="H198" s="208"/>
      <c r="I198" s="178"/>
    </row>
    <row r="199" spans="4:9" ht="15.75" customHeight="1" x14ac:dyDescent="0.25">
      <c r="D199" s="208"/>
      <c r="E199" s="208"/>
      <c r="F199" s="178"/>
      <c r="G199" s="208"/>
      <c r="H199" s="208"/>
      <c r="I199" s="178"/>
    </row>
    <row r="200" spans="4:9" ht="15.75" customHeight="1" x14ac:dyDescent="0.25">
      <c r="D200" s="208"/>
      <c r="E200" s="208"/>
      <c r="F200" s="178"/>
      <c r="G200" s="208"/>
      <c r="H200" s="208"/>
      <c r="I200" s="178"/>
    </row>
    <row r="201" spans="4:9" ht="15.75" customHeight="1" x14ac:dyDescent="0.25">
      <c r="D201" s="208"/>
      <c r="E201" s="208"/>
      <c r="F201" s="178"/>
      <c r="G201" s="208"/>
      <c r="H201" s="208"/>
      <c r="I201" s="178"/>
    </row>
    <row r="202" spans="4:9" ht="15.75" customHeight="1" x14ac:dyDescent="0.25">
      <c r="D202" s="208"/>
      <c r="E202" s="208"/>
      <c r="F202" s="178"/>
      <c r="G202" s="208"/>
      <c r="H202" s="208"/>
      <c r="I202" s="178"/>
    </row>
    <row r="203" spans="4:9" ht="15.75" customHeight="1" x14ac:dyDescent="0.25">
      <c r="D203" s="208"/>
      <c r="E203" s="208"/>
      <c r="F203" s="178"/>
      <c r="G203" s="208"/>
      <c r="H203" s="208"/>
      <c r="I203" s="178"/>
    </row>
    <row r="204" spans="4:9" ht="15.75" customHeight="1" x14ac:dyDescent="0.25">
      <c r="D204" s="208"/>
      <c r="E204" s="208"/>
      <c r="F204" s="178"/>
      <c r="G204" s="208"/>
      <c r="H204" s="208"/>
      <c r="I204" s="178"/>
    </row>
    <row r="205" spans="4:9" ht="15.75" customHeight="1" x14ac:dyDescent="0.25">
      <c r="D205" s="208"/>
      <c r="E205" s="208"/>
      <c r="F205" s="178"/>
      <c r="G205" s="208"/>
      <c r="H205" s="208"/>
      <c r="I205" s="178"/>
    </row>
    <row r="206" spans="4:9" ht="15.75" customHeight="1" x14ac:dyDescent="0.25">
      <c r="D206" s="208"/>
      <c r="E206" s="208"/>
      <c r="F206" s="178"/>
      <c r="G206" s="208"/>
      <c r="H206" s="208"/>
      <c r="I206" s="178"/>
    </row>
    <row r="207" spans="4:9" ht="15.75" customHeight="1" x14ac:dyDescent="0.25">
      <c r="D207" s="208"/>
      <c r="E207" s="208"/>
      <c r="F207" s="178"/>
      <c r="G207" s="208"/>
      <c r="H207" s="208"/>
      <c r="I207" s="178"/>
    </row>
    <row r="208" spans="4:9" ht="15.75" customHeight="1" x14ac:dyDescent="0.25">
      <c r="D208" s="208"/>
      <c r="E208" s="208"/>
      <c r="F208" s="178"/>
      <c r="G208" s="208"/>
      <c r="H208" s="208"/>
      <c r="I208" s="178"/>
    </row>
    <row r="209" spans="4:9" ht="15.75" customHeight="1" x14ac:dyDescent="0.25">
      <c r="D209" s="208"/>
      <c r="E209" s="208"/>
      <c r="F209" s="178"/>
      <c r="G209" s="208"/>
      <c r="H209" s="208"/>
      <c r="I209" s="178"/>
    </row>
    <row r="210" spans="4:9" ht="15.75" customHeight="1" x14ac:dyDescent="0.25">
      <c r="D210" s="208"/>
      <c r="E210" s="208"/>
      <c r="F210" s="178"/>
      <c r="G210" s="208"/>
      <c r="H210" s="208"/>
      <c r="I210" s="178"/>
    </row>
    <row r="211" spans="4:9" ht="15.75" customHeight="1" x14ac:dyDescent="0.25">
      <c r="D211" s="208"/>
      <c r="E211" s="208"/>
      <c r="F211" s="178"/>
      <c r="G211" s="208"/>
      <c r="H211" s="208"/>
      <c r="I211" s="178"/>
    </row>
    <row r="212" spans="4:9" ht="15.75" customHeight="1" x14ac:dyDescent="0.25">
      <c r="D212" s="208"/>
      <c r="E212" s="208"/>
      <c r="F212" s="178"/>
      <c r="G212" s="208"/>
      <c r="H212" s="208"/>
      <c r="I212" s="178"/>
    </row>
    <row r="213" spans="4:9" ht="15.75" customHeight="1" x14ac:dyDescent="0.25">
      <c r="D213" s="208"/>
      <c r="E213" s="208"/>
      <c r="F213" s="178"/>
      <c r="G213" s="208"/>
      <c r="H213" s="208"/>
      <c r="I213" s="178"/>
    </row>
    <row r="214" spans="4:9" ht="15.75" customHeight="1" x14ac:dyDescent="0.25">
      <c r="D214" s="208"/>
      <c r="E214" s="208"/>
      <c r="F214" s="178"/>
      <c r="G214" s="208"/>
      <c r="H214" s="208"/>
      <c r="I214" s="178"/>
    </row>
    <row r="215" spans="4:9" ht="15.75" customHeight="1" x14ac:dyDescent="0.25">
      <c r="D215" s="208"/>
      <c r="E215" s="208"/>
      <c r="F215" s="178"/>
      <c r="G215" s="208"/>
      <c r="H215" s="208"/>
      <c r="I215" s="178"/>
    </row>
    <row r="216" spans="4:9" ht="15.75" customHeight="1" x14ac:dyDescent="0.25">
      <c r="D216" s="208"/>
      <c r="E216" s="208"/>
      <c r="F216" s="178"/>
      <c r="G216" s="208"/>
      <c r="H216" s="208"/>
      <c r="I216" s="178"/>
    </row>
    <row r="217" spans="4:9" ht="15.75" customHeight="1" x14ac:dyDescent="0.25">
      <c r="D217" s="208"/>
      <c r="E217" s="208"/>
      <c r="F217" s="178"/>
      <c r="G217" s="208"/>
      <c r="H217" s="208"/>
      <c r="I217" s="178"/>
    </row>
    <row r="218" spans="4:9" ht="15.75" customHeight="1" x14ac:dyDescent="0.25">
      <c r="D218" s="208"/>
      <c r="E218" s="208"/>
      <c r="F218" s="178"/>
      <c r="G218" s="208"/>
      <c r="H218" s="208"/>
      <c r="I218" s="178"/>
    </row>
    <row r="219" spans="4:9" ht="15.75" customHeight="1" x14ac:dyDescent="0.25">
      <c r="D219" s="208"/>
      <c r="E219" s="208"/>
      <c r="F219" s="178"/>
      <c r="G219" s="208"/>
      <c r="H219" s="208"/>
      <c r="I219" s="178"/>
    </row>
    <row r="220" spans="4:9" ht="15.75" customHeight="1" x14ac:dyDescent="0.25">
      <c r="D220" s="208"/>
      <c r="E220" s="208"/>
      <c r="F220" s="178"/>
      <c r="G220" s="208"/>
      <c r="H220" s="208"/>
      <c r="I220" s="178"/>
    </row>
    <row r="221" spans="4:9" ht="15.75" customHeight="1" x14ac:dyDescent="0.25">
      <c r="D221" s="208"/>
      <c r="E221" s="208"/>
      <c r="F221" s="178"/>
      <c r="G221" s="208"/>
      <c r="H221" s="208"/>
      <c r="I221" s="178"/>
    </row>
    <row r="222" spans="4:9" ht="15.75" customHeight="1" x14ac:dyDescent="0.25">
      <c r="D222" s="208"/>
      <c r="E222" s="208"/>
      <c r="F222" s="178"/>
      <c r="G222" s="208"/>
      <c r="H222" s="208"/>
      <c r="I222" s="178"/>
    </row>
    <row r="223" spans="4:9" ht="15.75" customHeight="1" x14ac:dyDescent="0.25">
      <c r="D223" s="208"/>
      <c r="E223" s="208"/>
      <c r="F223" s="178"/>
      <c r="G223" s="208"/>
      <c r="H223" s="208"/>
      <c r="I223" s="178"/>
    </row>
    <row r="224" spans="4:9" ht="15.75" customHeight="1" x14ac:dyDescent="0.25">
      <c r="D224" s="208"/>
      <c r="E224" s="208"/>
      <c r="F224" s="178"/>
      <c r="G224" s="208"/>
      <c r="H224" s="208"/>
      <c r="I224" s="178"/>
    </row>
    <row r="225" spans="4:9" ht="15.75" customHeight="1" x14ac:dyDescent="0.25">
      <c r="D225" s="208"/>
      <c r="E225" s="208"/>
      <c r="F225" s="178"/>
      <c r="G225" s="208"/>
      <c r="H225" s="208"/>
      <c r="I225" s="178"/>
    </row>
    <row r="226" spans="4:9" ht="15.75" customHeight="1" x14ac:dyDescent="0.25">
      <c r="D226" s="208"/>
      <c r="E226" s="208"/>
      <c r="F226" s="178"/>
      <c r="G226" s="208"/>
      <c r="H226" s="208"/>
      <c r="I226" s="178"/>
    </row>
    <row r="227" spans="4:9" ht="15.75" customHeight="1" x14ac:dyDescent="0.25">
      <c r="D227" s="208"/>
      <c r="E227" s="208"/>
      <c r="F227" s="178"/>
      <c r="G227" s="208"/>
      <c r="H227" s="208"/>
      <c r="I227" s="178"/>
    </row>
    <row r="228" spans="4:9" ht="15.75" customHeight="1" x14ac:dyDescent="0.25">
      <c r="D228" s="208"/>
      <c r="E228" s="208"/>
      <c r="F228" s="178"/>
      <c r="G228" s="208"/>
      <c r="H228" s="208"/>
      <c r="I228" s="178"/>
    </row>
    <row r="229" spans="4:9" ht="15.75" customHeight="1" x14ac:dyDescent="0.25">
      <c r="D229" s="208"/>
      <c r="E229" s="208"/>
      <c r="F229" s="178"/>
      <c r="G229" s="208"/>
      <c r="H229" s="208"/>
      <c r="I229" s="178"/>
    </row>
    <row r="230" spans="4:9" ht="15.75" customHeight="1" x14ac:dyDescent="0.25">
      <c r="D230" s="208"/>
      <c r="E230" s="208"/>
      <c r="F230" s="178"/>
      <c r="G230" s="208"/>
      <c r="H230" s="208"/>
      <c r="I230" s="178"/>
    </row>
    <row r="231" spans="4:9" ht="15.75" customHeight="1" x14ac:dyDescent="0.25">
      <c r="D231" s="208"/>
      <c r="E231" s="208"/>
      <c r="F231" s="178"/>
      <c r="G231" s="208"/>
      <c r="H231" s="208"/>
      <c r="I231" s="178"/>
    </row>
    <row r="232" spans="4:9" ht="15.75" customHeight="1" x14ac:dyDescent="0.25">
      <c r="D232" s="208"/>
      <c r="E232" s="208"/>
      <c r="F232" s="178"/>
      <c r="G232" s="208"/>
      <c r="H232" s="208"/>
      <c r="I232" s="178"/>
    </row>
    <row r="233" spans="4:9" ht="15.75" customHeight="1" x14ac:dyDescent="0.25">
      <c r="D233" s="208"/>
      <c r="E233" s="208"/>
      <c r="F233" s="178"/>
      <c r="G233" s="208"/>
      <c r="H233" s="208"/>
      <c r="I233" s="178"/>
    </row>
    <row r="234" spans="4:9" ht="15.75" customHeight="1" x14ac:dyDescent="0.25">
      <c r="D234" s="208"/>
      <c r="E234" s="208"/>
      <c r="F234" s="178"/>
      <c r="G234" s="208"/>
      <c r="H234" s="208"/>
      <c r="I234" s="178"/>
    </row>
    <row r="235" spans="4:9" ht="15.75" customHeight="1" x14ac:dyDescent="0.25">
      <c r="D235" s="208"/>
      <c r="E235" s="208"/>
      <c r="F235" s="178"/>
      <c r="G235" s="208"/>
      <c r="H235" s="208"/>
      <c r="I235" s="178"/>
    </row>
    <row r="236" spans="4:9" ht="15.75" customHeight="1" x14ac:dyDescent="0.25">
      <c r="D236" s="208"/>
      <c r="E236" s="208"/>
      <c r="F236" s="178"/>
      <c r="G236" s="208"/>
      <c r="H236" s="208"/>
      <c r="I236" s="178"/>
    </row>
    <row r="237" spans="4:9" ht="15.75" customHeight="1" x14ac:dyDescent="0.25">
      <c r="D237" s="208"/>
      <c r="E237" s="208"/>
      <c r="F237" s="178"/>
      <c r="G237" s="208"/>
      <c r="H237" s="208"/>
      <c r="I237" s="178"/>
    </row>
    <row r="238" spans="4:9" ht="15.75" customHeight="1" x14ac:dyDescent="0.25">
      <c r="D238" s="208"/>
      <c r="E238" s="208"/>
      <c r="F238" s="178"/>
      <c r="G238" s="208"/>
      <c r="H238" s="208"/>
      <c r="I238" s="178"/>
    </row>
    <row r="239" spans="4:9" ht="15.75" customHeight="1" x14ac:dyDescent="0.25">
      <c r="D239" s="208"/>
      <c r="E239" s="208"/>
      <c r="F239" s="178"/>
      <c r="G239" s="208"/>
      <c r="H239" s="208"/>
      <c r="I239" s="178"/>
    </row>
    <row r="240" spans="4:9" ht="15.75" customHeight="1" x14ac:dyDescent="0.25">
      <c r="D240" s="208"/>
      <c r="E240" s="208"/>
      <c r="F240" s="178"/>
      <c r="G240" s="208"/>
      <c r="H240" s="208"/>
      <c r="I240" s="178"/>
    </row>
    <row r="241" spans="4:9" ht="15.75" customHeight="1" x14ac:dyDescent="0.25">
      <c r="D241" s="208"/>
      <c r="E241" s="208"/>
      <c r="F241" s="178"/>
      <c r="G241" s="208"/>
      <c r="H241" s="208"/>
      <c r="I241" s="178"/>
    </row>
    <row r="242" spans="4:9" ht="15.75" customHeight="1" x14ac:dyDescent="0.25">
      <c r="D242" s="208"/>
      <c r="E242" s="208"/>
      <c r="F242" s="178"/>
      <c r="G242" s="208"/>
      <c r="H242" s="208"/>
      <c r="I242" s="178"/>
    </row>
    <row r="243" spans="4:9" ht="15.75" customHeight="1" x14ac:dyDescent="0.25">
      <c r="D243" s="208"/>
      <c r="E243" s="208"/>
      <c r="F243" s="178"/>
      <c r="G243" s="208"/>
      <c r="H243" s="208"/>
      <c r="I243" s="178"/>
    </row>
    <row r="244" spans="4:9" ht="15.75" customHeight="1" x14ac:dyDescent="0.25">
      <c r="D244" s="208"/>
      <c r="E244" s="208"/>
      <c r="F244" s="178"/>
      <c r="G244" s="208"/>
      <c r="H244" s="208"/>
      <c r="I244" s="178"/>
    </row>
    <row r="245" spans="4:9" ht="15.75" customHeight="1" x14ac:dyDescent="0.25">
      <c r="D245" s="208"/>
      <c r="E245" s="208"/>
      <c r="F245" s="178"/>
      <c r="G245" s="208"/>
      <c r="H245" s="208"/>
      <c r="I245" s="178"/>
    </row>
    <row r="246" spans="4:9" ht="15.75" customHeight="1" x14ac:dyDescent="0.25">
      <c r="D246" s="208"/>
      <c r="E246" s="208"/>
      <c r="F246" s="178"/>
      <c r="G246" s="208"/>
      <c r="H246" s="208"/>
      <c r="I246" s="178"/>
    </row>
    <row r="247" spans="4:9" ht="15.75" customHeight="1" x14ac:dyDescent="0.25">
      <c r="D247" s="208"/>
      <c r="E247" s="208"/>
      <c r="F247" s="178"/>
      <c r="G247" s="208"/>
      <c r="H247" s="208"/>
      <c r="I247" s="178"/>
    </row>
    <row r="248" spans="4:9" ht="15.75" customHeight="1" x14ac:dyDescent="0.25">
      <c r="D248" s="208"/>
      <c r="E248" s="208"/>
      <c r="F248" s="178"/>
      <c r="G248" s="208"/>
      <c r="H248" s="208"/>
      <c r="I248" s="178"/>
    </row>
    <row r="249" spans="4:9" ht="15.75" customHeight="1" x14ac:dyDescent="0.25">
      <c r="D249" s="208"/>
      <c r="E249" s="208"/>
      <c r="F249" s="178"/>
      <c r="G249" s="208"/>
      <c r="H249" s="208"/>
      <c r="I249" s="178"/>
    </row>
    <row r="250" spans="4:9" ht="15.75" customHeight="1" x14ac:dyDescent="0.25">
      <c r="D250" s="208"/>
      <c r="E250" s="208"/>
      <c r="F250" s="178"/>
      <c r="G250" s="208"/>
      <c r="H250" s="208"/>
      <c r="I250" s="178"/>
    </row>
    <row r="251" spans="4:9" ht="15.75" customHeight="1" x14ac:dyDescent="0.25">
      <c r="D251" s="208"/>
      <c r="E251" s="208"/>
      <c r="F251" s="178"/>
      <c r="G251" s="208"/>
      <c r="H251" s="208"/>
      <c r="I251" s="178"/>
    </row>
    <row r="252" spans="4:9" ht="15.75" customHeight="1" x14ac:dyDescent="0.25">
      <c r="D252" s="208"/>
      <c r="E252" s="208"/>
      <c r="F252" s="178"/>
      <c r="G252" s="208"/>
      <c r="H252" s="208"/>
      <c r="I252" s="178"/>
    </row>
    <row r="253" spans="4:9" ht="15.75" customHeight="1" x14ac:dyDescent="0.25">
      <c r="D253" s="208"/>
      <c r="E253" s="208"/>
      <c r="F253" s="178"/>
      <c r="G253" s="208"/>
      <c r="H253" s="208"/>
      <c r="I253" s="178"/>
    </row>
    <row r="254" spans="4:9" ht="15.75" customHeight="1" x14ac:dyDescent="0.25">
      <c r="D254" s="208"/>
      <c r="E254" s="208"/>
      <c r="F254" s="178"/>
      <c r="G254" s="208"/>
      <c r="H254" s="208"/>
      <c r="I254" s="178"/>
    </row>
    <row r="255" spans="4:9" ht="15.75" customHeight="1" x14ac:dyDescent="0.25">
      <c r="D255" s="208"/>
      <c r="E255" s="208"/>
      <c r="F255" s="178"/>
      <c r="G255" s="208"/>
      <c r="H255" s="208"/>
      <c r="I255" s="178"/>
    </row>
    <row r="256" spans="4:9" ht="15.75" customHeight="1" x14ac:dyDescent="0.25">
      <c r="D256" s="208"/>
      <c r="E256" s="208"/>
      <c r="F256" s="178"/>
      <c r="G256" s="208"/>
      <c r="H256" s="208"/>
      <c r="I256" s="178"/>
    </row>
    <row r="257" spans="4:9" ht="15.75" customHeight="1" x14ac:dyDescent="0.25">
      <c r="D257" s="208"/>
      <c r="E257" s="208"/>
      <c r="F257" s="178"/>
      <c r="G257" s="208"/>
      <c r="H257" s="208"/>
      <c r="I257" s="178"/>
    </row>
    <row r="258" spans="4:9" ht="15.75" customHeight="1" x14ac:dyDescent="0.25">
      <c r="D258" s="208"/>
      <c r="E258" s="208"/>
      <c r="F258" s="178"/>
      <c r="G258" s="208"/>
      <c r="H258" s="208"/>
      <c r="I258" s="178"/>
    </row>
    <row r="259" spans="4:9" ht="15.75" customHeight="1" x14ac:dyDescent="0.25">
      <c r="D259" s="208"/>
      <c r="E259" s="208"/>
      <c r="F259" s="178"/>
      <c r="G259" s="208"/>
      <c r="H259" s="208"/>
      <c r="I259" s="178"/>
    </row>
    <row r="260" spans="4:9" ht="15.75" customHeight="1" x14ac:dyDescent="0.25">
      <c r="D260" s="208"/>
      <c r="E260" s="208"/>
      <c r="F260" s="178"/>
      <c r="G260" s="208"/>
      <c r="H260" s="208"/>
      <c r="I260" s="178"/>
    </row>
    <row r="261" spans="4:9" ht="15.75" customHeight="1" x14ac:dyDescent="0.25">
      <c r="D261" s="208"/>
      <c r="E261" s="208"/>
      <c r="F261" s="178"/>
      <c r="G261" s="208"/>
      <c r="H261" s="208"/>
      <c r="I261" s="178"/>
    </row>
    <row r="262" spans="4:9" ht="15.75" customHeight="1" x14ac:dyDescent="0.25">
      <c r="D262" s="208"/>
      <c r="E262" s="208"/>
      <c r="F262" s="178"/>
      <c r="G262" s="208"/>
      <c r="H262" s="208"/>
      <c r="I262" s="178"/>
    </row>
    <row r="263" spans="4:9" ht="15.75" customHeight="1" x14ac:dyDescent="0.25">
      <c r="D263" s="208"/>
      <c r="E263" s="208"/>
      <c r="F263" s="178"/>
      <c r="G263" s="208"/>
      <c r="H263" s="208"/>
      <c r="I263" s="178"/>
    </row>
    <row r="264" spans="4:9" ht="15.75" customHeight="1" x14ac:dyDescent="0.25">
      <c r="D264" s="208"/>
      <c r="E264" s="208"/>
      <c r="F264" s="178"/>
      <c r="G264" s="208"/>
      <c r="H264" s="208"/>
      <c r="I264" s="178"/>
    </row>
    <row r="265" spans="4:9" ht="15.75" customHeight="1" x14ac:dyDescent="0.25">
      <c r="D265" s="208"/>
      <c r="E265" s="208"/>
      <c r="F265" s="178"/>
      <c r="G265" s="208"/>
      <c r="H265" s="208"/>
      <c r="I265" s="178"/>
    </row>
    <row r="266" spans="4:9" ht="15.75" customHeight="1" x14ac:dyDescent="0.25">
      <c r="D266" s="208"/>
      <c r="E266" s="208"/>
      <c r="F266" s="178"/>
      <c r="G266" s="208"/>
      <c r="H266" s="208"/>
      <c r="I266" s="178"/>
    </row>
    <row r="267" spans="4:9" ht="15.75" customHeight="1" x14ac:dyDescent="0.25">
      <c r="D267" s="208"/>
      <c r="E267" s="208"/>
      <c r="F267" s="178"/>
      <c r="G267" s="208"/>
      <c r="H267" s="208"/>
      <c r="I267" s="178"/>
    </row>
    <row r="268" spans="4:9" ht="15.75" customHeight="1" x14ac:dyDescent="0.25">
      <c r="D268" s="208"/>
      <c r="E268" s="208"/>
      <c r="F268" s="178"/>
      <c r="G268" s="208"/>
      <c r="H268" s="208"/>
      <c r="I268" s="178"/>
    </row>
    <row r="269" spans="4:9" ht="15.75" customHeight="1" x14ac:dyDescent="0.25">
      <c r="D269" s="208"/>
      <c r="E269" s="208"/>
      <c r="F269" s="178"/>
      <c r="G269" s="208"/>
      <c r="H269" s="208"/>
      <c r="I269" s="178"/>
    </row>
    <row r="270" spans="4:9" ht="15.75" customHeight="1" x14ac:dyDescent="0.25">
      <c r="D270" s="208"/>
      <c r="E270" s="208"/>
      <c r="F270" s="178"/>
      <c r="G270" s="208"/>
      <c r="H270" s="208"/>
      <c r="I270" s="178"/>
    </row>
    <row r="271" spans="4:9" ht="15.75" customHeight="1" x14ac:dyDescent="0.25">
      <c r="D271" s="208"/>
      <c r="E271" s="208"/>
      <c r="F271" s="178"/>
      <c r="G271" s="208"/>
      <c r="H271" s="208"/>
      <c r="I271" s="178"/>
    </row>
    <row r="272" spans="4:9" ht="15.75" customHeight="1" x14ac:dyDescent="0.25">
      <c r="D272" s="208"/>
      <c r="E272" s="208"/>
      <c r="F272" s="178"/>
      <c r="G272" s="208"/>
      <c r="H272" s="208"/>
      <c r="I272" s="178"/>
    </row>
    <row r="273" spans="4:9" ht="15.75" customHeight="1" x14ac:dyDescent="0.25">
      <c r="D273" s="208"/>
      <c r="E273" s="208"/>
      <c r="F273" s="178"/>
      <c r="G273" s="208"/>
      <c r="H273" s="208"/>
      <c r="I273" s="178"/>
    </row>
    <row r="274" spans="4:9" ht="15.75" customHeight="1" x14ac:dyDescent="0.25">
      <c r="D274" s="208"/>
      <c r="E274" s="208"/>
      <c r="F274" s="178"/>
      <c r="G274" s="208"/>
      <c r="H274" s="208"/>
      <c r="I274" s="178"/>
    </row>
    <row r="275" spans="4:9" ht="15.75" customHeight="1" x14ac:dyDescent="0.25">
      <c r="D275" s="208"/>
      <c r="E275" s="208"/>
      <c r="F275" s="178"/>
      <c r="G275" s="208"/>
      <c r="H275" s="208"/>
      <c r="I275" s="178"/>
    </row>
    <row r="276" spans="4:9" ht="15.75" customHeight="1" x14ac:dyDescent="0.25">
      <c r="D276" s="208"/>
      <c r="E276" s="208"/>
      <c r="F276" s="178"/>
      <c r="G276" s="208"/>
      <c r="H276" s="208"/>
      <c r="I276" s="178"/>
    </row>
    <row r="277" spans="4:9" ht="15.75" customHeight="1" x14ac:dyDescent="0.25">
      <c r="D277" s="208"/>
      <c r="E277" s="208"/>
      <c r="F277" s="178"/>
      <c r="G277" s="208"/>
      <c r="H277" s="208"/>
      <c r="I277" s="178"/>
    </row>
    <row r="278" spans="4:9" ht="15.75" customHeight="1" x14ac:dyDescent="0.25">
      <c r="D278" s="208"/>
      <c r="E278" s="208"/>
      <c r="F278" s="178"/>
      <c r="G278" s="208"/>
      <c r="H278" s="208"/>
      <c r="I278" s="178"/>
    </row>
    <row r="279" spans="4:9" ht="15.75" customHeight="1" x14ac:dyDescent="0.25">
      <c r="D279" s="208"/>
      <c r="E279" s="208"/>
      <c r="F279" s="178"/>
      <c r="G279" s="208"/>
      <c r="H279" s="208"/>
      <c r="I279" s="178"/>
    </row>
    <row r="280" spans="4:9" ht="15.75" customHeight="1" x14ac:dyDescent="0.25">
      <c r="D280" s="208"/>
      <c r="E280" s="208"/>
      <c r="F280" s="178"/>
      <c r="G280" s="208"/>
      <c r="H280" s="208"/>
      <c r="I280" s="178"/>
    </row>
    <row r="281" spans="4:9" ht="15.75" customHeight="1" x14ac:dyDescent="0.25">
      <c r="D281" s="208"/>
      <c r="E281" s="208"/>
      <c r="F281" s="178"/>
      <c r="G281" s="208"/>
      <c r="H281" s="208"/>
      <c r="I281" s="178"/>
    </row>
    <row r="282" spans="4:9" ht="15.75" customHeight="1" x14ac:dyDescent="0.25">
      <c r="D282" s="208"/>
      <c r="E282" s="208"/>
      <c r="F282" s="178"/>
      <c r="G282" s="208"/>
      <c r="H282" s="208"/>
      <c r="I282" s="178"/>
    </row>
    <row r="283" spans="4:9" ht="15.75" customHeight="1" x14ac:dyDescent="0.25">
      <c r="D283" s="208"/>
      <c r="E283" s="208"/>
      <c r="F283" s="178"/>
      <c r="G283" s="208"/>
      <c r="H283" s="208"/>
      <c r="I283" s="178"/>
    </row>
    <row r="284" spans="4:9" ht="15.75" customHeight="1" x14ac:dyDescent="0.25">
      <c r="D284" s="208"/>
      <c r="E284" s="208"/>
      <c r="F284" s="178"/>
      <c r="G284" s="208"/>
      <c r="H284" s="208"/>
      <c r="I284" s="178"/>
    </row>
    <row r="285" spans="4:9" ht="15.75" customHeight="1" x14ac:dyDescent="0.25">
      <c r="D285" s="208"/>
      <c r="E285" s="208"/>
      <c r="F285" s="178"/>
      <c r="G285" s="208"/>
      <c r="H285" s="208"/>
      <c r="I285" s="178"/>
    </row>
    <row r="286" spans="4:9" ht="15.75" customHeight="1" x14ac:dyDescent="0.25">
      <c r="D286" s="208"/>
      <c r="E286" s="208"/>
      <c r="F286" s="178"/>
      <c r="G286" s="208"/>
      <c r="H286" s="208"/>
      <c r="I286" s="178"/>
    </row>
    <row r="287" spans="4:9" ht="15.75" customHeight="1" x14ac:dyDescent="0.25">
      <c r="D287" s="208"/>
      <c r="E287" s="208"/>
      <c r="F287" s="178"/>
      <c r="G287" s="208"/>
      <c r="H287" s="208"/>
      <c r="I287" s="178"/>
    </row>
    <row r="288" spans="4:9" ht="15.75" customHeight="1" x14ac:dyDescent="0.25">
      <c r="D288" s="208"/>
      <c r="E288" s="208"/>
      <c r="F288" s="178"/>
      <c r="G288" s="208"/>
      <c r="H288" s="208"/>
      <c r="I288" s="178"/>
    </row>
    <row r="289" spans="4:9" ht="15.75" customHeight="1" x14ac:dyDescent="0.25">
      <c r="D289" s="208"/>
      <c r="E289" s="208"/>
      <c r="F289" s="178"/>
      <c r="G289" s="208"/>
      <c r="H289" s="208"/>
      <c r="I289" s="178"/>
    </row>
    <row r="290" spans="4:9" ht="15.75" customHeight="1" x14ac:dyDescent="0.25">
      <c r="D290" s="208"/>
      <c r="E290" s="208"/>
      <c r="F290" s="178"/>
      <c r="G290" s="208"/>
      <c r="H290" s="208"/>
      <c r="I290" s="178"/>
    </row>
    <row r="291" spans="4:9" ht="15.75" customHeight="1" x14ac:dyDescent="0.25">
      <c r="D291" s="208"/>
      <c r="E291" s="208"/>
      <c r="F291" s="178"/>
      <c r="G291" s="208"/>
      <c r="H291" s="208"/>
      <c r="I291" s="178"/>
    </row>
    <row r="292" spans="4:9" ht="15.75" customHeight="1" x14ac:dyDescent="0.25">
      <c r="D292" s="208"/>
      <c r="E292" s="208"/>
      <c r="F292" s="178"/>
      <c r="G292" s="208"/>
      <c r="H292" s="208"/>
      <c r="I292" s="178"/>
    </row>
    <row r="293" spans="4:9" ht="15.75" customHeight="1" x14ac:dyDescent="0.25">
      <c r="D293" s="208"/>
      <c r="E293" s="208"/>
      <c r="F293" s="178"/>
      <c r="G293" s="208"/>
      <c r="H293" s="208"/>
      <c r="I293" s="178"/>
    </row>
    <row r="294" spans="4:9" ht="15.75" customHeight="1" x14ac:dyDescent="0.25">
      <c r="D294" s="208"/>
      <c r="E294" s="208"/>
      <c r="F294" s="178"/>
      <c r="G294" s="208"/>
      <c r="H294" s="208"/>
      <c r="I294" s="178"/>
    </row>
    <row r="295" spans="4:9" ht="15.75" customHeight="1" x14ac:dyDescent="0.25">
      <c r="D295" s="208"/>
      <c r="E295" s="208"/>
      <c r="F295" s="178"/>
      <c r="G295" s="208"/>
      <c r="H295" s="208"/>
      <c r="I295" s="178"/>
    </row>
    <row r="296" spans="4:9" ht="15.75" customHeight="1" x14ac:dyDescent="0.25">
      <c r="D296" s="208"/>
      <c r="E296" s="208"/>
      <c r="F296" s="178"/>
      <c r="G296" s="208"/>
      <c r="H296" s="208"/>
      <c r="I296" s="178"/>
    </row>
    <row r="297" spans="4:9" ht="15.75" customHeight="1" x14ac:dyDescent="0.25">
      <c r="D297" s="208"/>
      <c r="E297" s="208"/>
      <c r="F297" s="178"/>
      <c r="G297" s="208"/>
      <c r="H297" s="208"/>
      <c r="I297" s="178"/>
    </row>
    <row r="298" spans="4:9" ht="15.75" customHeight="1" x14ac:dyDescent="0.25">
      <c r="D298" s="208"/>
      <c r="E298" s="208"/>
      <c r="F298" s="178"/>
      <c r="G298" s="208"/>
      <c r="H298" s="208"/>
      <c r="I298" s="178"/>
    </row>
    <row r="299" spans="4:9" ht="15.75" customHeight="1" x14ac:dyDescent="0.25">
      <c r="D299" s="208"/>
      <c r="E299" s="208"/>
      <c r="F299" s="178"/>
      <c r="G299" s="208"/>
      <c r="H299" s="208"/>
      <c r="I299" s="178"/>
    </row>
    <row r="300" spans="4:9" ht="15.75" customHeight="1" x14ac:dyDescent="0.25">
      <c r="D300" s="208"/>
      <c r="E300" s="208"/>
      <c r="F300" s="178"/>
      <c r="G300" s="208"/>
      <c r="H300" s="208"/>
      <c r="I300" s="178"/>
    </row>
    <row r="301" spans="4:9" ht="15.75" customHeight="1" x14ac:dyDescent="0.25">
      <c r="D301" s="208"/>
      <c r="E301" s="208"/>
      <c r="F301" s="178"/>
      <c r="G301" s="208"/>
      <c r="H301" s="208"/>
      <c r="I301" s="178"/>
    </row>
    <row r="302" spans="4:9" ht="15.75" customHeight="1" x14ac:dyDescent="0.25">
      <c r="D302" s="208"/>
      <c r="E302" s="208"/>
      <c r="F302" s="178"/>
      <c r="G302" s="208"/>
      <c r="H302" s="208"/>
      <c r="I302" s="178"/>
    </row>
    <row r="303" spans="4:9" ht="15.75" customHeight="1" x14ac:dyDescent="0.25">
      <c r="D303" s="208"/>
      <c r="E303" s="208"/>
      <c r="F303" s="178"/>
      <c r="G303" s="208"/>
      <c r="H303" s="208"/>
      <c r="I303" s="178"/>
    </row>
    <row r="304" spans="4:9" ht="15.75" customHeight="1" x14ac:dyDescent="0.25">
      <c r="D304" s="208"/>
      <c r="E304" s="208"/>
      <c r="F304" s="178"/>
      <c r="G304" s="208"/>
      <c r="H304" s="208"/>
      <c r="I304" s="178"/>
    </row>
    <row r="305" spans="4:9" ht="15.75" customHeight="1" x14ac:dyDescent="0.25">
      <c r="D305" s="208"/>
      <c r="E305" s="208"/>
      <c r="F305" s="178"/>
      <c r="G305" s="208"/>
      <c r="H305" s="208"/>
      <c r="I305" s="178"/>
    </row>
    <row r="306" spans="4:9" ht="15.75" customHeight="1" x14ac:dyDescent="0.25">
      <c r="D306" s="208"/>
      <c r="E306" s="208"/>
      <c r="F306" s="178"/>
      <c r="G306" s="208"/>
      <c r="H306" s="208"/>
      <c r="I306" s="178"/>
    </row>
    <row r="307" spans="4:9" ht="15.75" customHeight="1" x14ac:dyDescent="0.25">
      <c r="D307" s="208"/>
      <c r="E307" s="208"/>
      <c r="F307" s="178"/>
      <c r="G307" s="208"/>
      <c r="H307" s="208"/>
      <c r="I307" s="178"/>
    </row>
    <row r="308" spans="4:9" ht="15.75" customHeight="1" x14ac:dyDescent="0.25">
      <c r="D308" s="208"/>
      <c r="E308" s="208"/>
      <c r="F308" s="178"/>
      <c r="G308" s="208"/>
      <c r="H308" s="208"/>
      <c r="I308" s="178"/>
    </row>
    <row r="309" spans="4:9" ht="15.75" customHeight="1" x14ac:dyDescent="0.25">
      <c r="D309" s="208"/>
      <c r="E309" s="208"/>
      <c r="F309" s="178"/>
      <c r="G309" s="208"/>
      <c r="H309" s="208"/>
      <c r="I309" s="178"/>
    </row>
    <row r="310" spans="4:9" ht="15.75" customHeight="1" x14ac:dyDescent="0.25">
      <c r="D310" s="208"/>
      <c r="E310" s="208"/>
      <c r="F310" s="178"/>
      <c r="G310" s="208"/>
      <c r="H310" s="208"/>
      <c r="I310" s="178"/>
    </row>
    <row r="311" spans="4:9" ht="15.75" customHeight="1" x14ac:dyDescent="0.25">
      <c r="D311" s="208"/>
      <c r="E311" s="208"/>
      <c r="F311" s="178"/>
      <c r="G311" s="208"/>
      <c r="H311" s="208"/>
      <c r="I311" s="178"/>
    </row>
    <row r="312" spans="4:9" ht="15.75" customHeight="1" x14ac:dyDescent="0.25">
      <c r="D312" s="208"/>
      <c r="E312" s="208"/>
      <c r="F312" s="178"/>
      <c r="G312" s="208"/>
      <c r="H312" s="208"/>
      <c r="I312" s="178"/>
    </row>
    <row r="313" spans="4:9" ht="15.75" customHeight="1" x14ac:dyDescent="0.25">
      <c r="D313" s="208"/>
      <c r="E313" s="208"/>
      <c r="F313" s="178"/>
      <c r="G313" s="208"/>
      <c r="H313" s="208"/>
      <c r="I313" s="178"/>
    </row>
    <row r="314" spans="4:9" ht="15.75" customHeight="1" x14ac:dyDescent="0.25">
      <c r="D314" s="208"/>
      <c r="E314" s="208"/>
      <c r="F314" s="178"/>
      <c r="G314" s="208"/>
      <c r="H314" s="208"/>
      <c r="I314" s="178"/>
    </row>
    <row r="315" spans="4:9" ht="15.75" customHeight="1" x14ac:dyDescent="0.25">
      <c r="D315" s="208"/>
      <c r="E315" s="208"/>
      <c r="F315" s="178"/>
      <c r="G315" s="208"/>
      <c r="H315" s="208"/>
      <c r="I315" s="178"/>
    </row>
    <row r="316" spans="4:9" ht="15.75" customHeight="1" x14ac:dyDescent="0.25">
      <c r="D316" s="208"/>
      <c r="E316" s="208"/>
      <c r="F316" s="178"/>
      <c r="G316" s="208"/>
      <c r="H316" s="208"/>
      <c r="I316" s="178"/>
    </row>
    <row r="317" spans="4:9" ht="15.75" customHeight="1" x14ac:dyDescent="0.25">
      <c r="D317" s="208"/>
      <c r="E317" s="208"/>
      <c r="F317" s="178"/>
      <c r="G317" s="208"/>
      <c r="H317" s="208"/>
      <c r="I317" s="178"/>
    </row>
    <row r="318" spans="4:9" ht="15.75" customHeight="1" x14ac:dyDescent="0.25">
      <c r="D318" s="208"/>
      <c r="E318" s="208"/>
      <c r="F318" s="178"/>
      <c r="G318" s="208"/>
      <c r="H318" s="208"/>
      <c r="I318" s="178"/>
    </row>
    <row r="319" spans="4:9" ht="15.75" customHeight="1" x14ac:dyDescent="0.25">
      <c r="D319" s="208"/>
      <c r="E319" s="208"/>
      <c r="F319" s="178"/>
      <c r="G319" s="208"/>
      <c r="H319" s="208"/>
      <c r="I319" s="178"/>
    </row>
    <row r="320" spans="4:9" ht="15.75" customHeight="1" x14ac:dyDescent="0.25">
      <c r="D320" s="208"/>
      <c r="E320" s="208"/>
      <c r="F320" s="178"/>
      <c r="G320" s="208"/>
      <c r="H320" s="208"/>
      <c r="I320" s="178"/>
    </row>
    <row r="321" spans="4:9" ht="15.75" customHeight="1" x14ac:dyDescent="0.25">
      <c r="D321" s="208"/>
      <c r="E321" s="208"/>
      <c r="F321" s="178"/>
      <c r="G321" s="208"/>
      <c r="H321" s="208"/>
      <c r="I321" s="178"/>
    </row>
    <row r="322" spans="4:9" ht="15.75" customHeight="1" x14ac:dyDescent="0.25">
      <c r="D322" s="208"/>
      <c r="E322" s="208"/>
      <c r="F322" s="178"/>
      <c r="G322" s="208"/>
      <c r="H322" s="208"/>
      <c r="I322" s="178"/>
    </row>
    <row r="323" spans="4:9" ht="15.75" customHeight="1" x14ac:dyDescent="0.25">
      <c r="D323" s="208"/>
      <c r="E323" s="208"/>
      <c r="F323" s="178"/>
      <c r="G323" s="208"/>
      <c r="H323" s="208"/>
      <c r="I323" s="178"/>
    </row>
    <row r="324" spans="4:9" ht="15.75" customHeight="1" x14ac:dyDescent="0.25">
      <c r="D324" s="208"/>
      <c r="E324" s="208"/>
      <c r="F324" s="178"/>
      <c r="G324" s="208"/>
      <c r="H324" s="208"/>
      <c r="I324" s="178"/>
    </row>
    <row r="325" spans="4:9" ht="15.75" customHeight="1" x14ac:dyDescent="0.25">
      <c r="D325" s="208"/>
      <c r="E325" s="208"/>
      <c r="F325" s="178"/>
      <c r="G325" s="208"/>
      <c r="H325" s="208"/>
      <c r="I325" s="178"/>
    </row>
    <row r="326" spans="4:9" ht="15.75" customHeight="1" x14ac:dyDescent="0.25">
      <c r="D326" s="208"/>
      <c r="E326" s="208"/>
      <c r="F326" s="178"/>
      <c r="G326" s="208"/>
      <c r="H326" s="208"/>
      <c r="I326" s="178"/>
    </row>
    <row r="327" spans="4:9" ht="15.75" customHeight="1" x14ac:dyDescent="0.25">
      <c r="D327" s="208"/>
      <c r="E327" s="208"/>
      <c r="F327" s="178"/>
      <c r="G327" s="208"/>
      <c r="H327" s="208"/>
      <c r="I327" s="178"/>
    </row>
    <row r="328" spans="4:9" ht="15.75" customHeight="1" x14ac:dyDescent="0.25">
      <c r="D328" s="208"/>
      <c r="E328" s="208"/>
      <c r="F328" s="178"/>
      <c r="G328" s="208"/>
      <c r="H328" s="208"/>
      <c r="I328" s="178"/>
    </row>
    <row r="329" spans="4:9" ht="15.75" customHeight="1" x14ac:dyDescent="0.25">
      <c r="D329" s="208"/>
      <c r="E329" s="208"/>
      <c r="F329" s="178"/>
      <c r="G329" s="208"/>
      <c r="H329" s="208"/>
      <c r="I329" s="178"/>
    </row>
    <row r="330" spans="4:9" ht="15.75" customHeight="1" x14ac:dyDescent="0.25">
      <c r="D330" s="208"/>
      <c r="E330" s="208"/>
      <c r="F330" s="178"/>
      <c r="G330" s="208"/>
      <c r="H330" s="208"/>
      <c r="I330" s="178"/>
    </row>
    <row r="331" spans="4:9" ht="15.75" customHeight="1" x14ac:dyDescent="0.25">
      <c r="D331" s="208"/>
      <c r="E331" s="208"/>
      <c r="F331" s="178"/>
      <c r="G331" s="208"/>
      <c r="H331" s="208"/>
      <c r="I331" s="178"/>
    </row>
    <row r="332" spans="4:9" ht="15.75" customHeight="1" x14ac:dyDescent="0.25">
      <c r="D332" s="208"/>
      <c r="E332" s="208"/>
      <c r="F332" s="178"/>
      <c r="G332" s="208"/>
      <c r="H332" s="208"/>
      <c r="I332" s="178"/>
    </row>
    <row r="333" spans="4:9" ht="15.75" customHeight="1" x14ac:dyDescent="0.25">
      <c r="D333" s="208"/>
      <c r="E333" s="208"/>
      <c r="F333" s="178"/>
      <c r="G333" s="208"/>
      <c r="H333" s="208"/>
      <c r="I333" s="178"/>
    </row>
    <row r="334" spans="4:9" ht="15.75" customHeight="1" x14ac:dyDescent="0.25">
      <c r="D334" s="208"/>
      <c r="E334" s="208"/>
      <c r="F334" s="178"/>
      <c r="G334" s="208"/>
      <c r="H334" s="208"/>
      <c r="I334" s="178"/>
    </row>
    <row r="335" spans="4:9" ht="15.75" customHeight="1" x14ac:dyDescent="0.25">
      <c r="D335" s="208"/>
      <c r="E335" s="208"/>
      <c r="F335" s="178"/>
      <c r="G335" s="208"/>
      <c r="H335" s="208"/>
      <c r="I335" s="178"/>
    </row>
    <row r="336" spans="4:9" ht="15.75" customHeight="1" x14ac:dyDescent="0.25">
      <c r="D336" s="208"/>
      <c r="E336" s="208"/>
      <c r="F336" s="178"/>
      <c r="G336" s="208"/>
      <c r="H336" s="208"/>
      <c r="I336" s="178"/>
    </row>
    <row r="337" spans="4:9" ht="15.75" customHeight="1" x14ac:dyDescent="0.25">
      <c r="D337" s="208"/>
      <c r="E337" s="208"/>
      <c r="F337" s="178"/>
      <c r="G337" s="208"/>
      <c r="H337" s="208"/>
      <c r="I337" s="178"/>
    </row>
    <row r="338" spans="4:9" ht="15.75" customHeight="1" x14ac:dyDescent="0.25">
      <c r="D338" s="208"/>
      <c r="E338" s="208"/>
      <c r="F338" s="178"/>
      <c r="G338" s="208"/>
      <c r="H338" s="208"/>
      <c r="I338" s="178"/>
    </row>
    <row r="339" spans="4:9" ht="15.75" customHeight="1" x14ac:dyDescent="0.25">
      <c r="D339" s="208"/>
      <c r="E339" s="208"/>
      <c r="F339" s="178"/>
      <c r="G339" s="208"/>
      <c r="H339" s="208"/>
      <c r="I339" s="178"/>
    </row>
    <row r="340" spans="4:9" ht="15.75" customHeight="1" x14ac:dyDescent="0.25">
      <c r="D340" s="208"/>
      <c r="E340" s="208"/>
      <c r="F340" s="178"/>
      <c r="G340" s="208"/>
      <c r="H340" s="208"/>
      <c r="I340" s="178"/>
    </row>
    <row r="341" spans="4:9" ht="15.75" customHeight="1" x14ac:dyDescent="0.25">
      <c r="D341" s="208"/>
      <c r="E341" s="208"/>
      <c r="F341" s="178"/>
      <c r="G341" s="208"/>
      <c r="H341" s="208"/>
      <c r="I341" s="178"/>
    </row>
    <row r="342" spans="4:9" ht="15.75" customHeight="1" x14ac:dyDescent="0.25">
      <c r="D342" s="208"/>
      <c r="E342" s="208"/>
      <c r="F342" s="178"/>
      <c r="G342" s="208"/>
      <c r="H342" s="208"/>
      <c r="I342" s="178"/>
    </row>
    <row r="343" spans="4:9" ht="15.75" customHeight="1" x14ac:dyDescent="0.25">
      <c r="D343" s="208"/>
      <c r="E343" s="208"/>
      <c r="F343" s="178"/>
      <c r="G343" s="208"/>
      <c r="H343" s="208"/>
      <c r="I343" s="178"/>
    </row>
    <row r="344" spans="4:9" ht="15.75" customHeight="1" x14ac:dyDescent="0.25">
      <c r="D344" s="208"/>
      <c r="E344" s="208"/>
      <c r="F344" s="178"/>
      <c r="G344" s="208"/>
      <c r="H344" s="208"/>
      <c r="I344" s="178"/>
    </row>
    <row r="345" spans="4:9" ht="15.75" customHeight="1" x14ac:dyDescent="0.25">
      <c r="D345" s="208"/>
      <c r="E345" s="208"/>
      <c r="F345" s="178"/>
      <c r="G345" s="208"/>
      <c r="H345" s="208"/>
      <c r="I345" s="178"/>
    </row>
    <row r="346" spans="4:9" ht="15.75" customHeight="1" x14ac:dyDescent="0.25">
      <c r="D346" s="208"/>
      <c r="E346" s="208"/>
      <c r="F346" s="178"/>
      <c r="G346" s="208"/>
      <c r="H346" s="208"/>
      <c r="I346" s="178"/>
    </row>
    <row r="347" spans="4:9" ht="15.75" customHeight="1" x14ac:dyDescent="0.25">
      <c r="D347" s="208"/>
      <c r="E347" s="208"/>
      <c r="F347" s="178"/>
      <c r="G347" s="208"/>
      <c r="H347" s="208"/>
      <c r="I347" s="178"/>
    </row>
    <row r="348" spans="4:9" ht="15.75" customHeight="1" x14ac:dyDescent="0.25">
      <c r="D348" s="208"/>
      <c r="E348" s="208"/>
      <c r="F348" s="178"/>
      <c r="G348" s="208"/>
      <c r="H348" s="208"/>
      <c r="I348" s="178"/>
    </row>
    <row r="349" spans="4:9" ht="15.75" customHeight="1" x14ac:dyDescent="0.25">
      <c r="D349" s="208"/>
      <c r="E349" s="208"/>
      <c r="F349" s="178"/>
      <c r="G349" s="208"/>
      <c r="H349" s="208"/>
      <c r="I349" s="178"/>
    </row>
    <row r="350" spans="4:9" ht="15.75" customHeight="1" x14ac:dyDescent="0.25">
      <c r="D350" s="208"/>
      <c r="E350" s="208"/>
      <c r="F350" s="178"/>
      <c r="G350" s="208"/>
      <c r="H350" s="208"/>
      <c r="I350" s="178"/>
    </row>
    <row r="351" spans="4:9" ht="15.75" customHeight="1" x14ac:dyDescent="0.25">
      <c r="D351" s="208"/>
      <c r="E351" s="208"/>
      <c r="F351" s="178"/>
      <c r="G351" s="208"/>
      <c r="H351" s="208"/>
      <c r="I351" s="178"/>
    </row>
    <row r="352" spans="4:9" ht="15.75" customHeight="1" x14ac:dyDescent="0.25">
      <c r="D352" s="208"/>
      <c r="E352" s="208"/>
      <c r="F352" s="178"/>
      <c r="G352" s="208"/>
      <c r="H352" s="208"/>
      <c r="I352" s="178"/>
    </row>
    <row r="353" spans="4:9" ht="15.75" customHeight="1" x14ac:dyDescent="0.25">
      <c r="D353" s="208"/>
      <c r="E353" s="208"/>
      <c r="F353" s="178"/>
      <c r="G353" s="208"/>
      <c r="H353" s="208"/>
      <c r="I353" s="178"/>
    </row>
    <row r="354" spans="4:9" ht="15.75" customHeight="1" x14ac:dyDescent="0.25">
      <c r="D354" s="208"/>
      <c r="E354" s="208"/>
      <c r="F354" s="178"/>
      <c r="G354" s="208"/>
      <c r="H354" s="208"/>
      <c r="I354" s="178"/>
    </row>
    <row r="355" spans="4:9" ht="15.75" customHeight="1" x14ac:dyDescent="0.25">
      <c r="D355" s="208"/>
      <c r="E355" s="208"/>
      <c r="F355" s="178"/>
      <c r="G355" s="208"/>
      <c r="H355" s="208"/>
      <c r="I355" s="178"/>
    </row>
    <row r="356" spans="4:9" ht="15.75" customHeight="1" x14ac:dyDescent="0.25">
      <c r="D356" s="208"/>
      <c r="E356" s="208"/>
      <c r="F356" s="178"/>
      <c r="G356" s="208"/>
      <c r="H356" s="208"/>
      <c r="I356" s="178"/>
    </row>
    <row r="357" spans="4:9" ht="15.75" customHeight="1" x14ac:dyDescent="0.25">
      <c r="D357" s="208"/>
      <c r="E357" s="208"/>
      <c r="F357" s="178"/>
      <c r="G357" s="208"/>
      <c r="H357" s="208"/>
      <c r="I357" s="178"/>
    </row>
    <row r="358" spans="4:9" ht="15.75" customHeight="1" x14ac:dyDescent="0.25">
      <c r="D358" s="208"/>
      <c r="E358" s="208"/>
      <c r="F358" s="178"/>
      <c r="G358" s="208"/>
      <c r="H358" s="208"/>
      <c r="I358" s="178"/>
    </row>
    <row r="359" spans="4:9" ht="15.75" customHeight="1" x14ac:dyDescent="0.25">
      <c r="D359" s="208"/>
      <c r="E359" s="208"/>
      <c r="F359" s="178"/>
      <c r="G359" s="208"/>
      <c r="H359" s="208"/>
      <c r="I359" s="178"/>
    </row>
    <row r="360" spans="4:9" ht="15.75" customHeight="1" x14ac:dyDescent="0.25">
      <c r="D360" s="208"/>
      <c r="E360" s="208"/>
      <c r="F360" s="178"/>
      <c r="G360" s="208"/>
      <c r="H360" s="208"/>
      <c r="I360" s="178"/>
    </row>
    <row r="361" spans="4:9" ht="15.75" customHeight="1" x14ac:dyDescent="0.25">
      <c r="D361" s="208"/>
      <c r="E361" s="208"/>
      <c r="F361" s="178"/>
      <c r="G361" s="208"/>
      <c r="H361" s="208"/>
      <c r="I361" s="178"/>
    </row>
    <row r="362" spans="4:9" ht="15.75" customHeight="1" x14ac:dyDescent="0.25">
      <c r="D362" s="208"/>
      <c r="E362" s="208"/>
      <c r="F362" s="178"/>
      <c r="G362" s="208"/>
      <c r="H362" s="208"/>
      <c r="I362" s="178"/>
    </row>
    <row r="363" spans="4:9" ht="15.75" customHeight="1" x14ac:dyDescent="0.25">
      <c r="D363" s="208"/>
      <c r="E363" s="208"/>
      <c r="F363" s="178"/>
      <c r="G363" s="208"/>
      <c r="H363" s="208"/>
      <c r="I363" s="178"/>
    </row>
    <row r="364" spans="4:9" ht="15.75" customHeight="1" x14ac:dyDescent="0.25">
      <c r="D364" s="208"/>
      <c r="E364" s="208"/>
      <c r="F364" s="178"/>
      <c r="G364" s="208"/>
      <c r="H364" s="208"/>
      <c r="I364" s="178"/>
    </row>
    <row r="365" spans="4:9" ht="15.75" customHeight="1" x14ac:dyDescent="0.25">
      <c r="D365" s="208"/>
      <c r="E365" s="208"/>
      <c r="F365" s="178"/>
      <c r="G365" s="208"/>
      <c r="H365" s="208"/>
      <c r="I365" s="178"/>
    </row>
    <row r="366" spans="4:9" ht="15.75" customHeight="1" x14ac:dyDescent="0.25">
      <c r="D366" s="208"/>
      <c r="E366" s="208"/>
      <c r="F366" s="178"/>
      <c r="G366" s="208"/>
      <c r="H366" s="208"/>
      <c r="I366" s="178"/>
    </row>
    <row r="367" spans="4:9" ht="15.75" customHeight="1" x14ac:dyDescent="0.25">
      <c r="D367" s="208"/>
      <c r="E367" s="208"/>
      <c r="F367" s="178"/>
      <c r="G367" s="208"/>
      <c r="H367" s="208"/>
      <c r="I367" s="178"/>
    </row>
    <row r="368" spans="4:9" ht="15.75" customHeight="1" x14ac:dyDescent="0.25">
      <c r="D368" s="208"/>
      <c r="E368" s="208"/>
      <c r="F368" s="178"/>
      <c r="G368" s="208"/>
      <c r="H368" s="208"/>
      <c r="I368" s="178"/>
    </row>
    <row r="369" spans="4:9" ht="15.75" customHeight="1" x14ac:dyDescent="0.25">
      <c r="D369" s="208"/>
      <c r="E369" s="208"/>
      <c r="F369" s="178"/>
      <c r="G369" s="208"/>
      <c r="H369" s="208"/>
      <c r="I369" s="178"/>
    </row>
    <row r="370" spans="4:9" ht="15.75" customHeight="1" x14ac:dyDescent="0.25">
      <c r="D370" s="208"/>
      <c r="E370" s="208"/>
      <c r="F370" s="178"/>
      <c r="G370" s="208"/>
      <c r="H370" s="208"/>
      <c r="I370" s="178"/>
    </row>
    <row r="371" spans="4:9" ht="15.75" customHeight="1" x14ac:dyDescent="0.25">
      <c r="D371" s="208"/>
      <c r="E371" s="208"/>
      <c r="F371" s="178"/>
      <c r="G371" s="208"/>
      <c r="H371" s="208"/>
      <c r="I371" s="178"/>
    </row>
    <row r="372" spans="4:9" ht="15.75" customHeight="1" x14ac:dyDescent="0.25">
      <c r="D372" s="208"/>
      <c r="E372" s="208"/>
      <c r="F372" s="178"/>
      <c r="G372" s="208"/>
      <c r="H372" s="208"/>
      <c r="I372" s="178"/>
    </row>
    <row r="373" spans="4:9" ht="15.75" customHeight="1" x14ac:dyDescent="0.25">
      <c r="D373" s="208"/>
      <c r="E373" s="208"/>
      <c r="F373" s="178"/>
      <c r="G373" s="208"/>
      <c r="H373" s="208"/>
      <c r="I373" s="178"/>
    </row>
    <row r="374" spans="4:9" ht="15.75" customHeight="1" x14ac:dyDescent="0.25">
      <c r="D374" s="208"/>
      <c r="E374" s="208"/>
      <c r="F374" s="178"/>
      <c r="G374" s="208"/>
      <c r="H374" s="208"/>
      <c r="I374" s="178"/>
    </row>
    <row r="375" spans="4:9" ht="15.75" customHeight="1" x14ac:dyDescent="0.25">
      <c r="D375" s="208"/>
      <c r="E375" s="208"/>
      <c r="F375" s="178"/>
      <c r="G375" s="208"/>
      <c r="H375" s="208"/>
      <c r="I375" s="178"/>
    </row>
    <row r="376" spans="4:9" ht="15.75" customHeight="1" x14ac:dyDescent="0.25">
      <c r="D376" s="208"/>
      <c r="E376" s="208"/>
      <c r="F376" s="178"/>
      <c r="G376" s="208"/>
      <c r="H376" s="208"/>
      <c r="I376" s="178"/>
    </row>
    <row r="377" spans="4:9" ht="15.75" customHeight="1" x14ac:dyDescent="0.25">
      <c r="D377" s="208"/>
      <c r="E377" s="208"/>
      <c r="F377" s="178"/>
      <c r="G377" s="208"/>
      <c r="H377" s="208"/>
      <c r="I377" s="178"/>
    </row>
    <row r="378" spans="4:9" ht="15.75" customHeight="1" x14ac:dyDescent="0.25">
      <c r="D378" s="208"/>
      <c r="E378" s="208"/>
      <c r="F378" s="178"/>
      <c r="G378" s="208"/>
      <c r="H378" s="208"/>
      <c r="I378" s="178"/>
    </row>
    <row r="379" spans="4:9" ht="15.75" customHeight="1" x14ac:dyDescent="0.25">
      <c r="D379" s="208"/>
      <c r="E379" s="208"/>
      <c r="F379" s="178"/>
      <c r="G379" s="208"/>
      <c r="H379" s="208"/>
      <c r="I379" s="178"/>
    </row>
    <row r="380" spans="4:9" ht="15.75" customHeight="1" x14ac:dyDescent="0.25">
      <c r="D380" s="208"/>
      <c r="E380" s="208"/>
      <c r="F380" s="178"/>
      <c r="G380" s="208"/>
      <c r="H380" s="208"/>
      <c r="I380" s="178"/>
    </row>
    <row r="381" spans="4:9" ht="15.75" customHeight="1" x14ac:dyDescent="0.25">
      <c r="D381" s="208"/>
      <c r="E381" s="208"/>
      <c r="F381" s="178"/>
      <c r="G381" s="208"/>
      <c r="H381" s="208"/>
      <c r="I381" s="178"/>
    </row>
    <row r="382" spans="4:9" ht="15.75" customHeight="1" x14ac:dyDescent="0.25">
      <c r="D382" s="208"/>
      <c r="E382" s="208"/>
      <c r="F382" s="178"/>
      <c r="G382" s="208"/>
      <c r="H382" s="208"/>
      <c r="I382" s="178"/>
    </row>
    <row r="383" spans="4:9" ht="15.75" customHeight="1" x14ac:dyDescent="0.25">
      <c r="D383" s="208"/>
      <c r="E383" s="208"/>
      <c r="F383" s="178"/>
      <c r="G383" s="208"/>
      <c r="H383" s="208"/>
      <c r="I383" s="178"/>
    </row>
    <row r="384" spans="4:9" ht="15.75" customHeight="1" x14ac:dyDescent="0.25">
      <c r="D384" s="208"/>
      <c r="E384" s="208"/>
      <c r="F384" s="178"/>
      <c r="G384" s="208"/>
      <c r="H384" s="208"/>
      <c r="I384" s="178"/>
    </row>
    <row r="385" spans="4:9" ht="15.75" customHeight="1" x14ac:dyDescent="0.25">
      <c r="D385" s="208"/>
      <c r="E385" s="208"/>
      <c r="F385" s="178"/>
      <c r="G385" s="208"/>
      <c r="H385" s="208"/>
      <c r="I385" s="178"/>
    </row>
    <row r="386" spans="4:9" ht="15.75" customHeight="1" x14ac:dyDescent="0.25">
      <c r="D386" s="208"/>
      <c r="E386" s="208"/>
      <c r="F386" s="178"/>
      <c r="G386" s="208"/>
      <c r="H386" s="208"/>
      <c r="I386" s="178"/>
    </row>
    <row r="387" spans="4:9" ht="15.75" customHeight="1" x14ac:dyDescent="0.25">
      <c r="D387" s="208"/>
      <c r="E387" s="208"/>
      <c r="F387" s="178"/>
      <c r="G387" s="208"/>
      <c r="H387" s="208"/>
      <c r="I387" s="178"/>
    </row>
    <row r="388" spans="4:9" ht="15.75" customHeight="1" x14ac:dyDescent="0.25">
      <c r="D388" s="208"/>
      <c r="E388" s="208"/>
      <c r="F388" s="178"/>
      <c r="G388" s="208"/>
      <c r="H388" s="208"/>
      <c r="I388" s="178"/>
    </row>
    <row r="389" spans="4:9" ht="15.75" customHeight="1" x14ac:dyDescent="0.25">
      <c r="D389" s="208"/>
      <c r="E389" s="208"/>
      <c r="F389" s="178"/>
      <c r="G389" s="208"/>
      <c r="H389" s="208"/>
      <c r="I389" s="178"/>
    </row>
    <row r="390" spans="4:9" ht="15.75" customHeight="1" x14ac:dyDescent="0.25">
      <c r="D390" s="208"/>
      <c r="E390" s="208"/>
      <c r="F390" s="178"/>
      <c r="G390" s="208"/>
      <c r="H390" s="208"/>
      <c r="I390" s="178"/>
    </row>
    <row r="391" spans="4:9" ht="15.75" customHeight="1" x14ac:dyDescent="0.25">
      <c r="D391" s="208"/>
      <c r="E391" s="208"/>
      <c r="F391" s="178"/>
      <c r="G391" s="208"/>
      <c r="H391" s="208"/>
      <c r="I391" s="178"/>
    </row>
    <row r="392" spans="4:9" ht="15.75" customHeight="1" x14ac:dyDescent="0.25">
      <c r="D392" s="208"/>
      <c r="E392" s="208"/>
      <c r="F392" s="178"/>
      <c r="G392" s="208"/>
      <c r="H392" s="208"/>
      <c r="I392" s="178"/>
    </row>
    <row r="393" spans="4:9" ht="15.75" customHeight="1" x14ac:dyDescent="0.25">
      <c r="D393" s="208"/>
      <c r="E393" s="208"/>
      <c r="F393" s="178"/>
      <c r="G393" s="208"/>
      <c r="H393" s="208"/>
      <c r="I393" s="178"/>
    </row>
    <row r="394" spans="4:9" ht="15.75" customHeight="1" x14ac:dyDescent="0.25">
      <c r="D394" s="208"/>
      <c r="E394" s="208"/>
      <c r="F394" s="178"/>
      <c r="G394" s="208"/>
      <c r="H394" s="208"/>
      <c r="I394" s="178"/>
    </row>
    <row r="395" spans="4:9" ht="15.75" customHeight="1" x14ac:dyDescent="0.25">
      <c r="D395" s="208"/>
      <c r="E395" s="208"/>
      <c r="F395" s="178"/>
      <c r="G395" s="208"/>
      <c r="H395" s="208"/>
      <c r="I395" s="178"/>
    </row>
    <row r="396" spans="4:9" ht="15.75" customHeight="1" x14ac:dyDescent="0.25">
      <c r="D396" s="208"/>
      <c r="E396" s="208"/>
      <c r="F396" s="178"/>
      <c r="G396" s="208"/>
      <c r="H396" s="208"/>
      <c r="I396" s="178"/>
    </row>
    <row r="397" spans="4:9" ht="15.75" customHeight="1" x14ac:dyDescent="0.25">
      <c r="D397" s="208"/>
      <c r="E397" s="208"/>
      <c r="F397" s="178"/>
      <c r="G397" s="208"/>
      <c r="H397" s="208"/>
      <c r="I397" s="178"/>
    </row>
    <row r="398" spans="4:9" ht="15.75" customHeight="1" x14ac:dyDescent="0.25">
      <c r="D398" s="208"/>
      <c r="E398" s="208"/>
      <c r="F398" s="178"/>
      <c r="G398" s="208"/>
      <c r="H398" s="208"/>
      <c r="I398" s="178"/>
    </row>
    <row r="399" spans="4:9" ht="15.75" customHeight="1" x14ac:dyDescent="0.25">
      <c r="D399" s="208"/>
      <c r="E399" s="208"/>
      <c r="F399" s="178"/>
      <c r="G399" s="208"/>
      <c r="H399" s="208"/>
      <c r="I399" s="178"/>
    </row>
    <row r="400" spans="4:9" ht="15.75" customHeight="1" x14ac:dyDescent="0.25">
      <c r="D400" s="208"/>
      <c r="E400" s="208"/>
      <c r="F400" s="178"/>
      <c r="G400" s="208"/>
      <c r="H400" s="208"/>
      <c r="I400" s="178"/>
    </row>
    <row r="401" spans="4:9" ht="15.75" customHeight="1" x14ac:dyDescent="0.25">
      <c r="D401" s="208"/>
      <c r="E401" s="208"/>
      <c r="F401" s="178"/>
      <c r="G401" s="208"/>
      <c r="H401" s="208"/>
      <c r="I401" s="178"/>
    </row>
    <row r="402" spans="4:9" ht="15.75" customHeight="1" x14ac:dyDescent="0.25">
      <c r="D402" s="208"/>
      <c r="E402" s="208"/>
      <c r="F402" s="178"/>
      <c r="G402" s="208"/>
      <c r="H402" s="208"/>
      <c r="I402" s="178"/>
    </row>
    <row r="403" spans="4:9" ht="15.75" customHeight="1" x14ac:dyDescent="0.25">
      <c r="D403" s="208"/>
      <c r="E403" s="208"/>
      <c r="F403" s="178"/>
      <c r="G403" s="208"/>
      <c r="H403" s="208"/>
      <c r="I403" s="178"/>
    </row>
    <row r="404" spans="4:9" ht="15.75" customHeight="1" x14ac:dyDescent="0.25">
      <c r="D404" s="208"/>
      <c r="E404" s="208"/>
      <c r="F404" s="178"/>
      <c r="G404" s="208"/>
      <c r="H404" s="208"/>
      <c r="I404" s="178"/>
    </row>
    <row r="405" spans="4:9" ht="15.75" customHeight="1" x14ac:dyDescent="0.25">
      <c r="D405" s="208"/>
      <c r="E405" s="208"/>
      <c r="F405" s="178"/>
      <c r="G405" s="208"/>
      <c r="H405" s="208"/>
      <c r="I405" s="178"/>
    </row>
    <row r="406" spans="4:9" ht="15.75" customHeight="1" x14ac:dyDescent="0.25">
      <c r="D406" s="208"/>
      <c r="E406" s="208"/>
      <c r="F406" s="178"/>
      <c r="G406" s="208"/>
      <c r="H406" s="208"/>
      <c r="I406" s="178"/>
    </row>
    <row r="407" spans="4:9" ht="15.75" customHeight="1" x14ac:dyDescent="0.25">
      <c r="D407" s="208"/>
      <c r="E407" s="208"/>
      <c r="F407" s="178"/>
      <c r="G407" s="208"/>
      <c r="H407" s="208"/>
      <c r="I407" s="178"/>
    </row>
    <row r="408" spans="4:9" ht="15.75" customHeight="1" x14ac:dyDescent="0.25">
      <c r="D408" s="208"/>
      <c r="E408" s="208"/>
      <c r="F408" s="178"/>
      <c r="G408" s="208"/>
      <c r="H408" s="208"/>
      <c r="I408" s="178"/>
    </row>
    <row r="409" spans="4:9" ht="15.75" customHeight="1" x14ac:dyDescent="0.25">
      <c r="D409" s="208"/>
      <c r="E409" s="208"/>
      <c r="F409" s="178"/>
      <c r="G409" s="208"/>
      <c r="H409" s="208"/>
      <c r="I409" s="178"/>
    </row>
    <row r="410" spans="4:9" ht="15.75" customHeight="1" x14ac:dyDescent="0.25">
      <c r="D410" s="208"/>
      <c r="E410" s="208"/>
      <c r="F410" s="178"/>
      <c r="G410" s="208"/>
      <c r="H410" s="208"/>
      <c r="I410" s="178"/>
    </row>
    <row r="411" spans="4:9" ht="15.75" customHeight="1" x14ac:dyDescent="0.25">
      <c r="D411" s="208"/>
      <c r="E411" s="208"/>
      <c r="F411" s="178"/>
      <c r="G411" s="208"/>
      <c r="H411" s="208"/>
      <c r="I411" s="178"/>
    </row>
    <row r="412" spans="4:9" ht="15.75" customHeight="1" x14ac:dyDescent="0.25">
      <c r="D412" s="208"/>
      <c r="E412" s="208"/>
      <c r="F412" s="178"/>
      <c r="G412" s="208"/>
      <c r="H412" s="208"/>
      <c r="I412" s="178"/>
    </row>
    <row r="413" spans="4:9" ht="15.75" customHeight="1" x14ac:dyDescent="0.25">
      <c r="D413" s="208"/>
      <c r="E413" s="208"/>
      <c r="F413" s="178"/>
      <c r="G413" s="208"/>
      <c r="H413" s="208"/>
      <c r="I413" s="178"/>
    </row>
    <row r="414" spans="4:9" ht="15.75" customHeight="1" x14ac:dyDescent="0.25">
      <c r="D414" s="208"/>
      <c r="E414" s="208"/>
      <c r="F414" s="178"/>
      <c r="G414" s="208"/>
      <c r="H414" s="208"/>
      <c r="I414" s="178"/>
    </row>
    <row r="415" spans="4:9" ht="15.75" customHeight="1" x14ac:dyDescent="0.25">
      <c r="D415" s="208"/>
      <c r="E415" s="208"/>
      <c r="F415" s="178"/>
      <c r="G415" s="208"/>
      <c r="H415" s="208"/>
      <c r="I415" s="178"/>
    </row>
    <row r="416" spans="4:9" ht="15.75" customHeight="1" x14ac:dyDescent="0.25">
      <c r="D416" s="208"/>
      <c r="E416" s="208"/>
      <c r="F416" s="178"/>
      <c r="G416" s="208"/>
      <c r="H416" s="208"/>
      <c r="I416" s="178"/>
    </row>
    <row r="417" spans="4:9" ht="15.75" customHeight="1" x14ac:dyDescent="0.25">
      <c r="D417" s="208"/>
      <c r="E417" s="208"/>
      <c r="F417" s="178"/>
      <c r="G417" s="208"/>
      <c r="H417" s="208"/>
      <c r="I417" s="178"/>
    </row>
    <row r="418" spans="4:9" ht="15.75" customHeight="1" x14ac:dyDescent="0.25">
      <c r="D418" s="208"/>
      <c r="E418" s="208"/>
      <c r="F418" s="178"/>
      <c r="G418" s="208"/>
      <c r="H418" s="208"/>
      <c r="I418" s="178"/>
    </row>
    <row r="419" spans="4:9" ht="15.75" customHeight="1" x14ac:dyDescent="0.25">
      <c r="D419" s="208"/>
      <c r="E419" s="208"/>
      <c r="F419" s="178"/>
      <c r="G419" s="208"/>
      <c r="H419" s="208"/>
      <c r="I419" s="178"/>
    </row>
    <row r="420" spans="4:9" ht="15.75" customHeight="1" x14ac:dyDescent="0.25">
      <c r="D420" s="208"/>
      <c r="E420" s="208"/>
      <c r="F420" s="178"/>
      <c r="G420" s="208"/>
      <c r="H420" s="208"/>
      <c r="I420" s="178"/>
    </row>
    <row r="421" spans="4:9" ht="15.75" customHeight="1" x14ac:dyDescent="0.25">
      <c r="D421" s="208"/>
      <c r="E421" s="208"/>
      <c r="F421" s="178"/>
      <c r="G421" s="208"/>
      <c r="H421" s="208"/>
      <c r="I421" s="178"/>
    </row>
    <row r="422" spans="4:9" ht="15.75" customHeight="1" x14ac:dyDescent="0.25">
      <c r="D422" s="208"/>
      <c r="E422" s="208"/>
      <c r="F422" s="178"/>
      <c r="G422" s="208"/>
      <c r="H422" s="208"/>
      <c r="I422" s="178"/>
    </row>
    <row r="423" spans="4:9" ht="15.75" customHeight="1" x14ac:dyDescent="0.25">
      <c r="D423" s="208"/>
      <c r="E423" s="208"/>
      <c r="F423" s="178"/>
      <c r="G423" s="208"/>
      <c r="H423" s="208"/>
      <c r="I423" s="178"/>
    </row>
    <row r="424" spans="4:9" ht="15.75" customHeight="1" x14ac:dyDescent="0.25">
      <c r="D424" s="208"/>
      <c r="E424" s="208"/>
      <c r="F424" s="178"/>
      <c r="G424" s="208"/>
      <c r="H424" s="208"/>
      <c r="I424" s="178"/>
    </row>
    <row r="425" spans="4:9" ht="15.75" customHeight="1" x14ac:dyDescent="0.25">
      <c r="D425" s="208"/>
      <c r="E425" s="208"/>
      <c r="F425" s="178"/>
      <c r="G425" s="208"/>
      <c r="H425" s="208"/>
      <c r="I425" s="178"/>
    </row>
    <row r="426" spans="4:9" ht="15.75" customHeight="1" x14ac:dyDescent="0.25">
      <c r="D426" s="208"/>
      <c r="E426" s="208"/>
      <c r="F426" s="178"/>
      <c r="G426" s="208"/>
      <c r="H426" s="208"/>
      <c r="I426" s="178"/>
    </row>
    <row r="427" spans="4:9" ht="15.75" customHeight="1" x14ac:dyDescent="0.25">
      <c r="D427" s="208"/>
      <c r="E427" s="208"/>
      <c r="F427" s="178"/>
      <c r="G427" s="208"/>
      <c r="H427" s="208"/>
      <c r="I427" s="178"/>
    </row>
    <row r="428" spans="4:9" ht="15.75" customHeight="1" x14ac:dyDescent="0.25">
      <c r="D428" s="208"/>
      <c r="E428" s="208"/>
      <c r="F428" s="178"/>
      <c r="G428" s="208"/>
      <c r="H428" s="208"/>
      <c r="I428" s="178"/>
    </row>
    <row r="429" spans="4:9" ht="15.75" customHeight="1" x14ac:dyDescent="0.25">
      <c r="D429" s="208"/>
      <c r="E429" s="208"/>
      <c r="F429" s="178"/>
      <c r="G429" s="208"/>
      <c r="H429" s="208"/>
      <c r="I429" s="178"/>
    </row>
    <row r="430" spans="4:9" ht="15.75" customHeight="1" x14ac:dyDescent="0.25">
      <c r="D430" s="208"/>
      <c r="E430" s="208"/>
      <c r="F430" s="178"/>
      <c r="G430" s="208"/>
      <c r="H430" s="208"/>
      <c r="I430" s="178"/>
    </row>
    <row r="431" spans="4:9" ht="15.75" customHeight="1" x14ac:dyDescent="0.25">
      <c r="D431" s="208"/>
      <c r="E431" s="208"/>
      <c r="F431" s="178"/>
      <c r="G431" s="208"/>
      <c r="H431" s="208"/>
      <c r="I431" s="178"/>
    </row>
    <row r="432" spans="4:9" ht="15.75" customHeight="1" x14ac:dyDescent="0.25">
      <c r="D432" s="208"/>
      <c r="E432" s="208"/>
      <c r="F432" s="178"/>
      <c r="G432" s="208"/>
      <c r="H432" s="208"/>
      <c r="I432" s="178"/>
    </row>
    <row r="433" spans="4:9" ht="15.75" customHeight="1" x14ac:dyDescent="0.25">
      <c r="D433" s="208"/>
      <c r="E433" s="208"/>
      <c r="F433" s="178"/>
      <c r="G433" s="208"/>
      <c r="H433" s="208"/>
      <c r="I433" s="178"/>
    </row>
    <row r="434" spans="4:9" ht="15.75" customHeight="1" x14ac:dyDescent="0.25">
      <c r="D434" s="208"/>
      <c r="E434" s="208"/>
      <c r="F434" s="178"/>
      <c r="G434" s="208"/>
      <c r="H434" s="208"/>
      <c r="I434" s="178"/>
    </row>
    <row r="435" spans="4:9" ht="15.75" customHeight="1" x14ac:dyDescent="0.25">
      <c r="D435" s="208"/>
      <c r="E435" s="208"/>
      <c r="F435" s="178"/>
      <c r="G435" s="208"/>
      <c r="H435" s="208"/>
      <c r="I435" s="178"/>
    </row>
    <row r="436" spans="4:9" ht="15.75" customHeight="1" x14ac:dyDescent="0.25">
      <c r="D436" s="208"/>
      <c r="E436" s="208"/>
      <c r="F436" s="178"/>
      <c r="G436" s="208"/>
      <c r="H436" s="208"/>
      <c r="I436" s="178"/>
    </row>
    <row r="437" spans="4:9" ht="15.75" customHeight="1" x14ac:dyDescent="0.25">
      <c r="D437" s="208"/>
      <c r="E437" s="208"/>
      <c r="F437" s="178"/>
      <c r="G437" s="208"/>
      <c r="H437" s="208"/>
      <c r="I437" s="178"/>
    </row>
    <row r="438" spans="4:9" ht="15.75" customHeight="1" x14ac:dyDescent="0.25">
      <c r="D438" s="208"/>
      <c r="E438" s="208"/>
      <c r="F438" s="178"/>
      <c r="G438" s="208"/>
      <c r="H438" s="208"/>
      <c r="I438" s="178"/>
    </row>
    <row r="439" spans="4:9" ht="15.75" customHeight="1" x14ac:dyDescent="0.25">
      <c r="D439" s="208"/>
      <c r="E439" s="208"/>
      <c r="F439" s="178"/>
      <c r="G439" s="208"/>
      <c r="H439" s="208"/>
      <c r="I439" s="178"/>
    </row>
    <row r="440" spans="4:9" ht="15.75" customHeight="1" x14ac:dyDescent="0.25">
      <c r="D440" s="208"/>
      <c r="E440" s="208"/>
      <c r="F440" s="178"/>
      <c r="G440" s="208"/>
      <c r="H440" s="208"/>
      <c r="I440" s="178"/>
    </row>
    <row r="441" spans="4:9" ht="15.75" customHeight="1" x14ac:dyDescent="0.25">
      <c r="D441" s="208"/>
      <c r="E441" s="208"/>
      <c r="F441" s="178"/>
      <c r="G441" s="208"/>
      <c r="H441" s="208"/>
      <c r="I441" s="178"/>
    </row>
    <row r="442" spans="4:9" ht="15.75" customHeight="1" x14ac:dyDescent="0.25">
      <c r="D442" s="208"/>
      <c r="E442" s="208"/>
      <c r="F442" s="178"/>
      <c r="G442" s="208"/>
      <c r="H442" s="208"/>
      <c r="I442" s="178"/>
    </row>
    <row r="443" spans="4:9" ht="15.75" customHeight="1" x14ac:dyDescent="0.25">
      <c r="D443" s="208"/>
      <c r="E443" s="208"/>
      <c r="F443" s="178"/>
      <c r="G443" s="208"/>
      <c r="H443" s="208"/>
      <c r="I443" s="178"/>
    </row>
    <row r="444" spans="4:9" ht="15.75" customHeight="1" x14ac:dyDescent="0.25">
      <c r="D444" s="208"/>
      <c r="E444" s="208"/>
      <c r="F444" s="178"/>
      <c r="G444" s="208"/>
      <c r="H444" s="208"/>
      <c r="I444" s="178"/>
    </row>
    <row r="445" spans="4:9" ht="15.75" customHeight="1" x14ac:dyDescent="0.25">
      <c r="D445" s="208"/>
      <c r="E445" s="208"/>
      <c r="F445" s="178"/>
      <c r="G445" s="208"/>
      <c r="H445" s="208"/>
      <c r="I445" s="178"/>
    </row>
    <row r="446" spans="4:9" ht="15.75" customHeight="1" x14ac:dyDescent="0.25">
      <c r="D446" s="208"/>
      <c r="E446" s="208"/>
      <c r="F446" s="178"/>
      <c r="G446" s="208"/>
      <c r="H446" s="208"/>
      <c r="I446" s="178"/>
    </row>
    <row r="447" spans="4:9" ht="15.75" customHeight="1" x14ac:dyDescent="0.25">
      <c r="D447" s="208"/>
      <c r="E447" s="208"/>
      <c r="F447" s="178"/>
      <c r="G447" s="208"/>
      <c r="H447" s="208"/>
      <c r="I447" s="178"/>
    </row>
    <row r="448" spans="4:9" ht="15.75" customHeight="1" x14ac:dyDescent="0.25">
      <c r="D448" s="208"/>
      <c r="E448" s="208"/>
      <c r="F448" s="178"/>
      <c r="G448" s="208"/>
      <c r="H448" s="208"/>
      <c r="I448" s="178"/>
    </row>
    <row r="449" spans="4:9" ht="15.75" customHeight="1" x14ac:dyDescent="0.25">
      <c r="D449" s="208"/>
      <c r="E449" s="208"/>
      <c r="F449" s="178"/>
      <c r="G449" s="208"/>
      <c r="H449" s="208"/>
      <c r="I449" s="178"/>
    </row>
    <row r="450" spans="4:9" ht="15.75" customHeight="1" x14ac:dyDescent="0.25">
      <c r="D450" s="208"/>
      <c r="E450" s="208"/>
      <c r="F450" s="178"/>
      <c r="G450" s="208"/>
      <c r="H450" s="208"/>
      <c r="I450" s="178"/>
    </row>
    <row r="451" spans="4:9" ht="15.75" customHeight="1" x14ac:dyDescent="0.25">
      <c r="D451" s="208"/>
      <c r="E451" s="208"/>
      <c r="F451" s="178"/>
      <c r="G451" s="208"/>
      <c r="H451" s="208"/>
      <c r="I451" s="178"/>
    </row>
    <row r="452" spans="4:9" ht="15.75" customHeight="1" x14ac:dyDescent="0.25">
      <c r="D452" s="208"/>
      <c r="E452" s="208"/>
      <c r="F452" s="178"/>
      <c r="G452" s="208"/>
      <c r="H452" s="208"/>
      <c r="I452" s="178"/>
    </row>
    <row r="453" spans="4:9" ht="15.75" customHeight="1" x14ac:dyDescent="0.25">
      <c r="D453" s="208"/>
      <c r="E453" s="208"/>
      <c r="F453" s="178"/>
      <c r="G453" s="208"/>
      <c r="H453" s="208"/>
      <c r="I453" s="178"/>
    </row>
    <row r="454" spans="4:9" ht="15.75" customHeight="1" x14ac:dyDescent="0.25">
      <c r="D454" s="208"/>
      <c r="E454" s="208"/>
      <c r="F454" s="178"/>
      <c r="G454" s="208"/>
      <c r="H454" s="208"/>
      <c r="I454" s="178"/>
    </row>
    <row r="455" spans="4:9" ht="15.75" customHeight="1" x14ac:dyDescent="0.25">
      <c r="D455" s="208"/>
      <c r="E455" s="208"/>
      <c r="F455" s="178"/>
      <c r="G455" s="208"/>
      <c r="H455" s="208"/>
      <c r="I455" s="178"/>
    </row>
    <row r="456" spans="4:9" ht="15.75" customHeight="1" x14ac:dyDescent="0.25">
      <c r="D456" s="208"/>
      <c r="E456" s="208"/>
      <c r="F456" s="178"/>
      <c r="G456" s="208"/>
      <c r="H456" s="208"/>
      <c r="I456" s="178"/>
    </row>
    <row r="457" spans="4:9" ht="15.75" customHeight="1" x14ac:dyDescent="0.25">
      <c r="D457" s="208"/>
      <c r="E457" s="208"/>
      <c r="F457" s="178"/>
      <c r="G457" s="208"/>
      <c r="H457" s="208"/>
      <c r="I457" s="178"/>
    </row>
    <row r="458" spans="4:9" ht="15.75" customHeight="1" x14ac:dyDescent="0.25">
      <c r="D458" s="208"/>
      <c r="E458" s="208"/>
      <c r="F458" s="178"/>
      <c r="G458" s="208"/>
      <c r="H458" s="208"/>
      <c r="I458" s="178"/>
    </row>
    <row r="459" spans="4:9" ht="15.75" customHeight="1" x14ac:dyDescent="0.25">
      <c r="D459" s="208"/>
      <c r="E459" s="208"/>
      <c r="F459" s="178"/>
      <c r="G459" s="208"/>
      <c r="H459" s="208"/>
      <c r="I459" s="178"/>
    </row>
    <row r="460" spans="4:9" ht="15.75" customHeight="1" x14ac:dyDescent="0.25">
      <c r="D460" s="208"/>
      <c r="E460" s="208"/>
      <c r="F460" s="178"/>
      <c r="G460" s="208"/>
      <c r="H460" s="208"/>
      <c r="I460" s="178"/>
    </row>
    <row r="461" spans="4:9" ht="15.75" customHeight="1" x14ac:dyDescent="0.25">
      <c r="D461" s="208"/>
      <c r="E461" s="208"/>
      <c r="F461" s="178"/>
      <c r="G461" s="208"/>
      <c r="H461" s="208"/>
      <c r="I461" s="178"/>
    </row>
    <row r="462" spans="4:9" ht="15.75" customHeight="1" x14ac:dyDescent="0.25">
      <c r="D462" s="208"/>
      <c r="E462" s="208"/>
      <c r="F462" s="178"/>
      <c r="G462" s="208"/>
      <c r="H462" s="208"/>
      <c r="I462" s="178"/>
    </row>
    <row r="463" spans="4:9" ht="15.75" customHeight="1" x14ac:dyDescent="0.25">
      <c r="D463" s="208"/>
      <c r="E463" s="208"/>
      <c r="F463" s="178"/>
      <c r="G463" s="208"/>
      <c r="H463" s="208"/>
      <c r="I463" s="178"/>
    </row>
    <row r="464" spans="4:9" ht="15.75" customHeight="1" x14ac:dyDescent="0.25">
      <c r="D464" s="208"/>
      <c r="E464" s="208"/>
      <c r="F464" s="178"/>
      <c r="G464" s="208"/>
      <c r="H464" s="208"/>
      <c r="I464" s="178"/>
    </row>
    <row r="465" spans="4:9" ht="15.75" customHeight="1" x14ac:dyDescent="0.25">
      <c r="D465" s="208"/>
      <c r="E465" s="208"/>
      <c r="F465" s="178"/>
      <c r="G465" s="208"/>
      <c r="H465" s="208"/>
      <c r="I465" s="178"/>
    </row>
    <row r="466" spans="4:9" ht="15.75" customHeight="1" x14ac:dyDescent="0.25">
      <c r="D466" s="208"/>
      <c r="E466" s="208"/>
      <c r="F466" s="178"/>
      <c r="G466" s="208"/>
      <c r="H466" s="208"/>
      <c r="I466" s="178"/>
    </row>
    <row r="467" spans="4:9" ht="15.75" customHeight="1" x14ac:dyDescent="0.25">
      <c r="D467" s="208"/>
      <c r="E467" s="208"/>
      <c r="F467" s="178"/>
      <c r="G467" s="208"/>
      <c r="H467" s="208"/>
      <c r="I467" s="178"/>
    </row>
    <row r="468" spans="4:9" ht="15.75" customHeight="1" x14ac:dyDescent="0.25">
      <c r="D468" s="208"/>
      <c r="E468" s="208"/>
      <c r="F468" s="178"/>
      <c r="G468" s="208"/>
      <c r="H468" s="208"/>
      <c r="I468" s="178"/>
    </row>
    <row r="469" spans="4:9" ht="15.75" customHeight="1" x14ac:dyDescent="0.25">
      <c r="D469" s="208"/>
      <c r="E469" s="208"/>
      <c r="F469" s="178"/>
      <c r="G469" s="208"/>
      <c r="H469" s="208"/>
      <c r="I469" s="178"/>
    </row>
    <row r="470" spans="4:9" ht="15.75" customHeight="1" x14ac:dyDescent="0.25">
      <c r="D470" s="208"/>
      <c r="E470" s="208"/>
      <c r="F470" s="178"/>
      <c r="G470" s="208"/>
      <c r="H470" s="208"/>
      <c r="I470" s="178"/>
    </row>
    <row r="471" spans="4:9" ht="15.75" customHeight="1" x14ac:dyDescent="0.25">
      <c r="D471" s="208"/>
      <c r="E471" s="208"/>
      <c r="F471" s="178"/>
      <c r="G471" s="208"/>
      <c r="H471" s="208"/>
      <c r="I471" s="178"/>
    </row>
    <row r="472" spans="4:9" ht="15.75" customHeight="1" x14ac:dyDescent="0.25">
      <c r="D472" s="208"/>
      <c r="E472" s="208"/>
      <c r="F472" s="178"/>
      <c r="G472" s="208"/>
      <c r="H472" s="208"/>
      <c r="I472" s="178"/>
    </row>
    <row r="473" spans="4:9" ht="15.75" customHeight="1" x14ac:dyDescent="0.25">
      <c r="D473" s="208"/>
      <c r="E473" s="208"/>
      <c r="F473" s="178"/>
      <c r="G473" s="208"/>
      <c r="H473" s="208"/>
      <c r="I473" s="178"/>
    </row>
    <row r="474" spans="4:9" ht="15.75" customHeight="1" x14ac:dyDescent="0.25">
      <c r="D474" s="208"/>
      <c r="E474" s="208"/>
      <c r="F474" s="178"/>
      <c r="G474" s="208"/>
      <c r="H474" s="208"/>
      <c r="I474" s="178"/>
    </row>
    <row r="475" spans="4:9" ht="15.75" customHeight="1" x14ac:dyDescent="0.25">
      <c r="D475" s="208"/>
      <c r="E475" s="208"/>
      <c r="F475" s="178"/>
      <c r="G475" s="208"/>
      <c r="H475" s="208"/>
      <c r="I475" s="178"/>
    </row>
    <row r="476" spans="4:9" ht="15.75" customHeight="1" x14ac:dyDescent="0.25">
      <c r="D476" s="208"/>
      <c r="E476" s="208"/>
      <c r="F476" s="178"/>
      <c r="G476" s="208"/>
      <c r="H476" s="208"/>
      <c r="I476" s="178"/>
    </row>
    <row r="477" spans="4:9" ht="15.75" customHeight="1" x14ac:dyDescent="0.25">
      <c r="D477" s="208"/>
      <c r="E477" s="208"/>
      <c r="F477" s="178"/>
      <c r="G477" s="208"/>
      <c r="H477" s="208"/>
      <c r="I477" s="178"/>
    </row>
    <row r="478" spans="4:9" ht="15.75" customHeight="1" x14ac:dyDescent="0.25">
      <c r="D478" s="208"/>
      <c r="E478" s="208"/>
      <c r="F478" s="178"/>
      <c r="G478" s="208"/>
      <c r="H478" s="208"/>
      <c r="I478" s="178"/>
    </row>
    <row r="479" spans="4:9" ht="15.75" customHeight="1" x14ac:dyDescent="0.25">
      <c r="D479" s="208"/>
      <c r="E479" s="208"/>
      <c r="F479" s="178"/>
      <c r="G479" s="208"/>
      <c r="H479" s="208"/>
      <c r="I479" s="178"/>
    </row>
    <row r="480" spans="4:9" ht="15.75" customHeight="1" x14ac:dyDescent="0.25">
      <c r="D480" s="208"/>
      <c r="E480" s="208"/>
      <c r="F480" s="178"/>
      <c r="G480" s="208"/>
      <c r="H480" s="208"/>
      <c r="I480" s="178"/>
    </row>
    <row r="481" spans="4:9" ht="15.75" customHeight="1" x14ac:dyDescent="0.25">
      <c r="D481" s="208"/>
      <c r="E481" s="208"/>
      <c r="F481" s="178"/>
      <c r="G481" s="208"/>
      <c r="H481" s="208"/>
      <c r="I481" s="178"/>
    </row>
    <row r="482" spans="4:9" ht="15.75" customHeight="1" x14ac:dyDescent="0.25">
      <c r="D482" s="208"/>
      <c r="E482" s="208"/>
      <c r="F482" s="178"/>
      <c r="G482" s="208"/>
      <c r="H482" s="208"/>
      <c r="I482" s="178"/>
    </row>
    <row r="483" spans="4:9" ht="15.75" customHeight="1" x14ac:dyDescent="0.25">
      <c r="D483" s="208"/>
      <c r="E483" s="208"/>
      <c r="F483" s="178"/>
      <c r="G483" s="208"/>
      <c r="H483" s="208"/>
      <c r="I483" s="178"/>
    </row>
    <row r="484" spans="4:9" ht="15.75" customHeight="1" x14ac:dyDescent="0.25">
      <c r="D484" s="208"/>
      <c r="E484" s="208"/>
      <c r="F484" s="178"/>
      <c r="G484" s="208"/>
      <c r="H484" s="208"/>
      <c r="I484" s="178"/>
    </row>
    <row r="485" spans="4:9" ht="15.75" customHeight="1" x14ac:dyDescent="0.25">
      <c r="D485" s="208"/>
      <c r="E485" s="208"/>
      <c r="F485" s="178"/>
      <c r="G485" s="208"/>
      <c r="H485" s="208"/>
      <c r="I485" s="178"/>
    </row>
    <row r="486" spans="4:9" ht="15.75" customHeight="1" x14ac:dyDescent="0.25">
      <c r="D486" s="208"/>
      <c r="E486" s="208"/>
      <c r="F486" s="178"/>
      <c r="G486" s="208"/>
      <c r="H486" s="208"/>
      <c r="I486" s="178"/>
    </row>
    <row r="487" spans="4:9" ht="15.75" customHeight="1" x14ac:dyDescent="0.25">
      <c r="D487" s="208"/>
      <c r="E487" s="208"/>
      <c r="F487" s="178"/>
      <c r="G487" s="208"/>
      <c r="H487" s="208"/>
      <c r="I487" s="178"/>
    </row>
    <row r="488" spans="4:9" ht="15.75" customHeight="1" x14ac:dyDescent="0.25">
      <c r="D488" s="208"/>
      <c r="E488" s="208"/>
      <c r="F488" s="178"/>
      <c r="G488" s="208"/>
      <c r="H488" s="208"/>
      <c r="I488" s="178"/>
    </row>
    <row r="489" spans="4:9" ht="15.75" customHeight="1" x14ac:dyDescent="0.25">
      <c r="D489" s="208"/>
      <c r="E489" s="208"/>
      <c r="F489" s="178"/>
      <c r="G489" s="208"/>
      <c r="H489" s="208"/>
      <c r="I489" s="178"/>
    </row>
    <row r="490" spans="4:9" ht="15.75" customHeight="1" x14ac:dyDescent="0.25">
      <c r="D490" s="208"/>
      <c r="E490" s="208"/>
      <c r="F490" s="178"/>
      <c r="G490" s="208"/>
      <c r="H490" s="208"/>
      <c r="I490" s="178"/>
    </row>
    <row r="491" spans="4:9" ht="15.75" customHeight="1" x14ac:dyDescent="0.25">
      <c r="D491" s="208"/>
      <c r="E491" s="208"/>
      <c r="F491" s="178"/>
      <c r="G491" s="208"/>
      <c r="H491" s="208"/>
      <c r="I491" s="178"/>
    </row>
    <row r="492" spans="4:9" ht="15.75" customHeight="1" x14ac:dyDescent="0.25">
      <c r="D492" s="208"/>
      <c r="E492" s="208"/>
      <c r="F492" s="178"/>
      <c r="G492" s="208"/>
      <c r="H492" s="208"/>
      <c r="I492" s="178"/>
    </row>
    <row r="493" spans="4:9" ht="15.75" customHeight="1" x14ac:dyDescent="0.25">
      <c r="D493" s="208"/>
      <c r="E493" s="208"/>
      <c r="F493" s="178"/>
      <c r="G493" s="208"/>
      <c r="H493" s="208"/>
      <c r="I493" s="178"/>
    </row>
    <row r="494" spans="4:9" ht="15.75" customHeight="1" x14ac:dyDescent="0.25">
      <c r="D494" s="208"/>
      <c r="E494" s="208"/>
      <c r="F494" s="178"/>
      <c r="G494" s="208"/>
      <c r="H494" s="208"/>
      <c r="I494" s="178"/>
    </row>
    <row r="495" spans="4:9" ht="15.75" customHeight="1" x14ac:dyDescent="0.25">
      <c r="D495" s="208"/>
      <c r="E495" s="208"/>
      <c r="F495" s="178"/>
      <c r="G495" s="208"/>
      <c r="H495" s="208"/>
      <c r="I495" s="178"/>
    </row>
    <row r="496" spans="4:9" ht="15.75" customHeight="1" x14ac:dyDescent="0.25">
      <c r="D496" s="208"/>
      <c r="E496" s="208"/>
      <c r="F496" s="178"/>
      <c r="G496" s="208"/>
      <c r="H496" s="208"/>
      <c r="I496" s="178"/>
    </row>
    <row r="497" spans="4:9" ht="15.75" customHeight="1" x14ac:dyDescent="0.25">
      <c r="D497" s="208"/>
      <c r="E497" s="208"/>
      <c r="F497" s="178"/>
      <c r="G497" s="208"/>
      <c r="H497" s="208"/>
      <c r="I497" s="178"/>
    </row>
    <row r="498" spans="4:9" ht="15.75" customHeight="1" x14ac:dyDescent="0.25">
      <c r="D498" s="208"/>
      <c r="E498" s="208"/>
      <c r="F498" s="178"/>
      <c r="G498" s="208"/>
      <c r="H498" s="208"/>
      <c r="I498" s="178"/>
    </row>
    <row r="499" spans="4:9" ht="15.75" customHeight="1" x14ac:dyDescent="0.25">
      <c r="D499" s="208"/>
      <c r="E499" s="208"/>
      <c r="F499" s="178"/>
      <c r="G499" s="208"/>
      <c r="H499" s="208"/>
      <c r="I499" s="178"/>
    </row>
    <row r="500" spans="4:9" ht="15.75" customHeight="1" x14ac:dyDescent="0.25">
      <c r="D500" s="208"/>
      <c r="E500" s="208"/>
      <c r="F500" s="178"/>
      <c r="G500" s="208"/>
      <c r="H500" s="208"/>
      <c r="I500" s="178"/>
    </row>
    <row r="501" spans="4:9" ht="15.75" customHeight="1" x14ac:dyDescent="0.25">
      <c r="D501" s="208"/>
      <c r="E501" s="208"/>
      <c r="F501" s="178"/>
      <c r="G501" s="208"/>
      <c r="H501" s="208"/>
      <c r="I501" s="178"/>
    </row>
    <row r="502" spans="4:9" ht="15.75" customHeight="1" x14ac:dyDescent="0.25">
      <c r="D502" s="208"/>
      <c r="E502" s="208"/>
      <c r="F502" s="178"/>
      <c r="G502" s="208"/>
      <c r="H502" s="208"/>
      <c r="I502" s="178"/>
    </row>
    <row r="503" spans="4:9" ht="15.75" customHeight="1" x14ac:dyDescent="0.25">
      <c r="D503" s="208"/>
      <c r="E503" s="208"/>
      <c r="F503" s="178"/>
      <c r="G503" s="208"/>
      <c r="H503" s="208"/>
      <c r="I503" s="178"/>
    </row>
    <row r="504" spans="4:9" ht="15.75" customHeight="1" x14ac:dyDescent="0.25">
      <c r="D504" s="208"/>
      <c r="E504" s="208"/>
      <c r="F504" s="178"/>
      <c r="G504" s="208"/>
      <c r="H504" s="208"/>
      <c r="I504" s="178"/>
    </row>
    <row r="505" spans="4:9" ht="15.75" customHeight="1" x14ac:dyDescent="0.25">
      <c r="D505" s="208"/>
      <c r="E505" s="208"/>
      <c r="F505" s="178"/>
      <c r="G505" s="208"/>
      <c r="H505" s="208"/>
      <c r="I505" s="178"/>
    </row>
    <row r="506" spans="4:9" ht="15.75" customHeight="1" x14ac:dyDescent="0.25">
      <c r="D506" s="208"/>
      <c r="E506" s="208"/>
      <c r="F506" s="178"/>
      <c r="G506" s="208"/>
      <c r="H506" s="208"/>
      <c r="I506" s="178"/>
    </row>
    <row r="507" spans="4:9" ht="15.75" customHeight="1" x14ac:dyDescent="0.25">
      <c r="D507" s="208"/>
      <c r="E507" s="208"/>
      <c r="F507" s="178"/>
      <c r="G507" s="208"/>
      <c r="H507" s="208"/>
      <c r="I507" s="178"/>
    </row>
    <row r="508" spans="4:9" ht="15.75" customHeight="1" x14ac:dyDescent="0.25">
      <c r="D508" s="208"/>
      <c r="E508" s="208"/>
      <c r="F508" s="178"/>
      <c r="G508" s="208"/>
      <c r="H508" s="208"/>
      <c r="I508" s="178"/>
    </row>
    <row r="509" spans="4:9" ht="15.75" customHeight="1" x14ac:dyDescent="0.25">
      <c r="D509" s="208"/>
      <c r="E509" s="208"/>
      <c r="F509" s="178"/>
      <c r="G509" s="208"/>
      <c r="H509" s="208"/>
      <c r="I509" s="178"/>
    </row>
    <row r="510" spans="4:9" ht="15.75" customHeight="1" x14ac:dyDescent="0.25">
      <c r="D510" s="208"/>
      <c r="E510" s="208"/>
      <c r="F510" s="178"/>
      <c r="G510" s="208"/>
      <c r="H510" s="208"/>
      <c r="I510" s="178"/>
    </row>
    <row r="511" spans="4:9" ht="15.75" customHeight="1" x14ac:dyDescent="0.25">
      <c r="D511" s="208"/>
      <c r="E511" s="208"/>
      <c r="F511" s="178"/>
      <c r="G511" s="208"/>
      <c r="H511" s="208"/>
      <c r="I511" s="178"/>
    </row>
    <row r="512" spans="4:9" ht="15.75" customHeight="1" x14ac:dyDescent="0.25">
      <c r="D512" s="208"/>
      <c r="E512" s="208"/>
      <c r="F512" s="178"/>
      <c r="G512" s="208"/>
      <c r="H512" s="208"/>
      <c r="I512" s="178"/>
    </row>
    <row r="513" spans="4:9" ht="15.75" customHeight="1" x14ac:dyDescent="0.25">
      <c r="D513" s="208"/>
      <c r="E513" s="208"/>
      <c r="F513" s="178"/>
      <c r="G513" s="208"/>
      <c r="H513" s="208"/>
      <c r="I513" s="178"/>
    </row>
    <row r="514" spans="4:9" ht="15.75" customHeight="1" x14ac:dyDescent="0.25">
      <c r="D514" s="208"/>
      <c r="E514" s="208"/>
      <c r="F514" s="178"/>
      <c r="G514" s="208"/>
      <c r="H514" s="208"/>
      <c r="I514" s="178"/>
    </row>
    <row r="515" spans="4:9" ht="15.75" customHeight="1" x14ac:dyDescent="0.25">
      <c r="D515" s="208"/>
      <c r="E515" s="208"/>
      <c r="F515" s="178"/>
      <c r="G515" s="208"/>
      <c r="H515" s="208"/>
      <c r="I515" s="178"/>
    </row>
    <row r="516" spans="4:9" ht="15.75" customHeight="1" x14ac:dyDescent="0.25">
      <c r="D516" s="208"/>
      <c r="E516" s="208"/>
      <c r="F516" s="178"/>
      <c r="G516" s="208"/>
      <c r="H516" s="208"/>
      <c r="I516" s="178"/>
    </row>
    <row r="517" spans="4:9" ht="15.75" customHeight="1" x14ac:dyDescent="0.25">
      <c r="D517" s="208"/>
      <c r="E517" s="208"/>
      <c r="F517" s="178"/>
      <c r="G517" s="208"/>
      <c r="H517" s="208"/>
      <c r="I517" s="178"/>
    </row>
    <row r="518" spans="4:9" ht="15.75" customHeight="1" x14ac:dyDescent="0.25">
      <c r="D518" s="208"/>
      <c r="E518" s="208"/>
      <c r="F518" s="178"/>
      <c r="G518" s="208"/>
      <c r="H518" s="208"/>
      <c r="I518" s="178"/>
    </row>
    <row r="519" spans="4:9" ht="15.75" customHeight="1" x14ac:dyDescent="0.25">
      <c r="D519" s="208"/>
      <c r="E519" s="208"/>
      <c r="F519" s="178"/>
      <c r="G519" s="208"/>
      <c r="H519" s="208"/>
      <c r="I519" s="178"/>
    </row>
    <row r="520" spans="4:9" ht="15.75" customHeight="1" x14ac:dyDescent="0.25">
      <c r="D520" s="208"/>
      <c r="E520" s="208"/>
      <c r="F520" s="178"/>
      <c r="G520" s="208"/>
      <c r="H520" s="208"/>
      <c r="I520" s="178"/>
    </row>
    <row r="521" spans="4:9" ht="15.75" customHeight="1" x14ac:dyDescent="0.25">
      <c r="D521" s="208"/>
      <c r="E521" s="208"/>
      <c r="F521" s="178"/>
      <c r="G521" s="208"/>
      <c r="H521" s="208"/>
      <c r="I521" s="178"/>
    </row>
    <row r="522" spans="4:9" ht="15.75" customHeight="1" x14ac:dyDescent="0.25">
      <c r="D522" s="208"/>
      <c r="E522" s="208"/>
      <c r="F522" s="178"/>
      <c r="G522" s="208"/>
      <c r="H522" s="208"/>
      <c r="I522" s="178"/>
    </row>
    <row r="523" spans="4:9" ht="15.75" customHeight="1" x14ac:dyDescent="0.25">
      <c r="D523" s="208"/>
      <c r="E523" s="208"/>
      <c r="F523" s="178"/>
      <c r="G523" s="208"/>
      <c r="H523" s="208"/>
      <c r="I523" s="178"/>
    </row>
    <row r="524" spans="4:9" ht="15.75" customHeight="1" x14ac:dyDescent="0.25">
      <c r="D524" s="208"/>
      <c r="E524" s="208"/>
      <c r="F524" s="178"/>
      <c r="G524" s="208"/>
      <c r="H524" s="208"/>
      <c r="I524" s="178"/>
    </row>
    <row r="525" spans="4:9" ht="15.75" customHeight="1" x14ac:dyDescent="0.25">
      <c r="D525" s="208"/>
      <c r="E525" s="208"/>
      <c r="F525" s="178"/>
      <c r="G525" s="208"/>
      <c r="H525" s="208"/>
      <c r="I525" s="178"/>
    </row>
    <row r="526" spans="4:9" ht="15.75" customHeight="1" x14ac:dyDescent="0.25">
      <c r="D526" s="208"/>
      <c r="E526" s="208"/>
      <c r="F526" s="178"/>
      <c r="G526" s="208"/>
      <c r="H526" s="208"/>
      <c r="I526" s="178"/>
    </row>
    <row r="527" spans="4:9" ht="15.75" customHeight="1" x14ac:dyDescent="0.25">
      <c r="D527" s="208"/>
      <c r="E527" s="208"/>
      <c r="F527" s="178"/>
      <c r="G527" s="208"/>
      <c r="H527" s="208"/>
      <c r="I527" s="178"/>
    </row>
    <row r="528" spans="4:9" ht="15.75" customHeight="1" x14ac:dyDescent="0.25">
      <c r="D528" s="208"/>
      <c r="E528" s="208"/>
      <c r="F528" s="178"/>
      <c r="G528" s="208"/>
      <c r="H528" s="208"/>
      <c r="I528" s="178"/>
    </row>
    <row r="529" spans="4:9" ht="15.75" customHeight="1" x14ac:dyDescent="0.25">
      <c r="D529" s="208"/>
      <c r="E529" s="208"/>
      <c r="F529" s="178"/>
      <c r="G529" s="208"/>
      <c r="H529" s="208"/>
      <c r="I529" s="178"/>
    </row>
    <row r="530" spans="4:9" ht="15.75" customHeight="1" x14ac:dyDescent="0.25">
      <c r="D530" s="208"/>
      <c r="E530" s="208"/>
      <c r="F530" s="178"/>
      <c r="G530" s="208"/>
      <c r="H530" s="208"/>
      <c r="I530" s="178"/>
    </row>
    <row r="531" spans="4:9" ht="15.75" customHeight="1" x14ac:dyDescent="0.25">
      <c r="D531" s="208"/>
      <c r="E531" s="208"/>
      <c r="F531" s="178"/>
      <c r="G531" s="208"/>
      <c r="H531" s="208"/>
      <c r="I531" s="178"/>
    </row>
    <row r="532" spans="4:9" ht="15.75" customHeight="1" x14ac:dyDescent="0.25">
      <c r="D532" s="208"/>
      <c r="E532" s="208"/>
      <c r="F532" s="178"/>
      <c r="G532" s="208"/>
      <c r="H532" s="208"/>
      <c r="I532" s="178"/>
    </row>
    <row r="533" spans="4:9" ht="15.75" customHeight="1" x14ac:dyDescent="0.25">
      <c r="D533" s="208"/>
      <c r="E533" s="208"/>
      <c r="F533" s="178"/>
      <c r="G533" s="208"/>
      <c r="H533" s="208"/>
      <c r="I533" s="178"/>
    </row>
    <row r="534" spans="4:9" ht="15.75" customHeight="1" x14ac:dyDescent="0.25">
      <c r="D534" s="208"/>
      <c r="E534" s="208"/>
      <c r="F534" s="178"/>
      <c r="G534" s="208"/>
      <c r="H534" s="208"/>
      <c r="I534" s="178"/>
    </row>
    <row r="535" spans="4:9" ht="15.75" customHeight="1" x14ac:dyDescent="0.25">
      <c r="D535" s="208"/>
      <c r="E535" s="208"/>
      <c r="F535" s="178"/>
      <c r="G535" s="208"/>
      <c r="H535" s="208"/>
      <c r="I535" s="178"/>
    </row>
    <row r="536" spans="4:9" ht="15.75" customHeight="1" x14ac:dyDescent="0.25">
      <c r="D536" s="208"/>
      <c r="E536" s="208"/>
      <c r="F536" s="178"/>
      <c r="G536" s="208"/>
      <c r="H536" s="208"/>
      <c r="I536" s="178"/>
    </row>
    <row r="537" spans="4:9" ht="15.75" customHeight="1" x14ac:dyDescent="0.25">
      <c r="D537" s="208"/>
      <c r="E537" s="208"/>
      <c r="F537" s="178"/>
      <c r="G537" s="208"/>
      <c r="H537" s="208"/>
      <c r="I537" s="178"/>
    </row>
    <row r="538" spans="4:9" ht="15.75" customHeight="1" x14ac:dyDescent="0.25">
      <c r="D538" s="208"/>
      <c r="E538" s="208"/>
      <c r="F538" s="178"/>
      <c r="G538" s="208"/>
      <c r="H538" s="208"/>
      <c r="I538" s="178"/>
    </row>
    <row r="539" spans="4:9" ht="15.75" customHeight="1" x14ac:dyDescent="0.25">
      <c r="D539" s="208"/>
      <c r="E539" s="208"/>
      <c r="F539" s="178"/>
      <c r="G539" s="208"/>
      <c r="H539" s="208"/>
      <c r="I539" s="178"/>
    </row>
    <row r="540" spans="4:9" ht="15.75" customHeight="1" x14ac:dyDescent="0.25">
      <c r="D540" s="208"/>
      <c r="E540" s="208"/>
      <c r="F540" s="178"/>
      <c r="G540" s="208"/>
      <c r="H540" s="208"/>
      <c r="I540" s="178"/>
    </row>
    <row r="541" spans="4:9" ht="15.75" customHeight="1" x14ac:dyDescent="0.25">
      <c r="D541" s="208"/>
      <c r="E541" s="208"/>
      <c r="F541" s="178"/>
      <c r="G541" s="208"/>
      <c r="H541" s="208"/>
      <c r="I541" s="178"/>
    </row>
    <row r="542" spans="4:9" ht="15.75" customHeight="1" x14ac:dyDescent="0.25">
      <c r="D542" s="208"/>
      <c r="E542" s="208"/>
      <c r="F542" s="178"/>
      <c r="G542" s="208"/>
      <c r="H542" s="208"/>
      <c r="I542" s="178"/>
    </row>
    <row r="543" spans="4:9" ht="15.75" customHeight="1" x14ac:dyDescent="0.25">
      <c r="D543" s="208"/>
      <c r="E543" s="208"/>
      <c r="F543" s="178"/>
      <c r="G543" s="208"/>
      <c r="H543" s="208"/>
      <c r="I543" s="178"/>
    </row>
    <row r="544" spans="4:9" ht="15.75" customHeight="1" x14ac:dyDescent="0.25">
      <c r="D544" s="208"/>
      <c r="E544" s="208"/>
      <c r="F544" s="178"/>
      <c r="G544" s="208"/>
      <c r="H544" s="208"/>
      <c r="I544" s="178"/>
    </row>
    <row r="545" spans="4:9" ht="15.75" customHeight="1" x14ac:dyDescent="0.25">
      <c r="D545" s="208"/>
      <c r="E545" s="208"/>
      <c r="F545" s="178"/>
      <c r="G545" s="208"/>
      <c r="H545" s="208"/>
      <c r="I545" s="178"/>
    </row>
    <row r="546" spans="4:9" ht="15.75" customHeight="1" x14ac:dyDescent="0.25">
      <c r="D546" s="208"/>
      <c r="E546" s="208"/>
      <c r="F546" s="178"/>
      <c r="G546" s="208"/>
      <c r="H546" s="208"/>
      <c r="I546" s="178"/>
    </row>
    <row r="547" spans="4:9" ht="15.75" customHeight="1" x14ac:dyDescent="0.25">
      <c r="D547" s="208"/>
      <c r="E547" s="208"/>
      <c r="F547" s="178"/>
      <c r="G547" s="208"/>
      <c r="H547" s="208"/>
      <c r="I547" s="178"/>
    </row>
    <row r="548" spans="4:9" ht="15.75" customHeight="1" x14ac:dyDescent="0.25">
      <c r="D548" s="208"/>
      <c r="E548" s="208"/>
      <c r="F548" s="178"/>
      <c r="G548" s="208"/>
      <c r="H548" s="208"/>
      <c r="I548" s="178"/>
    </row>
    <row r="549" spans="4:9" ht="15.75" customHeight="1" x14ac:dyDescent="0.25">
      <c r="D549" s="208"/>
      <c r="E549" s="208"/>
      <c r="F549" s="178"/>
      <c r="G549" s="208"/>
      <c r="H549" s="208"/>
      <c r="I549" s="178"/>
    </row>
    <row r="550" spans="4:9" ht="15.75" customHeight="1" x14ac:dyDescent="0.25">
      <c r="D550" s="208"/>
      <c r="E550" s="208"/>
      <c r="F550" s="178"/>
      <c r="G550" s="208"/>
      <c r="H550" s="208"/>
      <c r="I550" s="178"/>
    </row>
    <row r="551" spans="4:9" ht="15.75" customHeight="1" x14ac:dyDescent="0.25">
      <c r="D551" s="208"/>
      <c r="E551" s="208"/>
      <c r="F551" s="178"/>
      <c r="G551" s="208"/>
      <c r="H551" s="208"/>
      <c r="I551" s="178"/>
    </row>
    <row r="552" spans="4:9" ht="15.75" customHeight="1" x14ac:dyDescent="0.25">
      <c r="D552" s="208"/>
      <c r="E552" s="208"/>
      <c r="F552" s="178"/>
      <c r="G552" s="208"/>
      <c r="H552" s="208"/>
      <c r="I552" s="178"/>
    </row>
    <row r="553" spans="4:9" ht="15.75" customHeight="1" x14ac:dyDescent="0.25">
      <c r="D553" s="208"/>
      <c r="E553" s="208"/>
      <c r="F553" s="178"/>
      <c r="G553" s="208"/>
      <c r="H553" s="208"/>
      <c r="I553" s="178"/>
    </row>
    <row r="554" spans="4:9" ht="15.75" customHeight="1" x14ac:dyDescent="0.25">
      <c r="D554" s="208"/>
      <c r="E554" s="208"/>
      <c r="F554" s="178"/>
      <c r="G554" s="208"/>
      <c r="H554" s="208"/>
      <c r="I554" s="178"/>
    </row>
    <row r="555" spans="4:9" ht="15.75" customHeight="1" x14ac:dyDescent="0.25">
      <c r="D555" s="208"/>
      <c r="E555" s="208"/>
      <c r="F555" s="178"/>
      <c r="G555" s="208"/>
      <c r="H555" s="208"/>
      <c r="I555" s="178"/>
    </row>
    <row r="556" spans="4:9" ht="15.75" customHeight="1" x14ac:dyDescent="0.25">
      <c r="D556" s="208"/>
      <c r="E556" s="208"/>
      <c r="F556" s="178"/>
      <c r="G556" s="208"/>
      <c r="H556" s="208"/>
      <c r="I556" s="178"/>
    </row>
    <row r="557" spans="4:9" ht="15.75" customHeight="1" x14ac:dyDescent="0.25">
      <c r="D557" s="208"/>
      <c r="E557" s="208"/>
      <c r="F557" s="178"/>
      <c r="G557" s="208"/>
      <c r="H557" s="208"/>
      <c r="I557" s="178"/>
    </row>
    <row r="558" spans="4:9" ht="15.75" customHeight="1" x14ac:dyDescent="0.25">
      <c r="D558" s="208"/>
      <c r="E558" s="208"/>
      <c r="F558" s="178"/>
      <c r="G558" s="208"/>
      <c r="H558" s="208"/>
      <c r="I558" s="178"/>
    </row>
    <row r="559" spans="4:9" ht="15.75" customHeight="1" x14ac:dyDescent="0.25">
      <c r="D559" s="208"/>
      <c r="E559" s="208"/>
      <c r="F559" s="178"/>
      <c r="G559" s="208"/>
      <c r="H559" s="208"/>
      <c r="I559" s="178"/>
    </row>
    <row r="560" spans="4:9" ht="15.75" customHeight="1" x14ac:dyDescent="0.25">
      <c r="D560" s="208"/>
      <c r="E560" s="208"/>
      <c r="F560" s="178"/>
      <c r="G560" s="208"/>
      <c r="H560" s="208"/>
      <c r="I560" s="178"/>
    </row>
    <row r="561" spans="4:9" ht="15.75" customHeight="1" x14ac:dyDescent="0.25">
      <c r="D561" s="208"/>
      <c r="E561" s="208"/>
      <c r="F561" s="178"/>
      <c r="G561" s="208"/>
      <c r="H561" s="208"/>
      <c r="I561" s="178"/>
    </row>
    <row r="562" spans="4:9" ht="15.75" customHeight="1" x14ac:dyDescent="0.25">
      <c r="D562" s="208"/>
      <c r="E562" s="208"/>
      <c r="F562" s="178"/>
      <c r="G562" s="208"/>
      <c r="H562" s="208"/>
      <c r="I562" s="178"/>
    </row>
    <row r="563" spans="4:9" ht="15.75" customHeight="1" x14ac:dyDescent="0.25">
      <c r="D563" s="208"/>
      <c r="E563" s="208"/>
      <c r="F563" s="178"/>
      <c r="G563" s="208"/>
      <c r="H563" s="208"/>
      <c r="I563" s="178"/>
    </row>
    <row r="564" spans="4:9" ht="15.75" customHeight="1" x14ac:dyDescent="0.25">
      <c r="D564" s="208"/>
      <c r="E564" s="208"/>
      <c r="F564" s="178"/>
      <c r="G564" s="208"/>
      <c r="H564" s="208"/>
      <c r="I564" s="178"/>
    </row>
    <row r="565" spans="4:9" ht="15.75" customHeight="1" x14ac:dyDescent="0.25">
      <c r="D565" s="208"/>
      <c r="E565" s="208"/>
      <c r="F565" s="178"/>
      <c r="G565" s="208"/>
      <c r="H565" s="208"/>
      <c r="I565" s="178"/>
    </row>
    <row r="566" spans="4:9" ht="15.75" customHeight="1" x14ac:dyDescent="0.25">
      <c r="D566" s="208"/>
      <c r="E566" s="208"/>
      <c r="F566" s="178"/>
      <c r="G566" s="208"/>
      <c r="H566" s="208"/>
      <c r="I566" s="178"/>
    </row>
    <row r="567" spans="4:9" ht="15.75" customHeight="1" x14ac:dyDescent="0.25">
      <c r="D567" s="208"/>
      <c r="E567" s="208"/>
      <c r="F567" s="178"/>
      <c r="G567" s="208"/>
      <c r="H567" s="208"/>
      <c r="I567" s="178"/>
    </row>
    <row r="568" spans="4:9" ht="15.75" customHeight="1" x14ac:dyDescent="0.25">
      <c r="D568" s="208"/>
      <c r="E568" s="208"/>
      <c r="F568" s="178"/>
      <c r="G568" s="208"/>
      <c r="H568" s="208"/>
      <c r="I568" s="178"/>
    </row>
    <row r="569" spans="4:9" ht="15.75" customHeight="1" x14ac:dyDescent="0.25">
      <c r="D569" s="208"/>
      <c r="E569" s="208"/>
      <c r="F569" s="178"/>
      <c r="G569" s="208"/>
      <c r="H569" s="208"/>
      <c r="I569" s="178"/>
    </row>
    <row r="570" spans="4:9" ht="15.75" customHeight="1" x14ac:dyDescent="0.25">
      <c r="D570" s="208"/>
      <c r="E570" s="208"/>
      <c r="F570" s="178"/>
      <c r="G570" s="208"/>
      <c r="H570" s="208"/>
      <c r="I570" s="178"/>
    </row>
    <row r="571" spans="4:9" ht="15.75" customHeight="1" x14ac:dyDescent="0.25">
      <c r="D571" s="208"/>
      <c r="E571" s="208"/>
      <c r="F571" s="178"/>
      <c r="G571" s="208"/>
      <c r="H571" s="208"/>
      <c r="I571" s="178"/>
    </row>
    <row r="572" spans="4:9" ht="15.75" customHeight="1" x14ac:dyDescent="0.25">
      <c r="D572" s="208"/>
      <c r="E572" s="208"/>
      <c r="F572" s="178"/>
      <c r="G572" s="208"/>
      <c r="H572" s="208"/>
      <c r="I572" s="178"/>
    </row>
    <row r="573" spans="4:9" ht="15.75" customHeight="1" x14ac:dyDescent="0.25">
      <c r="D573" s="208"/>
      <c r="E573" s="208"/>
      <c r="F573" s="178"/>
      <c r="G573" s="208"/>
      <c r="H573" s="208"/>
      <c r="I573" s="178"/>
    </row>
    <row r="574" spans="4:9" ht="15.75" customHeight="1" x14ac:dyDescent="0.25">
      <c r="D574" s="208"/>
      <c r="E574" s="208"/>
      <c r="F574" s="178"/>
      <c r="G574" s="208"/>
      <c r="H574" s="208"/>
      <c r="I574" s="178"/>
    </row>
    <row r="575" spans="4:9" ht="15.75" customHeight="1" x14ac:dyDescent="0.25">
      <c r="D575" s="208"/>
      <c r="E575" s="208"/>
      <c r="F575" s="178"/>
      <c r="G575" s="208"/>
      <c r="H575" s="208"/>
      <c r="I575" s="178"/>
    </row>
    <row r="576" spans="4:9" ht="15.75" customHeight="1" x14ac:dyDescent="0.25">
      <c r="D576" s="208"/>
      <c r="E576" s="208"/>
      <c r="F576" s="178"/>
      <c r="G576" s="208"/>
      <c r="H576" s="208"/>
      <c r="I576" s="178"/>
    </row>
    <row r="577" spans="4:9" ht="15.75" customHeight="1" x14ac:dyDescent="0.25">
      <c r="D577" s="208"/>
      <c r="E577" s="208"/>
      <c r="F577" s="178"/>
      <c r="G577" s="208"/>
      <c r="H577" s="208"/>
      <c r="I577" s="178"/>
    </row>
    <row r="578" spans="4:9" ht="15.75" customHeight="1" x14ac:dyDescent="0.25">
      <c r="D578" s="208"/>
      <c r="E578" s="208"/>
      <c r="F578" s="178"/>
      <c r="G578" s="208"/>
      <c r="H578" s="208"/>
      <c r="I578" s="178"/>
    </row>
    <row r="579" spans="4:9" ht="15.75" customHeight="1" x14ac:dyDescent="0.25">
      <c r="D579" s="208"/>
      <c r="E579" s="208"/>
      <c r="F579" s="178"/>
      <c r="G579" s="208"/>
      <c r="H579" s="208"/>
      <c r="I579" s="178"/>
    </row>
    <row r="580" spans="4:9" ht="15.75" customHeight="1" x14ac:dyDescent="0.25">
      <c r="D580" s="208"/>
      <c r="E580" s="208"/>
      <c r="F580" s="178"/>
      <c r="G580" s="208"/>
      <c r="H580" s="208"/>
      <c r="I580" s="178"/>
    </row>
    <row r="581" spans="4:9" ht="15.75" customHeight="1" x14ac:dyDescent="0.25">
      <c r="D581" s="208"/>
      <c r="E581" s="208"/>
      <c r="F581" s="178"/>
      <c r="G581" s="208"/>
      <c r="H581" s="208"/>
      <c r="I581" s="178"/>
    </row>
    <row r="582" spans="4:9" ht="15.75" customHeight="1" x14ac:dyDescent="0.25">
      <c r="D582" s="208"/>
      <c r="E582" s="208"/>
      <c r="F582" s="178"/>
      <c r="G582" s="208"/>
      <c r="H582" s="208"/>
      <c r="I582" s="178"/>
    </row>
    <row r="583" spans="4:9" ht="15.75" customHeight="1" x14ac:dyDescent="0.25">
      <c r="D583" s="208"/>
      <c r="E583" s="208"/>
      <c r="F583" s="178"/>
      <c r="G583" s="208"/>
      <c r="H583" s="208"/>
      <c r="I583" s="178"/>
    </row>
    <row r="584" spans="4:9" ht="15.75" customHeight="1" x14ac:dyDescent="0.25">
      <c r="D584" s="208"/>
      <c r="E584" s="208"/>
      <c r="F584" s="178"/>
      <c r="G584" s="208"/>
      <c r="H584" s="208"/>
      <c r="I584" s="178"/>
    </row>
    <row r="585" spans="4:9" ht="15.75" customHeight="1" x14ac:dyDescent="0.25">
      <c r="D585" s="208"/>
      <c r="E585" s="208"/>
      <c r="F585" s="178"/>
      <c r="G585" s="208"/>
      <c r="H585" s="208"/>
      <c r="I585" s="178"/>
    </row>
    <row r="586" spans="4:9" ht="15.75" customHeight="1" x14ac:dyDescent="0.25">
      <c r="D586" s="208"/>
      <c r="E586" s="208"/>
      <c r="F586" s="178"/>
      <c r="G586" s="208"/>
      <c r="H586" s="208"/>
      <c r="I586" s="178"/>
    </row>
    <row r="587" spans="4:9" ht="15.75" customHeight="1" x14ac:dyDescent="0.25">
      <c r="D587" s="208"/>
      <c r="E587" s="208"/>
      <c r="F587" s="178"/>
      <c r="G587" s="208"/>
      <c r="H587" s="208"/>
      <c r="I587" s="178"/>
    </row>
    <row r="588" spans="4:9" ht="15.75" customHeight="1" x14ac:dyDescent="0.25">
      <c r="D588" s="208"/>
      <c r="E588" s="208"/>
      <c r="F588" s="178"/>
      <c r="G588" s="208"/>
      <c r="H588" s="208"/>
      <c r="I588" s="178"/>
    </row>
    <row r="589" spans="4:9" ht="15.75" customHeight="1" x14ac:dyDescent="0.25">
      <c r="D589" s="208"/>
      <c r="E589" s="208"/>
      <c r="F589" s="178"/>
      <c r="G589" s="208"/>
      <c r="H589" s="208"/>
      <c r="I589" s="178"/>
    </row>
    <row r="590" spans="4:9" ht="15.75" customHeight="1" x14ac:dyDescent="0.25">
      <c r="D590" s="208"/>
      <c r="E590" s="208"/>
      <c r="F590" s="178"/>
      <c r="G590" s="208"/>
      <c r="H590" s="208"/>
      <c r="I590" s="178"/>
    </row>
    <row r="591" spans="4:9" ht="15.75" customHeight="1" x14ac:dyDescent="0.25">
      <c r="D591" s="208"/>
      <c r="E591" s="208"/>
      <c r="F591" s="178"/>
      <c r="G591" s="208"/>
      <c r="H591" s="208"/>
      <c r="I591" s="178"/>
    </row>
    <row r="592" spans="4:9" ht="15.75" customHeight="1" x14ac:dyDescent="0.25">
      <c r="D592" s="208"/>
      <c r="E592" s="208"/>
      <c r="F592" s="178"/>
      <c r="G592" s="208"/>
      <c r="H592" s="208"/>
      <c r="I592" s="178"/>
    </row>
    <row r="593" spans="4:9" ht="15.75" customHeight="1" x14ac:dyDescent="0.25">
      <c r="D593" s="208"/>
      <c r="E593" s="208"/>
      <c r="F593" s="178"/>
      <c r="G593" s="208"/>
      <c r="H593" s="208"/>
      <c r="I593" s="178"/>
    </row>
    <row r="594" spans="4:9" ht="15.75" customHeight="1" x14ac:dyDescent="0.25">
      <c r="D594" s="208"/>
      <c r="E594" s="208"/>
      <c r="F594" s="178"/>
      <c r="G594" s="208"/>
      <c r="H594" s="208"/>
      <c r="I594" s="178"/>
    </row>
    <row r="595" spans="4:9" ht="15.75" customHeight="1" x14ac:dyDescent="0.25">
      <c r="D595" s="208"/>
      <c r="E595" s="208"/>
      <c r="F595" s="178"/>
      <c r="G595" s="208"/>
      <c r="H595" s="208"/>
      <c r="I595" s="178"/>
    </row>
    <row r="596" spans="4:9" ht="15.75" customHeight="1" x14ac:dyDescent="0.25">
      <c r="D596" s="208"/>
      <c r="E596" s="208"/>
      <c r="F596" s="178"/>
      <c r="G596" s="208"/>
      <c r="H596" s="208"/>
      <c r="I596" s="178"/>
    </row>
    <row r="597" spans="4:9" ht="15.75" customHeight="1" x14ac:dyDescent="0.25">
      <c r="D597" s="208"/>
      <c r="E597" s="208"/>
      <c r="F597" s="178"/>
      <c r="G597" s="208"/>
      <c r="H597" s="208"/>
      <c r="I597" s="178"/>
    </row>
    <row r="598" spans="4:9" ht="15.75" customHeight="1" x14ac:dyDescent="0.25">
      <c r="D598" s="208"/>
      <c r="E598" s="208"/>
      <c r="F598" s="178"/>
      <c r="G598" s="208"/>
      <c r="H598" s="208"/>
      <c r="I598" s="178"/>
    </row>
    <row r="599" spans="4:9" ht="15.75" customHeight="1" x14ac:dyDescent="0.25">
      <c r="D599" s="208"/>
      <c r="E599" s="208"/>
      <c r="F599" s="178"/>
      <c r="G599" s="208"/>
      <c r="H599" s="208"/>
      <c r="I599" s="178"/>
    </row>
    <row r="600" spans="4:9" ht="15.75" customHeight="1" x14ac:dyDescent="0.25">
      <c r="D600" s="208"/>
      <c r="E600" s="208"/>
      <c r="F600" s="178"/>
      <c r="G600" s="208"/>
      <c r="H600" s="208"/>
      <c r="I600" s="178"/>
    </row>
    <row r="601" spans="4:9" ht="15.75" customHeight="1" x14ac:dyDescent="0.25">
      <c r="D601" s="208"/>
      <c r="E601" s="208"/>
      <c r="F601" s="178"/>
      <c r="G601" s="208"/>
      <c r="H601" s="208"/>
      <c r="I601" s="178"/>
    </row>
    <row r="602" spans="4:9" ht="15.75" customHeight="1" x14ac:dyDescent="0.25">
      <c r="D602" s="208"/>
      <c r="E602" s="208"/>
      <c r="F602" s="178"/>
      <c r="G602" s="208"/>
      <c r="H602" s="208"/>
      <c r="I602" s="178"/>
    </row>
    <row r="603" spans="4:9" ht="15.75" customHeight="1" x14ac:dyDescent="0.25">
      <c r="D603" s="208"/>
      <c r="E603" s="208"/>
      <c r="F603" s="178"/>
      <c r="G603" s="208"/>
      <c r="H603" s="208"/>
      <c r="I603" s="178"/>
    </row>
    <row r="604" spans="4:9" ht="15.75" customHeight="1" x14ac:dyDescent="0.25">
      <c r="D604" s="208"/>
      <c r="E604" s="208"/>
      <c r="F604" s="178"/>
      <c r="G604" s="208"/>
      <c r="H604" s="208"/>
      <c r="I604" s="178"/>
    </row>
    <row r="605" spans="4:9" ht="15.75" customHeight="1" x14ac:dyDescent="0.25">
      <c r="D605" s="208"/>
      <c r="E605" s="208"/>
      <c r="F605" s="178"/>
      <c r="G605" s="208"/>
      <c r="H605" s="208"/>
      <c r="I605" s="178"/>
    </row>
    <row r="606" spans="4:9" ht="15.75" customHeight="1" x14ac:dyDescent="0.25">
      <c r="D606" s="208"/>
      <c r="E606" s="208"/>
      <c r="F606" s="178"/>
      <c r="G606" s="208"/>
      <c r="H606" s="208"/>
      <c r="I606" s="178"/>
    </row>
    <row r="607" spans="4:9" ht="15.75" customHeight="1" x14ac:dyDescent="0.25">
      <c r="D607" s="208"/>
      <c r="E607" s="208"/>
      <c r="F607" s="178"/>
      <c r="G607" s="208"/>
      <c r="H607" s="208"/>
      <c r="I607" s="178"/>
    </row>
    <row r="608" spans="4:9" ht="15.75" customHeight="1" x14ac:dyDescent="0.25">
      <c r="D608" s="208"/>
      <c r="E608" s="208"/>
      <c r="F608" s="178"/>
      <c r="G608" s="208"/>
      <c r="H608" s="208"/>
      <c r="I608" s="178"/>
    </row>
    <row r="609" spans="4:9" ht="15.75" customHeight="1" x14ac:dyDescent="0.25">
      <c r="D609" s="208"/>
      <c r="E609" s="208"/>
      <c r="F609" s="178"/>
      <c r="G609" s="208"/>
      <c r="H609" s="208"/>
      <c r="I609" s="178"/>
    </row>
    <row r="610" spans="4:9" ht="15.75" customHeight="1" x14ac:dyDescent="0.25">
      <c r="D610" s="208"/>
      <c r="E610" s="208"/>
      <c r="F610" s="178"/>
      <c r="G610" s="208"/>
      <c r="H610" s="208"/>
      <c r="I610" s="178"/>
    </row>
    <row r="611" spans="4:9" ht="15.75" customHeight="1" x14ac:dyDescent="0.25">
      <c r="D611" s="208"/>
      <c r="E611" s="208"/>
      <c r="F611" s="178"/>
      <c r="G611" s="208"/>
      <c r="H611" s="208"/>
      <c r="I611" s="178"/>
    </row>
    <row r="612" spans="4:9" ht="15.75" customHeight="1" x14ac:dyDescent="0.25">
      <c r="D612" s="208"/>
      <c r="E612" s="208"/>
      <c r="F612" s="178"/>
      <c r="G612" s="208"/>
      <c r="H612" s="208"/>
      <c r="I612" s="178"/>
    </row>
    <row r="613" spans="4:9" ht="15.75" customHeight="1" x14ac:dyDescent="0.25">
      <c r="D613" s="208"/>
      <c r="E613" s="208"/>
      <c r="F613" s="178"/>
      <c r="G613" s="208"/>
      <c r="H613" s="208"/>
      <c r="I613" s="178"/>
    </row>
    <row r="614" spans="4:9" ht="15.75" customHeight="1" x14ac:dyDescent="0.25">
      <c r="D614" s="208"/>
      <c r="E614" s="208"/>
      <c r="F614" s="178"/>
      <c r="G614" s="208"/>
      <c r="H614" s="208"/>
      <c r="I614" s="178"/>
    </row>
    <row r="615" spans="4:9" ht="15.75" customHeight="1" x14ac:dyDescent="0.25">
      <c r="D615" s="208"/>
      <c r="E615" s="208"/>
      <c r="F615" s="178"/>
      <c r="G615" s="208"/>
      <c r="H615" s="208"/>
      <c r="I615" s="178"/>
    </row>
    <row r="616" spans="4:9" ht="15.75" customHeight="1" x14ac:dyDescent="0.25">
      <c r="D616" s="208"/>
      <c r="E616" s="208"/>
      <c r="F616" s="178"/>
      <c r="G616" s="208"/>
      <c r="H616" s="208"/>
      <c r="I616" s="178"/>
    </row>
    <row r="617" spans="4:9" ht="15.75" customHeight="1" x14ac:dyDescent="0.25">
      <c r="D617" s="208"/>
      <c r="E617" s="208"/>
      <c r="F617" s="178"/>
      <c r="G617" s="208"/>
      <c r="H617" s="208"/>
      <c r="I617" s="178"/>
    </row>
    <row r="618" spans="4:9" ht="15.75" customHeight="1" x14ac:dyDescent="0.25">
      <c r="D618" s="208"/>
      <c r="E618" s="208"/>
      <c r="F618" s="178"/>
      <c r="G618" s="208"/>
      <c r="H618" s="208"/>
      <c r="I618" s="178"/>
    </row>
    <row r="619" spans="4:9" ht="15.75" customHeight="1" x14ac:dyDescent="0.25">
      <c r="D619" s="208"/>
      <c r="E619" s="208"/>
      <c r="F619" s="178"/>
      <c r="G619" s="208"/>
      <c r="H619" s="208"/>
      <c r="I619" s="178"/>
    </row>
    <row r="620" spans="4:9" ht="15.75" customHeight="1" x14ac:dyDescent="0.25">
      <c r="D620" s="208"/>
      <c r="E620" s="208"/>
      <c r="F620" s="178"/>
      <c r="G620" s="208"/>
      <c r="H620" s="208"/>
      <c r="I620" s="178"/>
    </row>
    <row r="621" spans="4:9" ht="15.75" customHeight="1" x14ac:dyDescent="0.25">
      <c r="D621" s="208"/>
      <c r="E621" s="208"/>
      <c r="F621" s="178"/>
      <c r="G621" s="208"/>
      <c r="H621" s="208"/>
      <c r="I621" s="178"/>
    </row>
    <row r="622" spans="4:9" ht="15.75" customHeight="1" x14ac:dyDescent="0.25">
      <c r="D622" s="208"/>
      <c r="E622" s="208"/>
      <c r="F622" s="178"/>
      <c r="G622" s="208"/>
      <c r="H622" s="208"/>
      <c r="I622" s="178"/>
    </row>
    <row r="623" spans="4:9" ht="15.75" customHeight="1" x14ac:dyDescent="0.25">
      <c r="D623" s="208"/>
      <c r="E623" s="208"/>
      <c r="F623" s="178"/>
      <c r="G623" s="208"/>
      <c r="H623" s="208"/>
      <c r="I623" s="178"/>
    </row>
    <row r="624" spans="4:9" ht="15.75" customHeight="1" x14ac:dyDescent="0.25">
      <c r="D624" s="208"/>
      <c r="E624" s="208"/>
      <c r="F624" s="178"/>
      <c r="G624" s="208"/>
      <c r="H624" s="208"/>
      <c r="I624" s="178"/>
    </row>
    <row r="625" spans="4:9" ht="15.75" customHeight="1" x14ac:dyDescent="0.25">
      <c r="D625" s="208"/>
      <c r="E625" s="208"/>
      <c r="F625" s="178"/>
      <c r="G625" s="208"/>
      <c r="H625" s="208"/>
      <c r="I625" s="178"/>
    </row>
    <row r="626" spans="4:9" ht="15.75" customHeight="1" x14ac:dyDescent="0.25">
      <c r="D626" s="208"/>
      <c r="E626" s="208"/>
      <c r="F626" s="178"/>
      <c r="G626" s="208"/>
      <c r="H626" s="208"/>
      <c r="I626" s="178"/>
    </row>
    <row r="627" spans="4:9" ht="15.75" customHeight="1" x14ac:dyDescent="0.25">
      <c r="D627" s="208"/>
      <c r="E627" s="208"/>
      <c r="F627" s="178"/>
      <c r="G627" s="208"/>
      <c r="H627" s="208"/>
      <c r="I627" s="178"/>
    </row>
    <row r="628" spans="4:9" ht="15.75" customHeight="1" x14ac:dyDescent="0.25">
      <c r="D628" s="208"/>
      <c r="E628" s="208"/>
      <c r="F628" s="178"/>
      <c r="G628" s="208"/>
      <c r="H628" s="208"/>
      <c r="I628" s="178"/>
    </row>
    <row r="629" spans="4:9" ht="15.75" customHeight="1" x14ac:dyDescent="0.25">
      <c r="D629" s="208"/>
      <c r="E629" s="208"/>
      <c r="F629" s="178"/>
      <c r="G629" s="208"/>
      <c r="H629" s="208"/>
      <c r="I629" s="178"/>
    </row>
    <row r="630" spans="4:9" ht="15.75" customHeight="1" x14ac:dyDescent="0.25">
      <c r="D630" s="208"/>
      <c r="E630" s="208"/>
      <c r="F630" s="178"/>
      <c r="G630" s="208"/>
      <c r="H630" s="208"/>
      <c r="I630" s="178"/>
    </row>
    <row r="631" spans="4:9" ht="15.75" customHeight="1" x14ac:dyDescent="0.25">
      <c r="D631" s="208"/>
      <c r="E631" s="208"/>
      <c r="F631" s="178"/>
      <c r="G631" s="208"/>
      <c r="H631" s="208"/>
      <c r="I631" s="178"/>
    </row>
    <row r="632" spans="4:9" ht="15.75" customHeight="1" x14ac:dyDescent="0.25">
      <c r="D632" s="208"/>
      <c r="E632" s="208"/>
      <c r="F632" s="178"/>
      <c r="G632" s="208"/>
      <c r="H632" s="208"/>
      <c r="I632" s="178"/>
    </row>
    <row r="633" spans="4:9" ht="15.75" customHeight="1" x14ac:dyDescent="0.25">
      <c r="D633" s="208"/>
      <c r="E633" s="208"/>
      <c r="F633" s="178"/>
      <c r="G633" s="208"/>
      <c r="H633" s="208"/>
      <c r="I633" s="178"/>
    </row>
    <row r="634" spans="4:9" ht="15.75" customHeight="1" x14ac:dyDescent="0.25">
      <c r="D634" s="208"/>
      <c r="E634" s="208"/>
      <c r="F634" s="178"/>
      <c r="G634" s="208"/>
      <c r="H634" s="208"/>
      <c r="I634" s="178"/>
    </row>
    <row r="635" spans="4:9" ht="15.75" customHeight="1" x14ac:dyDescent="0.25">
      <c r="D635" s="208"/>
      <c r="E635" s="208"/>
      <c r="F635" s="178"/>
      <c r="G635" s="208"/>
      <c r="H635" s="208"/>
      <c r="I635" s="178"/>
    </row>
    <row r="636" spans="4:9" ht="15.75" customHeight="1" x14ac:dyDescent="0.25">
      <c r="D636" s="208"/>
      <c r="E636" s="208"/>
      <c r="F636" s="178"/>
      <c r="G636" s="208"/>
      <c r="H636" s="208"/>
      <c r="I636" s="178"/>
    </row>
    <row r="637" spans="4:9" ht="15.75" customHeight="1" x14ac:dyDescent="0.25">
      <c r="D637" s="208"/>
      <c r="E637" s="208"/>
      <c r="F637" s="178"/>
      <c r="G637" s="208"/>
      <c r="H637" s="208"/>
      <c r="I637" s="178"/>
    </row>
    <row r="638" spans="4:9" ht="15.75" customHeight="1" x14ac:dyDescent="0.25">
      <c r="D638" s="208"/>
      <c r="E638" s="208"/>
      <c r="F638" s="178"/>
      <c r="G638" s="208"/>
      <c r="H638" s="208"/>
      <c r="I638" s="178"/>
    </row>
    <row r="639" spans="4:9" ht="15.75" customHeight="1" x14ac:dyDescent="0.25">
      <c r="D639" s="208"/>
      <c r="E639" s="208"/>
      <c r="F639" s="178"/>
      <c r="G639" s="208"/>
      <c r="H639" s="208"/>
      <c r="I639" s="178"/>
    </row>
    <row r="640" spans="4:9" ht="15.75" customHeight="1" x14ac:dyDescent="0.25">
      <c r="D640" s="208"/>
      <c r="E640" s="208"/>
      <c r="F640" s="178"/>
      <c r="G640" s="208"/>
      <c r="H640" s="208"/>
      <c r="I640" s="178"/>
    </row>
    <row r="641" spans="4:9" ht="15.75" customHeight="1" x14ac:dyDescent="0.25">
      <c r="D641" s="208"/>
      <c r="E641" s="208"/>
      <c r="F641" s="178"/>
      <c r="G641" s="208"/>
      <c r="H641" s="208"/>
      <c r="I641" s="178"/>
    </row>
    <row r="642" spans="4:9" ht="15.75" customHeight="1" x14ac:dyDescent="0.25">
      <c r="D642" s="208"/>
      <c r="E642" s="208"/>
      <c r="F642" s="178"/>
      <c r="G642" s="208"/>
      <c r="H642" s="208"/>
      <c r="I642" s="178"/>
    </row>
    <row r="643" spans="4:9" ht="15.75" customHeight="1" x14ac:dyDescent="0.25">
      <c r="D643" s="208"/>
      <c r="E643" s="208"/>
      <c r="F643" s="178"/>
      <c r="G643" s="208"/>
      <c r="H643" s="208"/>
      <c r="I643" s="178"/>
    </row>
    <row r="644" spans="4:9" ht="15.75" customHeight="1" x14ac:dyDescent="0.25">
      <c r="D644" s="208"/>
      <c r="E644" s="208"/>
      <c r="F644" s="178"/>
      <c r="G644" s="208"/>
      <c r="H644" s="208"/>
      <c r="I644" s="178"/>
    </row>
    <row r="645" spans="4:9" ht="15.75" customHeight="1" x14ac:dyDescent="0.25">
      <c r="D645" s="208"/>
      <c r="E645" s="208"/>
      <c r="F645" s="178"/>
      <c r="G645" s="208"/>
      <c r="H645" s="208"/>
      <c r="I645" s="178"/>
    </row>
    <row r="646" spans="4:9" ht="15.75" customHeight="1" x14ac:dyDescent="0.25">
      <c r="D646" s="208"/>
      <c r="E646" s="208"/>
      <c r="F646" s="178"/>
      <c r="G646" s="208"/>
      <c r="H646" s="208"/>
      <c r="I646" s="178"/>
    </row>
    <row r="647" spans="4:9" ht="15.75" customHeight="1" x14ac:dyDescent="0.25">
      <c r="D647" s="208"/>
      <c r="E647" s="208"/>
      <c r="F647" s="178"/>
      <c r="G647" s="208"/>
      <c r="H647" s="208"/>
      <c r="I647" s="178"/>
    </row>
    <row r="648" spans="4:9" ht="15.75" customHeight="1" x14ac:dyDescent="0.25">
      <c r="D648" s="208"/>
      <c r="E648" s="208"/>
      <c r="F648" s="178"/>
      <c r="G648" s="208"/>
      <c r="H648" s="208"/>
      <c r="I648" s="178"/>
    </row>
    <row r="649" spans="4:9" ht="15.75" customHeight="1" x14ac:dyDescent="0.25">
      <c r="D649" s="208"/>
      <c r="E649" s="208"/>
      <c r="F649" s="178"/>
      <c r="G649" s="208"/>
      <c r="H649" s="208"/>
      <c r="I649" s="178"/>
    </row>
    <row r="650" spans="4:9" ht="15.75" customHeight="1" x14ac:dyDescent="0.25">
      <c r="D650" s="208"/>
      <c r="E650" s="208"/>
      <c r="F650" s="178"/>
      <c r="G650" s="208"/>
      <c r="H650" s="208"/>
      <c r="I650" s="178"/>
    </row>
    <row r="651" spans="4:9" ht="15.75" customHeight="1" x14ac:dyDescent="0.25">
      <c r="D651" s="208"/>
      <c r="E651" s="208"/>
      <c r="F651" s="178"/>
      <c r="G651" s="208"/>
      <c r="H651" s="208"/>
      <c r="I651" s="178"/>
    </row>
    <row r="652" spans="4:9" ht="15.75" customHeight="1" x14ac:dyDescent="0.25">
      <c r="D652" s="208"/>
      <c r="E652" s="208"/>
      <c r="F652" s="178"/>
      <c r="G652" s="208"/>
      <c r="H652" s="208"/>
      <c r="I652" s="178"/>
    </row>
    <row r="653" spans="4:9" ht="15.75" customHeight="1" x14ac:dyDescent="0.25">
      <c r="D653" s="208"/>
      <c r="E653" s="208"/>
      <c r="F653" s="178"/>
      <c r="G653" s="208"/>
      <c r="H653" s="208"/>
      <c r="I653" s="178"/>
    </row>
    <row r="654" spans="4:9" ht="15.75" customHeight="1" x14ac:dyDescent="0.25">
      <c r="D654" s="208"/>
      <c r="E654" s="208"/>
      <c r="F654" s="178"/>
      <c r="G654" s="208"/>
      <c r="H654" s="208"/>
      <c r="I654" s="178"/>
    </row>
    <row r="655" spans="4:9" ht="15.75" customHeight="1" x14ac:dyDescent="0.25">
      <c r="D655" s="208"/>
      <c r="E655" s="208"/>
      <c r="F655" s="178"/>
      <c r="G655" s="208"/>
      <c r="H655" s="208"/>
      <c r="I655" s="178"/>
    </row>
    <row r="656" spans="4:9" ht="15.75" customHeight="1" x14ac:dyDescent="0.25">
      <c r="D656" s="208"/>
      <c r="E656" s="208"/>
      <c r="F656" s="178"/>
      <c r="G656" s="208"/>
      <c r="H656" s="208"/>
      <c r="I656" s="178"/>
    </row>
    <row r="657" spans="4:9" ht="15.75" customHeight="1" x14ac:dyDescent="0.25">
      <c r="D657" s="208"/>
      <c r="E657" s="208"/>
      <c r="F657" s="178"/>
      <c r="G657" s="208"/>
      <c r="H657" s="208"/>
      <c r="I657" s="178"/>
    </row>
    <row r="658" spans="4:9" ht="15.75" customHeight="1" x14ac:dyDescent="0.25">
      <c r="D658" s="208"/>
      <c r="E658" s="208"/>
      <c r="F658" s="178"/>
      <c r="G658" s="208"/>
      <c r="H658" s="208"/>
      <c r="I658" s="178"/>
    </row>
    <row r="659" spans="4:9" ht="15.75" customHeight="1" x14ac:dyDescent="0.25">
      <c r="D659" s="208"/>
      <c r="E659" s="208"/>
      <c r="F659" s="178"/>
      <c r="G659" s="208"/>
      <c r="H659" s="208"/>
      <c r="I659" s="178"/>
    </row>
    <row r="660" spans="4:9" ht="15.75" customHeight="1" x14ac:dyDescent="0.25">
      <c r="D660" s="208"/>
      <c r="E660" s="208"/>
      <c r="F660" s="178"/>
      <c r="G660" s="208"/>
      <c r="H660" s="208"/>
      <c r="I660" s="178"/>
    </row>
    <row r="661" spans="4:9" ht="15.75" customHeight="1" x14ac:dyDescent="0.25">
      <c r="D661" s="208"/>
      <c r="E661" s="208"/>
      <c r="F661" s="178"/>
      <c r="G661" s="208"/>
      <c r="H661" s="208"/>
      <c r="I661" s="178"/>
    </row>
    <row r="662" spans="4:9" ht="15.75" customHeight="1" x14ac:dyDescent="0.25">
      <c r="D662" s="208"/>
      <c r="E662" s="208"/>
      <c r="F662" s="178"/>
      <c r="G662" s="208"/>
      <c r="H662" s="208"/>
      <c r="I662" s="178"/>
    </row>
    <row r="663" spans="4:9" ht="15.75" customHeight="1" x14ac:dyDescent="0.25">
      <c r="D663" s="208"/>
      <c r="E663" s="208"/>
      <c r="F663" s="178"/>
      <c r="G663" s="208"/>
      <c r="H663" s="208"/>
      <c r="I663" s="178"/>
    </row>
    <row r="664" spans="4:9" ht="15.75" customHeight="1" x14ac:dyDescent="0.25">
      <c r="D664" s="208"/>
      <c r="E664" s="208"/>
      <c r="F664" s="178"/>
      <c r="G664" s="208"/>
      <c r="H664" s="208"/>
      <c r="I664" s="178"/>
    </row>
    <row r="665" spans="4:9" ht="15.75" customHeight="1" x14ac:dyDescent="0.25">
      <c r="D665" s="208"/>
      <c r="E665" s="208"/>
      <c r="F665" s="178"/>
      <c r="G665" s="208"/>
      <c r="H665" s="208"/>
      <c r="I665" s="178"/>
    </row>
    <row r="666" spans="4:9" ht="15.75" customHeight="1" x14ac:dyDescent="0.25">
      <c r="D666" s="208"/>
      <c r="E666" s="208"/>
      <c r="F666" s="178"/>
      <c r="G666" s="208"/>
      <c r="H666" s="208"/>
      <c r="I666" s="178"/>
    </row>
    <row r="667" spans="4:9" ht="15.75" customHeight="1" x14ac:dyDescent="0.25">
      <c r="D667" s="208"/>
      <c r="E667" s="208"/>
      <c r="F667" s="178"/>
      <c r="G667" s="208"/>
      <c r="H667" s="208"/>
      <c r="I667" s="178"/>
    </row>
    <row r="668" spans="4:9" ht="15.75" customHeight="1" x14ac:dyDescent="0.25">
      <c r="D668" s="208"/>
      <c r="E668" s="208"/>
      <c r="F668" s="178"/>
      <c r="G668" s="208"/>
      <c r="H668" s="208"/>
      <c r="I668" s="178"/>
    </row>
    <row r="669" spans="4:9" ht="15.75" customHeight="1" x14ac:dyDescent="0.25">
      <c r="D669" s="208"/>
      <c r="E669" s="208"/>
      <c r="F669" s="178"/>
      <c r="G669" s="208"/>
      <c r="H669" s="208"/>
      <c r="I669" s="178"/>
    </row>
    <row r="670" spans="4:9" ht="15.75" customHeight="1" x14ac:dyDescent="0.25">
      <c r="D670" s="208"/>
      <c r="E670" s="208"/>
      <c r="F670" s="178"/>
      <c r="G670" s="208"/>
      <c r="H670" s="208"/>
      <c r="I670" s="178"/>
    </row>
    <row r="671" spans="4:9" ht="15.75" customHeight="1" x14ac:dyDescent="0.25">
      <c r="D671" s="208"/>
      <c r="E671" s="208"/>
      <c r="F671" s="178"/>
      <c r="G671" s="208"/>
      <c r="H671" s="208"/>
      <c r="I671" s="178"/>
    </row>
    <row r="672" spans="4:9" ht="15.75" customHeight="1" x14ac:dyDescent="0.25">
      <c r="D672" s="208"/>
      <c r="E672" s="208"/>
      <c r="F672" s="178"/>
      <c r="G672" s="208"/>
      <c r="H672" s="208"/>
      <c r="I672" s="178"/>
    </row>
    <row r="673" spans="4:9" ht="15.75" customHeight="1" x14ac:dyDescent="0.25">
      <c r="D673" s="208"/>
      <c r="E673" s="208"/>
      <c r="F673" s="178"/>
      <c r="G673" s="208"/>
      <c r="H673" s="208"/>
      <c r="I673" s="178"/>
    </row>
    <row r="674" spans="4:9" ht="15.75" customHeight="1" x14ac:dyDescent="0.25">
      <c r="D674" s="208"/>
      <c r="E674" s="208"/>
      <c r="F674" s="178"/>
      <c r="G674" s="208"/>
      <c r="H674" s="208"/>
      <c r="I674" s="178"/>
    </row>
    <row r="675" spans="4:9" ht="15.75" customHeight="1" x14ac:dyDescent="0.25">
      <c r="D675" s="208"/>
      <c r="E675" s="208"/>
      <c r="F675" s="178"/>
      <c r="G675" s="208"/>
      <c r="H675" s="208"/>
      <c r="I675" s="178"/>
    </row>
    <row r="676" spans="4:9" ht="15.75" customHeight="1" x14ac:dyDescent="0.25">
      <c r="D676" s="208"/>
      <c r="E676" s="208"/>
      <c r="F676" s="178"/>
      <c r="G676" s="208"/>
      <c r="H676" s="208"/>
      <c r="I676" s="178"/>
    </row>
    <row r="677" spans="4:9" ht="15.75" customHeight="1" x14ac:dyDescent="0.25">
      <c r="D677" s="208"/>
      <c r="E677" s="208"/>
      <c r="F677" s="178"/>
      <c r="G677" s="208"/>
      <c r="H677" s="208"/>
      <c r="I677" s="178"/>
    </row>
    <row r="678" spans="4:9" ht="15.75" customHeight="1" x14ac:dyDescent="0.25">
      <c r="D678" s="208"/>
      <c r="E678" s="208"/>
      <c r="F678" s="178"/>
      <c r="G678" s="208"/>
      <c r="H678" s="208"/>
      <c r="I678" s="178"/>
    </row>
    <row r="679" spans="4:9" ht="15.75" customHeight="1" x14ac:dyDescent="0.25">
      <c r="D679" s="208"/>
      <c r="E679" s="208"/>
      <c r="F679" s="178"/>
      <c r="G679" s="208"/>
      <c r="H679" s="208"/>
      <c r="I679" s="178"/>
    </row>
    <row r="680" spans="4:9" ht="15.75" customHeight="1" x14ac:dyDescent="0.25">
      <c r="D680" s="208"/>
      <c r="E680" s="208"/>
      <c r="F680" s="178"/>
      <c r="G680" s="208"/>
      <c r="H680" s="208"/>
      <c r="I680" s="178"/>
    </row>
    <row r="681" spans="4:9" ht="15.75" customHeight="1" x14ac:dyDescent="0.25">
      <c r="D681" s="208"/>
      <c r="E681" s="208"/>
      <c r="F681" s="178"/>
      <c r="G681" s="208"/>
      <c r="H681" s="208"/>
      <c r="I681" s="178"/>
    </row>
    <row r="682" spans="4:9" ht="15.75" customHeight="1" x14ac:dyDescent="0.25">
      <c r="D682" s="208"/>
      <c r="E682" s="208"/>
      <c r="F682" s="178"/>
      <c r="G682" s="208"/>
      <c r="H682" s="208"/>
      <c r="I682" s="178"/>
    </row>
    <row r="683" spans="4:9" ht="15.75" customHeight="1" x14ac:dyDescent="0.25">
      <c r="D683" s="208"/>
      <c r="E683" s="208"/>
      <c r="F683" s="178"/>
      <c r="G683" s="208"/>
      <c r="H683" s="208"/>
      <c r="I683" s="178"/>
    </row>
    <row r="684" spans="4:9" ht="15.75" customHeight="1" x14ac:dyDescent="0.25">
      <c r="D684" s="208"/>
      <c r="E684" s="208"/>
      <c r="F684" s="178"/>
      <c r="G684" s="208"/>
      <c r="H684" s="208"/>
      <c r="I684" s="178"/>
    </row>
    <row r="685" spans="4:9" ht="15.75" customHeight="1" x14ac:dyDescent="0.25">
      <c r="D685" s="208"/>
      <c r="E685" s="208"/>
      <c r="F685" s="178"/>
      <c r="G685" s="208"/>
      <c r="H685" s="208"/>
      <c r="I685" s="178"/>
    </row>
    <row r="686" spans="4:9" ht="15.75" customHeight="1" x14ac:dyDescent="0.25">
      <c r="D686" s="208"/>
      <c r="E686" s="208"/>
      <c r="F686" s="178"/>
      <c r="G686" s="208"/>
      <c r="H686" s="208"/>
      <c r="I686" s="178"/>
    </row>
    <row r="687" spans="4:9" ht="15.75" customHeight="1" x14ac:dyDescent="0.25">
      <c r="D687" s="208"/>
      <c r="E687" s="208"/>
      <c r="F687" s="178"/>
      <c r="G687" s="208"/>
      <c r="H687" s="208"/>
      <c r="I687" s="178"/>
    </row>
    <row r="688" spans="4:9" ht="15.75" customHeight="1" x14ac:dyDescent="0.25">
      <c r="D688" s="208"/>
      <c r="E688" s="208"/>
      <c r="F688" s="178"/>
      <c r="G688" s="208"/>
      <c r="H688" s="208"/>
      <c r="I688" s="178"/>
    </row>
    <row r="689" spans="4:9" ht="15.75" customHeight="1" x14ac:dyDescent="0.25">
      <c r="D689" s="208"/>
      <c r="E689" s="208"/>
      <c r="F689" s="178"/>
      <c r="G689" s="208"/>
      <c r="H689" s="208"/>
      <c r="I689" s="178"/>
    </row>
    <row r="690" spans="4:9" ht="15.75" customHeight="1" x14ac:dyDescent="0.25">
      <c r="D690" s="208"/>
      <c r="E690" s="208"/>
      <c r="F690" s="178"/>
      <c r="G690" s="208"/>
      <c r="H690" s="208"/>
      <c r="I690" s="178"/>
    </row>
    <row r="691" spans="4:9" ht="15.75" customHeight="1" x14ac:dyDescent="0.25">
      <c r="D691" s="208"/>
      <c r="E691" s="208"/>
      <c r="F691" s="178"/>
      <c r="G691" s="208"/>
      <c r="H691" s="208"/>
      <c r="I691" s="178"/>
    </row>
    <row r="692" spans="4:9" ht="15.75" customHeight="1" x14ac:dyDescent="0.25">
      <c r="D692" s="208"/>
      <c r="E692" s="208"/>
      <c r="F692" s="178"/>
      <c r="G692" s="208"/>
      <c r="H692" s="208"/>
      <c r="I692" s="178"/>
    </row>
    <row r="693" spans="4:9" ht="15.75" customHeight="1" x14ac:dyDescent="0.25">
      <c r="D693" s="208"/>
      <c r="E693" s="208"/>
      <c r="F693" s="178"/>
      <c r="G693" s="208"/>
      <c r="H693" s="208"/>
      <c r="I693" s="178"/>
    </row>
    <row r="694" spans="4:9" ht="15.75" customHeight="1" x14ac:dyDescent="0.25">
      <c r="D694" s="208"/>
      <c r="E694" s="208"/>
      <c r="F694" s="178"/>
      <c r="G694" s="208"/>
      <c r="H694" s="208"/>
      <c r="I694" s="178"/>
    </row>
    <row r="695" spans="4:9" ht="15.75" customHeight="1" x14ac:dyDescent="0.25">
      <c r="D695" s="208"/>
      <c r="E695" s="208"/>
      <c r="F695" s="178"/>
      <c r="G695" s="208"/>
      <c r="H695" s="208"/>
      <c r="I695" s="178"/>
    </row>
    <row r="696" spans="4:9" ht="15.75" customHeight="1" x14ac:dyDescent="0.25">
      <c r="D696" s="208"/>
      <c r="E696" s="208"/>
      <c r="F696" s="178"/>
      <c r="G696" s="208"/>
      <c r="H696" s="208"/>
      <c r="I696" s="178"/>
    </row>
    <row r="697" spans="4:9" ht="15.75" customHeight="1" x14ac:dyDescent="0.25">
      <c r="D697" s="208"/>
      <c r="E697" s="208"/>
      <c r="F697" s="178"/>
      <c r="G697" s="208"/>
      <c r="H697" s="208"/>
      <c r="I697" s="178"/>
    </row>
    <row r="698" spans="4:9" ht="15.75" customHeight="1" x14ac:dyDescent="0.25">
      <c r="D698" s="208"/>
      <c r="E698" s="208"/>
      <c r="F698" s="178"/>
      <c r="G698" s="208"/>
      <c r="H698" s="208"/>
      <c r="I698" s="178"/>
    </row>
    <row r="699" spans="4:9" ht="15.75" customHeight="1" x14ac:dyDescent="0.25">
      <c r="D699" s="208"/>
      <c r="E699" s="208"/>
      <c r="F699" s="178"/>
      <c r="G699" s="208"/>
      <c r="H699" s="208"/>
      <c r="I699" s="178"/>
    </row>
    <row r="700" spans="4:9" ht="15.75" customHeight="1" x14ac:dyDescent="0.25">
      <c r="D700" s="208"/>
      <c r="E700" s="208"/>
      <c r="F700" s="178"/>
      <c r="G700" s="208"/>
      <c r="H700" s="208"/>
      <c r="I700" s="178"/>
    </row>
    <row r="701" spans="4:9" ht="15.75" customHeight="1" x14ac:dyDescent="0.25">
      <c r="D701" s="208"/>
      <c r="E701" s="208"/>
      <c r="F701" s="178"/>
      <c r="G701" s="208"/>
      <c r="H701" s="208"/>
      <c r="I701" s="178"/>
    </row>
    <row r="702" spans="4:9" ht="15.75" customHeight="1" x14ac:dyDescent="0.25">
      <c r="D702" s="208"/>
      <c r="E702" s="208"/>
      <c r="F702" s="178"/>
      <c r="G702" s="208"/>
      <c r="H702" s="208"/>
      <c r="I702" s="178"/>
    </row>
    <row r="703" spans="4:9" ht="15.75" customHeight="1" x14ac:dyDescent="0.25">
      <c r="D703" s="208"/>
      <c r="E703" s="208"/>
      <c r="F703" s="178"/>
      <c r="G703" s="208"/>
      <c r="H703" s="208"/>
      <c r="I703" s="178"/>
    </row>
    <row r="704" spans="4:9" ht="15.75" customHeight="1" x14ac:dyDescent="0.25">
      <c r="D704" s="208"/>
      <c r="E704" s="208"/>
      <c r="F704" s="178"/>
      <c r="G704" s="208"/>
      <c r="H704" s="208"/>
      <c r="I704" s="178"/>
    </row>
    <row r="705" spans="4:9" ht="15.75" customHeight="1" x14ac:dyDescent="0.25">
      <c r="D705" s="208"/>
      <c r="E705" s="208"/>
      <c r="F705" s="178"/>
      <c r="G705" s="208"/>
      <c r="H705" s="208"/>
      <c r="I705" s="178"/>
    </row>
    <row r="706" spans="4:9" ht="15.75" customHeight="1" x14ac:dyDescent="0.25">
      <c r="D706" s="208"/>
      <c r="E706" s="208"/>
      <c r="F706" s="178"/>
      <c r="G706" s="208"/>
      <c r="H706" s="208"/>
      <c r="I706" s="178"/>
    </row>
    <row r="707" spans="4:9" ht="15.75" customHeight="1" x14ac:dyDescent="0.25">
      <c r="D707" s="208"/>
      <c r="E707" s="208"/>
      <c r="F707" s="178"/>
      <c r="G707" s="208"/>
      <c r="H707" s="208"/>
      <c r="I707" s="178"/>
    </row>
    <row r="708" spans="4:9" ht="15.75" customHeight="1" x14ac:dyDescent="0.25">
      <c r="D708" s="208"/>
      <c r="E708" s="208"/>
      <c r="F708" s="178"/>
      <c r="G708" s="208"/>
      <c r="H708" s="208"/>
      <c r="I708" s="178"/>
    </row>
    <row r="709" spans="4:9" ht="15.75" customHeight="1" x14ac:dyDescent="0.25">
      <c r="D709" s="208"/>
      <c r="E709" s="208"/>
      <c r="F709" s="178"/>
      <c r="G709" s="208"/>
      <c r="H709" s="208"/>
      <c r="I709" s="178"/>
    </row>
    <row r="710" spans="4:9" ht="15.75" customHeight="1" x14ac:dyDescent="0.25">
      <c r="D710" s="208"/>
      <c r="E710" s="208"/>
      <c r="F710" s="178"/>
      <c r="G710" s="208"/>
      <c r="H710" s="208"/>
      <c r="I710" s="178"/>
    </row>
    <row r="711" spans="4:9" ht="15.75" customHeight="1" x14ac:dyDescent="0.25">
      <c r="D711" s="208"/>
      <c r="E711" s="208"/>
      <c r="F711" s="178"/>
      <c r="G711" s="208"/>
      <c r="H711" s="208"/>
      <c r="I711" s="178"/>
    </row>
    <row r="712" spans="4:9" ht="15.75" customHeight="1" x14ac:dyDescent="0.25">
      <c r="D712" s="208"/>
      <c r="E712" s="208"/>
      <c r="F712" s="178"/>
      <c r="G712" s="208"/>
      <c r="H712" s="208"/>
      <c r="I712" s="178"/>
    </row>
    <row r="713" spans="4:9" ht="15.75" customHeight="1" x14ac:dyDescent="0.25">
      <c r="D713" s="208"/>
      <c r="E713" s="208"/>
      <c r="F713" s="178"/>
      <c r="G713" s="208"/>
      <c r="H713" s="208"/>
      <c r="I713" s="178"/>
    </row>
    <row r="714" spans="4:9" ht="15.75" customHeight="1" x14ac:dyDescent="0.25">
      <c r="D714" s="208"/>
      <c r="E714" s="208"/>
      <c r="F714" s="178"/>
      <c r="G714" s="208"/>
      <c r="H714" s="208"/>
      <c r="I714" s="178"/>
    </row>
    <row r="715" spans="4:9" ht="15.75" customHeight="1" x14ac:dyDescent="0.25">
      <c r="D715" s="208"/>
      <c r="E715" s="208"/>
      <c r="F715" s="178"/>
      <c r="G715" s="208"/>
      <c r="H715" s="208"/>
      <c r="I715" s="178"/>
    </row>
    <row r="716" spans="4:9" ht="15.75" customHeight="1" x14ac:dyDescent="0.25">
      <c r="D716" s="208"/>
      <c r="E716" s="208"/>
      <c r="F716" s="178"/>
      <c r="G716" s="208"/>
      <c r="H716" s="208"/>
      <c r="I716" s="178"/>
    </row>
    <row r="717" spans="4:9" ht="15.75" customHeight="1" x14ac:dyDescent="0.25">
      <c r="D717" s="208"/>
      <c r="E717" s="208"/>
      <c r="F717" s="178"/>
      <c r="G717" s="208"/>
      <c r="H717" s="208"/>
      <c r="I717" s="178"/>
    </row>
    <row r="718" spans="4:9" ht="15.75" customHeight="1" x14ac:dyDescent="0.25">
      <c r="D718" s="208"/>
      <c r="E718" s="208"/>
      <c r="F718" s="178"/>
      <c r="G718" s="208"/>
      <c r="H718" s="208"/>
      <c r="I718" s="178"/>
    </row>
    <row r="719" spans="4:9" ht="15.75" customHeight="1" x14ac:dyDescent="0.25">
      <c r="D719" s="208"/>
      <c r="E719" s="208"/>
      <c r="F719" s="178"/>
      <c r="G719" s="208"/>
      <c r="H719" s="208"/>
      <c r="I719" s="178"/>
    </row>
    <row r="720" spans="4:9" ht="15.75" customHeight="1" x14ac:dyDescent="0.25">
      <c r="D720" s="208"/>
      <c r="E720" s="208"/>
      <c r="F720" s="178"/>
      <c r="G720" s="208"/>
      <c r="H720" s="208"/>
      <c r="I720" s="178"/>
    </row>
    <row r="721" spans="4:9" ht="15.75" customHeight="1" x14ac:dyDescent="0.25">
      <c r="D721" s="208"/>
      <c r="E721" s="208"/>
      <c r="F721" s="178"/>
      <c r="G721" s="208"/>
      <c r="H721" s="208"/>
      <c r="I721" s="178"/>
    </row>
    <row r="722" spans="4:9" ht="15.75" customHeight="1" x14ac:dyDescent="0.25">
      <c r="D722" s="208"/>
      <c r="E722" s="208"/>
      <c r="F722" s="178"/>
      <c r="G722" s="208"/>
      <c r="H722" s="208"/>
      <c r="I722" s="178"/>
    </row>
    <row r="723" spans="4:9" ht="15.75" customHeight="1" x14ac:dyDescent="0.25">
      <c r="D723" s="208"/>
      <c r="E723" s="208"/>
      <c r="F723" s="178"/>
      <c r="G723" s="208"/>
      <c r="H723" s="208"/>
      <c r="I723" s="178"/>
    </row>
    <row r="724" spans="4:9" ht="15.75" customHeight="1" x14ac:dyDescent="0.25">
      <c r="D724" s="208"/>
      <c r="E724" s="208"/>
      <c r="F724" s="178"/>
      <c r="G724" s="208"/>
      <c r="H724" s="208"/>
      <c r="I724" s="178"/>
    </row>
    <row r="725" spans="4:9" ht="15.75" customHeight="1" x14ac:dyDescent="0.25">
      <c r="D725" s="208"/>
      <c r="E725" s="208"/>
      <c r="F725" s="178"/>
      <c r="G725" s="208"/>
      <c r="H725" s="208"/>
      <c r="I725" s="178"/>
    </row>
    <row r="726" spans="4:9" ht="15.75" customHeight="1" x14ac:dyDescent="0.25">
      <c r="D726" s="208"/>
      <c r="E726" s="208"/>
      <c r="F726" s="178"/>
      <c r="G726" s="208"/>
      <c r="H726" s="208"/>
      <c r="I726" s="178"/>
    </row>
    <row r="727" spans="4:9" ht="15.75" customHeight="1" x14ac:dyDescent="0.25">
      <c r="D727" s="208"/>
      <c r="E727" s="208"/>
      <c r="F727" s="178"/>
      <c r="G727" s="208"/>
      <c r="H727" s="208"/>
      <c r="I727" s="178"/>
    </row>
    <row r="728" spans="4:9" ht="15.75" customHeight="1" x14ac:dyDescent="0.25">
      <c r="D728" s="208"/>
      <c r="E728" s="208"/>
      <c r="F728" s="178"/>
      <c r="G728" s="208"/>
      <c r="H728" s="208"/>
      <c r="I728" s="178"/>
    </row>
    <row r="729" spans="4:9" ht="15.75" customHeight="1" x14ac:dyDescent="0.25">
      <c r="D729" s="208"/>
      <c r="E729" s="208"/>
      <c r="F729" s="178"/>
      <c r="G729" s="208"/>
      <c r="H729" s="208"/>
      <c r="I729" s="178"/>
    </row>
    <row r="730" spans="4:9" ht="15.75" customHeight="1" x14ac:dyDescent="0.25">
      <c r="D730" s="208"/>
      <c r="E730" s="208"/>
      <c r="F730" s="178"/>
      <c r="G730" s="208"/>
      <c r="H730" s="208"/>
      <c r="I730" s="178"/>
    </row>
    <row r="731" spans="4:9" ht="15.75" customHeight="1" x14ac:dyDescent="0.25">
      <c r="D731" s="208"/>
      <c r="E731" s="208"/>
      <c r="F731" s="178"/>
      <c r="G731" s="208"/>
      <c r="H731" s="208"/>
      <c r="I731" s="178"/>
    </row>
    <row r="732" spans="4:9" ht="15.75" customHeight="1" x14ac:dyDescent="0.25">
      <c r="D732" s="208"/>
      <c r="E732" s="208"/>
      <c r="F732" s="178"/>
      <c r="G732" s="208"/>
      <c r="H732" s="208"/>
      <c r="I732" s="178"/>
    </row>
    <row r="733" spans="4:9" ht="15.75" customHeight="1" x14ac:dyDescent="0.25">
      <c r="D733" s="208"/>
      <c r="E733" s="208"/>
      <c r="F733" s="178"/>
      <c r="G733" s="208"/>
      <c r="H733" s="208"/>
      <c r="I733" s="178"/>
    </row>
    <row r="734" spans="4:9" ht="15.75" customHeight="1" x14ac:dyDescent="0.25">
      <c r="D734" s="208"/>
      <c r="E734" s="208"/>
      <c r="F734" s="178"/>
      <c r="G734" s="208"/>
      <c r="H734" s="208"/>
      <c r="I734" s="178"/>
    </row>
    <row r="735" spans="4:9" ht="15.75" customHeight="1" x14ac:dyDescent="0.25">
      <c r="D735" s="208"/>
      <c r="E735" s="208"/>
      <c r="F735" s="178"/>
      <c r="G735" s="208"/>
      <c r="H735" s="208"/>
      <c r="I735" s="178"/>
    </row>
    <row r="736" spans="4:9" ht="15.75" customHeight="1" x14ac:dyDescent="0.25">
      <c r="D736" s="208"/>
      <c r="E736" s="208"/>
      <c r="F736" s="178"/>
      <c r="G736" s="208"/>
      <c r="H736" s="208"/>
      <c r="I736" s="178"/>
    </row>
    <row r="737" spans="4:9" ht="15.75" customHeight="1" x14ac:dyDescent="0.25">
      <c r="D737" s="208"/>
      <c r="E737" s="208"/>
      <c r="F737" s="178"/>
      <c r="G737" s="208"/>
      <c r="H737" s="208"/>
      <c r="I737" s="178"/>
    </row>
    <row r="738" spans="4:9" ht="15.75" customHeight="1" x14ac:dyDescent="0.25">
      <c r="D738" s="208"/>
      <c r="E738" s="208"/>
      <c r="F738" s="178"/>
      <c r="G738" s="208"/>
      <c r="H738" s="208"/>
      <c r="I738" s="178"/>
    </row>
    <row r="739" spans="4:9" ht="15.75" customHeight="1" x14ac:dyDescent="0.25">
      <c r="D739" s="208"/>
      <c r="E739" s="208"/>
      <c r="F739" s="178"/>
      <c r="G739" s="208"/>
      <c r="H739" s="208"/>
      <c r="I739" s="178"/>
    </row>
    <row r="740" spans="4:9" ht="15.75" customHeight="1" x14ac:dyDescent="0.25">
      <c r="D740" s="208"/>
      <c r="E740" s="208"/>
      <c r="F740" s="178"/>
      <c r="G740" s="208"/>
      <c r="H740" s="208"/>
      <c r="I740" s="178"/>
    </row>
    <row r="741" spans="4:9" ht="15.75" customHeight="1" x14ac:dyDescent="0.25">
      <c r="D741" s="208"/>
      <c r="E741" s="208"/>
      <c r="F741" s="178"/>
      <c r="G741" s="208"/>
      <c r="H741" s="208"/>
      <c r="I741" s="178"/>
    </row>
    <row r="742" spans="4:9" ht="15.75" customHeight="1" x14ac:dyDescent="0.25">
      <c r="D742" s="208"/>
      <c r="E742" s="208"/>
      <c r="F742" s="178"/>
      <c r="G742" s="208"/>
      <c r="H742" s="208"/>
      <c r="I742" s="178"/>
    </row>
    <row r="743" spans="4:9" ht="15.75" customHeight="1" x14ac:dyDescent="0.25">
      <c r="D743" s="208"/>
      <c r="E743" s="208"/>
      <c r="F743" s="178"/>
      <c r="G743" s="208"/>
      <c r="H743" s="208"/>
      <c r="I743" s="178"/>
    </row>
    <row r="744" spans="4:9" ht="15.75" customHeight="1" x14ac:dyDescent="0.25">
      <c r="D744" s="208"/>
      <c r="E744" s="208"/>
      <c r="F744" s="178"/>
      <c r="G744" s="208"/>
      <c r="H744" s="208"/>
      <c r="I744" s="178"/>
    </row>
    <row r="745" spans="4:9" ht="15.75" customHeight="1" x14ac:dyDescent="0.25">
      <c r="D745" s="208"/>
      <c r="E745" s="208"/>
      <c r="F745" s="178"/>
      <c r="G745" s="208"/>
      <c r="H745" s="208"/>
      <c r="I745" s="178"/>
    </row>
    <row r="746" spans="4:9" ht="15.75" customHeight="1" x14ac:dyDescent="0.25">
      <c r="D746" s="208"/>
      <c r="E746" s="208"/>
      <c r="F746" s="178"/>
      <c r="G746" s="208"/>
      <c r="H746" s="208"/>
      <c r="I746" s="178"/>
    </row>
    <row r="747" spans="4:9" ht="15.75" customHeight="1" x14ac:dyDescent="0.25">
      <c r="D747" s="208"/>
      <c r="E747" s="208"/>
      <c r="F747" s="178"/>
      <c r="G747" s="208"/>
      <c r="H747" s="208"/>
      <c r="I747" s="178"/>
    </row>
    <row r="748" spans="4:9" ht="15.75" customHeight="1" x14ac:dyDescent="0.25">
      <c r="D748" s="208"/>
      <c r="E748" s="208"/>
      <c r="F748" s="178"/>
      <c r="G748" s="208"/>
      <c r="H748" s="208"/>
      <c r="I748" s="178"/>
    </row>
    <row r="749" spans="4:9" ht="15.75" customHeight="1" x14ac:dyDescent="0.25">
      <c r="D749" s="208"/>
      <c r="E749" s="208"/>
      <c r="F749" s="178"/>
      <c r="G749" s="208"/>
      <c r="H749" s="208"/>
      <c r="I749" s="178"/>
    </row>
    <row r="750" spans="4:9" ht="15.75" customHeight="1" x14ac:dyDescent="0.25">
      <c r="D750" s="208"/>
      <c r="E750" s="208"/>
      <c r="F750" s="178"/>
      <c r="G750" s="208"/>
      <c r="H750" s="208"/>
      <c r="I750" s="178"/>
    </row>
    <row r="751" spans="4:9" ht="15.75" customHeight="1" x14ac:dyDescent="0.25">
      <c r="D751" s="208"/>
      <c r="E751" s="208"/>
      <c r="F751" s="178"/>
      <c r="G751" s="208"/>
      <c r="H751" s="208"/>
      <c r="I751" s="178"/>
    </row>
    <row r="752" spans="4:9" ht="15.75" customHeight="1" x14ac:dyDescent="0.25">
      <c r="D752" s="208"/>
      <c r="E752" s="208"/>
      <c r="F752" s="178"/>
      <c r="G752" s="208"/>
      <c r="H752" s="208"/>
      <c r="I752" s="178"/>
    </row>
    <row r="753" spans="4:9" ht="15.75" customHeight="1" x14ac:dyDescent="0.25">
      <c r="D753" s="208"/>
      <c r="E753" s="208"/>
      <c r="F753" s="178"/>
      <c r="G753" s="208"/>
      <c r="H753" s="208"/>
      <c r="I753" s="178"/>
    </row>
    <row r="754" spans="4:9" ht="15.75" customHeight="1" x14ac:dyDescent="0.25">
      <c r="D754" s="208"/>
      <c r="E754" s="208"/>
      <c r="F754" s="178"/>
      <c r="G754" s="208"/>
      <c r="H754" s="208"/>
      <c r="I754" s="178"/>
    </row>
    <row r="755" spans="4:9" ht="15.75" customHeight="1" x14ac:dyDescent="0.25">
      <c r="D755" s="208"/>
      <c r="E755" s="208"/>
      <c r="F755" s="178"/>
      <c r="G755" s="208"/>
      <c r="H755" s="208"/>
      <c r="I755" s="178"/>
    </row>
    <row r="756" spans="4:9" ht="15.75" customHeight="1" x14ac:dyDescent="0.25">
      <c r="D756" s="208"/>
      <c r="E756" s="208"/>
      <c r="F756" s="178"/>
      <c r="G756" s="208"/>
      <c r="H756" s="208"/>
      <c r="I756" s="178"/>
    </row>
    <row r="757" spans="4:9" ht="15.75" customHeight="1" x14ac:dyDescent="0.25">
      <c r="D757" s="208"/>
      <c r="E757" s="208"/>
      <c r="F757" s="178"/>
      <c r="G757" s="208"/>
      <c r="H757" s="208"/>
      <c r="I757" s="178"/>
    </row>
    <row r="758" spans="4:9" ht="15.75" customHeight="1" x14ac:dyDescent="0.25">
      <c r="D758" s="208"/>
      <c r="E758" s="208"/>
      <c r="F758" s="178"/>
      <c r="G758" s="208"/>
      <c r="H758" s="208"/>
      <c r="I758" s="178"/>
    </row>
    <row r="759" spans="4:9" ht="15.75" customHeight="1" x14ac:dyDescent="0.25">
      <c r="D759" s="208"/>
      <c r="E759" s="208"/>
      <c r="F759" s="178"/>
      <c r="G759" s="208"/>
      <c r="H759" s="208"/>
      <c r="I759" s="178"/>
    </row>
    <row r="760" spans="4:9" ht="15.75" customHeight="1" x14ac:dyDescent="0.25">
      <c r="D760" s="208"/>
      <c r="E760" s="208"/>
      <c r="F760" s="178"/>
      <c r="G760" s="208"/>
      <c r="H760" s="208"/>
      <c r="I760" s="178"/>
    </row>
    <row r="761" spans="4:9" ht="15.75" customHeight="1" x14ac:dyDescent="0.25">
      <c r="D761" s="208"/>
      <c r="E761" s="208"/>
      <c r="F761" s="178"/>
      <c r="G761" s="208"/>
      <c r="H761" s="208"/>
      <c r="I761" s="178"/>
    </row>
    <row r="762" spans="4:9" ht="15.75" customHeight="1" x14ac:dyDescent="0.25">
      <c r="D762" s="208"/>
      <c r="E762" s="208"/>
      <c r="F762" s="178"/>
      <c r="G762" s="208"/>
      <c r="H762" s="208"/>
      <c r="I762" s="178"/>
    </row>
    <row r="763" spans="4:9" ht="15.75" customHeight="1" x14ac:dyDescent="0.25">
      <c r="D763" s="208"/>
      <c r="E763" s="208"/>
      <c r="F763" s="178"/>
      <c r="G763" s="208"/>
      <c r="H763" s="208"/>
      <c r="I763" s="178"/>
    </row>
    <row r="764" spans="4:9" ht="15.75" customHeight="1" x14ac:dyDescent="0.25">
      <c r="D764" s="208"/>
      <c r="E764" s="208"/>
      <c r="F764" s="178"/>
      <c r="G764" s="208"/>
      <c r="H764" s="208"/>
      <c r="I764" s="178"/>
    </row>
    <row r="765" spans="4:9" ht="15.75" customHeight="1" x14ac:dyDescent="0.25">
      <c r="D765" s="208"/>
      <c r="E765" s="208"/>
      <c r="F765" s="178"/>
      <c r="G765" s="208"/>
      <c r="H765" s="208"/>
      <c r="I765" s="178"/>
    </row>
    <row r="766" spans="4:9" ht="15.75" customHeight="1" x14ac:dyDescent="0.25">
      <c r="D766" s="208"/>
      <c r="E766" s="208"/>
      <c r="F766" s="178"/>
      <c r="G766" s="208"/>
      <c r="H766" s="208"/>
      <c r="I766" s="178"/>
    </row>
    <row r="767" spans="4:9" ht="15.75" customHeight="1" x14ac:dyDescent="0.25">
      <c r="D767" s="208"/>
      <c r="E767" s="208"/>
      <c r="F767" s="178"/>
      <c r="G767" s="208"/>
      <c r="H767" s="208"/>
      <c r="I767" s="178"/>
    </row>
    <row r="768" spans="4:9" ht="15.75" customHeight="1" x14ac:dyDescent="0.25">
      <c r="D768" s="208"/>
      <c r="E768" s="208"/>
      <c r="F768" s="178"/>
      <c r="G768" s="208"/>
      <c r="H768" s="208"/>
      <c r="I768" s="178"/>
    </row>
    <row r="769" spans="4:9" ht="15.75" customHeight="1" x14ac:dyDescent="0.25">
      <c r="D769" s="208"/>
      <c r="E769" s="208"/>
      <c r="F769" s="178"/>
      <c r="G769" s="208"/>
      <c r="H769" s="208"/>
      <c r="I769" s="178"/>
    </row>
    <row r="770" spans="4:9" ht="15.75" customHeight="1" x14ac:dyDescent="0.25">
      <c r="D770" s="208"/>
      <c r="E770" s="208"/>
      <c r="F770" s="178"/>
      <c r="G770" s="208"/>
      <c r="H770" s="208"/>
      <c r="I770" s="178"/>
    </row>
    <row r="771" spans="4:9" ht="15.75" customHeight="1" x14ac:dyDescent="0.25">
      <c r="D771" s="208"/>
      <c r="E771" s="208"/>
      <c r="F771" s="178"/>
      <c r="G771" s="208"/>
      <c r="H771" s="208"/>
      <c r="I771" s="178"/>
    </row>
    <row r="772" spans="4:9" ht="15.75" customHeight="1" x14ac:dyDescent="0.25">
      <c r="D772" s="208"/>
      <c r="E772" s="208"/>
      <c r="F772" s="178"/>
      <c r="G772" s="208"/>
      <c r="H772" s="208"/>
      <c r="I772" s="178"/>
    </row>
    <row r="773" spans="4:9" ht="15.75" customHeight="1" x14ac:dyDescent="0.25">
      <c r="D773" s="208"/>
      <c r="E773" s="208"/>
      <c r="F773" s="178"/>
      <c r="G773" s="208"/>
      <c r="H773" s="208"/>
      <c r="I773" s="178"/>
    </row>
    <row r="774" spans="4:9" ht="15.75" customHeight="1" x14ac:dyDescent="0.25">
      <c r="D774" s="208"/>
      <c r="E774" s="208"/>
      <c r="F774" s="178"/>
      <c r="G774" s="208"/>
      <c r="H774" s="208"/>
      <c r="I774" s="178"/>
    </row>
    <row r="775" spans="4:9" ht="15.75" customHeight="1" x14ac:dyDescent="0.25">
      <c r="D775" s="208"/>
      <c r="E775" s="208"/>
      <c r="F775" s="178"/>
      <c r="G775" s="208"/>
      <c r="H775" s="208"/>
      <c r="I775" s="178"/>
    </row>
    <row r="776" spans="4:9" ht="15.75" customHeight="1" x14ac:dyDescent="0.25">
      <c r="D776" s="208"/>
      <c r="E776" s="208"/>
      <c r="F776" s="178"/>
      <c r="G776" s="208"/>
      <c r="H776" s="208"/>
      <c r="I776" s="178"/>
    </row>
    <row r="777" spans="4:9" ht="15.75" customHeight="1" x14ac:dyDescent="0.25">
      <c r="D777" s="208"/>
      <c r="E777" s="208"/>
      <c r="F777" s="178"/>
      <c r="G777" s="208"/>
      <c r="H777" s="208"/>
      <c r="I777" s="178"/>
    </row>
    <row r="778" spans="4:9" ht="15.75" customHeight="1" x14ac:dyDescent="0.25">
      <c r="D778" s="208"/>
      <c r="E778" s="208"/>
      <c r="F778" s="178"/>
      <c r="G778" s="208"/>
      <c r="H778" s="208"/>
      <c r="I778" s="178"/>
    </row>
    <row r="779" spans="4:9" ht="15.75" customHeight="1" x14ac:dyDescent="0.25">
      <c r="D779" s="208"/>
      <c r="E779" s="208"/>
      <c r="F779" s="178"/>
      <c r="G779" s="208"/>
      <c r="H779" s="208"/>
      <c r="I779" s="178"/>
    </row>
    <row r="780" spans="4:9" ht="15.75" customHeight="1" x14ac:dyDescent="0.25">
      <c r="D780" s="208"/>
      <c r="E780" s="208"/>
      <c r="F780" s="178"/>
      <c r="G780" s="208"/>
      <c r="H780" s="208"/>
      <c r="I780" s="178"/>
    </row>
    <row r="781" spans="4:9" ht="15.75" customHeight="1" x14ac:dyDescent="0.25">
      <c r="D781" s="208"/>
      <c r="E781" s="208"/>
      <c r="F781" s="178"/>
      <c r="G781" s="208"/>
      <c r="H781" s="208"/>
      <c r="I781" s="178"/>
    </row>
    <row r="782" spans="4:9" ht="15.75" customHeight="1" x14ac:dyDescent="0.25">
      <c r="D782" s="208"/>
      <c r="E782" s="208"/>
      <c r="F782" s="178"/>
      <c r="G782" s="208"/>
      <c r="H782" s="208"/>
      <c r="I782" s="178"/>
    </row>
    <row r="783" spans="4:9" ht="15.75" customHeight="1" x14ac:dyDescent="0.25">
      <c r="D783" s="208"/>
      <c r="E783" s="208"/>
      <c r="F783" s="178"/>
      <c r="G783" s="208"/>
      <c r="H783" s="208"/>
      <c r="I783" s="178"/>
    </row>
    <row r="784" spans="4:9" ht="15.75" customHeight="1" x14ac:dyDescent="0.25">
      <c r="D784" s="208"/>
      <c r="E784" s="208"/>
      <c r="F784" s="178"/>
      <c r="G784" s="208"/>
      <c r="H784" s="208"/>
      <c r="I784" s="178"/>
    </row>
    <row r="785" spans="4:9" ht="15.75" customHeight="1" x14ac:dyDescent="0.25">
      <c r="D785" s="208"/>
      <c r="E785" s="208"/>
      <c r="F785" s="178"/>
      <c r="G785" s="208"/>
      <c r="H785" s="208"/>
      <c r="I785" s="178"/>
    </row>
    <row r="786" spans="4:9" ht="15.75" customHeight="1" x14ac:dyDescent="0.25">
      <c r="D786" s="208"/>
      <c r="E786" s="208"/>
      <c r="F786" s="178"/>
      <c r="G786" s="208"/>
      <c r="H786" s="208"/>
      <c r="I786" s="178"/>
    </row>
    <row r="787" spans="4:9" ht="15.75" customHeight="1" x14ac:dyDescent="0.25">
      <c r="D787" s="208"/>
      <c r="E787" s="208"/>
      <c r="F787" s="178"/>
      <c r="G787" s="208"/>
      <c r="H787" s="208"/>
      <c r="I787" s="178"/>
    </row>
    <row r="788" spans="4:9" ht="15.75" customHeight="1" x14ac:dyDescent="0.25">
      <c r="D788" s="208"/>
      <c r="E788" s="208"/>
      <c r="F788" s="178"/>
      <c r="G788" s="208"/>
      <c r="H788" s="208"/>
      <c r="I788" s="178"/>
    </row>
    <row r="789" spans="4:9" ht="15.75" customHeight="1" x14ac:dyDescent="0.25">
      <c r="D789" s="208"/>
      <c r="E789" s="208"/>
      <c r="F789" s="178"/>
      <c r="G789" s="208"/>
      <c r="H789" s="208"/>
      <c r="I789" s="178"/>
    </row>
    <row r="790" spans="4:9" ht="15.75" customHeight="1" x14ac:dyDescent="0.25">
      <c r="D790" s="208"/>
      <c r="E790" s="208"/>
      <c r="F790" s="178"/>
      <c r="G790" s="208"/>
      <c r="H790" s="208"/>
      <c r="I790" s="178"/>
    </row>
    <row r="791" spans="4:9" ht="15.75" customHeight="1" x14ac:dyDescent="0.25">
      <c r="D791" s="208"/>
      <c r="E791" s="208"/>
      <c r="F791" s="178"/>
      <c r="G791" s="208"/>
      <c r="H791" s="208"/>
      <c r="I791" s="178"/>
    </row>
    <row r="792" spans="4:9" ht="15.75" customHeight="1" x14ac:dyDescent="0.25">
      <c r="D792" s="208"/>
      <c r="E792" s="208"/>
      <c r="F792" s="178"/>
      <c r="G792" s="208"/>
      <c r="H792" s="208"/>
      <c r="I792" s="178"/>
    </row>
    <row r="793" spans="4:9" ht="15.75" customHeight="1" x14ac:dyDescent="0.25">
      <c r="D793" s="208"/>
      <c r="E793" s="208"/>
      <c r="F793" s="178"/>
      <c r="G793" s="208"/>
      <c r="H793" s="208"/>
      <c r="I793" s="178"/>
    </row>
    <row r="794" spans="4:9" ht="15.75" customHeight="1" x14ac:dyDescent="0.25">
      <c r="D794" s="208"/>
      <c r="E794" s="208"/>
      <c r="F794" s="178"/>
      <c r="G794" s="208"/>
      <c r="H794" s="208"/>
      <c r="I794" s="178"/>
    </row>
    <row r="795" spans="4:9" ht="15.75" customHeight="1" x14ac:dyDescent="0.25">
      <c r="D795" s="208"/>
      <c r="E795" s="208"/>
      <c r="F795" s="178"/>
      <c r="G795" s="208"/>
      <c r="H795" s="208"/>
      <c r="I795" s="178"/>
    </row>
    <row r="796" spans="4:9" ht="15.75" customHeight="1" x14ac:dyDescent="0.25">
      <c r="D796" s="208"/>
      <c r="E796" s="208"/>
      <c r="F796" s="178"/>
      <c r="G796" s="208"/>
      <c r="H796" s="208"/>
      <c r="I796" s="178"/>
    </row>
    <row r="797" spans="4:9" ht="15.75" customHeight="1" x14ac:dyDescent="0.25">
      <c r="D797" s="208"/>
      <c r="E797" s="208"/>
      <c r="F797" s="178"/>
      <c r="G797" s="208"/>
      <c r="H797" s="208"/>
      <c r="I797" s="178"/>
    </row>
    <row r="798" spans="4:9" ht="15.75" customHeight="1" x14ac:dyDescent="0.25">
      <c r="D798" s="208"/>
      <c r="E798" s="208"/>
      <c r="F798" s="178"/>
      <c r="G798" s="208"/>
      <c r="H798" s="208"/>
      <c r="I798" s="178"/>
    </row>
    <row r="799" spans="4:9" ht="15.75" customHeight="1" x14ac:dyDescent="0.25">
      <c r="D799" s="208"/>
      <c r="E799" s="208"/>
      <c r="F799" s="178"/>
      <c r="G799" s="208"/>
      <c r="H799" s="208"/>
      <c r="I799" s="178"/>
    </row>
    <row r="800" spans="4:9" ht="15.75" customHeight="1" x14ac:dyDescent="0.25">
      <c r="D800" s="208"/>
      <c r="E800" s="208"/>
      <c r="F800" s="178"/>
      <c r="G800" s="208"/>
      <c r="H800" s="208"/>
      <c r="I800" s="178"/>
    </row>
    <row r="801" spans="4:9" ht="15.75" customHeight="1" x14ac:dyDescent="0.25">
      <c r="D801" s="208"/>
      <c r="E801" s="208"/>
      <c r="F801" s="178"/>
      <c r="G801" s="208"/>
      <c r="H801" s="208"/>
      <c r="I801" s="178"/>
    </row>
    <row r="802" spans="4:9" ht="15.75" customHeight="1" x14ac:dyDescent="0.25">
      <c r="D802" s="208"/>
      <c r="E802" s="208"/>
      <c r="F802" s="178"/>
      <c r="G802" s="208"/>
      <c r="H802" s="208"/>
      <c r="I802" s="178"/>
    </row>
    <row r="803" spans="4:9" ht="15.75" customHeight="1" x14ac:dyDescent="0.25">
      <c r="D803" s="208"/>
      <c r="E803" s="208"/>
      <c r="F803" s="178"/>
      <c r="G803" s="208"/>
      <c r="H803" s="208"/>
      <c r="I803" s="178"/>
    </row>
    <row r="804" spans="4:9" ht="15.75" customHeight="1" x14ac:dyDescent="0.25">
      <c r="D804" s="208"/>
      <c r="E804" s="208"/>
      <c r="F804" s="178"/>
      <c r="G804" s="208"/>
      <c r="H804" s="208"/>
      <c r="I804" s="178"/>
    </row>
    <row r="805" spans="4:9" ht="15.75" customHeight="1" x14ac:dyDescent="0.25">
      <c r="D805" s="208"/>
      <c r="E805" s="208"/>
      <c r="F805" s="178"/>
      <c r="G805" s="208"/>
      <c r="H805" s="208"/>
      <c r="I805" s="178"/>
    </row>
    <row r="806" spans="4:9" ht="15.75" customHeight="1" x14ac:dyDescent="0.25">
      <c r="D806" s="208"/>
      <c r="E806" s="208"/>
      <c r="F806" s="178"/>
      <c r="G806" s="208"/>
      <c r="H806" s="208"/>
      <c r="I806" s="178"/>
    </row>
    <row r="807" spans="4:9" ht="15.75" customHeight="1" x14ac:dyDescent="0.25">
      <c r="D807" s="208"/>
      <c r="E807" s="208"/>
      <c r="F807" s="178"/>
      <c r="G807" s="208"/>
      <c r="H807" s="208"/>
      <c r="I807" s="178"/>
    </row>
    <row r="808" spans="4:9" ht="15.75" customHeight="1" x14ac:dyDescent="0.25">
      <c r="D808" s="208"/>
      <c r="E808" s="208"/>
      <c r="F808" s="178"/>
      <c r="G808" s="208"/>
      <c r="H808" s="208"/>
      <c r="I808" s="178"/>
    </row>
    <row r="809" spans="4:9" ht="15.75" customHeight="1" x14ac:dyDescent="0.25">
      <c r="D809" s="208"/>
      <c r="E809" s="208"/>
      <c r="F809" s="178"/>
      <c r="G809" s="208"/>
      <c r="H809" s="208"/>
      <c r="I809" s="178"/>
    </row>
    <row r="810" spans="4:9" ht="15.75" customHeight="1" x14ac:dyDescent="0.25">
      <c r="D810" s="208"/>
      <c r="E810" s="208"/>
      <c r="F810" s="178"/>
      <c r="G810" s="208"/>
      <c r="H810" s="208"/>
      <c r="I810" s="178"/>
    </row>
    <row r="811" spans="4:9" ht="15.75" customHeight="1" x14ac:dyDescent="0.25">
      <c r="D811" s="208"/>
      <c r="E811" s="208"/>
      <c r="F811" s="178"/>
      <c r="G811" s="208"/>
      <c r="H811" s="208"/>
      <c r="I811" s="178"/>
    </row>
    <row r="812" spans="4:9" ht="15.75" customHeight="1" x14ac:dyDescent="0.25">
      <c r="D812" s="208"/>
      <c r="E812" s="208"/>
      <c r="F812" s="178"/>
      <c r="G812" s="208"/>
      <c r="H812" s="208"/>
      <c r="I812" s="178"/>
    </row>
    <row r="813" spans="4:9" ht="15.75" customHeight="1" x14ac:dyDescent="0.25">
      <c r="D813" s="208"/>
      <c r="E813" s="208"/>
      <c r="F813" s="178"/>
      <c r="G813" s="208"/>
      <c r="H813" s="208"/>
      <c r="I813" s="178"/>
    </row>
    <row r="814" spans="4:9" ht="15.75" customHeight="1" x14ac:dyDescent="0.25">
      <c r="D814" s="208"/>
      <c r="E814" s="208"/>
      <c r="F814" s="178"/>
      <c r="G814" s="208"/>
      <c r="H814" s="208"/>
      <c r="I814" s="178"/>
    </row>
    <row r="815" spans="4:9" ht="15.75" customHeight="1" x14ac:dyDescent="0.25">
      <c r="D815" s="208"/>
      <c r="E815" s="208"/>
      <c r="F815" s="178"/>
      <c r="G815" s="208"/>
      <c r="H815" s="208"/>
      <c r="I815" s="178"/>
    </row>
    <row r="816" spans="4:9" ht="15.75" customHeight="1" x14ac:dyDescent="0.25">
      <c r="D816" s="208"/>
      <c r="E816" s="208"/>
      <c r="F816" s="178"/>
      <c r="G816" s="208"/>
      <c r="H816" s="208"/>
      <c r="I816" s="178"/>
    </row>
    <row r="817" spans="4:9" ht="15.75" customHeight="1" x14ac:dyDescent="0.25">
      <c r="D817" s="208"/>
      <c r="E817" s="208"/>
      <c r="F817" s="178"/>
      <c r="G817" s="208"/>
      <c r="H817" s="208"/>
      <c r="I817" s="178"/>
    </row>
    <row r="818" spans="4:9" ht="15.75" customHeight="1" x14ac:dyDescent="0.25">
      <c r="D818" s="208"/>
      <c r="E818" s="208"/>
      <c r="F818" s="178"/>
      <c r="G818" s="208"/>
      <c r="H818" s="208"/>
      <c r="I818" s="178"/>
    </row>
    <row r="819" spans="4:9" ht="15.75" customHeight="1" x14ac:dyDescent="0.25">
      <c r="D819" s="208"/>
      <c r="E819" s="208"/>
      <c r="F819" s="178"/>
      <c r="G819" s="208"/>
      <c r="H819" s="208"/>
      <c r="I819" s="178"/>
    </row>
    <row r="820" spans="4:9" ht="15.75" customHeight="1" x14ac:dyDescent="0.25">
      <c r="D820" s="208"/>
      <c r="E820" s="208"/>
      <c r="F820" s="178"/>
      <c r="G820" s="208"/>
      <c r="H820" s="208"/>
      <c r="I820" s="178"/>
    </row>
    <row r="821" spans="4:9" ht="15.75" customHeight="1" x14ac:dyDescent="0.25">
      <c r="D821" s="208"/>
      <c r="E821" s="208"/>
      <c r="F821" s="178"/>
      <c r="G821" s="208"/>
      <c r="H821" s="208"/>
      <c r="I821" s="178"/>
    </row>
    <row r="822" spans="4:9" ht="15.75" customHeight="1" x14ac:dyDescent="0.25">
      <c r="D822" s="208"/>
      <c r="E822" s="208"/>
      <c r="F822" s="178"/>
      <c r="G822" s="208"/>
      <c r="H822" s="208"/>
      <c r="I822" s="178"/>
    </row>
    <row r="823" spans="4:9" ht="15.75" customHeight="1" x14ac:dyDescent="0.25">
      <c r="D823" s="208"/>
      <c r="E823" s="208"/>
      <c r="F823" s="178"/>
      <c r="G823" s="208"/>
      <c r="H823" s="208"/>
      <c r="I823" s="178"/>
    </row>
    <row r="824" spans="4:9" ht="15.75" customHeight="1" x14ac:dyDescent="0.25">
      <c r="D824" s="208"/>
      <c r="E824" s="208"/>
      <c r="F824" s="178"/>
      <c r="G824" s="208"/>
      <c r="H824" s="208"/>
      <c r="I824" s="178"/>
    </row>
    <row r="825" spans="4:9" ht="15.75" customHeight="1" x14ac:dyDescent="0.25">
      <c r="D825" s="208"/>
      <c r="E825" s="208"/>
      <c r="F825" s="178"/>
      <c r="G825" s="208"/>
      <c r="H825" s="208"/>
      <c r="I825" s="178"/>
    </row>
    <row r="826" spans="4:9" ht="15.75" customHeight="1" x14ac:dyDescent="0.25">
      <c r="D826" s="208"/>
      <c r="E826" s="208"/>
      <c r="F826" s="178"/>
      <c r="G826" s="208"/>
      <c r="H826" s="208"/>
      <c r="I826" s="178"/>
    </row>
    <row r="827" spans="4:9" ht="15.75" customHeight="1" x14ac:dyDescent="0.25">
      <c r="D827" s="208"/>
      <c r="E827" s="208"/>
      <c r="F827" s="178"/>
      <c r="G827" s="208"/>
      <c r="H827" s="208"/>
      <c r="I827" s="178"/>
    </row>
    <row r="828" spans="4:9" ht="15.75" customHeight="1" x14ac:dyDescent="0.25">
      <c r="D828" s="208"/>
      <c r="E828" s="208"/>
      <c r="F828" s="178"/>
      <c r="G828" s="208"/>
      <c r="H828" s="208"/>
      <c r="I828" s="178"/>
    </row>
    <row r="829" spans="4:9" ht="15.75" customHeight="1" x14ac:dyDescent="0.25">
      <c r="D829" s="208"/>
      <c r="E829" s="208"/>
      <c r="F829" s="178"/>
      <c r="G829" s="208"/>
      <c r="H829" s="208"/>
      <c r="I829" s="178"/>
    </row>
    <row r="830" spans="4:9" ht="15.75" customHeight="1" x14ac:dyDescent="0.25">
      <c r="D830" s="208"/>
      <c r="E830" s="208"/>
      <c r="F830" s="178"/>
      <c r="G830" s="208"/>
      <c r="H830" s="208"/>
      <c r="I830" s="178"/>
    </row>
    <row r="831" spans="4:9" ht="15.75" customHeight="1" x14ac:dyDescent="0.25">
      <c r="D831" s="208"/>
      <c r="E831" s="208"/>
      <c r="F831" s="178"/>
      <c r="G831" s="208"/>
      <c r="H831" s="208"/>
      <c r="I831" s="178"/>
    </row>
    <row r="832" spans="4:9" ht="15.75" customHeight="1" x14ac:dyDescent="0.25">
      <c r="D832" s="208"/>
      <c r="E832" s="208"/>
      <c r="F832" s="178"/>
      <c r="G832" s="208"/>
      <c r="H832" s="208"/>
      <c r="I832" s="178"/>
    </row>
    <row r="833" spans="4:9" ht="15.75" customHeight="1" x14ac:dyDescent="0.25">
      <c r="D833" s="208"/>
      <c r="E833" s="208"/>
      <c r="F833" s="178"/>
      <c r="G833" s="208"/>
      <c r="H833" s="208"/>
      <c r="I833" s="178"/>
    </row>
    <row r="834" spans="4:9" ht="15.75" customHeight="1" x14ac:dyDescent="0.25">
      <c r="D834" s="208"/>
      <c r="E834" s="208"/>
      <c r="F834" s="178"/>
      <c r="G834" s="208"/>
      <c r="H834" s="208"/>
      <c r="I834" s="178"/>
    </row>
    <row r="835" spans="4:9" ht="15.75" customHeight="1" x14ac:dyDescent="0.25">
      <c r="D835" s="208"/>
      <c r="E835" s="208"/>
      <c r="F835" s="178"/>
      <c r="G835" s="208"/>
      <c r="H835" s="208"/>
      <c r="I835" s="178"/>
    </row>
    <row r="836" spans="4:9" ht="15.75" customHeight="1" x14ac:dyDescent="0.25">
      <c r="D836" s="208"/>
      <c r="E836" s="208"/>
      <c r="F836" s="178"/>
      <c r="G836" s="208"/>
      <c r="H836" s="208"/>
      <c r="I836" s="178"/>
    </row>
    <row r="837" spans="4:9" ht="15.75" customHeight="1" x14ac:dyDescent="0.25">
      <c r="D837" s="208"/>
      <c r="E837" s="208"/>
      <c r="F837" s="178"/>
      <c r="G837" s="208"/>
      <c r="H837" s="208"/>
      <c r="I837" s="178"/>
    </row>
    <row r="838" spans="4:9" ht="15.75" customHeight="1" x14ac:dyDescent="0.25">
      <c r="D838" s="208"/>
      <c r="E838" s="208"/>
      <c r="F838" s="178"/>
      <c r="G838" s="208"/>
      <c r="H838" s="208"/>
      <c r="I838" s="178"/>
    </row>
    <row r="839" spans="4:9" ht="15.75" customHeight="1" x14ac:dyDescent="0.25">
      <c r="D839" s="208"/>
      <c r="E839" s="208"/>
      <c r="F839" s="178"/>
      <c r="G839" s="208"/>
      <c r="H839" s="208"/>
      <c r="I839" s="178"/>
    </row>
    <row r="840" spans="4:9" ht="15.75" customHeight="1" x14ac:dyDescent="0.25">
      <c r="D840" s="208"/>
      <c r="E840" s="208"/>
      <c r="F840" s="178"/>
      <c r="G840" s="208"/>
      <c r="H840" s="208"/>
      <c r="I840" s="178"/>
    </row>
    <row r="841" spans="4:9" ht="15.75" customHeight="1" x14ac:dyDescent="0.25">
      <c r="D841" s="208"/>
      <c r="E841" s="208"/>
      <c r="F841" s="178"/>
      <c r="G841" s="208"/>
      <c r="H841" s="208"/>
      <c r="I841" s="178"/>
    </row>
    <row r="842" spans="4:9" ht="15.75" customHeight="1" x14ac:dyDescent="0.25">
      <c r="D842" s="208"/>
      <c r="E842" s="208"/>
      <c r="F842" s="178"/>
      <c r="G842" s="208"/>
      <c r="H842" s="208"/>
      <c r="I842" s="178"/>
    </row>
    <row r="843" spans="4:9" ht="15.75" customHeight="1" x14ac:dyDescent="0.25">
      <c r="D843" s="208"/>
      <c r="E843" s="208"/>
      <c r="F843" s="178"/>
      <c r="G843" s="208"/>
      <c r="H843" s="208"/>
      <c r="I843" s="178"/>
    </row>
    <row r="844" spans="4:9" ht="15.75" customHeight="1" x14ac:dyDescent="0.25">
      <c r="D844" s="208"/>
      <c r="E844" s="208"/>
      <c r="F844" s="178"/>
      <c r="G844" s="208"/>
      <c r="H844" s="208"/>
      <c r="I844" s="178"/>
    </row>
    <row r="845" spans="4:9" ht="15.75" customHeight="1" x14ac:dyDescent="0.25">
      <c r="D845" s="208"/>
      <c r="E845" s="208"/>
      <c r="F845" s="178"/>
      <c r="G845" s="208"/>
      <c r="H845" s="208"/>
      <c r="I845" s="178"/>
    </row>
    <row r="846" spans="4:9" ht="15.75" customHeight="1" x14ac:dyDescent="0.25">
      <c r="D846" s="208"/>
      <c r="E846" s="208"/>
      <c r="F846" s="178"/>
      <c r="G846" s="208"/>
      <c r="H846" s="208"/>
      <c r="I846" s="178"/>
    </row>
    <row r="847" spans="4:9" ht="15.75" customHeight="1" x14ac:dyDescent="0.25">
      <c r="D847" s="208"/>
      <c r="E847" s="208"/>
      <c r="F847" s="178"/>
      <c r="G847" s="208"/>
      <c r="H847" s="208"/>
      <c r="I847" s="178"/>
    </row>
    <row r="848" spans="4:9" ht="15.75" customHeight="1" x14ac:dyDescent="0.25">
      <c r="D848" s="208"/>
      <c r="E848" s="208"/>
      <c r="F848" s="178"/>
      <c r="G848" s="208"/>
      <c r="H848" s="208"/>
      <c r="I848" s="178"/>
    </row>
    <row r="849" spans="4:9" ht="15.75" customHeight="1" x14ac:dyDescent="0.25">
      <c r="D849" s="208"/>
      <c r="E849" s="208"/>
      <c r="F849" s="178"/>
      <c r="G849" s="208"/>
      <c r="H849" s="208"/>
      <c r="I849" s="178"/>
    </row>
    <row r="850" spans="4:9" ht="15.75" customHeight="1" x14ac:dyDescent="0.25">
      <c r="D850" s="208"/>
      <c r="E850" s="208"/>
      <c r="F850" s="178"/>
      <c r="G850" s="208"/>
      <c r="H850" s="208"/>
      <c r="I850" s="178"/>
    </row>
    <row r="851" spans="4:9" ht="15.75" customHeight="1" x14ac:dyDescent="0.25">
      <c r="D851" s="208"/>
      <c r="E851" s="208"/>
      <c r="F851" s="178"/>
      <c r="G851" s="208"/>
      <c r="H851" s="208"/>
      <c r="I851" s="178"/>
    </row>
    <row r="852" spans="4:9" ht="15.75" customHeight="1" x14ac:dyDescent="0.25">
      <c r="D852" s="208"/>
      <c r="E852" s="208"/>
      <c r="F852" s="178"/>
      <c r="G852" s="208"/>
      <c r="H852" s="208"/>
      <c r="I852" s="178"/>
    </row>
    <row r="853" spans="4:9" ht="15.75" customHeight="1" x14ac:dyDescent="0.25">
      <c r="D853" s="208"/>
      <c r="E853" s="208"/>
      <c r="F853" s="178"/>
      <c r="G853" s="208"/>
      <c r="H853" s="208"/>
      <c r="I853" s="178"/>
    </row>
    <row r="854" spans="4:9" ht="15.75" customHeight="1" x14ac:dyDescent="0.25">
      <c r="D854" s="208"/>
      <c r="E854" s="208"/>
      <c r="F854" s="178"/>
      <c r="G854" s="208"/>
      <c r="H854" s="208"/>
      <c r="I854" s="178"/>
    </row>
    <row r="855" spans="4:9" ht="15.75" customHeight="1" x14ac:dyDescent="0.25">
      <c r="D855" s="208"/>
      <c r="E855" s="208"/>
      <c r="F855" s="178"/>
      <c r="G855" s="208"/>
      <c r="H855" s="208"/>
      <c r="I855" s="178"/>
    </row>
    <row r="856" spans="4:9" ht="15.75" customHeight="1" x14ac:dyDescent="0.25">
      <c r="D856" s="208"/>
      <c r="E856" s="208"/>
      <c r="F856" s="178"/>
      <c r="G856" s="208"/>
      <c r="H856" s="208"/>
      <c r="I856" s="178"/>
    </row>
    <row r="857" spans="4:9" ht="15.75" customHeight="1" x14ac:dyDescent="0.25">
      <c r="D857" s="208"/>
      <c r="E857" s="208"/>
      <c r="F857" s="178"/>
      <c r="G857" s="208"/>
      <c r="H857" s="208"/>
      <c r="I857" s="178"/>
    </row>
    <row r="858" spans="4:9" ht="15.75" customHeight="1" x14ac:dyDescent="0.25">
      <c r="D858" s="208"/>
      <c r="E858" s="208"/>
      <c r="F858" s="178"/>
      <c r="G858" s="208"/>
      <c r="H858" s="208"/>
      <c r="I858" s="178"/>
    </row>
    <row r="859" spans="4:9" ht="15.75" customHeight="1" x14ac:dyDescent="0.25">
      <c r="D859" s="208"/>
      <c r="E859" s="208"/>
      <c r="F859" s="178"/>
      <c r="G859" s="208"/>
      <c r="H859" s="208"/>
      <c r="I859" s="178"/>
    </row>
    <row r="860" spans="4:9" ht="15.75" customHeight="1" x14ac:dyDescent="0.25">
      <c r="D860" s="208"/>
      <c r="E860" s="208"/>
      <c r="F860" s="178"/>
      <c r="G860" s="208"/>
      <c r="H860" s="208"/>
      <c r="I860" s="178"/>
    </row>
    <row r="861" spans="4:9" ht="15.75" customHeight="1" x14ac:dyDescent="0.25">
      <c r="D861" s="208"/>
      <c r="E861" s="208"/>
      <c r="F861" s="178"/>
      <c r="G861" s="208"/>
      <c r="H861" s="208"/>
      <c r="I861" s="178"/>
    </row>
    <row r="862" spans="4:9" ht="15.75" customHeight="1" x14ac:dyDescent="0.25">
      <c r="D862" s="208"/>
      <c r="E862" s="208"/>
      <c r="F862" s="178"/>
      <c r="G862" s="208"/>
      <c r="H862" s="208"/>
      <c r="I862" s="178"/>
    </row>
    <row r="863" spans="4:9" ht="15.75" customHeight="1" x14ac:dyDescent="0.25">
      <c r="D863" s="208"/>
      <c r="E863" s="208"/>
      <c r="F863" s="178"/>
      <c r="G863" s="208"/>
      <c r="H863" s="208"/>
      <c r="I863" s="178"/>
    </row>
    <row r="864" spans="4:9" ht="15.75" customHeight="1" x14ac:dyDescent="0.25">
      <c r="D864" s="208"/>
      <c r="E864" s="208"/>
      <c r="F864" s="178"/>
      <c r="G864" s="208"/>
      <c r="H864" s="208"/>
      <c r="I864" s="178"/>
    </row>
    <row r="865" spans="4:9" ht="15.75" customHeight="1" x14ac:dyDescent="0.25">
      <c r="D865" s="208"/>
      <c r="E865" s="208"/>
      <c r="F865" s="178"/>
      <c r="G865" s="208"/>
      <c r="H865" s="208"/>
      <c r="I865" s="178"/>
    </row>
    <row r="866" spans="4:9" ht="15.75" customHeight="1" x14ac:dyDescent="0.25">
      <c r="D866" s="208"/>
      <c r="E866" s="208"/>
      <c r="F866" s="178"/>
      <c r="G866" s="208"/>
      <c r="H866" s="208"/>
      <c r="I866" s="178"/>
    </row>
    <row r="867" spans="4:9" ht="15.75" customHeight="1" x14ac:dyDescent="0.25">
      <c r="D867" s="208"/>
      <c r="E867" s="208"/>
      <c r="F867" s="178"/>
      <c r="G867" s="208"/>
      <c r="H867" s="208"/>
      <c r="I867" s="178"/>
    </row>
    <row r="868" spans="4:9" ht="15.75" customHeight="1" x14ac:dyDescent="0.25">
      <c r="D868" s="208"/>
      <c r="E868" s="208"/>
      <c r="F868" s="178"/>
      <c r="G868" s="208"/>
      <c r="H868" s="208"/>
      <c r="I868" s="178"/>
    </row>
    <row r="869" spans="4:9" ht="15.75" customHeight="1" x14ac:dyDescent="0.25">
      <c r="D869" s="208"/>
      <c r="E869" s="208"/>
      <c r="F869" s="178"/>
      <c r="G869" s="208"/>
      <c r="H869" s="208"/>
      <c r="I869" s="178"/>
    </row>
    <row r="870" spans="4:9" ht="15.75" customHeight="1" x14ac:dyDescent="0.25">
      <c r="D870" s="208"/>
      <c r="E870" s="208"/>
      <c r="F870" s="178"/>
      <c r="G870" s="208"/>
      <c r="H870" s="208"/>
      <c r="I870" s="178"/>
    </row>
    <row r="871" spans="4:9" ht="15.75" customHeight="1" x14ac:dyDescent="0.25">
      <c r="D871" s="208"/>
      <c r="E871" s="208"/>
      <c r="F871" s="178"/>
      <c r="G871" s="208"/>
      <c r="H871" s="208"/>
      <c r="I871" s="178"/>
    </row>
    <row r="872" spans="4:9" ht="15.75" customHeight="1" x14ac:dyDescent="0.25">
      <c r="D872" s="208"/>
      <c r="E872" s="208"/>
      <c r="F872" s="178"/>
      <c r="G872" s="208"/>
      <c r="H872" s="208"/>
      <c r="I872" s="178"/>
    </row>
    <row r="873" spans="4:9" ht="15.75" customHeight="1" x14ac:dyDescent="0.25">
      <c r="D873" s="208"/>
      <c r="E873" s="208"/>
      <c r="F873" s="178"/>
      <c r="G873" s="208"/>
      <c r="H873" s="208"/>
      <c r="I873" s="178"/>
    </row>
    <row r="874" spans="4:9" ht="15.75" customHeight="1" x14ac:dyDescent="0.25">
      <c r="D874" s="208"/>
      <c r="E874" s="208"/>
      <c r="F874" s="178"/>
      <c r="G874" s="208"/>
      <c r="H874" s="208"/>
      <c r="I874" s="178"/>
    </row>
    <row r="875" spans="4:9" ht="15.75" customHeight="1" x14ac:dyDescent="0.25">
      <c r="D875" s="208"/>
      <c r="E875" s="208"/>
      <c r="F875" s="178"/>
      <c r="G875" s="208"/>
      <c r="H875" s="208"/>
      <c r="I875" s="178"/>
    </row>
    <row r="876" spans="4:9" ht="15.75" customHeight="1" x14ac:dyDescent="0.25">
      <c r="D876" s="208"/>
      <c r="E876" s="208"/>
      <c r="F876" s="178"/>
      <c r="G876" s="208"/>
      <c r="H876" s="208"/>
      <c r="I876" s="178"/>
    </row>
    <row r="877" spans="4:9" ht="15.75" customHeight="1" x14ac:dyDescent="0.25">
      <c r="D877" s="208"/>
      <c r="E877" s="208"/>
      <c r="F877" s="178"/>
      <c r="G877" s="208"/>
      <c r="H877" s="208"/>
      <c r="I877" s="178"/>
    </row>
    <row r="878" spans="4:9" ht="15.75" customHeight="1" x14ac:dyDescent="0.25">
      <c r="D878" s="208"/>
      <c r="E878" s="208"/>
      <c r="F878" s="178"/>
      <c r="G878" s="208"/>
      <c r="H878" s="208"/>
      <c r="I878" s="178"/>
    </row>
    <row r="879" spans="4:9" ht="15.75" customHeight="1" x14ac:dyDescent="0.25">
      <c r="D879" s="208"/>
      <c r="E879" s="208"/>
      <c r="F879" s="178"/>
      <c r="G879" s="208"/>
      <c r="H879" s="208"/>
      <c r="I879" s="178"/>
    </row>
    <row r="880" spans="4:9" ht="15.75" customHeight="1" x14ac:dyDescent="0.25">
      <c r="D880" s="208"/>
      <c r="E880" s="208"/>
      <c r="F880" s="178"/>
      <c r="G880" s="208"/>
      <c r="H880" s="208"/>
      <c r="I880" s="178"/>
    </row>
    <row r="881" spans="4:9" ht="15.75" customHeight="1" x14ac:dyDescent="0.25">
      <c r="D881" s="208"/>
      <c r="E881" s="208"/>
      <c r="F881" s="178"/>
      <c r="G881" s="208"/>
      <c r="H881" s="208"/>
      <c r="I881" s="178"/>
    </row>
    <row r="882" spans="4:9" ht="15.75" customHeight="1" x14ac:dyDescent="0.25">
      <c r="D882" s="208"/>
      <c r="E882" s="208"/>
      <c r="F882" s="178"/>
      <c r="G882" s="208"/>
      <c r="H882" s="208"/>
      <c r="I882" s="178"/>
    </row>
    <row r="883" spans="4:9" ht="15.75" customHeight="1" x14ac:dyDescent="0.25">
      <c r="D883" s="208"/>
      <c r="E883" s="208"/>
      <c r="F883" s="178"/>
      <c r="G883" s="208"/>
      <c r="H883" s="208"/>
      <c r="I883" s="178"/>
    </row>
    <row r="884" spans="4:9" ht="15.75" customHeight="1" x14ac:dyDescent="0.25">
      <c r="D884" s="208"/>
      <c r="E884" s="208"/>
      <c r="F884" s="178"/>
      <c r="G884" s="208"/>
      <c r="H884" s="208"/>
      <c r="I884" s="178"/>
    </row>
    <row r="885" spans="4:9" ht="15.75" customHeight="1" x14ac:dyDescent="0.25">
      <c r="D885" s="208"/>
      <c r="E885" s="208"/>
      <c r="F885" s="178"/>
      <c r="G885" s="208"/>
      <c r="H885" s="208"/>
      <c r="I885" s="178"/>
    </row>
    <row r="886" spans="4:9" ht="15.75" customHeight="1" x14ac:dyDescent="0.25">
      <c r="D886" s="208"/>
      <c r="E886" s="208"/>
      <c r="F886" s="178"/>
      <c r="G886" s="208"/>
      <c r="H886" s="208"/>
      <c r="I886" s="178"/>
    </row>
    <row r="887" spans="4:9" ht="15.75" customHeight="1" x14ac:dyDescent="0.25">
      <c r="D887" s="208"/>
      <c r="E887" s="208"/>
      <c r="F887" s="178"/>
      <c r="G887" s="208"/>
      <c r="H887" s="208"/>
      <c r="I887" s="178"/>
    </row>
    <row r="888" spans="4:9" ht="15.75" customHeight="1" x14ac:dyDescent="0.25">
      <c r="D888" s="208"/>
      <c r="E888" s="208"/>
      <c r="F888" s="178"/>
      <c r="G888" s="208"/>
      <c r="H888" s="208"/>
      <c r="I888" s="178"/>
    </row>
    <row r="889" spans="4:9" ht="15.75" customHeight="1" x14ac:dyDescent="0.25">
      <c r="D889" s="208"/>
      <c r="E889" s="208"/>
      <c r="F889" s="178"/>
      <c r="G889" s="208"/>
      <c r="H889" s="208"/>
      <c r="I889" s="178"/>
    </row>
    <row r="890" spans="4:9" ht="15.75" customHeight="1" x14ac:dyDescent="0.25">
      <c r="D890" s="208"/>
      <c r="E890" s="208"/>
      <c r="F890" s="178"/>
      <c r="G890" s="208"/>
      <c r="H890" s="208"/>
      <c r="I890" s="178"/>
    </row>
    <row r="891" spans="4:9" ht="15.75" customHeight="1" x14ac:dyDescent="0.25">
      <c r="D891" s="208"/>
      <c r="E891" s="208"/>
      <c r="F891" s="178"/>
      <c r="G891" s="208"/>
      <c r="H891" s="208"/>
      <c r="I891" s="178"/>
    </row>
    <row r="892" spans="4:9" ht="15.75" customHeight="1" x14ac:dyDescent="0.25">
      <c r="D892" s="208"/>
      <c r="E892" s="208"/>
      <c r="F892" s="178"/>
      <c r="G892" s="208"/>
      <c r="H892" s="208"/>
      <c r="I892" s="178"/>
    </row>
    <row r="893" spans="4:9" ht="15.75" customHeight="1" x14ac:dyDescent="0.25">
      <c r="D893" s="208"/>
      <c r="E893" s="208"/>
      <c r="F893" s="178"/>
      <c r="G893" s="208"/>
      <c r="H893" s="208"/>
      <c r="I893" s="178"/>
    </row>
    <row r="894" spans="4:9" ht="15.75" customHeight="1" x14ac:dyDescent="0.25">
      <c r="D894" s="208"/>
      <c r="E894" s="208"/>
      <c r="F894" s="178"/>
      <c r="G894" s="208"/>
      <c r="H894" s="208"/>
      <c r="I894" s="178"/>
    </row>
    <row r="895" spans="4:9" ht="15.75" customHeight="1" x14ac:dyDescent="0.25">
      <c r="D895" s="208"/>
      <c r="E895" s="208"/>
      <c r="F895" s="178"/>
      <c r="G895" s="208"/>
      <c r="H895" s="208"/>
      <c r="I895" s="178"/>
    </row>
    <row r="896" spans="4:9" ht="15.75" customHeight="1" x14ac:dyDescent="0.25">
      <c r="D896" s="208"/>
      <c r="E896" s="208"/>
      <c r="F896" s="178"/>
      <c r="G896" s="208"/>
      <c r="H896" s="208"/>
      <c r="I896" s="178"/>
    </row>
    <row r="897" spans="4:9" ht="15.75" customHeight="1" x14ac:dyDescent="0.25">
      <c r="D897" s="208"/>
      <c r="E897" s="208"/>
      <c r="F897" s="178"/>
      <c r="G897" s="208"/>
      <c r="H897" s="208"/>
      <c r="I897" s="178"/>
    </row>
    <row r="898" spans="4:9" ht="15.75" customHeight="1" x14ac:dyDescent="0.25">
      <c r="D898" s="208"/>
      <c r="E898" s="208"/>
      <c r="F898" s="178"/>
      <c r="G898" s="208"/>
      <c r="H898" s="208"/>
      <c r="I898" s="178"/>
    </row>
    <row r="899" spans="4:9" ht="15.75" customHeight="1" x14ac:dyDescent="0.25">
      <c r="D899" s="208"/>
      <c r="E899" s="208"/>
      <c r="F899" s="178"/>
      <c r="G899" s="208"/>
      <c r="H899" s="208"/>
      <c r="I899" s="178"/>
    </row>
    <row r="900" spans="4:9" ht="15.75" customHeight="1" x14ac:dyDescent="0.25">
      <c r="D900" s="208"/>
      <c r="E900" s="208"/>
      <c r="F900" s="178"/>
      <c r="G900" s="208"/>
      <c r="H900" s="208"/>
      <c r="I900" s="178"/>
    </row>
    <row r="901" spans="4:9" ht="15.75" customHeight="1" x14ac:dyDescent="0.25">
      <c r="D901" s="208"/>
      <c r="E901" s="208"/>
      <c r="F901" s="178"/>
      <c r="G901" s="208"/>
      <c r="H901" s="208"/>
      <c r="I901" s="178"/>
    </row>
    <row r="902" spans="4:9" ht="15.75" customHeight="1" x14ac:dyDescent="0.25">
      <c r="D902" s="208"/>
      <c r="E902" s="208"/>
      <c r="F902" s="178"/>
      <c r="G902" s="208"/>
      <c r="H902" s="208"/>
      <c r="I902" s="178"/>
    </row>
    <row r="903" spans="4:9" ht="15.75" customHeight="1" x14ac:dyDescent="0.25">
      <c r="D903" s="208"/>
      <c r="E903" s="208"/>
      <c r="F903" s="178"/>
      <c r="G903" s="208"/>
      <c r="H903" s="208"/>
      <c r="I903" s="178"/>
    </row>
    <row r="904" spans="4:9" ht="15.75" customHeight="1" x14ac:dyDescent="0.25">
      <c r="D904" s="208"/>
      <c r="E904" s="208"/>
      <c r="F904" s="178"/>
      <c r="G904" s="208"/>
      <c r="H904" s="208"/>
      <c r="I904" s="178"/>
    </row>
    <row r="905" spans="4:9" ht="15.75" customHeight="1" x14ac:dyDescent="0.25">
      <c r="D905" s="208"/>
      <c r="E905" s="208"/>
      <c r="F905" s="178"/>
      <c r="G905" s="208"/>
      <c r="H905" s="208"/>
      <c r="I905" s="178"/>
    </row>
    <row r="906" spans="4:9" ht="15.75" customHeight="1" x14ac:dyDescent="0.25">
      <c r="D906" s="208"/>
      <c r="E906" s="208"/>
      <c r="F906" s="178"/>
      <c r="G906" s="208"/>
      <c r="H906" s="208"/>
      <c r="I906" s="178"/>
    </row>
    <row r="907" spans="4:9" ht="15.75" customHeight="1" x14ac:dyDescent="0.25">
      <c r="D907" s="208"/>
      <c r="E907" s="208"/>
      <c r="F907" s="178"/>
      <c r="G907" s="208"/>
      <c r="H907" s="208"/>
      <c r="I907" s="178"/>
    </row>
    <row r="908" spans="4:9" ht="15.75" customHeight="1" x14ac:dyDescent="0.25">
      <c r="D908" s="208"/>
      <c r="E908" s="208"/>
      <c r="F908" s="178"/>
      <c r="G908" s="208"/>
      <c r="H908" s="208"/>
      <c r="I908" s="178"/>
    </row>
    <row r="909" spans="4:9" ht="15.75" customHeight="1" x14ac:dyDescent="0.25">
      <c r="D909" s="208"/>
      <c r="E909" s="208"/>
      <c r="F909" s="178"/>
      <c r="G909" s="208"/>
      <c r="H909" s="208"/>
      <c r="I909" s="178"/>
    </row>
    <row r="910" spans="4:9" ht="15.75" customHeight="1" x14ac:dyDescent="0.25">
      <c r="D910" s="208"/>
      <c r="E910" s="208"/>
      <c r="F910" s="178"/>
      <c r="G910" s="208"/>
      <c r="H910" s="208"/>
      <c r="I910" s="178"/>
    </row>
    <row r="911" spans="4:9" ht="15.75" customHeight="1" x14ac:dyDescent="0.25">
      <c r="D911" s="208"/>
      <c r="E911" s="208"/>
      <c r="F911" s="178"/>
      <c r="G911" s="208"/>
      <c r="H911" s="208"/>
      <c r="I911" s="178"/>
    </row>
    <row r="912" spans="4:9" ht="15.75" customHeight="1" x14ac:dyDescent="0.25">
      <c r="D912" s="208"/>
      <c r="E912" s="208"/>
      <c r="F912" s="178"/>
      <c r="G912" s="208"/>
      <c r="H912" s="208"/>
      <c r="I912" s="178"/>
    </row>
    <row r="913" spans="4:9" ht="15.75" customHeight="1" x14ac:dyDescent="0.25">
      <c r="D913" s="208"/>
      <c r="E913" s="208"/>
      <c r="F913" s="178"/>
      <c r="G913" s="208"/>
      <c r="H913" s="208"/>
      <c r="I913" s="178"/>
    </row>
    <row r="914" spans="4:9" ht="15.75" customHeight="1" x14ac:dyDescent="0.25">
      <c r="D914" s="208"/>
      <c r="E914" s="208"/>
      <c r="F914" s="178"/>
      <c r="G914" s="208"/>
      <c r="H914" s="208"/>
      <c r="I914" s="178"/>
    </row>
    <row r="915" spans="4:9" ht="15.75" customHeight="1" x14ac:dyDescent="0.25">
      <c r="D915" s="208"/>
      <c r="E915" s="208"/>
      <c r="F915" s="178"/>
      <c r="G915" s="208"/>
      <c r="H915" s="208"/>
      <c r="I915" s="178"/>
    </row>
    <row r="916" spans="4:9" ht="15.75" customHeight="1" x14ac:dyDescent="0.25">
      <c r="D916" s="208"/>
      <c r="E916" s="208"/>
      <c r="F916" s="178"/>
      <c r="G916" s="208"/>
      <c r="H916" s="208"/>
      <c r="I916" s="178"/>
    </row>
    <row r="917" spans="4:9" ht="15.75" customHeight="1" x14ac:dyDescent="0.25">
      <c r="D917" s="208"/>
      <c r="E917" s="208"/>
      <c r="F917" s="178"/>
      <c r="G917" s="208"/>
      <c r="H917" s="208"/>
      <c r="I917" s="178"/>
    </row>
    <row r="918" spans="4:9" ht="15.75" customHeight="1" x14ac:dyDescent="0.25">
      <c r="D918" s="208"/>
      <c r="E918" s="208"/>
      <c r="F918" s="178"/>
      <c r="G918" s="208"/>
      <c r="H918" s="208"/>
      <c r="I918" s="178"/>
    </row>
    <row r="919" spans="4:9" ht="15.75" customHeight="1" x14ac:dyDescent="0.25">
      <c r="D919" s="208"/>
      <c r="E919" s="208"/>
      <c r="F919" s="178"/>
      <c r="G919" s="208"/>
      <c r="H919" s="208"/>
      <c r="I919" s="178"/>
    </row>
    <row r="920" spans="4:9" ht="15.75" customHeight="1" x14ac:dyDescent="0.25">
      <c r="D920" s="208"/>
      <c r="E920" s="208"/>
      <c r="F920" s="178"/>
      <c r="G920" s="208"/>
      <c r="H920" s="208"/>
      <c r="I920" s="178"/>
    </row>
    <row r="921" spans="4:9" ht="15.75" customHeight="1" x14ac:dyDescent="0.25">
      <c r="D921" s="208"/>
      <c r="E921" s="208"/>
      <c r="F921" s="178"/>
      <c r="G921" s="208"/>
      <c r="H921" s="208"/>
      <c r="I921" s="178"/>
    </row>
    <row r="922" spans="4:9" ht="15.75" customHeight="1" x14ac:dyDescent="0.25">
      <c r="D922" s="208"/>
      <c r="E922" s="208"/>
      <c r="F922" s="178"/>
      <c r="G922" s="208"/>
      <c r="H922" s="208"/>
      <c r="I922" s="178"/>
    </row>
    <row r="923" spans="4:9" ht="15.75" customHeight="1" x14ac:dyDescent="0.25">
      <c r="D923" s="208"/>
      <c r="E923" s="208"/>
      <c r="F923" s="178"/>
      <c r="G923" s="208"/>
      <c r="H923" s="208"/>
      <c r="I923" s="178"/>
    </row>
    <row r="924" spans="4:9" ht="15.75" customHeight="1" x14ac:dyDescent="0.25">
      <c r="D924" s="208"/>
      <c r="E924" s="208"/>
      <c r="F924" s="178"/>
      <c r="G924" s="208"/>
      <c r="H924" s="208"/>
      <c r="I924" s="178"/>
    </row>
    <row r="925" spans="4:9" ht="15.75" customHeight="1" x14ac:dyDescent="0.25">
      <c r="D925" s="208"/>
      <c r="E925" s="208"/>
      <c r="F925" s="178"/>
      <c r="G925" s="208"/>
      <c r="H925" s="208"/>
      <c r="I925" s="178"/>
    </row>
    <row r="926" spans="4:9" ht="15.75" customHeight="1" x14ac:dyDescent="0.25">
      <c r="D926" s="208"/>
      <c r="E926" s="208"/>
      <c r="F926" s="178"/>
      <c r="G926" s="208"/>
      <c r="H926" s="208"/>
      <c r="I926" s="178"/>
    </row>
    <row r="927" spans="4:9" ht="15.75" customHeight="1" x14ac:dyDescent="0.25">
      <c r="D927" s="208"/>
      <c r="E927" s="208"/>
      <c r="F927" s="178"/>
      <c r="G927" s="208"/>
      <c r="H927" s="208"/>
      <c r="I927" s="178"/>
    </row>
    <row r="928" spans="4:9" ht="15.75" customHeight="1" x14ac:dyDescent="0.25">
      <c r="D928" s="208"/>
      <c r="E928" s="208"/>
      <c r="F928" s="178"/>
      <c r="G928" s="208"/>
      <c r="H928" s="208"/>
      <c r="I928" s="178"/>
    </row>
    <row r="929" spans="4:9" ht="15.75" customHeight="1" x14ac:dyDescent="0.25">
      <c r="D929" s="208"/>
      <c r="E929" s="208"/>
      <c r="F929" s="178"/>
      <c r="G929" s="208"/>
      <c r="H929" s="208"/>
      <c r="I929" s="178"/>
    </row>
    <row r="930" spans="4:9" ht="15.75" customHeight="1" x14ac:dyDescent="0.25">
      <c r="D930" s="208"/>
      <c r="E930" s="208"/>
      <c r="F930" s="178"/>
      <c r="G930" s="208"/>
      <c r="H930" s="208"/>
      <c r="I930" s="178"/>
    </row>
    <row r="931" spans="4:9" ht="15.75" customHeight="1" x14ac:dyDescent="0.25">
      <c r="D931" s="208"/>
      <c r="E931" s="208"/>
      <c r="F931" s="178"/>
      <c r="G931" s="208"/>
      <c r="H931" s="208"/>
      <c r="I931" s="178"/>
    </row>
    <row r="932" spans="4:9" ht="15.75" customHeight="1" x14ac:dyDescent="0.25">
      <c r="D932" s="208"/>
      <c r="E932" s="208"/>
      <c r="F932" s="178"/>
      <c r="G932" s="208"/>
      <c r="H932" s="208"/>
      <c r="I932" s="178"/>
    </row>
    <row r="933" spans="4:9" ht="15.75" customHeight="1" x14ac:dyDescent="0.25">
      <c r="D933" s="208"/>
      <c r="E933" s="208"/>
      <c r="F933" s="178"/>
      <c r="G933" s="208"/>
      <c r="H933" s="208"/>
      <c r="I933" s="178"/>
    </row>
    <row r="934" spans="4:9" ht="15.75" customHeight="1" x14ac:dyDescent="0.25">
      <c r="D934" s="208"/>
      <c r="E934" s="208"/>
      <c r="F934" s="178"/>
      <c r="G934" s="208"/>
      <c r="H934" s="208"/>
      <c r="I934" s="178"/>
    </row>
    <row r="935" spans="4:9" ht="15.75" customHeight="1" x14ac:dyDescent="0.25">
      <c r="D935" s="208"/>
      <c r="E935" s="208"/>
      <c r="F935" s="178"/>
      <c r="G935" s="208"/>
      <c r="H935" s="208"/>
      <c r="I935" s="178"/>
    </row>
    <row r="936" spans="4:9" ht="15.75" customHeight="1" x14ac:dyDescent="0.25">
      <c r="D936" s="208"/>
      <c r="E936" s="208"/>
      <c r="F936" s="178"/>
      <c r="G936" s="208"/>
      <c r="H936" s="208"/>
      <c r="I936" s="178"/>
    </row>
    <row r="937" spans="4:9" ht="15.75" customHeight="1" x14ac:dyDescent="0.25">
      <c r="D937" s="208"/>
      <c r="E937" s="208"/>
      <c r="F937" s="178"/>
      <c r="G937" s="208"/>
      <c r="H937" s="208"/>
      <c r="I937" s="178"/>
    </row>
    <row r="938" spans="4:9" ht="15.75" customHeight="1" x14ac:dyDescent="0.25">
      <c r="D938" s="208"/>
      <c r="E938" s="208"/>
      <c r="F938" s="178"/>
      <c r="G938" s="208"/>
      <c r="H938" s="208"/>
      <c r="I938" s="178"/>
    </row>
    <row r="939" spans="4:9" ht="15.75" customHeight="1" x14ac:dyDescent="0.25">
      <c r="D939" s="208"/>
      <c r="E939" s="208"/>
      <c r="F939" s="178"/>
      <c r="G939" s="208"/>
      <c r="H939" s="208"/>
      <c r="I939" s="178"/>
    </row>
    <row r="940" spans="4:9" ht="15.75" customHeight="1" x14ac:dyDescent="0.25">
      <c r="D940" s="208"/>
      <c r="E940" s="208"/>
      <c r="F940" s="178"/>
      <c r="G940" s="208"/>
      <c r="H940" s="208"/>
      <c r="I940" s="178"/>
    </row>
    <row r="941" spans="4:9" ht="15.75" customHeight="1" x14ac:dyDescent="0.25">
      <c r="D941" s="208"/>
      <c r="E941" s="208"/>
      <c r="F941" s="178"/>
      <c r="G941" s="208"/>
      <c r="H941" s="208"/>
      <c r="I941" s="178"/>
    </row>
    <row r="942" spans="4:9" ht="15.75" customHeight="1" x14ac:dyDescent="0.25">
      <c r="D942" s="208"/>
      <c r="E942" s="208"/>
      <c r="F942" s="178"/>
      <c r="G942" s="208"/>
      <c r="H942" s="208"/>
      <c r="I942" s="178"/>
    </row>
    <row r="943" spans="4:9" ht="15.75" customHeight="1" x14ac:dyDescent="0.25">
      <c r="D943" s="208"/>
      <c r="E943" s="208"/>
      <c r="F943" s="178"/>
      <c r="G943" s="208"/>
      <c r="H943" s="208"/>
      <c r="I943" s="178"/>
    </row>
    <row r="944" spans="4:9" ht="15.75" customHeight="1" x14ac:dyDescent="0.25">
      <c r="D944" s="208"/>
      <c r="E944" s="208"/>
      <c r="F944" s="178"/>
      <c r="G944" s="208"/>
      <c r="H944" s="208"/>
      <c r="I944" s="178"/>
    </row>
    <row r="945" spans="4:9" ht="15.75" customHeight="1" x14ac:dyDescent="0.25">
      <c r="D945" s="208"/>
      <c r="E945" s="208"/>
      <c r="F945" s="178"/>
      <c r="G945" s="208"/>
      <c r="H945" s="208"/>
      <c r="I945" s="178"/>
    </row>
    <row r="946" spans="4:9" ht="15.75" customHeight="1" x14ac:dyDescent="0.25">
      <c r="D946" s="208"/>
      <c r="E946" s="208"/>
      <c r="F946" s="178"/>
      <c r="G946" s="208"/>
      <c r="H946" s="208"/>
      <c r="I946" s="178"/>
    </row>
    <row r="947" spans="4:9" ht="15.75" customHeight="1" x14ac:dyDescent="0.25">
      <c r="D947" s="208"/>
      <c r="E947" s="208"/>
      <c r="F947" s="178"/>
      <c r="G947" s="208"/>
      <c r="H947" s="208"/>
      <c r="I947" s="178"/>
    </row>
    <row r="948" spans="4:9" ht="15.75" customHeight="1" x14ac:dyDescent="0.25">
      <c r="D948" s="208"/>
      <c r="E948" s="208"/>
      <c r="F948" s="178"/>
      <c r="G948" s="208"/>
      <c r="H948" s="208"/>
      <c r="I948" s="178"/>
    </row>
    <row r="949" spans="4:9" ht="15.75" customHeight="1" x14ac:dyDescent="0.25">
      <c r="D949" s="208"/>
      <c r="E949" s="208"/>
      <c r="F949" s="178"/>
      <c r="G949" s="208"/>
      <c r="H949" s="208"/>
      <c r="I949" s="178"/>
    </row>
    <row r="950" spans="4:9" ht="15.75" customHeight="1" x14ac:dyDescent="0.25">
      <c r="D950" s="208"/>
      <c r="E950" s="208"/>
      <c r="F950" s="178"/>
      <c r="G950" s="208"/>
      <c r="H950" s="208"/>
      <c r="I950" s="178"/>
    </row>
    <row r="951" spans="4:9" ht="15.75" customHeight="1" x14ac:dyDescent="0.25">
      <c r="D951" s="208"/>
      <c r="E951" s="208"/>
      <c r="F951" s="178"/>
      <c r="G951" s="208"/>
      <c r="H951" s="208"/>
      <c r="I951" s="178"/>
    </row>
    <row r="952" spans="4:9" ht="15.75" customHeight="1" x14ac:dyDescent="0.25">
      <c r="D952" s="208"/>
      <c r="E952" s="208"/>
      <c r="F952" s="178"/>
      <c r="G952" s="208"/>
      <c r="H952" s="208"/>
      <c r="I952" s="178"/>
    </row>
    <row r="953" spans="4:9" ht="15.75" customHeight="1" x14ac:dyDescent="0.25">
      <c r="D953" s="208"/>
      <c r="E953" s="208"/>
      <c r="F953" s="178"/>
      <c r="G953" s="208"/>
      <c r="H953" s="208"/>
      <c r="I953" s="178"/>
    </row>
    <row r="954" spans="4:9" ht="15.75" customHeight="1" x14ac:dyDescent="0.25">
      <c r="D954" s="208"/>
      <c r="E954" s="208"/>
      <c r="F954" s="178"/>
      <c r="G954" s="208"/>
      <c r="H954" s="208"/>
      <c r="I954" s="178"/>
    </row>
    <row r="955" spans="4:9" ht="15.75" customHeight="1" x14ac:dyDescent="0.25">
      <c r="D955" s="208"/>
      <c r="E955" s="208"/>
      <c r="F955" s="178"/>
      <c r="G955" s="208"/>
      <c r="H955" s="208"/>
      <c r="I955" s="178"/>
    </row>
    <row r="956" spans="4:9" ht="15.75" customHeight="1" x14ac:dyDescent="0.25">
      <c r="D956" s="208"/>
      <c r="E956" s="208"/>
      <c r="F956" s="178"/>
      <c r="G956" s="208"/>
      <c r="H956" s="208"/>
      <c r="I956" s="178"/>
    </row>
    <row r="957" spans="4:9" ht="15.75" customHeight="1" x14ac:dyDescent="0.25">
      <c r="D957" s="208"/>
      <c r="E957" s="208"/>
      <c r="F957" s="178"/>
      <c r="G957" s="208"/>
      <c r="H957" s="208"/>
      <c r="I957" s="178"/>
    </row>
    <row r="958" spans="4:9" ht="15.75" customHeight="1" x14ac:dyDescent="0.25">
      <c r="D958" s="208"/>
      <c r="E958" s="208"/>
      <c r="F958" s="178"/>
      <c r="G958" s="208"/>
      <c r="H958" s="208"/>
      <c r="I958" s="178"/>
    </row>
    <row r="959" spans="4:9" ht="15.75" customHeight="1" x14ac:dyDescent="0.25">
      <c r="D959" s="208"/>
      <c r="E959" s="208"/>
      <c r="F959" s="178"/>
      <c r="G959" s="208"/>
      <c r="H959" s="208"/>
      <c r="I959" s="178"/>
    </row>
    <row r="960" spans="4:9" ht="15.75" customHeight="1" x14ac:dyDescent="0.25">
      <c r="D960" s="208"/>
      <c r="E960" s="208"/>
      <c r="F960" s="178"/>
      <c r="G960" s="208"/>
      <c r="H960" s="208"/>
      <c r="I960" s="178"/>
    </row>
    <row r="961" spans="4:9" ht="15.75" customHeight="1" x14ac:dyDescent="0.25">
      <c r="D961" s="208"/>
      <c r="E961" s="208"/>
      <c r="F961" s="178"/>
      <c r="G961" s="208"/>
      <c r="H961" s="208"/>
      <c r="I961" s="178"/>
    </row>
    <row r="962" spans="4:9" ht="15.75" customHeight="1" x14ac:dyDescent="0.25">
      <c r="D962" s="208"/>
      <c r="E962" s="208"/>
      <c r="F962" s="178"/>
      <c r="G962" s="208"/>
      <c r="H962" s="208"/>
      <c r="I962" s="178"/>
    </row>
    <row r="963" spans="4:9" ht="15.75" customHeight="1" x14ac:dyDescent="0.25">
      <c r="D963" s="208"/>
      <c r="E963" s="208"/>
      <c r="F963" s="178"/>
      <c r="G963" s="208"/>
      <c r="H963" s="208"/>
      <c r="I963" s="178"/>
    </row>
    <row r="964" spans="4:9" ht="15.75" customHeight="1" x14ac:dyDescent="0.25">
      <c r="D964" s="208"/>
      <c r="E964" s="208"/>
      <c r="F964" s="178"/>
      <c r="G964" s="208"/>
      <c r="H964" s="208"/>
      <c r="I964" s="178"/>
    </row>
    <row r="965" spans="4:9" ht="15.75" customHeight="1" x14ac:dyDescent="0.25">
      <c r="D965" s="208"/>
      <c r="E965" s="208"/>
      <c r="F965" s="178"/>
      <c r="G965" s="208"/>
      <c r="H965" s="208"/>
      <c r="I965" s="178"/>
    </row>
    <row r="966" spans="4:9" ht="15.75" customHeight="1" x14ac:dyDescent="0.25">
      <c r="D966" s="208"/>
      <c r="E966" s="208"/>
      <c r="F966" s="178"/>
      <c r="G966" s="208"/>
      <c r="H966" s="208"/>
      <c r="I966" s="178"/>
    </row>
    <row r="967" spans="4:9" ht="15.75" customHeight="1" x14ac:dyDescent="0.25">
      <c r="D967" s="208"/>
      <c r="E967" s="208"/>
      <c r="F967" s="178"/>
      <c r="G967" s="208"/>
      <c r="H967" s="208"/>
      <c r="I967" s="178"/>
    </row>
    <row r="968" spans="4:9" ht="15.75" customHeight="1" x14ac:dyDescent="0.25">
      <c r="D968" s="208"/>
      <c r="E968" s="208"/>
      <c r="F968" s="178"/>
      <c r="G968" s="208"/>
      <c r="H968" s="208"/>
      <c r="I968" s="178"/>
    </row>
    <row r="969" spans="4:9" ht="15.75" customHeight="1" x14ac:dyDescent="0.25">
      <c r="D969" s="208"/>
      <c r="E969" s="208"/>
      <c r="F969" s="178"/>
      <c r="G969" s="208"/>
      <c r="H969" s="208"/>
      <c r="I969" s="178"/>
    </row>
    <row r="970" spans="4:9" ht="15.75" customHeight="1" x14ac:dyDescent="0.25">
      <c r="D970" s="208"/>
      <c r="E970" s="208"/>
      <c r="F970" s="178"/>
      <c r="G970" s="208"/>
      <c r="H970" s="208"/>
      <c r="I970" s="178"/>
    </row>
    <row r="971" spans="4:9" ht="15.75" customHeight="1" x14ac:dyDescent="0.25">
      <c r="D971" s="208"/>
      <c r="E971" s="208"/>
      <c r="F971" s="178"/>
      <c r="G971" s="208"/>
      <c r="H971" s="208"/>
      <c r="I971" s="178"/>
    </row>
    <row r="972" spans="4:9" ht="15.75" customHeight="1" x14ac:dyDescent="0.25">
      <c r="D972" s="208"/>
      <c r="E972" s="208"/>
      <c r="F972" s="178"/>
      <c r="G972" s="208"/>
      <c r="H972" s="208"/>
      <c r="I972" s="178"/>
    </row>
    <row r="973" spans="4:9" ht="15.75" customHeight="1" x14ac:dyDescent="0.25">
      <c r="D973" s="208"/>
      <c r="E973" s="208"/>
      <c r="F973" s="178"/>
      <c r="G973" s="208"/>
      <c r="H973" s="208"/>
      <c r="I973" s="178"/>
    </row>
    <row r="974" spans="4:9" ht="15.75" customHeight="1" x14ac:dyDescent="0.25">
      <c r="D974" s="208"/>
      <c r="E974" s="208"/>
      <c r="F974" s="178"/>
      <c r="G974" s="208"/>
      <c r="H974" s="208"/>
      <c r="I974" s="178"/>
    </row>
    <row r="975" spans="4:9" ht="15.75" customHeight="1" x14ac:dyDescent="0.25">
      <c r="D975" s="208"/>
      <c r="E975" s="208"/>
      <c r="F975" s="178"/>
      <c r="G975" s="208"/>
      <c r="H975" s="208"/>
      <c r="I975" s="178"/>
    </row>
    <row r="976" spans="4:9" ht="15.75" customHeight="1" x14ac:dyDescent="0.25">
      <c r="D976" s="208"/>
      <c r="E976" s="208"/>
      <c r="F976" s="178"/>
      <c r="G976" s="208"/>
      <c r="H976" s="208"/>
      <c r="I976" s="178"/>
    </row>
    <row r="977" spans="4:9" ht="15.75" customHeight="1" x14ac:dyDescent="0.25">
      <c r="D977" s="208"/>
      <c r="E977" s="208"/>
      <c r="F977" s="178"/>
      <c r="G977" s="208"/>
      <c r="H977" s="208"/>
      <c r="I977" s="178"/>
    </row>
    <row r="978" spans="4:9" ht="15.75" customHeight="1" x14ac:dyDescent="0.25">
      <c r="D978" s="208"/>
      <c r="E978" s="208"/>
      <c r="F978" s="178"/>
      <c r="G978" s="208"/>
      <c r="H978" s="208"/>
      <c r="I978" s="178"/>
    </row>
    <row r="979" spans="4:9" ht="15.75" customHeight="1" x14ac:dyDescent="0.25">
      <c r="D979" s="208"/>
      <c r="E979" s="208"/>
      <c r="F979" s="178"/>
      <c r="G979" s="208"/>
      <c r="H979" s="208"/>
      <c r="I979" s="178"/>
    </row>
    <row r="980" spans="4:9" ht="15.75" customHeight="1" x14ac:dyDescent="0.25">
      <c r="D980" s="208"/>
      <c r="E980" s="208"/>
      <c r="F980" s="178"/>
      <c r="G980" s="208"/>
      <c r="H980" s="208"/>
      <c r="I980" s="178"/>
    </row>
    <row r="981" spans="4:9" ht="15.75" customHeight="1" x14ac:dyDescent="0.25">
      <c r="D981" s="208"/>
      <c r="E981" s="208"/>
      <c r="F981" s="178"/>
      <c r="G981" s="208"/>
      <c r="H981" s="208"/>
      <c r="I981" s="178"/>
    </row>
    <row r="982" spans="4:9" ht="15.75" customHeight="1" x14ac:dyDescent="0.25">
      <c r="D982" s="208"/>
      <c r="E982" s="208"/>
      <c r="F982" s="178"/>
      <c r="G982" s="208"/>
      <c r="H982" s="208"/>
      <c r="I982" s="178"/>
    </row>
    <row r="983" spans="4:9" ht="15.75" customHeight="1" x14ac:dyDescent="0.25">
      <c r="D983" s="208"/>
      <c r="E983" s="208"/>
      <c r="F983" s="178"/>
      <c r="G983" s="208"/>
      <c r="H983" s="208"/>
      <c r="I983" s="178"/>
    </row>
    <row r="984" spans="4:9" ht="15.75" customHeight="1" x14ac:dyDescent="0.25">
      <c r="D984" s="208"/>
      <c r="E984" s="208"/>
      <c r="F984" s="178"/>
      <c r="G984" s="208"/>
      <c r="H984" s="208"/>
      <c r="I984" s="178"/>
    </row>
    <row r="985" spans="4:9" ht="15.75" customHeight="1" x14ac:dyDescent="0.25">
      <c r="D985" s="208"/>
      <c r="E985" s="208"/>
      <c r="F985" s="178"/>
      <c r="G985" s="208"/>
      <c r="H985" s="208"/>
      <c r="I985" s="178"/>
    </row>
    <row r="986" spans="4:9" ht="15.75" customHeight="1" x14ac:dyDescent="0.25">
      <c r="D986" s="208"/>
      <c r="E986" s="208"/>
      <c r="F986" s="178"/>
      <c r="G986" s="208"/>
      <c r="H986" s="208"/>
      <c r="I986" s="178"/>
    </row>
    <row r="987" spans="4:9" ht="15.75" customHeight="1" x14ac:dyDescent="0.25">
      <c r="D987" s="208"/>
      <c r="E987" s="208"/>
      <c r="F987" s="178"/>
      <c r="G987" s="208"/>
      <c r="H987" s="208"/>
      <c r="I987" s="178"/>
    </row>
    <row r="988" spans="4:9" ht="15.75" customHeight="1" x14ac:dyDescent="0.25">
      <c r="D988" s="208"/>
      <c r="E988" s="208"/>
      <c r="F988" s="178"/>
      <c r="G988" s="208"/>
      <c r="H988" s="208"/>
      <c r="I988" s="178"/>
    </row>
    <row r="989" spans="4:9" ht="15.75" customHeight="1" x14ac:dyDescent="0.25">
      <c r="D989" s="208"/>
      <c r="E989" s="208"/>
      <c r="F989" s="178"/>
      <c r="G989" s="208"/>
      <c r="H989" s="208"/>
      <c r="I989" s="178"/>
    </row>
    <row r="990" spans="4:9" ht="15.75" customHeight="1" x14ac:dyDescent="0.25">
      <c r="D990" s="208"/>
      <c r="E990" s="208"/>
      <c r="F990" s="178"/>
      <c r="G990" s="208"/>
      <c r="H990" s="208"/>
      <c r="I990" s="178"/>
    </row>
    <row r="991" spans="4:9" ht="15.75" customHeight="1" x14ac:dyDescent="0.25">
      <c r="D991" s="208"/>
      <c r="E991" s="208"/>
      <c r="F991" s="178"/>
      <c r="G991" s="208"/>
      <c r="H991" s="208"/>
      <c r="I991" s="178"/>
    </row>
    <row r="992" spans="4:9" ht="15.75" customHeight="1" x14ac:dyDescent="0.25">
      <c r="D992" s="208"/>
      <c r="E992" s="208"/>
      <c r="F992" s="178"/>
      <c r="G992" s="208"/>
      <c r="H992" s="208"/>
      <c r="I992" s="178"/>
    </row>
    <row r="993" spans="4:9" ht="15.75" customHeight="1" x14ac:dyDescent="0.25">
      <c r="D993" s="208"/>
      <c r="E993" s="208"/>
      <c r="F993" s="178"/>
      <c r="G993" s="208"/>
      <c r="H993" s="208"/>
      <c r="I993" s="178"/>
    </row>
    <row r="994" spans="4:9" ht="15.75" customHeight="1" x14ac:dyDescent="0.25">
      <c r="D994" s="208"/>
      <c r="E994" s="208"/>
      <c r="F994" s="178"/>
      <c r="G994" s="208"/>
      <c r="H994" s="208"/>
      <c r="I994" s="178"/>
    </row>
    <row r="995" spans="4:9" ht="15.75" customHeight="1" x14ac:dyDescent="0.25">
      <c r="D995" s="208"/>
      <c r="E995" s="208"/>
      <c r="F995" s="178"/>
      <c r="G995" s="208"/>
      <c r="H995" s="208"/>
      <c r="I995" s="178"/>
    </row>
    <row r="996" spans="4:9" ht="15.75" customHeight="1" x14ac:dyDescent="0.25">
      <c r="D996" s="208"/>
      <c r="E996" s="208"/>
      <c r="F996" s="178"/>
      <c r="G996" s="208"/>
      <c r="H996" s="208"/>
      <c r="I996" s="178"/>
    </row>
    <row r="997" spans="4:9" ht="15.75" customHeight="1" x14ac:dyDescent="0.25">
      <c r="D997" s="208"/>
      <c r="E997" s="208"/>
      <c r="F997" s="178"/>
      <c r="G997" s="208"/>
      <c r="H997" s="208"/>
      <c r="I997" s="178"/>
    </row>
    <row r="998" spans="4:9" ht="15.75" customHeight="1" x14ac:dyDescent="0.25">
      <c r="D998" s="208"/>
      <c r="E998" s="208"/>
      <c r="F998" s="178"/>
      <c r="G998" s="208"/>
      <c r="H998" s="208"/>
      <c r="I998" s="178"/>
    </row>
    <row r="999" spans="4:9" ht="15.75" customHeight="1" x14ac:dyDescent="0.25">
      <c r="D999" s="208"/>
      <c r="E999" s="208"/>
      <c r="F999" s="178"/>
      <c r="G999" s="208"/>
      <c r="H999" s="208"/>
      <c r="I999" s="178"/>
    </row>
    <row r="1000" spans="4:9" ht="15.75" customHeight="1" x14ac:dyDescent="0.25">
      <c r="D1000" s="208"/>
      <c r="E1000" s="208"/>
      <c r="F1000" s="178"/>
      <c r="G1000" s="208"/>
      <c r="H1000" s="208"/>
      <c r="I1000" s="178"/>
    </row>
    <row r="1001" spans="4:9" ht="15.75" customHeight="1" x14ac:dyDescent="0.25">
      <c r="D1001" s="208"/>
      <c r="E1001" s="208"/>
      <c r="F1001" s="178"/>
      <c r="G1001" s="208"/>
      <c r="H1001" s="208"/>
      <c r="I1001" s="178"/>
    </row>
    <row r="1002" spans="4:9" ht="15.75" customHeight="1" x14ac:dyDescent="0.25">
      <c r="D1002" s="208"/>
      <c r="E1002" s="208"/>
      <c r="F1002" s="178"/>
      <c r="G1002" s="208"/>
      <c r="H1002" s="208"/>
      <c r="I1002" s="178"/>
    </row>
    <row r="1003" spans="4:9" ht="15.75" customHeight="1" x14ac:dyDescent="0.25">
      <c r="D1003" s="208"/>
      <c r="E1003" s="208"/>
      <c r="F1003" s="178"/>
      <c r="G1003" s="208"/>
      <c r="H1003" s="208"/>
      <c r="I1003" s="178"/>
    </row>
    <row r="1004" spans="4:9" ht="15.75" customHeight="1" x14ac:dyDescent="0.25">
      <c r="D1004" s="208"/>
      <c r="E1004" s="208"/>
      <c r="F1004" s="178"/>
      <c r="G1004" s="208"/>
      <c r="H1004" s="208"/>
      <c r="I1004" s="178"/>
    </row>
    <row r="1005" spans="4:9" ht="15.75" customHeight="1" x14ac:dyDescent="0.25">
      <c r="D1005" s="208"/>
      <c r="E1005" s="208"/>
      <c r="F1005" s="178"/>
      <c r="G1005" s="208"/>
      <c r="H1005" s="208"/>
      <c r="I1005" s="178"/>
    </row>
    <row r="1006" spans="4:9" ht="15.75" customHeight="1" x14ac:dyDescent="0.25">
      <c r="D1006" s="208"/>
      <c r="E1006" s="208"/>
      <c r="F1006" s="178"/>
      <c r="G1006" s="208"/>
      <c r="H1006" s="208"/>
      <c r="I1006" s="178"/>
    </row>
    <row r="1007" spans="4:9" ht="15.75" customHeight="1" x14ac:dyDescent="0.25">
      <c r="D1007" s="208"/>
      <c r="E1007" s="208"/>
      <c r="F1007" s="178"/>
      <c r="G1007" s="208"/>
      <c r="H1007" s="208"/>
      <c r="I1007" s="178"/>
    </row>
    <row r="1008" spans="4:9" ht="15.75" customHeight="1" x14ac:dyDescent="0.25">
      <c r="D1008" s="208"/>
      <c r="E1008" s="208"/>
      <c r="F1008" s="178"/>
      <c r="G1008" s="208"/>
      <c r="H1008" s="208"/>
      <c r="I1008" s="178"/>
    </row>
    <row r="1009" spans="4:9" ht="15.75" customHeight="1" x14ac:dyDescent="0.25">
      <c r="D1009" s="208"/>
      <c r="E1009" s="208"/>
      <c r="F1009" s="178"/>
      <c r="G1009" s="208"/>
      <c r="H1009" s="208"/>
      <c r="I1009" s="178"/>
    </row>
    <row r="1010" spans="4:9" ht="15.75" customHeight="1" x14ac:dyDescent="0.25">
      <c r="D1010" s="208"/>
      <c r="E1010" s="208"/>
      <c r="F1010" s="178"/>
      <c r="G1010" s="208"/>
      <c r="H1010" s="208"/>
      <c r="I1010" s="178"/>
    </row>
    <row r="1011" spans="4:9" ht="15.75" customHeight="1" x14ac:dyDescent="0.25">
      <c r="D1011" s="208"/>
      <c r="E1011" s="208"/>
      <c r="F1011" s="178"/>
      <c r="G1011" s="208"/>
      <c r="H1011" s="208"/>
      <c r="I1011" s="178"/>
    </row>
    <row r="1012" spans="4:9" ht="15.75" customHeight="1" x14ac:dyDescent="0.25">
      <c r="D1012" s="208"/>
      <c r="E1012" s="208"/>
      <c r="F1012" s="178"/>
      <c r="G1012" s="208"/>
      <c r="H1012" s="208"/>
      <c r="I1012" s="178"/>
    </row>
    <row r="1013" spans="4:9" ht="15.75" customHeight="1" x14ac:dyDescent="0.25">
      <c r="D1013" s="208"/>
      <c r="E1013" s="208"/>
      <c r="F1013" s="178"/>
      <c r="G1013" s="208"/>
      <c r="H1013" s="208"/>
      <c r="I1013" s="178"/>
    </row>
    <row r="1014" spans="4:9" ht="15.75" customHeight="1" x14ac:dyDescent="0.25">
      <c r="D1014" s="208"/>
      <c r="E1014" s="208"/>
      <c r="F1014" s="178"/>
      <c r="G1014" s="208"/>
      <c r="H1014" s="208"/>
      <c r="I1014" s="178"/>
    </row>
    <row r="1015" spans="4:9" ht="15.75" customHeight="1" x14ac:dyDescent="0.25">
      <c r="D1015" s="208"/>
      <c r="E1015" s="208"/>
      <c r="F1015" s="178"/>
      <c r="G1015" s="208"/>
      <c r="H1015" s="208"/>
      <c r="I1015" s="178"/>
    </row>
    <row r="1016" spans="4:9" ht="15.75" customHeight="1" x14ac:dyDescent="0.25">
      <c r="D1016" s="208"/>
      <c r="E1016" s="208"/>
      <c r="F1016" s="178"/>
      <c r="G1016" s="208"/>
      <c r="H1016" s="208"/>
      <c r="I1016" s="178"/>
    </row>
    <row r="1017" spans="4:9" ht="15.75" customHeight="1" x14ac:dyDescent="0.25">
      <c r="D1017" s="208"/>
      <c r="E1017" s="208"/>
      <c r="F1017" s="178"/>
      <c r="G1017" s="208"/>
      <c r="H1017" s="208"/>
      <c r="I1017" s="178"/>
    </row>
    <row r="1018" spans="4:9" ht="15.75" customHeight="1" x14ac:dyDescent="0.25">
      <c r="D1018" s="208"/>
      <c r="E1018" s="208"/>
      <c r="F1018" s="178"/>
      <c r="G1018" s="208"/>
      <c r="H1018" s="208"/>
      <c r="I1018" s="178"/>
    </row>
    <row r="1019" spans="4:9" ht="15.75" customHeight="1" x14ac:dyDescent="0.25">
      <c r="D1019" s="208"/>
      <c r="E1019" s="208"/>
      <c r="F1019" s="178"/>
      <c r="G1019" s="208"/>
      <c r="H1019" s="208"/>
      <c r="I1019" s="178"/>
    </row>
  </sheetData>
  <mergeCells count="2">
    <mergeCell ref="A2:B2"/>
    <mergeCell ref="F2:G2"/>
  </mergeCells>
  <printOptions horizontalCentered="1"/>
  <pageMargins left="0.51181102362204722" right="0.31496062992125984" top="0.35433070866141736" bottom="0.35433070866141736" header="0" footer="0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7F4A-9C9B-4322-B6FB-32E6F9131DC0}">
  <sheetPr>
    <pageSetUpPr fitToPage="1"/>
  </sheetPr>
  <dimension ref="A1:R986"/>
  <sheetViews>
    <sheetView zoomScale="85" zoomScaleNormal="85" workbookViewId="0">
      <pane xSplit="5" ySplit="11" topLeftCell="F38" activePane="bottomRight" state="frozen"/>
      <selection pane="topRight" activeCell="F1" sqref="F1"/>
      <selection pane="bottomLeft" activeCell="A10" sqref="A10"/>
      <selection pane="bottomRight" activeCell="D48" sqref="D48"/>
    </sheetView>
  </sheetViews>
  <sheetFormatPr defaultColWidth="14.42578125" defaultRowHeight="15" customHeight="1" x14ac:dyDescent="0.25"/>
  <cols>
    <col min="1" max="1" width="7.42578125" style="702" customWidth="1"/>
    <col min="2" max="2" width="14.85546875" style="703" customWidth="1"/>
    <col min="3" max="3" width="10.28515625" style="703" customWidth="1"/>
    <col min="4" max="4" width="47" style="703" customWidth="1"/>
    <col min="5" max="5" width="11.85546875" style="703" customWidth="1"/>
    <col min="6" max="6" width="12.85546875" style="703" customWidth="1"/>
    <col min="7" max="7" width="11.28515625" style="639" customWidth="1"/>
    <col min="8" max="8" width="15.5703125" style="639" customWidth="1"/>
    <col min="9" max="9" width="13.28515625" style="639" customWidth="1"/>
    <col min="10" max="12" width="14.42578125" style="639"/>
    <col min="13" max="13" width="14.42578125" style="639" customWidth="1"/>
    <col min="14" max="18" width="14.42578125" style="639"/>
    <col min="19" max="16384" width="14.42578125" style="703"/>
  </cols>
  <sheetData>
    <row r="1" spans="1:16" ht="12" customHeight="1" x14ac:dyDescent="0.25">
      <c r="A1" s="635"/>
      <c r="B1" s="636"/>
      <c r="C1" s="636"/>
      <c r="D1" s="637"/>
      <c r="E1" s="636"/>
      <c r="F1" s="638"/>
      <c r="H1" s="639" t="s">
        <v>83</v>
      </c>
      <c r="J1" s="639">
        <f>5000*69</f>
        <v>345000</v>
      </c>
    </row>
    <row r="2" spans="1:16" ht="12" customHeight="1" x14ac:dyDescent="0.25">
      <c r="A2" s="640"/>
      <c r="B2" s="636"/>
      <c r="C2" s="636"/>
      <c r="D2" s="636" t="s">
        <v>134</v>
      </c>
      <c r="E2" s="641" t="s">
        <v>11</v>
      </c>
      <c r="F2" s="638"/>
      <c r="H2" s="639" t="s">
        <v>85</v>
      </c>
      <c r="L2" s="642"/>
    </row>
    <row r="3" spans="1:16" ht="12" customHeight="1" x14ac:dyDescent="0.25">
      <c r="A3" s="643"/>
      <c r="B3" s="636"/>
      <c r="C3" s="636"/>
      <c r="D3" s="636"/>
      <c r="E3" s="644" t="s">
        <v>14</v>
      </c>
      <c r="F3" s="645"/>
      <c r="I3" s="639" t="s">
        <v>135</v>
      </c>
      <c r="J3" s="639">
        <f>SUM(I4:I9)</f>
        <v>297700</v>
      </c>
      <c r="K3" s="639" t="s">
        <v>136</v>
      </c>
      <c r="L3" s="642"/>
    </row>
    <row r="4" spans="1:16" ht="12" customHeight="1" x14ac:dyDescent="0.25">
      <c r="A4" s="646"/>
      <c r="B4" s="647"/>
      <c r="C4" s="647"/>
      <c r="D4" s="648"/>
      <c r="E4" s="649" t="s">
        <v>15</v>
      </c>
      <c r="F4" s="650"/>
      <c r="H4" s="639" t="s">
        <v>81</v>
      </c>
      <c r="I4" s="639">
        <f>60000+14000+4800</f>
        <v>78800</v>
      </c>
      <c r="K4" s="639">
        <f>+F23+F28+F29+F33+F34+F36+F37+F41+F42+F46</f>
        <v>78800</v>
      </c>
      <c r="L4" s="642"/>
    </row>
    <row r="5" spans="1:16" ht="12" customHeight="1" x14ac:dyDescent="0.25">
      <c r="A5" s="646"/>
      <c r="B5" s="647"/>
      <c r="C5" s="647"/>
      <c r="D5" s="648"/>
      <c r="E5" s="649" t="s">
        <v>16</v>
      </c>
      <c r="F5" s="650">
        <f>E59</f>
        <v>177600</v>
      </c>
      <c r="H5" s="639" t="s">
        <v>82</v>
      </c>
      <c r="I5" s="639">
        <f>19000+6000</f>
        <v>25000</v>
      </c>
      <c r="K5" s="639">
        <f>+G24+G39+F40</f>
        <v>25000</v>
      </c>
    </row>
    <row r="6" spans="1:16" ht="12" customHeight="1" x14ac:dyDescent="0.25">
      <c r="A6" s="646"/>
      <c r="B6" s="647"/>
      <c r="C6" s="647"/>
      <c r="D6" s="648"/>
      <c r="E6" s="649"/>
      <c r="F6" s="650"/>
      <c r="H6" s="639" t="s">
        <v>71</v>
      </c>
      <c r="I6" s="639">
        <f>+F14+F15+F28+F36</f>
        <v>10300</v>
      </c>
      <c r="K6" s="639">
        <f>+I6</f>
        <v>10300</v>
      </c>
    </row>
    <row r="7" spans="1:16" ht="12" customHeight="1" x14ac:dyDescent="0.25">
      <c r="A7" s="646"/>
      <c r="B7" s="647"/>
      <c r="C7" s="647"/>
      <c r="D7" s="648"/>
      <c r="E7" s="649"/>
      <c r="F7" s="650"/>
      <c r="H7" s="639" t="s">
        <v>91</v>
      </c>
      <c r="I7" s="639">
        <v>6000</v>
      </c>
      <c r="K7" s="639">
        <f>+F38</f>
        <v>6000</v>
      </c>
    </row>
    <row r="8" spans="1:16" ht="12" customHeight="1" x14ac:dyDescent="0.25">
      <c r="A8" s="646"/>
      <c r="B8" s="651"/>
      <c r="C8" s="651"/>
      <c r="D8" s="648"/>
      <c r="E8" s="649" t="s">
        <v>17</v>
      </c>
      <c r="F8" s="650">
        <f>+F4+F5</f>
        <v>177600</v>
      </c>
      <c r="H8" s="639" t="s">
        <v>84</v>
      </c>
      <c r="I8" s="639">
        <f>+F9</f>
        <v>177600</v>
      </c>
    </row>
    <row r="9" spans="1:16" ht="12" customHeight="1" x14ac:dyDescent="0.25">
      <c r="A9" s="646"/>
      <c r="B9" s="651"/>
      <c r="C9" s="651"/>
      <c r="D9" s="648"/>
      <c r="E9" s="649" t="s">
        <v>18</v>
      </c>
      <c r="F9" s="650">
        <f>SUM(F14:F47)</f>
        <v>177600</v>
      </c>
      <c r="H9" s="639" t="s">
        <v>87</v>
      </c>
      <c r="I9" s="639">
        <f>+F59</f>
        <v>0</v>
      </c>
      <c r="K9" s="639">
        <f>SUM(K4:K8)</f>
        <v>120100</v>
      </c>
    </row>
    <row r="10" spans="1:16" ht="12" customHeight="1" x14ac:dyDescent="0.25">
      <c r="A10" s="646"/>
      <c r="B10" s="652"/>
      <c r="C10" s="652"/>
      <c r="D10" s="653"/>
      <c r="E10" s="649" t="s">
        <v>19</v>
      </c>
      <c r="F10" s="654">
        <f>+F8-F9</f>
        <v>0</v>
      </c>
      <c r="H10" s="639" t="s">
        <v>86</v>
      </c>
      <c r="K10" s="655"/>
    </row>
    <row r="11" spans="1:16" ht="18" customHeight="1" x14ac:dyDescent="0.25">
      <c r="A11" s="656" t="s">
        <v>1</v>
      </c>
      <c r="B11" s="657" t="s">
        <v>2</v>
      </c>
      <c r="C11" s="657" t="s">
        <v>72</v>
      </c>
      <c r="D11" s="657" t="s">
        <v>30</v>
      </c>
      <c r="E11" s="658" t="s">
        <v>32</v>
      </c>
      <c r="F11" s="659" t="s">
        <v>33</v>
      </c>
      <c r="G11" s="660" t="s">
        <v>73</v>
      </c>
      <c r="H11" s="661" t="s">
        <v>74</v>
      </c>
      <c r="I11" s="661" t="s">
        <v>75</v>
      </c>
      <c r="J11" s="661" t="s">
        <v>76</v>
      </c>
      <c r="K11" s="661" t="s">
        <v>80</v>
      </c>
      <c r="L11" s="661" t="s">
        <v>79</v>
      </c>
      <c r="M11" s="661" t="s">
        <v>77</v>
      </c>
      <c r="N11" s="661" t="s">
        <v>78</v>
      </c>
      <c r="O11" s="662" t="s">
        <v>137</v>
      </c>
    </row>
    <row r="12" spans="1:16" ht="18" customHeight="1" x14ac:dyDescent="0.25">
      <c r="A12" s="656"/>
      <c r="B12" s="657"/>
      <c r="C12" s="657"/>
      <c r="D12" s="657"/>
      <c r="E12" s="658"/>
      <c r="F12" s="659"/>
      <c r="G12" s="663">
        <f t="shared" ref="G12:O12" si="0">SUM(G13:G58)</f>
        <v>125300</v>
      </c>
      <c r="H12" s="664">
        <f t="shared" si="0"/>
        <v>14500</v>
      </c>
      <c r="I12" s="664">
        <f t="shared" si="0"/>
        <v>15000</v>
      </c>
      <c r="J12" s="664">
        <f t="shared" si="0"/>
        <v>0</v>
      </c>
      <c r="K12" s="664">
        <f t="shared" si="0"/>
        <v>0</v>
      </c>
      <c r="L12" s="664">
        <f t="shared" si="0"/>
        <v>0</v>
      </c>
      <c r="M12" s="664">
        <f t="shared" si="0"/>
        <v>8200</v>
      </c>
      <c r="N12" s="664">
        <f t="shared" si="0"/>
        <v>14600</v>
      </c>
      <c r="O12" s="664">
        <f t="shared" si="0"/>
        <v>0</v>
      </c>
      <c r="P12" s="665"/>
    </row>
    <row r="13" spans="1:16" ht="18" customHeight="1" x14ac:dyDescent="0.25">
      <c r="A13" s="666">
        <v>45901</v>
      </c>
      <c r="B13" s="667" t="s">
        <v>138</v>
      </c>
      <c r="C13" s="667" t="s">
        <v>139</v>
      </c>
      <c r="D13" s="668" t="s">
        <v>140</v>
      </c>
      <c r="E13" s="669">
        <v>96000</v>
      </c>
      <c r="F13" s="670"/>
      <c r="G13" s="671"/>
      <c r="H13" s="665"/>
      <c r="I13" s="665"/>
      <c r="J13" s="665"/>
      <c r="K13" s="665"/>
      <c r="L13" s="665"/>
      <c r="M13" s="665"/>
      <c r="N13" s="665"/>
      <c r="O13" s="665"/>
      <c r="P13" s="670"/>
    </row>
    <row r="14" spans="1:16" ht="18" customHeight="1" x14ac:dyDescent="0.25">
      <c r="A14" s="666">
        <v>45871</v>
      </c>
      <c r="B14" s="667" t="s">
        <v>71</v>
      </c>
      <c r="C14" s="667" t="s">
        <v>141</v>
      </c>
      <c r="D14" s="668" t="s">
        <v>142</v>
      </c>
      <c r="E14" s="669"/>
      <c r="F14" s="670">
        <v>500</v>
      </c>
      <c r="G14" s="671">
        <f>+F14</f>
        <v>500</v>
      </c>
      <c r="H14" s="665"/>
      <c r="I14" s="665"/>
      <c r="J14" s="665"/>
      <c r="K14" s="665"/>
      <c r="L14" s="665"/>
      <c r="M14" s="665"/>
      <c r="N14" s="665"/>
      <c r="O14" s="665"/>
      <c r="P14" s="670"/>
    </row>
    <row r="15" spans="1:16" ht="18" customHeight="1" x14ac:dyDescent="0.25">
      <c r="A15" s="666">
        <v>45901</v>
      </c>
      <c r="B15" s="667" t="s">
        <v>71</v>
      </c>
      <c r="C15" s="667" t="s">
        <v>141</v>
      </c>
      <c r="D15" s="668" t="s">
        <v>143</v>
      </c>
      <c r="E15" s="669"/>
      <c r="F15" s="670">
        <f>500*4</f>
        <v>2000</v>
      </c>
      <c r="G15" s="671">
        <f>+F15</f>
        <v>2000</v>
      </c>
      <c r="H15" s="665"/>
      <c r="I15" s="665"/>
      <c r="J15" s="665"/>
      <c r="K15" s="665"/>
      <c r="L15" s="665"/>
      <c r="M15" s="665"/>
      <c r="N15" s="665"/>
      <c r="O15" s="665"/>
      <c r="P15" s="670"/>
    </row>
    <row r="16" spans="1:16" ht="18" customHeight="1" x14ac:dyDescent="0.25">
      <c r="A16" s="666">
        <v>45902</v>
      </c>
      <c r="B16" s="667" t="s">
        <v>144</v>
      </c>
      <c r="C16" s="667" t="s">
        <v>111</v>
      </c>
      <c r="D16" s="668" t="s">
        <v>145</v>
      </c>
      <c r="E16" s="669"/>
      <c r="F16" s="670">
        <f>3500+1500</f>
        <v>5000</v>
      </c>
      <c r="G16" s="671"/>
      <c r="H16" s="665">
        <v>1500</v>
      </c>
      <c r="I16" s="665">
        <v>3500</v>
      </c>
      <c r="J16" s="665"/>
      <c r="K16" s="665"/>
      <c r="L16" s="665"/>
      <c r="M16" s="665"/>
      <c r="N16" s="665"/>
      <c r="O16" s="665"/>
      <c r="P16" s="670"/>
    </row>
    <row r="17" spans="1:16" ht="18" customHeight="1" x14ac:dyDescent="0.25">
      <c r="A17" s="672">
        <v>45903</v>
      </c>
      <c r="B17" s="667" t="s">
        <v>144</v>
      </c>
      <c r="C17" s="667" t="s">
        <v>111</v>
      </c>
      <c r="D17" s="667" t="s">
        <v>146</v>
      </c>
      <c r="E17" s="669"/>
      <c r="F17" s="670">
        <v>1200</v>
      </c>
      <c r="G17" s="671"/>
      <c r="H17" s="665"/>
      <c r="I17" s="665"/>
      <c r="J17" s="665"/>
      <c r="K17" s="665"/>
      <c r="L17" s="665"/>
      <c r="M17" s="665">
        <f>+F17</f>
        <v>1200</v>
      </c>
      <c r="N17" s="665"/>
      <c r="O17" s="665"/>
      <c r="P17" s="670"/>
    </row>
    <row r="18" spans="1:16" ht="18" customHeight="1" x14ac:dyDescent="0.25">
      <c r="A18" s="672">
        <v>45903</v>
      </c>
      <c r="B18" s="673" t="s">
        <v>147</v>
      </c>
      <c r="C18" s="668" t="s">
        <v>141</v>
      </c>
      <c r="D18" s="667" t="s">
        <v>148</v>
      </c>
      <c r="E18" s="669"/>
      <c r="F18" s="670">
        <v>2400</v>
      </c>
      <c r="G18" s="671"/>
      <c r="H18" s="665"/>
      <c r="I18" s="665"/>
      <c r="J18" s="665"/>
      <c r="K18" s="665"/>
      <c r="L18" s="665"/>
      <c r="M18" s="665">
        <f>+F18</f>
        <v>2400</v>
      </c>
      <c r="N18" s="665"/>
      <c r="O18" s="665"/>
      <c r="P18" s="670"/>
    </row>
    <row r="19" spans="1:16" ht="18" customHeight="1" x14ac:dyDescent="0.25">
      <c r="A19" s="672">
        <v>45904</v>
      </c>
      <c r="B19" s="674" t="s">
        <v>144</v>
      </c>
      <c r="C19" s="674" t="s">
        <v>111</v>
      </c>
      <c r="D19" s="668" t="s">
        <v>145</v>
      </c>
      <c r="E19" s="675"/>
      <c r="F19" s="676">
        <v>5000</v>
      </c>
      <c r="G19" s="671"/>
      <c r="H19" s="665">
        <v>1500</v>
      </c>
      <c r="I19" s="665">
        <v>3500</v>
      </c>
      <c r="J19" s="665"/>
      <c r="K19" s="665"/>
      <c r="L19" s="665"/>
      <c r="M19" s="665"/>
      <c r="N19" s="665"/>
      <c r="O19" s="665"/>
      <c r="P19" s="676"/>
    </row>
    <row r="20" spans="1:16" ht="18" customHeight="1" x14ac:dyDescent="0.25">
      <c r="A20" s="672">
        <v>45906</v>
      </c>
      <c r="B20" s="674" t="s">
        <v>144</v>
      </c>
      <c r="C20" s="674" t="s">
        <v>111</v>
      </c>
      <c r="D20" s="677" t="s">
        <v>149</v>
      </c>
      <c r="E20" s="675"/>
      <c r="F20" s="676">
        <v>1500</v>
      </c>
      <c r="G20" s="671"/>
      <c r="H20" s="665">
        <f>+F20</f>
        <v>1500</v>
      </c>
      <c r="I20" s="665"/>
      <c r="J20" s="665"/>
      <c r="K20" s="665"/>
      <c r="L20" s="665"/>
      <c r="M20" s="665"/>
      <c r="N20" s="665"/>
      <c r="O20" s="665"/>
      <c r="P20" s="676"/>
    </row>
    <row r="21" spans="1:16" ht="18" customHeight="1" x14ac:dyDescent="0.25">
      <c r="A21" s="672">
        <v>45910</v>
      </c>
      <c r="B21" s="674" t="s">
        <v>144</v>
      </c>
      <c r="C21" s="674" t="s">
        <v>111</v>
      </c>
      <c r="D21" s="668" t="s">
        <v>150</v>
      </c>
      <c r="E21" s="675"/>
      <c r="F21" s="676">
        <v>1200</v>
      </c>
      <c r="G21" s="671"/>
      <c r="H21" s="665"/>
      <c r="I21" s="665"/>
      <c r="J21" s="665"/>
      <c r="K21" s="665"/>
      <c r="L21" s="665"/>
      <c r="M21" s="665">
        <f>+F21</f>
        <v>1200</v>
      </c>
      <c r="N21" s="665"/>
      <c r="O21" s="665"/>
      <c r="P21" s="676"/>
    </row>
    <row r="22" spans="1:16" ht="18" customHeight="1" x14ac:dyDescent="0.25">
      <c r="A22" s="672">
        <v>45912</v>
      </c>
      <c r="B22" s="673" t="s">
        <v>151</v>
      </c>
      <c r="C22" s="674" t="s">
        <v>112</v>
      </c>
      <c r="D22" s="668" t="s">
        <v>152</v>
      </c>
      <c r="E22" s="669"/>
      <c r="F22" s="670">
        <v>1200</v>
      </c>
      <c r="G22" s="671"/>
      <c r="H22" s="665"/>
      <c r="I22" s="665"/>
      <c r="J22" s="665"/>
      <c r="K22" s="665"/>
      <c r="L22" s="665"/>
      <c r="M22" s="665">
        <f>+F22</f>
        <v>1200</v>
      </c>
      <c r="N22" s="665"/>
      <c r="O22" s="665"/>
      <c r="P22" s="670"/>
    </row>
    <row r="23" spans="1:16" ht="18" customHeight="1" x14ac:dyDescent="0.25">
      <c r="A23" s="672">
        <v>45912</v>
      </c>
      <c r="B23" s="678" t="s">
        <v>153</v>
      </c>
      <c r="C23" s="674" t="s">
        <v>112</v>
      </c>
      <c r="D23" s="679" t="s">
        <v>154</v>
      </c>
      <c r="E23" s="680"/>
      <c r="F23" s="681">
        <v>12000</v>
      </c>
      <c r="G23" s="671">
        <f>+F23</f>
        <v>12000</v>
      </c>
      <c r="H23" s="665"/>
      <c r="I23" s="665"/>
      <c r="J23" s="665"/>
      <c r="K23" s="665"/>
      <c r="L23" s="665"/>
      <c r="M23" s="665"/>
      <c r="N23" s="665"/>
      <c r="O23" s="665"/>
      <c r="P23" s="670"/>
    </row>
    <row r="24" spans="1:16" ht="18" customHeight="1" x14ac:dyDescent="0.25">
      <c r="A24" s="672">
        <v>45917</v>
      </c>
      <c r="B24" s="673" t="s">
        <v>82</v>
      </c>
      <c r="C24" s="674" t="s">
        <v>111</v>
      </c>
      <c r="D24" s="682" t="s">
        <v>155</v>
      </c>
      <c r="E24" s="680"/>
      <c r="F24" s="670">
        <v>9000</v>
      </c>
      <c r="G24" s="671">
        <f>+F24</f>
        <v>9000</v>
      </c>
      <c r="H24" s="665"/>
      <c r="I24" s="665"/>
      <c r="J24" s="665"/>
      <c r="K24" s="665"/>
      <c r="L24" s="665"/>
      <c r="M24" s="665"/>
      <c r="N24" s="665"/>
      <c r="O24" s="665"/>
      <c r="P24" s="670"/>
    </row>
    <row r="25" spans="1:16" ht="18" customHeight="1" x14ac:dyDescent="0.25">
      <c r="A25" s="672">
        <v>45924</v>
      </c>
      <c r="B25" s="673" t="s">
        <v>114</v>
      </c>
      <c r="C25" s="673" t="s">
        <v>141</v>
      </c>
      <c r="D25" s="682" t="s">
        <v>156</v>
      </c>
      <c r="E25" s="680"/>
      <c r="F25" s="670">
        <f>11600+3000</f>
        <v>14600</v>
      </c>
      <c r="G25" s="671"/>
      <c r="H25" s="665"/>
      <c r="I25" s="665"/>
      <c r="J25" s="665"/>
      <c r="K25" s="665"/>
      <c r="L25" s="665"/>
      <c r="M25" s="665"/>
      <c r="N25" s="665">
        <f>+F25</f>
        <v>14600</v>
      </c>
      <c r="O25" s="665"/>
      <c r="P25" s="670"/>
    </row>
    <row r="26" spans="1:16" ht="18" customHeight="1" x14ac:dyDescent="0.25">
      <c r="A26" s="672">
        <v>45924</v>
      </c>
      <c r="B26" s="673" t="s">
        <v>147</v>
      </c>
      <c r="C26" s="673" t="s">
        <v>141</v>
      </c>
      <c r="D26" s="682" t="s">
        <v>157</v>
      </c>
      <c r="E26" s="680"/>
      <c r="F26" s="670">
        <v>2200</v>
      </c>
      <c r="G26" s="671"/>
      <c r="H26" s="665"/>
      <c r="I26" s="665"/>
      <c r="J26" s="665"/>
      <c r="K26" s="665"/>
      <c r="L26" s="665"/>
      <c r="M26" s="665">
        <f>+F26</f>
        <v>2200</v>
      </c>
      <c r="N26" s="665"/>
      <c r="O26" s="665"/>
      <c r="P26" s="670"/>
    </row>
    <row r="27" spans="1:16" ht="18" customHeight="1" x14ac:dyDescent="0.25">
      <c r="A27" s="672">
        <v>45925</v>
      </c>
      <c r="B27" s="673" t="s">
        <v>147</v>
      </c>
      <c r="C27" s="673" t="s">
        <v>158</v>
      </c>
      <c r="D27" s="668" t="s">
        <v>159</v>
      </c>
      <c r="E27" s="680"/>
      <c r="F27" s="670">
        <v>11000</v>
      </c>
      <c r="G27" s="671"/>
      <c r="H27" s="665">
        <v>3000</v>
      </c>
      <c r="I27" s="665">
        <v>8000</v>
      </c>
      <c r="J27" s="665"/>
      <c r="K27" s="665"/>
      <c r="L27" s="665"/>
      <c r="M27" s="665"/>
      <c r="N27" s="665"/>
      <c r="O27" s="665"/>
      <c r="P27" s="670"/>
    </row>
    <row r="28" spans="1:16" ht="18" customHeight="1" x14ac:dyDescent="0.25">
      <c r="A28" s="672">
        <v>45930</v>
      </c>
      <c r="B28" s="673" t="s">
        <v>71</v>
      </c>
      <c r="C28" s="673" t="s">
        <v>141</v>
      </c>
      <c r="D28" s="679" t="s">
        <v>160</v>
      </c>
      <c r="E28" s="680"/>
      <c r="F28" s="681">
        <f>7*600</f>
        <v>4200</v>
      </c>
      <c r="G28" s="671">
        <f>+F28</f>
        <v>4200</v>
      </c>
      <c r="H28" s="665"/>
      <c r="I28" s="665"/>
      <c r="J28" s="665"/>
      <c r="K28" s="665"/>
      <c r="L28" s="665"/>
      <c r="M28" s="665"/>
      <c r="N28" s="665"/>
      <c r="O28" s="665"/>
      <c r="P28" s="670"/>
    </row>
    <row r="29" spans="1:16" ht="18" customHeight="1" x14ac:dyDescent="0.25">
      <c r="A29" s="672">
        <v>45930</v>
      </c>
      <c r="B29" s="678" t="s">
        <v>153</v>
      </c>
      <c r="C29" s="673" t="s">
        <v>141</v>
      </c>
      <c r="D29" s="679" t="s">
        <v>161</v>
      </c>
      <c r="E29" s="680"/>
      <c r="F29" s="681">
        <v>23000</v>
      </c>
      <c r="G29" s="671">
        <f>+F29</f>
        <v>23000</v>
      </c>
      <c r="H29" s="665"/>
      <c r="I29" s="665"/>
      <c r="J29" s="665"/>
      <c r="K29" s="665"/>
      <c r="L29" s="665"/>
      <c r="M29" s="665"/>
      <c r="N29" s="665"/>
      <c r="O29" s="665"/>
      <c r="P29" s="670"/>
    </row>
    <row r="30" spans="1:16" ht="18" customHeight="1" x14ac:dyDescent="0.25">
      <c r="A30" s="672">
        <v>45952</v>
      </c>
      <c r="B30" s="673" t="s">
        <v>162</v>
      </c>
      <c r="C30" s="673" t="s">
        <v>163</v>
      </c>
      <c r="D30" s="668" t="s">
        <v>164</v>
      </c>
      <c r="E30" s="680">
        <v>22000</v>
      </c>
      <c r="F30" s="670"/>
      <c r="G30" s="671"/>
      <c r="H30" s="665"/>
      <c r="I30" s="665"/>
      <c r="J30" s="665"/>
      <c r="K30" s="665"/>
      <c r="L30" s="665"/>
      <c r="M30" s="665"/>
      <c r="N30" s="665"/>
      <c r="O30" s="665"/>
      <c r="P30" s="670"/>
    </row>
    <row r="31" spans="1:16" ht="18" customHeight="1" x14ac:dyDescent="0.25">
      <c r="A31" s="672">
        <v>45954</v>
      </c>
      <c r="B31" s="673" t="s">
        <v>162</v>
      </c>
      <c r="C31" s="673" t="s">
        <v>163</v>
      </c>
      <c r="D31" s="668" t="s">
        <v>164</v>
      </c>
      <c r="E31" s="680">
        <v>6960</v>
      </c>
      <c r="F31" s="670"/>
      <c r="G31" s="671"/>
      <c r="H31" s="665"/>
      <c r="I31" s="665"/>
      <c r="J31" s="665"/>
      <c r="K31" s="665"/>
      <c r="L31" s="665"/>
      <c r="M31" s="665"/>
      <c r="N31" s="665"/>
      <c r="O31" s="665"/>
      <c r="P31" s="670"/>
    </row>
    <row r="32" spans="1:16" ht="18" customHeight="1" x14ac:dyDescent="0.25">
      <c r="A32" s="672">
        <v>45954</v>
      </c>
      <c r="B32" s="673" t="s">
        <v>147</v>
      </c>
      <c r="C32" s="673" t="s">
        <v>158</v>
      </c>
      <c r="D32" s="668" t="s">
        <v>165</v>
      </c>
      <c r="E32" s="680"/>
      <c r="F32" s="670">
        <v>1500</v>
      </c>
      <c r="G32" s="671"/>
      <c r="H32" s="665">
        <v>1500</v>
      </c>
      <c r="I32" s="665"/>
      <c r="J32" s="665"/>
      <c r="K32" s="665"/>
      <c r="L32" s="665"/>
      <c r="M32" s="665"/>
      <c r="N32" s="665"/>
      <c r="O32" s="665"/>
      <c r="P32" s="683"/>
    </row>
    <row r="33" spans="1:16" ht="18" customHeight="1" x14ac:dyDescent="0.25">
      <c r="A33" s="672">
        <v>45955</v>
      </c>
      <c r="B33" s="678" t="s">
        <v>153</v>
      </c>
      <c r="C33" s="674" t="s">
        <v>112</v>
      </c>
      <c r="D33" s="679" t="s">
        <v>166</v>
      </c>
      <c r="E33" s="680"/>
      <c r="F33" s="681">
        <v>5000</v>
      </c>
      <c r="G33" s="671">
        <f>+F33</f>
        <v>5000</v>
      </c>
      <c r="H33" s="665"/>
      <c r="I33" s="665"/>
      <c r="J33" s="665"/>
      <c r="K33" s="665"/>
      <c r="L33" s="665"/>
      <c r="M33" s="665"/>
      <c r="N33" s="665"/>
      <c r="O33" s="665"/>
      <c r="P33" s="683"/>
    </row>
    <row r="34" spans="1:16" ht="18" customHeight="1" x14ac:dyDescent="0.25">
      <c r="A34" s="672">
        <v>45941</v>
      </c>
      <c r="B34" s="678" t="s">
        <v>153</v>
      </c>
      <c r="C34" s="674" t="s">
        <v>167</v>
      </c>
      <c r="D34" s="679" t="s">
        <v>168</v>
      </c>
      <c r="E34" s="680"/>
      <c r="F34" s="681">
        <v>2000</v>
      </c>
      <c r="G34" s="671">
        <v>2000</v>
      </c>
      <c r="H34" s="665"/>
      <c r="I34" s="665"/>
      <c r="J34" s="665"/>
      <c r="K34" s="665"/>
      <c r="L34" s="665"/>
      <c r="M34" s="665"/>
      <c r="N34" s="665"/>
      <c r="O34" s="665"/>
      <c r="P34" s="683"/>
    </row>
    <row r="35" spans="1:16" ht="18" customHeight="1" x14ac:dyDescent="0.25">
      <c r="A35" s="672">
        <v>45961</v>
      </c>
      <c r="B35" s="673" t="s">
        <v>147</v>
      </c>
      <c r="C35" s="673" t="s">
        <v>158</v>
      </c>
      <c r="D35" s="682" t="s">
        <v>169</v>
      </c>
      <c r="E35" s="680"/>
      <c r="F35" s="670">
        <v>5500</v>
      </c>
      <c r="G35" s="671"/>
      <c r="H35" s="665">
        <f>+F35</f>
        <v>5500</v>
      </c>
      <c r="I35" s="665"/>
      <c r="J35" s="665"/>
      <c r="K35" s="665"/>
      <c r="L35" s="665"/>
      <c r="M35" s="665"/>
      <c r="N35" s="665"/>
      <c r="O35" s="665"/>
      <c r="P35" s="683"/>
    </row>
    <row r="36" spans="1:16" ht="18" customHeight="1" x14ac:dyDescent="0.25">
      <c r="A36" s="672">
        <v>45969</v>
      </c>
      <c r="B36" s="684" t="s">
        <v>71</v>
      </c>
      <c r="C36" s="673" t="s">
        <v>112</v>
      </c>
      <c r="D36" s="685" t="s">
        <v>170</v>
      </c>
      <c r="E36" s="680"/>
      <c r="F36" s="681">
        <f>2400+1200</f>
        <v>3600</v>
      </c>
      <c r="G36" s="671">
        <f t="shared" ref="G36:G46" si="1">+F36</f>
        <v>3600</v>
      </c>
      <c r="H36" s="665"/>
      <c r="I36" s="665"/>
      <c r="J36" s="665"/>
      <c r="K36" s="665"/>
      <c r="L36" s="665"/>
      <c r="M36" s="665"/>
      <c r="N36" s="665"/>
      <c r="O36" s="665"/>
      <c r="P36" s="683"/>
    </row>
    <row r="37" spans="1:16" ht="18" customHeight="1" x14ac:dyDescent="0.25">
      <c r="A37" s="672">
        <v>45972</v>
      </c>
      <c r="B37" s="678" t="s">
        <v>153</v>
      </c>
      <c r="C37" s="673" t="s">
        <v>112</v>
      </c>
      <c r="D37" s="682" t="s">
        <v>171</v>
      </c>
      <c r="E37" s="680"/>
      <c r="F37" s="681">
        <v>5000</v>
      </c>
      <c r="G37" s="671">
        <f t="shared" si="1"/>
        <v>5000</v>
      </c>
      <c r="H37" s="665"/>
      <c r="I37" s="665"/>
      <c r="J37" s="665"/>
      <c r="K37" s="665"/>
      <c r="L37" s="665"/>
      <c r="M37" s="665"/>
      <c r="N37" s="665"/>
      <c r="O37" s="665"/>
      <c r="P37" s="683"/>
    </row>
    <row r="38" spans="1:16" ht="18" customHeight="1" x14ac:dyDescent="0.25">
      <c r="A38" s="672">
        <v>45972</v>
      </c>
      <c r="B38" s="673" t="s">
        <v>172</v>
      </c>
      <c r="C38" s="673" t="s">
        <v>173</v>
      </c>
      <c r="D38" s="682" t="s">
        <v>174</v>
      </c>
      <c r="E38" s="680"/>
      <c r="F38" s="670">
        <v>6000</v>
      </c>
      <c r="G38" s="671">
        <f t="shared" si="1"/>
        <v>6000</v>
      </c>
      <c r="H38" s="665"/>
      <c r="I38" s="665"/>
      <c r="J38" s="665"/>
      <c r="K38" s="665"/>
      <c r="L38" s="665"/>
      <c r="M38" s="665"/>
      <c r="N38" s="665"/>
      <c r="O38" s="665"/>
      <c r="P38" s="665"/>
    </row>
    <row r="39" spans="1:16" ht="18" customHeight="1" x14ac:dyDescent="0.25">
      <c r="A39" s="672">
        <v>45972</v>
      </c>
      <c r="B39" s="673" t="s">
        <v>175</v>
      </c>
      <c r="C39" s="673" t="s">
        <v>173</v>
      </c>
      <c r="D39" s="682" t="s">
        <v>176</v>
      </c>
      <c r="E39" s="680"/>
      <c r="F39" s="670">
        <v>10000</v>
      </c>
      <c r="G39" s="671">
        <f t="shared" si="1"/>
        <v>10000</v>
      </c>
      <c r="H39" s="665"/>
      <c r="I39" s="665"/>
      <c r="J39" s="665"/>
      <c r="K39" s="665"/>
      <c r="L39" s="665"/>
      <c r="M39" s="665"/>
      <c r="N39" s="665"/>
      <c r="O39" s="665"/>
      <c r="P39" s="665"/>
    </row>
    <row r="40" spans="1:16" ht="18" customHeight="1" x14ac:dyDescent="0.25">
      <c r="A40" s="672">
        <v>45972</v>
      </c>
      <c r="B40" s="673" t="s">
        <v>175</v>
      </c>
      <c r="C40" s="673" t="s">
        <v>173</v>
      </c>
      <c r="D40" s="682" t="s">
        <v>177</v>
      </c>
      <c r="E40" s="680"/>
      <c r="F40" s="670">
        <v>6000</v>
      </c>
      <c r="G40" s="671">
        <f t="shared" si="1"/>
        <v>6000</v>
      </c>
      <c r="H40" s="665"/>
      <c r="I40" s="665"/>
      <c r="J40" s="665"/>
      <c r="K40" s="665"/>
      <c r="L40" s="665"/>
      <c r="M40" s="665"/>
      <c r="N40" s="665"/>
      <c r="O40" s="665"/>
      <c r="P40" s="665"/>
    </row>
    <row r="41" spans="1:16" ht="18" customHeight="1" x14ac:dyDescent="0.25">
      <c r="A41" s="672">
        <v>45972</v>
      </c>
      <c r="B41" s="686" t="s">
        <v>153</v>
      </c>
      <c r="C41" s="673" t="s">
        <v>112</v>
      </c>
      <c r="D41" s="682" t="s">
        <v>194</v>
      </c>
      <c r="E41" s="680"/>
      <c r="F41" s="681">
        <v>2000</v>
      </c>
      <c r="G41" s="671">
        <f t="shared" si="1"/>
        <v>2000</v>
      </c>
      <c r="H41" s="665"/>
      <c r="I41" s="665"/>
      <c r="J41" s="665"/>
      <c r="K41" s="665"/>
      <c r="L41" s="665"/>
      <c r="M41" s="665"/>
      <c r="N41" s="665"/>
      <c r="O41" s="665"/>
      <c r="P41" s="665"/>
    </row>
    <row r="42" spans="1:16" s="639" customFormat="1" ht="18" customHeight="1" x14ac:dyDescent="0.25">
      <c r="A42" s="672">
        <v>45973</v>
      </c>
      <c r="B42" s="686" t="s">
        <v>153</v>
      </c>
      <c r="C42" s="673" t="s">
        <v>112</v>
      </c>
      <c r="D42" s="682" t="s">
        <v>177</v>
      </c>
      <c r="E42" s="680"/>
      <c r="F42" s="681">
        <v>14000</v>
      </c>
      <c r="G42" s="671">
        <f t="shared" si="1"/>
        <v>14000</v>
      </c>
      <c r="H42" s="665"/>
      <c r="I42" s="665"/>
      <c r="J42" s="665"/>
      <c r="K42" s="665"/>
      <c r="L42" s="665"/>
      <c r="M42" s="665"/>
      <c r="N42" s="665"/>
      <c r="O42" s="665"/>
      <c r="P42" s="665"/>
    </row>
    <row r="43" spans="1:16" s="639" customFormat="1" ht="18" customHeight="1" x14ac:dyDescent="0.25">
      <c r="A43" s="672">
        <v>45991</v>
      </c>
      <c r="B43" s="684" t="s">
        <v>162</v>
      </c>
      <c r="C43" s="673" t="s">
        <v>182</v>
      </c>
      <c r="D43" s="668" t="s">
        <v>164</v>
      </c>
      <c r="E43" s="680">
        <f>44640+8000</f>
        <v>52640</v>
      </c>
      <c r="F43" s="670"/>
      <c r="G43" s="671"/>
      <c r="H43" s="665"/>
      <c r="I43" s="665"/>
      <c r="J43" s="665"/>
      <c r="K43" s="665"/>
      <c r="L43" s="665"/>
      <c r="M43" s="665"/>
      <c r="N43" s="665"/>
      <c r="O43" s="665"/>
      <c r="P43" s="665"/>
    </row>
    <row r="44" spans="1:16" s="639" customFormat="1" ht="18" customHeight="1" x14ac:dyDescent="0.25">
      <c r="A44" s="672">
        <v>45991</v>
      </c>
      <c r="B44" s="684" t="s">
        <v>180</v>
      </c>
      <c r="C44" s="673" t="s">
        <v>111</v>
      </c>
      <c r="D44" s="704" t="s">
        <v>179</v>
      </c>
      <c r="E44" s="680"/>
      <c r="F44" s="670">
        <v>8000</v>
      </c>
      <c r="G44" s="671">
        <f t="shared" si="1"/>
        <v>8000</v>
      </c>
      <c r="H44" s="665"/>
      <c r="I44" s="665"/>
      <c r="J44" s="665"/>
      <c r="K44" s="665"/>
      <c r="L44" s="665"/>
      <c r="M44" s="665"/>
      <c r="N44" s="665"/>
      <c r="O44" s="665"/>
      <c r="P44" s="665"/>
    </row>
    <row r="45" spans="1:16" s="639" customFormat="1" ht="18" customHeight="1" x14ac:dyDescent="0.25">
      <c r="A45" s="672">
        <v>45991</v>
      </c>
      <c r="B45" s="673" t="s">
        <v>181</v>
      </c>
      <c r="C45" s="673" t="s">
        <v>111</v>
      </c>
      <c r="D45" t="s">
        <v>178</v>
      </c>
      <c r="E45" s="680"/>
      <c r="F45" s="670">
        <v>5000</v>
      </c>
      <c r="G45" s="671">
        <f t="shared" si="1"/>
        <v>5000</v>
      </c>
      <c r="H45" s="665"/>
      <c r="I45" s="665"/>
      <c r="J45" s="665"/>
      <c r="K45" s="665"/>
      <c r="L45" s="665"/>
      <c r="M45" s="665"/>
      <c r="N45" s="665"/>
      <c r="O45" s="665"/>
      <c r="P45" s="665"/>
    </row>
    <row r="46" spans="1:16" s="639" customFormat="1" ht="18" customHeight="1" x14ac:dyDescent="0.25">
      <c r="A46" s="672">
        <v>45991</v>
      </c>
      <c r="B46" s="673" t="s">
        <v>153</v>
      </c>
      <c r="C46" s="673" t="s">
        <v>112</v>
      </c>
      <c r="D46" s="682" t="s">
        <v>184</v>
      </c>
      <c r="E46" s="680"/>
      <c r="F46" s="681">
        <v>8000</v>
      </c>
      <c r="G46" s="671">
        <f t="shared" si="1"/>
        <v>8000</v>
      </c>
      <c r="H46" s="665"/>
      <c r="I46" s="665"/>
      <c r="J46" s="665"/>
      <c r="K46" s="665"/>
      <c r="L46" s="665"/>
      <c r="M46" s="665"/>
      <c r="N46" s="665"/>
      <c r="O46" s="665"/>
      <c r="P46" s="665"/>
    </row>
    <row r="47" spans="1:16" s="639" customFormat="1" ht="18" customHeight="1" x14ac:dyDescent="0.25">
      <c r="A47" s="672"/>
      <c r="B47" s="673"/>
      <c r="C47" s="673"/>
      <c r="D47"/>
      <c r="E47" s="680"/>
      <c r="F47" s="670"/>
      <c r="G47" s="671"/>
      <c r="H47" s="665"/>
      <c r="I47" s="665"/>
      <c r="J47" s="665"/>
      <c r="K47" s="665"/>
      <c r="L47" s="665"/>
      <c r="M47" s="665"/>
      <c r="N47" s="665"/>
      <c r="O47" s="665"/>
      <c r="P47" s="665"/>
    </row>
    <row r="48" spans="1:16" s="639" customFormat="1" ht="18" customHeight="1" x14ac:dyDescent="0.25">
      <c r="A48" s="672"/>
      <c r="B48" s="673"/>
      <c r="C48" s="673"/>
      <c r="D48"/>
      <c r="E48" s="680"/>
      <c r="F48" s="670"/>
      <c r="G48" s="671"/>
      <c r="H48" s="665"/>
      <c r="I48" s="665"/>
      <c r="J48" s="665"/>
      <c r="K48" s="665"/>
      <c r="L48" s="665"/>
      <c r="M48" s="665"/>
      <c r="N48" s="665"/>
      <c r="O48" s="665"/>
      <c r="P48" s="665"/>
    </row>
    <row r="49" spans="1:16" s="639" customFormat="1" ht="18" customHeight="1" x14ac:dyDescent="0.25">
      <c r="A49" s="672"/>
      <c r="B49" s="673"/>
      <c r="C49" s="673"/>
      <c r="D49" s="682"/>
      <c r="E49" s="680"/>
      <c r="F49" s="670"/>
      <c r="G49" s="671"/>
      <c r="H49" s="665"/>
      <c r="I49" s="665"/>
      <c r="J49" s="665"/>
      <c r="K49" s="665"/>
      <c r="L49" s="665"/>
      <c r="M49" s="665"/>
      <c r="N49" s="665"/>
      <c r="O49" s="665"/>
      <c r="P49" s="665"/>
    </row>
    <row r="50" spans="1:16" s="639" customFormat="1" ht="18" customHeight="1" x14ac:dyDescent="0.25">
      <c r="A50" s="672"/>
      <c r="B50" s="689"/>
      <c r="C50" s="690"/>
      <c r="D50" s="673"/>
      <c r="E50" s="687"/>
      <c r="F50" s="688"/>
      <c r="G50" s="671"/>
      <c r="H50" s="665"/>
      <c r="I50" s="665"/>
      <c r="J50" s="665"/>
      <c r="K50" s="665"/>
      <c r="L50" s="665"/>
      <c r="M50" s="665"/>
      <c r="N50" s="665"/>
      <c r="O50" s="665"/>
      <c r="P50" s="665"/>
    </row>
    <row r="51" spans="1:16" s="639" customFormat="1" ht="18" customHeight="1" x14ac:dyDescent="0.25">
      <c r="A51" s="672"/>
      <c r="B51" s="689"/>
      <c r="C51" s="690"/>
      <c r="D51" s="673"/>
      <c r="E51" s="687"/>
      <c r="F51" s="688"/>
      <c r="G51" s="671"/>
      <c r="H51" s="665"/>
      <c r="I51" s="665"/>
      <c r="J51" s="665"/>
      <c r="K51" s="665"/>
      <c r="L51" s="665"/>
      <c r="M51" s="665"/>
      <c r="N51" s="665"/>
      <c r="O51" s="665"/>
      <c r="P51" s="665"/>
    </row>
    <row r="52" spans="1:16" s="639" customFormat="1" ht="18" customHeight="1" x14ac:dyDescent="0.25">
      <c r="A52" s="672"/>
      <c r="B52" s="689"/>
      <c r="C52" s="690"/>
      <c r="D52" s="673"/>
      <c r="E52" s="687"/>
      <c r="F52" s="688"/>
      <c r="G52" s="671"/>
      <c r="H52" s="665"/>
      <c r="I52" s="665"/>
      <c r="J52" s="665"/>
      <c r="K52" s="665"/>
      <c r="L52" s="665"/>
      <c r="M52" s="665"/>
      <c r="N52" s="665"/>
      <c r="O52" s="665"/>
      <c r="P52" s="665"/>
    </row>
    <row r="53" spans="1:16" s="639" customFormat="1" ht="18" customHeight="1" x14ac:dyDescent="0.25">
      <c r="A53" s="672"/>
      <c r="B53" s="689"/>
      <c r="C53" s="690"/>
      <c r="D53" s="673"/>
      <c r="E53" s="687"/>
      <c r="F53" s="688"/>
      <c r="G53" s="671"/>
      <c r="H53" s="665"/>
      <c r="I53" s="665"/>
      <c r="J53" s="665"/>
      <c r="K53" s="665"/>
      <c r="L53" s="665"/>
      <c r="M53" s="665"/>
      <c r="N53" s="665"/>
      <c r="O53" s="665"/>
      <c r="P53" s="665"/>
    </row>
    <row r="54" spans="1:16" s="639" customFormat="1" ht="18" customHeight="1" x14ac:dyDescent="0.25">
      <c r="A54" s="672"/>
      <c r="B54" s="689"/>
      <c r="C54" s="690"/>
      <c r="D54" s="673"/>
      <c r="E54" s="687"/>
      <c r="F54" s="688"/>
      <c r="G54" s="671"/>
      <c r="H54" s="665"/>
      <c r="I54" s="665"/>
      <c r="J54" s="665"/>
      <c r="K54" s="665"/>
      <c r="L54" s="665"/>
      <c r="M54" s="665"/>
      <c r="N54" s="665"/>
      <c r="O54" s="665"/>
      <c r="P54" s="665"/>
    </row>
    <row r="55" spans="1:16" s="639" customFormat="1" ht="18" customHeight="1" x14ac:dyDescent="0.25">
      <c r="A55" s="672"/>
      <c r="B55" s="689"/>
      <c r="C55" s="690"/>
      <c r="D55" s="673"/>
      <c r="E55" s="687"/>
      <c r="F55" s="688"/>
      <c r="G55" s="671"/>
      <c r="H55" s="665"/>
      <c r="I55" s="665"/>
      <c r="J55" s="665"/>
      <c r="K55" s="665"/>
      <c r="L55" s="665"/>
      <c r="M55" s="665"/>
      <c r="N55" s="665"/>
      <c r="O55" s="665"/>
      <c r="P55" s="665"/>
    </row>
    <row r="56" spans="1:16" s="639" customFormat="1" ht="18" customHeight="1" x14ac:dyDescent="0.25">
      <c r="A56" s="672"/>
      <c r="B56" s="689"/>
      <c r="C56" s="690"/>
      <c r="D56" s="673"/>
      <c r="E56" s="687"/>
      <c r="F56" s="688"/>
      <c r="G56" s="671"/>
      <c r="H56" s="665"/>
      <c r="I56" s="665"/>
      <c r="J56" s="665"/>
      <c r="K56" s="665"/>
      <c r="L56" s="665"/>
      <c r="M56" s="665"/>
      <c r="N56" s="665"/>
      <c r="O56" s="665"/>
      <c r="P56" s="665"/>
    </row>
    <row r="57" spans="1:16" s="639" customFormat="1" ht="18" customHeight="1" x14ac:dyDescent="0.25">
      <c r="A57" s="672"/>
      <c r="B57" s="689"/>
      <c r="C57" s="690"/>
      <c r="D57" s="673"/>
      <c r="E57" s="687"/>
      <c r="F57" s="688"/>
      <c r="G57" s="671"/>
      <c r="H57" s="665"/>
      <c r="I57" s="665"/>
      <c r="J57" s="665"/>
      <c r="K57" s="665"/>
      <c r="L57" s="665"/>
      <c r="M57" s="665"/>
      <c r="N57" s="665"/>
      <c r="O57" s="665"/>
      <c r="P57" s="665"/>
    </row>
    <row r="58" spans="1:16" s="639" customFormat="1" ht="18" customHeight="1" x14ac:dyDescent="0.25">
      <c r="A58" s="672"/>
      <c r="B58" s="689"/>
      <c r="C58" s="691"/>
      <c r="D58" s="673"/>
      <c r="E58" s="687"/>
      <c r="F58" s="688"/>
      <c r="G58" s="671"/>
      <c r="H58" s="665"/>
      <c r="I58" s="665"/>
      <c r="J58" s="665"/>
      <c r="K58" s="665"/>
      <c r="L58" s="665"/>
      <c r="M58" s="665"/>
      <c r="N58" s="665"/>
      <c r="O58" s="665"/>
      <c r="P58" s="665"/>
    </row>
    <row r="59" spans="1:16" s="639" customFormat="1" ht="18" customHeight="1" thickBot="1" x14ac:dyDescent="0.3">
      <c r="A59" s="692"/>
      <c r="B59" s="693"/>
      <c r="C59" s="693"/>
      <c r="D59" s="694"/>
      <c r="E59" s="695">
        <f>SUM(E11:E58)</f>
        <v>177600</v>
      </c>
      <c r="F59" s="696">
        <f>SUM(F50:F58)</f>
        <v>0</v>
      </c>
      <c r="G59" s="697">
        <f t="shared" ref="G59:O59" si="2">SUM(G11:G58)</f>
        <v>250600</v>
      </c>
      <c r="H59" s="698">
        <f t="shared" si="2"/>
        <v>29000</v>
      </c>
      <c r="I59" s="698">
        <f t="shared" si="2"/>
        <v>30000</v>
      </c>
      <c r="J59" s="698">
        <f t="shared" si="2"/>
        <v>0</v>
      </c>
      <c r="K59" s="698">
        <f t="shared" si="2"/>
        <v>0</v>
      </c>
      <c r="L59" s="698">
        <f t="shared" si="2"/>
        <v>0</v>
      </c>
      <c r="M59" s="698">
        <f t="shared" si="2"/>
        <v>16400</v>
      </c>
      <c r="N59" s="699">
        <f t="shared" si="2"/>
        <v>29200</v>
      </c>
      <c r="O59" s="698">
        <f t="shared" si="2"/>
        <v>0</v>
      </c>
    </row>
    <row r="60" spans="1:16" s="639" customFormat="1" ht="18" customHeight="1" x14ac:dyDescent="0.25">
      <c r="A60" s="635"/>
      <c r="B60" s="636"/>
      <c r="C60" s="636"/>
      <c r="D60" s="636"/>
      <c r="E60" s="700"/>
      <c r="F60" s="701"/>
    </row>
    <row r="61" spans="1:16" s="639" customFormat="1" ht="18" customHeight="1" x14ac:dyDescent="0.25">
      <c r="A61" s="635"/>
      <c r="B61" s="636"/>
      <c r="C61" s="636"/>
      <c r="D61" s="636"/>
      <c r="E61" s="700"/>
      <c r="F61" s="701"/>
    </row>
    <row r="62" spans="1:16" s="639" customFormat="1" ht="18" customHeight="1" x14ac:dyDescent="0.25">
      <c r="A62" s="635"/>
      <c r="B62" s="636"/>
      <c r="C62" s="636"/>
      <c r="D62" s="636"/>
      <c r="E62" s="700"/>
      <c r="F62" s="701"/>
    </row>
    <row r="63" spans="1:16" s="639" customFormat="1" ht="18" customHeight="1" x14ac:dyDescent="0.25">
      <c r="A63" s="635"/>
      <c r="B63" s="636"/>
      <c r="C63" s="636"/>
      <c r="D63" s="636"/>
      <c r="E63" s="700"/>
      <c r="F63" s="701"/>
    </row>
    <row r="64" spans="1:16" s="639" customFormat="1" ht="18" customHeight="1" x14ac:dyDescent="0.25">
      <c r="A64" s="635"/>
      <c r="B64" s="636"/>
      <c r="C64" s="636"/>
      <c r="D64" s="636"/>
      <c r="E64" s="700"/>
      <c r="F64" s="701"/>
    </row>
    <row r="65" spans="1:6" s="639" customFormat="1" ht="18" customHeight="1" x14ac:dyDescent="0.25">
      <c r="A65" s="635"/>
      <c r="B65" s="636"/>
      <c r="C65" s="636"/>
      <c r="D65" s="636"/>
      <c r="E65" s="700"/>
      <c r="F65" s="701"/>
    </row>
    <row r="66" spans="1:6" s="639" customFormat="1" ht="18" customHeight="1" x14ac:dyDescent="0.25">
      <c r="A66" s="635"/>
      <c r="B66" s="636"/>
      <c r="C66" s="636"/>
      <c r="D66" s="636"/>
      <c r="E66" s="700"/>
      <c r="F66" s="701"/>
    </row>
    <row r="67" spans="1:6" s="639" customFormat="1" ht="18" customHeight="1" x14ac:dyDescent="0.25">
      <c r="A67" s="635"/>
      <c r="B67" s="636"/>
      <c r="C67" s="636"/>
      <c r="D67" s="636"/>
      <c r="E67" s="700"/>
      <c r="F67" s="701"/>
    </row>
    <row r="68" spans="1:6" s="639" customFormat="1" ht="18" customHeight="1" x14ac:dyDescent="0.25">
      <c r="A68" s="635"/>
      <c r="B68" s="636"/>
      <c r="C68" s="636"/>
      <c r="D68" s="636"/>
      <c r="E68" s="700"/>
      <c r="F68" s="701"/>
    </row>
    <row r="69" spans="1:6" s="639" customFormat="1" ht="18" customHeight="1" x14ac:dyDescent="0.25">
      <c r="A69" s="635"/>
      <c r="B69" s="636"/>
      <c r="C69" s="636"/>
      <c r="D69" s="636"/>
      <c r="E69" s="700"/>
      <c r="F69" s="701"/>
    </row>
    <row r="70" spans="1:6" s="639" customFormat="1" ht="18" customHeight="1" x14ac:dyDescent="0.25">
      <c r="A70" s="635"/>
      <c r="B70" s="636"/>
      <c r="C70" s="636"/>
      <c r="D70" s="636"/>
      <c r="E70" s="700"/>
      <c r="F70" s="701"/>
    </row>
    <row r="71" spans="1:6" s="639" customFormat="1" ht="18" customHeight="1" x14ac:dyDescent="0.25">
      <c r="A71" s="635"/>
      <c r="B71" s="636"/>
      <c r="C71" s="636"/>
      <c r="D71" s="636"/>
      <c r="E71" s="700"/>
      <c r="F71" s="701"/>
    </row>
    <row r="72" spans="1:6" s="639" customFormat="1" ht="18" customHeight="1" x14ac:dyDescent="0.25">
      <c r="A72" s="635"/>
      <c r="B72" s="636"/>
      <c r="C72" s="636"/>
      <c r="D72" s="636"/>
      <c r="E72" s="700"/>
      <c r="F72" s="701"/>
    </row>
    <row r="73" spans="1:6" s="639" customFormat="1" ht="18" customHeight="1" x14ac:dyDescent="0.25">
      <c r="A73" s="635"/>
      <c r="B73" s="636"/>
      <c r="C73" s="636"/>
      <c r="D73" s="636"/>
      <c r="E73" s="700"/>
      <c r="F73" s="701"/>
    </row>
    <row r="74" spans="1:6" s="639" customFormat="1" ht="18" customHeight="1" x14ac:dyDescent="0.25">
      <c r="A74" s="635"/>
      <c r="B74" s="636"/>
      <c r="C74" s="636"/>
      <c r="D74" s="636"/>
      <c r="E74" s="700"/>
      <c r="F74" s="701"/>
    </row>
    <row r="75" spans="1:6" s="639" customFormat="1" ht="18" customHeight="1" x14ac:dyDescent="0.25">
      <c r="A75" s="635"/>
      <c r="B75" s="636"/>
      <c r="C75" s="636"/>
      <c r="D75" s="636"/>
      <c r="E75" s="700"/>
      <c r="F75" s="701"/>
    </row>
    <row r="76" spans="1:6" s="639" customFormat="1" ht="18" customHeight="1" x14ac:dyDescent="0.25">
      <c r="A76" s="635"/>
      <c r="B76" s="636"/>
      <c r="C76" s="636"/>
      <c r="D76" s="636"/>
      <c r="E76" s="700"/>
      <c r="F76" s="701"/>
    </row>
    <row r="77" spans="1:6" s="639" customFormat="1" ht="12.75" customHeight="1" x14ac:dyDescent="0.25">
      <c r="A77" s="635"/>
      <c r="B77" s="636"/>
      <c r="C77" s="636"/>
      <c r="D77" s="636"/>
      <c r="E77" s="700"/>
      <c r="F77" s="701"/>
    </row>
    <row r="78" spans="1:6" s="639" customFormat="1" ht="12.75" customHeight="1" x14ac:dyDescent="0.25">
      <c r="A78" s="635"/>
      <c r="B78" s="636"/>
      <c r="C78" s="636"/>
      <c r="D78" s="636"/>
      <c r="E78" s="700"/>
      <c r="F78" s="701"/>
    </row>
    <row r="79" spans="1:6" s="639" customFormat="1" ht="12.75" customHeight="1" x14ac:dyDescent="0.25">
      <c r="A79" s="635"/>
      <c r="B79" s="636"/>
      <c r="C79" s="636"/>
      <c r="D79" s="636"/>
      <c r="E79" s="700"/>
      <c r="F79" s="701"/>
    </row>
    <row r="80" spans="1:6" s="639" customFormat="1" ht="12.75" customHeight="1" x14ac:dyDescent="0.25">
      <c r="A80" s="635"/>
      <c r="B80" s="636"/>
      <c r="C80" s="636"/>
      <c r="D80" s="636"/>
      <c r="E80" s="700"/>
      <c r="F80" s="701"/>
    </row>
    <row r="81" spans="1:6" s="639" customFormat="1" ht="12.75" customHeight="1" x14ac:dyDescent="0.25">
      <c r="A81" s="635"/>
      <c r="B81" s="636"/>
      <c r="C81" s="636"/>
      <c r="D81" s="636"/>
      <c r="E81" s="700"/>
      <c r="F81" s="701"/>
    </row>
    <row r="82" spans="1:6" s="639" customFormat="1" ht="12.75" customHeight="1" x14ac:dyDescent="0.25">
      <c r="A82" s="635"/>
      <c r="B82" s="636"/>
      <c r="C82" s="636"/>
      <c r="D82" s="636"/>
      <c r="E82" s="700"/>
      <c r="F82" s="701"/>
    </row>
    <row r="83" spans="1:6" s="639" customFormat="1" ht="12.75" customHeight="1" x14ac:dyDescent="0.25">
      <c r="A83" s="635"/>
      <c r="B83" s="636"/>
      <c r="C83" s="636"/>
      <c r="D83" s="636"/>
      <c r="E83" s="700"/>
      <c r="F83" s="701"/>
    </row>
    <row r="84" spans="1:6" s="639" customFormat="1" ht="12.75" customHeight="1" x14ac:dyDescent="0.25">
      <c r="A84" s="635"/>
      <c r="B84" s="636"/>
      <c r="C84" s="636"/>
      <c r="D84" s="636"/>
      <c r="E84" s="700"/>
      <c r="F84" s="701"/>
    </row>
    <row r="85" spans="1:6" s="639" customFormat="1" ht="12.75" customHeight="1" x14ac:dyDescent="0.25">
      <c r="A85" s="635"/>
      <c r="B85" s="636"/>
      <c r="C85" s="636"/>
      <c r="D85" s="636"/>
      <c r="E85" s="700"/>
      <c r="F85" s="701"/>
    </row>
    <row r="86" spans="1:6" s="639" customFormat="1" ht="12.75" customHeight="1" x14ac:dyDescent="0.25">
      <c r="A86" s="635"/>
      <c r="B86" s="636"/>
      <c r="C86" s="636"/>
      <c r="D86" s="636"/>
      <c r="E86" s="700"/>
      <c r="F86" s="701"/>
    </row>
    <row r="87" spans="1:6" s="639" customFormat="1" ht="12.75" customHeight="1" x14ac:dyDescent="0.25">
      <c r="A87" s="635"/>
      <c r="B87" s="636"/>
      <c r="C87" s="636"/>
      <c r="D87" s="636"/>
      <c r="E87" s="700"/>
      <c r="F87" s="701"/>
    </row>
    <row r="88" spans="1:6" s="639" customFormat="1" ht="12.75" customHeight="1" x14ac:dyDescent="0.25">
      <c r="A88" s="635"/>
      <c r="B88" s="636"/>
      <c r="C88" s="636"/>
      <c r="D88" s="636"/>
      <c r="E88" s="700"/>
      <c r="F88" s="701"/>
    </row>
    <row r="89" spans="1:6" s="639" customFormat="1" ht="12.75" customHeight="1" x14ac:dyDescent="0.25">
      <c r="A89" s="635"/>
      <c r="B89" s="636"/>
      <c r="C89" s="636"/>
      <c r="D89" s="636"/>
      <c r="E89" s="700"/>
      <c r="F89" s="701"/>
    </row>
    <row r="90" spans="1:6" s="639" customFormat="1" ht="12.75" customHeight="1" x14ac:dyDescent="0.25">
      <c r="A90" s="635"/>
      <c r="B90" s="636"/>
      <c r="C90" s="636"/>
      <c r="D90" s="636"/>
      <c r="E90" s="700"/>
      <c r="F90" s="701"/>
    </row>
    <row r="91" spans="1:6" s="639" customFormat="1" ht="12.75" customHeight="1" x14ac:dyDescent="0.25">
      <c r="A91" s="635"/>
      <c r="B91" s="636"/>
      <c r="C91" s="636"/>
      <c r="D91" s="636"/>
      <c r="E91" s="700"/>
      <c r="F91" s="701"/>
    </row>
    <row r="92" spans="1:6" s="639" customFormat="1" ht="12.75" customHeight="1" x14ac:dyDescent="0.25">
      <c r="A92" s="635"/>
      <c r="B92" s="636"/>
      <c r="C92" s="636"/>
      <c r="D92" s="636"/>
      <c r="E92" s="700"/>
      <c r="F92" s="701"/>
    </row>
    <row r="93" spans="1:6" s="639" customFormat="1" ht="12.75" customHeight="1" x14ac:dyDescent="0.25">
      <c r="A93" s="635"/>
      <c r="B93" s="636"/>
      <c r="C93" s="636"/>
      <c r="D93" s="636"/>
      <c r="E93" s="700"/>
      <c r="F93" s="701"/>
    </row>
    <row r="94" spans="1:6" s="639" customFormat="1" ht="12.75" customHeight="1" x14ac:dyDescent="0.25">
      <c r="A94" s="635"/>
      <c r="B94" s="636"/>
      <c r="C94" s="636"/>
      <c r="D94" s="636"/>
      <c r="E94" s="700"/>
      <c r="F94" s="701"/>
    </row>
    <row r="95" spans="1:6" s="639" customFormat="1" ht="12.75" customHeight="1" x14ac:dyDescent="0.25">
      <c r="A95" s="635"/>
      <c r="B95" s="636"/>
      <c r="C95" s="636"/>
      <c r="D95" s="636"/>
      <c r="E95" s="700"/>
      <c r="F95" s="701"/>
    </row>
    <row r="96" spans="1:6" s="639" customFormat="1" ht="12.75" customHeight="1" x14ac:dyDescent="0.25">
      <c r="A96" s="635"/>
      <c r="B96" s="636"/>
      <c r="C96" s="636"/>
      <c r="D96" s="636"/>
      <c r="E96" s="700"/>
      <c r="F96" s="701"/>
    </row>
    <row r="97" spans="1:6" s="639" customFormat="1" ht="12.75" customHeight="1" x14ac:dyDescent="0.25">
      <c r="A97" s="635"/>
      <c r="B97" s="636"/>
      <c r="C97" s="636"/>
      <c r="D97" s="636"/>
      <c r="E97" s="700"/>
      <c r="F97" s="701"/>
    </row>
    <row r="98" spans="1:6" s="639" customFormat="1" ht="12.75" customHeight="1" x14ac:dyDescent="0.25">
      <c r="A98" s="635"/>
      <c r="B98" s="636"/>
      <c r="C98" s="636"/>
      <c r="D98" s="636"/>
      <c r="E98" s="700"/>
      <c r="F98" s="701"/>
    </row>
    <row r="99" spans="1:6" s="639" customFormat="1" ht="12.75" customHeight="1" x14ac:dyDescent="0.25">
      <c r="A99" s="635"/>
      <c r="B99" s="636"/>
      <c r="C99" s="636"/>
      <c r="D99" s="636"/>
      <c r="E99" s="700"/>
      <c r="F99" s="701"/>
    </row>
    <row r="100" spans="1:6" s="639" customFormat="1" ht="12.75" customHeight="1" x14ac:dyDescent="0.25">
      <c r="A100" s="635"/>
      <c r="B100" s="636"/>
      <c r="C100" s="636"/>
      <c r="D100" s="636"/>
      <c r="E100" s="700"/>
      <c r="F100" s="701"/>
    </row>
    <row r="101" spans="1:6" s="639" customFormat="1" ht="12.75" customHeight="1" x14ac:dyDescent="0.25">
      <c r="A101" s="635"/>
      <c r="B101" s="636"/>
      <c r="C101" s="636"/>
      <c r="D101" s="636"/>
      <c r="E101" s="700"/>
      <c r="F101" s="701"/>
    </row>
    <row r="102" spans="1:6" s="639" customFormat="1" ht="12.75" customHeight="1" x14ac:dyDescent="0.25">
      <c r="A102" s="635"/>
      <c r="B102" s="636"/>
      <c r="C102" s="636"/>
      <c r="D102" s="636"/>
      <c r="E102" s="700"/>
      <c r="F102" s="701"/>
    </row>
    <row r="103" spans="1:6" s="639" customFormat="1" ht="12.75" customHeight="1" x14ac:dyDescent="0.25">
      <c r="A103" s="635"/>
      <c r="B103" s="636"/>
      <c r="C103" s="636"/>
      <c r="D103" s="636"/>
      <c r="E103" s="700"/>
      <c r="F103" s="701"/>
    </row>
    <row r="104" spans="1:6" s="639" customFormat="1" ht="12.75" customHeight="1" x14ac:dyDescent="0.25">
      <c r="A104" s="635"/>
      <c r="B104" s="636"/>
      <c r="C104" s="636"/>
      <c r="D104" s="636"/>
      <c r="E104" s="700"/>
      <c r="F104" s="701"/>
    </row>
    <row r="105" spans="1:6" s="639" customFormat="1" ht="12.75" customHeight="1" x14ac:dyDescent="0.25">
      <c r="A105" s="635"/>
      <c r="B105" s="636"/>
      <c r="C105" s="636"/>
      <c r="D105" s="636"/>
      <c r="E105" s="700"/>
      <c r="F105" s="701"/>
    </row>
    <row r="106" spans="1:6" s="639" customFormat="1" ht="12.75" customHeight="1" x14ac:dyDescent="0.25">
      <c r="A106" s="635"/>
      <c r="B106" s="636"/>
      <c r="C106" s="636"/>
      <c r="D106" s="636"/>
      <c r="E106" s="700"/>
      <c r="F106" s="701"/>
    </row>
    <row r="107" spans="1:6" s="639" customFormat="1" ht="12.75" customHeight="1" x14ac:dyDescent="0.25">
      <c r="A107" s="635"/>
      <c r="B107" s="636"/>
      <c r="C107" s="636"/>
      <c r="D107" s="636"/>
      <c r="E107" s="700"/>
      <c r="F107" s="701"/>
    </row>
    <row r="108" spans="1:6" s="639" customFormat="1" ht="12.75" customHeight="1" x14ac:dyDescent="0.25">
      <c r="A108" s="635"/>
      <c r="B108" s="636"/>
      <c r="C108" s="636"/>
      <c r="D108" s="636"/>
      <c r="E108" s="700"/>
      <c r="F108" s="701"/>
    </row>
    <row r="109" spans="1:6" s="639" customFormat="1" ht="12.75" customHeight="1" x14ac:dyDescent="0.25">
      <c r="A109" s="635"/>
      <c r="B109" s="636"/>
      <c r="C109" s="636"/>
      <c r="D109" s="636"/>
      <c r="E109" s="700"/>
      <c r="F109" s="701"/>
    </row>
    <row r="110" spans="1:6" s="639" customFormat="1" ht="12.75" customHeight="1" x14ac:dyDescent="0.25">
      <c r="A110" s="635"/>
      <c r="B110" s="636"/>
      <c r="C110" s="636"/>
      <c r="D110" s="636"/>
      <c r="E110" s="700"/>
      <c r="F110" s="701"/>
    </row>
    <row r="111" spans="1:6" s="639" customFormat="1" ht="12.75" customHeight="1" x14ac:dyDescent="0.25">
      <c r="A111" s="635"/>
      <c r="B111" s="636"/>
      <c r="C111" s="636"/>
      <c r="D111" s="636"/>
      <c r="E111" s="700"/>
      <c r="F111" s="701"/>
    </row>
    <row r="112" spans="1:6" s="639" customFormat="1" ht="12.75" customHeight="1" x14ac:dyDescent="0.25">
      <c r="A112" s="635"/>
      <c r="B112" s="636"/>
      <c r="C112" s="636"/>
      <c r="D112" s="636"/>
      <c r="E112" s="700"/>
      <c r="F112" s="701"/>
    </row>
    <row r="113" spans="1:6" s="639" customFormat="1" ht="12.75" customHeight="1" x14ac:dyDescent="0.25">
      <c r="A113" s="635"/>
      <c r="B113" s="636"/>
      <c r="C113" s="636"/>
      <c r="D113" s="636"/>
      <c r="E113" s="700"/>
      <c r="F113" s="701"/>
    </row>
    <row r="114" spans="1:6" s="639" customFormat="1" ht="12.75" customHeight="1" x14ac:dyDescent="0.25">
      <c r="A114" s="635"/>
      <c r="B114" s="636"/>
      <c r="C114" s="636"/>
      <c r="D114" s="636"/>
      <c r="E114" s="700"/>
      <c r="F114" s="701"/>
    </row>
    <row r="115" spans="1:6" s="639" customFormat="1" ht="12.75" customHeight="1" x14ac:dyDescent="0.25">
      <c r="A115" s="635"/>
      <c r="B115" s="636"/>
      <c r="C115" s="636"/>
      <c r="D115" s="636"/>
      <c r="E115" s="700"/>
      <c r="F115" s="701"/>
    </row>
    <row r="116" spans="1:6" s="639" customFormat="1" ht="12.75" customHeight="1" x14ac:dyDescent="0.25">
      <c r="A116" s="635"/>
      <c r="B116" s="636"/>
      <c r="C116" s="636"/>
      <c r="D116" s="636"/>
      <c r="E116" s="700"/>
      <c r="F116" s="701"/>
    </row>
    <row r="117" spans="1:6" s="639" customFormat="1" ht="12.75" customHeight="1" x14ac:dyDescent="0.25">
      <c r="A117" s="635"/>
      <c r="B117" s="636"/>
      <c r="C117" s="636"/>
      <c r="D117" s="636"/>
      <c r="E117" s="700"/>
      <c r="F117" s="701"/>
    </row>
    <row r="118" spans="1:6" s="639" customFormat="1" ht="12.75" customHeight="1" x14ac:dyDescent="0.25">
      <c r="A118" s="635"/>
      <c r="B118" s="636"/>
      <c r="C118" s="636"/>
      <c r="D118" s="636"/>
      <c r="E118" s="700"/>
      <c r="F118" s="701"/>
    </row>
    <row r="119" spans="1:6" s="639" customFormat="1" ht="12.75" customHeight="1" x14ac:dyDescent="0.25">
      <c r="A119" s="635"/>
      <c r="B119" s="636"/>
      <c r="C119" s="636"/>
      <c r="D119" s="636"/>
      <c r="E119" s="700"/>
      <c r="F119" s="701"/>
    </row>
    <row r="120" spans="1:6" s="639" customFormat="1" ht="12.75" customHeight="1" x14ac:dyDescent="0.25">
      <c r="A120" s="635"/>
      <c r="B120" s="636"/>
      <c r="C120" s="636"/>
      <c r="D120" s="636"/>
      <c r="E120" s="700"/>
      <c r="F120" s="701"/>
    </row>
    <row r="121" spans="1:6" s="639" customFormat="1" ht="12.75" customHeight="1" x14ac:dyDescent="0.25">
      <c r="A121" s="635"/>
      <c r="B121" s="636"/>
      <c r="C121" s="636"/>
      <c r="D121" s="636"/>
      <c r="E121" s="700"/>
      <c r="F121" s="701"/>
    </row>
    <row r="122" spans="1:6" s="639" customFormat="1" ht="12.75" customHeight="1" x14ac:dyDescent="0.25">
      <c r="A122" s="635"/>
      <c r="B122" s="636"/>
      <c r="C122" s="636"/>
      <c r="D122" s="636"/>
      <c r="E122" s="700"/>
      <c r="F122" s="701"/>
    </row>
    <row r="123" spans="1:6" s="639" customFormat="1" ht="12.75" customHeight="1" x14ac:dyDescent="0.25">
      <c r="A123" s="635"/>
      <c r="B123" s="636"/>
      <c r="C123" s="636"/>
      <c r="D123" s="636"/>
      <c r="E123" s="700"/>
      <c r="F123" s="701"/>
    </row>
    <row r="124" spans="1:6" s="639" customFormat="1" ht="12.75" customHeight="1" x14ac:dyDescent="0.25">
      <c r="A124" s="635"/>
      <c r="B124" s="636"/>
      <c r="C124" s="636"/>
      <c r="D124" s="636"/>
      <c r="E124" s="700"/>
      <c r="F124" s="701"/>
    </row>
    <row r="125" spans="1:6" s="639" customFormat="1" ht="12.75" customHeight="1" x14ac:dyDescent="0.25">
      <c r="A125" s="635"/>
      <c r="B125" s="636"/>
      <c r="C125" s="636"/>
      <c r="D125" s="636"/>
      <c r="E125" s="700"/>
      <c r="F125" s="701"/>
    </row>
    <row r="126" spans="1:6" s="639" customFormat="1" ht="12.75" customHeight="1" x14ac:dyDescent="0.25">
      <c r="A126" s="635"/>
      <c r="B126" s="636"/>
      <c r="C126" s="636"/>
      <c r="D126" s="636"/>
      <c r="E126" s="700"/>
      <c r="F126" s="701"/>
    </row>
    <row r="127" spans="1:6" s="639" customFormat="1" ht="12.75" customHeight="1" x14ac:dyDescent="0.25">
      <c r="A127" s="635"/>
      <c r="B127" s="636"/>
      <c r="C127" s="636"/>
      <c r="D127" s="636"/>
      <c r="E127" s="700"/>
      <c r="F127" s="701"/>
    </row>
    <row r="128" spans="1:6" s="639" customFormat="1" ht="12.75" customHeight="1" x14ac:dyDescent="0.25">
      <c r="A128" s="635"/>
      <c r="B128" s="636"/>
      <c r="C128" s="636"/>
      <c r="D128" s="636"/>
      <c r="E128" s="700"/>
      <c r="F128" s="701"/>
    </row>
    <row r="129" spans="1:6" s="639" customFormat="1" ht="12.75" customHeight="1" x14ac:dyDescent="0.25">
      <c r="A129" s="635"/>
      <c r="B129" s="636"/>
      <c r="C129" s="636"/>
      <c r="D129" s="636"/>
      <c r="E129" s="700"/>
      <c r="F129" s="701"/>
    </row>
    <row r="130" spans="1:6" s="639" customFormat="1" ht="12.75" customHeight="1" x14ac:dyDescent="0.25">
      <c r="A130" s="635"/>
      <c r="B130" s="636"/>
      <c r="C130" s="636"/>
      <c r="D130" s="636"/>
      <c r="E130" s="700"/>
      <c r="F130" s="701"/>
    </row>
    <row r="131" spans="1:6" s="639" customFormat="1" ht="12.75" customHeight="1" x14ac:dyDescent="0.25">
      <c r="A131" s="635"/>
      <c r="B131" s="636"/>
      <c r="C131" s="636"/>
      <c r="D131" s="636"/>
      <c r="E131" s="700"/>
      <c r="F131" s="701"/>
    </row>
    <row r="132" spans="1:6" s="639" customFormat="1" ht="12.75" customHeight="1" x14ac:dyDescent="0.25">
      <c r="A132" s="635"/>
      <c r="B132" s="636"/>
      <c r="C132" s="636"/>
      <c r="D132" s="636"/>
      <c r="E132" s="700"/>
      <c r="F132" s="701"/>
    </row>
    <row r="133" spans="1:6" s="639" customFormat="1" ht="12.75" customHeight="1" x14ac:dyDescent="0.25">
      <c r="A133" s="635"/>
      <c r="B133" s="636"/>
      <c r="C133" s="636"/>
      <c r="D133" s="636"/>
      <c r="E133" s="700"/>
      <c r="F133" s="701"/>
    </row>
    <row r="134" spans="1:6" s="639" customFormat="1" ht="12.75" customHeight="1" x14ac:dyDescent="0.25">
      <c r="A134" s="635"/>
      <c r="B134" s="636"/>
      <c r="C134" s="636"/>
      <c r="D134" s="636"/>
      <c r="E134" s="700"/>
      <c r="F134" s="701"/>
    </row>
    <row r="135" spans="1:6" s="639" customFormat="1" ht="12.75" customHeight="1" x14ac:dyDescent="0.25">
      <c r="A135" s="635"/>
      <c r="B135" s="636"/>
      <c r="C135" s="636"/>
      <c r="D135" s="636"/>
      <c r="E135" s="700"/>
      <c r="F135" s="701"/>
    </row>
    <row r="136" spans="1:6" s="639" customFormat="1" ht="12.75" customHeight="1" x14ac:dyDescent="0.25">
      <c r="A136" s="635"/>
      <c r="B136" s="636"/>
      <c r="C136" s="636"/>
      <c r="D136" s="636"/>
      <c r="E136" s="700"/>
      <c r="F136" s="701"/>
    </row>
    <row r="137" spans="1:6" s="639" customFormat="1" ht="12.75" customHeight="1" x14ac:dyDescent="0.25">
      <c r="A137" s="635"/>
      <c r="B137" s="636"/>
      <c r="C137" s="636"/>
      <c r="D137" s="636"/>
      <c r="E137" s="700"/>
      <c r="F137" s="701"/>
    </row>
    <row r="138" spans="1:6" s="639" customFormat="1" ht="12.75" customHeight="1" x14ac:dyDescent="0.25">
      <c r="A138" s="635"/>
      <c r="B138" s="636"/>
      <c r="C138" s="636"/>
      <c r="D138" s="636"/>
      <c r="E138" s="700"/>
      <c r="F138" s="701"/>
    </row>
    <row r="139" spans="1:6" s="639" customFormat="1" ht="12.75" customHeight="1" x14ac:dyDescent="0.25">
      <c r="A139" s="635"/>
      <c r="B139" s="636"/>
      <c r="C139" s="636"/>
      <c r="D139" s="636"/>
      <c r="E139" s="700"/>
      <c r="F139" s="701"/>
    </row>
    <row r="140" spans="1:6" s="639" customFormat="1" ht="12.75" customHeight="1" x14ac:dyDescent="0.25">
      <c r="A140" s="635"/>
      <c r="B140" s="636"/>
      <c r="C140" s="636"/>
      <c r="D140" s="636"/>
      <c r="E140" s="700"/>
      <c r="F140" s="701"/>
    </row>
    <row r="141" spans="1:6" s="639" customFormat="1" ht="12.75" customHeight="1" x14ac:dyDescent="0.25">
      <c r="A141" s="635"/>
      <c r="B141" s="636"/>
      <c r="C141" s="636"/>
      <c r="D141" s="636"/>
      <c r="E141" s="700"/>
      <c r="F141" s="701"/>
    </row>
    <row r="142" spans="1:6" s="639" customFormat="1" ht="12.75" customHeight="1" x14ac:dyDescent="0.25">
      <c r="A142" s="635"/>
      <c r="B142" s="636"/>
      <c r="C142" s="636"/>
      <c r="D142" s="636"/>
      <c r="E142" s="700"/>
      <c r="F142" s="701"/>
    </row>
    <row r="143" spans="1:6" s="639" customFormat="1" ht="12.75" customHeight="1" x14ac:dyDescent="0.25">
      <c r="A143" s="635"/>
      <c r="B143" s="636"/>
      <c r="C143" s="636"/>
      <c r="D143" s="636"/>
      <c r="E143" s="700"/>
      <c r="F143" s="701"/>
    </row>
    <row r="144" spans="1:6" s="639" customFormat="1" ht="12.75" customHeight="1" x14ac:dyDescent="0.25">
      <c r="A144" s="635"/>
      <c r="B144" s="636"/>
      <c r="C144" s="636"/>
      <c r="D144" s="636"/>
      <c r="E144" s="700"/>
      <c r="F144" s="701"/>
    </row>
    <row r="145" spans="1:6" s="639" customFormat="1" ht="12.75" customHeight="1" x14ac:dyDescent="0.25">
      <c r="A145" s="635"/>
      <c r="B145" s="636"/>
      <c r="C145" s="636"/>
      <c r="D145" s="636"/>
      <c r="E145" s="700"/>
      <c r="F145" s="701"/>
    </row>
    <row r="146" spans="1:6" s="639" customFormat="1" ht="12.75" customHeight="1" x14ac:dyDescent="0.25">
      <c r="A146" s="635"/>
      <c r="B146" s="636"/>
      <c r="C146" s="636"/>
      <c r="D146" s="636"/>
      <c r="E146" s="700"/>
      <c r="F146" s="701"/>
    </row>
    <row r="147" spans="1:6" s="639" customFormat="1" ht="12.75" customHeight="1" x14ac:dyDescent="0.25">
      <c r="A147" s="635"/>
      <c r="B147" s="636"/>
      <c r="C147" s="636"/>
      <c r="D147" s="636"/>
      <c r="E147" s="700"/>
      <c r="F147" s="701"/>
    </row>
    <row r="148" spans="1:6" s="639" customFormat="1" ht="12.75" customHeight="1" x14ac:dyDescent="0.25">
      <c r="A148" s="635"/>
      <c r="B148" s="636"/>
      <c r="C148" s="636"/>
      <c r="D148" s="636"/>
      <c r="E148" s="700"/>
      <c r="F148" s="701"/>
    </row>
    <row r="149" spans="1:6" s="639" customFormat="1" ht="12.75" customHeight="1" x14ac:dyDescent="0.25">
      <c r="A149" s="635"/>
      <c r="B149" s="636"/>
      <c r="C149" s="636"/>
      <c r="D149" s="636"/>
      <c r="E149" s="700"/>
      <c r="F149" s="701"/>
    </row>
    <row r="150" spans="1:6" s="639" customFormat="1" ht="12.75" customHeight="1" x14ac:dyDescent="0.25">
      <c r="A150" s="635"/>
      <c r="B150" s="636"/>
      <c r="C150" s="636"/>
      <c r="D150" s="636"/>
      <c r="E150" s="700"/>
      <c r="F150" s="701"/>
    </row>
    <row r="151" spans="1:6" s="639" customFormat="1" ht="12.75" customHeight="1" x14ac:dyDescent="0.25">
      <c r="A151" s="635"/>
      <c r="B151" s="636"/>
      <c r="C151" s="636"/>
      <c r="D151" s="636"/>
      <c r="E151" s="700"/>
      <c r="F151" s="701"/>
    </row>
    <row r="152" spans="1:6" s="639" customFormat="1" ht="12.75" customHeight="1" x14ac:dyDescent="0.25">
      <c r="A152" s="635"/>
      <c r="B152" s="636"/>
      <c r="C152" s="636"/>
      <c r="D152" s="636"/>
      <c r="E152" s="700"/>
      <c r="F152" s="701"/>
    </row>
    <row r="153" spans="1:6" s="639" customFormat="1" ht="12.75" customHeight="1" x14ac:dyDescent="0.25">
      <c r="A153" s="635"/>
      <c r="B153" s="636"/>
      <c r="C153" s="636"/>
      <c r="D153" s="636"/>
      <c r="E153" s="700"/>
      <c r="F153" s="701"/>
    </row>
    <row r="154" spans="1:6" s="639" customFormat="1" ht="12.75" customHeight="1" x14ac:dyDescent="0.25">
      <c r="A154" s="635"/>
      <c r="B154" s="636"/>
      <c r="C154" s="636"/>
      <c r="D154" s="636"/>
      <c r="E154" s="700"/>
      <c r="F154" s="701"/>
    </row>
    <row r="155" spans="1:6" s="639" customFormat="1" ht="12.75" customHeight="1" x14ac:dyDescent="0.25">
      <c r="A155" s="635"/>
      <c r="B155" s="636"/>
      <c r="C155" s="636"/>
      <c r="D155" s="636"/>
      <c r="E155" s="700"/>
      <c r="F155" s="701"/>
    </row>
    <row r="156" spans="1:6" s="639" customFormat="1" ht="12.75" customHeight="1" x14ac:dyDescent="0.25">
      <c r="A156" s="635"/>
      <c r="B156" s="636"/>
      <c r="C156" s="636"/>
      <c r="D156" s="636"/>
      <c r="E156" s="700"/>
      <c r="F156" s="701"/>
    </row>
    <row r="157" spans="1:6" s="639" customFormat="1" ht="12.75" customHeight="1" x14ac:dyDescent="0.25">
      <c r="A157" s="635"/>
      <c r="B157" s="636"/>
      <c r="C157" s="636"/>
      <c r="D157" s="636"/>
      <c r="E157" s="700"/>
      <c r="F157" s="701"/>
    </row>
    <row r="158" spans="1:6" s="639" customFormat="1" ht="12.75" customHeight="1" x14ac:dyDescent="0.25">
      <c r="A158" s="635"/>
      <c r="B158" s="636"/>
      <c r="C158" s="636"/>
      <c r="D158" s="636"/>
      <c r="E158" s="700"/>
      <c r="F158" s="701"/>
    </row>
    <row r="159" spans="1:6" s="639" customFormat="1" ht="12.75" customHeight="1" x14ac:dyDescent="0.25">
      <c r="A159" s="635"/>
      <c r="B159" s="636"/>
      <c r="C159" s="636"/>
      <c r="D159" s="636"/>
      <c r="E159" s="700"/>
      <c r="F159" s="701"/>
    </row>
    <row r="160" spans="1:6" s="639" customFormat="1" ht="12.75" customHeight="1" x14ac:dyDescent="0.25">
      <c r="A160" s="635"/>
      <c r="B160" s="636"/>
      <c r="C160" s="636"/>
      <c r="D160" s="636"/>
      <c r="E160" s="700"/>
      <c r="F160" s="701"/>
    </row>
    <row r="161" spans="1:6" s="639" customFormat="1" ht="12.75" customHeight="1" x14ac:dyDescent="0.25">
      <c r="A161" s="635"/>
      <c r="B161" s="636"/>
      <c r="C161" s="636"/>
      <c r="D161" s="636"/>
      <c r="E161" s="700"/>
      <c r="F161" s="701"/>
    </row>
    <row r="162" spans="1:6" s="639" customFormat="1" ht="12.75" customHeight="1" x14ac:dyDescent="0.25">
      <c r="A162" s="635"/>
      <c r="B162" s="636"/>
      <c r="C162" s="636"/>
      <c r="D162" s="636"/>
      <c r="E162" s="700"/>
      <c r="F162" s="701"/>
    </row>
    <row r="163" spans="1:6" s="639" customFormat="1" ht="12.75" customHeight="1" x14ac:dyDescent="0.25">
      <c r="A163" s="635"/>
      <c r="B163" s="636"/>
      <c r="C163" s="636"/>
      <c r="D163" s="636"/>
      <c r="E163" s="700"/>
      <c r="F163" s="701"/>
    </row>
    <row r="164" spans="1:6" s="639" customFormat="1" ht="12.75" customHeight="1" x14ac:dyDescent="0.25">
      <c r="A164" s="635"/>
      <c r="B164" s="636"/>
      <c r="C164" s="636"/>
      <c r="D164" s="636"/>
      <c r="E164" s="700"/>
      <c r="F164" s="701"/>
    </row>
    <row r="165" spans="1:6" s="639" customFormat="1" ht="12.75" customHeight="1" x14ac:dyDescent="0.25">
      <c r="A165" s="635"/>
      <c r="B165" s="636"/>
      <c r="C165" s="636"/>
      <c r="D165" s="636"/>
      <c r="E165" s="700"/>
      <c r="F165" s="701"/>
    </row>
    <row r="166" spans="1:6" s="639" customFormat="1" ht="12.75" customHeight="1" x14ac:dyDescent="0.25">
      <c r="A166" s="635"/>
      <c r="B166" s="636"/>
      <c r="C166" s="636"/>
      <c r="D166" s="636"/>
      <c r="E166" s="700"/>
      <c r="F166" s="701"/>
    </row>
    <row r="167" spans="1:6" s="639" customFormat="1" ht="12.75" customHeight="1" x14ac:dyDescent="0.25">
      <c r="A167" s="635"/>
      <c r="B167" s="636"/>
      <c r="C167" s="636"/>
      <c r="D167" s="636"/>
      <c r="E167" s="700"/>
      <c r="F167" s="701"/>
    </row>
    <row r="168" spans="1:6" s="639" customFormat="1" ht="12.75" customHeight="1" x14ac:dyDescent="0.25">
      <c r="A168" s="635"/>
      <c r="B168" s="636"/>
      <c r="C168" s="636"/>
      <c r="D168" s="636"/>
      <c r="E168" s="700"/>
      <c r="F168" s="701"/>
    </row>
    <row r="169" spans="1:6" s="639" customFormat="1" ht="12.75" customHeight="1" x14ac:dyDescent="0.25">
      <c r="A169" s="635"/>
      <c r="B169" s="636"/>
      <c r="C169" s="636"/>
      <c r="D169" s="636"/>
      <c r="E169" s="700"/>
      <c r="F169" s="701"/>
    </row>
    <row r="170" spans="1:6" s="639" customFormat="1" ht="12.75" customHeight="1" x14ac:dyDescent="0.25">
      <c r="A170" s="635"/>
      <c r="B170" s="636"/>
      <c r="C170" s="636"/>
      <c r="D170" s="636"/>
      <c r="E170" s="700"/>
      <c r="F170" s="701"/>
    </row>
    <row r="171" spans="1:6" s="639" customFormat="1" ht="12.75" customHeight="1" x14ac:dyDescent="0.25">
      <c r="A171" s="635"/>
      <c r="B171" s="636"/>
      <c r="C171" s="636"/>
      <c r="D171" s="636"/>
      <c r="E171" s="700"/>
      <c r="F171" s="701"/>
    </row>
    <row r="172" spans="1:6" s="639" customFormat="1" ht="12.75" customHeight="1" x14ac:dyDescent="0.25">
      <c r="A172" s="635"/>
      <c r="B172" s="636"/>
      <c r="C172" s="636"/>
      <c r="D172" s="636"/>
      <c r="E172" s="700"/>
      <c r="F172" s="701"/>
    </row>
    <row r="173" spans="1:6" s="639" customFormat="1" ht="12.75" customHeight="1" x14ac:dyDescent="0.25">
      <c r="A173" s="635"/>
      <c r="B173" s="636"/>
      <c r="C173" s="636"/>
      <c r="D173" s="636"/>
      <c r="E173" s="700"/>
      <c r="F173" s="701"/>
    </row>
    <row r="174" spans="1:6" s="639" customFormat="1" ht="12.75" customHeight="1" x14ac:dyDescent="0.25">
      <c r="A174" s="635"/>
      <c r="B174" s="636"/>
      <c r="C174" s="636"/>
      <c r="D174" s="636"/>
      <c r="E174" s="700"/>
      <c r="F174" s="701"/>
    </row>
    <row r="175" spans="1:6" s="639" customFormat="1" ht="12.75" customHeight="1" x14ac:dyDescent="0.25">
      <c r="A175" s="635"/>
      <c r="B175" s="636"/>
      <c r="C175" s="636"/>
      <c r="D175" s="636"/>
      <c r="E175" s="700"/>
      <c r="F175" s="701"/>
    </row>
    <row r="176" spans="1:6" s="639" customFormat="1" ht="12.75" customHeight="1" x14ac:dyDescent="0.25">
      <c r="A176" s="635"/>
      <c r="B176" s="636"/>
      <c r="C176" s="636"/>
      <c r="D176" s="636"/>
      <c r="E176" s="700"/>
      <c r="F176" s="701"/>
    </row>
    <row r="177" spans="1:6" s="639" customFormat="1" ht="12.75" customHeight="1" x14ac:dyDescent="0.25">
      <c r="A177" s="635"/>
      <c r="B177" s="636"/>
      <c r="C177" s="636"/>
      <c r="D177" s="636"/>
      <c r="E177" s="700"/>
      <c r="F177" s="701"/>
    </row>
    <row r="178" spans="1:6" s="639" customFormat="1" ht="12.75" customHeight="1" x14ac:dyDescent="0.25">
      <c r="A178" s="635"/>
      <c r="B178" s="636"/>
      <c r="C178" s="636"/>
      <c r="D178" s="636"/>
      <c r="E178" s="700"/>
      <c r="F178" s="701"/>
    </row>
    <row r="179" spans="1:6" s="639" customFormat="1" ht="12.75" customHeight="1" x14ac:dyDescent="0.25">
      <c r="A179" s="635"/>
      <c r="B179" s="636"/>
      <c r="C179" s="636"/>
      <c r="D179" s="636"/>
      <c r="E179" s="700"/>
      <c r="F179" s="701"/>
    </row>
    <row r="180" spans="1:6" s="639" customFormat="1" ht="12.75" customHeight="1" x14ac:dyDescent="0.25">
      <c r="A180" s="635"/>
      <c r="B180" s="636"/>
      <c r="C180" s="636"/>
      <c r="D180" s="636"/>
      <c r="E180" s="700"/>
      <c r="F180" s="701"/>
    </row>
    <row r="181" spans="1:6" s="639" customFormat="1" ht="12.75" customHeight="1" x14ac:dyDescent="0.25">
      <c r="A181" s="635"/>
      <c r="B181" s="636"/>
      <c r="C181" s="636"/>
      <c r="D181" s="636"/>
      <c r="E181" s="700"/>
      <c r="F181" s="701"/>
    </row>
    <row r="182" spans="1:6" s="639" customFormat="1" ht="12.75" customHeight="1" x14ac:dyDescent="0.25">
      <c r="A182" s="635"/>
      <c r="B182" s="636"/>
      <c r="C182" s="636"/>
      <c r="D182" s="636"/>
      <c r="E182" s="700"/>
      <c r="F182" s="701"/>
    </row>
    <row r="183" spans="1:6" s="639" customFormat="1" ht="12.75" customHeight="1" x14ac:dyDescent="0.25">
      <c r="A183" s="635"/>
      <c r="B183" s="636"/>
      <c r="C183" s="636"/>
      <c r="D183" s="636"/>
      <c r="E183" s="700"/>
      <c r="F183" s="701"/>
    </row>
    <row r="184" spans="1:6" s="639" customFormat="1" ht="12.75" customHeight="1" x14ac:dyDescent="0.25">
      <c r="A184" s="635"/>
      <c r="B184" s="636"/>
      <c r="C184" s="636"/>
      <c r="D184" s="636"/>
      <c r="E184" s="700"/>
      <c r="F184" s="701"/>
    </row>
    <row r="185" spans="1:6" s="639" customFormat="1" ht="12.75" customHeight="1" x14ac:dyDescent="0.25">
      <c r="A185" s="635"/>
      <c r="B185" s="636"/>
      <c r="C185" s="636"/>
      <c r="D185" s="636"/>
      <c r="E185" s="700"/>
      <c r="F185" s="701"/>
    </row>
    <row r="186" spans="1:6" s="639" customFormat="1" ht="12.75" customHeight="1" x14ac:dyDescent="0.25">
      <c r="A186" s="635"/>
      <c r="B186" s="636"/>
      <c r="C186" s="636"/>
      <c r="D186" s="636"/>
      <c r="E186" s="700"/>
      <c r="F186" s="701"/>
    </row>
    <row r="187" spans="1:6" s="639" customFormat="1" ht="12.75" customHeight="1" x14ac:dyDescent="0.25">
      <c r="A187" s="635"/>
      <c r="B187" s="636"/>
      <c r="C187" s="636"/>
      <c r="D187" s="636"/>
      <c r="E187" s="700"/>
      <c r="F187" s="701"/>
    </row>
    <row r="188" spans="1:6" s="639" customFormat="1" ht="12.75" customHeight="1" x14ac:dyDescent="0.25">
      <c r="A188" s="635"/>
      <c r="B188" s="636"/>
      <c r="C188" s="636"/>
      <c r="D188" s="636"/>
      <c r="E188" s="700"/>
      <c r="F188" s="701"/>
    </row>
    <row r="189" spans="1:6" s="639" customFormat="1" ht="12.75" customHeight="1" x14ac:dyDescent="0.25">
      <c r="A189" s="635"/>
      <c r="B189" s="636"/>
      <c r="C189" s="636"/>
      <c r="D189" s="636"/>
      <c r="E189" s="700"/>
      <c r="F189" s="701"/>
    </row>
    <row r="190" spans="1:6" s="639" customFormat="1" ht="12.75" customHeight="1" x14ac:dyDescent="0.25">
      <c r="A190" s="635"/>
      <c r="B190" s="636"/>
      <c r="C190" s="636"/>
      <c r="D190" s="636"/>
      <c r="E190" s="700"/>
      <c r="F190" s="701"/>
    </row>
    <row r="191" spans="1:6" s="639" customFormat="1" ht="12.75" customHeight="1" x14ac:dyDescent="0.25">
      <c r="A191" s="635"/>
      <c r="B191" s="636"/>
      <c r="C191" s="636"/>
      <c r="D191" s="636"/>
      <c r="E191" s="700"/>
      <c r="F191" s="701"/>
    </row>
    <row r="192" spans="1:6" s="639" customFormat="1" ht="12.75" customHeight="1" x14ac:dyDescent="0.25">
      <c r="A192" s="635"/>
      <c r="B192" s="636"/>
      <c r="C192" s="636"/>
      <c r="D192" s="636"/>
      <c r="E192" s="700"/>
      <c r="F192" s="701"/>
    </row>
    <row r="193" spans="1:6" s="639" customFormat="1" ht="12.75" customHeight="1" x14ac:dyDescent="0.25">
      <c r="A193" s="635"/>
      <c r="B193" s="636"/>
      <c r="C193" s="636"/>
      <c r="D193" s="636"/>
      <c r="E193" s="700"/>
      <c r="F193" s="701"/>
    </row>
    <row r="194" spans="1:6" s="639" customFormat="1" ht="12.75" customHeight="1" x14ac:dyDescent="0.25">
      <c r="A194" s="635"/>
      <c r="B194" s="636"/>
      <c r="C194" s="636"/>
      <c r="D194" s="636"/>
      <c r="E194" s="700"/>
      <c r="F194" s="701"/>
    </row>
    <row r="195" spans="1:6" s="639" customFormat="1" ht="12.75" customHeight="1" x14ac:dyDescent="0.25">
      <c r="A195" s="635"/>
      <c r="B195" s="636"/>
      <c r="C195" s="636"/>
      <c r="D195" s="636"/>
      <c r="E195" s="700"/>
      <c r="F195" s="701"/>
    </row>
    <row r="196" spans="1:6" s="639" customFormat="1" ht="12.75" customHeight="1" x14ac:dyDescent="0.25">
      <c r="A196" s="635"/>
      <c r="B196" s="636"/>
      <c r="C196" s="636"/>
      <c r="D196" s="636"/>
      <c r="E196" s="700"/>
      <c r="F196" s="701"/>
    </row>
    <row r="197" spans="1:6" s="639" customFormat="1" ht="12.75" customHeight="1" x14ac:dyDescent="0.25">
      <c r="A197" s="635"/>
      <c r="B197" s="636"/>
      <c r="C197" s="636"/>
      <c r="D197" s="636"/>
      <c r="E197" s="700"/>
      <c r="F197" s="701"/>
    </row>
    <row r="198" spans="1:6" s="639" customFormat="1" ht="12.75" customHeight="1" x14ac:dyDescent="0.25">
      <c r="A198" s="635"/>
      <c r="B198" s="636"/>
      <c r="C198" s="636"/>
      <c r="D198" s="636"/>
      <c r="E198" s="700"/>
      <c r="F198" s="701"/>
    </row>
    <row r="199" spans="1:6" s="639" customFormat="1" ht="12.75" customHeight="1" x14ac:dyDescent="0.25">
      <c r="A199" s="635"/>
      <c r="B199" s="636"/>
      <c r="C199" s="636"/>
      <c r="D199" s="636"/>
      <c r="E199" s="700"/>
      <c r="F199" s="701"/>
    </row>
    <row r="200" spans="1:6" s="639" customFormat="1" ht="12.75" customHeight="1" x14ac:dyDescent="0.25">
      <c r="A200" s="635"/>
      <c r="B200" s="636"/>
      <c r="C200" s="636"/>
      <c r="D200" s="636"/>
      <c r="E200" s="700"/>
      <c r="F200" s="701"/>
    </row>
    <row r="201" spans="1:6" s="639" customFormat="1" ht="12.75" customHeight="1" x14ac:dyDescent="0.25">
      <c r="A201" s="635"/>
      <c r="B201" s="636"/>
      <c r="C201" s="636"/>
      <c r="D201" s="636"/>
      <c r="E201" s="700"/>
      <c r="F201" s="701"/>
    </row>
    <row r="202" spans="1:6" s="639" customFormat="1" ht="12.75" customHeight="1" x14ac:dyDescent="0.25">
      <c r="A202" s="635"/>
      <c r="B202" s="636"/>
      <c r="C202" s="636"/>
      <c r="D202" s="636"/>
      <c r="E202" s="700"/>
      <c r="F202" s="701"/>
    </row>
    <row r="203" spans="1:6" s="639" customFormat="1" ht="12.75" customHeight="1" x14ac:dyDescent="0.25">
      <c r="A203" s="635"/>
      <c r="B203" s="636"/>
      <c r="C203" s="636"/>
      <c r="D203" s="636"/>
      <c r="E203" s="700"/>
      <c r="F203" s="701"/>
    </row>
    <row r="204" spans="1:6" s="639" customFormat="1" ht="12.75" customHeight="1" x14ac:dyDescent="0.25">
      <c r="A204" s="635"/>
      <c r="B204" s="636"/>
      <c r="C204" s="636"/>
      <c r="D204" s="636"/>
      <c r="E204" s="700"/>
      <c r="F204" s="701"/>
    </row>
    <row r="205" spans="1:6" s="639" customFormat="1" ht="12.75" customHeight="1" x14ac:dyDescent="0.25">
      <c r="A205" s="635"/>
      <c r="B205" s="636"/>
      <c r="C205" s="636"/>
      <c r="D205" s="636"/>
      <c r="E205" s="700"/>
      <c r="F205" s="701"/>
    </row>
    <row r="206" spans="1:6" s="639" customFormat="1" ht="12.75" customHeight="1" x14ac:dyDescent="0.25">
      <c r="A206" s="635"/>
      <c r="B206" s="636"/>
      <c r="C206" s="636"/>
      <c r="D206" s="636"/>
      <c r="E206" s="700"/>
      <c r="F206" s="701"/>
    </row>
    <row r="207" spans="1:6" s="639" customFormat="1" ht="12.75" customHeight="1" x14ac:dyDescent="0.25">
      <c r="A207" s="635"/>
      <c r="B207" s="636"/>
      <c r="C207" s="636"/>
      <c r="D207" s="636"/>
      <c r="E207" s="700"/>
      <c r="F207" s="701"/>
    </row>
    <row r="208" spans="1:6" s="639" customFormat="1" ht="12.75" customHeight="1" x14ac:dyDescent="0.25">
      <c r="A208" s="635"/>
      <c r="B208" s="636"/>
      <c r="C208" s="636"/>
      <c r="D208" s="636"/>
      <c r="E208" s="700"/>
      <c r="F208" s="701"/>
    </row>
    <row r="209" spans="1:6" s="639" customFormat="1" ht="12.75" customHeight="1" x14ac:dyDescent="0.25">
      <c r="A209" s="635"/>
      <c r="B209" s="636"/>
      <c r="C209" s="636"/>
      <c r="D209" s="636"/>
      <c r="E209" s="700"/>
      <c r="F209" s="701"/>
    </row>
    <row r="210" spans="1:6" s="639" customFormat="1" ht="12.75" customHeight="1" x14ac:dyDescent="0.25">
      <c r="A210" s="635"/>
      <c r="B210" s="636"/>
      <c r="C210" s="636"/>
      <c r="D210" s="636"/>
      <c r="E210" s="700"/>
      <c r="F210" s="701"/>
    </row>
    <row r="211" spans="1:6" s="639" customFormat="1" ht="12.75" customHeight="1" x14ac:dyDescent="0.25">
      <c r="A211" s="635"/>
      <c r="B211" s="636"/>
      <c r="C211" s="636"/>
      <c r="D211" s="636"/>
      <c r="E211" s="700"/>
      <c r="F211" s="701"/>
    </row>
    <row r="212" spans="1:6" s="639" customFormat="1" ht="12.75" customHeight="1" x14ac:dyDescent="0.25">
      <c r="A212" s="635"/>
      <c r="B212" s="636"/>
      <c r="C212" s="636"/>
      <c r="D212" s="636"/>
      <c r="E212" s="700"/>
      <c r="F212" s="701"/>
    </row>
    <row r="213" spans="1:6" s="639" customFormat="1" ht="12.75" customHeight="1" x14ac:dyDescent="0.25">
      <c r="A213" s="635"/>
      <c r="B213" s="636"/>
      <c r="C213" s="636"/>
      <c r="D213" s="636"/>
      <c r="E213" s="700"/>
      <c r="F213" s="701"/>
    </row>
    <row r="214" spans="1:6" s="639" customFormat="1" ht="12.75" customHeight="1" x14ac:dyDescent="0.25">
      <c r="A214" s="635"/>
      <c r="B214" s="636"/>
      <c r="C214" s="636"/>
      <c r="D214" s="636"/>
      <c r="E214" s="700"/>
      <c r="F214" s="701"/>
    </row>
    <row r="215" spans="1:6" s="639" customFormat="1" ht="12.75" customHeight="1" x14ac:dyDescent="0.25">
      <c r="A215" s="635"/>
      <c r="B215" s="636"/>
      <c r="C215" s="636"/>
      <c r="D215" s="636"/>
      <c r="E215" s="700"/>
      <c r="F215" s="701"/>
    </row>
    <row r="216" spans="1:6" s="639" customFormat="1" ht="12.75" customHeight="1" x14ac:dyDescent="0.25">
      <c r="A216" s="635"/>
      <c r="B216" s="636"/>
      <c r="C216" s="636"/>
      <c r="D216" s="636"/>
      <c r="E216" s="700"/>
      <c r="F216" s="701"/>
    </row>
    <row r="217" spans="1:6" s="639" customFormat="1" ht="12.75" customHeight="1" x14ac:dyDescent="0.25">
      <c r="A217" s="635"/>
      <c r="B217" s="636"/>
      <c r="C217" s="636"/>
      <c r="D217" s="636"/>
      <c r="E217" s="700"/>
      <c r="F217" s="701"/>
    </row>
    <row r="218" spans="1:6" s="639" customFormat="1" ht="12.75" customHeight="1" x14ac:dyDescent="0.25">
      <c r="A218" s="635"/>
      <c r="B218" s="636"/>
      <c r="C218" s="636"/>
      <c r="D218" s="636"/>
      <c r="E218" s="700"/>
      <c r="F218" s="701"/>
    </row>
    <row r="219" spans="1:6" s="639" customFormat="1" ht="12.75" customHeight="1" x14ac:dyDescent="0.25">
      <c r="A219" s="635"/>
      <c r="B219" s="636"/>
      <c r="C219" s="636"/>
      <c r="D219" s="636"/>
      <c r="E219" s="700"/>
      <c r="F219" s="701"/>
    </row>
    <row r="220" spans="1:6" s="639" customFormat="1" ht="12.75" customHeight="1" x14ac:dyDescent="0.25">
      <c r="A220" s="635"/>
      <c r="B220" s="636"/>
      <c r="C220" s="636"/>
      <c r="D220" s="636"/>
      <c r="E220" s="700"/>
      <c r="F220" s="701"/>
    </row>
    <row r="221" spans="1:6" s="639" customFormat="1" ht="12.75" customHeight="1" x14ac:dyDescent="0.25">
      <c r="A221" s="635"/>
      <c r="B221" s="636"/>
      <c r="C221" s="636"/>
      <c r="D221" s="636"/>
      <c r="E221" s="700"/>
      <c r="F221" s="701"/>
    </row>
    <row r="222" spans="1:6" s="639" customFormat="1" ht="12.75" customHeight="1" x14ac:dyDescent="0.25">
      <c r="A222" s="635"/>
      <c r="B222" s="636"/>
      <c r="C222" s="636"/>
      <c r="D222" s="636"/>
      <c r="E222" s="700"/>
      <c r="F222" s="701"/>
    </row>
    <row r="223" spans="1:6" s="639" customFormat="1" ht="12.75" customHeight="1" x14ac:dyDescent="0.25">
      <c r="A223" s="635"/>
      <c r="B223" s="636"/>
      <c r="C223" s="636"/>
      <c r="D223" s="636"/>
      <c r="E223" s="700"/>
      <c r="F223" s="701"/>
    </row>
    <row r="224" spans="1:6" s="639" customFormat="1" ht="12.75" customHeight="1" x14ac:dyDescent="0.25">
      <c r="A224" s="635"/>
      <c r="B224" s="636"/>
      <c r="C224" s="636"/>
      <c r="D224" s="636"/>
      <c r="E224" s="700"/>
      <c r="F224" s="701"/>
    </row>
    <row r="225" spans="1:6" s="639" customFormat="1" ht="12.75" customHeight="1" x14ac:dyDescent="0.25">
      <c r="A225" s="635"/>
      <c r="B225" s="636"/>
      <c r="C225" s="636"/>
      <c r="D225" s="636"/>
      <c r="E225" s="700"/>
      <c r="F225" s="701"/>
    </row>
    <row r="226" spans="1:6" s="639" customFormat="1" ht="12.75" customHeight="1" x14ac:dyDescent="0.25">
      <c r="A226" s="635"/>
      <c r="B226" s="636"/>
      <c r="C226" s="636"/>
      <c r="D226" s="636"/>
      <c r="E226" s="700"/>
      <c r="F226" s="701"/>
    </row>
    <row r="227" spans="1:6" s="639" customFormat="1" ht="12.75" customHeight="1" x14ac:dyDescent="0.25">
      <c r="A227" s="635"/>
      <c r="B227" s="636"/>
      <c r="C227" s="636"/>
      <c r="D227" s="636"/>
      <c r="E227" s="700"/>
      <c r="F227" s="701"/>
    </row>
    <row r="228" spans="1:6" s="639" customFormat="1" ht="12.75" customHeight="1" x14ac:dyDescent="0.25">
      <c r="A228" s="635"/>
      <c r="B228" s="636"/>
      <c r="C228" s="636"/>
      <c r="D228" s="636"/>
      <c r="E228" s="700"/>
      <c r="F228" s="701"/>
    </row>
    <row r="229" spans="1:6" s="639" customFormat="1" ht="12.75" customHeight="1" x14ac:dyDescent="0.25">
      <c r="A229" s="635"/>
      <c r="B229" s="636"/>
      <c r="C229" s="636"/>
      <c r="D229" s="636"/>
      <c r="E229" s="700"/>
      <c r="F229" s="701"/>
    </row>
    <row r="230" spans="1:6" s="639" customFormat="1" ht="12.75" customHeight="1" x14ac:dyDescent="0.25">
      <c r="A230" s="635"/>
      <c r="B230" s="636"/>
      <c r="C230" s="636"/>
      <c r="D230" s="636"/>
      <c r="E230" s="700"/>
      <c r="F230" s="701"/>
    </row>
    <row r="231" spans="1:6" s="639" customFormat="1" ht="12.75" customHeight="1" x14ac:dyDescent="0.25">
      <c r="A231" s="635"/>
      <c r="B231" s="636"/>
      <c r="C231" s="636"/>
      <c r="D231" s="636"/>
      <c r="E231" s="700"/>
      <c r="F231" s="701"/>
    </row>
    <row r="232" spans="1:6" s="639" customFormat="1" ht="12.75" customHeight="1" x14ac:dyDescent="0.25">
      <c r="A232" s="635"/>
      <c r="B232" s="636"/>
      <c r="C232" s="636"/>
      <c r="D232" s="636"/>
      <c r="E232" s="700"/>
      <c r="F232" s="701"/>
    </row>
    <row r="233" spans="1:6" s="639" customFormat="1" ht="12.75" customHeight="1" x14ac:dyDescent="0.25">
      <c r="A233" s="635"/>
      <c r="B233" s="636"/>
      <c r="C233" s="636"/>
      <c r="D233" s="636"/>
      <c r="E233" s="700"/>
      <c r="F233" s="701"/>
    </row>
    <row r="234" spans="1:6" s="639" customFormat="1" ht="12.75" customHeight="1" x14ac:dyDescent="0.25">
      <c r="A234" s="635"/>
      <c r="B234" s="636"/>
      <c r="C234" s="636"/>
      <c r="D234" s="636"/>
      <c r="E234" s="700"/>
      <c r="F234" s="701"/>
    </row>
    <row r="235" spans="1:6" s="639" customFormat="1" ht="12.75" customHeight="1" x14ac:dyDescent="0.25">
      <c r="A235" s="635"/>
      <c r="B235" s="636"/>
      <c r="C235" s="636"/>
      <c r="D235" s="636"/>
      <c r="E235" s="700"/>
      <c r="F235" s="701"/>
    </row>
    <row r="236" spans="1:6" s="639" customFormat="1" ht="12.75" customHeight="1" x14ac:dyDescent="0.25">
      <c r="A236" s="635"/>
      <c r="B236" s="636"/>
      <c r="C236" s="636"/>
      <c r="D236" s="636"/>
      <c r="E236" s="700"/>
      <c r="F236" s="701"/>
    </row>
    <row r="237" spans="1:6" s="639" customFormat="1" ht="12.75" customHeight="1" x14ac:dyDescent="0.25">
      <c r="A237" s="635"/>
      <c r="B237" s="636"/>
      <c r="C237" s="636"/>
      <c r="D237" s="636"/>
      <c r="E237" s="700"/>
      <c r="F237" s="701"/>
    </row>
    <row r="238" spans="1:6" s="639" customFormat="1" ht="12.75" customHeight="1" x14ac:dyDescent="0.25">
      <c r="A238" s="635"/>
      <c r="B238" s="636"/>
      <c r="C238" s="636"/>
      <c r="D238" s="636"/>
      <c r="E238" s="700"/>
      <c r="F238" s="701"/>
    </row>
    <row r="239" spans="1:6" s="639" customFormat="1" ht="12.75" customHeight="1" x14ac:dyDescent="0.25">
      <c r="A239" s="635"/>
      <c r="B239" s="636"/>
      <c r="C239" s="636"/>
      <c r="D239" s="636"/>
      <c r="E239" s="700"/>
      <c r="F239" s="701"/>
    </row>
    <row r="240" spans="1:6" s="639" customFormat="1" ht="12.75" customHeight="1" x14ac:dyDescent="0.25">
      <c r="A240" s="635"/>
      <c r="B240" s="636"/>
      <c r="C240" s="636"/>
      <c r="D240" s="636"/>
      <c r="E240" s="700"/>
      <c r="F240" s="701"/>
    </row>
    <row r="241" spans="1:6" s="639" customFormat="1" ht="12.75" customHeight="1" x14ac:dyDescent="0.25">
      <c r="A241" s="635"/>
      <c r="B241" s="636"/>
      <c r="C241" s="636"/>
      <c r="D241" s="636"/>
      <c r="E241" s="700"/>
      <c r="F241" s="701"/>
    </row>
    <row r="242" spans="1:6" s="639" customFormat="1" ht="12.75" customHeight="1" x14ac:dyDescent="0.25">
      <c r="A242" s="635"/>
      <c r="B242" s="636"/>
      <c r="C242" s="636"/>
      <c r="D242" s="636"/>
      <c r="E242" s="700"/>
      <c r="F242" s="701"/>
    </row>
    <row r="243" spans="1:6" s="639" customFormat="1" ht="12.75" customHeight="1" x14ac:dyDescent="0.25">
      <c r="A243" s="635"/>
      <c r="B243" s="636"/>
      <c r="C243" s="636"/>
      <c r="D243" s="636"/>
      <c r="E243" s="700"/>
      <c r="F243" s="701"/>
    </row>
    <row r="244" spans="1:6" s="639" customFormat="1" ht="12.75" customHeight="1" x14ac:dyDescent="0.25">
      <c r="A244" s="635"/>
      <c r="B244" s="636"/>
      <c r="C244" s="636"/>
      <c r="D244" s="636"/>
      <c r="E244" s="700"/>
      <c r="F244" s="701"/>
    </row>
    <row r="245" spans="1:6" s="639" customFormat="1" ht="12.75" customHeight="1" x14ac:dyDescent="0.25">
      <c r="A245" s="635"/>
      <c r="B245" s="636"/>
      <c r="C245" s="636"/>
      <c r="D245" s="636"/>
      <c r="E245" s="700"/>
      <c r="F245" s="701"/>
    </row>
    <row r="246" spans="1:6" s="639" customFormat="1" ht="12.75" customHeight="1" x14ac:dyDescent="0.25">
      <c r="A246" s="635"/>
      <c r="B246" s="636"/>
      <c r="C246" s="636"/>
      <c r="D246" s="636"/>
      <c r="E246" s="700"/>
      <c r="F246" s="701"/>
    </row>
    <row r="247" spans="1:6" s="639" customFormat="1" ht="12.75" customHeight="1" x14ac:dyDescent="0.25">
      <c r="A247" s="635"/>
      <c r="B247" s="636"/>
      <c r="C247" s="636"/>
      <c r="D247" s="636"/>
      <c r="E247" s="700"/>
      <c r="F247" s="701"/>
    </row>
    <row r="248" spans="1:6" s="639" customFormat="1" ht="12.75" customHeight="1" x14ac:dyDescent="0.25">
      <c r="A248" s="635"/>
      <c r="B248" s="636"/>
      <c r="C248" s="636"/>
      <c r="D248" s="636"/>
      <c r="E248" s="700"/>
      <c r="F248" s="701"/>
    </row>
    <row r="249" spans="1:6" s="639" customFormat="1" ht="12.75" customHeight="1" x14ac:dyDescent="0.25">
      <c r="A249" s="635"/>
      <c r="B249" s="636"/>
      <c r="C249" s="636"/>
      <c r="D249" s="636"/>
      <c r="E249" s="700"/>
      <c r="F249" s="701"/>
    </row>
    <row r="250" spans="1:6" s="639" customFormat="1" ht="12.75" customHeight="1" x14ac:dyDescent="0.25">
      <c r="A250" s="635"/>
      <c r="B250" s="636"/>
      <c r="C250" s="636"/>
      <c r="D250" s="636"/>
      <c r="E250" s="700"/>
      <c r="F250" s="701"/>
    </row>
    <row r="251" spans="1:6" s="639" customFormat="1" ht="12.75" customHeight="1" x14ac:dyDescent="0.25">
      <c r="A251" s="635"/>
      <c r="B251" s="636"/>
      <c r="C251" s="636"/>
      <c r="D251" s="636"/>
      <c r="E251" s="700"/>
      <c r="F251" s="701"/>
    </row>
    <row r="252" spans="1:6" s="639" customFormat="1" ht="12.75" customHeight="1" x14ac:dyDescent="0.25">
      <c r="A252" s="635"/>
      <c r="B252" s="636"/>
      <c r="C252" s="636"/>
      <c r="D252" s="636"/>
      <c r="E252" s="700"/>
      <c r="F252" s="701"/>
    </row>
    <row r="253" spans="1:6" s="639" customFormat="1" ht="12.75" customHeight="1" x14ac:dyDescent="0.25">
      <c r="A253" s="635"/>
      <c r="B253" s="636"/>
      <c r="C253" s="636"/>
      <c r="D253" s="636"/>
      <c r="E253" s="700"/>
      <c r="F253" s="701"/>
    </row>
    <row r="254" spans="1:6" s="639" customFormat="1" ht="12.75" customHeight="1" x14ac:dyDescent="0.25">
      <c r="A254" s="635"/>
      <c r="B254" s="636"/>
      <c r="C254" s="636"/>
      <c r="D254" s="636"/>
      <c r="E254" s="700"/>
      <c r="F254" s="701"/>
    </row>
    <row r="255" spans="1:6" s="639" customFormat="1" ht="12.75" customHeight="1" x14ac:dyDescent="0.25">
      <c r="A255" s="635"/>
      <c r="B255" s="636"/>
      <c r="C255" s="636"/>
      <c r="D255" s="636"/>
      <c r="E255" s="700"/>
      <c r="F255" s="701"/>
    </row>
    <row r="256" spans="1:6" s="639" customFormat="1" ht="12.75" customHeight="1" x14ac:dyDescent="0.25">
      <c r="A256" s="635"/>
      <c r="B256" s="636"/>
      <c r="C256" s="636"/>
      <c r="D256" s="636"/>
      <c r="E256" s="700"/>
      <c r="F256" s="701"/>
    </row>
    <row r="257" spans="1:6" s="639" customFormat="1" ht="12.75" customHeight="1" x14ac:dyDescent="0.25">
      <c r="A257" s="635"/>
      <c r="B257" s="636"/>
      <c r="C257" s="636"/>
      <c r="D257" s="636"/>
      <c r="E257" s="700"/>
      <c r="F257" s="701"/>
    </row>
    <row r="258" spans="1:6" s="639" customFormat="1" ht="12.75" customHeight="1" x14ac:dyDescent="0.25">
      <c r="A258" s="635"/>
      <c r="B258" s="636"/>
      <c r="C258" s="636"/>
      <c r="D258" s="636"/>
      <c r="E258" s="700"/>
      <c r="F258" s="701"/>
    </row>
    <row r="259" spans="1:6" s="639" customFormat="1" ht="12.75" customHeight="1" x14ac:dyDescent="0.25">
      <c r="A259" s="635"/>
      <c r="B259" s="636"/>
      <c r="C259" s="636"/>
      <c r="D259" s="636"/>
      <c r="E259" s="700"/>
      <c r="F259" s="701"/>
    </row>
    <row r="260" spans="1:6" s="639" customFormat="1" ht="12.75" customHeight="1" x14ac:dyDescent="0.25">
      <c r="A260" s="635"/>
      <c r="B260" s="636"/>
      <c r="C260" s="636"/>
      <c r="D260" s="636"/>
      <c r="E260" s="700"/>
      <c r="F260" s="701"/>
    </row>
    <row r="261" spans="1:6" s="639" customFormat="1" ht="12.75" customHeight="1" x14ac:dyDescent="0.25">
      <c r="A261" s="635"/>
      <c r="B261" s="636"/>
      <c r="C261" s="636"/>
      <c r="D261" s="636"/>
      <c r="E261" s="700"/>
      <c r="F261" s="701"/>
    </row>
    <row r="262" spans="1:6" s="639" customFormat="1" ht="12.75" customHeight="1" x14ac:dyDescent="0.25">
      <c r="A262" s="635"/>
      <c r="B262" s="636"/>
      <c r="C262" s="636"/>
      <c r="D262" s="636"/>
      <c r="E262" s="700"/>
      <c r="F262" s="701"/>
    </row>
    <row r="263" spans="1:6" s="639" customFormat="1" ht="12.75" customHeight="1" x14ac:dyDescent="0.25">
      <c r="A263" s="635"/>
      <c r="B263" s="636"/>
      <c r="C263" s="636"/>
      <c r="D263" s="636"/>
      <c r="E263" s="700"/>
      <c r="F263" s="701"/>
    </row>
    <row r="264" spans="1:6" s="639" customFormat="1" ht="12.75" customHeight="1" x14ac:dyDescent="0.25">
      <c r="A264" s="635"/>
      <c r="B264" s="636"/>
      <c r="C264" s="636"/>
      <c r="D264" s="636"/>
      <c r="E264" s="700"/>
      <c r="F264" s="701"/>
    </row>
    <row r="265" spans="1:6" s="639" customFormat="1" ht="12.75" customHeight="1" x14ac:dyDescent="0.25">
      <c r="A265" s="635"/>
      <c r="B265" s="636"/>
      <c r="C265" s="636"/>
      <c r="D265" s="636"/>
      <c r="E265" s="700"/>
      <c r="F265" s="701"/>
    </row>
    <row r="266" spans="1:6" s="639" customFormat="1" ht="12.75" customHeight="1" x14ac:dyDescent="0.25">
      <c r="A266" s="635"/>
      <c r="B266" s="636"/>
      <c r="C266" s="636"/>
      <c r="D266" s="636"/>
      <c r="E266" s="700"/>
      <c r="F266" s="701"/>
    </row>
    <row r="267" spans="1:6" s="639" customFormat="1" ht="12.75" customHeight="1" x14ac:dyDescent="0.25">
      <c r="A267" s="635"/>
      <c r="B267" s="636"/>
      <c r="C267" s="636"/>
      <c r="D267" s="636"/>
      <c r="E267" s="700"/>
      <c r="F267" s="701"/>
    </row>
    <row r="268" spans="1:6" s="639" customFormat="1" ht="12.75" customHeight="1" x14ac:dyDescent="0.25">
      <c r="A268" s="635"/>
      <c r="B268" s="636"/>
      <c r="C268" s="636"/>
      <c r="D268" s="636"/>
      <c r="E268" s="700"/>
      <c r="F268" s="701"/>
    </row>
    <row r="269" spans="1:6" s="639" customFormat="1" ht="12.75" customHeight="1" x14ac:dyDescent="0.25">
      <c r="A269" s="635"/>
      <c r="B269" s="636"/>
      <c r="C269" s="636"/>
      <c r="D269" s="636"/>
      <c r="E269" s="700"/>
      <c r="F269" s="701"/>
    </row>
    <row r="270" spans="1:6" s="639" customFormat="1" ht="12.75" customHeight="1" x14ac:dyDescent="0.25">
      <c r="A270" s="635"/>
      <c r="B270" s="636"/>
      <c r="C270" s="636"/>
      <c r="D270" s="636"/>
      <c r="E270" s="700"/>
      <c r="F270" s="701"/>
    </row>
    <row r="271" spans="1:6" s="639" customFormat="1" ht="12.75" customHeight="1" x14ac:dyDescent="0.25">
      <c r="A271" s="635"/>
      <c r="B271" s="636"/>
      <c r="C271" s="636"/>
      <c r="D271" s="636"/>
      <c r="E271" s="700"/>
      <c r="F271" s="701"/>
    </row>
    <row r="272" spans="1:6" s="639" customFormat="1" ht="12.75" customHeight="1" x14ac:dyDescent="0.25">
      <c r="A272" s="635"/>
      <c r="B272" s="636"/>
      <c r="C272" s="636"/>
      <c r="D272" s="636"/>
      <c r="E272" s="700"/>
      <c r="F272" s="701"/>
    </row>
    <row r="273" spans="1:6" s="639" customFormat="1" ht="12.75" customHeight="1" x14ac:dyDescent="0.25">
      <c r="A273" s="635"/>
      <c r="B273" s="636"/>
      <c r="C273" s="636"/>
      <c r="D273" s="636"/>
      <c r="E273" s="700"/>
      <c r="F273" s="701"/>
    </row>
    <row r="274" spans="1:6" s="639" customFormat="1" ht="12.75" customHeight="1" x14ac:dyDescent="0.25">
      <c r="A274" s="635"/>
      <c r="B274" s="636"/>
      <c r="C274" s="636"/>
      <c r="D274" s="636"/>
      <c r="E274" s="700"/>
      <c r="F274" s="701"/>
    </row>
    <row r="275" spans="1:6" s="639" customFormat="1" ht="12.75" customHeight="1" x14ac:dyDescent="0.25">
      <c r="A275" s="635"/>
      <c r="B275" s="636"/>
      <c r="C275" s="636"/>
      <c r="D275" s="636"/>
      <c r="E275" s="700"/>
      <c r="F275" s="701"/>
    </row>
    <row r="276" spans="1:6" s="639" customFormat="1" ht="12.75" customHeight="1" x14ac:dyDescent="0.25">
      <c r="A276" s="635"/>
      <c r="B276" s="636"/>
      <c r="C276" s="636"/>
      <c r="D276" s="636"/>
      <c r="E276" s="700"/>
      <c r="F276" s="701"/>
    </row>
    <row r="277" spans="1:6" s="639" customFormat="1" ht="12.75" customHeight="1" x14ac:dyDescent="0.25">
      <c r="A277" s="635"/>
      <c r="B277" s="636"/>
      <c r="C277" s="636"/>
      <c r="D277" s="636"/>
      <c r="E277" s="700"/>
      <c r="F277" s="701"/>
    </row>
    <row r="278" spans="1:6" s="639" customFormat="1" ht="12.75" customHeight="1" x14ac:dyDescent="0.25">
      <c r="A278" s="635"/>
      <c r="B278" s="636"/>
      <c r="C278" s="636"/>
      <c r="D278" s="636"/>
      <c r="E278" s="700"/>
      <c r="F278" s="701"/>
    </row>
    <row r="279" spans="1:6" s="639" customFormat="1" ht="12.75" customHeight="1" x14ac:dyDescent="0.25">
      <c r="A279" s="635"/>
      <c r="B279" s="636"/>
      <c r="C279" s="636"/>
      <c r="D279" s="636"/>
      <c r="E279" s="700"/>
      <c r="F279" s="701"/>
    </row>
    <row r="280" spans="1:6" s="639" customFormat="1" ht="12.75" customHeight="1" x14ac:dyDescent="0.25">
      <c r="A280" s="635"/>
      <c r="B280" s="636"/>
      <c r="C280" s="636"/>
      <c r="D280" s="636"/>
      <c r="E280" s="700"/>
      <c r="F280" s="701"/>
    </row>
    <row r="281" spans="1:6" s="639" customFormat="1" ht="12.75" customHeight="1" x14ac:dyDescent="0.25">
      <c r="A281" s="635"/>
      <c r="B281" s="636"/>
      <c r="C281" s="636"/>
      <c r="D281" s="636"/>
      <c r="E281" s="700"/>
      <c r="F281" s="701"/>
    </row>
    <row r="282" spans="1:6" s="639" customFormat="1" ht="12.75" customHeight="1" x14ac:dyDescent="0.25">
      <c r="A282" s="635"/>
      <c r="B282" s="636"/>
      <c r="C282" s="636"/>
      <c r="D282" s="636"/>
      <c r="E282" s="700"/>
      <c r="F282" s="701"/>
    </row>
    <row r="283" spans="1:6" s="639" customFormat="1" ht="12.75" customHeight="1" x14ac:dyDescent="0.25">
      <c r="A283" s="635"/>
      <c r="B283" s="636"/>
      <c r="C283" s="636"/>
      <c r="D283" s="636"/>
      <c r="E283" s="700"/>
      <c r="F283" s="701"/>
    </row>
    <row r="284" spans="1:6" s="639" customFormat="1" ht="12.75" customHeight="1" x14ac:dyDescent="0.25">
      <c r="A284" s="635"/>
      <c r="B284" s="636"/>
      <c r="C284" s="636"/>
      <c r="D284" s="636"/>
      <c r="E284" s="700"/>
      <c r="F284" s="701"/>
    </row>
    <row r="285" spans="1:6" s="639" customFormat="1" ht="12.75" customHeight="1" x14ac:dyDescent="0.25">
      <c r="A285" s="635"/>
      <c r="B285" s="636"/>
      <c r="C285" s="636"/>
      <c r="D285" s="636"/>
      <c r="E285" s="700"/>
      <c r="F285" s="701"/>
    </row>
    <row r="286" spans="1:6" s="639" customFormat="1" ht="12.75" customHeight="1" x14ac:dyDescent="0.25">
      <c r="A286" s="635"/>
      <c r="B286" s="636"/>
      <c r="C286" s="636"/>
      <c r="D286" s="636"/>
      <c r="E286" s="700"/>
      <c r="F286" s="701"/>
    </row>
    <row r="287" spans="1:6" s="639" customFormat="1" ht="12.75" customHeight="1" x14ac:dyDescent="0.25">
      <c r="A287" s="635"/>
      <c r="B287" s="636"/>
      <c r="C287" s="636"/>
      <c r="D287" s="636"/>
      <c r="E287" s="700"/>
      <c r="F287" s="701"/>
    </row>
    <row r="288" spans="1:6" s="639" customFormat="1" ht="12.75" customHeight="1" x14ac:dyDescent="0.25">
      <c r="A288" s="635"/>
      <c r="B288" s="636"/>
      <c r="C288" s="636"/>
      <c r="D288" s="636"/>
      <c r="E288" s="700"/>
      <c r="F288" s="701"/>
    </row>
    <row r="289" spans="1:6" s="639" customFormat="1" ht="12.75" customHeight="1" x14ac:dyDescent="0.25">
      <c r="A289" s="635"/>
      <c r="B289" s="636"/>
      <c r="C289" s="636"/>
      <c r="D289" s="636"/>
      <c r="E289" s="700"/>
      <c r="F289" s="701"/>
    </row>
    <row r="290" spans="1:6" s="639" customFormat="1" ht="12.75" customHeight="1" x14ac:dyDescent="0.25">
      <c r="A290" s="635"/>
      <c r="B290" s="636"/>
      <c r="C290" s="636"/>
      <c r="D290" s="636"/>
      <c r="E290" s="700"/>
      <c r="F290" s="701"/>
    </row>
    <row r="291" spans="1:6" s="639" customFormat="1" ht="12.75" customHeight="1" x14ac:dyDescent="0.25">
      <c r="A291" s="635"/>
      <c r="B291" s="636"/>
      <c r="C291" s="636"/>
      <c r="D291" s="636"/>
      <c r="E291" s="700"/>
      <c r="F291" s="701"/>
    </row>
    <row r="292" spans="1:6" s="639" customFormat="1" ht="12.75" customHeight="1" x14ac:dyDescent="0.25">
      <c r="A292" s="635"/>
      <c r="B292" s="636"/>
      <c r="C292" s="636"/>
      <c r="D292" s="636"/>
      <c r="E292" s="700"/>
      <c r="F292" s="701"/>
    </row>
    <row r="293" spans="1:6" s="639" customFormat="1" ht="12.75" customHeight="1" x14ac:dyDescent="0.25">
      <c r="A293" s="635"/>
      <c r="B293" s="636"/>
      <c r="C293" s="636"/>
      <c r="D293" s="636"/>
      <c r="E293" s="700"/>
      <c r="F293" s="701"/>
    </row>
    <row r="294" spans="1:6" s="639" customFormat="1" ht="12.75" customHeight="1" x14ac:dyDescent="0.25">
      <c r="A294" s="635"/>
      <c r="B294" s="636"/>
      <c r="C294" s="636"/>
      <c r="D294" s="636"/>
      <c r="E294" s="700"/>
      <c r="F294" s="701"/>
    </row>
    <row r="295" spans="1:6" s="639" customFormat="1" ht="12.75" customHeight="1" x14ac:dyDescent="0.25">
      <c r="A295" s="635"/>
      <c r="B295" s="636"/>
      <c r="C295" s="636"/>
      <c r="D295" s="636"/>
      <c r="E295" s="700"/>
      <c r="F295" s="701"/>
    </row>
    <row r="296" spans="1:6" s="639" customFormat="1" ht="12.75" customHeight="1" x14ac:dyDescent="0.25">
      <c r="A296" s="635"/>
      <c r="B296" s="636"/>
      <c r="C296" s="636"/>
      <c r="D296" s="636"/>
      <c r="E296" s="700"/>
      <c r="F296" s="701"/>
    </row>
    <row r="297" spans="1:6" s="639" customFormat="1" ht="12.75" customHeight="1" x14ac:dyDescent="0.25">
      <c r="A297" s="635"/>
      <c r="B297" s="636"/>
      <c r="C297" s="636"/>
      <c r="D297" s="636"/>
      <c r="E297" s="700"/>
      <c r="F297" s="701"/>
    </row>
    <row r="298" spans="1:6" s="639" customFormat="1" ht="12.75" customHeight="1" x14ac:dyDescent="0.25">
      <c r="A298" s="635"/>
      <c r="B298" s="636"/>
      <c r="C298" s="636"/>
      <c r="D298" s="636"/>
      <c r="E298" s="700"/>
      <c r="F298" s="701"/>
    </row>
    <row r="299" spans="1:6" s="639" customFormat="1" ht="12.75" customHeight="1" x14ac:dyDescent="0.25">
      <c r="A299" s="635"/>
      <c r="B299" s="636"/>
      <c r="C299" s="636"/>
      <c r="D299" s="636"/>
      <c r="E299" s="700"/>
      <c r="F299" s="701"/>
    </row>
    <row r="300" spans="1:6" s="639" customFormat="1" ht="12.75" customHeight="1" x14ac:dyDescent="0.25">
      <c r="A300" s="635"/>
      <c r="B300" s="636"/>
      <c r="C300" s="636"/>
      <c r="D300" s="636"/>
      <c r="E300" s="700"/>
      <c r="F300" s="701"/>
    </row>
    <row r="301" spans="1:6" s="639" customFormat="1" ht="12.75" customHeight="1" x14ac:dyDescent="0.25">
      <c r="A301" s="635"/>
      <c r="B301" s="636"/>
      <c r="C301" s="636"/>
      <c r="D301" s="636"/>
      <c r="E301" s="700"/>
      <c r="F301" s="701"/>
    </row>
    <row r="302" spans="1:6" s="639" customFormat="1" ht="12.75" customHeight="1" x14ac:dyDescent="0.25">
      <c r="A302" s="635"/>
      <c r="B302" s="636"/>
      <c r="C302" s="636"/>
      <c r="D302" s="636"/>
      <c r="E302" s="700"/>
      <c r="F302" s="701"/>
    </row>
    <row r="303" spans="1:6" s="639" customFormat="1" ht="12.75" customHeight="1" x14ac:dyDescent="0.25">
      <c r="A303" s="635"/>
      <c r="B303" s="636"/>
      <c r="C303" s="636"/>
      <c r="D303" s="636"/>
      <c r="E303" s="700"/>
      <c r="F303" s="701"/>
    </row>
    <row r="304" spans="1:6" s="639" customFormat="1" ht="12.75" customHeight="1" x14ac:dyDescent="0.25">
      <c r="A304" s="635"/>
      <c r="B304" s="636"/>
      <c r="C304" s="636"/>
      <c r="D304" s="636"/>
      <c r="E304" s="700"/>
      <c r="F304" s="701"/>
    </row>
    <row r="305" spans="1:6" s="639" customFormat="1" ht="12.75" customHeight="1" x14ac:dyDescent="0.25">
      <c r="A305" s="635"/>
      <c r="B305" s="636"/>
      <c r="C305" s="636"/>
      <c r="D305" s="636"/>
      <c r="E305" s="700"/>
      <c r="F305" s="701"/>
    </row>
    <row r="306" spans="1:6" s="639" customFormat="1" ht="12.75" customHeight="1" x14ac:dyDescent="0.25">
      <c r="A306" s="635"/>
      <c r="B306" s="636"/>
      <c r="C306" s="636"/>
      <c r="D306" s="636"/>
      <c r="E306" s="700"/>
      <c r="F306" s="701"/>
    </row>
    <row r="307" spans="1:6" s="639" customFormat="1" ht="12.75" customHeight="1" x14ac:dyDescent="0.25">
      <c r="A307" s="635"/>
      <c r="B307" s="636"/>
      <c r="C307" s="636"/>
      <c r="D307" s="636"/>
      <c r="E307" s="700"/>
      <c r="F307" s="701"/>
    </row>
    <row r="308" spans="1:6" s="639" customFormat="1" ht="12.75" customHeight="1" x14ac:dyDescent="0.25">
      <c r="A308" s="635"/>
      <c r="B308" s="636"/>
      <c r="C308" s="636"/>
      <c r="D308" s="636"/>
      <c r="E308" s="700"/>
      <c r="F308" s="701"/>
    </row>
    <row r="309" spans="1:6" s="639" customFormat="1" ht="12.75" customHeight="1" x14ac:dyDescent="0.25">
      <c r="A309" s="635"/>
      <c r="B309" s="636"/>
      <c r="C309" s="636"/>
      <c r="D309" s="636"/>
      <c r="E309" s="700"/>
      <c r="F309" s="701"/>
    </row>
    <row r="310" spans="1:6" s="639" customFormat="1" ht="12.75" customHeight="1" x14ac:dyDescent="0.25">
      <c r="A310" s="635"/>
      <c r="B310" s="636"/>
      <c r="C310" s="636"/>
      <c r="D310" s="636"/>
      <c r="E310" s="700"/>
      <c r="F310" s="701"/>
    </row>
    <row r="311" spans="1:6" s="639" customFormat="1" ht="12.75" customHeight="1" x14ac:dyDescent="0.25">
      <c r="A311" s="635"/>
      <c r="B311" s="636"/>
      <c r="C311" s="636"/>
      <c r="D311" s="636"/>
      <c r="E311" s="700"/>
      <c r="F311" s="701"/>
    </row>
    <row r="312" spans="1:6" s="639" customFormat="1" ht="12.75" customHeight="1" x14ac:dyDescent="0.25">
      <c r="A312" s="635"/>
      <c r="B312" s="636"/>
      <c r="C312" s="636"/>
      <c r="D312" s="636"/>
      <c r="E312" s="700"/>
      <c r="F312" s="701"/>
    </row>
    <row r="313" spans="1:6" s="639" customFormat="1" ht="12.75" customHeight="1" x14ac:dyDescent="0.25">
      <c r="A313" s="635"/>
      <c r="B313" s="636"/>
      <c r="C313" s="636"/>
      <c r="D313" s="636"/>
      <c r="E313" s="700"/>
      <c r="F313" s="701"/>
    </row>
    <row r="314" spans="1:6" s="639" customFormat="1" ht="12.75" customHeight="1" x14ac:dyDescent="0.25">
      <c r="A314" s="635"/>
      <c r="B314" s="636"/>
      <c r="C314" s="636"/>
      <c r="D314" s="636"/>
      <c r="E314" s="700"/>
      <c r="F314" s="701"/>
    </row>
    <row r="315" spans="1:6" s="639" customFormat="1" ht="12.75" customHeight="1" x14ac:dyDescent="0.25">
      <c r="A315" s="635"/>
      <c r="B315" s="636"/>
      <c r="C315" s="636"/>
      <c r="D315" s="636"/>
      <c r="E315" s="700"/>
      <c r="F315" s="701"/>
    </row>
    <row r="316" spans="1:6" s="639" customFormat="1" ht="12.75" customHeight="1" x14ac:dyDescent="0.25">
      <c r="A316" s="635"/>
      <c r="B316" s="636"/>
      <c r="C316" s="636"/>
      <c r="D316" s="636"/>
      <c r="E316" s="700"/>
      <c r="F316" s="701"/>
    </row>
    <row r="317" spans="1:6" s="639" customFormat="1" ht="12.75" customHeight="1" x14ac:dyDescent="0.25">
      <c r="A317" s="635"/>
      <c r="B317" s="636"/>
      <c r="C317" s="636"/>
      <c r="D317" s="636"/>
      <c r="E317" s="700"/>
      <c r="F317" s="701"/>
    </row>
    <row r="318" spans="1:6" s="639" customFormat="1" ht="12.75" customHeight="1" x14ac:dyDescent="0.25">
      <c r="A318" s="635"/>
      <c r="B318" s="636"/>
      <c r="C318" s="636"/>
      <c r="D318" s="636"/>
      <c r="E318" s="700"/>
      <c r="F318" s="701"/>
    </row>
    <row r="319" spans="1:6" s="639" customFormat="1" ht="12.75" customHeight="1" x14ac:dyDescent="0.25">
      <c r="A319" s="635"/>
      <c r="B319" s="636"/>
      <c r="C319" s="636"/>
      <c r="D319" s="636"/>
      <c r="E319" s="700"/>
      <c r="F319" s="701"/>
    </row>
    <row r="320" spans="1:6" s="639" customFormat="1" ht="12.75" customHeight="1" x14ac:dyDescent="0.25">
      <c r="A320" s="635"/>
      <c r="B320" s="636"/>
      <c r="C320" s="636"/>
      <c r="D320" s="636"/>
      <c r="E320" s="700"/>
      <c r="F320" s="701"/>
    </row>
    <row r="321" spans="1:6" s="639" customFormat="1" ht="12.75" customHeight="1" x14ac:dyDescent="0.25">
      <c r="A321" s="635"/>
      <c r="B321" s="636"/>
      <c r="C321" s="636"/>
      <c r="D321" s="636"/>
      <c r="E321" s="700"/>
      <c r="F321" s="701"/>
    </row>
    <row r="322" spans="1:6" s="639" customFormat="1" ht="12.75" customHeight="1" x14ac:dyDescent="0.25">
      <c r="A322" s="635"/>
      <c r="B322" s="636"/>
      <c r="C322" s="636"/>
      <c r="D322" s="636"/>
      <c r="E322" s="700"/>
      <c r="F322" s="701"/>
    </row>
    <row r="323" spans="1:6" s="639" customFormat="1" ht="12.75" customHeight="1" x14ac:dyDescent="0.25">
      <c r="A323" s="635"/>
      <c r="B323" s="636"/>
      <c r="C323" s="636"/>
      <c r="D323" s="636"/>
      <c r="E323" s="700"/>
      <c r="F323" s="701"/>
    </row>
    <row r="324" spans="1:6" s="639" customFormat="1" ht="12.75" customHeight="1" x14ac:dyDescent="0.25">
      <c r="A324" s="635"/>
      <c r="B324" s="636"/>
      <c r="C324" s="636"/>
      <c r="D324" s="636"/>
      <c r="E324" s="700"/>
      <c r="F324" s="701"/>
    </row>
    <row r="325" spans="1:6" s="639" customFormat="1" ht="12.75" customHeight="1" x14ac:dyDescent="0.25">
      <c r="A325" s="635"/>
      <c r="B325" s="636"/>
      <c r="C325" s="636"/>
      <c r="D325" s="636"/>
      <c r="E325" s="700"/>
      <c r="F325" s="701"/>
    </row>
    <row r="326" spans="1:6" s="639" customFormat="1" ht="12.75" customHeight="1" x14ac:dyDescent="0.25">
      <c r="A326" s="635"/>
      <c r="B326" s="636"/>
      <c r="C326" s="636"/>
      <c r="D326" s="636"/>
      <c r="E326" s="700"/>
      <c r="F326" s="701"/>
    </row>
    <row r="327" spans="1:6" s="639" customFormat="1" ht="12.75" customHeight="1" x14ac:dyDescent="0.25">
      <c r="A327" s="635"/>
      <c r="B327" s="636"/>
      <c r="C327" s="636"/>
      <c r="D327" s="636"/>
      <c r="E327" s="700"/>
      <c r="F327" s="701"/>
    </row>
    <row r="328" spans="1:6" s="639" customFormat="1" ht="12.75" customHeight="1" x14ac:dyDescent="0.25">
      <c r="A328" s="635"/>
      <c r="B328" s="636"/>
      <c r="C328" s="636"/>
      <c r="D328" s="636"/>
      <c r="E328" s="700"/>
      <c r="F328" s="701"/>
    </row>
    <row r="329" spans="1:6" s="639" customFormat="1" ht="12.75" customHeight="1" x14ac:dyDescent="0.25">
      <c r="A329" s="635"/>
      <c r="B329" s="636"/>
      <c r="C329" s="636"/>
      <c r="D329" s="636"/>
      <c r="E329" s="700"/>
      <c r="F329" s="701"/>
    </row>
    <row r="330" spans="1:6" s="639" customFormat="1" ht="12.75" customHeight="1" x14ac:dyDescent="0.25">
      <c r="A330" s="635"/>
      <c r="B330" s="636"/>
      <c r="C330" s="636"/>
      <c r="D330" s="636"/>
      <c r="E330" s="700"/>
      <c r="F330" s="701"/>
    </row>
    <row r="331" spans="1:6" s="639" customFormat="1" ht="12.75" customHeight="1" x14ac:dyDescent="0.25">
      <c r="A331" s="635"/>
      <c r="B331" s="636"/>
      <c r="C331" s="636"/>
      <c r="D331" s="636"/>
      <c r="E331" s="700"/>
      <c r="F331" s="701"/>
    </row>
    <row r="332" spans="1:6" s="639" customFormat="1" ht="12.75" customHeight="1" x14ac:dyDescent="0.25">
      <c r="A332" s="635"/>
      <c r="B332" s="636"/>
      <c r="C332" s="636"/>
      <c r="D332" s="636"/>
      <c r="E332" s="700"/>
      <c r="F332" s="701"/>
    </row>
    <row r="333" spans="1:6" s="639" customFormat="1" ht="12.75" customHeight="1" x14ac:dyDescent="0.25">
      <c r="A333" s="635"/>
      <c r="B333" s="636"/>
      <c r="C333" s="636"/>
      <c r="D333" s="636"/>
      <c r="E333" s="700"/>
      <c r="F333" s="701"/>
    </row>
    <row r="334" spans="1:6" s="639" customFormat="1" ht="12.75" customHeight="1" x14ac:dyDescent="0.25">
      <c r="A334" s="635"/>
      <c r="B334" s="636"/>
      <c r="C334" s="636"/>
      <c r="D334" s="636"/>
      <c r="E334" s="700"/>
      <c r="F334" s="701"/>
    </row>
    <row r="335" spans="1:6" s="639" customFormat="1" ht="12.75" customHeight="1" x14ac:dyDescent="0.25">
      <c r="A335" s="635"/>
      <c r="B335" s="636"/>
      <c r="C335" s="636"/>
      <c r="D335" s="636"/>
      <c r="E335" s="700"/>
      <c r="F335" s="701"/>
    </row>
    <row r="336" spans="1:6" s="639" customFormat="1" ht="12.75" customHeight="1" x14ac:dyDescent="0.25">
      <c r="A336" s="635"/>
      <c r="B336" s="636"/>
      <c r="C336" s="636"/>
      <c r="D336" s="636"/>
      <c r="E336" s="700"/>
      <c r="F336" s="701"/>
    </row>
    <row r="337" spans="1:6" s="639" customFormat="1" ht="12.75" customHeight="1" x14ac:dyDescent="0.25">
      <c r="A337" s="635"/>
      <c r="B337" s="636"/>
      <c r="C337" s="636"/>
      <c r="D337" s="636"/>
      <c r="E337" s="700"/>
      <c r="F337" s="701"/>
    </row>
    <row r="338" spans="1:6" s="639" customFormat="1" ht="12.75" customHeight="1" x14ac:dyDescent="0.25">
      <c r="A338" s="635"/>
      <c r="B338" s="636"/>
      <c r="C338" s="636"/>
      <c r="D338" s="636"/>
      <c r="E338" s="700"/>
      <c r="F338" s="701"/>
    </row>
    <row r="339" spans="1:6" s="639" customFormat="1" ht="12.75" customHeight="1" x14ac:dyDescent="0.25">
      <c r="A339" s="635"/>
      <c r="B339" s="636"/>
      <c r="C339" s="636"/>
      <c r="D339" s="636"/>
      <c r="E339" s="700"/>
      <c r="F339" s="701"/>
    </row>
    <row r="340" spans="1:6" s="639" customFormat="1" ht="12.75" customHeight="1" x14ac:dyDescent="0.25">
      <c r="A340" s="635"/>
      <c r="B340" s="636"/>
      <c r="C340" s="636"/>
      <c r="D340" s="636"/>
      <c r="E340" s="700"/>
      <c r="F340" s="701"/>
    </row>
    <row r="341" spans="1:6" s="639" customFormat="1" ht="12.75" customHeight="1" x14ac:dyDescent="0.25">
      <c r="A341" s="635"/>
      <c r="B341" s="636"/>
      <c r="C341" s="636"/>
      <c r="D341" s="636"/>
      <c r="E341" s="700"/>
      <c r="F341" s="701"/>
    </row>
    <row r="342" spans="1:6" s="639" customFormat="1" ht="12.75" customHeight="1" x14ac:dyDescent="0.25">
      <c r="A342" s="635"/>
      <c r="B342" s="636"/>
      <c r="C342" s="636"/>
      <c r="D342" s="636"/>
      <c r="E342" s="700"/>
      <c r="F342" s="701"/>
    </row>
    <row r="343" spans="1:6" s="639" customFormat="1" ht="12.75" customHeight="1" x14ac:dyDescent="0.25">
      <c r="A343" s="635"/>
      <c r="B343" s="636"/>
      <c r="C343" s="636"/>
      <c r="D343" s="636"/>
      <c r="E343" s="700"/>
      <c r="F343" s="701"/>
    </row>
    <row r="344" spans="1:6" s="639" customFormat="1" ht="12.75" customHeight="1" x14ac:dyDescent="0.25">
      <c r="A344" s="635"/>
      <c r="B344" s="636"/>
      <c r="C344" s="636"/>
      <c r="D344" s="636"/>
      <c r="E344" s="700"/>
      <c r="F344" s="701"/>
    </row>
    <row r="345" spans="1:6" s="639" customFormat="1" ht="12.75" customHeight="1" x14ac:dyDescent="0.25">
      <c r="A345" s="635"/>
      <c r="B345" s="636"/>
      <c r="C345" s="636"/>
      <c r="D345" s="636"/>
      <c r="E345" s="700"/>
      <c r="F345" s="701"/>
    </row>
    <row r="346" spans="1:6" s="639" customFormat="1" ht="12.75" customHeight="1" x14ac:dyDescent="0.25">
      <c r="A346" s="635"/>
      <c r="B346" s="636"/>
      <c r="C346" s="636"/>
      <c r="D346" s="636"/>
      <c r="E346" s="700"/>
      <c r="F346" s="701"/>
    </row>
    <row r="347" spans="1:6" s="639" customFormat="1" ht="12.75" customHeight="1" x14ac:dyDescent="0.25">
      <c r="A347" s="635"/>
      <c r="B347" s="636"/>
      <c r="C347" s="636"/>
      <c r="D347" s="636"/>
      <c r="E347" s="700"/>
      <c r="F347" s="701"/>
    </row>
    <row r="348" spans="1:6" s="639" customFormat="1" ht="12.75" customHeight="1" x14ac:dyDescent="0.25">
      <c r="A348" s="635"/>
      <c r="B348" s="636"/>
      <c r="C348" s="636"/>
      <c r="D348" s="636"/>
      <c r="E348" s="700"/>
      <c r="F348" s="701"/>
    </row>
    <row r="349" spans="1:6" s="639" customFormat="1" ht="12.75" customHeight="1" x14ac:dyDescent="0.25">
      <c r="A349" s="635"/>
      <c r="B349" s="636"/>
      <c r="C349" s="636"/>
      <c r="D349" s="636"/>
      <c r="E349" s="700"/>
      <c r="F349" s="701"/>
    </row>
    <row r="350" spans="1:6" s="639" customFormat="1" ht="12.75" customHeight="1" x14ac:dyDescent="0.25">
      <c r="A350" s="635"/>
      <c r="B350" s="636"/>
      <c r="C350" s="636"/>
      <c r="D350" s="636"/>
      <c r="E350" s="700"/>
      <c r="F350" s="701"/>
    </row>
    <row r="351" spans="1:6" s="639" customFormat="1" ht="12.75" customHeight="1" x14ac:dyDescent="0.25">
      <c r="A351" s="635"/>
      <c r="B351" s="636"/>
      <c r="C351" s="636"/>
      <c r="D351" s="636"/>
      <c r="E351" s="700"/>
      <c r="F351" s="701"/>
    </row>
    <row r="352" spans="1:6" s="639" customFormat="1" ht="12.75" customHeight="1" x14ac:dyDescent="0.25">
      <c r="A352" s="635"/>
      <c r="B352" s="636"/>
      <c r="C352" s="636"/>
      <c r="D352" s="636"/>
      <c r="E352" s="700"/>
      <c r="F352" s="701"/>
    </row>
    <row r="353" spans="1:6" s="639" customFormat="1" ht="12.75" customHeight="1" x14ac:dyDescent="0.25">
      <c r="A353" s="635"/>
      <c r="B353" s="636"/>
      <c r="C353" s="636"/>
      <c r="D353" s="636"/>
      <c r="E353" s="700"/>
      <c r="F353" s="701"/>
    </row>
    <row r="354" spans="1:6" s="639" customFormat="1" ht="12.75" customHeight="1" x14ac:dyDescent="0.25">
      <c r="A354" s="635"/>
      <c r="B354" s="636"/>
      <c r="C354" s="636"/>
      <c r="D354" s="636"/>
      <c r="E354" s="700"/>
      <c r="F354" s="701"/>
    </row>
    <row r="355" spans="1:6" s="639" customFormat="1" ht="12.75" customHeight="1" x14ac:dyDescent="0.25">
      <c r="A355" s="635"/>
      <c r="B355" s="636"/>
      <c r="C355" s="636"/>
      <c r="D355" s="636"/>
      <c r="E355" s="700"/>
      <c r="F355" s="701"/>
    </row>
    <row r="356" spans="1:6" s="639" customFormat="1" ht="12.75" customHeight="1" x14ac:dyDescent="0.25">
      <c r="A356" s="635"/>
      <c r="B356" s="636"/>
      <c r="C356" s="636"/>
      <c r="D356" s="636"/>
      <c r="E356" s="700"/>
      <c r="F356" s="701"/>
    </row>
    <row r="357" spans="1:6" s="639" customFormat="1" ht="12.75" customHeight="1" x14ac:dyDescent="0.25">
      <c r="A357" s="635"/>
      <c r="B357" s="636"/>
      <c r="C357" s="636"/>
      <c r="D357" s="636"/>
      <c r="E357" s="700"/>
      <c r="F357" s="701"/>
    </row>
    <row r="358" spans="1:6" s="639" customFormat="1" ht="12.75" customHeight="1" x14ac:dyDescent="0.25">
      <c r="A358" s="635"/>
      <c r="B358" s="636"/>
      <c r="C358" s="636"/>
      <c r="D358" s="636"/>
      <c r="E358" s="700"/>
      <c r="F358" s="701"/>
    </row>
    <row r="359" spans="1:6" s="639" customFormat="1" ht="12.75" customHeight="1" x14ac:dyDescent="0.25">
      <c r="A359" s="635"/>
      <c r="B359" s="636"/>
      <c r="C359" s="636"/>
      <c r="D359" s="636"/>
      <c r="E359" s="700"/>
      <c r="F359" s="701"/>
    </row>
    <row r="360" spans="1:6" s="639" customFormat="1" ht="12.75" customHeight="1" x14ac:dyDescent="0.25">
      <c r="A360" s="635"/>
      <c r="B360" s="636"/>
      <c r="C360" s="636"/>
      <c r="D360" s="636"/>
      <c r="E360" s="700"/>
      <c r="F360" s="701"/>
    </row>
    <row r="361" spans="1:6" s="639" customFormat="1" ht="12.75" customHeight="1" x14ac:dyDescent="0.25">
      <c r="A361" s="635"/>
      <c r="B361" s="636"/>
      <c r="C361" s="636"/>
      <c r="D361" s="636"/>
      <c r="E361" s="700"/>
      <c r="F361" s="701"/>
    </row>
    <row r="362" spans="1:6" s="639" customFormat="1" ht="12.75" customHeight="1" x14ac:dyDescent="0.25">
      <c r="A362" s="635"/>
      <c r="B362" s="636"/>
      <c r="C362" s="636"/>
      <c r="D362" s="636"/>
      <c r="E362" s="700"/>
      <c r="F362" s="701"/>
    </row>
    <row r="363" spans="1:6" s="639" customFormat="1" ht="12.75" customHeight="1" x14ac:dyDescent="0.25">
      <c r="A363" s="635"/>
      <c r="B363" s="636"/>
      <c r="C363" s="636"/>
      <c r="D363" s="636"/>
      <c r="E363" s="700"/>
      <c r="F363" s="701"/>
    </row>
    <row r="364" spans="1:6" s="639" customFormat="1" ht="12.75" customHeight="1" x14ac:dyDescent="0.25">
      <c r="A364" s="635"/>
      <c r="B364" s="636"/>
      <c r="C364" s="636"/>
      <c r="D364" s="636"/>
      <c r="E364" s="700"/>
      <c r="F364" s="701"/>
    </row>
    <row r="365" spans="1:6" s="639" customFormat="1" ht="12.75" customHeight="1" x14ac:dyDescent="0.25">
      <c r="A365" s="635"/>
      <c r="B365" s="636"/>
      <c r="C365" s="636"/>
      <c r="D365" s="636"/>
      <c r="E365" s="700"/>
      <c r="F365" s="701"/>
    </row>
    <row r="366" spans="1:6" s="639" customFormat="1" ht="12.75" customHeight="1" x14ac:dyDescent="0.25">
      <c r="A366" s="635"/>
      <c r="B366" s="636"/>
      <c r="C366" s="636"/>
      <c r="D366" s="636"/>
      <c r="E366" s="700"/>
      <c r="F366" s="701"/>
    </row>
    <row r="367" spans="1:6" s="639" customFormat="1" ht="12.75" customHeight="1" x14ac:dyDescent="0.25">
      <c r="A367" s="635"/>
      <c r="B367" s="636"/>
      <c r="C367" s="636"/>
      <c r="D367" s="636"/>
      <c r="E367" s="700"/>
      <c r="F367" s="701"/>
    </row>
    <row r="368" spans="1:6" s="639" customFormat="1" ht="12.75" customHeight="1" x14ac:dyDescent="0.25">
      <c r="A368" s="635"/>
      <c r="B368" s="636"/>
      <c r="C368" s="636"/>
      <c r="D368" s="636"/>
      <c r="E368" s="700"/>
      <c r="F368" s="701"/>
    </row>
    <row r="369" spans="1:6" s="639" customFormat="1" ht="12.75" customHeight="1" x14ac:dyDescent="0.25">
      <c r="A369" s="635"/>
      <c r="B369" s="636"/>
      <c r="C369" s="636"/>
      <c r="D369" s="636"/>
      <c r="E369" s="700"/>
      <c r="F369" s="701"/>
    </row>
    <row r="370" spans="1:6" s="639" customFormat="1" ht="12.75" customHeight="1" x14ac:dyDescent="0.25">
      <c r="A370" s="635"/>
      <c r="B370" s="636"/>
      <c r="C370" s="636"/>
      <c r="D370" s="636"/>
      <c r="E370" s="700"/>
      <c r="F370" s="701"/>
    </row>
    <row r="371" spans="1:6" s="639" customFormat="1" ht="12.75" customHeight="1" x14ac:dyDescent="0.25">
      <c r="A371" s="635"/>
      <c r="B371" s="636"/>
      <c r="C371" s="636"/>
      <c r="D371" s="636"/>
      <c r="E371" s="700"/>
      <c r="F371" s="701"/>
    </row>
    <row r="372" spans="1:6" s="639" customFormat="1" ht="12.75" customHeight="1" x14ac:dyDescent="0.25">
      <c r="A372" s="635"/>
      <c r="B372" s="636"/>
      <c r="C372" s="636"/>
      <c r="D372" s="636"/>
      <c r="E372" s="700"/>
      <c r="F372" s="701"/>
    </row>
    <row r="373" spans="1:6" s="639" customFormat="1" ht="12.75" customHeight="1" x14ac:dyDescent="0.25">
      <c r="A373" s="635"/>
      <c r="B373" s="636"/>
      <c r="C373" s="636"/>
      <c r="D373" s="636"/>
      <c r="E373" s="700"/>
      <c r="F373" s="701"/>
    </row>
    <row r="374" spans="1:6" s="639" customFormat="1" ht="12.75" customHeight="1" x14ac:dyDescent="0.25">
      <c r="A374" s="635"/>
      <c r="B374" s="636"/>
      <c r="C374" s="636"/>
      <c r="D374" s="636"/>
      <c r="E374" s="700"/>
      <c r="F374" s="701"/>
    </row>
    <row r="375" spans="1:6" s="639" customFormat="1" ht="12.75" customHeight="1" x14ac:dyDescent="0.25">
      <c r="A375" s="635"/>
      <c r="B375" s="636"/>
      <c r="C375" s="636"/>
      <c r="D375" s="636"/>
      <c r="E375" s="700"/>
      <c r="F375" s="701"/>
    </row>
    <row r="376" spans="1:6" s="639" customFormat="1" ht="12.75" customHeight="1" x14ac:dyDescent="0.25">
      <c r="A376" s="635"/>
      <c r="B376" s="636"/>
      <c r="C376" s="636"/>
      <c r="D376" s="636"/>
      <c r="E376" s="700"/>
      <c r="F376" s="701"/>
    </row>
    <row r="377" spans="1:6" s="639" customFormat="1" ht="12.75" customHeight="1" x14ac:dyDescent="0.25">
      <c r="A377" s="635"/>
      <c r="B377" s="636"/>
      <c r="C377" s="636"/>
      <c r="D377" s="636"/>
      <c r="E377" s="700"/>
      <c r="F377" s="701"/>
    </row>
    <row r="378" spans="1:6" s="639" customFormat="1" ht="12.75" customHeight="1" x14ac:dyDescent="0.25">
      <c r="A378" s="635"/>
      <c r="B378" s="636"/>
      <c r="C378" s="636"/>
      <c r="D378" s="636"/>
      <c r="E378" s="700"/>
      <c r="F378" s="701"/>
    </row>
    <row r="379" spans="1:6" s="639" customFormat="1" ht="12.75" customHeight="1" x14ac:dyDescent="0.25">
      <c r="A379" s="635"/>
      <c r="B379" s="636"/>
      <c r="C379" s="636"/>
      <c r="D379" s="636"/>
      <c r="E379" s="700"/>
      <c r="F379" s="701"/>
    </row>
    <row r="380" spans="1:6" s="639" customFormat="1" ht="12.75" customHeight="1" x14ac:dyDescent="0.25">
      <c r="A380" s="635"/>
      <c r="B380" s="636"/>
      <c r="C380" s="636"/>
      <c r="D380" s="636"/>
      <c r="E380" s="700"/>
      <c r="F380" s="701"/>
    </row>
    <row r="381" spans="1:6" s="639" customFormat="1" ht="12.75" customHeight="1" x14ac:dyDescent="0.25">
      <c r="A381" s="635"/>
      <c r="B381" s="636"/>
      <c r="C381" s="636"/>
      <c r="D381" s="636"/>
      <c r="E381" s="700"/>
      <c r="F381" s="701"/>
    </row>
    <row r="382" spans="1:6" s="639" customFormat="1" ht="12.75" customHeight="1" x14ac:dyDescent="0.25">
      <c r="A382" s="635"/>
      <c r="B382" s="636"/>
      <c r="C382" s="636"/>
      <c r="D382" s="636"/>
      <c r="E382" s="700"/>
      <c r="F382" s="701"/>
    </row>
    <row r="383" spans="1:6" s="639" customFormat="1" ht="12.75" customHeight="1" x14ac:dyDescent="0.25">
      <c r="A383" s="635"/>
      <c r="B383" s="636"/>
      <c r="C383" s="636"/>
      <c r="D383" s="636"/>
      <c r="E383" s="700"/>
      <c r="F383" s="701"/>
    </row>
    <row r="384" spans="1:6" s="639" customFormat="1" ht="12.75" customHeight="1" x14ac:dyDescent="0.25">
      <c r="A384" s="635"/>
      <c r="B384" s="636"/>
      <c r="C384" s="636"/>
      <c r="D384" s="636"/>
      <c r="E384" s="700"/>
      <c r="F384" s="701"/>
    </row>
    <row r="385" spans="1:6" s="639" customFormat="1" ht="12.75" customHeight="1" x14ac:dyDescent="0.25">
      <c r="A385" s="635"/>
      <c r="B385" s="636"/>
      <c r="C385" s="636"/>
      <c r="D385" s="636"/>
      <c r="E385" s="700"/>
      <c r="F385" s="701"/>
    </row>
    <row r="386" spans="1:6" s="639" customFormat="1" ht="12.75" customHeight="1" x14ac:dyDescent="0.25">
      <c r="A386" s="635"/>
      <c r="B386" s="636"/>
      <c r="C386" s="636"/>
      <c r="D386" s="636"/>
      <c r="E386" s="700"/>
      <c r="F386" s="701"/>
    </row>
    <row r="387" spans="1:6" s="639" customFormat="1" ht="12.75" customHeight="1" x14ac:dyDescent="0.25">
      <c r="A387" s="635"/>
      <c r="B387" s="636"/>
      <c r="C387" s="636"/>
      <c r="D387" s="636"/>
      <c r="E387" s="700"/>
      <c r="F387" s="701"/>
    </row>
    <row r="388" spans="1:6" s="639" customFormat="1" ht="12.75" customHeight="1" x14ac:dyDescent="0.25">
      <c r="A388" s="635"/>
      <c r="B388" s="636"/>
      <c r="C388" s="636"/>
      <c r="D388" s="636"/>
      <c r="E388" s="700"/>
      <c r="F388" s="701"/>
    </row>
    <row r="389" spans="1:6" s="639" customFormat="1" ht="12.75" customHeight="1" x14ac:dyDescent="0.25">
      <c r="A389" s="635"/>
      <c r="B389" s="636"/>
      <c r="C389" s="636"/>
      <c r="D389" s="636"/>
      <c r="E389" s="700"/>
      <c r="F389" s="701"/>
    </row>
    <row r="390" spans="1:6" s="639" customFormat="1" ht="12.75" customHeight="1" x14ac:dyDescent="0.25">
      <c r="A390" s="635"/>
      <c r="B390" s="636"/>
      <c r="C390" s="636"/>
      <c r="D390" s="636"/>
      <c r="E390" s="700"/>
      <c r="F390" s="701"/>
    </row>
    <row r="391" spans="1:6" s="639" customFormat="1" ht="12.75" customHeight="1" x14ac:dyDescent="0.25">
      <c r="A391" s="635"/>
      <c r="B391" s="636"/>
      <c r="C391" s="636"/>
      <c r="D391" s="636"/>
      <c r="E391" s="700"/>
      <c r="F391" s="701"/>
    </row>
    <row r="392" spans="1:6" s="639" customFormat="1" ht="12.75" customHeight="1" x14ac:dyDescent="0.25">
      <c r="A392" s="635"/>
      <c r="B392" s="636"/>
      <c r="C392" s="636"/>
      <c r="D392" s="636"/>
      <c r="E392" s="700"/>
      <c r="F392" s="701"/>
    </row>
    <row r="393" spans="1:6" s="639" customFormat="1" ht="12.75" customHeight="1" x14ac:dyDescent="0.25">
      <c r="A393" s="635"/>
      <c r="B393" s="636"/>
      <c r="C393" s="636"/>
      <c r="D393" s="636"/>
      <c r="E393" s="700"/>
      <c r="F393" s="701"/>
    </row>
    <row r="394" spans="1:6" s="639" customFormat="1" ht="12.75" customHeight="1" x14ac:dyDescent="0.25">
      <c r="A394" s="635"/>
      <c r="B394" s="636"/>
      <c r="C394" s="636"/>
      <c r="D394" s="636"/>
      <c r="E394" s="700"/>
      <c r="F394" s="701"/>
    </row>
    <row r="395" spans="1:6" s="639" customFormat="1" ht="12.75" customHeight="1" x14ac:dyDescent="0.25">
      <c r="A395" s="635"/>
      <c r="B395" s="636"/>
      <c r="C395" s="636"/>
      <c r="D395" s="636"/>
      <c r="E395" s="700"/>
      <c r="F395" s="701"/>
    </row>
    <row r="396" spans="1:6" s="639" customFormat="1" ht="12.75" customHeight="1" x14ac:dyDescent="0.25">
      <c r="A396" s="635"/>
      <c r="B396" s="636"/>
      <c r="C396" s="636"/>
      <c r="D396" s="636"/>
      <c r="E396" s="700"/>
      <c r="F396" s="701"/>
    </row>
    <row r="397" spans="1:6" s="639" customFormat="1" ht="12.75" customHeight="1" x14ac:dyDescent="0.25">
      <c r="A397" s="635"/>
      <c r="B397" s="636"/>
      <c r="C397" s="636"/>
      <c r="D397" s="636"/>
      <c r="E397" s="700"/>
      <c r="F397" s="701"/>
    </row>
    <row r="398" spans="1:6" s="639" customFormat="1" ht="12.75" customHeight="1" x14ac:dyDescent="0.25">
      <c r="A398" s="635"/>
      <c r="B398" s="636"/>
      <c r="C398" s="636"/>
      <c r="D398" s="636"/>
      <c r="E398" s="700"/>
      <c r="F398" s="701"/>
    </row>
    <row r="399" spans="1:6" s="639" customFormat="1" ht="12.75" customHeight="1" x14ac:dyDescent="0.25">
      <c r="A399" s="635"/>
      <c r="B399" s="636"/>
      <c r="C399" s="636"/>
      <c r="D399" s="636"/>
      <c r="E399" s="700"/>
      <c r="F399" s="701"/>
    </row>
    <row r="400" spans="1:6" s="639" customFormat="1" ht="12.75" customHeight="1" x14ac:dyDescent="0.25">
      <c r="A400" s="635"/>
      <c r="B400" s="636"/>
      <c r="C400" s="636"/>
      <c r="D400" s="636"/>
      <c r="E400" s="700"/>
      <c r="F400" s="701"/>
    </row>
    <row r="401" spans="1:6" s="639" customFormat="1" ht="12.75" customHeight="1" x14ac:dyDescent="0.25">
      <c r="A401" s="635"/>
      <c r="B401" s="636"/>
      <c r="C401" s="636"/>
      <c r="D401" s="636"/>
      <c r="E401" s="700"/>
      <c r="F401" s="701"/>
    </row>
    <row r="402" spans="1:6" s="639" customFormat="1" ht="12.75" customHeight="1" x14ac:dyDescent="0.25">
      <c r="A402" s="635"/>
      <c r="B402" s="636"/>
      <c r="C402" s="636"/>
      <c r="D402" s="636"/>
      <c r="E402" s="700"/>
      <c r="F402" s="701"/>
    </row>
    <row r="403" spans="1:6" s="639" customFormat="1" ht="12.75" customHeight="1" x14ac:dyDescent="0.25">
      <c r="A403" s="635"/>
      <c r="B403" s="636"/>
      <c r="C403" s="636"/>
      <c r="D403" s="636"/>
      <c r="E403" s="700"/>
      <c r="F403" s="701"/>
    </row>
    <row r="404" spans="1:6" s="639" customFormat="1" ht="12.75" customHeight="1" x14ac:dyDescent="0.25">
      <c r="A404" s="635"/>
      <c r="B404" s="636"/>
      <c r="C404" s="636"/>
      <c r="D404" s="636"/>
      <c r="E404" s="700"/>
      <c r="F404" s="701"/>
    </row>
    <row r="405" spans="1:6" s="639" customFormat="1" ht="12.75" customHeight="1" x14ac:dyDescent="0.25">
      <c r="A405" s="635"/>
      <c r="B405" s="636"/>
      <c r="C405" s="636"/>
      <c r="D405" s="636"/>
      <c r="E405" s="700"/>
      <c r="F405" s="701"/>
    </row>
    <row r="406" spans="1:6" s="639" customFormat="1" ht="12.75" customHeight="1" x14ac:dyDescent="0.25">
      <c r="A406" s="635"/>
      <c r="B406" s="636"/>
      <c r="C406" s="636"/>
      <c r="D406" s="636"/>
      <c r="E406" s="700"/>
      <c r="F406" s="701"/>
    </row>
    <row r="407" spans="1:6" s="639" customFormat="1" ht="12.75" customHeight="1" x14ac:dyDescent="0.25">
      <c r="A407" s="635"/>
      <c r="B407" s="636"/>
      <c r="C407" s="636"/>
      <c r="D407" s="636"/>
      <c r="E407" s="700"/>
      <c r="F407" s="701"/>
    </row>
    <row r="408" spans="1:6" s="639" customFormat="1" ht="12.75" customHeight="1" x14ac:dyDescent="0.25">
      <c r="A408" s="635"/>
      <c r="B408" s="636"/>
      <c r="C408" s="636"/>
      <c r="D408" s="636"/>
      <c r="E408" s="700"/>
      <c r="F408" s="701"/>
    </row>
    <row r="409" spans="1:6" s="639" customFormat="1" ht="12.75" customHeight="1" x14ac:dyDescent="0.25">
      <c r="A409" s="635"/>
      <c r="B409" s="636"/>
      <c r="C409" s="636"/>
      <c r="D409" s="636"/>
      <c r="E409" s="700"/>
      <c r="F409" s="701"/>
    </row>
    <row r="410" spans="1:6" s="639" customFormat="1" ht="12.75" customHeight="1" x14ac:dyDescent="0.25">
      <c r="A410" s="635"/>
      <c r="B410" s="636"/>
      <c r="C410" s="636"/>
      <c r="D410" s="636"/>
      <c r="E410" s="700"/>
      <c r="F410" s="701"/>
    </row>
    <row r="411" spans="1:6" s="639" customFormat="1" ht="12.75" customHeight="1" x14ac:dyDescent="0.25">
      <c r="A411" s="635"/>
      <c r="B411" s="636"/>
      <c r="C411" s="636"/>
      <c r="D411" s="636"/>
      <c r="E411" s="700"/>
      <c r="F411" s="701"/>
    </row>
    <row r="412" spans="1:6" s="639" customFormat="1" ht="12.75" customHeight="1" x14ac:dyDescent="0.25">
      <c r="A412" s="635"/>
      <c r="B412" s="636"/>
      <c r="C412" s="636"/>
      <c r="D412" s="636"/>
      <c r="E412" s="700"/>
      <c r="F412" s="701"/>
    </row>
    <row r="413" spans="1:6" s="639" customFormat="1" ht="12.75" customHeight="1" x14ac:dyDescent="0.25">
      <c r="A413" s="635"/>
      <c r="B413" s="636"/>
      <c r="C413" s="636"/>
      <c r="D413" s="636"/>
      <c r="E413" s="700"/>
      <c r="F413" s="701"/>
    </row>
    <row r="414" spans="1:6" s="639" customFormat="1" ht="12.75" customHeight="1" x14ac:dyDescent="0.25">
      <c r="A414" s="635"/>
      <c r="B414" s="636"/>
      <c r="C414" s="636"/>
      <c r="D414" s="636"/>
      <c r="E414" s="700"/>
      <c r="F414" s="701"/>
    </row>
    <row r="415" spans="1:6" s="639" customFormat="1" ht="12.75" customHeight="1" x14ac:dyDescent="0.25">
      <c r="A415" s="635"/>
      <c r="B415" s="636"/>
      <c r="C415" s="636"/>
      <c r="D415" s="636"/>
      <c r="E415" s="700"/>
      <c r="F415" s="701"/>
    </row>
    <row r="416" spans="1:6" s="639" customFormat="1" ht="12.75" customHeight="1" x14ac:dyDescent="0.25">
      <c r="A416" s="635"/>
      <c r="B416" s="636"/>
      <c r="C416" s="636"/>
      <c r="D416" s="636"/>
      <c r="E416" s="700"/>
      <c r="F416" s="701"/>
    </row>
    <row r="417" spans="1:6" s="639" customFormat="1" ht="12.75" customHeight="1" x14ac:dyDescent="0.25">
      <c r="A417" s="635"/>
      <c r="B417" s="636"/>
      <c r="C417" s="636"/>
      <c r="D417" s="636"/>
      <c r="E417" s="700"/>
      <c r="F417" s="701"/>
    </row>
    <row r="418" spans="1:6" s="639" customFormat="1" ht="12.75" customHeight="1" x14ac:dyDescent="0.25">
      <c r="A418" s="635"/>
      <c r="B418" s="636"/>
      <c r="C418" s="636"/>
      <c r="D418" s="636"/>
      <c r="E418" s="700"/>
      <c r="F418" s="701"/>
    </row>
    <row r="419" spans="1:6" s="639" customFormat="1" ht="12.75" customHeight="1" x14ac:dyDescent="0.25">
      <c r="A419" s="635"/>
      <c r="B419" s="636"/>
      <c r="C419" s="636"/>
      <c r="D419" s="636"/>
      <c r="E419" s="700"/>
      <c r="F419" s="701"/>
    </row>
    <row r="420" spans="1:6" s="639" customFormat="1" ht="12.75" customHeight="1" x14ac:dyDescent="0.25">
      <c r="A420" s="635"/>
      <c r="B420" s="636"/>
      <c r="C420" s="636"/>
      <c r="D420" s="636"/>
      <c r="E420" s="700"/>
      <c r="F420" s="701"/>
    </row>
    <row r="421" spans="1:6" s="639" customFormat="1" ht="12.75" customHeight="1" x14ac:dyDescent="0.25">
      <c r="A421" s="635"/>
      <c r="B421" s="636"/>
      <c r="C421" s="636"/>
      <c r="D421" s="636"/>
      <c r="E421" s="700"/>
      <c r="F421" s="701"/>
    </row>
    <row r="422" spans="1:6" s="639" customFormat="1" ht="12.75" customHeight="1" x14ac:dyDescent="0.25">
      <c r="A422" s="635"/>
      <c r="B422" s="636"/>
      <c r="C422" s="636"/>
      <c r="D422" s="636"/>
      <c r="E422" s="700"/>
      <c r="F422" s="701"/>
    </row>
    <row r="423" spans="1:6" s="639" customFormat="1" ht="12.75" customHeight="1" x14ac:dyDescent="0.25">
      <c r="A423" s="635"/>
      <c r="B423" s="636"/>
      <c r="C423" s="636"/>
      <c r="D423" s="636"/>
      <c r="E423" s="700"/>
      <c r="F423" s="701"/>
    </row>
    <row r="424" spans="1:6" s="639" customFormat="1" ht="12.75" customHeight="1" x14ac:dyDescent="0.25">
      <c r="A424" s="635"/>
      <c r="B424" s="636"/>
      <c r="C424" s="636"/>
      <c r="D424" s="636"/>
      <c r="E424" s="700"/>
      <c r="F424" s="701"/>
    </row>
    <row r="425" spans="1:6" s="639" customFormat="1" ht="12.75" customHeight="1" x14ac:dyDescent="0.25">
      <c r="A425" s="635"/>
      <c r="B425" s="636"/>
      <c r="C425" s="636"/>
      <c r="D425" s="636"/>
      <c r="E425" s="700"/>
      <c r="F425" s="701"/>
    </row>
    <row r="426" spans="1:6" s="639" customFormat="1" ht="12.75" customHeight="1" x14ac:dyDescent="0.25">
      <c r="A426" s="635"/>
      <c r="B426" s="636"/>
      <c r="C426" s="636"/>
      <c r="D426" s="636"/>
      <c r="E426" s="700"/>
      <c r="F426" s="701"/>
    </row>
    <row r="427" spans="1:6" s="639" customFormat="1" ht="12.75" customHeight="1" x14ac:dyDescent="0.25">
      <c r="A427" s="635"/>
      <c r="B427" s="636"/>
      <c r="C427" s="636"/>
      <c r="D427" s="636"/>
      <c r="E427" s="700"/>
      <c r="F427" s="701"/>
    </row>
    <row r="428" spans="1:6" s="639" customFormat="1" ht="12.75" customHeight="1" x14ac:dyDescent="0.25">
      <c r="A428" s="635"/>
      <c r="B428" s="636"/>
      <c r="C428" s="636"/>
      <c r="D428" s="636"/>
      <c r="E428" s="700"/>
      <c r="F428" s="701"/>
    </row>
    <row r="429" spans="1:6" s="639" customFormat="1" ht="12.75" customHeight="1" x14ac:dyDescent="0.25">
      <c r="A429" s="635"/>
      <c r="B429" s="636"/>
      <c r="C429" s="636"/>
      <c r="D429" s="636"/>
      <c r="E429" s="700"/>
      <c r="F429" s="701"/>
    </row>
    <row r="430" spans="1:6" s="639" customFormat="1" ht="12.75" customHeight="1" x14ac:dyDescent="0.25">
      <c r="A430" s="635"/>
      <c r="B430" s="636"/>
      <c r="C430" s="636"/>
      <c r="D430" s="636"/>
      <c r="E430" s="700"/>
      <c r="F430" s="701"/>
    </row>
    <row r="431" spans="1:6" s="639" customFormat="1" ht="12.75" customHeight="1" x14ac:dyDescent="0.25">
      <c r="A431" s="635"/>
      <c r="B431" s="636"/>
      <c r="C431" s="636"/>
      <c r="D431" s="636"/>
      <c r="E431" s="700"/>
      <c r="F431" s="701"/>
    </row>
    <row r="432" spans="1:6" s="639" customFormat="1" ht="12.75" customHeight="1" x14ac:dyDescent="0.25">
      <c r="A432" s="635"/>
      <c r="B432" s="636"/>
      <c r="C432" s="636"/>
      <c r="D432" s="636"/>
      <c r="E432" s="700"/>
      <c r="F432" s="701"/>
    </row>
    <row r="433" spans="1:6" s="639" customFormat="1" ht="12.75" customHeight="1" x14ac:dyDescent="0.25">
      <c r="A433" s="635"/>
      <c r="B433" s="636"/>
      <c r="C433" s="636"/>
      <c r="D433" s="636"/>
      <c r="E433" s="700"/>
      <c r="F433" s="701"/>
    </row>
    <row r="434" spans="1:6" s="639" customFormat="1" ht="12.75" customHeight="1" x14ac:dyDescent="0.25">
      <c r="A434" s="635"/>
      <c r="B434" s="636"/>
      <c r="C434" s="636"/>
      <c r="D434" s="636"/>
      <c r="E434" s="700"/>
      <c r="F434" s="701"/>
    </row>
    <row r="435" spans="1:6" s="639" customFormat="1" ht="12.75" customHeight="1" x14ac:dyDescent="0.25">
      <c r="A435" s="635"/>
      <c r="B435" s="636"/>
      <c r="C435" s="636"/>
      <c r="D435" s="636"/>
      <c r="E435" s="700"/>
      <c r="F435" s="701"/>
    </row>
    <row r="436" spans="1:6" s="639" customFormat="1" ht="12.75" customHeight="1" x14ac:dyDescent="0.25">
      <c r="A436" s="635"/>
      <c r="B436" s="636"/>
      <c r="C436" s="636"/>
      <c r="D436" s="636"/>
      <c r="E436" s="700"/>
      <c r="F436" s="701"/>
    </row>
    <row r="437" spans="1:6" s="639" customFormat="1" ht="12.75" customHeight="1" x14ac:dyDescent="0.25">
      <c r="A437" s="635"/>
      <c r="B437" s="636"/>
      <c r="C437" s="636"/>
      <c r="D437" s="636"/>
      <c r="E437" s="700"/>
      <c r="F437" s="701"/>
    </row>
    <row r="438" spans="1:6" s="639" customFormat="1" ht="12.75" customHeight="1" x14ac:dyDescent="0.25">
      <c r="A438" s="635"/>
      <c r="B438" s="636"/>
      <c r="C438" s="636"/>
      <c r="D438" s="636"/>
      <c r="E438" s="700"/>
      <c r="F438" s="701"/>
    </row>
    <row r="439" spans="1:6" s="639" customFormat="1" ht="12.75" customHeight="1" x14ac:dyDescent="0.25">
      <c r="A439" s="635"/>
      <c r="B439" s="636"/>
      <c r="C439" s="636"/>
      <c r="D439" s="636"/>
      <c r="E439" s="700"/>
      <c r="F439" s="701"/>
    </row>
    <row r="440" spans="1:6" s="639" customFormat="1" ht="12.75" customHeight="1" x14ac:dyDescent="0.25">
      <c r="A440" s="635"/>
      <c r="B440" s="636"/>
      <c r="C440" s="636"/>
      <c r="D440" s="636"/>
      <c r="E440" s="700"/>
      <c r="F440" s="701"/>
    </row>
    <row r="441" spans="1:6" s="639" customFormat="1" ht="12.75" customHeight="1" x14ac:dyDescent="0.25">
      <c r="A441" s="635"/>
      <c r="B441" s="636"/>
      <c r="C441" s="636"/>
      <c r="D441" s="636"/>
      <c r="E441" s="700"/>
      <c r="F441" s="701"/>
    </row>
    <row r="442" spans="1:6" s="639" customFormat="1" ht="12.75" customHeight="1" x14ac:dyDescent="0.25">
      <c r="A442" s="635"/>
      <c r="B442" s="636"/>
      <c r="C442" s="636"/>
      <c r="D442" s="636"/>
      <c r="E442" s="700"/>
      <c r="F442" s="701"/>
    </row>
    <row r="443" spans="1:6" s="639" customFormat="1" ht="12.75" customHeight="1" x14ac:dyDescent="0.25">
      <c r="A443" s="635"/>
      <c r="B443" s="636"/>
      <c r="C443" s="636"/>
      <c r="D443" s="636"/>
      <c r="E443" s="700"/>
      <c r="F443" s="701"/>
    </row>
    <row r="444" spans="1:6" s="639" customFormat="1" ht="12.75" customHeight="1" x14ac:dyDescent="0.25">
      <c r="A444" s="635"/>
      <c r="B444" s="636"/>
      <c r="C444" s="636"/>
      <c r="D444" s="636"/>
      <c r="E444" s="700"/>
      <c r="F444" s="701"/>
    </row>
    <row r="445" spans="1:6" s="639" customFormat="1" ht="12.75" customHeight="1" x14ac:dyDescent="0.25">
      <c r="A445" s="635"/>
      <c r="B445" s="636"/>
      <c r="C445" s="636"/>
      <c r="D445" s="636"/>
      <c r="E445" s="700"/>
      <c r="F445" s="701"/>
    </row>
    <row r="446" spans="1:6" s="639" customFormat="1" ht="12.75" customHeight="1" x14ac:dyDescent="0.25">
      <c r="A446" s="635"/>
      <c r="B446" s="636"/>
      <c r="C446" s="636"/>
      <c r="D446" s="636"/>
      <c r="E446" s="700"/>
      <c r="F446" s="701"/>
    </row>
    <row r="447" spans="1:6" s="639" customFormat="1" ht="12.75" customHeight="1" x14ac:dyDescent="0.25">
      <c r="A447" s="635"/>
      <c r="B447" s="636"/>
      <c r="C447" s="636"/>
      <c r="D447" s="636"/>
      <c r="E447" s="700"/>
      <c r="F447" s="701"/>
    </row>
    <row r="448" spans="1:6" s="639" customFormat="1" ht="12.75" customHeight="1" x14ac:dyDescent="0.25">
      <c r="A448" s="635"/>
      <c r="B448" s="636"/>
      <c r="C448" s="636"/>
      <c r="D448" s="636"/>
      <c r="E448" s="700"/>
      <c r="F448" s="701"/>
    </row>
    <row r="449" spans="1:6" s="639" customFormat="1" ht="12.75" customHeight="1" x14ac:dyDescent="0.25">
      <c r="A449" s="635"/>
      <c r="B449" s="636"/>
      <c r="C449" s="636"/>
      <c r="D449" s="636"/>
      <c r="E449" s="700"/>
      <c r="F449" s="701"/>
    </row>
    <row r="450" spans="1:6" s="639" customFormat="1" ht="12.75" customHeight="1" x14ac:dyDescent="0.25">
      <c r="A450" s="635"/>
      <c r="B450" s="636"/>
      <c r="C450" s="636"/>
      <c r="D450" s="636"/>
      <c r="E450" s="700"/>
      <c r="F450" s="701"/>
    </row>
    <row r="451" spans="1:6" s="639" customFormat="1" ht="12.75" customHeight="1" x14ac:dyDescent="0.25">
      <c r="A451" s="635"/>
      <c r="B451" s="636"/>
      <c r="C451" s="636"/>
      <c r="D451" s="636"/>
      <c r="E451" s="700"/>
      <c r="F451" s="701"/>
    </row>
    <row r="452" spans="1:6" s="639" customFormat="1" ht="12.75" customHeight="1" x14ac:dyDescent="0.25">
      <c r="A452" s="635"/>
      <c r="B452" s="636"/>
      <c r="C452" s="636"/>
      <c r="D452" s="636"/>
      <c r="E452" s="700"/>
      <c r="F452" s="701"/>
    </row>
    <row r="453" spans="1:6" s="639" customFormat="1" ht="12.75" customHeight="1" x14ac:dyDescent="0.25">
      <c r="A453" s="635"/>
      <c r="B453" s="636"/>
      <c r="C453" s="636"/>
      <c r="D453" s="636"/>
      <c r="E453" s="700"/>
      <c r="F453" s="701"/>
    </row>
    <row r="454" spans="1:6" s="639" customFormat="1" ht="12.75" customHeight="1" x14ac:dyDescent="0.25">
      <c r="A454" s="635"/>
      <c r="B454" s="636"/>
      <c r="C454" s="636"/>
      <c r="D454" s="636"/>
      <c r="E454" s="700"/>
      <c r="F454" s="701"/>
    </row>
    <row r="455" spans="1:6" s="639" customFormat="1" ht="12.75" customHeight="1" x14ac:dyDescent="0.25">
      <c r="A455" s="635"/>
      <c r="B455" s="636"/>
      <c r="C455" s="636"/>
      <c r="D455" s="636"/>
      <c r="E455" s="700"/>
      <c r="F455" s="701"/>
    </row>
    <row r="456" spans="1:6" s="639" customFormat="1" ht="12.75" customHeight="1" x14ac:dyDescent="0.25">
      <c r="A456" s="635"/>
      <c r="B456" s="636"/>
      <c r="C456" s="636"/>
      <c r="D456" s="636"/>
      <c r="E456" s="700"/>
      <c r="F456" s="701"/>
    </row>
    <row r="457" spans="1:6" s="639" customFormat="1" ht="12.75" customHeight="1" x14ac:dyDescent="0.25">
      <c r="A457" s="635"/>
      <c r="B457" s="636"/>
      <c r="C457" s="636"/>
      <c r="D457" s="636"/>
      <c r="E457" s="700"/>
      <c r="F457" s="701"/>
    </row>
    <row r="458" spans="1:6" s="639" customFormat="1" ht="12.75" customHeight="1" x14ac:dyDescent="0.25">
      <c r="A458" s="635"/>
      <c r="B458" s="636"/>
      <c r="C458" s="636"/>
      <c r="D458" s="636"/>
      <c r="E458" s="700"/>
      <c r="F458" s="701"/>
    </row>
    <row r="459" spans="1:6" s="639" customFormat="1" ht="12.75" customHeight="1" x14ac:dyDescent="0.25">
      <c r="A459" s="635"/>
      <c r="B459" s="636"/>
      <c r="C459" s="636"/>
      <c r="D459" s="636"/>
      <c r="E459" s="700"/>
      <c r="F459" s="701"/>
    </row>
    <row r="460" spans="1:6" s="639" customFormat="1" ht="12.75" customHeight="1" x14ac:dyDescent="0.25">
      <c r="A460" s="635"/>
      <c r="B460" s="636"/>
      <c r="C460" s="636"/>
      <c r="D460" s="636"/>
      <c r="E460" s="700"/>
      <c r="F460" s="701"/>
    </row>
    <row r="461" spans="1:6" s="639" customFormat="1" ht="12.75" customHeight="1" x14ac:dyDescent="0.25">
      <c r="A461" s="635"/>
      <c r="B461" s="636"/>
      <c r="C461" s="636"/>
      <c r="D461" s="636"/>
      <c r="E461" s="700"/>
      <c r="F461" s="701"/>
    </row>
    <row r="462" spans="1:6" s="639" customFormat="1" ht="12.75" customHeight="1" x14ac:dyDescent="0.25">
      <c r="A462" s="635"/>
      <c r="B462" s="636"/>
      <c r="C462" s="636"/>
      <c r="D462" s="636"/>
      <c r="E462" s="700"/>
      <c r="F462" s="701"/>
    </row>
    <row r="463" spans="1:6" s="639" customFormat="1" ht="12.75" customHeight="1" x14ac:dyDescent="0.25">
      <c r="A463" s="635"/>
      <c r="B463" s="636"/>
      <c r="C463" s="636"/>
      <c r="D463" s="636"/>
      <c r="E463" s="700"/>
      <c r="F463" s="701"/>
    </row>
    <row r="464" spans="1:6" s="639" customFormat="1" ht="12.75" customHeight="1" x14ac:dyDescent="0.25">
      <c r="A464" s="635"/>
      <c r="B464" s="636"/>
      <c r="C464" s="636"/>
      <c r="D464" s="636"/>
      <c r="E464" s="700"/>
      <c r="F464" s="701"/>
    </row>
    <row r="465" spans="1:6" s="639" customFormat="1" ht="12.75" customHeight="1" x14ac:dyDescent="0.25">
      <c r="A465" s="635"/>
      <c r="B465" s="636"/>
      <c r="C465" s="636"/>
      <c r="D465" s="636"/>
      <c r="E465" s="700"/>
      <c r="F465" s="701"/>
    </row>
    <row r="466" spans="1:6" s="639" customFormat="1" ht="12.75" customHeight="1" x14ac:dyDescent="0.25">
      <c r="A466" s="635"/>
      <c r="B466" s="636"/>
      <c r="C466" s="636"/>
      <c r="D466" s="636"/>
      <c r="E466" s="700"/>
      <c r="F466" s="701"/>
    </row>
    <row r="467" spans="1:6" s="639" customFormat="1" ht="12.75" customHeight="1" x14ac:dyDescent="0.25">
      <c r="A467" s="635"/>
      <c r="B467" s="636"/>
      <c r="C467" s="636"/>
      <c r="D467" s="636"/>
      <c r="E467" s="700"/>
      <c r="F467" s="701"/>
    </row>
    <row r="468" spans="1:6" s="639" customFormat="1" ht="12.75" customHeight="1" x14ac:dyDescent="0.25">
      <c r="A468" s="635"/>
      <c r="B468" s="636"/>
      <c r="C468" s="636"/>
      <c r="D468" s="636"/>
      <c r="E468" s="700"/>
      <c r="F468" s="701"/>
    </row>
    <row r="469" spans="1:6" s="639" customFormat="1" ht="12.75" customHeight="1" x14ac:dyDescent="0.25">
      <c r="A469" s="635"/>
      <c r="B469" s="636"/>
      <c r="C469" s="636"/>
      <c r="D469" s="636"/>
      <c r="E469" s="700"/>
      <c r="F469" s="701"/>
    </row>
    <row r="470" spans="1:6" s="639" customFormat="1" ht="12.75" customHeight="1" x14ac:dyDescent="0.25">
      <c r="A470" s="635"/>
      <c r="B470" s="636"/>
      <c r="C470" s="636"/>
      <c r="D470" s="636"/>
      <c r="E470" s="700"/>
      <c r="F470" s="701"/>
    </row>
    <row r="471" spans="1:6" s="639" customFormat="1" ht="12.75" customHeight="1" x14ac:dyDescent="0.25">
      <c r="A471" s="635"/>
      <c r="B471" s="636"/>
      <c r="C471" s="636"/>
      <c r="D471" s="636"/>
      <c r="E471" s="700"/>
      <c r="F471" s="701"/>
    </row>
    <row r="472" spans="1:6" s="639" customFormat="1" ht="12.75" customHeight="1" x14ac:dyDescent="0.25">
      <c r="A472" s="635"/>
      <c r="B472" s="636"/>
      <c r="C472" s="636"/>
      <c r="D472" s="636"/>
      <c r="E472" s="700"/>
      <c r="F472" s="701"/>
    </row>
    <row r="473" spans="1:6" s="639" customFormat="1" ht="12.75" customHeight="1" x14ac:dyDescent="0.25">
      <c r="A473" s="635"/>
      <c r="B473" s="636"/>
      <c r="C473" s="636"/>
      <c r="D473" s="636"/>
      <c r="E473" s="700"/>
      <c r="F473" s="701"/>
    </row>
    <row r="474" spans="1:6" s="639" customFormat="1" ht="12.75" customHeight="1" x14ac:dyDescent="0.25">
      <c r="A474" s="635"/>
      <c r="B474" s="636"/>
      <c r="C474" s="636"/>
      <c r="D474" s="636"/>
      <c r="E474" s="700"/>
      <c r="F474" s="701"/>
    </row>
    <row r="475" spans="1:6" s="639" customFormat="1" ht="12.75" customHeight="1" x14ac:dyDescent="0.25">
      <c r="A475" s="635"/>
      <c r="B475" s="636"/>
      <c r="C475" s="636"/>
      <c r="D475" s="636"/>
      <c r="E475" s="700"/>
      <c r="F475" s="701"/>
    </row>
    <row r="476" spans="1:6" s="639" customFormat="1" ht="12.75" customHeight="1" x14ac:dyDescent="0.25">
      <c r="A476" s="635"/>
      <c r="B476" s="636"/>
      <c r="C476" s="636"/>
      <c r="D476" s="636"/>
      <c r="E476" s="700"/>
      <c r="F476" s="701"/>
    </row>
    <row r="477" spans="1:6" s="639" customFormat="1" ht="12.75" customHeight="1" x14ac:dyDescent="0.25">
      <c r="A477" s="635"/>
      <c r="B477" s="636"/>
      <c r="C477" s="636"/>
      <c r="D477" s="636"/>
      <c r="E477" s="700"/>
      <c r="F477" s="701"/>
    </row>
    <row r="478" spans="1:6" s="639" customFormat="1" ht="12.75" customHeight="1" x14ac:dyDescent="0.25">
      <c r="A478" s="635"/>
      <c r="B478" s="636"/>
      <c r="C478" s="636"/>
      <c r="D478" s="636"/>
      <c r="E478" s="700"/>
      <c r="F478" s="701"/>
    </row>
    <row r="479" spans="1:6" s="639" customFormat="1" ht="12.75" customHeight="1" x14ac:dyDescent="0.25">
      <c r="A479" s="635"/>
      <c r="B479" s="636"/>
      <c r="C479" s="636"/>
      <c r="D479" s="636"/>
      <c r="E479" s="700"/>
      <c r="F479" s="701"/>
    </row>
    <row r="480" spans="1:6" s="639" customFormat="1" ht="12.75" customHeight="1" x14ac:dyDescent="0.25">
      <c r="A480" s="635"/>
      <c r="B480" s="636"/>
      <c r="C480" s="636"/>
      <c r="D480" s="636"/>
      <c r="E480" s="700"/>
      <c r="F480" s="701"/>
    </row>
    <row r="481" spans="1:6" s="639" customFormat="1" ht="12.75" customHeight="1" x14ac:dyDescent="0.25">
      <c r="A481" s="635"/>
      <c r="B481" s="636"/>
      <c r="C481" s="636"/>
      <c r="D481" s="636"/>
      <c r="E481" s="700"/>
      <c r="F481" s="701"/>
    </row>
    <row r="482" spans="1:6" s="639" customFormat="1" ht="12.75" customHeight="1" x14ac:dyDescent="0.25">
      <c r="A482" s="635"/>
      <c r="B482" s="636"/>
      <c r="C482" s="636"/>
      <c r="D482" s="636"/>
      <c r="E482" s="700"/>
      <c r="F482" s="701"/>
    </row>
    <row r="483" spans="1:6" s="639" customFormat="1" ht="12.75" customHeight="1" x14ac:dyDescent="0.25">
      <c r="A483" s="635"/>
      <c r="B483" s="636"/>
      <c r="C483" s="636"/>
      <c r="D483" s="636"/>
      <c r="E483" s="700"/>
      <c r="F483" s="701"/>
    </row>
    <row r="484" spans="1:6" s="639" customFormat="1" ht="12.75" customHeight="1" x14ac:dyDescent="0.25">
      <c r="A484" s="635"/>
      <c r="B484" s="636"/>
      <c r="C484" s="636"/>
      <c r="D484" s="636"/>
      <c r="E484" s="700"/>
      <c r="F484" s="701"/>
    </row>
    <row r="485" spans="1:6" s="639" customFormat="1" ht="12.75" customHeight="1" x14ac:dyDescent="0.25">
      <c r="A485" s="635"/>
      <c r="B485" s="636"/>
      <c r="C485" s="636"/>
      <c r="D485" s="636"/>
      <c r="E485" s="700"/>
      <c r="F485" s="701"/>
    </row>
    <row r="486" spans="1:6" s="639" customFormat="1" ht="12.75" customHeight="1" x14ac:dyDescent="0.25">
      <c r="A486" s="635"/>
      <c r="B486" s="636"/>
      <c r="C486" s="636"/>
      <c r="D486" s="636"/>
      <c r="E486" s="700"/>
      <c r="F486" s="701"/>
    </row>
    <row r="487" spans="1:6" s="639" customFormat="1" ht="12.75" customHeight="1" x14ac:dyDescent="0.25">
      <c r="A487" s="635"/>
      <c r="B487" s="636"/>
      <c r="C487" s="636"/>
      <c r="D487" s="636"/>
      <c r="E487" s="700"/>
      <c r="F487" s="701"/>
    </row>
    <row r="488" spans="1:6" s="639" customFormat="1" ht="12.75" customHeight="1" x14ac:dyDescent="0.25">
      <c r="A488" s="635"/>
      <c r="B488" s="636"/>
      <c r="C488" s="636"/>
      <c r="D488" s="636"/>
      <c r="E488" s="700"/>
      <c r="F488" s="701"/>
    </row>
    <row r="489" spans="1:6" s="639" customFormat="1" ht="12.75" customHeight="1" x14ac:dyDescent="0.25">
      <c r="A489" s="635"/>
      <c r="B489" s="636"/>
      <c r="C489" s="636"/>
      <c r="D489" s="636"/>
      <c r="E489" s="700"/>
      <c r="F489" s="701"/>
    </row>
    <row r="490" spans="1:6" s="639" customFormat="1" ht="12.75" customHeight="1" x14ac:dyDescent="0.25">
      <c r="A490" s="635"/>
      <c r="B490" s="636"/>
      <c r="C490" s="636"/>
      <c r="D490" s="636"/>
      <c r="E490" s="700"/>
      <c r="F490" s="701"/>
    </row>
    <row r="491" spans="1:6" s="639" customFormat="1" ht="12.75" customHeight="1" x14ac:dyDescent="0.25">
      <c r="A491" s="635"/>
      <c r="B491" s="636"/>
      <c r="C491" s="636"/>
      <c r="D491" s="636"/>
      <c r="E491" s="700"/>
      <c r="F491" s="701"/>
    </row>
    <row r="492" spans="1:6" s="639" customFormat="1" ht="12.75" customHeight="1" x14ac:dyDescent="0.25">
      <c r="A492" s="635"/>
      <c r="B492" s="636"/>
      <c r="C492" s="636"/>
      <c r="D492" s="636"/>
      <c r="E492" s="700"/>
      <c r="F492" s="701"/>
    </row>
    <row r="493" spans="1:6" s="639" customFormat="1" ht="12.75" customHeight="1" x14ac:dyDescent="0.25">
      <c r="A493" s="635"/>
      <c r="B493" s="636"/>
      <c r="C493" s="636"/>
      <c r="D493" s="636"/>
      <c r="E493" s="700"/>
      <c r="F493" s="701"/>
    </row>
    <row r="494" spans="1:6" s="639" customFormat="1" ht="12.75" customHeight="1" x14ac:dyDescent="0.25">
      <c r="A494" s="635"/>
      <c r="B494" s="636"/>
      <c r="C494" s="636"/>
      <c r="D494" s="636"/>
      <c r="E494" s="700"/>
      <c r="F494" s="701"/>
    </row>
    <row r="495" spans="1:6" s="639" customFormat="1" ht="12.75" customHeight="1" x14ac:dyDescent="0.25">
      <c r="A495" s="635"/>
      <c r="B495" s="636"/>
      <c r="C495" s="636"/>
      <c r="D495" s="636"/>
      <c r="E495" s="700"/>
      <c r="F495" s="701"/>
    </row>
    <row r="496" spans="1:6" s="639" customFormat="1" ht="12.75" customHeight="1" x14ac:dyDescent="0.25">
      <c r="A496" s="635"/>
      <c r="B496" s="636"/>
      <c r="C496" s="636"/>
      <c r="D496" s="636"/>
      <c r="E496" s="700"/>
      <c r="F496" s="701"/>
    </row>
    <row r="497" spans="1:6" s="639" customFormat="1" ht="12.75" customHeight="1" x14ac:dyDescent="0.25">
      <c r="A497" s="635"/>
      <c r="B497" s="636"/>
      <c r="C497" s="636"/>
      <c r="D497" s="636"/>
      <c r="E497" s="700"/>
      <c r="F497" s="701"/>
    </row>
    <row r="498" spans="1:6" s="639" customFormat="1" ht="12.75" customHeight="1" x14ac:dyDescent="0.25">
      <c r="A498" s="635"/>
      <c r="B498" s="636"/>
      <c r="C498" s="636"/>
      <c r="D498" s="636"/>
      <c r="E498" s="700"/>
      <c r="F498" s="701"/>
    </row>
    <row r="499" spans="1:6" s="639" customFormat="1" ht="12.75" customHeight="1" x14ac:dyDescent="0.25">
      <c r="A499" s="635"/>
      <c r="B499" s="636"/>
      <c r="C499" s="636"/>
      <c r="D499" s="636"/>
      <c r="E499" s="700"/>
      <c r="F499" s="701"/>
    </row>
    <row r="500" spans="1:6" s="639" customFormat="1" ht="12.75" customHeight="1" x14ac:dyDescent="0.25">
      <c r="A500" s="635"/>
      <c r="B500" s="636"/>
      <c r="C500" s="636"/>
      <c r="D500" s="636"/>
      <c r="E500" s="700"/>
      <c r="F500" s="701"/>
    </row>
    <row r="501" spans="1:6" s="639" customFormat="1" ht="12.75" customHeight="1" x14ac:dyDescent="0.25">
      <c r="A501" s="635"/>
      <c r="B501" s="636"/>
      <c r="C501" s="636"/>
      <c r="D501" s="636"/>
      <c r="E501" s="700"/>
      <c r="F501" s="701"/>
    </row>
    <row r="502" spans="1:6" s="639" customFormat="1" ht="12.75" customHeight="1" x14ac:dyDescent="0.25">
      <c r="A502" s="635"/>
      <c r="B502" s="636"/>
      <c r="C502" s="636"/>
      <c r="D502" s="636"/>
      <c r="E502" s="700"/>
      <c r="F502" s="701"/>
    </row>
    <row r="503" spans="1:6" s="639" customFormat="1" ht="12.75" customHeight="1" x14ac:dyDescent="0.25">
      <c r="A503" s="635"/>
      <c r="B503" s="636"/>
      <c r="C503" s="636"/>
      <c r="D503" s="636"/>
      <c r="E503" s="700"/>
      <c r="F503" s="701"/>
    </row>
    <row r="504" spans="1:6" s="639" customFormat="1" ht="12.75" customHeight="1" x14ac:dyDescent="0.25">
      <c r="A504" s="635"/>
      <c r="B504" s="636"/>
      <c r="C504" s="636"/>
      <c r="D504" s="636"/>
      <c r="E504" s="700"/>
      <c r="F504" s="701"/>
    </row>
    <row r="505" spans="1:6" s="639" customFormat="1" ht="12.75" customHeight="1" x14ac:dyDescent="0.25">
      <c r="A505" s="635"/>
      <c r="B505" s="636"/>
      <c r="C505" s="636"/>
      <c r="D505" s="636"/>
      <c r="E505" s="700"/>
      <c r="F505" s="701"/>
    </row>
    <row r="506" spans="1:6" s="639" customFormat="1" ht="12.75" customHeight="1" x14ac:dyDescent="0.25">
      <c r="A506" s="635"/>
      <c r="B506" s="636"/>
      <c r="C506" s="636"/>
      <c r="D506" s="636"/>
      <c r="E506" s="700"/>
      <c r="F506" s="701"/>
    </row>
    <row r="507" spans="1:6" s="639" customFormat="1" ht="12.75" customHeight="1" x14ac:dyDescent="0.25">
      <c r="A507" s="635"/>
      <c r="B507" s="636"/>
      <c r="C507" s="636"/>
      <c r="D507" s="636"/>
      <c r="E507" s="700"/>
      <c r="F507" s="701"/>
    </row>
    <row r="508" spans="1:6" s="639" customFormat="1" ht="12.75" customHeight="1" x14ac:dyDescent="0.25">
      <c r="A508" s="635"/>
      <c r="B508" s="636"/>
      <c r="C508" s="636"/>
      <c r="D508" s="636"/>
      <c r="E508" s="700"/>
      <c r="F508" s="701"/>
    </row>
    <row r="509" spans="1:6" s="639" customFormat="1" ht="12.75" customHeight="1" x14ac:dyDescent="0.25">
      <c r="A509" s="635"/>
      <c r="B509" s="636"/>
      <c r="C509" s="636"/>
      <c r="D509" s="636"/>
      <c r="E509" s="700"/>
      <c r="F509" s="701"/>
    </row>
    <row r="510" spans="1:6" s="639" customFormat="1" ht="12.75" customHeight="1" x14ac:dyDescent="0.25">
      <c r="A510" s="635"/>
      <c r="B510" s="636"/>
      <c r="C510" s="636"/>
      <c r="D510" s="636"/>
      <c r="E510" s="700"/>
      <c r="F510" s="701"/>
    </row>
    <row r="511" spans="1:6" s="639" customFormat="1" ht="12.75" customHeight="1" x14ac:dyDescent="0.25">
      <c r="A511" s="635"/>
      <c r="B511" s="636"/>
      <c r="C511" s="636"/>
      <c r="D511" s="636"/>
      <c r="E511" s="700"/>
      <c r="F511" s="701"/>
    </row>
    <row r="512" spans="1:6" s="639" customFormat="1" ht="12.75" customHeight="1" x14ac:dyDescent="0.25">
      <c r="A512" s="635"/>
      <c r="B512" s="636"/>
      <c r="C512" s="636"/>
      <c r="D512" s="636"/>
      <c r="E512" s="700"/>
      <c r="F512" s="701"/>
    </row>
    <row r="513" spans="1:6" s="639" customFormat="1" ht="12.75" customHeight="1" x14ac:dyDescent="0.25">
      <c r="A513" s="635"/>
      <c r="B513" s="636"/>
      <c r="C513" s="636"/>
      <c r="D513" s="636"/>
      <c r="E513" s="700"/>
      <c r="F513" s="701"/>
    </row>
    <row r="514" spans="1:6" s="639" customFormat="1" ht="12.75" customHeight="1" x14ac:dyDescent="0.25">
      <c r="A514" s="635"/>
      <c r="B514" s="636"/>
      <c r="C514" s="636"/>
      <c r="D514" s="636"/>
      <c r="E514" s="700"/>
      <c r="F514" s="701"/>
    </row>
    <row r="515" spans="1:6" s="639" customFormat="1" ht="12.75" customHeight="1" x14ac:dyDescent="0.25">
      <c r="A515" s="635"/>
      <c r="B515" s="636"/>
      <c r="C515" s="636"/>
      <c r="D515" s="636"/>
      <c r="E515" s="700"/>
      <c r="F515" s="701"/>
    </row>
    <row r="516" spans="1:6" s="639" customFormat="1" ht="12.75" customHeight="1" x14ac:dyDescent="0.25">
      <c r="A516" s="635"/>
      <c r="B516" s="636"/>
      <c r="C516" s="636"/>
      <c r="D516" s="636"/>
      <c r="E516" s="700"/>
      <c r="F516" s="701"/>
    </row>
    <row r="517" spans="1:6" s="639" customFormat="1" ht="12.75" customHeight="1" x14ac:dyDescent="0.25">
      <c r="A517" s="635"/>
      <c r="B517" s="636"/>
      <c r="C517" s="636"/>
      <c r="D517" s="636"/>
      <c r="E517" s="700"/>
      <c r="F517" s="701"/>
    </row>
    <row r="518" spans="1:6" s="639" customFormat="1" ht="12.75" customHeight="1" x14ac:dyDescent="0.25">
      <c r="A518" s="635"/>
      <c r="B518" s="636"/>
      <c r="C518" s="636"/>
      <c r="D518" s="636"/>
      <c r="E518" s="700"/>
      <c r="F518" s="701"/>
    </row>
    <row r="519" spans="1:6" s="639" customFormat="1" ht="12.75" customHeight="1" x14ac:dyDescent="0.25">
      <c r="A519" s="635"/>
      <c r="B519" s="636"/>
      <c r="C519" s="636"/>
      <c r="D519" s="636"/>
      <c r="E519" s="700"/>
      <c r="F519" s="701"/>
    </row>
    <row r="520" spans="1:6" s="639" customFormat="1" ht="12.75" customHeight="1" x14ac:dyDescent="0.25">
      <c r="A520" s="635"/>
      <c r="B520" s="636"/>
      <c r="C520" s="636"/>
      <c r="D520" s="636"/>
      <c r="E520" s="700"/>
      <c r="F520" s="701"/>
    </row>
    <row r="521" spans="1:6" s="639" customFormat="1" ht="12.75" customHeight="1" x14ac:dyDescent="0.25">
      <c r="A521" s="635"/>
      <c r="B521" s="636"/>
      <c r="C521" s="636"/>
      <c r="D521" s="636"/>
      <c r="E521" s="700"/>
      <c r="F521" s="701"/>
    </row>
    <row r="522" spans="1:6" s="639" customFormat="1" ht="12.75" customHeight="1" x14ac:dyDescent="0.25">
      <c r="A522" s="635"/>
      <c r="B522" s="636"/>
      <c r="C522" s="636"/>
      <c r="D522" s="636"/>
      <c r="E522" s="700"/>
      <c r="F522" s="701"/>
    </row>
    <row r="523" spans="1:6" s="639" customFormat="1" ht="12.75" customHeight="1" x14ac:dyDescent="0.25">
      <c r="A523" s="635"/>
      <c r="B523" s="636"/>
      <c r="C523" s="636"/>
      <c r="D523" s="636"/>
      <c r="E523" s="700"/>
      <c r="F523" s="701"/>
    </row>
    <row r="524" spans="1:6" s="639" customFormat="1" ht="12.75" customHeight="1" x14ac:dyDescent="0.25">
      <c r="A524" s="635"/>
      <c r="B524" s="636"/>
      <c r="C524" s="636"/>
      <c r="D524" s="636"/>
      <c r="E524" s="700"/>
      <c r="F524" s="701"/>
    </row>
    <row r="525" spans="1:6" s="639" customFormat="1" ht="12.75" customHeight="1" x14ac:dyDescent="0.25">
      <c r="A525" s="635"/>
      <c r="B525" s="636"/>
      <c r="C525" s="636"/>
      <c r="D525" s="636"/>
      <c r="E525" s="700"/>
      <c r="F525" s="701"/>
    </row>
    <row r="526" spans="1:6" s="639" customFormat="1" ht="12.75" customHeight="1" x14ac:dyDescent="0.25">
      <c r="A526" s="635"/>
      <c r="B526" s="636"/>
      <c r="C526" s="636"/>
      <c r="D526" s="636"/>
      <c r="E526" s="700"/>
      <c r="F526" s="701"/>
    </row>
    <row r="527" spans="1:6" s="639" customFormat="1" ht="12.75" customHeight="1" x14ac:dyDescent="0.25">
      <c r="A527" s="635"/>
      <c r="B527" s="636"/>
      <c r="C527" s="636"/>
      <c r="D527" s="636"/>
      <c r="E527" s="700"/>
      <c r="F527" s="701"/>
    </row>
    <row r="528" spans="1:6" s="639" customFormat="1" ht="12.75" customHeight="1" x14ac:dyDescent="0.25">
      <c r="A528" s="635"/>
      <c r="B528" s="636"/>
      <c r="C528" s="636"/>
      <c r="D528" s="636"/>
      <c r="E528" s="700"/>
      <c r="F528" s="701"/>
    </row>
    <row r="529" spans="1:6" s="639" customFormat="1" ht="12.75" customHeight="1" x14ac:dyDescent="0.25">
      <c r="A529" s="635"/>
      <c r="B529" s="636"/>
      <c r="C529" s="636"/>
      <c r="D529" s="636"/>
      <c r="E529" s="700"/>
      <c r="F529" s="701"/>
    </row>
    <row r="530" spans="1:6" s="639" customFormat="1" ht="12.75" customHeight="1" x14ac:dyDescent="0.25">
      <c r="A530" s="635"/>
      <c r="B530" s="636"/>
      <c r="C530" s="636"/>
      <c r="D530" s="636"/>
      <c r="E530" s="700"/>
      <c r="F530" s="701"/>
    </row>
    <row r="531" spans="1:6" s="639" customFormat="1" ht="12.75" customHeight="1" x14ac:dyDescent="0.25">
      <c r="A531" s="635"/>
      <c r="B531" s="636"/>
      <c r="C531" s="636"/>
      <c r="D531" s="636"/>
      <c r="E531" s="700"/>
      <c r="F531" s="701"/>
    </row>
    <row r="532" spans="1:6" s="639" customFormat="1" ht="12.75" customHeight="1" x14ac:dyDescent="0.25">
      <c r="A532" s="635"/>
      <c r="B532" s="636"/>
      <c r="C532" s="636"/>
      <c r="D532" s="636"/>
      <c r="E532" s="700"/>
      <c r="F532" s="701"/>
    </row>
    <row r="533" spans="1:6" s="639" customFormat="1" ht="12.75" customHeight="1" x14ac:dyDescent="0.25">
      <c r="A533" s="635"/>
      <c r="B533" s="636"/>
      <c r="C533" s="636"/>
      <c r="D533" s="636"/>
      <c r="E533" s="700"/>
      <c r="F533" s="701"/>
    </row>
    <row r="534" spans="1:6" s="639" customFormat="1" ht="12.75" customHeight="1" x14ac:dyDescent="0.25">
      <c r="A534" s="635"/>
      <c r="B534" s="636"/>
      <c r="C534" s="636"/>
      <c r="D534" s="636"/>
      <c r="E534" s="700"/>
      <c r="F534" s="701"/>
    </row>
    <row r="535" spans="1:6" s="639" customFormat="1" ht="12.75" customHeight="1" x14ac:dyDescent="0.25">
      <c r="A535" s="635"/>
      <c r="B535" s="636"/>
      <c r="C535" s="636"/>
      <c r="D535" s="636"/>
      <c r="E535" s="700"/>
      <c r="F535" s="701"/>
    </row>
    <row r="536" spans="1:6" s="639" customFormat="1" ht="12.75" customHeight="1" x14ac:dyDescent="0.25">
      <c r="A536" s="635"/>
      <c r="B536" s="636"/>
      <c r="C536" s="636"/>
      <c r="D536" s="636"/>
      <c r="E536" s="700"/>
      <c r="F536" s="701"/>
    </row>
    <row r="537" spans="1:6" s="639" customFormat="1" ht="12.75" customHeight="1" x14ac:dyDescent="0.25">
      <c r="A537" s="635"/>
      <c r="B537" s="636"/>
      <c r="C537" s="636"/>
      <c r="D537" s="636"/>
      <c r="E537" s="700"/>
      <c r="F537" s="701"/>
    </row>
    <row r="538" spans="1:6" s="639" customFormat="1" ht="12.75" customHeight="1" x14ac:dyDescent="0.25">
      <c r="A538" s="635"/>
      <c r="B538" s="636"/>
      <c r="C538" s="636"/>
      <c r="D538" s="636"/>
      <c r="E538" s="700"/>
      <c r="F538" s="701"/>
    </row>
    <row r="539" spans="1:6" s="639" customFormat="1" ht="12.75" customHeight="1" x14ac:dyDescent="0.25">
      <c r="A539" s="635"/>
      <c r="B539" s="636"/>
      <c r="C539" s="636"/>
      <c r="D539" s="636"/>
      <c r="E539" s="700"/>
      <c r="F539" s="701"/>
    </row>
    <row r="540" spans="1:6" s="639" customFormat="1" ht="12.75" customHeight="1" x14ac:dyDescent="0.25">
      <c r="A540" s="635"/>
      <c r="B540" s="636"/>
      <c r="C540" s="636"/>
      <c r="D540" s="636"/>
      <c r="E540" s="700"/>
      <c r="F540" s="701"/>
    </row>
    <row r="541" spans="1:6" s="639" customFormat="1" ht="12.75" customHeight="1" x14ac:dyDescent="0.25">
      <c r="A541" s="635"/>
      <c r="B541" s="636"/>
      <c r="C541" s="636"/>
      <c r="D541" s="636"/>
      <c r="E541" s="700"/>
      <c r="F541" s="701"/>
    </row>
    <row r="542" spans="1:6" s="639" customFormat="1" ht="12.75" customHeight="1" x14ac:dyDescent="0.25">
      <c r="A542" s="635"/>
      <c r="B542" s="636"/>
      <c r="C542" s="636"/>
      <c r="D542" s="636"/>
      <c r="E542" s="700"/>
      <c r="F542" s="701"/>
    </row>
    <row r="543" spans="1:6" s="639" customFormat="1" ht="12.75" customHeight="1" x14ac:dyDescent="0.25">
      <c r="A543" s="635"/>
      <c r="B543" s="636"/>
      <c r="C543" s="636"/>
      <c r="D543" s="636"/>
      <c r="E543" s="700"/>
      <c r="F543" s="701"/>
    </row>
    <row r="544" spans="1:6" s="639" customFormat="1" ht="12.75" customHeight="1" x14ac:dyDescent="0.25">
      <c r="A544" s="635"/>
      <c r="B544" s="636"/>
      <c r="C544" s="636"/>
      <c r="D544" s="636"/>
      <c r="E544" s="700"/>
      <c r="F544" s="701"/>
    </row>
    <row r="545" spans="1:6" s="639" customFormat="1" ht="12.75" customHeight="1" x14ac:dyDescent="0.25">
      <c r="A545" s="635"/>
      <c r="B545" s="636"/>
      <c r="C545" s="636"/>
      <c r="D545" s="636"/>
      <c r="E545" s="700"/>
      <c r="F545" s="701"/>
    </row>
    <row r="546" spans="1:6" s="639" customFormat="1" ht="12.75" customHeight="1" x14ac:dyDescent="0.25">
      <c r="A546" s="635"/>
      <c r="B546" s="636"/>
      <c r="C546" s="636"/>
      <c r="D546" s="636"/>
      <c r="E546" s="700"/>
      <c r="F546" s="701"/>
    </row>
    <row r="547" spans="1:6" s="639" customFormat="1" ht="12.75" customHeight="1" x14ac:dyDescent="0.25">
      <c r="A547" s="635"/>
      <c r="B547" s="636"/>
      <c r="C547" s="636"/>
      <c r="D547" s="636"/>
      <c r="E547" s="700"/>
      <c r="F547" s="701"/>
    </row>
    <row r="548" spans="1:6" s="639" customFormat="1" ht="12.75" customHeight="1" x14ac:dyDescent="0.25">
      <c r="A548" s="635"/>
      <c r="B548" s="636"/>
      <c r="C548" s="636"/>
      <c r="D548" s="636"/>
      <c r="E548" s="700"/>
      <c r="F548" s="701"/>
    </row>
    <row r="549" spans="1:6" s="639" customFormat="1" ht="12.75" customHeight="1" x14ac:dyDescent="0.25">
      <c r="A549" s="635"/>
      <c r="B549" s="636"/>
      <c r="C549" s="636"/>
      <c r="D549" s="636"/>
      <c r="E549" s="700"/>
      <c r="F549" s="701"/>
    </row>
    <row r="550" spans="1:6" s="639" customFormat="1" ht="12.75" customHeight="1" x14ac:dyDescent="0.25">
      <c r="A550" s="635"/>
      <c r="B550" s="636"/>
      <c r="C550" s="636"/>
      <c r="D550" s="636"/>
      <c r="E550" s="700"/>
      <c r="F550" s="701"/>
    </row>
    <row r="551" spans="1:6" s="639" customFormat="1" ht="12.75" customHeight="1" x14ac:dyDescent="0.25">
      <c r="A551" s="635"/>
      <c r="B551" s="636"/>
      <c r="C551" s="636"/>
      <c r="D551" s="636"/>
      <c r="E551" s="700"/>
      <c r="F551" s="701"/>
    </row>
    <row r="552" spans="1:6" s="639" customFormat="1" ht="12.75" customHeight="1" x14ac:dyDescent="0.25">
      <c r="A552" s="635"/>
      <c r="B552" s="636"/>
      <c r="C552" s="636"/>
      <c r="D552" s="636"/>
      <c r="E552" s="700"/>
      <c r="F552" s="701"/>
    </row>
    <row r="553" spans="1:6" s="639" customFormat="1" ht="12.75" customHeight="1" x14ac:dyDescent="0.25">
      <c r="A553" s="635"/>
      <c r="B553" s="636"/>
      <c r="C553" s="636"/>
      <c r="D553" s="636"/>
      <c r="E553" s="700"/>
      <c r="F553" s="701"/>
    </row>
    <row r="554" spans="1:6" s="639" customFormat="1" ht="12.75" customHeight="1" x14ac:dyDescent="0.25">
      <c r="A554" s="635"/>
      <c r="B554" s="636"/>
      <c r="C554" s="636"/>
      <c r="D554" s="636"/>
      <c r="E554" s="700"/>
      <c r="F554" s="701"/>
    </row>
    <row r="555" spans="1:6" s="639" customFormat="1" ht="12.75" customHeight="1" x14ac:dyDescent="0.25">
      <c r="A555" s="635"/>
      <c r="B555" s="636"/>
      <c r="C555" s="636"/>
      <c r="D555" s="636"/>
      <c r="E555" s="700"/>
      <c r="F555" s="701"/>
    </row>
    <row r="556" spans="1:6" s="639" customFormat="1" ht="12.75" customHeight="1" x14ac:dyDescent="0.25">
      <c r="A556" s="635"/>
      <c r="B556" s="636"/>
      <c r="C556" s="636"/>
      <c r="D556" s="636"/>
      <c r="E556" s="700"/>
      <c r="F556" s="701"/>
    </row>
    <row r="557" spans="1:6" s="639" customFormat="1" ht="12.75" customHeight="1" x14ac:dyDescent="0.25">
      <c r="A557" s="635"/>
      <c r="B557" s="636"/>
      <c r="C557" s="636"/>
      <c r="D557" s="636"/>
      <c r="E557" s="700"/>
      <c r="F557" s="701"/>
    </row>
    <row r="558" spans="1:6" s="639" customFormat="1" ht="12.75" customHeight="1" x14ac:dyDescent="0.25">
      <c r="A558" s="635"/>
      <c r="B558" s="636"/>
      <c r="C558" s="636"/>
      <c r="D558" s="636"/>
      <c r="E558" s="700"/>
      <c r="F558" s="701"/>
    </row>
    <row r="559" spans="1:6" s="639" customFormat="1" ht="12.75" customHeight="1" x14ac:dyDescent="0.25">
      <c r="A559" s="635"/>
      <c r="B559" s="636"/>
      <c r="C559" s="636"/>
      <c r="D559" s="636"/>
      <c r="E559" s="700"/>
      <c r="F559" s="701"/>
    </row>
    <row r="560" spans="1:6" s="639" customFormat="1" ht="12.75" customHeight="1" x14ac:dyDescent="0.25">
      <c r="A560" s="635"/>
      <c r="B560" s="636"/>
      <c r="C560" s="636"/>
      <c r="D560" s="636"/>
      <c r="E560" s="700"/>
      <c r="F560" s="701"/>
    </row>
    <row r="561" spans="1:6" s="639" customFormat="1" ht="12.75" customHeight="1" x14ac:dyDescent="0.25">
      <c r="A561" s="635"/>
      <c r="B561" s="636"/>
      <c r="C561" s="636"/>
      <c r="D561" s="636"/>
      <c r="E561" s="700"/>
      <c r="F561" s="701"/>
    </row>
    <row r="562" spans="1:6" s="639" customFormat="1" ht="12.75" customHeight="1" x14ac:dyDescent="0.25">
      <c r="A562" s="635"/>
      <c r="B562" s="636"/>
      <c r="C562" s="636"/>
      <c r="D562" s="636"/>
      <c r="E562" s="700"/>
      <c r="F562" s="701"/>
    </row>
    <row r="563" spans="1:6" s="639" customFormat="1" ht="12.75" customHeight="1" x14ac:dyDescent="0.25">
      <c r="A563" s="635"/>
      <c r="B563" s="636"/>
      <c r="C563" s="636"/>
      <c r="D563" s="636"/>
      <c r="E563" s="700"/>
      <c r="F563" s="701"/>
    </row>
    <row r="564" spans="1:6" s="639" customFormat="1" ht="12.75" customHeight="1" x14ac:dyDescent="0.25">
      <c r="A564" s="635"/>
      <c r="B564" s="636"/>
      <c r="C564" s="636"/>
      <c r="D564" s="636"/>
      <c r="E564" s="700"/>
      <c r="F564" s="701"/>
    </row>
    <row r="565" spans="1:6" s="639" customFormat="1" ht="12.75" customHeight="1" x14ac:dyDescent="0.25">
      <c r="A565" s="635"/>
      <c r="B565" s="636"/>
      <c r="C565" s="636"/>
      <c r="D565" s="636"/>
      <c r="E565" s="700"/>
      <c r="F565" s="701"/>
    </row>
    <row r="566" spans="1:6" s="639" customFormat="1" ht="12.75" customHeight="1" x14ac:dyDescent="0.25">
      <c r="A566" s="635"/>
      <c r="B566" s="636"/>
      <c r="C566" s="636"/>
      <c r="D566" s="636"/>
      <c r="E566" s="700"/>
      <c r="F566" s="701"/>
    </row>
    <row r="567" spans="1:6" s="639" customFormat="1" ht="12.75" customHeight="1" x14ac:dyDescent="0.25">
      <c r="A567" s="635"/>
      <c r="B567" s="636"/>
      <c r="C567" s="636"/>
      <c r="D567" s="636"/>
      <c r="E567" s="700"/>
      <c r="F567" s="701"/>
    </row>
    <row r="568" spans="1:6" s="639" customFormat="1" ht="12.75" customHeight="1" x14ac:dyDescent="0.25">
      <c r="A568" s="635"/>
      <c r="B568" s="636"/>
      <c r="C568" s="636"/>
      <c r="D568" s="636"/>
      <c r="E568" s="700"/>
      <c r="F568" s="701"/>
    </row>
    <row r="569" spans="1:6" s="639" customFormat="1" ht="12.75" customHeight="1" x14ac:dyDescent="0.25">
      <c r="A569" s="635"/>
      <c r="B569" s="636"/>
      <c r="C569" s="636"/>
      <c r="D569" s="636"/>
      <c r="E569" s="700"/>
      <c r="F569" s="701"/>
    </row>
    <row r="570" spans="1:6" s="639" customFormat="1" ht="12.75" customHeight="1" x14ac:dyDescent="0.25">
      <c r="A570" s="635"/>
      <c r="B570" s="636"/>
      <c r="C570" s="636"/>
      <c r="D570" s="636"/>
      <c r="E570" s="700"/>
      <c r="F570" s="701"/>
    </row>
    <row r="571" spans="1:6" s="639" customFormat="1" ht="12.75" customHeight="1" x14ac:dyDescent="0.25">
      <c r="A571" s="635"/>
      <c r="B571" s="636"/>
      <c r="C571" s="636"/>
      <c r="D571" s="636"/>
      <c r="E571" s="700"/>
      <c r="F571" s="701"/>
    </row>
    <row r="572" spans="1:6" s="639" customFormat="1" ht="12.75" customHeight="1" x14ac:dyDescent="0.25">
      <c r="A572" s="635"/>
      <c r="B572" s="636"/>
      <c r="C572" s="636"/>
      <c r="D572" s="636"/>
      <c r="E572" s="700"/>
      <c r="F572" s="701"/>
    </row>
    <row r="573" spans="1:6" s="639" customFormat="1" ht="12.75" customHeight="1" x14ac:dyDescent="0.25">
      <c r="A573" s="635"/>
      <c r="B573" s="636"/>
      <c r="C573" s="636"/>
      <c r="D573" s="636"/>
      <c r="E573" s="700"/>
      <c r="F573" s="701"/>
    </row>
    <row r="574" spans="1:6" s="639" customFormat="1" ht="12.75" customHeight="1" x14ac:dyDescent="0.25">
      <c r="A574" s="635"/>
      <c r="B574" s="636"/>
      <c r="C574" s="636"/>
      <c r="D574" s="636"/>
      <c r="E574" s="700"/>
      <c r="F574" s="701"/>
    </row>
    <row r="575" spans="1:6" s="639" customFormat="1" ht="12.75" customHeight="1" x14ac:dyDescent="0.25">
      <c r="A575" s="635"/>
      <c r="B575" s="636"/>
      <c r="C575" s="636"/>
      <c r="D575" s="636"/>
      <c r="E575" s="700"/>
      <c r="F575" s="701"/>
    </row>
    <row r="576" spans="1:6" s="639" customFormat="1" ht="12.75" customHeight="1" x14ac:dyDescent="0.25">
      <c r="A576" s="635"/>
      <c r="B576" s="636"/>
      <c r="C576" s="636"/>
      <c r="D576" s="636"/>
      <c r="E576" s="700"/>
      <c r="F576" s="701"/>
    </row>
    <row r="577" spans="1:6" s="639" customFormat="1" ht="12.75" customHeight="1" x14ac:dyDescent="0.25">
      <c r="A577" s="635"/>
      <c r="B577" s="636"/>
      <c r="C577" s="636"/>
      <c r="D577" s="636"/>
      <c r="E577" s="700"/>
      <c r="F577" s="701"/>
    </row>
    <row r="578" spans="1:6" s="639" customFormat="1" ht="12.75" customHeight="1" x14ac:dyDescent="0.25">
      <c r="A578" s="635"/>
      <c r="B578" s="636"/>
      <c r="C578" s="636"/>
      <c r="D578" s="636"/>
      <c r="E578" s="700"/>
      <c r="F578" s="701"/>
    </row>
    <row r="579" spans="1:6" s="639" customFormat="1" ht="12.75" customHeight="1" x14ac:dyDescent="0.25">
      <c r="A579" s="635"/>
      <c r="B579" s="636"/>
      <c r="C579" s="636"/>
      <c r="D579" s="636"/>
      <c r="E579" s="700"/>
      <c r="F579" s="701"/>
    </row>
    <row r="580" spans="1:6" s="639" customFormat="1" ht="12.75" customHeight="1" x14ac:dyDescent="0.25">
      <c r="A580" s="635"/>
      <c r="B580" s="636"/>
      <c r="C580" s="636"/>
      <c r="D580" s="636"/>
      <c r="E580" s="700"/>
      <c r="F580" s="701"/>
    </row>
    <row r="581" spans="1:6" s="639" customFormat="1" ht="12.75" customHeight="1" x14ac:dyDescent="0.25">
      <c r="A581" s="635"/>
      <c r="B581" s="636"/>
      <c r="C581" s="636"/>
      <c r="D581" s="636"/>
      <c r="E581" s="700"/>
      <c r="F581" s="701"/>
    </row>
    <row r="582" spans="1:6" s="639" customFormat="1" ht="12.75" customHeight="1" x14ac:dyDescent="0.25">
      <c r="A582" s="635"/>
      <c r="B582" s="636"/>
      <c r="C582" s="636"/>
      <c r="D582" s="636"/>
      <c r="E582" s="700"/>
      <c r="F582" s="701"/>
    </row>
    <row r="583" spans="1:6" s="639" customFormat="1" ht="12.75" customHeight="1" x14ac:dyDescent="0.25">
      <c r="A583" s="635"/>
      <c r="B583" s="636"/>
      <c r="C583" s="636"/>
      <c r="D583" s="636"/>
      <c r="E583" s="700"/>
      <c r="F583" s="701"/>
    </row>
    <row r="584" spans="1:6" s="639" customFormat="1" ht="12.75" customHeight="1" x14ac:dyDescent="0.25">
      <c r="A584" s="635"/>
      <c r="B584" s="636"/>
      <c r="C584" s="636"/>
      <c r="D584" s="636"/>
      <c r="E584" s="700"/>
      <c r="F584" s="701"/>
    </row>
    <row r="585" spans="1:6" s="639" customFormat="1" ht="12.75" customHeight="1" x14ac:dyDescent="0.25">
      <c r="A585" s="635"/>
      <c r="B585" s="636"/>
      <c r="C585" s="636"/>
      <c r="D585" s="636"/>
      <c r="E585" s="700"/>
      <c r="F585" s="701"/>
    </row>
    <row r="586" spans="1:6" s="639" customFormat="1" ht="12.75" customHeight="1" x14ac:dyDescent="0.25">
      <c r="A586" s="635"/>
      <c r="B586" s="636"/>
      <c r="C586" s="636"/>
      <c r="D586" s="636"/>
      <c r="E586" s="700"/>
      <c r="F586" s="701"/>
    </row>
    <row r="587" spans="1:6" s="639" customFormat="1" ht="12.75" customHeight="1" x14ac:dyDescent="0.25">
      <c r="A587" s="635"/>
      <c r="B587" s="636"/>
      <c r="C587" s="636"/>
      <c r="D587" s="636"/>
      <c r="E587" s="700"/>
      <c r="F587" s="701"/>
    </row>
    <row r="588" spans="1:6" s="639" customFormat="1" ht="12.75" customHeight="1" x14ac:dyDescent="0.25">
      <c r="A588" s="635"/>
      <c r="B588" s="636"/>
      <c r="C588" s="636"/>
      <c r="D588" s="636"/>
      <c r="E588" s="700"/>
      <c r="F588" s="701"/>
    </row>
    <row r="589" spans="1:6" s="639" customFormat="1" ht="12.75" customHeight="1" x14ac:dyDescent="0.25">
      <c r="A589" s="635"/>
      <c r="B589" s="636"/>
      <c r="C589" s="636"/>
      <c r="D589" s="636"/>
      <c r="E589" s="700"/>
      <c r="F589" s="701"/>
    </row>
    <row r="590" spans="1:6" s="639" customFormat="1" ht="12.75" customHeight="1" x14ac:dyDescent="0.25">
      <c r="A590" s="635"/>
      <c r="B590" s="636"/>
      <c r="C590" s="636"/>
      <c r="D590" s="636"/>
      <c r="E590" s="700"/>
      <c r="F590" s="701"/>
    </row>
    <row r="591" spans="1:6" s="639" customFormat="1" ht="12.75" customHeight="1" x14ac:dyDescent="0.25">
      <c r="A591" s="635"/>
      <c r="B591" s="636"/>
      <c r="C591" s="636"/>
      <c r="D591" s="636"/>
      <c r="E591" s="700"/>
      <c r="F591" s="701"/>
    </row>
    <row r="592" spans="1:6" s="639" customFormat="1" ht="12.75" customHeight="1" x14ac:dyDescent="0.25">
      <c r="A592" s="635"/>
      <c r="B592" s="636"/>
      <c r="C592" s="636"/>
      <c r="D592" s="636"/>
      <c r="E592" s="700"/>
      <c r="F592" s="701"/>
    </row>
    <row r="593" spans="1:6" s="639" customFormat="1" ht="12.75" customHeight="1" x14ac:dyDescent="0.25">
      <c r="A593" s="635"/>
      <c r="B593" s="636"/>
      <c r="C593" s="636"/>
      <c r="D593" s="636"/>
      <c r="E593" s="700"/>
      <c r="F593" s="701"/>
    </row>
    <row r="594" spans="1:6" s="639" customFormat="1" ht="12.75" customHeight="1" x14ac:dyDescent="0.25">
      <c r="A594" s="635"/>
      <c r="B594" s="636"/>
      <c r="C594" s="636"/>
      <c r="D594" s="636"/>
      <c r="E594" s="700"/>
      <c r="F594" s="701"/>
    </row>
    <row r="595" spans="1:6" s="639" customFormat="1" ht="12.75" customHeight="1" x14ac:dyDescent="0.25">
      <c r="A595" s="635"/>
      <c r="B595" s="636"/>
      <c r="C595" s="636"/>
      <c r="D595" s="636"/>
      <c r="E595" s="700"/>
      <c r="F595" s="701"/>
    </row>
    <row r="596" spans="1:6" s="639" customFormat="1" ht="12.75" customHeight="1" x14ac:dyDescent="0.25">
      <c r="A596" s="635"/>
      <c r="B596" s="636"/>
      <c r="C596" s="636"/>
      <c r="D596" s="636"/>
      <c r="E596" s="700"/>
      <c r="F596" s="701"/>
    </row>
    <row r="597" spans="1:6" s="639" customFormat="1" ht="12.75" customHeight="1" x14ac:dyDescent="0.25">
      <c r="A597" s="635"/>
      <c r="B597" s="636"/>
      <c r="C597" s="636"/>
      <c r="D597" s="636"/>
      <c r="E597" s="700"/>
      <c r="F597" s="701"/>
    </row>
    <row r="598" spans="1:6" s="639" customFormat="1" ht="12.75" customHeight="1" x14ac:dyDescent="0.25">
      <c r="A598" s="635"/>
      <c r="B598" s="636"/>
      <c r="C598" s="636"/>
      <c r="D598" s="636"/>
      <c r="E598" s="700"/>
      <c r="F598" s="701"/>
    </row>
    <row r="599" spans="1:6" s="639" customFormat="1" ht="12.75" customHeight="1" x14ac:dyDescent="0.25">
      <c r="A599" s="635"/>
      <c r="B599" s="636"/>
      <c r="C599" s="636"/>
      <c r="D599" s="636"/>
      <c r="E599" s="700"/>
      <c r="F599" s="701"/>
    </row>
    <row r="600" spans="1:6" s="639" customFormat="1" ht="12.75" customHeight="1" x14ac:dyDescent="0.25">
      <c r="A600" s="635"/>
      <c r="B600" s="636"/>
      <c r="C600" s="636"/>
      <c r="D600" s="636"/>
      <c r="E600" s="700"/>
      <c r="F600" s="701"/>
    </row>
    <row r="601" spans="1:6" s="639" customFormat="1" ht="12.75" customHeight="1" x14ac:dyDescent="0.25">
      <c r="A601" s="635"/>
      <c r="B601" s="636"/>
      <c r="C601" s="636"/>
      <c r="D601" s="636"/>
      <c r="E601" s="700"/>
      <c r="F601" s="701"/>
    </row>
    <row r="602" spans="1:6" s="639" customFormat="1" ht="12.75" customHeight="1" x14ac:dyDescent="0.25">
      <c r="A602" s="635"/>
      <c r="B602" s="636"/>
      <c r="C602" s="636"/>
      <c r="D602" s="636"/>
      <c r="E602" s="700"/>
      <c r="F602" s="701"/>
    </row>
    <row r="603" spans="1:6" s="639" customFormat="1" ht="12.75" customHeight="1" x14ac:dyDescent="0.25">
      <c r="A603" s="635"/>
      <c r="B603" s="636"/>
      <c r="C603" s="636"/>
      <c r="D603" s="636"/>
      <c r="E603" s="700"/>
      <c r="F603" s="701"/>
    </row>
    <row r="604" spans="1:6" s="639" customFormat="1" ht="12.75" customHeight="1" x14ac:dyDescent="0.25">
      <c r="A604" s="635"/>
      <c r="B604" s="636"/>
      <c r="C604" s="636"/>
      <c r="D604" s="636"/>
      <c r="E604" s="700"/>
      <c r="F604" s="701"/>
    </row>
    <row r="605" spans="1:6" s="639" customFormat="1" ht="12.75" customHeight="1" x14ac:dyDescent="0.25">
      <c r="A605" s="635"/>
      <c r="B605" s="636"/>
      <c r="C605" s="636"/>
      <c r="D605" s="636"/>
      <c r="E605" s="700"/>
      <c r="F605" s="701"/>
    </row>
    <row r="606" spans="1:6" s="639" customFormat="1" ht="12.75" customHeight="1" x14ac:dyDescent="0.25">
      <c r="A606" s="635"/>
      <c r="B606" s="636"/>
      <c r="C606" s="636"/>
      <c r="D606" s="636"/>
      <c r="E606" s="700"/>
      <c r="F606" s="701"/>
    </row>
    <row r="607" spans="1:6" s="639" customFormat="1" ht="12.75" customHeight="1" x14ac:dyDescent="0.25">
      <c r="A607" s="635"/>
      <c r="B607" s="636"/>
      <c r="C607" s="636"/>
      <c r="D607" s="636"/>
      <c r="E607" s="700"/>
      <c r="F607" s="701"/>
    </row>
    <row r="608" spans="1:6" s="639" customFormat="1" ht="12.75" customHeight="1" x14ac:dyDescent="0.25">
      <c r="A608" s="635"/>
      <c r="B608" s="636"/>
      <c r="C608" s="636"/>
      <c r="D608" s="636"/>
      <c r="E608" s="700"/>
      <c r="F608" s="701"/>
    </row>
    <row r="609" spans="1:6" s="639" customFormat="1" ht="12.75" customHeight="1" x14ac:dyDescent="0.25">
      <c r="A609" s="635"/>
      <c r="B609" s="636"/>
      <c r="C609" s="636"/>
      <c r="D609" s="636"/>
      <c r="E609" s="700"/>
      <c r="F609" s="701"/>
    </row>
    <row r="610" spans="1:6" s="639" customFormat="1" ht="12.75" customHeight="1" x14ac:dyDescent="0.25">
      <c r="A610" s="635"/>
      <c r="B610" s="636"/>
      <c r="C610" s="636"/>
      <c r="D610" s="636"/>
      <c r="E610" s="700"/>
      <c r="F610" s="701"/>
    </row>
    <row r="611" spans="1:6" s="639" customFormat="1" ht="12.75" customHeight="1" x14ac:dyDescent="0.25">
      <c r="A611" s="635"/>
      <c r="B611" s="636"/>
      <c r="C611" s="636"/>
      <c r="D611" s="636"/>
      <c r="E611" s="700"/>
      <c r="F611" s="701"/>
    </row>
    <row r="612" spans="1:6" s="639" customFormat="1" ht="12.75" customHeight="1" x14ac:dyDescent="0.25">
      <c r="A612" s="635"/>
      <c r="B612" s="636"/>
      <c r="C612" s="636"/>
      <c r="D612" s="636"/>
      <c r="E612" s="700"/>
      <c r="F612" s="701"/>
    </row>
    <row r="613" spans="1:6" s="639" customFormat="1" ht="12.75" customHeight="1" x14ac:dyDescent="0.25">
      <c r="A613" s="635"/>
      <c r="B613" s="636"/>
      <c r="C613" s="636"/>
      <c r="D613" s="636"/>
      <c r="E613" s="700"/>
      <c r="F613" s="701"/>
    </row>
    <row r="614" spans="1:6" s="639" customFormat="1" ht="12.75" customHeight="1" x14ac:dyDescent="0.25">
      <c r="A614" s="635"/>
      <c r="B614" s="636"/>
      <c r="C614" s="636"/>
      <c r="D614" s="636"/>
      <c r="E614" s="700"/>
      <c r="F614" s="701"/>
    </row>
    <row r="615" spans="1:6" s="639" customFormat="1" ht="12.75" customHeight="1" x14ac:dyDescent="0.25">
      <c r="A615" s="635"/>
      <c r="B615" s="636"/>
      <c r="C615" s="636"/>
      <c r="D615" s="636"/>
      <c r="E615" s="700"/>
      <c r="F615" s="701"/>
    </row>
    <row r="616" spans="1:6" s="639" customFormat="1" ht="12.75" customHeight="1" x14ac:dyDescent="0.25">
      <c r="A616" s="635"/>
      <c r="B616" s="636"/>
      <c r="C616" s="636"/>
      <c r="D616" s="636"/>
      <c r="E616" s="700"/>
      <c r="F616" s="701"/>
    </row>
    <row r="617" spans="1:6" s="639" customFormat="1" ht="12.75" customHeight="1" x14ac:dyDescent="0.25">
      <c r="A617" s="635"/>
      <c r="B617" s="636"/>
      <c r="C617" s="636"/>
      <c r="D617" s="636"/>
      <c r="E617" s="700"/>
      <c r="F617" s="701"/>
    </row>
    <row r="618" spans="1:6" s="639" customFormat="1" ht="12.75" customHeight="1" x14ac:dyDescent="0.25">
      <c r="A618" s="635"/>
      <c r="B618" s="636"/>
      <c r="C618" s="636"/>
      <c r="D618" s="636"/>
      <c r="E618" s="700"/>
      <c r="F618" s="701"/>
    </row>
    <row r="619" spans="1:6" s="639" customFormat="1" ht="12.75" customHeight="1" x14ac:dyDescent="0.25">
      <c r="A619" s="635"/>
      <c r="B619" s="636"/>
      <c r="C619" s="636"/>
      <c r="D619" s="636"/>
      <c r="E619" s="700"/>
      <c r="F619" s="701"/>
    </row>
    <row r="620" spans="1:6" s="639" customFormat="1" ht="12.75" customHeight="1" x14ac:dyDescent="0.25">
      <c r="A620" s="635"/>
      <c r="B620" s="636"/>
      <c r="C620" s="636"/>
      <c r="D620" s="636"/>
      <c r="E620" s="700"/>
      <c r="F620" s="701"/>
    </row>
    <row r="621" spans="1:6" s="639" customFormat="1" ht="12.75" customHeight="1" x14ac:dyDescent="0.25">
      <c r="A621" s="635"/>
      <c r="B621" s="636"/>
      <c r="C621" s="636"/>
      <c r="D621" s="636"/>
      <c r="E621" s="700"/>
      <c r="F621" s="701"/>
    </row>
    <row r="622" spans="1:6" s="639" customFormat="1" ht="12.75" customHeight="1" x14ac:dyDescent="0.25">
      <c r="A622" s="635"/>
      <c r="B622" s="636"/>
      <c r="C622" s="636"/>
      <c r="D622" s="636"/>
      <c r="E622" s="700"/>
      <c r="F622" s="701"/>
    </row>
    <row r="623" spans="1:6" s="639" customFormat="1" ht="12.75" customHeight="1" x14ac:dyDescent="0.25">
      <c r="A623" s="635"/>
      <c r="B623" s="636"/>
      <c r="C623" s="636"/>
      <c r="D623" s="636"/>
      <c r="E623" s="700"/>
      <c r="F623" s="701"/>
    </row>
    <row r="624" spans="1:6" s="639" customFormat="1" ht="12.75" customHeight="1" x14ac:dyDescent="0.25">
      <c r="A624" s="635"/>
      <c r="B624" s="636"/>
      <c r="C624" s="636"/>
      <c r="D624" s="636"/>
      <c r="E624" s="700"/>
      <c r="F624" s="701"/>
    </row>
    <row r="625" spans="1:6" s="639" customFormat="1" ht="12.75" customHeight="1" x14ac:dyDescent="0.25">
      <c r="A625" s="635"/>
      <c r="B625" s="636"/>
      <c r="C625" s="636"/>
      <c r="D625" s="636"/>
      <c r="E625" s="700"/>
      <c r="F625" s="701"/>
    </row>
    <row r="626" spans="1:6" s="639" customFormat="1" ht="12.75" customHeight="1" x14ac:dyDescent="0.25">
      <c r="A626" s="635"/>
      <c r="B626" s="636"/>
      <c r="C626" s="636"/>
      <c r="D626" s="636"/>
      <c r="E626" s="700"/>
      <c r="F626" s="701"/>
    </row>
    <row r="627" spans="1:6" s="639" customFormat="1" ht="12.75" customHeight="1" x14ac:dyDescent="0.25">
      <c r="A627" s="635"/>
      <c r="B627" s="636"/>
      <c r="C627" s="636"/>
      <c r="D627" s="636"/>
      <c r="E627" s="700"/>
      <c r="F627" s="701"/>
    </row>
    <row r="628" spans="1:6" s="639" customFormat="1" ht="12.75" customHeight="1" x14ac:dyDescent="0.25">
      <c r="A628" s="635"/>
      <c r="B628" s="636"/>
      <c r="C628" s="636"/>
      <c r="D628" s="636"/>
      <c r="E628" s="700"/>
      <c r="F628" s="701"/>
    </row>
    <row r="629" spans="1:6" s="639" customFormat="1" ht="12.75" customHeight="1" x14ac:dyDescent="0.25">
      <c r="A629" s="635"/>
      <c r="B629" s="636"/>
      <c r="C629" s="636"/>
      <c r="D629" s="636"/>
      <c r="E629" s="700"/>
      <c r="F629" s="701"/>
    </row>
    <row r="630" spans="1:6" s="639" customFormat="1" ht="12.75" customHeight="1" x14ac:dyDescent="0.25">
      <c r="A630" s="635"/>
      <c r="B630" s="636"/>
      <c r="C630" s="636"/>
      <c r="D630" s="636"/>
      <c r="E630" s="700"/>
      <c r="F630" s="701"/>
    </row>
    <row r="631" spans="1:6" s="639" customFormat="1" ht="12.75" customHeight="1" x14ac:dyDescent="0.25">
      <c r="A631" s="635"/>
      <c r="B631" s="636"/>
      <c r="C631" s="636"/>
      <c r="D631" s="636"/>
      <c r="E631" s="700"/>
      <c r="F631" s="701"/>
    </row>
    <row r="632" spans="1:6" s="639" customFormat="1" ht="12.75" customHeight="1" x14ac:dyDescent="0.25">
      <c r="A632" s="635"/>
      <c r="B632" s="636"/>
      <c r="C632" s="636"/>
      <c r="D632" s="636"/>
      <c r="E632" s="700"/>
      <c r="F632" s="701"/>
    </row>
    <row r="633" spans="1:6" s="639" customFormat="1" ht="12.75" customHeight="1" x14ac:dyDescent="0.25">
      <c r="A633" s="635"/>
      <c r="B633" s="636"/>
      <c r="C633" s="636"/>
      <c r="D633" s="636"/>
      <c r="E633" s="700"/>
      <c r="F633" s="701"/>
    </row>
    <row r="634" spans="1:6" s="639" customFormat="1" ht="12.75" customHeight="1" x14ac:dyDescent="0.25">
      <c r="A634" s="635"/>
      <c r="B634" s="636"/>
      <c r="C634" s="636"/>
      <c r="D634" s="636"/>
      <c r="E634" s="700"/>
      <c r="F634" s="701"/>
    </row>
    <row r="635" spans="1:6" s="639" customFormat="1" ht="12.75" customHeight="1" x14ac:dyDescent="0.25">
      <c r="A635" s="635"/>
      <c r="B635" s="636"/>
      <c r="C635" s="636"/>
      <c r="D635" s="636"/>
      <c r="E635" s="700"/>
      <c r="F635" s="701"/>
    </row>
    <row r="636" spans="1:6" s="639" customFormat="1" ht="12.75" customHeight="1" x14ac:dyDescent="0.25">
      <c r="A636" s="635"/>
      <c r="B636" s="636"/>
      <c r="C636" s="636"/>
      <c r="D636" s="636"/>
      <c r="E636" s="700"/>
      <c r="F636" s="701"/>
    </row>
    <row r="637" spans="1:6" s="639" customFormat="1" ht="12.75" customHeight="1" x14ac:dyDescent="0.25">
      <c r="A637" s="635"/>
      <c r="B637" s="636"/>
      <c r="C637" s="636"/>
      <c r="D637" s="636"/>
      <c r="E637" s="700"/>
      <c r="F637" s="701"/>
    </row>
    <row r="638" spans="1:6" s="639" customFormat="1" ht="12.75" customHeight="1" x14ac:dyDescent="0.25">
      <c r="A638" s="635"/>
      <c r="B638" s="636"/>
      <c r="C638" s="636"/>
      <c r="D638" s="636"/>
      <c r="E638" s="700"/>
      <c r="F638" s="701"/>
    </row>
    <row r="639" spans="1:6" s="639" customFormat="1" ht="12.75" customHeight="1" x14ac:dyDescent="0.25">
      <c r="A639" s="635"/>
      <c r="B639" s="636"/>
      <c r="C639" s="636"/>
      <c r="D639" s="636"/>
      <c r="E639" s="700"/>
      <c r="F639" s="701"/>
    </row>
    <row r="640" spans="1:6" s="639" customFormat="1" ht="12.75" customHeight="1" x14ac:dyDescent="0.25">
      <c r="A640" s="635"/>
      <c r="B640" s="636"/>
      <c r="C640" s="636"/>
      <c r="D640" s="636"/>
      <c r="E640" s="700"/>
      <c r="F640" s="701"/>
    </row>
    <row r="641" spans="1:6" s="639" customFormat="1" ht="12.75" customHeight="1" x14ac:dyDescent="0.25">
      <c r="A641" s="635"/>
      <c r="B641" s="636"/>
      <c r="C641" s="636"/>
      <c r="D641" s="636"/>
      <c r="E641" s="700"/>
      <c r="F641" s="701"/>
    </row>
    <row r="642" spans="1:6" s="639" customFormat="1" ht="12.75" customHeight="1" x14ac:dyDescent="0.25">
      <c r="A642" s="635"/>
      <c r="B642" s="636"/>
      <c r="C642" s="636"/>
      <c r="D642" s="636"/>
      <c r="E642" s="700"/>
      <c r="F642" s="701"/>
    </row>
    <row r="643" spans="1:6" s="639" customFormat="1" ht="12.75" customHeight="1" x14ac:dyDescent="0.25">
      <c r="A643" s="635"/>
      <c r="B643" s="636"/>
      <c r="C643" s="636"/>
      <c r="D643" s="636"/>
      <c r="E643" s="700"/>
      <c r="F643" s="701"/>
    </row>
    <row r="644" spans="1:6" s="639" customFormat="1" ht="12.75" customHeight="1" x14ac:dyDescent="0.25">
      <c r="A644" s="635"/>
      <c r="B644" s="636"/>
      <c r="C644" s="636"/>
      <c r="D644" s="636"/>
      <c r="E644" s="700"/>
      <c r="F644" s="701"/>
    </row>
    <row r="645" spans="1:6" s="639" customFormat="1" ht="12.75" customHeight="1" x14ac:dyDescent="0.25">
      <c r="A645" s="635"/>
      <c r="B645" s="636"/>
      <c r="C645" s="636"/>
      <c r="D645" s="636"/>
      <c r="E645" s="700"/>
      <c r="F645" s="701"/>
    </row>
    <row r="646" spans="1:6" s="639" customFormat="1" ht="12.75" customHeight="1" x14ac:dyDescent="0.25">
      <c r="A646" s="635"/>
      <c r="B646" s="636"/>
      <c r="C646" s="636"/>
      <c r="D646" s="636"/>
      <c r="E646" s="700"/>
      <c r="F646" s="701"/>
    </row>
    <row r="647" spans="1:6" s="639" customFormat="1" ht="12.75" customHeight="1" x14ac:dyDescent="0.25">
      <c r="A647" s="635"/>
      <c r="B647" s="636"/>
      <c r="C647" s="636"/>
      <c r="D647" s="636"/>
      <c r="E647" s="700"/>
      <c r="F647" s="701"/>
    </row>
    <row r="648" spans="1:6" s="639" customFormat="1" ht="12.75" customHeight="1" x14ac:dyDescent="0.25">
      <c r="A648" s="635"/>
      <c r="B648" s="636"/>
      <c r="C648" s="636"/>
      <c r="D648" s="636"/>
      <c r="E648" s="700"/>
      <c r="F648" s="701"/>
    </row>
    <row r="649" spans="1:6" s="639" customFormat="1" ht="12.75" customHeight="1" x14ac:dyDescent="0.25">
      <c r="A649" s="635"/>
      <c r="B649" s="636"/>
      <c r="C649" s="636"/>
      <c r="D649" s="636"/>
      <c r="E649" s="700"/>
      <c r="F649" s="701"/>
    </row>
    <row r="650" spans="1:6" s="639" customFormat="1" ht="12.75" customHeight="1" x14ac:dyDescent="0.25">
      <c r="A650" s="635"/>
      <c r="B650" s="636"/>
      <c r="C650" s="636"/>
      <c r="D650" s="636"/>
      <c r="E650" s="700"/>
      <c r="F650" s="701"/>
    </row>
    <row r="651" spans="1:6" s="639" customFormat="1" ht="12.75" customHeight="1" x14ac:dyDescent="0.25">
      <c r="A651" s="635"/>
      <c r="B651" s="636"/>
      <c r="C651" s="636"/>
      <c r="D651" s="636"/>
      <c r="E651" s="700"/>
      <c r="F651" s="701"/>
    </row>
    <row r="652" spans="1:6" s="639" customFormat="1" ht="12.75" customHeight="1" x14ac:dyDescent="0.25">
      <c r="A652" s="635"/>
      <c r="B652" s="636"/>
      <c r="C652" s="636"/>
      <c r="D652" s="636"/>
      <c r="E652" s="700"/>
      <c r="F652" s="701"/>
    </row>
    <row r="653" spans="1:6" s="639" customFormat="1" ht="12.75" customHeight="1" x14ac:dyDescent="0.25">
      <c r="A653" s="635"/>
      <c r="B653" s="636"/>
      <c r="C653" s="636"/>
      <c r="D653" s="636"/>
      <c r="E653" s="700"/>
      <c r="F653" s="701"/>
    </row>
    <row r="654" spans="1:6" s="639" customFormat="1" ht="12.75" customHeight="1" x14ac:dyDescent="0.25">
      <c r="A654" s="635"/>
      <c r="B654" s="636"/>
      <c r="C654" s="636"/>
      <c r="D654" s="636"/>
      <c r="E654" s="700"/>
      <c r="F654" s="701"/>
    </row>
    <row r="655" spans="1:6" s="639" customFormat="1" ht="12.75" customHeight="1" x14ac:dyDescent="0.25">
      <c r="A655" s="635"/>
      <c r="B655" s="636"/>
      <c r="C655" s="636"/>
      <c r="D655" s="636"/>
      <c r="E655" s="700"/>
      <c r="F655" s="701"/>
    </row>
    <row r="656" spans="1:6" s="639" customFormat="1" ht="12.75" customHeight="1" x14ac:dyDescent="0.25">
      <c r="A656" s="635"/>
      <c r="B656" s="636"/>
      <c r="C656" s="636"/>
      <c r="D656" s="636"/>
      <c r="E656" s="700"/>
      <c r="F656" s="701"/>
    </row>
    <row r="657" spans="1:6" s="639" customFormat="1" ht="12.75" customHeight="1" x14ac:dyDescent="0.25">
      <c r="A657" s="635"/>
      <c r="B657" s="636"/>
      <c r="C657" s="636"/>
      <c r="D657" s="636"/>
      <c r="E657" s="700"/>
      <c r="F657" s="701"/>
    </row>
    <row r="658" spans="1:6" s="639" customFormat="1" ht="12.75" customHeight="1" x14ac:dyDescent="0.25">
      <c r="A658" s="635"/>
      <c r="B658" s="636"/>
      <c r="C658" s="636"/>
      <c r="D658" s="636"/>
      <c r="E658" s="700"/>
      <c r="F658" s="701"/>
    </row>
    <row r="659" spans="1:6" s="639" customFormat="1" ht="12.75" customHeight="1" x14ac:dyDescent="0.25">
      <c r="A659" s="635"/>
      <c r="B659" s="636"/>
      <c r="C659" s="636"/>
      <c r="D659" s="636"/>
      <c r="E659" s="700"/>
      <c r="F659" s="701"/>
    </row>
    <row r="660" spans="1:6" s="639" customFormat="1" ht="12.75" customHeight="1" x14ac:dyDescent="0.25">
      <c r="A660" s="635"/>
      <c r="B660" s="636"/>
      <c r="C660" s="636"/>
      <c r="D660" s="636"/>
      <c r="E660" s="700"/>
      <c r="F660" s="701"/>
    </row>
    <row r="661" spans="1:6" s="639" customFormat="1" ht="12.75" customHeight="1" x14ac:dyDescent="0.25">
      <c r="A661" s="635"/>
      <c r="B661" s="636"/>
      <c r="C661" s="636"/>
      <c r="D661" s="636"/>
      <c r="E661" s="700"/>
      <c r="F661" s="701"/>
    </row>
    <row r="662" spans="1:6" s="639" customFormat="1" ht="12.75" customHeight="1" x14ac:dyDescent="0.25">
      <c r="A662" s="635"/>
      <c r="B662" s="636"/>
      <c r="C662" s="636"/>
      <c r="D662" s="636"/>
      <c r="E662" s="700"/>
      <c r="F662" s="701"/>
    </row>
    <row r="663" spans="1:6" s="639" customFormat="1" ht="12.75" customHeight="1" x14ac:dyDescent="0.25">
      <c r="A663" s="635"/>
      <c r="B663" s="636"/>
      <c r="C663" s="636"/>
      <c r="D663" s="636"/>
      <c r="E663" s="700"/>
      <c r="F663" s="701"/>
    </row>
    <row r="664" spans="1:6" s="639" customFormat="1" ht="12.75" customHeight="1" x14ac:dyDescent="0.25">
      <c r="A664" s="635"/>
      <c r="B664" s="636"/>
      <c r="C664" s="636"/>
      <c r="D664" s="636"/>
      <c r="E664" s="700"/>
      <c r="F664" s="701"/>
    </row>
    <row r="665" spans="1:6" s="639" customFormat="1" ht="12.75" customHeight="1" x14ac:dyDescent="0.25">
      <c r="A665" s="635"/>
      <c r="B665" s="636"/>
      <c r="C665" s="636"/>
      <c r="D665" s="636"/>
      <c r="E665" s="700"/>
      <c r="F665" s="701"/>
    </row>
    <row r="666" spans="1:6" s="639" customFormat="1" ht="12.75" customHeight="1" x14ac:dyDescent="0.25">
      <c r="A666" s="635"/>
      <c r="B666" s="636"/>
      <c r="C666" s="636"/>
      <c r="D666" s="636"/>
      <c r="E666" s="700"/>
      <c r="F666" s="701"/>
    </row>
    <row r="667" spans="1:6" s="639" customFormat="1" ht="12.75" customHeight="1" x14ac:dyDescent="0.25">
      <c r="A667" s="635"/>
      <c r="B667" s="636"/>
      <c r="C667" s="636"/>
      <c r="D667" s="636"/>
      <c r="E667" s="700"/>
      <c r="F667" s="701"/>
    </row>
    <row r="668" spans="1:6" s="639" customFormat="1" ht="12.75" customHeight="1" x14ac:dyDescent="0.25">
      <c r="A668" s="635"/>
      <c r="B668" s="636"/>
      <c r="C668" s="636"/>
      <c r="D668" s="636"/>
      <c r="E668" s="700"/>
      <c r="F668" s="701"/>
    </row>
    <row r="669" spans="1:6" s="639" customFormat="1" ht="12.75" customHeight="1" x14ac:dyDescent="0.25">
      <c r="A669" s="635"/>
      <c r="B669" s="636"/>
      <c r="C669" s="636"/>
      <c r="D669" s="636"/>
      <c r="E669" s="700"/>
      <c r="F669" s="701"/>
    </row>
    <row r="670" spans="1:6" s="639" customFormat="1" ht="12.75" customHeight="1" x14ac:dyDescent="0.25">
      <c r="A670" s="635"/>
      <c r="B670" s="636"/>
      <c r="C670" s="636"/>
      <c r="D670" s="636"/>
      <c r="E670" s="700"/>
      <c r="F670" s="701"/>
    </row>
    <row r="671" spans="1:6" s="639" customFormat="1" ht="12.75" customHeight="1" x14ac:dyDescent="0.25">
      <c r="A671" s="635"/>
      <c r="B671" s="636"/>
      <c r="C671" s="636"/>
      <c r="D671" s="636"/>
      <c r="E671" s="700"/>
      <c r="F671" s="701"/>
    </row>
    <row r="672" spans="1:6" s="639" customFormat="1" ht="12.75" customHeight="1" x14ac:dyDescent="0.25">
      <c r="A672" s="635"/>
      <c r="B672" s="636"/>
      <c r="C672" s="636"/>
      <c r="D672" s="636"/>
      <c r="E672" s="700"/>
      <c r="F672" s="701"/>
    </row>
    <row r="673" spans="1:6" s="639" customFormat="1" ht="12.75" customHeight="1" x14ac:dyDescent="0.25">
      <c r="A673" s="635"/>
      <c r="B673" s="636"/>
      <c r="C673" s="636"/>
      <c r="D673" s="636"/>
      <c r="E673" s="700"/>
      <c r="F673" s="701"/>
    </row>
    <row r="674" spans="1:6" s="639" customFormat="1" ht="12.75" customHeight="1" x14ac:dyDescent="0.25">
      <c r="A674" s="635"/>
      <c r="B674" s="636"/>
      <c r="C674" s="636"/>
      <c r="D674" s="636"/>
      <c r="E674" s="700"/>
      <c r="F674" s="701"/>
    </row>
    <row r="675" spans="1:6" s="639" customFormat="1" ht="12.75" customHeight="1" x14ac:dyDescent="0.25">
      <c r="A675" s="635"/>
      <c r="B675" s="636"/>
      <c r="C675" s="636"/>
      <c r="D675" s="636"/>
      <c r="E675" s="700"/>
      <c r="F675" s="701"/>
    </row>
    <row r="676" spans="1:6" s="639" customFormat="1" ht="12.75" customHeight="1" x14ac:dyDescent="0.25">
      <c r="A676" s="635"/>
      <c r="B676" s="636"/>
      <c r="C676" s="636"/>
      <c r="D676" s="636"/>
      <c r="E676" s="700"/>
      <c r="F676" s="701"/>
    </row>
    <row r="677" spans="1:6" s="639" customFormat="1" ht="12.75" customHeight="1" x14ac:dyDescent="0.25">
      <c r="A677" s="635"/>
      <c r="B677" s="636"/>
      <c r="C677" s="636"/>
      <c r="D677" s="636"/>
      <c r="E677" s="700"/>
      <c r="F677" s="701"/>
    </row>
    <row r="678" spans="1:6" s="639" customFormat="1" ht="12.75" customHeight="1" x14ac:dyDescent="0.25">
      <c r="A678" s="635"/>
      <c r="B678" s="636"/>
      <c r="C678" s="636"/>
      <c r="D678" s="636"/>
      <c r="E678" s="700"/>
      <c r="F678" s="701"/>
    </row>
    <row r="679" spans="1:6" s="639" customFormat="1" ht="12.75" customHeight="1" x14ac:dyDescent="0.25">
      <c r="A679" s="635"/>
      <c r="B679" s="636"/>
      <c r="C679" s="636"/>
      <c r="D679" s="636"/>
      <c r="E679" s="700"/>
      <c r="F679" s="701"/>
    </row>
    <row r="680" spans="1:6" s="639" customFormat="1" ht="12.75" customHeight="1" x14ac:dyDescent="0.25">
      <c r="A680" s="635"/>
      <c r="B680" s="636"/>
      <c r="C680" s="636"/>
      <c r="D680" s="636"/>
      <c r="E680" s="700"/>
      <c r="F680" s="701"/>
    </row>
    <row r="681" spans="1:6" s="639" customFormat="1" ht="12.75" customHeight="1" x14ac:dyDescent="0.25">
      <c r="A681" s="635"/>
      <c r="B681" s="636"/>
      <c r="C681" s="636"/>
      <c r="D681" s="636"/>
      <c r="E681" s="700"/>
      <c r="F681" s="701"/>
    </row>
    <row r="682" spans="1:6" s="639" customFormat="1" ht="12.75" customHeight="1" x14ac:dyDescent="0.25">
      <c r="A682" s="635"/>
      <c r="B682" s="636"/>
      <c r="C682" s="636"/>
      <c r="D682" s="636"/>
      <c r="E682" s="700"/>
      <c r="F682" s="701"/>
    </row>
    <row r="683" spans="1:6" s="639" customFormat="1" ht="12.75" customHeight="1" x14ac:dyDescent="0.25">
      <c r="A683" s="635"/>
      <c r="B683" s="636"/>
      <c r="C683" s="636"/>
      <c r="D683" s="636"/>
      <c r="E683" s="700"/>
      <c r="F683" s="701"/>
    </row>
    <row r="684" spans="1:6" s="639" customFormat="1" ht="12.75" customHeight="1" x14ac:dyDescent="0.25">
      <c r="A684" s="635"/>
      <c r="B684" s="636"/>
      <c r="C684" s="636"/>
      <c r="D684" s="636"/>
      <c r="E684" s="700"/>
      <c r="F684" s="701"/>
    </row>
    <row r="685" spans="1:6" s="639" customFormat="1" ht="12.75" customHeight="1" x14ac:dyDescent="0.25">
      <c r="A685" s="635"/>
      <c r="B685" s="636"/>
      <c r="C685" s="636"/>
      <c r="D685" s="636"/>
      <c r="E685" s="700"/>
      <c r="F685" s="701"/>
    </row>
    <row r="686" spans="1:6" s="639" customFormat="1" ht="12.75" customHeight="1" x14ac:dyDescent="0.25">
      <c r="A686" s="635"/>
      <c r="B686" s="636"/>
      <c r="C686" s="636"/>
      <c r="D686" s="636"/>
      <c r="E686" s="700"/>
      <c r="F686" s="701"/>
    </row>
    <row r="687" spans="1:6" s="639" customFormat="1" ht="12.75" customHeight="1" x14ac:dyDescent="0.25">
      <c r="A687" s="635"/>
      <c r="B687" s="636"/>
      <c r="C687" s="636"/>
      <c r="D687" s="636"/>
      <c r="E687" s="700"/>
      <c r="F687" s="701"/>
    </row>
    <row r="688" spans="1:6" s="639" customFormat="1" ht="12.75" customHeight="1" x14ac:dyDescent="0.25">
      <c r="A688" s="635"/>
      <c r="B688" s="636"/>
      <c r="C688" s="636"/>
      <c r="D688" s="636"/>
      <c r="E688" s="700"/>
      <c r="F688" s="701"/>
    </row>
    <row r="689" spans="1:6" s="639" customFormat="1" ht="12.75" customHeight="1" x14ac:dyDescent="0.25">
      <c r="A689" s="635"/>
      <c r="B689" s="636"/>
      <c r="C689" s="636"/>
      <c r="D689" s="636"/>
      <c r="E689" s="700"/>
      <c r="F689" s="701"/>
    </row>
    <row r="690" spans="1:6" s="639" customFormat="1" ht="12.75" customHeight="1" x14ac:dyDescent="0.25">
      <c r="A690" s="635"/>
      <c r="B690" s="636"/>
      <c r="C690" s="636"/>
      <c r="D690" s="636"/>
      <c r="E690" s="700"/>
      <c r="F690" s="701"/>
    </row>
    <row r="691" spans="1:6" s="639" customFormat="1" ht="12.75" customHeight="1" x14ac:dyDescent="0.25">
      <c r="A691" s="635"/>
      <c r="B691" s="636"/>
      <c r="C691" s="636"/>
      <c r="D691" s="636"/>
      <c r="E691" s="700"/>
      <c r="F691" s="701"/>
    </row>
    <row r="692" spans="1:6" s="639" customFormat="1" ht="12.75" customHeight="1" x14ac:dyDescent="0.25">
      <c r="A692" s="635"/>
      <c r="B692" s="636"/>
      <c r="C692" s="636"/>
      <c r="D692" s="636"/>
      <c r="E692" s="700"/>
      <c r="F692" s="701"/>
    </row>
    <row r="693" spans="1:6" s="639" customFormat="1" ht="12.75" customHeight="1" x14ac:dyDescent="0.25">
      <c r="A693" s="635"/>
      <c r="B693" s="636"/>
      <c r="C693" s="636"/>
      <c r="D693" s="636"/>
      <c r="E693" s="700"/>
      <c r="F693" s="701"/>
    </row>
    <row r="694" spans="1:6" s="639" customFormat="1" ht="12.75" customHeight="1" x14ac:dyDescent="0.25">
      <c r="A694" s="635"/>
      <c r="B694" s="636"/>
      <c r="C694" s="636"/>
      <c r="D694" s="636"/>
      <c r="E694" s="700"/>
      <c r="F694" s="701"/>
    </row>
    <row r="695" spans="1:6" s="639" customFormat="1" ht="12.75" customHeight="1" x14ac:dyDescent="0.25">
      <c r="A695" s="635"/>
      <c r="B695" s="636"/>
      <c r="C695" s="636"/>
      <c r="D695" s="636"/>
      <c r="E695" s="700"/>
      <c r="F695" s="701"/>
    </row>
    <row r="696" spans="1:6" s="639" customFormat="1" ht="12.75" customHeight="1" x14ac:dyDescent="0.25">
      <c r="A696" s="635"/>
      <c r="B696" s="636"/>
      <c r="C696" s="636"/>
      <c r="D696" s="636"/>
      <c r="E696" s="700"/>
      <c r="F696" s="701"/>
    </row>
    <row r="697" spans="1:6" s="639" customFormat="1" ht="12.75" customHeight="1" x14ac:dyDescent="0.25">
      <c r="A697" s="635"/>
      <c r="B697" s="636"/>
      <c r="C697" s="636"/>
      <c r="D697" s="636"/>
      <c r="E697" s="700"/>
      <c r="F697" s="701"/>
    </row>
    <row r="698" spans="1:6" s="639" customFormat="1" ht="12.75" customHeight="1" x14ac:dyDescent="0.25">
      <c r="A698" s="635"/>
      <c r="B698" s="636"/>
      <c r="C698" s="636"/>
      <c r="D698" s="636"/>
      <c r="E698" s="700"/>
      <c r="F698" s="701"/>
    </row>
    <row r="699" spans="1:6" s="639" customFormat="1" ht="12.75" customHeight="1" x14ac:dyDescent="0.25">
      <c r="A699" s="635"/>
      <c r="B699" s="636"/>
      <c r="C699" s="636"/>
      <c r="D699" s="636"/>
      <c r="E699" s="700"/>
      <c r="F699" s="701"/>
    </row>
    <row r="700" spans="1:6" s="639" customFormat="1" ht="12.75" customHeight="1" x14ac:dyDescent="0.25">
      <c r="A700" s="635"/>
      <c r="B700" s="636"/>
      <c r="C700" s="636"/>
      <c r="D700" s="636"/>
      <c r="E700" s="700"/>
      <c r="F700" s="701"/>
    </row>
    <row r="701" spans="1:6" s="639" customFormat="1" ht="12.75" customHeight="1" x14ac:dyDescent="0.25">
      <c r="A701" s="635"/>
      <c r="B701" s="636"/>
      <c r="C701" s="636"/>
      <c r="D701" s="636"/>
      <c r="E701" s="700"/>
      <c r="F701" s="701"/>
    </row>
    <row r="702" spans="1:6" s="639" customFormat="1" ht="12.75" customHeight="1" x14ac:dyDescent="0.25">
      <c r="A702" s="635"/>
      <c r="B702" s="636"/>
      <c r="C702" s="636"/>
      <c r="D702" s="636"/>
      <c r="E702" s="700"/>
      <c r="F702" s="701"/>
    </row>
    <row r="703" spans="1:6" s="639" customFormat="1" ht="12.75" customHeight="1" x14ac:dyDescent="0.25">
      <c r="A703" s="635"/>
      <c r="B703" s="636"/>
      <c r="C703" s="636"/>
      <c r="D703" s="636"/>
      <c r="E703" s="700"/>
      <c r="F703" s="701"/>
    </row>
    <row r="704" spans="1:6" s="639" customFormat="1" ht="12.75" customHeight="1" x14ac:dyDescent="0.25">
      <c r="A704" s="635"/>
      <c r="B704" s="636"/>
      <c r="C704" s="636"/>
      <c r="D704" s="636"/>
      <c r="E704" s="700"/>
      <c r="F704" s="701"/>
    </row>
    <row r="705" spans="1:6" s="639" customFormat="1" ht="12.75" customHeight="1" x14ac:dyDescent="0.25">
      <c r="A705" s="635"/>
      <c r="B705" s="636"/>
      <c r="C705" s="636"/>
      <c r="D705" s="636"/>
      <c r="E705" s="700"/>
      <c r="F705" s="701"/>
    </row>
    <row r="706" spans="1:6" s="639" customFormat="1" ht="12.75" customHeight="1" x14ac:dyDescent="0.25">
      <c r="A706" s="635"/>
      <c r="B706" s="636"/>
      <c r="C706" s="636"/>
      <c r="D706" s="636"/>
      <c r="E706" s="700"/>
      <c r="F706" s="701"/>
    </row>
    <row r="707" spans="1:6" s="639" customFormat="1" ht="12.75" customHeight="1" x14ac:dyDescent="0.25">
      <c r="A707" s="635"/>
      <c r="B707" s="636"/>
      <c r="C707" s="636"/>
      <c r="D707" s="636"/>
      <c r="E707" s="700"/>
      <c r="F707" s="701"/>
    </row>
    <row r="708" spans="1:6" s="639" customFormat="1" ht="12.75" customHeight="1" x14ac:dyDescent="0.25">
      <c r="A708" s="635"/>
      <c r="B708" s="636"/>
      <c r="C708" s="636"/>
      <c r="D708" s="636"/>
      <c r="E708" s="700"/>
      <c r="F708" s="701"/>
    </row>
    <row r="709" spans="1:6" s="639" customFormat="1" ht="12.75" customHeight="1" x14ac:dyDescent="0.25">
      <c r="A709" s="635"/>
      <c r="B709" s="636"/>
      <c r="C709" s="636"/>
      <c r="D709" s="636"/>
      <c r="E709" s="700"/>
      <c r="F709" s="701"/>
    </row>
    <row r="710" spans="1:6" s="639" customFormat="1" ht="12.75" customHeight="1" x14ac:dyDescent="0.25">
      <c r="A710" s="635"/>
      <c r="B710" s="636"/>
      <c r="C710" s="636"/>
      <c r="D710" s="636"/>
      <c r="E710" s="700"/>
      <c r="F710" s="701"/>
    </row>
    <row r="711" spans="1:6" s="639" customFormat="1" ht="12.75" customHeight="1" x14ac:dyDescent="0.25">
      <c r="A711" s="635"/>
      <c r="B711" s="636"/>
      <c r="C711" s="636"/>
      <c r="D711" s="636"/>
      <c r="E711" s="700"/>
      <c r="F711" s="701"/>
    </row>
    <row r="712" spans="1:6" s="639" customFormat="1" ht="12.75" customHeight="1" x14ac:dyDescent="0.25">
      <c r="A712" s="635"/>
      <c r="B712" s="636"/>
      <c r="C712" s="636"/>
      <c r="D712" s="636"/>
      <c r="E712" s="700"/>
      <c r="F712" s="701"/>
    </row>
    <row r="713" spans="1:6" s="639" customFormat="1" ht="12.75" customHeight="1" x14ac:dyDescent="0.25">
      <c r="A713" s="635"/>
      <c r="B713" s="636"/>
      <c r="C713" s="636"/>
      <c r="D713" s="636"/>
      <c r="E713" s="700"/>
      <c r="F713" s="701"/>
    </row>
    <row r="714" spans="1:6" s="639" customFormat="1" ht="12.75" customHeight="1" x14ac:dyDescent="0.25">
      <c r="A714" s="635"/>
      <c r="B714" s="636"/>
      <c r="C714" s="636"/>
      <c r="D714" s="636"/>
      <c r="E714" s="700"/>
      <c r="F714" s="701"/>
    </row>
    <row r="715" spans="1:6" s="639" customFormat="1" ht="12.75" customHeight="1" x14ac:dyDescent="0.25">
      <c r="A715" s="635"/>
      <c r="B715" s="636"/>
      <c r="C715" s="636"/>
      <c r="D715" s="636"/>
      <c r="E715" s="700"/>
      <c r="F715" s="701"/>
    </row>
    <row r="716" spans="1:6" s="639" customFormat="1" ht="12.75" customHeight="1" x14ac:dyDescent="0.25">
      <c r="A716" s="635"/>
      <c r="B716" s="636"/>
      <c r="C716" s="636"/>
      <c r="D716" s="636"/>
      <c r="E716" s="700"/>
      <c r="F716" s="701"/>
    </row>
    <row r="717" spans="1:6" s="639" customFormat="1" ht="12.75" customHeight="1" x14ac:dyDescent="0.25">
      <c r="A717" s="635"/>
      <c r="B717" s="636"/>
      <c r="C717" s="636"/>
      <c r="D717" s="636"/>
      <c r="E717" s="700"/>
      <c r="F717" s="701"/>
    </row>
    <row r="718" spans="1:6" s="639" customFormat="1" ht="12.75" customHeight="1" x14ac:dyDescent="0.25">
      <c r="A718" s="635"/>
      <c r="B718" s="636"/>
      <c r="C718" s="636"/>
      <c r="D718" s="636"/>
      <c r="E718" s="700"/>
      <c r="F718" s="701"/>
    </row>
    <row r="719" spans="1:6" s="639" customFormat="1" ht="12.75" customHeight="1" x14ac:dyDescent="0.25">
      <c r="A719" s="635"/>
      <c r="B719" s="636"/>
      <c r="C719" s="636"/>
      <c r="D719" s="636"/>
      <c r="E719" s="700"/>
      <c r="F719" s="701"/>
    </row>
    <row r="720" spans="1:6" s="639" customFormat="1" ht="12.75" customHeight="1" x14ac:dyDescent="0.25">
      <c r="A720" s="635"/>
      <c r="B720" s="636"/>
      <c r="C720" s="636"/>
      <c r="D720" s="636"/>
      <c r="E720" s="700"/>
      <c r="F720" s="701"/>
    </row>
    <row r="721" spans="1:6" s="639" customFormat="1" ht="12.75" customHeight="1" x14ac:dyDescent="0.25">
      <c r="A721" s="635"/>
      <c r="B721" s="636"/>
      <c r="C721" s="636"/>
      <c r="D721" s="636"/>
      <c r="E721" s="700"/>
      <c r="F721" s="701"/>
    </row>
    <row r="722" spans="1:6" s="639" customFormat="1" ht="12.75" customHeight="1" x14ac:dyDescent="0.25">
      <c r="A722" s="635"/>
      <c r="B722" s="636"/>
      <c r="C722" s="636"/>
      <c r="D722" s="636"/>
      <c r="E722" s="700"/>
      <c r="F722" s="701"/>
    </row>
    <row r="723" spans="1:6" s="639" customFormat="1" ht="12.75" customHeight="1" x14ac:dyDescent="0.25">
      <c r="A723" s="635"/>
      <c r="B723" s="636"/>
      <c r="C723" s="636"/>
      <c r="D723" s="636"/>
      <c r="E723" s="700"/>
      <c r="F723" s="701"/>
    </row>
    <row r="724" spans="1:6" s="639" customFormat="1" ht="12.75" customHeight="1" x14ac:dyDescent="0.25">
      <c r="A724" s="635"/>
      <c r="B724" s="636"/>
      <c r="C724" s="636"/>
      <c r="D724" s="636"/>
      <c r="E724" s="700"/>
      <c r="F724" s="701"/>
    </row>
    <row r="725" spans="1:6" s="639" customFormat="1" ht="12.75" customHeight="1" x14ac:dyDescent="0.25">
      <c r="A725" s="635"/>
      <c r="B725" s="636"/>
      <c r="C725" s="636"/>
      <c r="D725" s="636"/>
      <c r="E725" s="700"/>
      <c r="F725" s="701"/>
    </row>
    <row r="726" spans="1:6" s="639" customFormat="1" ht="12.75" customHeight="1" x14ac:dyDescent="0.25">
      <c r="A726" s="635"/>
      <c r="B726" s="636"/>
      <c r="C726" s="636"/>
      <c r="D726" s="636"/>
      <c r="E726" s="700"/>
      <c r="F726" s="701"/>
    </row>
    <row r="727" spans="1:6" s="639" customFormat="1" ht="12.75" customHeight="1" x14ac:dyDescent="0.25">
      <c r="A727" s="635"/>
      <c r="B727" s="636"/>
      <c r="C727" s="636"/>
      <c r="D727" s="636"/>
      <c r="E727" s="700"/>
      <c r="F727" s="701"/>
    </row>
    <row r="728" spans="1:6" s="639" customFormat="1" ht="12.75" customHeight="1" x14ac:dyDescent="0.25">
      <c r="A728" s="635"/>
      <c r="B728" s="636"/>
      <c r="C728" s="636"/>
      <c r="D728" s="636"/>
      <c r="E728" s="700"/>
      <c r="F728" s="701"/>
    </row>
    <row r="729" spans="1:6" s="639" customFormat="1" ht="12.75" customHeight="1" x14ac:dyDescent="0.25">
      <c r="A729" s="635"/>
      <c r="B729" s="636"/>
      <c r="C729" s="636"/>
      <c r="D729" s="636"/>
      <c r="E729" s="700"/>
      <c r="F729" s="701"/>
    </row>
    <row r="730" spans="1:6" s="639" customFormat="1" ht="12.75" customHeight="1" x14ac:dyDescent="0.25">
      <c r="A730" s="635"/>
      <c r="B730" s="636"/>
      <c r="C730" s="636"/>
      <c r="D730" s="636"/>
      <c r="E730" s="700"/>
      <c r="F730" s="701"/>
    </row>
    <row r="731" spans="1:6" s="639" customFormat="1" ht="12.75" customHeight="1" x14ac:dyDescent="0.25">
      <c r="A731" s="635"/>
      <c r="B731" s="636"/>
      <c r="C731" s="636"/>
      <c r="D731" s="636"/>
      <c r="E731" s="700"/>
      <c r="F731" s="701"/>
    </row>
    <row r="732" spans="1:6" s="639" customFormat="1" ht="12.75" customHeight="1" x14ac:dyDescent="0.25">
      <c r="A732" s="635"/>
      <c r="B732" s="636"/>
      <c r="C732" s="636"/>
      <c r="D732" s="636"/>
      <c r="E732" s="700"/>
      <c r="F732" s="701"/>
    </row>
    <row r="733" spans="1:6" s="639" customFormat="1" ht="12.75" customHeight="1" x14ac:dyDescent="0.25">
      <c r="A733" s="635"/>
      <c r="B733" s="636"/>
      <c r="C733" s="636"/>
      <c r="D733" s="636"/>
      <c r="E733" s="700"/>
      <c r="F733" s="701"/>
    </row>
    <row r="734" spans="1:6" s="639" customFormat="1" ht="12.75" customHeight="1" x14ac:dyDescent="0.25">
      <c r="A734" s="635"/>
      <c r="B734" s="636"/>
      <c r="C734" s="636"/>
      <c r="D734" s="636"/>
      <c r="E734" s="700"/>
      <c r="F734" s="701"/>
    </row>
    <row r="735" spans="1:6" s="639" customFormat="1" ht="12.75" customHeight="1" x14ac:dyDescent="0.25">
      <c r="A735" s="635"/>
      <c r="B735" s="636"/>
      <c r="C735" s="636"/>
      <c r="D735" s="636"/>
      <c r="E735" s="700"/>
      <c r="F735" s="701"/>
    </row>
    <row r="736" spans="1:6" s="639" customFormat="1" ht="12.75" customHeight="1" x14ac:dyDescent="0.25">
      <c r="A736" s="635"/>
      <c r="B736" s="636"/>
      <c r="C736" s="636"/>
      <c r="D736" s="636"/>
      <c r="E736" s="700"/>
      <c r="F736" s="701"/>
    </row>
    <row r="737" spans="1:6" s="639" customFormat="1" ht="12.75" customHeight="1" x14ac:dyDescent="0.25">
      <c r="A737" s="635"/>
      <c r="B737" s="636"/>
      <c r="C737" s="636"/>
      <c r="D737" s="636"/>
      <c r="E737" s="700"/>
      <c r="F737" s="701"/>
    </row>
    <row r="738" spans="1:6" s="639" customFormat="1" ht="12.75" customHeight="1" x14ac:dyDescent="0.25">
      <c r="A738" s="635"/>
      <c r="B738" s="636"/>
      <c r="C738" s="636"/>
      <c r="D738" s="636"/>
      <c r="E738" s="700"/>
      <c r="F738" s="701"/>
    </row>
    <row r="739" spans="1:6" s="639" customFormat="1" ht="12.75" customHeight="1" x14ac:dyDescent="0.25">
      <c r="A739" s="635"/>
      <c r="B739" s="636"/>
      <c r="C739" s="636"/>
      <c r="D739" s="636"/>
      <c r="E739" s="700"/>
      <c r="F739" s="701"/>
    </row>
    <row r="740" spans="1:6" s="639" customFormat="1" ht="12.75" customHeight="1" x14ac:dyDescent="0.25">
      <c r="A740" s="635"/>
      <c r="B740" s="636"/>
      <c r="C740" s="636"/>
      <c r="D740" s="636"/>
      <c r="E740" s="700"/>
      <c r="F740" s="701"/>
    </row>
    <row r="741" spans="1:6" s="639" customFormat="1" ht="12.75" customHeight="1" x14ac:dyDescent="0.25">
      <c r="A741" s="635"/>
      <c r="B741" s="636"/>
      <c r="C741" s="636"/>
      <c r="D741" s="636"/>
      <c r="E741" s="700"/>
      <c r="F741" s="701"/>
    </row>
    <row r="742" spans="1:6" s="639" customFormat="1" ht="12.75" customHeight="1" x14ac:dyDescent="0.25">
      <c r="A742" s="635"/>
      <c r="B742" s="636"/>
      <c r="C742" s="636"/>
      <c r="D742" s="636"/>
      <c r="E742" s="700"/>
      <c r="F742" s="701"/>
    </row>
    <row r="743" spans="1:6" s="639" customFormat="1" ht="12.75" customHeight="1" x14ac:dyDescent="0.25">
      <c r="A743" s="635"/>
      <c r="B743" s="636"/>
      <c r="C743" s="636"/>
      <c r="D743" s="636"/>
      <c r="E743" s="700"/>
      <c r="F743" s="701"/>
    </row>
    <row r="744" spans="1:6" s="639" customFormat="1" ht="12.75" customHeight="1" x14ac:dyDescent="0.25">
      <c r="A744" s="635"/>
      <c r="B744" s="636"/>
      <c r="C744" s="636"/>
      <c r="D744" s="636"/>
      <c r="E744" s="700"/>
      <c r="F744" s="701"/>
    </row>
    <row r="745" spans="1:6" s="639" customFormat="1" ht="12.75" customHeight="1" x14ac:dyDescent="0.25">
      <c r="A745" s="635"/>
      <c r="B745" s="636"/>
      <c r="C745" s="636"/>
      <c r="D745" s="636"/>
      <c r="E745" s="700"/>
      <c r="F745" s="701"/>
    </row>
    <row r="746" spans="1:6" s="639" customFormat="1" ht="12.75" customHeight="1" x14ac:dyDescent="0.25">
      <c r="A746" s="635"/>
      <c r="B746" s="636"/>
      <c r="C746" s="636"/>
      <c r="D746" s="636"/>
      <c r="E746" s="700"/>
      <c r="F746" s="701"/>
    </row>
    <row r="747" spans="1:6" s="639" customFormat="1" ht="12.75" customHeight="1" x14ac:dyDescent="0.25">
      <c r="A747" s="635"/>
      <c r="B747" s="636"/>
      <c r="C747" s="636"/>
      <c r="D747" s="636"/>
      <c r="E747" s="700"/>
      <c r="F747" s="701"/>
    </row>
    <row r="748" spans="1:6" s="639" customFormat="1" ht="12.75" customHeight="1" x14ac:dyDescent="0.25">
      <c r="A748" s="635"/>
      <c r="B748" s="636"/>
      <c r="C748" s="636"/>
      <c r="D748" s="636"/>
      <c r="E748" s="700"/>
      <c r="F748" s="701"/>
    </row>
    <row r="749" spans="1:6" s="639" customFormat="1" ht="12.75" customHeight="1" x14ac:dyDescent="0.25">
      <c r="A749" s="635"/>
      <c r="B749" s="636"/>
      <c r="C749" s="636"/>
      <c r="D749" s="636"/>
      <c r="E749" s="700"/>
      <c r="F749" s="701"/>
    </row>
    <row r="750" spans="1:6" s="639" customFormat="1" ht="12.75" customHeight="1" x14ac:dyDescent="0.25">
      <c r="A750" s="635"/>
      <c r="B750" s="636"/>
      <c r="C750" s="636"/>
      <c r="D750" s="636"/>
      <c r="E750" s="700"/>
      <c r="F750" s="701"/>
    </row>
    <row r="751" spans="1:6" s="639" customFormat="1" ht="12.75" customHeight="1" x14ac:dyDescent="0.25">
      <c r="A751" s="635"/>
      <c r="B751" s="636"/>
      <c r="C751" s="636"/>
      <c r="D751" s="636"/>
      <c r="E751" s="700"/>
      <c r="F751" s="701"/>
    </row>
    <row r="752" spans="1:6" s="639" customFormat="1" ht="12.75" customHeight="1" x14ac:dyDescent="0.25">
      <c r="A752" s="635"/>
      <c r="B752" s="636"/>
      <c r="C752" s="636"/>
      <c r="D752" s="636"/>
      <c r="E752" s="700"/>
      <c r="F752" s="701"/>
    </row>
    <row r="753" spans="1:6" s="639" customFormat="1" ht="12.75" customHeight="1" x14ac:dyDescent="0.25">
      <c r="A753" s="635"/>
      <c r="B753" s="636"/>
      <c r="C753" s="636"/>
      <c r="D753" s="636"/>
      <c r="E753" s="700"/>
      <c r="F753" s="701"/>
    </row>
    <row r="754" spans="1:6" s="639" customFormat="1" ht="12.75" customHeight="1" x14ac:dyDescent="0.25">
      <c r="A754" s="635"/>
      <c r="B754" s="636"/>
      <c r="C754" s="636"/>
      <c r="D754" s="636"/>
      <c r="E754" s="700"/>
      <c r="F754" s="701"/>
    </row>
    <row r="755" spans="1:6" s="639" customFormat="1" ht="12.75" customHeight="1" x14ac:dyDescent="0.25">
      <c r="A755" s="635"/>
      <c r="B755" s="636"/>
      <c r="C755" s="636"/>
      <c r="D755" s="636"/>
      <c r="E755" s="700"/>
      <c r="F755" s="701"/>
    </row>
    <row r="756" spans="1:6" s="639" customFormat="1" ht="12.75" customHeight="1" x14ac:dyDescent="0.25">
      <c r="A756" s="635"/>
      <c r="B756" s="636"/>
      <c r="C756" s="636"/>
      <c r="D756" s="636"/>
      <c r="E756" s="700"/>
      <c r="F756" s="701"/>
    </row>
    <row r="757" spans="1:6" s="639" customFormat="1" ht="12.75" customHeight="1" x14ac:dyDescent="0.25">
      <c r="A757" s="635"/>
      <c r="B757" s="636"/>
      <c r="C757" s="636"/>
      <c r="D757" s="636"/>
      <c r="E757" s="700"/>
      <c r="F757" s="701"/>
    </row>
    <row r="758" spans="1:6" s="639" customFormat="1" ht="12.75" customHeight="1" x14ac:dyDescent="0.25">
      <c r="A758" s="635"/>
      <c r="B758" s="636"/>
      <c r="C758" s="636"/>
      <c r="D758" s="636"/>
      <c r="E758" s="700"/>
      <c r="F758" s="701"/>
    </row>
    <row r="759" spans="1:6" s="639" customFormat="1" ht="12.75" customHeight="1" x14ac:dyDescent="0.25">
      <c r="A759" s="635"/>
      <c r="B759" s="636"/>
      <c r="C759" s="636"/>
      <c r="D759" s="636"/>
      <c r="E759" s="700"/>
      <c r="F759" s="701"/>
    </row>
    <row r="760" spans="1:6" s="639" customFormat="1" ht="12.75" customHeight="1" x14ac:dyDescent="0.25">
      <c r="A760" s="635"/>
      <c r="B760" s="636"/>
      <c r="C760" s="636"/>
      <c r="D760" s="636"/>
      <c r="E760" s="700"/>
      <c r="F760" s="701"/>
    </row>
    <row r="761" spans="1:6" s="639" customFormat="1" ht="12.75" customHeight="1" x14ac:dyDescent="0.25">
      <c r="A761" s="635"/>
      <c r="B761" s="636"/>
      <c r="C761" s="636"/>
      <c r="D761" s="636"/>
      <c r="E761" s="700"/>
      <c r="F761" s="701"/>
    </row>
    <row r="762" spans="1:6" s="639" customFormat="1" ht="12.75" customHeight="1" x14ac:dyDescent="0.25">
      <c r="A762" s="635"/>
      <c r="B762" s="636"/>
      <c r="C762" s="636"/>
      <c r="D762" s="636"/>
      <c r="E762" s="700"/>
      <c r="F762" s="701"/>
    </row>
    <row r="763" spans="1:6" s="639" customFormat="1" ht="12.75" customHeight="1" x14ac:dyDescent="0.25">
      <c r="A763" s="635"/>
      <c r="B763" s="636"/>
      <c r="C763" s="636"/>
      <c r="D763" s="636"/>
      <c r="E763" s="700"/>
      <c r="F763" s="701"/>
    </row>
    <row r="764" spans="1:6" s="639" customFormat="1" ht="12.75" customHeight="1" x14ac:dyDescent="0.25">
      <c r="A764" s="635"/>
      <c r="B764" s="636"/>
      <c r="C764" s="636"/>
      <c r="D764" s="636"/>
      <c r="E764" s="700"/>
      <c r="F764" s="701"/>
    </row>
    <row r="765" spans="1:6" s="639" customFormat="1" ht="12.75" customHeight="1" x14ac:dyDescent="0.25">
      <c r="A765" s="635"/>
      <c r="B765" s="636"/>
      <c r="C765" s="636"/>
      <c r="D765" s="636"/>
      <c r="E765" s="700"/>
      <c r="F765" s="701"/>
    </row>
    <row r="766" spans="1:6" s="639" customFormat="1" ht="12.75" customHeight="1" x14ac:dyDescent="0.25">
      <c r="A766" s="635"/>
      <c r="B766" s="636"/>
      <c r="C766" s="636"/>
      <c r="D766" s="636"/>
      <c r="E766" s="700"/>
      <c r="F766" s="701"/>
    </row>
    <row r="767" spans="1:6" s="639" customFormat="1" ht="12.75" customHeight="1" x14ac:dyDescent="0.25">
      <c r="A767" s="635"/>
      <c r="B767" s="636"/>
      <c r="C767" s="636"/>
      <c r="D767" s="636"/>
      <c r="E767" s="700"/>
      <c r="F767" s="701"/>
    </row>
    <row r="768" spans="1:6" s="639" customFormat="1" ht="12.75" customHeight="1" x14ac:dyDescent="0.25">
      <c r="A768" s="635"/>
      <c r="B768" s="636"/>
      <c r="C768" s="636"/>
      <c r="D768" s="636"/>
      <c r="E768" s="700"/>
      <c r="F768" s="701"/>
    </row>
    <row r="769" spans="1:6" s="639" customFormat="1" ht="12.75" customHeight="1" x14ac:dyDescent="0.25">
      <c r="A769" s="635"/>
      <c r="B769" s="636"/>
      <c r="C769" s="636"/>
      <c r="D769" s="636"/>
      <c r="E769" s="700"/>
      <c r="F769" s="701"/>
    </row>
    <row r="770" spans="1:6" s="639" customFormat="1" ht="12.75" customHeight="1" x14ac:dyDescent="0.25">
      <c r="A770" s="635"/>
      <c r="B770" s="636"/>
      <c r="C770" s="636"/>
      <c r="D770" s="636"/>
      <c r="E770" s="700"/>
      <c r="F770" s="701"/>
    </row>
    <row r="771" spans="1:6" s="639" customFormat="1" ht="12.75" customHeight="1" x14ac:dyDescent="0.25">
      <c r="A771" s="635"/>
      <c r="B771" s="636"/>
      <c r="C771" s="636"/>
      <c r="D771" s="636"/>
      <c r="E771" s="700"/>
      <c r="F771" s="701"/>
    </row>
    <row r="772" spans="1:6" s="639" customFormat="1" ht="12.75" customHeight="1" x14ac:dyDescent="0.25">
      <c r="A772" s="635"/>
      <c r="B772" s="636"/>
      <c r="C772" s="636"/>
      <c r="D772" s="636"/>
      <c r="E772" s="700"/>
      <c r="F772" s="701"/>
    </row>
    <row r="773" spans="1:6" s="639" customFormat="1" ht="12.75" customHeight="1" x14ac:dyDescent="0.25">
      <c r="A773" s="635"/>
      <c r="B773" s="636"/>
      <c r="C773" s="636"/>
      <c r="D773" s="636"/>
      <c r="E773" s="700"/>
      <c r="F773" s="701"/>
    </row>
    <row r="774" spans="1:6" s="639" customFormat="1" ht="12.75" customHeight="1" x14ac:dyDescent="0.25">
      <c r="A774" s="635"/>
      <c r="B774" s="636"/>
      <c r="C774" s="636"/>
      <c r="D774" s="636"/>
      <c r="E774" s="700"/>
      <c r="F774" s="701"/>
    </row>
    <row r="775" spans="1:6" s="639" customFormat="1" ht="12.75" customHeight="1" x14ac:dyDescent="0.25">
      <c r="A775" s="635"/>
      <c r="B775" s="636"/>
      <c r="C775" s="636"/>
      <c r="D775" s="636"/>
      <c r="E775" s="700"/>
      <c r="F775" s="701"/>
    </row>
    <row r="776" spans="1:6" s="639" customFormat="1" ht="12.75" customHeight="1" x14ac:dyDescent="0.25">
      <c r="A776" s="635"/>
      <c r="B776" s="636"/>
      <c r="C776" s="636"/>
      <c r="D776" s="636"/>
      <c r="E776" s="700"/>
      <c r="F776" s="701"/>
    </row>
    <row r="777" spans="1:6" s="639" customFormat="1" ht="12.75" customHeight="1" x14ac:dyDescent="0.25">
      <c r="A777" s="635"/>
      <c r="B777" s="636"/>
      <c r="C777" s="636"/>
      <c r="D777" s="636"/>
      <c r="E777" s="700"/>
      <c r="F777" s="701"/>
    </row>
    <row r="778" spans="1:6" s="639" customFormat="1" ht="12.75" customHeight="1" x14ac:dyDescent="0.25">
      <c r="A778" s="635"/>
      <c r="B778" s="636"/>
      <c r="C778" s="636"/>
      <c r="D778" s="636"/>
      <c r="E778" s="700"/>
      <c r="F778" s="701"/>
    </row>
    <row r="779" spans="1:6" s="639" customFormat="1" ht="12.75" customHeight="1" x14ac:dyDescent="0.25">
      <c r="A779" s="635"/>
      <c r="B779" s="636"/>
      <c r="C779" s="636"/>
      <c r="D779" s="636"/>
      <c r="E779" s="700"/>
      <c r="F779" s="701"/>
    </row>
    <row r="780" spans="1:6" s="639" customFormat="1" ht="12.75" customHeight="1" x14ac:dyDescent="0.25">
      <c r="A780" s="635"/>
      <c r="B780" s="636"/>
      <c r="C780" s="636"/>
      <c r="D780" s="636"/>
      <c r="E780" s="700"/>
      <c r="F780" s="701"/>
    </row>
    <row r="781" spans="1:6" s="639" customFormat="1" ht="12.75" customHeight="1" x14ac:dyDescent="0.25">
      <c r="A781" s="635"/>
      <c r="B781" s="636"/>
      <c r="C781" s="636"/>
      <c r="D781" s="636"/>
      <c r="E781" s="700"/>
      <c r="F781" s="701"/>
    </row>
    <row r="782" spans="1:6" s="639" customFormat="1" ht="12.75" customHeight="1" x14ac:dyDescent="0.25">
      <c r="A782" s="635"/>
      <c r="B782" s="636"/>
      <c r="C782" s="636"/>
      <c r="D782" s="636"/>
      <c r="E782" s="700"/>
      <c r="F782" s="701"/>
    </row>
    <row r="783" spans="1:6" s="639" customFormat="1" ht="12.75" customHeight="1" x14ac:dyDescent="0.25">
      <c r="A783" s="635"/>
      <c r="B783" s="636"/>
      <c r="C783" s="636"/>
      <c r="D783" s="636"/>
      <c r="E783" s="700"/>
      <c r="F783" s="701"/>
    </row>
    <row r="784" spans="1:6" s="639" customFormat="1" ht="12.75" customHeight="1" x14ac:dyDescent="0.25">
      <c r="A784" s="635"/>
      <c r="B784" s="636"/>
      <c r="C784" s="636"/>
      <c r="D784" s="636"/>
      <c r="E784" s="700"/>
      <c r="F784" s="701"/>
    </row>
    <row r="785" spans="1:6" s="639" customFormat="1" ht="12.75" customHeight="1" x14ac:dyDescent="0.25">
      <c r="A785" s="635"/>
      <c r="B785" s="636"/>
      <c r="C785" s="636"/>
      <c r="D785" s="636"/>
      <c r="E785" s="700"/>
      <c r="F785" s="701"/>
    </row>
    <row r="786" spans="1:6" s="639" customFormat="1" ht="12.75" customHeight="1" x14ac:dyDescent="0.25">
      <c r="A786" s="635"/>
      <c r="B786" s="636"/>
      <c r="C786" s="636"/>
      <c r="D786" s="636"/>
      <c r="E786" s="700"/>
      <c r="F786" s="701"/>
    </row>
    <row r="787" spans="1:6" s="639" customFormat="1" ht="12.75" customHeight="1" x14ac:dyDescent="0.25">
      <c r="A787" s="635"/>
      <c r="B787" s="636"/>
      <c r="C787" s="636"/>
      <c r="D787" s="636"/>
      <c r="E787" s="700"/>
      <c r="F787" s="701"/>
    </row>
    <row r="788" spans="1:6" s="639" customFormat="1" ht="12.75" customHeight="1" x14ac:dyDescent="0.25">
      <c r="A788" s="635"/>
      <c r="B788" s="636"/>
      <c r="C788" s="636"/>
      <c r="D788" s="636"/>
      <c r="E788" s="700"/>
      <c r="F788" s="701"/>
    </row>
    <row r="789" spans="1:6" s="639" customFormat="1" ht="12.75" customHeight="1" x14ac:dyDescent="0.25">
      <c r="A789" s="635"/>
      <c r="B789" s="636"/>
      <c r="C789" s="636"/>
      <c r="D789" s="636"/>
      <c r="E789" s="700"/>
      <c r="F789" s="701"/>
    </row>
    <row r="790" spans="1:6" s="639" customFormat="1" ht="12.75" customHeight="1" x14ac:dyDescent="0.25">
      <c r="A790" s="635"/>
      <c r="B790" s="636"/>
      <c r="C790" s="636"/>
      <c r="D790" s="636"/>
      <c r="E790" s="700"/>
      <c r="F790" s="701"/>
    </row>
    <row r="791" spans="1:6" s="639" customFormat="1" ht="12.75" customHeight="1" x14ac:dyDescent="0.25">
      <c r="A791" s="635"/>
      <c r="B791" s="636"/>
      <c r="C791" s="636"/>
      <c r="D791" s="636"/>
      <c r="E791" s="700"/>
      <c r="F791" s="701"/>
    </row>
    <row r="792" spans="1:6" s="639" customFormat="1" ht="12.75" customHeight="1" x14ac:dyDescent="0.25">
      <c r="A792" s="635"/>
      <c r="B792" s="636"/>
      <c r="C792" s="636"/>
      <c r="D792" s="636"/>
      <c r="E792" s="700"/>
      <c r="F792" s="701"/>
    </row>
    <row r="793" spans="1:6" s="639" customFormat="1" ht="12.75" customHeight="1" x14ac:dyDescent="0.25">
      <c r="A793" s="635"/>
      <c r="B793" s="636"/>
      <c r="C793" s="636"/>
      <c r="D793" s="636"/>
      <c r="E793" s="700"/>
      <c r="F793" s="701"/>
    </row>
    <row r="794" spans="1:6" s="639" customFormat="1" ht="12.75" customHeight="1" x14ac:dyDescent="0.25">
      <c r="A794" s="635"/>
      <c r="B794" s="636"/>
      <c r="C794" s="636"/>
      <c r="D794" s="636"/>
      <c r="E794" s="700"/>
      <c r="F794" s="701"/>
    </row>
    <row r="795" spans="1:6" s="639" customFormat="1" ht="12.75" customHeight="1" x14ac:dyDescent="0.25">
      <c r="A795" s="635"/>
      <c r="B795" s="636"/>
      <c r="C795" s="636"/>
      <c r="D795" s="636"/>
      <c r="E795" s="700"/>
      <c r="F795" s="701"/>
    </row>
    <row r="796" spans="1:6" s="639" customFormat="1" ht="12.75" customHeight="1" x14ac:dyDescent="0.25">
      <c r="A796" s="635"/>
      <c r="B796" s="636"/>
      <c r="C796" s="636"/>
      <c r="D796" s="636"/>
      <c r="E796" s="700"/>
      <c r="F796" s="701"/>
    </row>
    <row r="797" spans="1:6" s="639" customFormat="1" ht="12.75" customHeight="1" x14ac:dyDescent="0.25">
      <c r="A797" s="635"/>
      <c r="B797" s="636"/>
      <c r="C797" s="636"/>
      <c r="D797" s="636"/>
      <c r="E797" s="700"/>
      <c r="F797" s="701"/>
    </row>
    <row r="798" spans="1:6" s="639" customFormat="1" ht="12.75" customHeight="1" x14ac:dyDescent="0.25">
      <c r="A798" s="635"/>
      <c r="B798" s="636"/>
      <c r="C798" s="636"/>
      <c r="D798" s="636"/>
      <c r="E798" s="700"/>
      <c r="F798" s="701"/>
    </row>
    <row r="799" spans="1:6" s="639" customFormat="1" ht="12.75" customHeight="1" x14ac:dyDescent="0.25">
      <c r="A799" s="635"/>
      <c r="B799" s="636"/>
      <c r="C799" s="636"/>
      <c r="D799" s="636"/>
      <c r="E799" s="700"/>
      <c r="F799" s="701"/>
    </row>
    <row r="800" spans="1:6" s="639" customFormat="1" ht="12.75" customHeight="1" x14ac:dyDescent="0.25">
      <c r="A800" s="635"/>
      <c r="B800" s="636"/>
      <c r="C800" s="636"/>
      <c r="D800" s="636"/>
      <c r="E800" s="700"/>
      <c r="F800" s="701"/>
    </row>
    <row r="801" spans="1:6" s="639" customFormat="1" ht="12.75" customHeight="1" x14ac:dyDescent="0.25">
      <c r="A801" s="635"/>
      <c r="B801" s="636"/>
      <c r="C801" s="636"/>
      <c r="D801" s="636"/>
      <c r="E801" s="700"/>
      <c r="F801" s="701"/>
    </row>
    <row r="802" spans="1:6" s="639" customFormat="1" ht="12.75" customHeight="1" x14ac:dyDescent="0.25">
      <c r="A802" s="635"/>
      <c r="B802" s="636"/>
      <c r="C802" s="636"/>
      <c r="D802" s="636"/>
      <c r="E802" s="700"/>
      <c r="F802" s="701"/>
    </row>
    <row r="803" spans="1:6" s="639" customFormat="1" ht="12.75" customHeight="1" x14ac:dyDescent="0.25">
      <c r="A803" s="635"/>
      <c r="B803" s="636"/>
      <c r="C803" s="636"/>
      <c r="D803" s="636"/>
      <c r="E803" s="700"/>
      <c r="F803" s="701"/>
    </row>
    <row r="804" spans="1:6" s="639" customFormat="1" ht="12.75" customHeight="1" x14ac:dyDescent="0.25">
      <c r="A804" s="635"/>
      <c r="B804" s="636"/>
      <c r="C804" s="636"/>
      <c r="D804" s="636"/>
      <c r="E804" s="700"/>
      <c r="F804" s="701"/>
    </row>
    <row r="805" spans="1:6" s="639" customFormat="1" ht="12.75" customHeight="1" x14ac:dyDescent="0.25">
      <c r="A805" s="635"/>
      <c r="B805" s="636"/>
      <c r="C805" s="636"/>
      <c r="D805" s="636"/>
      <c r="E805" s="700"/>
      <c r="F805" s="701"/>
    </row>
    <row r="806" spans="1:6" s="639" customFormat="1" ht="12.75" customHeight="1" x14ac:dyDescent="0.25">
      <c r="A806" s="635"/>
      <c r="B806" s="636"/>
      <c r="C806" s="636"/>
      <c r="D806" s="636"/>
      <c r="E806" s="700"/>
      <c r="F806" s="701"/>
    </row>
    <row r="807" spans="1:6" s="639" customFormat="1" ht="12.75" customHeight="1" x14ac:dyDescent="0.25">
      <c r="A807" s="635"/>
      <c r="B807" s="636"/>
      <c r="C807" s="636"/>
      <c r="D807" s="636"/>
      <c r="E807" s="700"/>
      <c r="F807" s="701"/>
    </row>
    <row r="808" spans="1:6" s="639" customFormat="1" ht="12.75" customHeight="1" x14ac:dyDescent="0.25">
      <c r="A808" s="635"/>
      <c r="B808" s="636"/>
      <c r="C808" s="636"/>
      <c r="D808" s="636"/>
      <c r="E808" s="700"/>
      <c r="F808" s="701"/>
    </row>
    <row r="809" spans="1:6" s="639" customFormat="1" ht="12.75" customHeight="1" x14ac:dyDescent="0.25">
      <c r="A809" s="635"/>
      <c r="B809" s="636"/>
      <c r="C809" s="636"/>
      <c r="D809" s="636"/>
      <c r="E809" s="700"/>
      <c r="F809" s="701"/>
    </row>
    <row r="810" spans="1:6" s="639" customFormat="1" ht="12.75" customHeight="1" x14ac:dyDescent="0.25">
      <c r="A810" s="635"/>
      <c r="B810" s="636"/>
      <c r="C810" s="636"/>
      <c r="D810" s="636"/>
      <c r="E810" s="700"/>
      <c r="F810" s="701"/>
    </row>
    <row r="811" spans="1:6" s="639" customFormat="1" ht="12.75" customHeight="1" x14ac:dyDescent="0.25">
      <c r="A811" s="635"/>
      <c r="B811" s="636"/>
      <c r="C811" s="636"/>
      <c r="D811" s="636"/>
      <c r="E811" s="700"/>
      <c r="F811" s="701"/>
    </row>
    <row r="812" spans="1:6" s="639" customFormat="1" ht="12.75" customHeight="1" x14ac:dyDescent="0.25">
      <c r="A812" s="635"/>
      <c r="B812" s="636"/>
      <c r="C812" s="636"/>
      <c r="D812" s="636"/>
      <c r="E812" s="700"/>
      <c r="F812" s="701"/>
    </row>
    <row r="813" spans="1:6" s="639" customFormat="1" ht="12.75" customHeight="1" x14ac:dyDescent="0.25">
      <c r="A813" s="635"/>
      <c r="B813" s="636"/>
      <c r="C813" s="636"/>
      <c r="D813" s="636"/>
      <c r="E813" s="700"/>
      <c r="F813" s="701"/>
    </row>
    <row r="814" spans="1:6" s="639" customFormat="1" ht="12.75" customHeight="1" x14ac:dyDescent="0.25">
      <c r="A814" s="635"/>
      <c r="B814" s="636"/>
      <c r="C814" s="636"/>
      <c r="D814" s="636"/>
      <c r="E814" s="700"/>
      <c r="F814" s="701"/>
    </row>
    <row r="815" spans="1:6" s="639" customFormat="1" ht="12.75" customHeight="1" x14ac:dyDescent="0.25">
      <c r="A815" s="635"/>
      <c r="B815" s="636"/>
      <c r="C815" s="636"/>
      <c r="D815" s="636"/>
      <c r="E815" s="700"/>
      <c r="F815" s="701"/>
    </row>
    <row r="816" spans="1:6" s="639" customFormat="1" ht="12.75" customHeight="1" x14ac:dyDescent="0.25">
      <c r="A816" s="635"/>
      <c r="B816" s="636"/>
      <c r="C816" s="636"/>
      <c r="D816" s="636"/>
      <c r="E816" s="700"/>
      <c r="F816" s="701"/>
    </row>
    <row r="817" spans="1:6" s="639" customFormat="1" ht="12.75" customHeight="1" x14ac:dyDescent="0.25">
      <c r="A817" s="635"/>
      <c r="B817" s="636"/>
      <c r="C817" s="636"/>
      <c r="D817" s="636"/>
      <c r="E817" s="700"/>
      <c r="F817" s="701"/>
    </row>
    <row r="818" spans="1:6" s="639" customFormat="1" ht="12.75" customHeight="1" x14ac:dyDescent="0.25">
      <c r="A818" s="635"/>
      <c r="B818" s="636"/>
      <c r="C818" s="636"/>
      <c r="D818" s="636"/>
      <c r="E818" s="700"/>
      <c r="F818" s="701"/>
    </row>
    <row r="819" spans="1:6" s="639" customFormat="1" ht="12.75" customHeight="1" x14ac:dyDescent="0.25">
      <c r="A819" s="635"/>
      <c r="B819" s="636"/>
      <c r="C819" s="636"/>
      <c r="D819" s="636"/>
      <c r="E819" s="700"/>
      <c r="F819" s="701"/>
    </row>
    <row r="820" spans="1:6" s="639" customFormat="1" ht="12.75" customHeight="1" x14ac:dyDescent="0.25">
      <c r="A820" s="635"/>
      <c r="B820" s="636"/>
      <c r="C820" s="636"/>
      <c r="D820" s="636"/>
      <c r="E820" s="700"/>
      <c r="F820" s="701"/>
    </row>
    <row r="821" spans="1:6" s="639" customFormat="1" ht="12.75" customHeight="1" x14ac:dyDescent="0.25">
      <c r="A821" s="635"/>
      <c r="B821" s="636"/>
      <c r="C821" s="636"/>
      <c r="D821" s="636"/>
      <c r="E821" s="700"/>
      <c r="F821" s="701"/>
    </row>
    <row r="822" spans="1:6" s="639" customFormat="1" ht="12.75" customHeight="1" x14ac:dyDescent="0.25">
      <c r="A822" s="635"/>
      <c r="B822" s="636"/>
      <c r="C822" s="636"/>
      <c r="D822" s="636"/>
      <c r="E822" s="700"/>
      <c r="F822" s="701"/>
    </row>
    <row r="823" spans="1:6" s="639" customFormat="1" ht="12.75" customHeight="1" x14ac:dyDescent="0.25">
      <c r="A823" s="635"/>
      <c r="B823" s="636"/>
      <c r="C823" s="636"/>
      <c r="D823" s="636"/>
      <c r="E823" s="700"/>
      <c r="F823" s="701"/>
    </row>
    <row r="824" spans="1:6" s="639" customFormat="1" ht="12.75" customHeight="1" x14ac:dyDescent="0.25">
      <c r="A824" s="635"/>
      <c r="B824" s="636"/>
      <c r="C824" s="636"/>
      <c r="D824" s="636"/>
      <c r="E824" s="700"/>
      <c r="F824" s="701"/>
    </row>
    <row r="825" spans="1:6" s="639" customFormat="1" ht="12.75" customHeight="1" x14ac:dyDescent="0.25">
      <c r="A825" s="635"/>
      <c r="B825" s="636"/>
      <c r="C825" s="636"/>
      <c r="D825" s="636"/>
      <c r="E825" s="700"/>
      <c r="F825" s="701"/>
    </row>
    <row r="826" spans="1:6" s="639" customFormat="1" ht="12.75" customHeight="1" x14ac:dyDescent="0.25">
      <c r="A826" s="635"/>
      <c r="B826" s="636"/>
      <c r="C826" s="636"/>
      <c r="D826" s="636"/>
      <c r="E826" s="700"/>
      <c r="F826" s="701"/>
    </row>
    <row r="827" spans="1:6" s="639" customFormat="1" ht="12.75" customHeight="1" x14ac:dyDescent="0.25">
      <c r="A827" s="635"/>
      <c r="B827" s="636"/>
      <c r="C827" s="636"/>
      <c r="D827" s="636"/>
      <c r="E827" s="700"/>
      <c r="F827" s="701"/>
    </row>
    <row r="828" spans="1:6" s="639" customFormat="1" ht="12.75" customHeight="1" x14ac:dyDescent="0.25">
      <c r="A828" s="635"/>
      <c r="B828" s="636"/>
      <c r="C828" s="636"/>
      <c r="D828" s="636"/>
      <c r="E828" s="700"/>
      <c r="F828" s="701"/>
    </row>
    <row r="829" spans="1:6" s="639" customFormat="1" ht="12.75" customHeight="1" x14ac:dyDescent="0.25">
      <c r="A829" s="635"/>
      <c r="B829" s="636"/>
      <c r="C829" s="636"/>
      <c r="D829" s="636"/>
      <c r="E829" s="700"/>
      <c r="F829" s="701"/>
    </row>
    <row r="830" spans="1:6" s="639" customFormat="1" ht="12.75" customHeight="1" x14ac:dyDescent="0.25">
      <c r="A830" s="635"/>
      <c r="B830" s="636"/>
      <c r="C830" s="636"/>
      <c r="D830" s="636"/>
      <c r="E830" s="700"/>
      <c r="F830" s="701"/>
    </row>
    <row r="831" spans="1:6" s="639" customFormat="1" ht="12.75" customHeight="1" x14ac:dyDescent="0.25">
      <c r="A831" s="635"/>
      <c r="B831" s="636"/>
      <c r="C831" s="636"/>
      <c r="D831" s="636"/>
      <c r="E831" s="700"/>
      <c r="F831" s="701"/>
    </row>
    <row r="832" spans="1:6" s="639" customFormat="1" ht="12.75" customHeight="1" x14ac:dyDescent="0.25">
      <c r="A832" s="635"/>
      <c r="B832" s="636"/>
      <c r="C832" s="636"/>
      <c r="D832" s="636"/>
      <c r="E832" s="700"/>
      <c r="F832" s="701"/>
    </row>
    <row r="833" spans="1:6" s="639" customFormat="1" ht="12.75" customHeight="1" x14ac:dyDescent="0.25">
      <c r="A833" s="635"/>
      <c r="B833" s="636"/>
      <c r="C833" s="636"/>
      <c r="D833" s="636"/>
      <c r="E833" s="700"/>
      <c r="F833" s="701"/>
    </row>
    <row r="834" spans="1:6" s="639" customFormat="1" ht="12.75" customHeight="1" x14ac:dyDescent="0.25">
      <c r="A834" s="635"/>
      <c r="B834" s="636"/>
      <c r="C834" s="636"/>
      <c r="D834" s="636"/>
      <c r="E834" s="700"/>
      <c r="F834" s="701"/>
    </row>
    <row r="835" spans="1:6" s="639" customFormat="1" ht="12.75" customHeight="1" x14ac:dyDescent="0.25">
      <c r="A835" s="635"/>
      <c r="B835" s="636"/>
      <c r="C835" s="636"/>
      <c r="D835" s="636"/>
      <c r="E835" s="700"/>
      <c r="F835" s="701"/>
    </row>
    <row r="836" spans="1:6" s="639" customFormat="1" ht="12.75" customHeight="1" x14ac:dyDescent="0.25">
      <c r="A836" s="635"/>
      <c r="B836" s="636"/>
      <c r="C836" s="636"/>
      <c r="D836" s="636"/>
      <c r="E836" s="700"/>
      <c r="F836" s="701"/>
    </row>
    <row r="837" spans="1:6" s="639" customFormat="1" ht="12.75" customHeight="1" x14ac:dyDescent="0.25">
      <c r="A837" s="635"/>
      <c r="B837" s="636"/>
      <c r="C837" s="636"/>
      <c r="D837" s="636"/>
      <c r="E837" s="700"/>
      <c r="F837" s="701"/>
    </row>
    <row r="838" spans="1:6" s="639" customFormat="1" ht="12.75" customHeight="1" x14ac:dyDescent="0.25">
      <c r="A838" s="635"/>
      <c r="B838" s="636"/>
      <c r="C838" s="636"/>
      <c r="D838" s="636"/>
      <c r="E838" s="700"/>
      <c r="F838" s="701"/>
    </row>
    <row r="839" spans="1:6" s="639" customFormat="1" ht="12.75" customHeight="1" x14ac:dyDescent="0.25">
      <c r="A839" s="635"/>
      <c r="B839" s="636"/>
      <c r="C839" s="636"/>
      <c r="D839" s="636"/>
      <c r="E839" s="700"/>
      <c r="F839" s="701"/>
    </row>
    <row r="840" spans="1:6" s="639" customFormat="1" ht="12.75" customHeight="1" x14ac:dyDescent="0.25">
      <c r="A840" s="635"/>
      <c r="B840" s="636"/>
      <c r="C840" s="636"/>
      <c r="D840" s="636"/>
      <c r="E840" s="700"/>
      <c r="F840" s="701"/>
    </row>
    <row r="841" spans="1:6" s="639" customFormat="1" ht="12.75" customHeight="1" x14ac:dyDescent="0.25">
      <c r="A841" s="635"/>
      <c r="B841" s="636"/>
      <c r="C841" s="636"/>
      <c r="D841" s="636"/>
      <c r="E841" s="700"/>
      <c r="F841" s="701"/>
    </row>
    <row r="842" spans="1:6" s="639" customFormat="1" ht="12.75" customHeight="1" x14ac:dyDescent="0.25">
      <c r="A842" s="635"/>
      <c r="B842" s="636"/>
      <c r="C842" s="636"/>
      <c r="D842" s="636"/>
      <c r="E842" s="700"/>
      <c r="F842" s="701"/>
    </row>
    <row r="843" spans="1:6" s="639" customFormat="1" ht="12.75" customHeight="1" x14ac:dyDescent="0.25">
      <c r="A843" s="635"/>
      <c r="B843" s="636"/>
      <c r="C843" s="636"/>
      <c r="D843" s="636"/>
      <c r="E843" s="700"/>
      <c r="F843" s="701"/>
    </row>
    <row r="844" spans="1:6" s="639" customFormat="1" ht="12.75" customHeight="1" x14ac:dyDescent="0.25">
      <c r="A844" s="635"/>
      <c r="B844" s="636"/>
      <c r="C844" s="636"/>
      <c r="D844" s="636"/>
      <c r="E844" s="700"/>
      <c r="F844" s="701"/>
    </row>
    <row r="845" spans="1:6" s="639" customFormat="1" ht="12.75" customHeight="1" x14ac:dyDescent="0.25">
      <c r="A845" s="635"/>
      <c r="B845" s="636"/>
      <c r="C845" s="636"/>
      <c r="D845" s="636"/>
      <c r="E845" s="700"/>
      <c r="F845" s="701"/>
    </row>
    <row r="846" spans="1:6" s="639" customFormat="1" ht="12.75" customHeight="1" x14ac:dyDescent="0.25">
      <c r="A846" s="635"/>
      <c r="B846" s="636"/>
      <c r="C846" s="636"/>
      <c r="D846" s="636"/>
      <c r="E846" s="700"/>
      <c r="F846" s="701"/>
    </row>
    <row r="847" spans="1:6" s="639" customFormat="1" ht="12.75" customHeight="1" x14ac:dyDescent="0.25">
      <c r="A847" s="635"/>
      <c r="B847" s="636"/>
      <c r="C847" s="636"/>
      <c r="D847" s="636"/>
      <c r="E847" s="700"/>
      <c r="F847" s="701"/>
    </row>
    <row r="848" spans="1:6" s="639" customFormat="1" ht="12.75" customHeight="1" x14ac:dyDescent="0.25">
      <c r="A848" s="635"/>
      <c r="B848" s="636"/>
      <c r="C848" s="636"/>
      <c r="D848" s="636"/>
      <c r="E848" s="700"/>
      <c r="F848" s="701"/>
    </row>
    <row r="849" spans="1:6" s="639" customFormat="1" ht="12.75" customHeight="1" x14ac:dyDescent="0.25">
      <c r="A849" s="635"/>
      <c r="B849" s="636"/>
      <c r="C849" s="636"/>
      <c r="D849" s="636"/>
      <c r="E849" s="700"/>
      <c r="F849" s="701"/>
    </row>
    <row r="850" spans="1:6" s="639" customFormat="1" ht="12.75" customHeight="1" x14ac:dyDescent="0.25">
      <c r="A850" s="635"/>
      <c r="B850" s="636"/>
      <c r="C850" s="636"/>
      <c r="D850" s="636"/>
      <c r="E850" s="700"/>
      <c r="F850" s="701"/>
    </row>
    <row r="851" spans="1:6" s="639" customFormat="1" ht="12.75" customHeight="1" x14ac:dyDescent="0.25">
      <c r="A851" s="635"/>
      <c r="B851" s="636"/>
      <c r="C851" s="636"/>
      <c r="D851" s="636"/>
      <c r="E851" s="700"/>
      <c r="F851" s="701"/>
    </row>
    <row r="852" spans="1:6" s="639" customFormat="1" ht="12.75" customHeight="1" x14ac:dyDescent="0.25">
      <c r="A852" s="635"/>
      <c r="B852" s="636"/>
      <c r="C852" s="636"/>
      <c r="D852" s="636"/>
      <c r="E852" s="700"/>
      <c r="F852" s="701"/>
    </row>
    <row r="853" spans="1:6" s="639" customFormat="1" ht="12.75" customHeight="1" x14ac:dyDescent="0.25">
      <c r="A853" s="635"/>
      <c r="B853" s="636"/>
      <c r="C853" s="636"/>
      <c r="D853" s="636"/>
      <c r="E853" s="700"/>
      <c r="F853" s="701"/>
    </row>
    <row r="854" spans="1:6" s="639" customFormat="1" ht="12.75" customHeight="1" x14ac:dyDescent="0.25">
      <c r="A854" s="635"/>
      <c r="B854" s="636"/>
      <c r="C854" s="636"/>
      <c r="D854" s="636"/>
      <c r="E854" s="700"/>
      <c r="F854" s="701"/>
    </row>
    <row r="855" spans="1:6" s="639" customFormat="1" ht="12.75" customHeight="1" x14ac:dyDescent="0.25">
      <c r="A855" s="635"/>
      <c r="B855" s="636"/>
      <c r="C855" s="636"/>
      <c r="D855" s="636"/>
      <c r="E855" s="700"/>
      <c r="F855" s="701"/>
    </row>
    <row r="856" spans="1:6" s="639" customFormat="1" ht="12.75" customHeight="1" x14ac:dyDescent="0.25">
      <c r="A856" s="635"/>
      <c r="B856" s="636"/>
      <c r="C856" s="636"/>
      <c r="D856" s="636"/>
      <c r="E856" s="700"/>
      <c r="F856" s="701"/>
    </row>
    <row r="857" spans="1:6" s="639" customFormat="1" ht="12.75" customHeight="1" x14ac:dyDescent="0.25">
      <c r="A857" s="635"/>
      <c r="B857" s="636"/>
      <c r="C857" s="636"/>
      <c r="D857" s="636"/>
      <c r="E857" s="700"/>
      <c r="F857" s="701"/>
    </row>
    <row r="858" spans="1:6" s="639" customFormat="1" ht="12.75" customHeight="1" x14ac:dyDescent="0.25">
      <c r="A858" s="635"/>
      <c r="B858" s="636"/>
      <c r="C858" s="636"/>
      <c r="D858" s="636"/>
      <c r="E858" s="700"/>
      <c r="F858" s="701"/>
    </row>
    <row r="859" spans="1:6" s="639" customFormat="1" ht="12.75" customHeight="1" x14ac:dyDescent="0.25">
      <c r="A859" s="635"/>
      <c r="B859" s="636"/>
      <c r="C859" s="636"/>
      <c r="D859" s="636"/>
      <c r="E859" s="700"/>
      <c r="F859" s="701"/>
    </row>
    <row r="860" spans="1:6" s="639" customFormat="1" ht="12.75" customHeight="1" x14ac:dyDescent="0.25">
      <c r="A860" s="635"/>
      <c r="B860" s="636"/>
      <c r="C860" s="636"/>
      <c r="D860" s="636"/>
      <c r="E860" s="700"/>
      <c r="F860" s="701"/>
    </row>
    <row r="861" spans="1:6" s="639" customFormat="1" ht="12.75" customHeight="1" x14ac:dyDescent="0.25">
      <c r="A861" s="635"/>
      <c r="B861" s="636"/>
      <c r="C861" s="636"/>
      <c r="D861" s="636"/>
      <c r="E861" s="700"/>
      <c r="F861" s="701"/>
    </row>
    <row r="862" spans="1:6" s="639" customFormat="1" ht="12.75" customHeight="1" x14ac:dyDescent="0.25">
      <c r="A862" s="635"/>
      <c r="B862" s="636"/>
      <c r="C862" s="636"/>
      <c r="D862" s="636"/>
      <c r="E862" s="700"/>
      <c r="F862" s="701"/>
    </row>
    <row r="863" spans="1:6" s="639" customFormat="1" ht="12.75" customHeight="1" x14ac:dyDescent="0.25">
      <c r="A863" s="635"/>
      <c r="B863" s="636"/>
      <c r="C863" s="636"/>
      <c r="D863" s="636"/>
      <c r="E863" s="700"/>
      <c r="F863" s="701"/>
    </row>
    <row r="864" spans="1:6" s="639" customFormat="1" ht="12.75" customHeight="1" x14ac:dyDescent="0.25">
      <c r="A864" s="635"/>
      <c r="B864" s="636"/>
      <c r="C864" s="636"/>
      <c r="D864" s="636"/>
      <c r="E864" s="700"/>
      <c r="F864" s="701"/>
    </row>
    <row r="865" spans="1:6" s="639" customFormat="1" ht="12.75" customHeight="1" x14ac:dyDescent="0.25">
      <c r="A865" s="635"/>
      <c r="B865" s="636"/>
      <c r="C865" s="636"/>
      <c r="D865" s="636"/>
      <c r="E865" s="700"/>
      <c r="F865" s="701"/>
    </row>
    <row r="866" spans="1:6" s="639" customFormat="1" ht="12.75" customHeight="1" x14ac:dyDescent="0.25">
      <c r="A866" s="635"/>
      <c r="B866" s="636"/>
      <c r="C866" s="636"/>
      <c r="D866" s="636"/>
      <c r="E866" s="700"/>
      <c r="F866" s="701"/>
    </row>
    <row r="867" spans="1:6" s="639" customFormat="1" ht="12.75" customHeight="1" x14ac:dyDescent="0.25">
      <c r="A867" s="635"/>
      <c r="B867" s="636"/>
      <c r="C867" s="636"/>
      <c r="D867" s="636"/>
      <c r="E867" s="700"/>
      <c r="F867" s="701"/>
    </row>
    <row r="868" spans="1:6" s="639" customFormat="1" ht="12.75" customHeight="1" x14ac:dyDescent="0.25">
      <c r="A868" s="635"/>
      <c r="B868" s="636"/>
      <c r="C868" s="636"/>
      <c r="D868" s="636"/>
      <c r="E868" s="700"/>
      <c r="F868" s="701"/>
    </row>
    <row r="869" spans="1:6" s="639" customFormat="1" ht="12.75" customHeight="1" x14ac:dyDescent="0.25">
      <c r="A869" s="635"/>
      <c r="B869" s="636"/>
      <c r="C869" s="636"/>
      <c r="D869" s="636"/>
      <c r="E869" s="700"/>
      <c r="F869" s="701"/>
    </row>
    <row r="870" spans="1:6" s="639" customFormat="1" ht="12.75" customHeight="1" x14ac:dyDescent="0.25">
      <c r="A870" s="635"/>
      <c r="B870" s="636"/>
      <c r="C870" s="636"/>
      <c r="D870" s="636"/>
      <c r="E870" s="700"/>
      <c r="F870" s="701"/>
    </row>
    <row r="871" spans="1:6" s="639" customFormat="1" ht="12.75" customHeight="1" x14ac:dyDescent="0.25">
      <c r="A871" s="635"/>
      <c r="B871" s="636"/>
      <c r="C871" s="636"/>
      <c r="D871" s="636"/>
      <c r="E871" s="700"/>
      <c r="F871" s="701"/>
    </row>
    <row r="872" spans="1:6" s="639" customFormat="1" ht="12.75" customHeight="1" x14ac:dyDescent="0.25">
      <c r="A872" s="635"/>
      <c r="B872" s="636"/>
      <c r="C872" s="636"/>
      <c r="D872" s="636"/>
      <c r="E872" s="700"/>
      <c r="F872" s="701"/>
    </row>
    <row r="873" spans="1:6" s="639" customFormat="1" ht="12.75" customHeight="1" x14ac:dyDescent="0.25">
      <c r="A873" s="635"/>
      <c r="B873" s="636"/>
      <c r="C873" s="636"/>
      <c r="D873" s="636"/>
      <c r="E873" s="700"/>
      <c r="F873" s="701"/>
    </row>
    <row r="874" spans="1:6" s="639" customFormat="1" ht="12.75" customHeight="1" x14ac:dyDescent="0.25">
      <c r="A874" s="635"/>
      <c r="B874" s="636"/>
      <c r="C874" s="636"/>
      <c r="D874" s="636"/>
      <c r="E874" s="700"/>
      <c r="F874" s="701"/>
    </row>
    <row r="875" spans="1:6" s="639" customFormat="1" ht="12.75" customHeight="1" x14ac:dyDescent="0.25">
      <c r="A875" s="635"/>
      <c r="B875" s="636"/>
      <c r="C875" s="636"/>
      <c r="D875" s="636"/>
      <c r="E875" s="700"/>
      <c r="F875" s="701"/>
    </row>
    <row r="876" spans="1:6" s="639" customFormat="1" ht="12.75" customHeight="1" x14ac:dyDescent="0.25">
      <c r="A876" s="635"/>
      <c r="B876" s="636"/>
      <c r="C876" s="636"/>
      <c r="D876" s="636"/>
      <c r="E876" s="700"/>
      <c r="F876" s="701"/>
    </row>
    <row r="877" spans="1:6" s="639" customFormat="1" ht="12.75" customHeight="1" x14ac:dyDescent="0.25">
      <c r="A877" s="635"/>
      <c r="B877" s="636"/>
      <c r="C877" s="636"/>
      <c r="D877" s="636"/>
      <c r="E877" s="700"/>
      <c r="F877" s="701"/>
    </row>
    <row r="878" spans="1:6" s="639" customFormat="1" ht="12.75" customHeight="1" x14ac:dyDescent="0.25">
      <c r="A878" s="635"/>
      <c r="B878" s="636"/>
      <c r="C878" s="636"/>
      <c r="D878" s="636"/>
      <c r="E878" s="700"/>
      <c r="F878" s="701"/>
    </row>
    <row r="879" spans="1:6" s="639" customFormat="1" ht="12.75" customHeight="1" x14ac:dyDescent="0.25">
      <c r="A879" s="635"/>
      <c r="B879" s="636"/>
      <c r="C879" s="636"/>
      <c r="D879" s="636"/>
      <c r="E879" s="700"/>
      <c r="F879" s="701"/>
    </row>
    <row r="880" spans="1:6" s="639" customFormat="1" ht="12.75" customHeight="1" x14ac:dyDescent="0.25">
      <c r="A880" s="635"/>
      <c r="B880" s="636"/>
      <c r="C880" s="636"/>
      <c r="D880" s="636"/>
      <c r="E880" s="700"/>
      <c r="F880" s="701"/>
    </row>
    <row r="881" spans="1:6" s="639" customFormat="1" ht="12.75" customHeight="1" x14ac:dyDescent="0.25">
      <c r="A881" s="635"/>
      <c r="B881" s="636"/>
      <c r="C881" s="636"/>
      <c r="D881" s="636"/>
      <c r="E881" s="700"/>
      <c r="F881" s="701"/>
    </row>
    <row r="882" spans="1:6" s="639" customFormat="1" ht="12.75" customHeight="1" x14ac:dyDescent="0.25">
      <c r="A882" s="635"/>
      <c r="B882" s="636"/>
      <c r="C882" s="636"/>
      <c r="D882" s="636"/>
      <c r="E882" s="700"/>
      <c r="F882" s="701"/>
    </row>
    <row r="883" spans="1:6" s="639" customFormat="1" ht="12.75" customHeight="1" x14ac:dyDescent="0.25">
      <c r="A883" s="635"/>
      <c r="B883" s="636"/>
      <c r="C883" s="636"/>
      <c r="D883" s="636"/>
      <c r="E883" s="700"/>
      <c r="F883" s="701"/>
    </row>
    <row r="884" spans="1:6" s="639" customFormat="1" ht="12.75" customHeight="1" x14ac:dyDescent="0.25">
      <c r="A884" s="635"/>
      <c r="B884" s="636"/>
      <c r="C884" s="636"/>
      <c r="D884" s="636"/>
      <c r="E884" s="700"/>
      <c r="F884" s="701"/>
    </row>
    <row r="885" spans="1:6" s="639" customFormat="1" ht="12.75" customHeight="1" x14ac:dyDescent="0.25">
      <c r="A885" s="635"/>
      <c r="B885" s="636"/>
      <c r="C885" s="636"/>
      <c r="D885" s="636"/>
      <c r="E885" s="700"/>
      <c r="F885" s="701"/>
    </row>
    <row r="886" spans="1:6" s="639" customFormat="1" ht="12.75" customHeight="1" x14ac:dyDescent="0.25">
      <c r="A886" s="635"/>
      <c r="B886" s="636"/>
      <c r="C886" s="636"/>
      <c r="D886" s="636"/>
      <c r="E886" s="700"/>
      <c r="F886" s="701"/>
    </row>
    <row r="887" spans="1:6" s="639" customFormat="1" ht="12.75" customHeight="1" x14ac:dyDescent="0.25">
      <c r="A887" s="635"/>
      <c r="B887" s="636"/>
      <c r="C887" s="636"/>
      <c r="D887" s="636"/>
      <c r="E887" s="700"/>
      <c r="F887" s="701"/>
    </row>
    <row r="888" spans="1:6" s="639" customFormat="1" ht="12.75" customHeight="1" x14ac:dyDescent="0.25">
      <c r="A888" s="635"/>
      <c r="B888" s="636"/>
      <c r="C888" s="636"/>
      <c r="D888" s="636"/>
      <c r="E888" s="700"/>
      <c r="F888" s="701"/>
    </row>
    <row r="889" spans="1:6" s="639" customFormat="1" ht="12.75" customHeight="1" x14ac:dyDescent="0.25">
      <c r="A889" s="635"/>
      <c r="B889" s="636"/>
      <c r="C889" s="636"/>
      <c r="D889" s="636"/>
      <c r="E889" s="700"/>
      <c r="F889" s="701"/>
    </row>
    <row r="890" spans="1:6" s="639" customFormat="1" ht="12.75" customHeight="1" x14ac:dyDescent="0.25">
      <c r="A890" s="635"/>
      <c r="B890" s="636"/>
      <c r="C890" s="636"/>
      <c r="D890" s="636"/>
      <c r="E890" s="700"/>
      <c r="F890" s="701"/>
    </row>
    <row r="891" spans="1:6" s="639" customFormat="1" ht="12.75" customHeight="1" x14ac:dyDescent="0.25">
      <c r="A891" s="635"/>
      <c r="B891" s="636"/>
      <c r="C891" s="636"/>
      <c r="D891" s="636"/>
      <c r="E891" s="700"/>
      <c r="F891" s="701"/>
    </row>
    <row r="892" spans="1:6" s="639" customFormat="1" ht="12.75" customHeight="1" x14ac:dyDescent="0.25">
      <c r="A892" s="635"/>
      <c r="B892" s="636"/>
      <c r="C892" s="636"/>
      <c r="D892" s="636"/>
      <c r="E892" s="700"/>
      <c r="F892" s="701"/>
    </row>
    <row r="893" spans="1:6" s="639" customFormat="1" ht="12.75" customHeight="1" x14ac:dyDescent="0.25">
      <c r="A893" s="635"/>
      <c r="B893" s="636"/>
      <c r="C893" s="636"/>
      <c r="D893" s="636"/>
      <c r="E893" s="700"/>
      <c r="F893" s="701"/>
    </row>
    <row r="894" spans="1:6" s="639" customFormat="1" ht="12.75" customHeight="1" x14ac:dyDescent="0.25">
      <c r="A894" s="635"/>
      <c r="B894" s="636"/>
      <c r="C894" s="636"/>
      <c r="D894" s="636"/>
      <c r="E894" s="700"/>
      <c r="F894" s="701"/>
    </row>
    <row r="895" spans="1:6" s="639" customFormat="1" ht="12.75" customHeight="1" x14ac:dyDescent="0.25">
      <c r="A895" s="635"/>
      <c r="B895" s="636"/>
      <c r="C895" s="636"/>
      <c r="D895" s="636"/>
      <c r="E895" s="700"/>
      <c r="F895" s="701"/>
    </row>
    <row r="896" spans="1:6" s="639" customFormat="1" ht="12.75" customHeight="1" x14ac:dyDescent="0.25">
      <c r="A896" s="635"/>
      <c r="B896" s="636"/>
      <c r="C896" s="636"/>
      <c r="D896" s="636"/>
      <c r="E896" s="700"/>
      <c r="F896" s="701"/>
    </row>
    <row r="897" spans="1:6" s="639" customFormat="1" ht="12.75" customHeight="1" x14ac:dyDescent="0.25">
      <c r="A897" s="635"/>
      <c r="B897" s="636"/>
      <c r="C897" s="636"/>
      <c r="D897" s="636"/>
      <c r="E897" s="700"/>
      <c r="F897" s="701"/>
    </row>
    <row r="898" spans="1:6" s="639" customFormat="1" ht="12.75" customHeight="1" x14ac:dyDescent="0.25">
      <c r="A898" s="635"/>
      <c r="B898" s="636"/>
      <c r="C898" s="636"/>
      <c r="D898" s="636"/>
      <c r="E898" s="700"/>
      <c r="F898" s="701"/>
    </row>
    <row r="899" spans="1:6" s="639" customFormat="1" ht="12.75" customHeight="1" x14ac:dyDescent="0.25">
      <c r="A899" s="635"/>
      <c r="B899" s="636"/>
      <c r="C899" s="636"/>
      <c r="D899" s="636"/>
      <c r="E899" s="700"/>
      <c r="F899" s="701"/>
    </row>
    <row r="900" spans="1:6" s="639" customFormat="1" ht="12.75" customHeight="1" x14ac:dyDescent="0.25">
      <c r="A900" s="635"/>
      <c r="B900" s="636"/>
      <c r="C900" s="636"/>
      <c r="D900" s="636"/>
      <c r="E900" s="700"/>
      <c r="F900" s="701"/>
    </row>
    <row r="901" spans="1:6" s="639" customFormat="1" ht="12.75" customHeight="1" x14ac:dyDescent="0.25">
      <c r="A901" s="635"/>
      <c r="B901" s="636"/>
      <c r="C901" s="636"/>
      <c r="D901" s="636"/>
      <c r="E901" s="700"/>
      <c r="F901" s="701"/>
    </row>
    <row r="902" spans="1:6" s="639" customFormat="1" ht="12.75" customHeight="1" x14ac:dyDescent="0.25">
      <c r="A902" s="635"/>
      <c r="B902" s="636"/>
      <c r="C902" s="636"/>
      <c r="D902" s="636"/>
      <c r="E902" s="700"/>
      <c r="F902" s="701"/>
    </row>
    <row r="903" spans="1:6" s="639" customFormat="1" ht="12.75" customHeight="1" x14ac:dyDescent="0.25">
      <c r="A903" s="635"/>
      <c r="B903" s="636"/>
      <c r="C903" s="636"/>
      <c r="D903" s="636"/>
      <c r="E903" s="700"/>
      <c r="F903" s="701"/>
    </row>
    <row r="904" spans="1:6" s="639" customFormat="1" ht="12.75" customHeight="1" x14ac:dyDescent="0.25">
      <c r="A904" s="635"/>
      <c r="B904" s="636"/>
      <c r="C904" s="636"/>
      <c r="D904" s="636"/>
      <c r="E904" s="700"/>
      <c r="F904" s="701"/>
    </row>
    <row r="905" spans="1:6" s="639" customFormat="1" ht="12.75" customHeight="1" x14ac:dyDescent="0.25">
      <c r="A905" s="635"/>
      <c r="B905" s="636"/>
      <c r="C905" s="636"/>
      <c r="D905" s="636"/>
      <c r="E905" s="700"/>
      <c r="F905" s="701"/>
    </row>
    <row r="906" spans="1:6" s="639" customFormat="1" ht="12.75" customHeight="1" x14ac:dyDescent="0.25">
      <c r="A906" s="635"/>
      <c r="B906" s="636"/>
      <c r="C906" s="636"/>
      <c r="D906" s="636"/>
      <c r="E906" s="700"/>
      <c r="F906" s="701"/>
    </row>
    <row r="907" spans="1:6" s="639" customFormat="1" ht="12.75" customHeight="1" x14ac:dyDescent="0.25">
      <c r="A907" s="635"/>
      <c r="B907" s="636"/>
      <c r="C907" s="636"/>
      <c r="D907" s="636"/>
      <c r="E907" s="700"/>
      <c r="F907" s="701"/>
    </row>
    <row r="908" spans="1:6" s="639" customFormat="1" ht="12.75" customHeight="1" x14ac:dyDescent="0.25">
      <c r="A908" s="635"/>
      <c r="B908" s="636"/>
      <c r="C908" s="636"/>
      <c r="D908" s="636"/>
      <c r="E908" s="700"/>
      <c r="F908" s="701"/>
    </row>
    <row r="909" spans="1:6" s="639" customFormat="1" ht="12.75" customHeight="1" x14ac:dyDescent="0.25">
      <c r="A909" s="635"/>
      <c r="B909" s="636"/>
      <c r="C909" s="636"/>
      <c r="D909" s="636"/>
      <c r="E909" s="700"/>
      <c r="F909" s="701"/>
    </row>
    <row r="910" spans="1:6" s="639" customFormat="1" ht="12.75" customHeight="1" x14ac:dyDescent="0.25">
      <c r="A910" s="635"/>
      <c r="B910" s="636"/>
      <c r="C910" s="636"/>
      <c r="D910" s="636"/>
      <c r="E910" s="700"/>
      <c r="F910" s="701"/>
    </row>
    <row r="911" spans="1:6" s="639" customFormat="1" ht="12.75" customHeight="1" x14ac:dyDescent="0.25">
      <c r="A911" s="635"/>
      <c r="B911" s="636"/>
      <c r="C911" s="636"/>
      <c r="D911" s="636"/>
      <c r="E911" s="700"/>
      <c r="F911" s="701"/>
    </row>
    <row r="912" spans="1:6" s="639" customFormat="1" ht="12.75" customHeight="1" x14ac:dyDescent="0.25">
      <c r="A912" s="635"/>
      <c r="B912" s="636"/>
      <c r="C912" s="636"/>
      <c r="D912" s="636"/>
      <c r="E912" s="700"/>
      <c r="F912" s="701"/>
    </row>
    <row r="913" spans="1:6" s="639" customFormat="1" ht="12.75" customHeight="1" x14ac:dyDescent="0.25">
      <c r="A913" s="635"/>
      <c r="B913" s="636"/>
      <c r="C913" s="636"/>
      <c r="D913" s="636"/>
      <c r="E913" s="700"/>
      <c r="F913" s="701"/>
    </row>
    <row r="914" spans="1:6" s="639" customFormat="1" ht="12.75" customHeight="1" x14ac:dyDescent="0.25">
      <c r="A914" s="635"/>
      <c r="B914" s="636"/>
      <c r="C914" s="636"/>
      <c r="D914" s="636"/>
      <c r="E914" s="700"/>
      <c r="F914" s="701"/>
    </row>
    <row r="915" spans="1:6" s="639" customFormat="1" ht="12.75" customHeight="1" x14ac:dyDescent="0.25">
      <c r="A915" s="635"/>
      <c r="B915" s="636"/>
      <c r="C915" s="636"/>
      <c r="D915" s="636"/>
      <c r="E915" s="700"/>
      <c r="F915" s="701"/>
    </row>
    <row r="916" spans="1:6" s="639" customFormat="1" ht="12.75" customHeight="1" x14ac:dyDescent="0.25">
      <c r="A916" s="635"/>
      <c r="B916" s="636"/>
      <c r="C916" s="636"/>
      <c r="D916" s="636"/>
      <c r="E916" s="700"/>
      <c r="F916" s="701"/>
    </row>
    <row r="917" spans="1:6" s="639" customFormat="1" ht="12.75" customHeight="1" x14ac:dyDescent="0.25">
      <c r="A917" s="635"/>
      <c r="B917" s="636"/>
      <c r="C917" s="636"/>
      <c r="D917" s="636"/>
      <c r="E917" s="700"/>
      <c r="F917" s="701"/>
    </row>
    <row r="918" spans="1:6" s="639" customFormat="1" ht="12.75" customHeight="1" x14ac:dyDescent="0.25">
      <c r="A918" s="635"/>
      <c r="B918" s="636"/>
      <c r="C918" s="636"/>
      <c r="D918" s="636"/>
      <c r="E918" s="700"/>
      <c r="F918" s="701"/>
    </row>
    <row r="919" spans="1:6" s="639" customFormat="1" ht="12.75" customHeight="1" x14ac:dyDescent="0.25">
      <c r="A919" s="635"/>
      <c r="B919" s="636"/>
      <c r="C919" s="636"/>
      <c r="D919" s="636"/>
      <c r="E919" s="700"/>
      <c r="F919" s="701"/>
    </row>
    <row r="920" spans="1:6" s="639" customFormat="1" ht="12.75" customHeight="1" x14ac:dyDescent="0.25">
      <c r="A920" s="635"/>
      <c r="B920" s="636"/>
      <c r="C920" s="636"/>
      <c r="D920" s="636"/>
      <c r="E920" s="700"/>
      <c r="F920" s="701"/>
    </row>
    <row r="921" spans="1:6" s="639" customFormat="1" ht="12.75" customHeight="1" x14ac:dyDescent="0.25">
      <c r="A921" s="635"/>
      <c r="B921" s="636"/>
      <c r="C921" s="636"/>
      <c r="D921" s="636"/>
      <c r="E921" s="700"/>
      <c r="F921" s="701"/>
    </row>
    <row r="922" spans="1:6" s="639" customFormat="1" ht="12.75" customHeight="1" x14ac:dyDescent="0.25">
      <c r="A922" s="635"/>
      <c r="B922" s="636"/>
      <c r="C922" s="636"/>
      <c r="D922" s="636"/>
      <c r="E922" s="700"/>
      <c r="F922" s="701"/>
    </row>
    <row r="923" spans="1:6" s="639" customFormat="1" ht="12.75" customHeight="1" x14ac:dyDescent="0.25">
      <c r="A923" s="635"/>
      <c r="B923" s="636"/>
      <c r="C923" s="636"/>
      <c r="D923" s="636"/>
      <c r="E923" s="700"/>
      <c r="F923" s="701"/>
    </row>
    <row r="924" spans="1:6" s="639" customFormat="1" ht="12.75" customHeight="1" x14ac:dyDescent="0.25">
      <c r="A924" s="635"/>
      <c r="B924" s="636"/>
      <c r="C924" s="636"/>
      <c r="D924" s="636"/>
      <c r="E924" s="700"/>
      <c r="F924" s="701"/>
    </row>
    <row r="925" spans="1:6" s="639" customFormat="1" ht="12.75" customHeight="1" x14ac:dyDescent="0.25">
      <c r="A925" s="635"/>
      <c r="B925" s="636"/>
      <c r="C925" s="636"/>
      <c r="D925" s="636"/>
      <c r="E925" s="700"/>
      <c r="F925" s="701"/>
    </row>
    <row r="926" spans="1:6" s="639" customFormat="1" ht="12.75" customHeight="1" x14ac:dyDescent="0.25">
      <c r="A926" s="635"/>
      <c r="B926" s="636"/>
      <c r="C926" s="636"/>
      <c r="D926" s="636"/>
      <c r="E926" s="700"/>
      <c r="F926" s="701"/>
    </row>
    <row r="927" spans="1:6" s="639" customFormat="1" ht="12.75" customHeight="1" x14ac:dyDescent="0.25">
      <c r="A927" s="635"/>
      <c r="B927" s="636"/>
      <c r="C927" s="636"/>
      <c r="D927" s="636"/>
      <c r="E927" s="700"/>
      <c r="F927" s="701"/>
    </row>
    <row r="928" spans="1:6" s="639" customFormat="1" ht="12.75" customHeight="1" x14ac:dyDescent="0.25">
      <c r="A928" s="635"/>
      <c r="B928" s="636"/>
      <c r="C928" s="636"/>
      <c r="D928" s="636"/>
      <c r="E928" s="700"/>
      <c r="F928" s="701"/>
    </row>
    <row r="929" spans="1:6" s="639" customFormat="1" ht="12.75" customHeight="1" x14ac:dyDescent="0.25">
      <c r="A929" s="635"/>
      <c r="B929" s="636"/>
      <c r="C929" s="636"/>
      <c r="D929" s="636"/>
      <c r="E929" s="700"/>
      <c r="F929" s="701"/>
    </row>
    <row r="930" spans="1:6" s="639" customFormat="1" ht="12.75" customHeight="1" x14ac:dyDescent="0.25">
      <c r="A930" s="635"/>
      <c r="B930" s="636"/>
      <c r="C930" s="636"/>
      <c r="D930" s="636"/>
      <c r="E930" s="700"/>
      <c r="F930" s="701"/>
    </row>
    <row r="931" spans="1:6" s="639" customFormat="1" ht="12.75" customHeight="1" x14ac:dyDescent="0.25">
      <c r="A931" s="635"/>
      <c r="B931" s="636"/>
      <c r="C931" s="636"/>
      <c r="D931" s="636"/>
      <c r="E931" s="700"/>
      <c r="F931" s="701"/>
    </row>
    <row r="932" spans="1:6" s="639" customFormat="1" ht="12.75" customHeight="1" x14ac:dyDescent="0.25">
      <c r="A932" s="635"/>
      <c r="B932" s="636"/>
      <c r="C932" s="636"/>
      <c r="D932" s="636"/>
      <c r="E932" s="700"/>
      <c r="F932" s="701"/>
    </row>
    <row r="933" spans="1:6" s="639" customFormat="1" ht="12.75" customHeight="1" x14ac:dyDescent="0.25">
      <c r="A933" s="635"/>
      <c r="B933" s="636"/>
      <c r="C933" s="636"/>
      <c r="D933" s="636"/>
      <c r="E933" s="700"/>
      <c r="F933" s="701"/>
    </row>
    <row r="934" spans="1:6" s="639" customFormat="1" ht="12.75" customHeight="1" x14ac:dyDescent="0.25">
      <c r="A934" s="635"/>
      <c r="B934" s="636"/>
      <c r="C934" s="636"/>
      <c r="D934" s="636"/>
      <c r="E934" s="700"/>
      <c r="F934" s="701"/>
    </row>
    <row r="935" spans="1:6" s="639" customFormat="1" ht="12.75" customHeight="1" x14ac:dyDescent="0.25">
      <c r="A935" s="635"/>
      <c r="B935" s="636"/>
      <c r="C935" s="636"/>
      <c r="D935" s="636"/>
      <c r="E935" s="700"/>
      <c r="F935" s="701"/>
    </row>
    <row r="936" spans="1:6" s="639" customFormat="1" ht="12.75" customHeight="1" x14ac:dyDescent="0.25">
      <c r="A936" s="635"/>
      <c r="B936" s="636"/>
      <c r="C936" s="636"/>
      <c r="D936" s="636"/>
      <c r="E936" s="700"/>
      <c r="F936" s="701"/>
    </row>
    <row r="937" spans="1:6" s="639" customFormat="1" ht="12.75" customHeight="1" x14ac:dyDescent="0.25">
      <c r="A937" s="635"/>
      <c r="B937" s="636"/>
      <c r="C937" s="636"/>
      <c r="D937" s="636"/>
      <c r="E937" s="700"/>
      <c r="F937" s="701"/>
    </row>
    <row r="938" spans="1:6" s="639" customFormat="1" ht="12.75" customHeight="1" x14ac:dyDescent="0.25">
      <c r="A938" s="635"/>
      <c r="B938" s="636"/>
      <c r="C938" s="636"/>
      <c r="D938" s="636"/>
      <c r="E938" s="700"/>
      <c r="F938" s="701"/>
    </row>
    <row r="939" spans="1:6" s="639" customFormat="1" ht="12.75" customHeight="1" x14ac:dyDescent="0.25">
      <c r="A939" s="635"/>
      <c r="B939" s="636"/>
      <c r="C939" s="636"/>
      <c r="D939" s="636"/>
      <c r="E939" s="700"/>
      <c r="F939" s="701"/>
    </row>
    <row r="940" spans="1:6" s="639" customFormat="1" ht="12.75" customHeight="1" x14ac:dyDescent="0.25">
      <c r="A940" s="635"/>
      <c r="B940" s="636"/>
      <c r="C940" s="636"/>
      <c r="D940" s="636"/>
      <c r="E940" s="700"/>
      <c r="F940" s="701"/>
    </row>
    <row r="941" spans="1:6" s="639" customFormat="1" ht="12.75" customHeight="1" x14ac:dyDescent="0.25">
      <c r="A941" s="635"/>
      <c r="B941" s="636"/>
      <c r="C941" s="636"/>
      <c r="D941" s="636"/>
      <c r="E941" s="700"/>
      <c r="F941" s="701"/>
    </row>
    <row r="942" spans="1:6" s="639" customFormat="1" ht="12.75" customHeight="1" x14ac:dyDescent="0.25">
      <c r="A942" s="635"/>
      <c r="B942" s="636"/>
      <c r="C942" s="636"/>
      <c r="D942" s="636"/>
      <c r="E942" s="700"/>
      <c r="F942" s="701"/>
    </row>
    <row r="943" spans="1:6" s="639" customFormat="1" ht="12.75" customHeight="1" x14ac:dyDescent="0.25">
      <c r="A943" s="635"/>
      <c r="B943" s="636"/>
      <c r="C943" s="636"/>
      <c r="D943" s="636"/>
      <c r="E943" s="700"/>
      <c r="F943" s="701"/>
    </row>
    <row r="944" spans="1:6" s="639" customFormat="1" ht="12.75" customHeight="1" x14ac:dyDescent="0.25">
      <c r="A944" s="635"/>
      <c r="B944" s="636"/>
      <c r="C944" s="636"/>
      <c r="D944" s="636"/>
      <c r="E944" s="700"/>
      <c r="F944" s="701"/>
    </row>
    <row r="945" spans="1:6" s="639" customFormat="1" ht="12.75" customHeight="1" x14ac:dyDescent="0.25">
      <c r="A945" s="635"/>
      <c r="B945" s="636"/>
      <c r="C945" s="636"/>
      <c r="D945" s="636"/>
      <c r="E945" s="700"/>
      <c r="F945" s="701"/>
    </row>
    <row r="946" spans="1:6" s="639" customFormat="1" ht="12.75" customHeight="1" x14ac:dyDescent="0.25">
      <c r="A946" s="635"/>
      <c r="B946" s="636"/>
      <c r="C946" s="636"/>
      <c r="D946" s="636"/>
      <c r="E946" s="700"/>
      <c r="F946" s="701"/>
    </row>
    <row r="947" spans="1:6" s="639" customFormat="1" ht="12.75" customHeight="1" x14ac:dyDescent="0.25">
      <c r="A947" s="635"/>
      <c r="B947" s="636"/>
      <c r="C947" s="636"/>
      <c r="D947" s="636"/>
      <c r="E947" s="700"/>
      <c r="F947" s="701"/>
    </row>
    <row r="948" spans="1:6" s="639" customFormat="1" ht="12.75" customHeight="1" x14ac:dyDescent="0.25">
      <c r="A948" s="635"/>
      <c r="B948" s="636"/>
      <c r="C948" s="636"/>
      <c r="D948" s="636"/>
      <c r="E948" s="700"/>
      <c r="F948" s="701"/>
    </row>
    <row r="949" spans="1:6" s="639" customFormat="1" ht="12.75" customHeight="1" x14ac:dyDescent="0.25">
      <c r="A949" s="635"/>
      <c r="B949" s="636"/>
      <c r="C949" s="636"/>
      <c r="D949" s="636"/>
      <c r="E949" s="700"/>
      <c r="F949" s="701"/>
    </row>
    <row r="950" spans="1:6" s="639" customFormat="1" ht="12.75" customHeight="1" x14ac:dyDescent="0.25">
      <c r="A950" s="635"/>
      <c r="B950" s="636"/>
      <c r="C950" s="636"/>
      <c r="D950" s="636"/>
      <c r="E950" s="700"/>
      <c r="F950" s="701"/>
    </row>
    <row r="951" spans="1:6" s="639" customFormat="1" ht="12.75" customHeight="1" x14ac:dyDescent="0.25">
      <c r="A951" s="635"/>
      <c r="B951" s="636"/>
      <c r="C951" s="636"/>
      <c r="D951" s="636"/>
      <c r="E951" s="700"/>
      <c r="F951" s="701"/>
    </row>
    <row r="952" spans="1:6" s="639" customFormat="1" ht="12.75" customHeight="1" x14ac:dyDescent="0.25">
      <c r="A952" s="635"/>
      <c r="B952" s="636"/>
      <c r="C952" s="636"/>
      <c r="D952" s="636"/>
      <c r="E952" s="700"/>
      <c r="F952" s="701"/>
    </row>
    <row r="953" spans="1:6" s="639" customFormat="1" ht="12.75" customHeight="1" x14ac:dyDescent="0.25">
      <c r="A953" s="635"/>
      <c r="B953" s="636"/>
      <c r="C953" s="636"/>
      <c r="D953" s="636"/>
      <c r="E953" s="700"/>
      <c r="F953" s="701"/>
    </row>
    <row r="954" spans="1:6" s="639" customFormat="1" ht="12.75" customHeight="1" x14ac:dyDescent="0.25">
      <c r="A954" s="635"/>
      <c r="B954" s="636"/>
      <c r="C954" s="636"/>
      <c r="D954" s="636"/>
      <c r="E954" s="700"/>
      <c r="F954" s="701"/>
    </row>
    <row r="955" spans="1:6" s="639" customFormat="1" ht="12.75" customHeight="1" x14ac:dyDescent="0.25">
      <c r="A955" s="635"/>
      <c r="B955" s="636"/>
      <c r="C955" s="636"/>
      <c r="D955" s="636"/>
      <c r="E955" s="700"/>
      <c r="F955" s="701"/>
    </row>
    <row r="956" spans="1:6" s="639" customFormat="1" ht="12.75" customHeight="1" x14ac:dyDescent="0.25">
      <c r="A956" s="635"/>
      <c r="B956" s="636"/>
      <c r="C956" s="636"/>
      <c r="D956" s="636"/>
      <c r="E956" s="700"/>
      <c r="F956" s="701"/>
    </row>
    <row r="957" spans="1:6" s="639" customFormat="1" ht="12.75" customHeight="1" x14ac:dyDescent="0.25">
      <c r="A957" s="635"/>
      <c r="B957" s="636"/>
      <c r="C957" s="636"/>
      <c r="D957" s="636"/>
      <c r="E957" s="700"/>
      <c r="F957" s="701"/>
    </row>
    <row r="958" spans="1:6" s="639" customFormat="1" ht="12.75" customHeight="1" x14ac:dyDescent="0.25">
      <c r="A958" s="635"/>
      <c r="B958" s="636"/>
      <c r="C958" s="636"/>
      <c r="D958" s="636"/>
      <c r="E958" s="700"/>
      <c r="F958" s="701"/>
    </row>
    <row r="959" spans="1:6" s="639" customFormat="1" ht="12.75" customHeight="1" x14ac:dyDescent="0.25">
      <c r="A959" s="635"/>
      <c r="B959" s="636"/>
      <c r="C959" s="636"/>
      <c r="D959" s="636"/>
      <c r="E959" s="700"/>
      <c r="F959" s="701"/>
    </row>
    <row r="960" spans="1:6" s="639" customFormat="1" ht="12.75" customHeight="1" x14ac:dyDescent="0.25">
      <c r="A960" s="635"/>
      <c r="B960" s="636"/>
      <c r="C960" s="636"/>
      <c r="D960" s="636"/>
      <c r="E960" s="700"/>
      <c r="F960" s="701"/>
    </row>
    <row r="961" spans="1:6" s="639" customFormat="1" ht="12.75" customHeight="1" x14ac:dyDescent="0.25">
      <c r="A961" s="635"/>
      <c r="B961" s="636"/>
      <c r="C961" s="636"/>
      <c r="D961" s="636"/>
      <c r="E961" s="700"/>
      <c r="F961" s="701"/>
    </row>
    <row r="962" spans="1:6" s="639" customFormat="1" ht="12.75" customHeight="1" x14ac:dyDescent="0.25">
      <c r="A962" s="635"/>
      <c r="B962" s="636"/>
      <c r="C962" s="636"/>
      <c r="D962" s="636"/>
      <c r="E962" s="700"/>
      <c r="F962" s="701"/>
    </row>
    <row r="963" spans="1:6" s="639" customFormat="1" ht="12.75" customHeight="1" x14ac:dyDescent="0.25">
      <c r="A963" s="635"/>
      <c r="B963" s="636"/>
      <c r="C963" s="636"/>
      <c r="D963" s="636"/>
      <c r="E963" s="700"/>
      <c r="F963" s="701"/>
    </row>
    <row r="964" spans="1:6" s="639" customFormat="1" ht="12.75" customHeight="1" x14ac:dyDescent="0.25">
      <c r="A964" s="635"/>
      <c r="B964" s="636"/>
      <c r="C964" s="636"/>
      <c r="D964" s="636"/>
      <c r="E964" s="700"/>
      <c r="F964" s="701"/>
    </row>
    <row r="965" spans="1:6" s="639" customFormat="1" ht="12.75" customHeight="1" x14ac:dyDescent="0.25">
      <c r="A965" s="635"/>
      <c r="B965" s="636"/>
      <c r="C965" s="636"/>
      <c r="D965" s="636"/>
      <c r="E965" s="700"/>
      <c r="F965" s="701"/>
    </row>
    <row r="966" spans="1:6" s="639" customFormat="1" ht="12.75" customHeight="1" x14ac:dyDescent="0.25">
      <c r="A966" s="635"/>
      <c r="B966" s="636"/>
      <c r="C966" s="636"/>
      <c r="D966" s="636"/>
      <c r="E966" s="700"/>
      <c r="F966" s="701"/>
    </row>
    <row r="967" spans="1:6" s="639" customFormat="1" ht="12.75" customHeight="1" x14ac:dyDescent="0.25">
      <c r="A967" s="635"/>
      <c r="B967" s="636"/>
      <c r="C967" s="636"/>
      <c r="D967" s="636"/>
      <c r="E967" s="700"/>
      <c r="F967" s="701"/>
    </row>
    <row r="968" spans="1:6" s="639" customFormat="1" ht="12.75" customHeight="1" x14ac:dyDescent="0.25">
      <c r="A968" s="635"/>
      <c r="B968" s="636"/>
      <c r="C968" s="636"/>
      <c r="D968" s="636"/>
      <c r="E968" s="700"/>
      <c r="F968" s="701"/>
    </row>
    <row r="969" spans="1:6" s="639" customFormat="1" ht="12.75" customHeight="1" x14ac:dyDescent="0.25">
      <c r="A969" s="635"/>
      <c r="B969" s="636"/>
      <c r="C969" s="636"/>
      <c r="D969" s="636"/>
      <c r="E969" s="700"/>
      <c r="F969" s="701"/>
    </row>
    <row r="970" spans="1:6" s="639" customFormat="1" ht="12.75" customHeight="1" x14ac:dyDescent="0.25">
      <c r="A970" s="635"/>
      <c r="B970" s="636"/>
      <c r="C970" s="636"/>
      <c r="D970" s="636"/>
      <c r="E970" s="700"/>
      <c r="F970" s="701"/>
    </row>
    <row r="971" spans="1:6" s="639" customFormat="1" ht="12.75" customHeight="1" x14ac:dyDescent="0.25">
      <c r="A971" s="635"/>
      <c r="B971" s="636"/>
      <c r="C971" s="636"/>
      <c r="D971" s="636"/>
      <c r="E971" s="700"/>
      <c r="F971" s="701"/>
    </row>
    <row r="972" spans="1:6" s="639" customFormat="1" ht="12.75" customHeight="1" x14ac:dyDescent="0.25">
      <c r="A972" s="635"/>
      <c r="B972" s="636"/>
      <c r="C972" s="636"/>
      <c r="D972" s="636"/>
      <c r="E972" s="700"/>
      <c r="F972" s="701"/>
    </row>
    <row r="973" spans="1:6" s="639" customFormat="1" ht="12.75" customHeight="1" x14ac:dyDescent="0.25">
      <c r="A973" s="635"/>
      <c r="B973" s="636"/>
      <c r="C973" s="636"/>
      <c r="D973" s="636"/>
      <c r="E973" s="700"/>
      <c r="F973" s="701"/>
    </row>
    <row r="974" spans="1:6" s="639" customFormat="1" ht="12.75" customHeight="1" x14ac:dyDescent="0.25">
      <c r="A974" s="635"/>
      <c r="B974" s="636"/>
      <c r="C974" s="636"/>
      <c r="D974" s="636"/>
      <c r="E974" s="700"/>
      <c r="F974" s="701"/>
    </row>
    <row r="975" spans="1:6" s="639" customFormat="1" ht="12.75" customHeight="1" x14ac:dyDescent="0.25">
      <c r="A975" s="635"/>
      <c r="B975" s="636"/>
      <c r="C975" s="636"/>
      <c r="D975" s="636"/>
      <c r="E975" s="700"/>
      <c r="F975" s="701"/>
    </row>
    <row r="976" spans="1:6" s="639" customFormat="1" ht="12.75" customHeight="1" x14ac:dyDescent="0.25">
      <c r="A976" s="635"/>
      <c r="B976" s="636"/>
      <c r="C976" s="636"/>
      <c r="D976" s="636"/>
      <c r="E976" s="700"/>
      <c r="F976" s="701"/>
    </row>
    <row r="977" spans="1:6" s="639" customFormat="1" ht="12.75" customHeight="1" x14ac:dyDescent="0.25">
      <c r="A977" s="635"/>
      <c r="B977" s="636"/>
      <c r="C977" s="636"/>
      <c r="D977" s="636"/>
      <c r="E977" s="700"/>
      <c r="F977" s="701"/>
    </row>
    <row r="978" spans="1:6" s="639" customFormat="1" ht="12.75" customHeight="1" x14ac:dyDescent="0.25">
      <c r="A978" s="635"/>
      <c r="B978" s="636"/>
      <c r="C978" s="636"/>
      <c r="D978" s="636"/>
      <c r="E978" s="700"/>
      <c r="F978" s="701"/>
    </row>
    <row r="979" spans="1:6" s="639" customFormat="1" ht="12.75" customHeight="1" x14ac:dyDescent="0.25">
      <c r="A979" s="635"/>
      <c r="B979" s="636"/>
      <c r="C979" s="636"/>
      <c r="D979" s="636"/>
      <c r="E979" s="700"/>
      <c r="F979" s="701"/>
    </row>
    <row r="980" spans="1:6" s="639" customFormat="1" ht="12.75" customHeight="1" x14ac:dyDescent="0.25">
      <c r="A980" s="635"/>
      <c r="B980" s="636"/>
      <c r="C980" s="636"/>
      <c r="D980" s="636"/>
      <c r="E980" s="700"/>
      <c r="F980" s="701"/>
    </row>
    <row r="981" spans="1:6" s="639" customFormat="1" ht="12.75" customHeight="1" x14ac:dyDescent="0.25">
      <c r="A981" s="635"/>
      <c r="B981" s="636"/>
      <c r="C981" s="636"/>
      <c r="D981" s="636"/>
      <c r="E981" s="700"/>
      <c r="F981" s="701"/>
    </row>
    <row r="982" spans="1:6" s="639" customFormat="1" ht="12.75" customHeight="1" x14ac:dyDescent="0.25">
      <c r="A982" s="635"/>
      <c r="B982" s="636"/>
      <c r="C982" s="636"/>
      <c r="D982" s="636"/>
      <c r="E982" s="700"/>
      <c r="F982" s="701"/>
    </row>
    <row r="983" spans="1:6" s="639" customFormat="1" ht="12.75" customHeight="1" x14ac:dyDescent="0.25">
      <c r="A983" s="635"/>
      <c r="B983" s="636"/>
      <c r="C983" s="636"/>
      <c r="D983" s="636"/>
      <c r="E983" s="700"/>
      <c r="F983" s="701"/>
    </row>
    <row r="984" spans="1:6" s="639" customFormat="1" ht="12.75" customHeight="1" x14ac:dyDescent="0.25">
      <c r="A984" s="635"/>
      <c r="B984" s="636"/>
      <c r="C984" s="636"/>
      <c r="D984" s="636"/>
      <c r="E984" s="700"/>
      <c r="F984" s="701"/>
    </row>
    <row r="985" spans="1:6" s="639" customFormat="1" ht="12.75" customHeight="1" x14ac:dyDescent="0.25">
      <c r="A985" s="635"/>
      <c r="B985" s="636"/>
      <c r="C985" s="636"/>
      <c r="D985" s="636"/>
      <c r="E985" s="700"/>
      <c r="F985" s="701"/>
    </row>
    <row r="986" spans="1:6" s="639" customFormat="1" ht="12.75" customHeight="1" x14ac:dyDescent="0.25">
      <c r="A986" s="635"/>
      <c r="B986" s="636"/>
      <c r="C986" s="636"/>
      <c r="D986" s="636"/>
      <c r="E986" s="700"/>
      <c r="F986" s="701"/>
    </row>
  </sheetData>
  <pageMargins left="0.7" right="0.7" top="0.75" bottom="0.75" header="0" footer="0"/>
  <pageSetup paperSize="9" scale="7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F8E-65FD-40C5-A1ED-441BF4812CD1}">
  <sheetPr>
    <pageSetUpPr fitToPage="1"/>
  </sheetPr>
  <dimension ref="A1:N959"/>
  <sheetViews>
    <sheetView zoomScale="85" zoomScaleNormal="85" workbookViewId="0">
      <pane xSplit="5" ySplit="11" topLeftCell="F18" activePane="bottomRight" state="frozen"/>
      <selection pane="topRight" activeCell="F1" sqref="F1"/>
      <selection pane="bottomLeft" activeCell="A10" sqref="A10"/>
      <selection pane="bottomRight" sqref="A1:L33"/>
    </sheetView>
  </sheetViews>
  <sheetFormatPr defaultColWidth="14.42578125" defaultRowHeight="15" customHeight="1" x14ac:dyDescent="0.25"/>
  <cols>
    <col min="1" max="1" width="7.42578125" style="380" customWidth="1"/>
    <col min="2" max="2" width="14.85546875" style="357" customWidth="1"/>
    <col min="3" max="3" width="10.28515625" style="357" customWidth="1"/>
    <col min="4" max="4" width="47" style="357" customWidth="1"/>
    <col min="5" max="5" width="11.85546875" style="357" customWidth="1"/>
    <col min="6" max="6" width="12.85546875" style="357" customWidth="1"/>
    <col min="7" max="7" width="11.28515625" style="381" customWidth="1"/>
    <col min="8" max="8" width="15.5703125" style="381" customWidth="1"/>
    <col min="9" max="9" width="13.28515625" style="381" customWidth="1"/>
    <col min="10" max="10" width="14.42578125" style="381"/>
    <col min="11" max="11" width="14.42578125" style="381" customWidth="1"/>
    <col min="12" max="14" width="14.42578125" style="381"/>
    <col min="15" max="16384" width="14.42578125" style="357"/>
  </cols>
  <sheetData>
    <row r="1" spans="1:12" ht="12" customHeight="1" x14ac:dyDescent="0.25">
      <c r="A1" s="353"/>
      <c r="B1" s="354"/>
      <c r="C1" s="354"/>
      <c r="D1" s="355"/>
      <c r="E1" s="354"/>
      <c r="F1" s="356"/>
      <c r="H1" s="412"/>
    </row>
    <row r="2" spans="1:12" ht="12" customHeight="1" x14ac:dyDescent="0.25">
      <c r="A2" s="358"/>
      <c r="B2" s="354"/>
      <c r="C2" s="354"/>
      <c r="D2" s="354"/>
      <c r="E2" s="359" t="s">
        <v>11</v>
      </c>
      <c r="F2" s="356"/>
      <c r="H2" s="421"/>
    </row>
    <row r="3" spans="1:12" ht="12" customHeight="1" x14ac:dyDescent="0.25">
      <c r="A3" s="360"/>
      <c r="B3" s="354"/>
      <c r="C3" s="354"/>
      <c r="D3" s="354"/>
      <c r="E3" s="361" t="s">
        <v>14</v>
      </c>
      <c r="F3" s="362"/>
      <c r="I3" s="539"/>
      <c r="J3" s="539"/>
    </row>
    <row r="4" spans="1:12" ht="12" customHeight="1" x14ac:dyDescent="0.25">
      <c r="A4" s="363"/>
      <c r="B4" s="383"/>
      <c r="C4" s="383"/>
      <c r="D4" s="385"/>
      <c r="E4" s="366" t="s">
        <v>15</v>
      </c>
      <c r="F4" s="367"/>
      <c r="H4" s="412"/>
    </row>
    <row r="5" spans="1:12" ht="12" customHeight="1" x14ac:dyDescent="0.25">
      <c r="A5" s="363"/>
      <c r="B5" s="383"/>
      <c r="C5" s="383"/>
      <c r="D5" s="385"/>
      <c r="E5" s="366" t="s">
        <v>16</v>
      </c>
      <c r="F5" s="367">
        <f>E32</f>
        <v>126750</v>
      </c>
      <c r="H5" s="412"/>
    </row>
    <row r="6" spans="1:12" ht="12" customHeight="1" x14ac:dyDescent="0.25">
      <c r="A6" s="363"/>
      <c r="B6" s="383"/>
      <c r="C6" s="383"/>
      <c r="D6" s="385"/>
      <c r="E6" s="366"/>
      <c r="F6" s="367"/>
      <c r="H6" s="538"/>
    </row>
    <row r="7" spans="1:12" ht="12" customHeight="1" x14ac:dyDescent="0.25">
      <c r="A7" s="363"/>
      <c r="B7" s="383"/>
      <c r="C7" s="383"/>
      <c r="D7" s="385"/>
      <c r="E7" s="366"/>
      <c r="F7" s="367"/>
      <c r="H7" s="538"/>
    </row>
    <row r="8" spans="1:12" ht="12" customHeight="1" x14ac:dyDescent="0.25">
      <c r="A8" s="363"/>
      <c r="B8" s="384"/>
      <c r="C8" s="384"/>
      <c r="D8" s="385"/>
      <c r="E8" s="366" t="s">
        <v>17</v>
      </c>
      <c r="F8" s="367">
        <f>+F4+F5</f>
        <v>126750</v>
      </c>
      <c r="H8" s="412"/>
    </row>
    <row r="9" spans="1:12" ht="12" customHeight="1" x14ac:dyDescent="0.25">
      <c r="A9" s="363"/>
      <c r="B9" s="384"/>
      <c r="C9" s="384"/>
      <c r="D9" s="385"/>
      <c r="E9" s="366" t="s">
        <v>18</v>
      </c>
      <c r="F9" s="367">
        <f>SUM(F13:F30)</f>
        <v>126798</v>
      </c>
      <c r="H9" s="421"/>
    </row>
    <row r="10" spans="1:12" ht="12" customHeight="1" thickBot="1" x14ac:dyDescent="0.3">
      <c r="A10" s="363"/>
      <c r="B10" s="364"/>
      <c r="C10" s="364"/>
      <c r="D10" s="365"/>
      <c r="E10" s="366" t="s">
        <v>19</v>
      </c>
      <c r="F10" s="362">
        <f>+F8-F9</f>
        <v>-48</v>
      </c>
      <c r="H10" s="421"/>
      <c r="J10" s="422"/>
    </row>
    <row r="11" spans="1:12" ht="18" customHeight="1" x14ac:dyDescent="0.25">
      <c r="A11" s="566" t="s">
        <v>1</v>
      </c>
      <c r="B11" s="47" t="s">
        <v>2</v>
      </c>
      <c r="C11" s="47" t="s">
        <v>72</v>
      </c>
      <c r="D11" s="47" t="s">
        <v>30</v>
      </c>
      <c r="E11" s="567" t="s">
        <v>32</v>
      </c>
      <c r="F11" s="568" t="s">
        <v>33</v>
      </c>
      <c r="G11" s="569" t="s">
        <v>73</v>
      </c>
      <c r="H11" s="570" t="s">
        <v>74</v>
      </c>
      <c r="I11" s="570" t="s">
        <v>75</v>
      </c>
      <c r="J11" s="570" t="s">
        <v>80</v>
      </c>
      <c r="K11" s="570" t="s">
        <v>77</v>
      </c>
      <c r="L11" s="570" t="s">
        <v>109</v>
      </c>
    </row>
    <row r="12" spans="1:12" ht="18" customHeight="1" thickBot="1" x14ac:dyDescent="0.3">
      <c r="A12" s="571"/>
      <c r="B12" s="572"/>
      <c r="C12" s="572"/>
      <c r="D12" s="572"/>
      <c r="E12" s="573"/>
      <c r="F12" s="574"/>
      <c r="G12" s="575">
        <f t="shared" ref="G12:L12" si="0">SUM(G13:G30)</f>
        <v>5000</v>
      </c>
      <c r="H12" s="576">
        <f t="shared" si="0"/>
        <v>10200</v>
      </c>
      <c r="I12" s="576">
        <f t="shared" si="0"/>
        <v>8000</v>
      </c>
      <c r="J12" s="576">
        <f t="shared" si="0"/>
        <v>998</v>
      </c>
      <c r="K12" s="576">
        <f t="shared" si="0"/>
        <v>6100</v>
      </c>
      <c r="L12" s="576">
        <f t="shared" si="0"/>
        <v>3000</v>
      </c>
    </row>
    <row r="13" spans="1:12" ht="18" customHeight="1" x14ac:dyDescent="0.25">
      <c r="A13" s="559">
        <v>45973</v>
      </c>
      <c r="B13" s="560" t="s">
        <v>92</v>
      </c>
      <c r="C13" s="111">
        <v>842595754</v>
      </c>
      <c r="D13" s="561" t="s">
        <v>93</v>
      </c>
      <c r="E13" s="562"/>
      <c r="F13" s="563">
        <v>6100</v>
      </c>
      <c r="G13" s="564"/>
      <c r="H13" s="565">
        <v>1500</v>
      </c>
      <c r="I13" s="565"/>
      <c r="J13" s="565"/>
      <c r="K13" s="565">
        <f>+F13-1500</f>
        <v>4600</v>
      </c>
      <c r="L13" s="563"/>
    </row>
    <row r="14" spans="1:12" ht="18" customHeight="1" x14ac:dyDescent="0.25">
      <c r="A14" s="375">
        <v>45973</v>
      </c>
      <c r="B14" s="370" t="s">
        <v>92</v>
      </c>
      <c r="C14">
        <v>842595754</v>
      </c>
      <c r="D14" s="373" t="s">
        <v>94</v>
      </c>
      <c r="E14" s="371"/>
      <c r="F14" s="372">
        <v>5500</v>
      </c>
      <c r="G14" s="427"/>
      <c r="H14" s="426">
        <v>1500</v>
      </c>
      <c r="I14" s="426">
        <v>4000</v>
      </c>
      <c r="J14" s="426"/>
      <c r="K14" s="426"/>
      <c r="L14" s="372"/>
    </row>
    <row r="15" spans="1:12" ht="18" customHeight="1" x14ac:dyDescent="0.25">
      <c r="A15" s="375">
        <v>45975</v>
      </c>
      <c r="B15" s="370" t="s">
        <v>92</v>
      </c>
      <c r="C15">
        <v>842595754</v>
      </c>
      <c r="D15" s="373" t="s">
        <v>94</v>
      </c>
      <c r="E15" s="371"/>
      <c r="F15" s="372">
        <v>5500</v>
      </c>
      <c r="G15" s="427"/>
      <c r="H15" s="426">
        <v>1500</v>
      </c>
      <c r="I15" s="426">
        <v>4000</v>
      </c>
      <c r="J15" s="426"/>
      <c r="K15" s="426"/>
      <c r="L15" s="372"/>
    </row>
    <row r="16" spans="1:12" ht="18" customHeight="1" x14ac:dyDescent="0.25">
      <c r="A16" s="375">
        <v>45980</v>
      </c>
      <c r="B16" s="370" t="s">
        <v>100</v>
      </c>
      <c r="C16" s="370">
        <v>847250140</v>
      </c>
      <c r="D16" s="373" t="s">
        <v>197</v>
      </c>
      <c r="E16" s="371">
        <v>60000</v>
      </c>
      <c r="F16" s="372"/>
      <c r="G16" s="427"/>
      <c r="H16" s="426"/>
      <c r="I16" s="426"/>
      <c r="J16" s="426"/>
      <c r="K16" s="426"/>
      <c r="L16" s="372"/>
    </row>
    <row r="17" spans="1:12" ht="18" customHeight="1" x14ac:dyDescent="0.25">
      <c r="A17" s="375">
        <v>45980</v>
      </c>
      <c r="B17" s="370" t="s">
        <v>100</v>
      </c>
      <c r="C17" s="370">
        <v>872815895</v>
      </c>
      <c r="D17" s="373" t="s">
        <v>99</v>
      </c>
      <c r="E17" s="371">
        <v>43350</v>
      </c>
      <c r="F17" s="372"/>
      <c r="G17" s="427"/>
      <c r="H17" s="426"/>
      <c r="I17" s="426"/>
      <c r="J17" s="426"/>
      <c r="K17" s="426"/>
      <c r="L17" s="372"/>
    </row>
    <row r="18" spans="1:12" ht="18" customHeight="1" x14ac:dyDescent="0.25">
      <c r="A18" s="376">
        <v>45982</v>
      </c>
      <c r="B18" s="379" t="s">
        <v>88</v>
      </c>
      <c r="C18" s="582">
        <v>877999071</v>
      </c>
      <c r="D18" s="370" t="s">
        <v>105</v>
      </c>
      <c r="E18" s="371"/>
      <c r="F18" s="372">
        <v>10000</v>
      </c>
      <c r="G18" s="427"/>
      <c r="H18" s="426"/>
      <c r="I18" s="426"/>
      <c r="J18" s="426"/>
      <c r="K18" s="426"/>
      <c r="L18" s="372"/>
    </row>
    <row r="19" spans="1:12" ht="18" customHeight="1" x14ac:dyDescent="0.25">
      <c r="A19" s="376">
        <v>45986</v>
      </c>
      <c r="B19" s="370" t="s">
        <v>92</v>
      </c>
      <c r="C19">
        <v>842595754</v>
      </c>
      <c r="D19" s="373" t="s">
        <v>107</v>
      </c>
      <c r="E19" s="378"/>
      <c r="F19" s="374">
        <v>1500</v>
      </c>
      <c r="G19" s="427"/>
      <c r="H19" s="426"/>
      <c r="I19" s="426"/>
      <c r="J19" s="426"/>
      <c r="K19" s="426">
        <f>+F19</f>
        <v>1500</v>
      </c>
      <c r="L19" s="374"/>
    </row>
    <row r="20" spans="1:12" ht="18" customHeight="1" x14ac:dyDescent="0.25">
      <c r="A20" s="376">
        <v>45987</v>
      </c>
      <c r="B20" s="379" t="s">
        <v>88</v>
      </c>
      <c r="C20" s="582">
        <v>877999071</v>
      </c>
      <c r="D20" s="382" t="s">
        <v>108</v>
      </c>
      <c r="E20" s="378"/>
      <c r="F20" s="374">
        <v>3000</v>
      </c>
      <c r="G20" s="427"/>
      <c r="H20" s="426"/>
      <c r="I20" s="426"/>
      <c r="J20" s="426"/>
      <c r="K20" s="426"/>
      <c r="L20" s="374">
        <f>+F20</f>
        <v>3000</v>
      </c>
    </row>
    <row r="21" spans="1:12" ht="18" customHeight="1" x14ac:dyDescent="0.25">
      <c r="A21" s="376">
        <v>45991</v>
      </c>
      <c r="B21" s="370" t="s">
        <v>92</v>
      </c>
      <c r="C21" s="582">
        <v>842595754</v>
      </c>
      <c r="D21" s="373" t="s">
        <v>195</v>
      </c>
      <c r="E21" s="378"/>
      <c r="F21" s="374">
        <v>3000</v>
      </c>
      <c r="G21" s="427"/>
      <c r="H21" s="426"/>
      <c r="I21" s="426"/>
      <c r="J21" s="426"/>
      <c r="K21" s="426"/>
      <c r="L21" s="374"/>
    </row>
    <row r="22" spans="1:12" ht="18" customHeight="1" x14ac:dyDescent="0.25">
      <c r="A22" s="376">
        <v>45993</v>
      </c>
      <c r="B22" s="370" t="s">
        <v>92</v>
      </c>
      <c r="C22" s="582" t="s">
        <v>167</v>
      </c>
      <c r="D22" s="373" t="s">
        <v>209</v>
      </c>
      <c r="E22" s="378"/>
      <c r="F22" s="374">
        <v>998</v>
      </c>
      <c r="G22" s="427"/>
      <c r="H22" s="426"/>
      <c r="I22" s="426"/>
      <c r="J22" s="426">
        <v>998</v>
      </c>
      <c r="K22" s="426"/>
      <c r="L22" s="374"/>
    </row>
    <row r="23" spans="1:12" ht="18" customHeight="1" x14ac:dyDescent="0.25">
      <c r="A23" s="376">
        <v>46003</v>
      </c>
      <c r="B23" s="370" t="s">
        <v>92</v>
      </c>
      <c r="C23">
        <v>842595754</v>
      </c>
      <c r="D23" s="373" t="s">
        <v>196</v>
      </c>
      <c r="E23" s="371"/>
      <c r="F23" s="372">
        <f>1500+4200</f>
        <v>5700</v>
      </c>
      <c r="G23" s="427"/>
      <c r="H23" s="426">
        <f>+F23</f>
        <v>5700</v>
      </c>
      <c r="I23" s="426"/>
      <c r="J23" s="426"/>
      <c r="K23" s="426"/>
      <c r="L23" s="372"/>
    </row>
    <row r="24" spans="1:12" ht="18" customHeight="1" x14ac:dyDescent="0.25">
      <c r="A24" s="376">
        <v>46004</v>
      </c>
      <c r="B24" s="379" t="s">
        <v>207</v>
      </c>
      <c r="C24" s="377">
        <v>855732984</v>
      </c>
      <c r="D24" s="679" t="s">
        <v>208</v>
      </c>
      <c r="E24" s="413"/>
      <c r="F24" s="372">
        <v>5000</v>
      </c>
      <c r="G24" s="427">
        <f>+F24</f>
        <v>5000</v>
      </c>
      <c r="H24" s="426"/>
      <c r="I24" s="426"/>
      <c r="J24" s="426"/>
      <c r="K24" s="426"/>
      <c r="L24" s="372"/>
    </row>
    <row r="25" spans="1:12" ht="18" customHeight="1" x14ac:dyDescent="0.25">
      <c r="A25" s="376">
        <v>46008</v>
      </c>
      <c r="B25" s="379" t="s">
        <v>212</v>
      </c>
      <c r="C25" s="377"/>
      <c r="D25" s="411" t="s">
        <v>210</v>
      </c>
      <c r="E25" s="413"/>
      <c r="F25" s="372">
        <v>4500</v>
      </c>
      <c r="G25" s="427"/>
      <c r="H25" s="426"/>
      <c r="I25" s="426"/>
      <c r="J25" s="426"/>
      <c r="K25" s="426"/>
      <c r="L25" s="372"/>
    </row>
    <row r="26" spans="1:12" ht="18" customHeight="1" x14ac:dyDescent="0.25">
      <c r="A26" s="376">
        <v>46011</v>
      </c>
      <c r="B26" s="379" t="s">
        <v>214</v>
      </c>
      <c r="C26" s="377" t="s">
        <v>215</v>
      </c>
      <c r="D26" s="373" t="s">
        <v>213</v>
      </c>
      <c r="E26" s="413">
        <f>6000*3.9</f>
        <v>23400</v>
      </c>
      <c r="F26" s="372"/>
      <c r="G26" s="427"/>
      <c r="H26" s="426"/>
      <c r="I26" s="426"/>
      <c r="J26" s="426"/>
      <c r="K26" s="426"/>
      <c r="L26" s="372"/>
    </row>
    <row r="27" spans="1:12" ht="18" customHeight="1" x14ac:dyDescent="0.25">
      <c r="A27" s="376">
        <v>46011</v>
      </c>
      <c r="B27" s="379" t="s">
        <v>207</v>
      </c>
      <c r="C27" s="377">
        <v>855732984</v>
      </c>
      <c r="D27" s="411" t="s">
        <v>225</v>
      </c>
      <c r="E27" s="413"/>
      <c r="F27" s="372">
        <f>25000+25000+9000+5000</f>
        <v>64000</v>
      </c>
      <c r="G27" s="427"/>
      <c r="H27" s="426"/>
      <c r="I27" s="426"/>
      <c r="J27" s="426"/>
      <c r="K27" s="426"/>
      <c r="L27" s="372"/>
    </row>
    <row r="28" spans="1:12" ht="18" customHeight="1" x14ac:dyDescent="0.25">
      <c r="A28" s="376">
        <v>46028</v>
      </c>
      <c r="B28" s="379" t="s">
        <v>259</v>
      </c>
      <c r="C28">
        <v>877330599</v>
      </c>
      <c r="D28" s="411" t="s">
        <v>211</v>
      </c>
      <c r="E28" s="413"/>
      <c r="F28" s="372">
        <v>5500</v>
      </c>
      <c r="G28" s="427"/>
      <c r="H28" s="426"/>
      <c r="I28" s="426"/>
      <c r="J28" s="426"/>
      <c r="K28" s="426"/>
      <c r="L28" s="372"/>
    </row>
    <row r="29" spans="1:12" ht="18" customHeight="1" x14ac:dyDescent="0.25">
      <c r="A29" s="376">
        <v>46028</v>
      </c>
      <c r="B29" t="s">
        <v>262</v>
      </c>
      <c r="C29">
        <v>879217082</v>
      </c>
      <c r="D29" s="411" t="s">
        <v>261</v>
      </c>
      <c r="E29" s="413"/>
      <c r="F29" s="372">
        <v>1000</v>
      </c>
      <c r="G29" s="427"/>
      <c r="H29" s="426"/>
      <c r="I29" s="426"/>
      <c r="J29" s="426"/>
      <c r="K29" s="426"/>
      <c r="L29" s="372"/>
    </row>
    <row r="30" spans="1:12" ht="18" customHeight="1" x14ac:dyDescent="0.25">
      <c r="A30" s="376">
        <v>46029</v>
      </c>
      <c r="B30" s="379" t="s">
        <v>263</v>
      </c>
      <c r="C30" s="379"/>
      <c r="D30" s="373" t="s">
        <v>260</v>
      </c>
      <c r="E30" s="413"/>
      <c r="F30" s="372">
        <v>5500</v>
      </c>
      <c r="G30" s="427"/>
      <c r="H30" s="426"/>
      <c r="I30" s="426"/>
      <c r="J30" s="426"/>
      <c r="K30" s="426"/>
      <c r="L30" s="372"/>
    </row>
    <row r="31" spans="1:12" ht="18" customHeight="1" x14ac:dyDescent="0.25">
      <c r="A31" s="801"/>
      <c r="B31" s="802"/>
      <c r="C31" s="802"/>
      <c r="D31" s="803"/>
      <c r="E31" s="378"/>
      <c r="F31" s="374"/>
      <c r="G31" s="804"/>
      <c r="H31" s="805"/>
      <c r="I31" s="805"/>
      <c r="J31" s="805"/>
      <c r="K31" s="805"/>
      <c r="L31" s="374"/>
    </row>
    <row r="32" spans="1:12" ht="18" customHeight="1" thickBot="1" x14ac:dyDescent="0.3">
      <c r="A32" s="416"/>
      <c r="B32" s="417"/>
      <c r="C32" s="417"/>
      <c r="D32" s="418"/>
      <c r="E32" s="419">
        <f>SUM(E11:E30)</f>
        <v>126750</v>
      </c>
      <c r="F32" s="420">
        <f>SUM(F13:F30)</f>
        <v>126798</v>
      </c>
      <c r="G32" s="424"/>
      <c r="H32" s="425"/>
      <c r="I32" s="425"/>
      <c r="J32" s="425"/>
      <c r="K32" s="425"/>
      <c r="L32" s="806"/>
    </row>
    <row r="33" spans="1:6" ht="18" customHeight="1" x14ac:dyDescent="0.25">
      <c r="A33" s="353"/>
      <c r="B33" s="354"/>
      <c r="C33" s="354"/>
      <c r="D33" s="354"/>
      <c r="E33" s="368"/>
      <c r="F33" s="369"/>
    </row>
    <row r="34" spans="1:6" ht="18" customHeight="1" x14ac:dyDescent="0.25">
      <c r="A34" s="353"/>
      <c r="B34" s="354"/>
      <c r="C34" s="354"/>
      <c r="D34" s="354"/>
      <c r="E34" s="368"/>
      <c r="F34" s="369"/>
    </row>
    <row r="35" spans="1:6" ht="18" customHeight="1" x14ac:dyDescent="0.25">
      <c r="A35" s="353"/>
      <c r="B35" s="354"/>
      <c r="C35" s="354"/>
      <c r="D35" s="354"/>
      <c r="E35" s="368"/>
      <c r="F35" s="369"/>
    </row>
    <row r="36" spans="1:6" ht="18" customHeight="1" x14ac:dyDescent="0.25">
      <c r="A36" s="353"/>
      <c r="B36" s="354"/>
      <c r="C36" s="354"/>
      <c r="D36" s="354"/>
      <c r="E36" s="368"/>
      <c r="F36" s="369"/>
    </row>
    <row r="37" spans="1:6" ht="18" customHeight="1" x14ac:dyDescent="0.25">
      <c r="A37" s="353"/>
      <c r="B37" s="354"/>
      <c r="C37" s="354"/>
      <c r="D37" s="354"/>
      <c r="E37" s="368"/>
      <c r="F37" s="369"/>
    </row>
    <row r="38" spans="1:6" ht="18" customHeight="1" x14ac:dyDescent="0.25">
      <c r="A38" s="353"/>
      <c r="B38" s="354"/>
      <c r="C38" s="354"/>
      <c r="D38" s="354"/>
      <c r="E38" s="368"/>
      <c r="F38" s="369"/>
    </row>
    <row r="39" spans="1:6" ht="18" customHeight="1" x14ac:dyDescent="0.25">
      <c r="A39" s="353"/>
      <c r="B39" s="354"/>
      <c r="C39" s="354"/>
      <c r="D39" s="354"/>
      <c r="E39" s="368"/>
      <c r="F39" s="369"/>
    </row>
    <row r="40" spans="1:6" ht="18" customHeight="1" x14ac:dyDescent="0.25">
      <c r="A40" s="353"/>
      <c r="B40" s="354"/>
      <c r="C40" s="354"/>
      <c r="D40" s="354"/>
      <c r="E40" s="368"/>
      <c r="F40" s="369"/>
    </row>
    <row r="41" spans="1:6" ht="18" customHeight="1" x14ac:dyDescent="0.25">
      <c r="A41" s="353"/>
      <c r="B41" s="354"/>
      <c r="C41" s="354"/>
      <c r="D41" s="354"/>
      <c r="E41" s="368"/>
      <c r="F41" s="369"/>
    </row>
    <row r="42" spans="1:6" ht="18" customHeight="1" x14ac:dyDescent="0.25">
      <c r="A42" s="353"/>
      <c r="B42" s="354"/>
      <c r="C42" s="354"/>
      <c r="D42" s="354"/>
      <c r="E42" s="368"/>
      <c r="F42" s="369"/>
    </row>
    <row r="43" spans="1:6" ht="18" customHeight="1" x14ac:dyDescent="0.25">
      <c r="A43" s="353"/>
      <c r="B43" s="354"/>
      <c r="C43" s="354"/>
      <c r="D43" s="354"/>
      <c r="E43" s="368"/>
      <c r="F43" s="369"/>
    </row>
    <row r="44" spans="1:6" ht="18" customHeight="1" x14ac:dyDescent="0.25">
      <c r="A44" s="353"/>
      <c r="B44" s="354"/>
      <c r="C44" s="354"/>
      <c r="D44" s="354"/>
      <c r="E44" s="368"/>
      <c r="F44" s="369"/>
    </row>
    <row r="45" spans="1:6" ht="18" customHeight="1" x14ac:dyDescent="0.25">
      <c r="A45" s="353"/>
      <c r="B45" s="354"/>
      <c r="C45" s="354"/>
      <c r="D45" s="354"/>
      <c r="E45" s="368"/>
      <c r="F45" s="369"/>
    </row>
    <row r="46" spans="1:6" ht="18" customHeight="1" x14ac:dyDescent="0.25">
      <c r="A46" s="353"/>
      <c r="B46" s="354"/>
      <c r="C46" s="354"/>
      <c r="D46" s="354"/>
      <c r="E46" s="368"/>
      <c r="F46" s="369"/>
    </row>
    <row r="47" spans="1:6" ht="18" customHeight="1" x14ac:dyDescent="0.25">
      <c r="A47" s="353"/>
      <c r="B47" s="354"/>
      <c r="C47" s="354"/>
      <c r="D47" s="354"/>
      <c r="E47" s="368"/>
      <c r="F47" s="369"/>
    </row>
    <row r="48" spans="1:6" ht="18" customHeight="1" x14ac:dyDescent="0.25">
      <c r="A48" s="353"/>
      <c r="B48" s="354"/>
      <c r="C48" s="354"/>
      <c r="D48" s="354"/>
      <c r="E48" s="368"/>
      <c r="F48" s="369"/>
    </row>
    <row r="49" spans="1:6" ht="18" customHeight="1" x14ac:dyDescent="0.25">
      <c r="A49" s="353"/>
      <c r="B49" s="354"/>
      <c r="C49" s="354"/>
      <c r="D49" s="354"/>
      <c r="E49" s="368"/>
      <c r="F49" s="369"/>
    </row>
    <row r="50" spans="1:6" ht="12.75" customHeight="1" x14ac:dyDescent="0.25">
      <c r="A50" s="353"/>
      <c r="B50" s="354"/>
      <c r="C50" s="354"/>
      <c r="D50" s="354"/>
      <c r="E50" s="368"/>
      <c r="F50" s="369"/>
    </row>
    <row r="51" spans="1:6" ht="12.75" customHeight="1" x14ac:dyDescent="0.25">
      <c r="A51" s="353"/>
      <c r="B51" s="354"/>
      <c r="C51" s="354"/>
      <c r="D51" s="354"/>
      <c r="E51" s="368"/>
      <c r="F51" s="369"/>
    </row>
    <row r="52" spans="1:6" ht="12.75" customHeight="1" x14ac:dyDescent="0.25">
      <c r="A52" s="353"/>
      <c r="B52" s="354"/>
      <c r="C52" s="354"/>
      <c r="D52" s="354"/>
      <c r="E52" s="368"/>
      <c r="F52" s="369"/>
    </row>
    <row r="53" spans="1:6" ht="12.75" customHeight="1" x14ac:dyDescent="0.25">
      <c r="A53" s="353"/>
      <c r="B53" s="354"/>
      <c r="C53" s="354"/>
      <c r="D53" s="354"/>
      <c r="E53" s="368"/>
      <c r="F53" s="369"/>
    </row>
    <row r="54" spans="1:6" ht="12.75" customHeight="1" x14ac:dyDescent="0.25">
      <c r="A54" s="353"/>
      <c r="B54" s="354"/>
      <c r="C54" s="354"/>
      <c r="D54" s="354"/>
      <c r="E54" s="368"/>
      <c r="F54" s="369"/>
    </row>
    <row r="55" spans="1:6" ht="12.75" customHeight="1" x14ac:dyDescent="0.25">
      <c r="A55" s="353"/>
      <c r="B55" s="354"/>
      <c r="C55" s="354"/>
      <c r="D55" s="354"/>
      <c r="E55" s="368"/>
      <c r="F55" s="369"/>
    </row>
    <row r="56" spans="1:6" ht="12.75" customHeight="1" x14ac:dyDescent="0.25">
      <c r="A56" s="353"/>
      <c r="B56" s="354"/>
      <c r="C56" s="354"/>
      <c r="D56" s="354"/>
      <c r="E56" s="368"/>
      <c r="F56" s="369"/>
    </row>
    <row r="57" spans="1:6" ht="12.75" customHeight="1" x14ac:dyDescent="0.25">
      <c r="A57" s="353"/>
      <c r="B57" s="354"/>
      <c r="C57" s="354"/>
      <c r="D57" s="354"/>
      <c r="E57" s="368"/>
      <c r="F57" s="369"/>
    </row>
    <row r="58" spans="1:6" ht="12.75" customHeight="1" x14ac:dyDescent="0.25">
      <c r="A58" s="353"/>
      <c r="B58" s="354"/>
      <c r="C58" s="354"/>
      <c r="D58" s="354"/>
      <c r="E58" s="368"/>
      <c r="F58" s="369"/>
    </row>
    <row r="59" spans="1:6" ht="12.75" customHeight="1" x14ac:dyDescent="0.25">
      <c r="A59" s="353"/>
      <c r="B59" s="354"/>
      <c r="C59" s="354"/>
      <c r="D59" s="354"/>
      <c r="E59" s="368"/>
      <c r="F59" s="369"/>
    </row>
    <row r="60" spans="1:6" ht="12.75" customHeight="1" x14ac:dyDescent="0.25">
      <c r="A60" s="353"/>
      <c r="B60" s="354"/>
      <c r="C60" s="354"/>
      <c r="D60" s="354"/>
      <c r="E60" s="368"/>
      <c r="F60" s="369"/>
    </row>
    <row r="61" spans="1:6" ht="12.75" customHeight="1" x14ac:dyDescent="0.25">
      <c r="A61" s="353"/>
      <c r="B61" s="354"/>
      <c r="C61" s="354"/>
      <c r="D61" s="354"/>
      <c r="E61" s="368"/>
      <c r="F61" s="369"/>
    </row>
    <row r="62" spans="1:6" ht="12.75" customHeight="1" x14ac:dyDescent="0.25">
      <c r="A62" s="353"/>
      <c r="B62" s="354"/>
      <c r="C62" s="354"/>
      <c r="D62" s="354"/>
      <c r="E62" s="368"/>
      <c r="F62" s="369"/>
    </row>
    <row r="63" spans="1:6" ht="12.75" customHeight="1" x14ac:dyDescent="0.25">
      <c r="A63" s="353"/>
      <c r="B63" s="354"/>
      <c r="C63" s="354"/>
      <c r="D63" s="354"/>
      <c r="E63" s="368"/>
      <c r="F63" s="369"/>
    </row>
    <row r="64" spans="1:6" ht="12.75" customHeight="1" x14ac:dyDescent="0.25">
      <c r="A64" s="353"/>
      <c r="B64" s="354"/>
      <c r="C64" s="354"/>
      <c r="D64" s="354"/>
      <c r="E64" s="368"/>
      <c r="F64" s="369"/>
    </row>
    <row r="65" spans="1:6" ht="12.75" customHeight="1" x14ac:dyDescent="0.25">
      <c r="A65" s="353"/>
      <c r="B65" s="354"/>
      <c r="C65" s="354"/>
      <c r="D65" s="354"/>
      <c r="E65" s="368"/>
      <c r="F65" s="369"/>
    </row>
    <row r="66" spans="1:6" ht="12.75" customHeight="1" x14ac:dyDescent="0.25">
      <c r="A66" s="353"/>
      <c r="B66" s="354"/>
      <c r="C66" s="354"/>
      <c r="D66" s="354"/>
      <c r="E66" s="368"/>
      <c r="F66" s="369"/>
    </row>
    <row r="67" spans="1:6" ht="12.75" customHeight="1" x14ac:dyDescent="0.25">
      <c r="A67" s="353"/>
      <c r="B67" s="354"/>
      <c r="C67" s="354"/>
      <c r="D67" s="354"/>
      <c r="E67" s="368"/>
      <c r="F67" s="369"/>
    </row>
    <row r="68" spans="1:6" ht="12.75" customHeight="1" x14ac:dyDescent="0.25">
      <c r="A68" s="353"/>
      <c r="B68" s="354"/>
      <c r="C68" s="354"/>
      <c r="D68" s="354"/>
      <c r="E68" s="368"/>
      <c r="F68" s="369"/>
    </row>
    <row r="69" spans="1:6" ht="12.75" customHeight="1" x14ac:dyDescent="0.25">
      <c r="A69" s="353"/>
      <c r="B69" s="354"/>
      <c r="C69" s="354"/>
      <c r="D69" s="354"/>
      <c r="E69" s="368"/>
      <c r="F69" s="369"/>
    </row>
    <row r="70" spans="1:6" ht="12.75" customHeight="1" x14ac:dyDescent="0.25">
      <c r="A70" s="353"/>
      <c r="B70" s="354"/>
      <c r="C70" s="354"/>
      <c r="D70" s="354"/>
      <c r="E70" s="368"/>
      <c r="F70" s="369"/>
    </row>
    <row r="71" spans="1:6" ht="12.75" customHeight="1" x14ac:dyDescent="0.25">
      <c r="A71" s="353"/>
      <c r="B71" s="354"/>
      <c r="C71" s="354"/>
      <c r="D71" s="354"/>
      <c r="E71" s="368"/>
      <c r="F71" s="369"/>
    </row>
    <row r="72" spans="1:6" ht="12.75" customHeight="1" x14ac:dyDescent="0.25">
      <c r="A72" s="353"/>
      <c r="B72" s="354"/>
      <c r="C72" s="354"/>
      <c r="D72" s="354"/>
      <c r="E72" s="368"/>
      <c r="F72" s="369"/>
    </row>
    <row r="73" spans="1:6" ht="12.75" customHeight="1" x14ac:dyDescent="0.25">
      <c r="A73" s="353"/>
      <c r="B73" s="354"/>
      <c r="C73" s="354"/>
      <c r="D73" s="354"/>
      <c r="E73" s="368"/>
      <c r="F73" s="369"/>
    </row>
    <row r="74" spans="1:6" ht="12.75" customHeight="1" x14ac:dyDescent="0.25">
      <c r="A74" s="353"/>
      <c r="B74" s="354"/>
      <c r="C74" s="354"/>
      <c r="D74" s="354"/>
      <c r="E74" s="368"/>
      <c r="F74" s="369"/>
    </row>
    <row r="75" spans="1:6" ht="12.75" customHeight="1" x14ac:dyDescent="0.25">
      <c r="A75" s="353"/>
      <c r="B75" s="354"/>
      <c r="C75" s="354"/>
      <c r="D75" s="354"/>
      <c r="E75" s="368"/>
      <c r="F75" s="369"/>
    </row>
    <row r="76" spans="1:6" ht="12.75" customHeight="1" x14ac:dyDescent="0.25">
      <c r="A76" s="353"/>
      <c r="B76" s="354"/>
      <c r="C76" s="354"/>
      <c r="D76" s="354"/>
      <c r="E76" s="368"/>
      <c r="F76" s="369"/>
    </row>
    <row r="77" spans="1:6" ht="12.75" customHeight="1" x14ac:dyDescent="0.25">
      <c r="A77" s="353"/>
      <c r="B77" s="354"/>
      <c r="C77" s="354"/>
      <c r="D77" s="354"/>
      <c r="E77" s="368"/>
      <c r="F77" s="369"/>
    </row>
    <row r="78" spans="1:6" ht="12.75" customHeight="1" x14ac:dyDescent="0.25">
      <c r="A78" s="353"/>
      <c r="B78" s="354"/>
      <c r="C78" s="354"/>
      <c r="D78" s="354"/>
      <c r="E78" s="368"/>
      <c r="F78" s="369"/>
    </row>
    <row r="79" spans="1:6" ht="12.75" customHeight="1" x14ac:dyDescent="0.25">
      <c r="A79" s="353"/>
      <c r="B79" s="354"/>
      <c r="C79" s="354"/>
      <c r="D79" s="354"/>
      <c r="E79" s="368"/>
      <c r="F79" s="369"/>
    </row>
    <row r="80" spans="1:6" ht="12.75" customHeight="1" x14ac:dyDescent="0.25">
      <c r="A80" s="353"/>
      <c r="B80" s="354"/>
      <c r="C80" s="354"/>
      <c r="D80" s="354"/>
      <c r="E80" s="368"/>
      <c r="F80" s="369"/>
    </row>
    <row r="81" spans="1:6" ht="12.75" customHeight="1" x14ac:dyDescent="0.25">
      <c r="A81" s="353"/>
      <c r="B81" s="354"/>
      <c r="C81" s="354"/>
      <c r="D81" s="354"/>
      <c r="E81" s="368"/>
      <c r="F81" s="369"/>
    </row>
    <row r="82" spans="1:6" ht="12.75" customHeight="1" x14ac:dyDescent="0.25">
      <c r="A82" s="353"/>
      <c r="B82" s="354"/>
      <c r="C82" s="354"/>
      <c r="D82" s="354"/>
      <c r="E82" s="368"/>
      <c r="F82" s="369"/>
    </row>
    <row r="83" spans="1:6" ht="12.75" customHeight="1" x14ac:dyDescent="0.25">
      <c r="A83" s="353"/>
      <c r="B83" s="354"/>
      <c r="C83" s="354"/>
      <c r="D83" s="354"/>
      <c r="E83" s="368"/>
      <c r="F83" s="369"/>
    </row>
    <row r="84" spans="1:6" ht="12.75" customHeight="1" x14ac:dyDescent="0.25">
      <c r="A84" s="353"/>
      <c r="B84" s="354"/>
      <c r="C84" s="354"/>
      <c r="D84" s="354"/>
      <c r="E84" s="368"/>
      <c r="F84" s="369"/>
    </row>
    <row r="85" spans="1:6" ht="12.75" customHeight="1" x14ac:dyDescent="0.25">
      <c r="A85" s="353"/>
      <c r="B85" s="354"/>
      <c r="C85" s="354"/>
      <c r="D85" s="354"/>
      <c r="E85" s="368"/>
      <c r="F85" s="369"/>
    </row>
    <row r="86" spans="1:6" ht="12.75" customHeight="1" x14ac:dyDescent="0.25">
      <c r="A86" s="353"/>
      <c r="B86" s="354"/>
      <c r="C86" s="354"/>
      <c r="D86" s="354"/>
      <c r="E86" s="368"/>
      <c r="F86" s="369"/>
    </row>
    <row r="87" spans="1:6" ht="12.75" customHeight="1" x14ac:dyDescent="0.25">
      <c r="A87" s="353"/>
      <c r="B87" s="354"/>
      <c r="C87" s="354"/>
      <c r="D87" s="354"/>
      <c r="E87" s="368"/>
      <c r="F87" s="369"/>
    </row>
    <row r="88" spans="1:6" ht="12.75" customHeight="1" x14ac:dyDescent="0.25">
      <c r="A88" s="353"/>
      <c r="B88" s="354"/>
      <c r="C88" s="354"/>
      <c r="D88" s="354"/>
      <c r="E88" s="368"/>
      <c r="F88" s="369"/>
    </row>
    <row r="89" spans="1:6" ht="12.75" customHeight="1" x14ac:dyDescent="0.25">
      <c r="A89" s="353"/>
      <c r="B89" s="354"/>
      <c r="C89" s="354"/>
      <c r="D89" s="354"/>
      <c r="E89" s="368"/>
      <c r="F89" s="369"/>
    </row>
    <row r="90" spans="1:6" ht="12.75" customHeight="1" x14ac:dyDescent="0.25">
      <c r="A90" s="353"/>
      <c r="B90" s="354"/>
      <c r="C90" s="354"/>
      <c r="D90" s="354"/>
      <c r="E90" s="368"/>
      <c r="F90" s="369"/>
    </row>
    <row r="91" spans="1:6" ht="12.75" customHeight="1" x14ac:dyDescent="0.25">
      <c r="A91" s="353"/>
      <c r="B91" s="354"/>
      <c r="C91" s="354"/>
      <c r="D91" s="354"/>
      <c r="E91" s="368"/>
      <c r="F91" s="369"/>
    </row>
    <row r="92" spans="1:6" ht="12.75" customHeight="1" x14ac:dyDescent="0.25">
      <c r="A92" s="353"/>
      <c r="B92" s="354"/>
      <c r="C92" s="354"/>
      <c r="D92" s="354"/>
      <c r="E92" s="368"/>
      <c r="F92" s="369"/>
    </row>
    <row r="93" spans="1:6" ht="12.75" customHeight="1" x14ac:dyDescent="0.25">
      <c r="A93" s="353"/>
      <c r="B93" s="354"/>
      <c r="C93" s="354"/>
      <c r="D93" s="354"/>
      <c r="E93" s="368"/>
      <c r="F93" s="369"/>
    </row>
    <row r="94" spans="1:6" ht="12.75" customHeight="1" x14ac:dyDescent="0.25">
      <c r="A94" s="353"/>
      <c r="B94" s="354"/>
      <c r="C94" s="354"/>
      <c r="D94" s="354"/>
      <c r="E94" s="368"/>
      <c r="F94" s="369"/>
    </row>
    <row r="95" spans="1:6" ht="12.75" customHeight="1" x14ac:dyDescent="0.25">
      <c r="A95" s="353"/>
      <c r="B95" s="354"/>
      <c r="C95" s="354"/>
      <c r="D95" s="354"/>
      <c r="E95" s="368"/>
      <c r="F95" s="369"/>
    </row>
    <row r="96" spans="1:6" ht="12.75" customHeight="1" x14ac:dyDescent="0.25">
      <c r="A96" s="353"/>
      <c r="B96" s="354"/>
      <c r="C96" s="354"/>
      <c r="D96" s="354"/>
      <c r="E96" s="368"/>
      <c r="F96" s="369"/>
    </row>
    <row r="97" spans="1:6" ht="12.75" customHeight="1" x14ac:dyDescent="0.25">
      <c r="A97" s="353"/>
      <c r="B97" s="354"/>
      <c r="C97" s="354"/>
      <c r="D97" s="354"/>
      <c r="E97" s="368"/>
      <c r="F97" s="369"/>
    </row>
    <row r="98" spans="1:6" ht="12.75" customHeight="1" x14ac:dyDescent="0.25">
      <c r="A98" s="353"/>
      <c r="B98" s="354"/>
      <c r="C98" s="354"/>
      <c r="D98" s="354"/>
      <c r="E98" s="368"/>
      <c r="F98" s="369"/>
    </row>
    <row r="99" spans="1:6" ht="12.75" customHeight="1" x14ac:dyDescent="0.25">
      <c r="A99" s="353"/>
      <c r="B99" s="354"/>
      <c r="C99" s="354"/>
      <c r="D99" s="354"/>
      <c r="E99" s="368"/>
      <c r="F99" s="369"/>
    </row>
    <row r="100" spans="1:6" ht="12.75" customHeight="1" x14ac:dyDescent="0.25">
      <c r="A100" s="353"/>
      <c r="B100" s="354"/>
      <c r="C100" s="354"/>
      <c r="D100" s="354"/>
      <c r="E100" s="368"/>
      <c r="F100" s="369"/>
    </row>
    <row r="101" spans="1:6" ht="12.75" customHeight="1" x14ac:dyDescent="0.25">
      <c r="A101" s="353"/>
      <c r="B101" s="354"/>
      <c r="C101" s="354"/>
      <c r="D101" s="354"/>
      <c r="E101" s="368"/>
      <c r="F101" s="369"/>
    </row>
    <row r="102" spans="1:6" ht="12.75" customHeight="1" x14ac:dyDescent="0.25">
      <c r="A102" s="353"/>
      <c r="B102" s="354"/>
      <c r="C102" s="354"/>
      <c r="D102" s="354"/>
      <c r="E102" s="368"/>
      <c r="F102" s="369"/>
    </row>
    <row r="103" spans="1:6" ht="12.75" customHeight="1" x14ac:dyDescent="0.25">
      <c r="A103" s="353"/>
      <c r="B103" s="354"/>
      <c r="C103" s="354"/>
      <c r="D103" s="354"/>
      <c r="E103" s="368"/>
      <c r="F103" s="369"/>
    </row>
    <row r="104" spans="1:6" ht="12.75" customHeight="1" x14ac:dyDescent="0.25">
      <c r="A104" s="353"/>
      <c r="B104" s="354"/>
      <c r="C104" s="354"/>
      <c r="D104" s="354"/>
      <c r="E104" s="368"/>
      <c r="F104" s="369"/>
    </row>
    <row r="105" spans="1:6" ht="12.75" customHeight="1" x14ac:dyDescent="0.25">
      <c r="A105" s="353"/>
      <c r="B105" s="354"/>
      <c r="C105" s="354"/>
      <c r="D105" s="354"/>
      <c r="E105" s="368"/>
      <c r="F105" s="369"/>
    </row>
    <row r="106" spans="1:6" ht="12.75" customHeight="1" x14ac:dyDescent="0.25">
      <c r="A106" s="353"/>
      <c r="B106" s="354"/>
      <c r="C106" s="354"/>
      <c r="D106" s="354"/>
      <c r="E106" s="368"/>
      <c r="F106" s="369"/>
    </row>
    <row r="107" spans="1:6" ht="12.75" customHeight="1" x14ac:dyDescent="0.25">
      <c r="A107" s="353"/>
      <c r="B107" s="354"/>
      <c r="C107" s="354"/>
      <c r="D107" s="354"/>
      <c r="E107" s="368"/>
      <c r="F107" s="369"/>
    </row>
    <row r="108" spans="1:6" ht="12.75" customHeight="1" x14ac:dyDescent="0.25">
      <c r="A108" s="353"/>
      <c r="B108" s="354"/>
      <c r="C108" s="354"/>
      <c r="D108" s="354"/>
      <c r="E108" s="368"/>
      <c r="F108" s="369"/>
    </row>
    <row r="109" spans="1:6" ht="12.75" customHeight="1" x14ac:dyDescent="0.25">
      <c r="A109" s="353"/>
      <c r="B109" s="354"/>
      <c r="C109" s="354"/>
      <c r="D109" s="354"/>
      <c r="E109" s="368"/>
      <c r="F109" s="369"/>
    </row>
    <row r="110" spans="1:6" ht="12.75" customHeight="1" x14ac:dyDescent="0.25">
      <c r="A110" s="353"/>
      <c r="B110" s="354"/>
      <c r="C110" s="354"/>
      <c r="D110" s="354"/>
      <c r="E110" s="368"/>
      <c r="F110" s="369"/>
    </row>
    <row r="111" spans="1:6" ht="12.75" customHeight="1" x14ac:dyDescent="0.25">
      <c r="A111" s="353"/>
      <c r="B111" s="354"/>
      <c r="C111" s="354"/>
      <c r="D111" s="354"/>
      <c r="E111" s="368"/>
      <c r="F111" s="369"/>
    </row>
    <row r="112" spans="1:6" ht="12.75" customHeight="1" x14ac:dyDescent="0.25">
      <c r="A112" s="353"/>
      <c r="B112" s="354"/>
      <c r="C112" s="354"/>
      <c r="D112" s="354"/>
      <c r="E112" s="368"/>
      <c r="F112" s="369"/>
    </row>
    <row r="113" spans="1:6" ht="12.75" customHeight="1" x14ac:dyDescent="0.25">
      <c r="A113" s="353"/>
      <c r="B113" s="354"/>
      <c r="C113" s="354"/>
      <c r="D113" s="354"/>
      <c r="E113" s="368"/>
      <c r="F113" s="369"/>
    </row>
    <row r="114" spans="1:6" ht="12.75" customHeight="1" x14ac:dyDescent="0.25">
      <c r="A114" s="353"/>
      <c r="B114" s="354"/>
      <c r="C114" s="354"/>
      <c r="D114" s="354"/>
      <c r="E114" s="368"/>
      <c r="F114" s="369"/>
    </row>
    <row r="115" spans="1:6" ht="12.75" customHeight="1" x14ac:dyDescent="0.25">
      <c r="A115" s="353"/>
      <c r="B115" s="354"/>
      <c r="C115" s="354"/>
      <c r="D115" s="354"/>
      <c r="E115" s="368"/>
      <c r="F115" s="369"/>
    </row>
    <row r="116" spans="1:6" ht="12.75" customHeight="1" x14ac:dyDescent="0.25">
      <c r="A116" s="353"/>
      <c r="B116" s="354"/>
      <c r="C116" s="354"/>
      <c r="D116" s="354"/>
      <c r="E116" s="368"/>
      <c r="F116" s="369"/>
    </row>
    <row r="117" spans="1:6" ht="12.75" customHeight="1" x14ac:dyDescent="0.25">
      <c r="A117" s="353"/>
      <c r="B117" s="354"/>
      <c r="C117" s="354"/>
      <c r="D117" s="354"/>
      <c r="E117" s="368"/>
      <c r="F117" s="369"/>
    </row>
    <row r="118" spans="1:6" ht="12.75" customHeight="1" x14ac:dyDescent="0.25">
      <c r="A118" s="353"/>
      <c r="B118" s="354"/>
      <c r="C118" s="354"/>
      <c r="D118" s="354"/>
      <c r="E118" s="368"/>
      <c r="F118" s="369"/>
    </row>
    <row r="119" spans="1:6" ht="12.75" customHeight="1" x14ac:dyDescent="0.25">
      <c r="A119" s="353"/>
      <c r="B119" s="354"/>
      <c r="C119" s="354"/>
      <c r="D119" s="354"/>
      <c r="E119" s="368"/>
      <c r="F119" s="369"/>
    </row>
    <row r="120" spans="1:6" ht="12.75" customHeight="1" x14ac:dyDescent="0.25">
      <c r="A120" s="353"/>
      <c r="B120" s="354"/>
      <c r="C120" s="354"/>
      <c r="D120" s="354"/>
      <c r="E120" s="368"/>
      <c r="F120" s="369"/>
    </row>
    <row r="121" spans="1:6" ht="12.75" customHeight="1" x14ac:dyDescent="0.25">
      <c r="A121" s="353"/>
      <c r="B121" s="354"/>
      <c r="C121" s="354"/>
      <c r="D121" s="354"/>
      <c r="E121" s="368"/>
      <c r="F121" s="369"/>
    </row>
    <row r="122" spans="1:6" ht="12.75" customHeight="1" x14ac:dyDescent="0.25">
      <c r="A122" s="353"/>
      <c r="B122" s="354"/>
      <c r="C122" s="354"/>
      <c r="D122" s="354"/>
      <c r="E122" s="368"/>
      <c r="F122" s="369"/>
    </row>
    <row r="123" spans="1:6" ht="12.75" customHeight="1" x14ac:dyDescent="0.25">
      <c r="A123" s="353"/>
      <c r="B123" s="354"/>
      <c r="C123" s="354"/>
      <c r="D123" s="354"/>
      <c r="E123" s="368"/>
      <c r="F123" s="369"/>
    </row>
    <row r="124" spans="1:6" ht="12.75" customHeight="1" x14ac:dyDescent="0.25">
      <c r="A124" s="353"/>
      <c r="B124" s="354"/>
      <c r="C124" s="354"/>
      <c r="D124" s="354"/>
      <c r="E124" s="368"/>
      <c r="F124" s="369"/>
    </row>
    <row r="125" spans="1:6" ht="12.75" customHeight="1" x14ac:dyDescent="0.25">
      <c r="A125" s="353"/>
      <c r="B125" s="354"/>
      <c r="C125" s="354"/>
      <c r="D125" s="354"/>
      <c r="E125" s="368"/>
      <c r="F125" s="369"/>
    </row>
    <row r="126" spans="1:6" ht="12.75" customHeight="1" x14ac:dyDescent="0.25">
      <c r="A126" s="353"/>
      <c r="B126" s="354"/>
      <c r="C126" s="354"/>
      <c r="D126" s="354"/>
      <c r="E126" s="368"/>
      <c r="F126" s="369"/>
    </row>
    <row r="127" spans="1:6" ht="12.75" customHeight="1" x14ac:dyDescent="0.25">
      <c r="A127" s="353"/>
      <c r="B127" s="354"/>
      <c r="C127" s="354"/>
      <c r="D127" s="354"/>
      <c r="E127" s="368"/>
      <c r="F127" s="369"/>
    </row>
    <row r="128" spans="1:6" ht="12.75" customHeight="1" x14ac:dyDescent="0.25">
      <c r="A128" s="353"/>
      <c r="B128" s="354"/>
      <c r="C128" s="354"/>
      <c r="D128" s="354"/>
      <c r="E128" s="368"/>
      <c r="F128" s="369"/>
    </row>
    <row r="129" spans="1:6" ht="12.75" customHeight="1" x14ac:dyDescent="0.25">
      <c r="A129" s="353"/>
      <c r="B129" s="354"/>
      <c r="C129" s="354"/>
      <c r="D129" s="354"/>
      <c r="E129" s="368"/>
      <c r="F129" s="369"/>
    </row>
    <row r="130" spans="1:6" ht="12.75" customHeight="1" x14ac:dyDescent="0.25">
      <c r="A130" s="353"/>
      <c r="B130" s="354"/>
      <c r="C130" s="354"/>
      <c r="D130" s="354"/>
      <c r="E130" s="368"/>
      <c r="F130" s="369"/>
    </row>
    <row r="131" spans="1:6" ht="12.75" customHeight="1" x14ac:dyDescent="0.25">
      <c r="A131" s="353"/>
      <c r="B131" s="354"/>
      <c r="C131" s="354"/>
      <c r="D131" s="354"/>
      <c r="E131" s="368"/>
      <c r="F131" s="369"/>
    </row>
    <row r="132" spans="1:6" ht="12.75" customHeight="1" x14ac:dyDescent="0.25">
      <c r="A132" s="353"/>
      <c r="B132" s="354"/>
      <c r="C132" s="354"/>
      <c r="D132" s="354"/>
      <c r="E132" s="368"/>
      <c r="F132" s="369"/>
    </row>
    <row r="133" spans="1:6" ht="12.75" customHeight="1" x14ac:dyDescent="0.25">
      <c r="A133" s="353"/>
      <c r="B133" s="354"/>
      <c r="C133" s="354"/>
      <c r="D133" s="354"/>
      <c r="E133" s="368"/>
      <c r="F133" s="369"/>
    </row>
    <row r="134" spans="1:6" ht="12.75" customHeight="1" x14ac:dyDescent="0.25">
      <c r="A134" s="353"/>
      <c r="B134" s="354"/>
      <c r="C134" s="354"/>
      <c r="D134" s="354"/>
      <c r="E134" s="368"/>
      <c r="F134" s="369"/>
    </row>
    <row r="135" spans="1:6" ht="12.75" customHeight="1" x14ac:dyDescent="0.25">
      <c r="A135" s="353"/>
      <c r="B135" s="354"/>
      <c r="C135" s="354"/>
      <c r="D135" s="354"/>
      <c r="E135" s="368"/>
      <c r="F135" s="369"/>
    </row>
    <row r="136" spans="1:6" ht="12.75" customHeight="1" x14ac:dyDescent="0.25">
      <c r="A136" s="353"/>
      <c r="B136" s="354"/>
      <c r="C136" s="354"/>
      <c r="D136" s="354"/>
      <c r="E136" s="368"/>
      <c r="F136" s="369"/>
    </row>
    <row r="137" spans="1:6" ht="12.75" customHeight="1" x14ac:dyDescent="0.25">
      <c r="A137" s="353"/>
      <c r="B137" s="354"/>
      <c r="C137" s="354"/>
      <c r="D137" s="354"/>
      <c r="E137" s="368"/>
      <c r="F137" s="369"/>
    </row>
    <row r="138" spans="1:6" ht="12.75" customHeight="1" x14ac:dyDescent="0.25">
      <c r="A138" s="353"/>
      <c r="B138" s="354"/>
      <c r="C138" s="354"/>
      <c r="D138" s="354"/>
      <c r="E138" s="368"/>
      <c r="F138" s="369"/>
    </row>
    <row r="139" spans="1:6" ht="12.75" customHeight="1" x14ac:dyDescent="0.25">
      <c r="A139" s="353"/>
      <c r="B139" s="354"/>
      <c r="C139" s="354"/>
      <c r="D139" s="354"/>
      <c r="E139" s="368"/>
      <c r="F139" s="369"/>
    </row>
    <row r="140" spans="1:6" ht="12.75" customHeight="1" x14ac:dyDescent="0.25">
      <c r="A140" s="353"/>
      <c r="B140" s="354"/>
      <c r="C140" s="354"/>
      <c r="D140" s="354"/>
      <c r="E140" s="368"/>
      <c r="F140" s="369"/>
    </row>
    <row r="141" spans="1:6" ht="12.75" customHeight="1" x14ac:dyDescent="0.25">
      <c r="A141" s="353"/>
      <c r="B141" s="354"/>
      <c r="C141" s="354"/>
      <c r="D141" s="354"/>
      <c r="E141" s="368"/>
      <c r="F141" s="369"/>
    </row>
    <row r="142" spans="1:6" ht="12.75" customHeight="1" x14ac:dyDescent="0.25">
      <c r="A142" s="353"/>
      <c r="B142" s="354"/>
      <c r="C142" s="354"/>
      <c r="D142" s="354"/>
      <c r="E142" s="368"/>
      <c r="F142" s="369"/>
    </row>
    <row r="143" spans="1:6" ht="12.75" customHeight="1" x14ac:dyDescent="0.25">
      <c r="A143" s="353"/>
      <c r="B143" s="354"/>
      <c r="C143" s="354"/>
      <c r="D143" s="354"/>
      <c r="E143" s="368"/>
      <c r="F143" s="369"/>
    </row>
    <row r="144" spans="1:6" ht="12.75" customHeight="1" x14ac:dyDescent="0.25">
      <c r="A144" s="353"/>
      <c r="B144" s="354"/>
      <c r="C144" s="354"/>
      <c r="D144" s="354"/>
      <c r="E144" s="368"/>
      <c r="F144" s="369"/>
    </row>
    <row r="145" spans="1:6" ht="12.75" customHeight="1" x14ac:dyDescent="0.25">
      <c r="A145" s="353"/>
      <c r="B145" s="354"/>
      <c r="C145" s="354"/>
      <c r="D145" s="354"/>
      <c r="E145" s="368"/>
      <c r="F145" s="369"/>
    </row>
    <row r="146" spans="1:6" ht="12.75" customHeight="1" x14ac:dyDescent="0.25">
      <c r="A146" s="353"/>
      <c r="B146" s="354"/>
      <c r="C146" s="354"/>
      <c r="D146" s="354"/>
      <c r="E146" s="368"/>
      <c r="F146" s="369"/>
    </row>
    <row r="147" spans="1:6" ht="12.75" customHeight="1" x14ac:dyDescent="0.25">
      <c r="A147" s="353"/>
      <c r="B147" s="354"/>
      <c r="C147" s="354"/>
      <c r="D147" s="354"/>
      <c r="E147" s="368"/>
      <c r="F147" s="369"/>
    </row>
    <row r="148" spans="1:6" ht="12.75" customHeight="1" x14ac:dyDescent="0.25">
      <c r="A148" s="353"/>
      <c r="B148" s="354"/>
      <c r="C148" s="354"/>
      <c r="D148" s="354"/>
      <c r="E148" s="368"/>
      <c r="F148" s="369"/>
    </row>
    <row r="149" spans="1:6" ht="12.75" customHeight="1" x14ac:dyDescent="0.25">
      <c r="A149" s="353"/>
      <c r="B149" s="354"/>
      <c r="C149" s="354"/>
      <c r="D149" s="354"/>
      <c r="E149" s="368"/>
      <c r="F149" s="369"/>
    </row>
    <row r="150" spans="1:6" ht="12.75" customHeight="1" x14ac:dyDescent="0.25">
      <c r="A150" s="353"/>
      <c r="B150" s="354"/>
      <c r="C150" s="354"/>
      <c r="D150" s="354"/>
      <c r="E150" s="368"/>
      <c r="F150" s="369"/>
    </row>
    <row r="151" spans="1:6" ht="12.75" customHeight="1" x14ac:dyDescent="0.25">
      <c r="A151" s="353"/>
      <c r="B151" s="354"/>
      <c r="C151" s="354"/>
      <c r="D151" s="354"/>
      <c r="E151" s="368"/>
      <c r="F151" s="369"/>
    </row>
    <row r="152" spans="1:6" ht="12.75" customHeight="1" x14ac:dyDescent="0.25">
      <c r="A152" s="353"/>
      <c r="B152" s="354"/>
      <c r="C152" s="354"/>
      <c r="D152" s="354"/>
      <c r="E152" s="368"/>
      <c r="F152" s="369"/>
    </row>
    <row r="153" spans="1:6" ht="12.75" customHeight="1" x14ac:dyDescent="0.25">
      <c r="A153" s="353"/>
      <c r="B153" s="354"/>
      <c r="C153" s="354"/>
      <c r="D153" s="354"/>
      <c r="E153" s="368"/>
      <c r="F153" s="369"/>
    </row>
    <row r="154" spans="1:6" ht="12.75" customHeight="1" x14ac:dyDescent="0.25">
      <c r="A154" s="353"/>
      <c r="B154" s="354"/>
      <c r="C154" s="354"/>
      <c r="D154" s="354"/>
      <c r="E154" s="368"/>
      <c r="F154" s="369"/>
    </row>
    <row r="155" spans="1:6" ht="12.75" customHeight="1" x14ac:dyDescent="0.25">
      <c r="A155" s="353"/>
      <c r="B155" s="354"/>
      <c r="C155" s="354"/>
      <c r="D155" s="354"/>
      <c r="E155" s="368"/>
      <c r="F155" s="369"/>
    </row>
    <row r="156" spans="1:6" ht="12.75" customHeight="1" x14ac:dyDescent="0.25">
      <c r="A156" s="353"/>
      <c r="B156" s="354"/>
      <c r="C156" s="354"/>
      <c r="D156" s="354"/>
      <c r="E156" s="368"/>
      <c r="F156" s="369"/>
    </row>
    <row r="157" spans="1:6" ht="12.75" customHeight="1" x14ac:dyDescent="0.25">
      <c r="A157" s="353"/>
      <c r="B157" s="354"/>
      <c r="C157" s="354"/>
      <c r="D157" s="354"/>
      <c r="E157" s="368"/>
      <c r="F157" s="369"/>
    </row>
    <row r="158" spans="1:6" ht="12.75" customHeight="1" x14ac:dyDescent="0.25">
      <c r="A158" s="353"/>
      <c r="B158" s="354"/>
      <c r="C158" s="354"/>
      <c r="D158" s="354"/>
      <c r="E158" s="368"/>
      <c r="F158" s="369"/>
    </row>
    <row r="159" spans="1:6" ht="12.75" customHeight="1" x14ac:dyDescent="0.25">
      <c r="A159" s="353"/>
      <c r="B159" s="354"/>
      <c r="C159" s="354"/>
      <c r="D159" s="354"/>
      <c r="E159" s="368"/>
      <c r="F159" s="369"/>
    </row>
    <row r="160" spans="1:6" ht="12.75" customHeight="1" x14ac:dyDescent="0.25">
      <c r="A160" s="353"/>
      <c r="B160" s="354"/>
      <c r="C160" s="354"/>
      <c r="D160" s="354"/>
      <c r="E160" s="368"/>
      <c r="F160" s="369"/>
    </row>
    <row r="161" spans="1:6" ht="12.75" customHeight="1" x14ac:dyDescent="0.25">
      <c r="A161" s="353"/>
      <c r="B161" s="354"/>
      <c r="C161" s="354"/>
      <c r="D161" s="354"/>
      <c r="E161" s="368"/>
      <c r="F161" s="369"/>
    </row>
    <row r="162" spans="1:6" ht="12.75" customHeight="1" x14ac:dyDescent="0.25">
      <c r="A162" s="353"/>
      <c r="B162" s="354"/>
      <c r="C162" s="354"/>
      <c r="D162" s="354"/>
      <c r="E162" s="368"/>
      <c r="F162" s="369"/>
    </row>
    <row r="163" spans="1:6" ht="12.75" customHeight="1" x14ac:dyDescent="0.25">
      <c r="A163" s="353"/>
      <c r="B163" s="354"/>
      <c r="C163" s="354"/>
      <c r="D163" s="354"/>
      <c r="E163" s="368"/>
      <c r="F163" s="369"/>
    </row>
    <row r="164" spans="1:6" ht="12.75" customHeight="1" x14ac:dyDescent="0.25">
      <c r="A164" s="353"/>
      <c r="B164" s="354"/>
      <c r="C164" s="354"/>
      <c r="D164" s="354"/>
      <c r="E164" s="368"/>
      <c r="F164" s="369"/>
    </row>
    <row r="165" spans="1:6" ht="12.75" customHeight="1" x14ac:dyDescent="0.25">
      <c r="A165" s="353"/>
      <c r="B165" s="354"/>
      <c r="C165" s="354"/>
      <c r="D165" s="354"/>
      <c r="E165" s="368"/>
      <c r="F165" s="369"/>
    </row>
    <row r="166" spans="1:6" ht="12.75" customHeight="1" x14ac:dyDescent="0.25">
      <c r="A166" s="353"/>
      <c r="B166" s="354"/>
      <c r="C166" s="354"/>
      <c r="D166" s="354"/>
      <c r="E166" s="368"/>
      <c r="F166" s="369"/>
    </row>
    <row r="167" spans="1:6" ht="12.75" customHeight="1" x14ac:dyDescent="0.25">
      <c r="A167" s="353"/>
      <c r="B167" s="354"/>
      <c r="C167" s="354"/>
      <c r="D167" s="354"/>
      <c r="E167" s="368"/>
      <c r="F167" s="369"/>
    </row>
    <row r="168" spans="1:6" ht="12.75" customHeight="1" x14ac:dyDescent="0.25">
      <c r="A168" s="353"/>
      <c r="B168" s="354"/>
      <c r="C168" s="354"/>
      <c r="D168" s="354"/>
      <c r="E168" s="368"/>
      <c r="F168" s="369"/>
    </row>
    <row r="169" spans="1:6" ht="12.75" customHeight="1" x14ac:dyDescent="0.25">
      <c r="A169" s="353"/>
      <c r="B169" s="354"/>
      <c r="C169" s="354"/>
      <c r="D169" s="354"/>
      <c r="E169" s="368"/>
      <c r="F169" s="369"/>
    </row>
    <row r="170" spans="1:6" ht="12.75" customHeight="1" x14ac:dyDescent="0.25">
      <c r="A170" s="353"/>
      <c r="B170" s="354"/>
      <c r="C170" s="354"/>
      <c r="D170" s="354"/>
      <c r="E170" s="368"/>
      <c r="F170" s="369"/>
    </row>
    <row r="171" spans="1:6" ht="12.75" customHeight="1" x14ac:dyDescent="0.25">
      <c r="A171" s="353"/>
      <c r="B171" s="354"/>
      <c r="C171" s="354"/>
      <c r="D171" s="354"/>
      <c r="E171" s="368"/>
      <c r="F171" s="369"/>
    </row>
    <row r="172" spans="1:6" ht="12.75" customHeight="1" x14ac:dyDescent="0.25">
      <c r="A172" s="353"/>
      <c r="B172" s="354"/>
      <c r="C172" s="354"/>
      <c r="D172" s="354"/>
      <c r="E172" s="368"/>
      <c r="F172" s="369"/>
    </row>
    <row r="173" spans="1:6" ht="12.75" customHeight="1" x14ac:dyDescent="0.25">
      <c r="A173" s="353"/>
      <c r="B173" s="354"/>
      <c r="C173" s="354"/>
      <c r="D173" s="354"/>
      <c r="E173" s="368"/>
      <c r="F173" s="369"/>
    </row>
    <row r="174" spans="1:6" ht="12.75" customHeight="1" x14ac:dyDescent="0.25">
      <c r="A174" s="353"/>
      <c r="B174" s="354"/>
      <c r="C174" s="354"/>
      <c r="D174" s="354"/>
      <c r="E174" s="368"/>
      <c r="F174" s="369"/>
    </row>
    <row r="175" spans="1:6" ht="12.75" customHeight="1" x14ac:dyDescent="0.25">
      <c r="A175" s="353"/>
      <c r="B175" s="354"/>
      <c r="C175" s="354"/>
      <c r="D175" s="354"/>
      <c r="E175" s="368"/>
      <c r="F175" s="369"/>
    </row>
    <row r="176" spans="1:6" ht="12.75" customHeight="1" x14ac:dyDescent="0.25">
      <c r="A176" s="353"/>
      <c r="B176" s="354"/>
      <c r="C176" s="354"/>
      <c r="D176" s="354"/>
      <c r="E176" s="368"/>
      <c r="F176" s="369"/>
    </row>
    <row r="177" spans="1:6" ht="12.75" customHeight="1" x14ac:dyDescent="0.25">
      <c r="A177" s="353"/>
      <c r="B177" s="354"/>
      <c r="C177" s="354"/>
      <c r="D177" s="354"/>
      <c r="E177" s="368"/>
      <c r="F177" s="369"/>
    </row>
    <row r="178" spans="1:6" ht="12.75" customHeight="1" x14ac:dyDescent="0.25">
      <c r="A178" s="353"/>
      <c r="B178" s="354"/>
      <c r="C178" s="354"/>
      <c r="D178" s="354"/>
      <c r="E178" s="368"/>
      <c r="F178" s="369"/>
    </row>
    <row r="179" spans="1:6" ht="12.75" customHeight="1" x14ac:dyDescent="0.25">
      <c r="A179" s="353"/>
      <c r="B179" s="354"/>
      <c r="C179" s="354"/>
      <c r="D179" s="354"/>
      <c r="E179" s="368"/>
      <c r="F179" s="369"/>
    </row>
    <row r="180" spans="1:6" ht="12.75" customHeight="1" x14ac:dyDescent="0.25">
      <c r="A180" s="353"/>
      <c r="B180" s="354"/>
      <c r="C180" s="354"/>
      <c r="D180" s="354"/>
      <c r="E180" s="368"/>
      <c r="F180" s="369"/>
    </row>
    <row r="181" spans="1:6" ht="12.75" customHeight="1" x14ac:dyDescent="0.25">
      <c r="A181" s="353"/>
      <c r="B181" s="354"/>
      <c r="C181" s="354"/>
      <c r="D181" s="354"/>
      <c r="E181" s="368"/>
      <c r="F181" s="369"/>
    </row>
    <row r="182" spans="1:6" ht="12.75" customHeight="1" x14ac:dyDescent="0.25">
      <c r="A182" s="353"/>
      <c r="B182" s="354"/>
      <c r="C182" s="354"/>
      <c r="D182" s="354"/>
      <c r="E182" s="368"/>
      <c r="F182" s="369"/>
    </row>
    <row r="183" spans="1:6" ht="12.75" customHeight="1" x14ac:dyDescent="0.25">
      <c r="A183" s="353"/>
      <c r="B183" s="354"/>
      <c r="C183" s="354"/>
      <c r="D183" s="354"/>
      <c r="E183" s="368"/>
      <c r="F183" s="369"/>
    </row>
    <row r="184" spans="1:6" ht="12.75" customHeight="1" x14ac:dyDescent="0.25">
      <c r="A184" s="353"/>
      <c r="B184" s="354"/>
      <c r="C184" s="354"/>
      <c r="D184" s="354"/>
      <c r="E184" s="368"/>
      <c r="F184" s="369"/>
    </row>
    <row r="185" spans="1:6" ht="12.75" customHeight="1" x14ac:dyDescent="0.25">
      <c r="A185" s="353"/>
      <c r="B185" s="354"/>
      <c r="C185" s="354"/>
      <c r="D185" s="354"/>
      <c r="E185" s="368"/>
      <c r="F185" s="369"/>
    </row>
    <row r="186" spans="1:6" ht="12.75" customHeight="1" x14ac:dyDescent="0.25">
      <c r="A186" s="353"/>
      <c r="B186" s="354"/>
      <c r="C186" s="354"/>
      <c r="D186" s="354"/>
      <c r="E186" s="368"/>
      <c r="F186" s="369"/>
    </row>
    <row r="187" spans="1:6" ht="12.75" customHeight="1" x14ac:dyDescent="0.25">
      <c r="A187" s="353"/>
      <c r="B187" s="354"/>
      <c r="C187" s="354"/>
      <c r="D187" s="354"/>
      <c r="E187" s="368"/>
      <c r="F187" s="369"/>
    </row>
    <row r="188" spans="1:6" ht="12.75" customHeight="1" x14ac:dyDescent="0.25">
      <c r="A188" s="353"/>
      <c r="B188" s="354"/>
      <c r="C188" s="354"/>
      <c r="D188" s="354"/>
      <c r="E188" s="368"/>
      <c r="F188" s="369"/>
    </row>
    <row r="189" spans="1:6" ht="12.75" customHeight="1" x14ac:dyDescent="0.25">
      <c r="A189" s="353"/>
      <c r="B189" s="354"/>
      <c r="C189" s="354"/>
      <c r="D189" s="354"/>
      <c r="E189" s="368"/>
      <c r="F189" s="369"/>
    </row>
    <row r="190" spans="1:6" ht="12.75" customHeight="1" x14ac:dyDescent="0.25">
      <c r="A190" s="353"/>
      <c r="B190" s="354"/>
      <c r="C190" s="354"/>
      <c r="D190" s="354"/>
      <c r="E190" s="368"/>
      <c r="F190" s="369"/>
    </row>
    <row r="191" spans="1:6" ht="12.75" customHeight="1" x14ac:dyDescent="0.25">
      <c r="A191" s="353"/>
      <c r="B191" s="354"/>
      <c r="C191" s="354"/>
      <c r="D191" s="354"/>
      <c r="E191" s="368"/>
      <c r="F191" s="369"/>
    </row>
    <row r="192" spans="1:6" ht="12.75" customHeight="1" x14ac:dyDescent="0.25">
      <c r="A192" s="353"/>
      <c r="B192" s="354"/>
      <c r="C192" s="354"/>
      <c r="D192" s="354"/>
      <c r="E192" s="368"/>
      <c r="F192" s="369"/>
    </row>
    <row r="193" spans="1:6" ht="12.75" customHeight="1" x14ac:dyDescent="0.25">
      <c r="A193" s="353"/>
      <c r="B193" s="354"/>
      <c r="C193" s="354"/>
      <c r="D193" s="354"/>
      <c r="E193" s="368"/>
      <c r="F193" s="369"/>
    </row>
    <row r="194" spans="1:6" ht="12.75" customHeight="1" x14ac:dyDescent="0.25">
      <c r="A194" s="353"/>
      <c r="B194" s="354"/>
      <c r="C194" s="354"/>
      <c r="D194" s="354"/>
      <c r="E194" s="368"/>
      <c r="F194" s="369"/>
    </row>
    <row r="195" spans="1:6" ht="12.75" customHeight="1" x14ac:dyDescent="0.25">
      <c r="A195" s="353"/>
      <c r="B195" s="354"/>
      <c r="C195" s="354"/>
      <c r="D195" s="354"/>
      <c r="E195" s="368"/>
      <c r="F195" s="369"/>
    </row>
    <row r="196" spans="1:6" ht="12.75" customHeight="1" x14ac:dyDescent="0.25">
      <c r="A196" s="353"/>
      <c r="B196" s="354"/>
      <c r="C196" s="354"/>
      <c r="D196" s="354"/>
      <c r="E196" s="368"/>
      <c r="F196" s="369"/>
    </row>
    <row r="197" spans="1:6" ht="12.75" customHeight="1" x14ac:dyDescent="0.25">
      <c r="A197" s="353"/>
      <c r="B197" s="354"/>
      <c r="C197" s="354"/>
      <c r="D197" s="354"/>
      <c r="E197" s="368"/>
      <c r="F197" s="369"/>
    </row>
    <row r="198" spans="1:6" ht="12.75" customHeight="1" x14ac:dyDescent="0.25">
      <c r="A198" s="353"/>
      <c r="B198" s="354"/>
      <c r="C198" s="354"/>
      <c r="D198" s="354"/>
      <c r="E198" s="368"/>
      <c r="F198" s="369"/>
    </row>
    <row r="199" spans="1:6" ht="12.75" customHeight="1" x14ac:dyDescent="0.25">
      <c r="A199" s="353"/>
      <c r="B199" s="354"/>
      <c r="C199" s="354"/>
      <c r="D199" s="354"/>
      <c r="E199" s="368"/>
      <c r="F199" s="369"/>
    </row>
    <row r="200" spans="1:6" ht="12.75" customHeight="1" x14ac:dyDescent="0.25">
      <c r="A200" s="353"/>
      <c r="B200" s="354"/>
      <c r="C200" s="354"/>
      <c r="D200" s="354"/>
      <c r="E200" s="368"/>
      <c r="F200" s="369"/>
    </row>
    <row r="201" spans="1:6" ht="12.75" customHeight="1" x14ac:dyDescent="0.25">
      <c r="A201" s="353"/>
      <c r="B201" s="354"/>
      <c r="C201" s="354"/>
      <c r="D201" s="354"/>
      <c r="E201" s="368"/>
      <c r="F201" s="369"/>
    </row>
    <row r="202" spans="1:6" ht="12.75" customHeight="1" x14ac:dyDescent="0.25">
      <c r="A202" s="353"/>
      <c r="B202" s="354"/>
      <c r="C202" s="354"/>
      <c r="D202" s="354"/>
      <c r="E202" s="368"/>
      <c r="F202" s="369"/>
    </row>
    <row r="203" spans="1:6" ht="12.75" customHeight="1" x14ac:dyDescent="0.25">
      <c r="A203" s="353"/>
      <c r="B203" s="354"/>
      <c r="C203" s="354"/>
      <c r="D203" s="354"/>
      <c r="E203" s="368"/>
      <c r="F203" s="369"/>
    </row>
    <row r="204" spans="1:6" ht="12.75" customHeight="1" x14ac:dyDescent="0.25">
      <c r="A204" s="353"/>
      <c r="B204" s="354"/>
      <c r="C204" s="354"/>
      <c r="D204" s="354"/>
      <c r="E204" s="368"/>
      <c r="F204" s="369"/>
    </row>
    <row r="205" spans="1:6" ht="12.75" customHeight="1" x14ac:dyDescent="0.25">
      <c r="A205" s="353"/>
      <c r="B205" s="354"/>
      <c r="C205" s="354"/>
      <c r="D205" s="354"/>
      <c r="E205" s="368"/>
      <c r="F205" s="369"/>
    </row>
    <row r="206" spans="1:6" ht="12.75" customHeight="1" x14ac:dyDescent="0.25">
      <c r="A206" s="353"/>
      <c r="B206" s="354"/>
      <c r="C206" s="354"/>
      <c r="D206" s="354"/>
      <c r="E206" s="368"/>
      <c r="F206" s="369"/>
    </row>
    <row r="207" spans="1:6" ht="12.75" customHeight="1" x14ac:dyDescent="0.25">
      <c r="A207" s="353"/>
      <c r="B207" s="354"/>
      <c r="C207" s="354"/>
      <c r="D207" s="354"/>
      <c r="E207" s="368"/>
      <c r="F207" s="369"/>
    </row>
    <row r="208" spans="1:6" ht="12.75" customHeight="1" x14ac:dyDescent="0.25">
      <c r="A208" s="353"/>
      <c r="B208" s="354"/>
      <c r="C208" s="354"/>
      <c r="D208" s="354"/>
      <c r="E208" s="368"/>
      <c r="F208" s="369"/>
    </row>
    <row r="209" spans="1:6" ht="12.75" customHeight="1" x14ac:dyDescent="0.25">
      <c r="A209" s="353"/>
      <c r="B209" s="354"/>
      <c r="C209" s="354"/>
      <c r="D209" s="354"/>
      <c r="E209" s="368"/>
      <c r="F209" s="369"/>
    </row>
    <row r="210" spans="1:6" ht="12.75" customHeight="1" x14ac:dyDescent="0.25">
      <c r="A210" s="353"/>
      <c r="B210" s="354"/>
      <c r="C210" s="354"/>
      <c r="D210" s="354"/>
      <c r="E210" s="368"/>
      <c r="F210" s="369"/>
    </row>
    <row r="211" spans="1:6" ht="12.75" customHeight="1" x14ac:dyDescent="0.25">
      <c r="A211" s="353"/>
      <c r="B211" s="354"/>
      <c r="C211" s="354"/>
      <c r="D211" s="354"/>
      <c r="E211" s="368"/>
      <c r="F211" s="369"/>
    </row>
    <row r="212" spans="1:6" ht="12.75" customHeight="1" x14ac:dyDescent="0.25">
      <c r="A212" s="353"/>
      <c r="B212" s="354"/>
      <c r="C212" s="354"/>
      <c r="D212" s="354"/>
      <c r="E212" s="368"/>
      <c r="F212" s="369"/>
    </row>
    <row r="213" spans="1:6" ht="12.75" customHeight="1" x14ac:dyDescent="0.25">
      <c r="A213" s="353"/>
      <c r="B213" s="354"/>
      <c r="C213" s="354"/>
      <c r="D213" s="354"/>
      <c r="E213" s="368"/>
      <c r="F213" s="369"/>
    </row>
    <row r="214" spans="1:6" ht="12.75" customHeight="1" x14ac:dyDescent="0.25">
      <c r="A214" s="353"/>
      <c r="B214" s="354"/>
      <c r="C214" s="354"/>
      <c r="D214" s="354"/>
      <c r="E214" s="368"/>
      <c r="F214" s="369"/>
    </row>
    <row r="215" spans="1:6" ht="12.75" customHeight="1" x14ac:dyDescent="0.25">
      <c r="A215" s="353"/>
      <c r="B215" s="354"/>
      <c r="C215" s="354"/>
      <c r="D215" s="354"/>
      <c r="E215" s="368"/>
      <c r="F215" s="369"/>
    </row>
    <row r="216" spans="1:6" ht="12.75" customHeight="1" x14ac:dyDescent="0.25">
      <c r="A216" s="353"/>
      <c r="B216" s="354"/>
      <c r="C216" s="354"/>
      <c r="D216" s="354"/>
      <c r="E216" s="368"/>
      <c r="F216" s="369"/>
    </row>
    <row r="217" spans="1:6" ht="12.75" customHeight="1" x14ac:dyDescent="0.25">
      <c r="A217" s="353"/>
      <c r="B217" s="354"/>
      <c r="C217" s="354"/>
      <c r="D217" s="354"/>
      <c r="E217" s="368"/>
      <c r="F217" s="369"/>
    </row>
    <row r="218" spans="1:6" ht="12.75" customHeight="1" x14ac:dyDescent="0.25">
      <c r="A218" s="353"/>
      <c r="B218" s="354"/>
      <c r="C218" s="354"/>
      <c r="D218" s="354"/>
      <c r="E218" s="368"/>
      <c r="F218" s="369"/>
    </row>
    <row r="219" spans="1:6" ht="12.75" customHeight="1" x14ac:dyDescent="0.25">
      <c r="A219" s="353"/>
      <c r="B219" s="354"/>
      <c r="C219" s="354"/>
      <c r="D219" s="354"/>
      <c r="E219" s="368"/>
      <c r="F219" s="369"/>
    </row>
    <row r="220" spans="1:6" ht="12.75" customHeight="1" x14ac:dyDescent="0.25">
      <c r="A220" s="353"/>
      <c r="B220" s="354"/>
      <c r="C220" s="354"/>
      <c r="D220" s="354"/>
      <c r="E220" s="368"/>
      <c r="F220" s="369"/>
    </row>
    <row r="221" spans="1:6" ht="12.75" customHeight="1" x14ac:dyDescent="0.25">
      <c r="A221" s="353"/>
      <c r="B221" s="354"/>
      <c r="C221" s="354"/>
      <c r="D221" s="354"/>
      <c r="E221" s="368"/>
      <c r="F221" s="369"/>
    </row>
    <row r="222" spans="1:6" ht="12.75" customHeight="1" x14ac:dyDescent="0.25">
      <c r="A222" s="353"/>
      <c r="B222" s="354"/>
      <c r="C222" s="354"/>
      <c r="D222" s="354"/>
      <c r="E222" s="368"/>
      <c r="F222" s="369"/>
    </row>
    <row r="223" spans="1:6" ht="12.75" customHeight="1" x14ac:dyDescent="0.25">
      <c r="A223" s="353"/>
      <c r="B223" s="354"/>
      <c r="C223" s="354"/>
      <c r="D223" s="354"/>
      <c r="E223" s="368"/>
      <c r="F223" s="369"/>
    </row>
    <row r="224" spans="1:6" ht="12.75" customHeight="1" x14ac:dyDescent="0.25">
      <c r="A224" s="353"/>
      <c r="B224" s="354"/>
      <c r="C224" s="354"/>
      <c r="D224" s="354"/>
      <c r="E224" s="368"/>
      <c r="F224" s="369"/>
    </row>
    <row r="225" spans="1:6" ht="12.75" customHeight="1" x14ac:dyDescent="0.25">
      <c r="A225" s="353"/>
      <c r="B225" s="354"/>
      <c r="C225" s="354"/>
      <c r="D225" s="354"/>
      <c r="E225" s="368"/>
      <c r="F225" s="369"/>
    </row>
    <row r="226" spans="1:6" ht="12.75" customHeight="1" x14ac:dyDescent="0.25">
      <c r="A226" s="353"/>
      <c r="B226" s="354"/>
      <c r="C226" s="354"/>
      <c r="D226" s="354"/>
      <c r="E226" s="368"/>
      <c r="F226" s="369"/>
    </row>
    <row r="227" spans="1:6" ht="12.75" customHeight="1" x14ac:dyDescent="0.25">
      <c r="A227" s="353"/>
      <c r="B227" s="354"/>
      <c r="C227" s="354"/>
      <c r="D227" s="354"/>
      <c r="E227" s="368"/>
      <c r="F227" s="369"/>
    </row>
    <row r="228" spans="1:6" ht="12.75" customHeight="1" x14ac:dyDescent="0.25">
      <c r="A228" s="353"/>
      <c r="B228" s="354"/>
      <c r="C228" s="354"/>
      <c r="D228" s="354"/>
      <c r="E228" s="368"/>
      <c r="F228" s="369"/>
    </row>
    <row r="229" spans="1:6" ht="12.75" customHeight="1" x14ac:dyDescent="0.25">
      <c r="A229" s="353"/>
      <c r="B229" s="354"/>
      <c r="C229" s="354"/>
      <c r="D229" s="354"/>
      <c r="E229" s="368"/>
      <c r="F229" s="369"/>
    </row>
    <row r="230" spans="1:6" ht="12.75" customHeight="1" x14ac:dyDescent="0.25">
      <c r="A230" s="353"/>
      <c r="B230" s="354"/>
      <c r="C230" s="354"/>
      <c r="D230" s="354"/>
      <c r="E230" s="368"/>
      <c r="F230" s="369"/>
    </row>
    <row r="231" spans="1:6" ht="12.75" customHeight="1" x14ac:dyDescent="0.25">
      <c r="A231" s="353"/>
      <c r="B231" s="354"/>
      <c r="C231" s="354"/>
      <c r="D231" s="354"/>
      <c r="E231" s="368"/>
      <c r="F231" s="369"/>
    </row>
    <row r="232" spans="1:6" ht="12.75" customHeight="1" x14ac:dyDescent="0.25">
      <c r="A232" s="353"/>
      <c r="B232" s="354"/>
      <c r="C232" s="354"/>
      <c r="D232" s="354"/>
      <c r="E232" s="368"/>
      <c r="F232" s="369"/>
    </row>
    <row r="233" spans="1:6" ht="12.75" customHeight="1" x14ac:dyDescent="0.25">
      <c r="A233" s="353"/>
      <c r="B233" s="354"/>
      <c r="C233" s="354"/>
      <c r="D233" s="354"/>
      <c r="E233" s="368"/>
      <c r="F233" s="369"/>
    </row>
    <row r="234" spans="1:6" ht="12.75" customHeight="1" x14ac:dyDescent="0.25">
      <c r="A234" s="353"/>
      <c r="B234" s="354"/>
      <c r="C234" s="354"/>
      <c r="D234" s="354"/>
      <c r="E234" s="368"/>
      <c r="F234" s="369"/>
    </row>
    <row r="235" spans="1:6" ht="12.75" customHeight="1" x14ac:dyDescent="0.25">
      <c r="A235" s="353"/>
      <c r="B235" s="354"/>
      <c r="C235" s="354"/>
      <c r="D235" s="354"/>
      <c r="E235" s="368"/>
      <c r="F235" s="369"/>
    </row>
    <row r="236" spans="1:6" ht="12.75" customHeight="1" x14ac:dyDescent="0.25">
      <c r="A236" s="353"/>
      <c r="B236" s="354"/>
      <c r="C236" s="354"/>
      <c r="D236" s="354"/>
      <c r="E236" s="368"/>
      <c r="F236" s="369"/>
    </row>
    <row r="237" spans="1:6" ht="12.75" customHeight="1" x14ac:dyDescent="0.25">
      <c r="A237" s="353"/>
      <c r="B237" s="354"/>
      <c r="C237" s="354"/>
      <c r="D237" s="354"/>
      <c r="E237" s="368"/>
      <c r="F237" s="369"/>
    </row>
    <row r="238" spans="1:6" ht="12.75" customHeight="1" x14ac:dyDescent="0.25">
      <c r="A238" s="353"/>
      <c r="B238" s="354"/>
      <c r="C238" s="354"/>
      <c r="D238" s="354"/>
      <c r="E238" s="368"/>
      <c r="F238" s="369"/>
    </row>
    <row r="239" spans="1:6" ht="12.75" customHeight="1" x14ac:dyDescent="0.25">
      <c r="A239" s="353"/>
      <c r="B239" s="354"/>
      <c r="C239" s="354"/>
      <c r="D239" s="354"/>
      <c r="E239" s="368"/>
      <c r="F239" s="369"/>
    </row>
    <row r="240" spans="1:6" ht="12.75" customHeight="1" x14ac:dyDescent="0.25">
      <c r="A240" s="353"/>
      <c r="B240" s="354"/>
      <c r="C240" s="354"/>
      <c r="D240" s="354"/>
      <c r="E240" s="368"/>
      <c r="F240" s="369"/>
    </row>
    <row r="241" spans="1:6" ht="12.75" customHeight="1" x14ac:dyDescent="0.25">
      <c r="A241" s="353"/>
      <c r="B241" s="354"/>
      <c r="C241" s="354"/>
      <c r="D241" s="354"/>
      <c r="E241" s="368"/>
      <c r="F241" s="369"/>
    </row>
    <row r="242" spans="1:6" ht="12.75" customHeight="1" x14ac:dyDescent="0.25">
      <c r="A242" s="353"/>
      <c r="B242" s="354"/>
      <c r="C242" s="354"/>
      <c r="D242" s="354"/>
      <c r="E242" s="368"/>
      <c r="F242" s="369"/>
    </row>
    <row r="243" spans="1:6" ht="12.75" customHeight="1" x14ac:dyDescent="0.25">
      <c r="A243" s="353"/>
      <c r="B243" s="354"/>
      <c r="C243" s="354"/>
      <c r="D243" s="354"/>
      <c r="E243" s="368"/>
      <c r="F243" s="369"/>
    </row>
    <row r="244" spans="1:6" ht="12.75" customHeight="1" x14ac:dyDescent="0.25">
      <c r="A244" s="353"/>
      <c r="B244" s="354"/>
      <c r="C244" s="354"/>
      <c r="D244" s="354"/>
      <c r="E244" s="368"/>
      <c r="F244" s="369"/>
    </row>
    <row r="245" spans="1:6" ht="12.75" customHeight="1" x14ac:dyDescent="0.25">
      <c r="A245" s="353"/>
      <c r="B245" s="354"/>
      <c r="C245" s="354"/>
      <c r="D245" s="354"/>
      <c r="E245" s="368"/>
      <c r="F245" s="369"/>
    </row>
    <row r="246" spans="1:6" ht="12.75" customHeight="1" x14ac:dyDescent="0.25">
      <c r="A246" s="353"/>
      <c r="B246" s="354"/>
      <c r="C246" s="354"/>
      <c r="D246" s="354"/>
      <c r="E246" s="368"/>
      <c r="F246" s="369"/>
    </row>
    <row r="247" spans="1:6" ht="12.75" customHeight="1" x14ac:dyDescent="0.25">
      <c r="A247" s="353"/>
      <c r="B247" s="354"/>
      <c r="C247" s="354"/>
      <c r="D247" s="354"/>
      <c r="E247" s="368"/>
      <c r="F247" s="369"/>
    </row>
    <row r="248" spans="1:6" ht="12.75" customHeight="1" x14ac:dyDescent="0.25">
      <c r="A248" s="353"/>
      <c r="B248" s="354"/>
      <c r="C248" s="354"/>
      <c r="D248" s="354"/>
      <c r="E248" s="368"/>
      <c r="F248" s="369"/>
    </row>
    <row r="249" spans="1:6" ht="12.75" customHeight="1" x14ac:dyDescent="0.25">
      <c r="A249" s="353"/>
      <c r="B249" s="354"/>
      <c r="C249" s="354"/>
      <c r="D249" s="354"/>
      <c r="E249" s="368"/>
      <c r="F249" s="369"/>
    </row>
    <row r="250" spans="1:6" ht="12.75" customHeight="1" x14ac:dyDescent="0.25">
      <c r="A250" s="353"/>
      <c r="B250" s="354"/>
      <c r="C250" s="354"/>
      <c r="D250" s="354"/>
      <c r="E250" s="368"/>
      <c r="F250" s="369"/>
    </row>
    <row r="251" spans="1:6" ht="12.75" customHeight="1" x14ac:dyDescent="0.25">
      <c r="A251" s="353"/>
      <c r="B251" s="354"/>
      <c r="C251" s="354"/>
      <c r="D251" s="354"/>
      <c r="E251" s="368"/>
      <c r="F251" s="369"/>
    </row>
    <row r="252" spans="1:6" ht="12.75" customHeight="1" x14ac:dyDescent="0.25">
      <c r="A252" s="353"/>
      <c r="B252" s="354"/>
      <c r="C252" s="354"/>
      <c r="D252" s="354"/>
      <c r="E252" s="368"/>
      <c r="F252" s="369"/>
    </row>
    <row r="253" spans="1:6" ht="12.75" customHeight="1" x14ac:dyDescent="0.25">
      <c r="A253" s="353"/>
      <c r="B253" s="354"/>
      <c r="C253" s="354"/>
      <c r="D253" s="354"/>
      <c r="E253" s="368"/>
      <c r="F253" s="369"/>
    </row>
    <row r="254" spans="1:6" ht="12.75" customHeight="1" x14ac:dyDescent="0.25">
      <c r="A254" s="353"/>
      <c r="B254" s="354"/>
      <c r="C254" s="354"/>
      <c r="D254" s="354"/>
      <c r="E254" s="368"/>
      <c r="F254" s="369"/>
    </row>
    <row r="255" spans="1:6" ht="12.75" customHeight="1" x14ac:dyDescent="0.25">
      <c r="A255" s="353"/>
      <c r="B255" s="354"/>
      <c r="C255" s="354"/>
      <c r="D255" s="354"/>
      <c r="E255" s="368"/>
      <c r="F255" s="369"/>
    </row>
    <row r="256" spans="1:6" ht="12.75" customHeight="1" x14ac:dyDescent="0.25">
      <c r="A256" s="353"/>
      <c r="B256" s="354"/>
      <c r="C256" s="354"/>
      <c r="D256" s="354"/>
      <c r="E256" s="368"/>
      <c r="F256" s="369"/>
    </row>
    <row r="257" spans="1:6" ht="12.75" customHeight="1" x14ac:dyDescent="0.25">
      <c r="A257" s="353"/>
      <c r="B257" s="354"/>
      <c r="C257" s="354"/>
      <c r="D257" s="354"/>
      <c r="E257" s="368"/>
      <c r="F257" s="369"/>
    </row>
    <row r="258" spans="1:6" ht="12.75" customHeight="1" x14ac:dyDescent="0.25">
      <c r="A258" s="353"/>
      <c r="B258" s="354"/>
      <c r="C258" s="354"/>
      <c r="D258" s="354"/>
      <c r="E258" s="368"/>
      <c r="F258" s="369"/>
    </row>
    <row r="259" spans="1:6" ht="12.75" customHeight="1" x14ac:dyDescent="0.25">
      <c r="A259" s="353"/>
      <c r="B259" s="354"/>
      <c r="C259" s="354"/>
      <c r="D259" s="354"/>
      <c r="E259" s="368"/>
      <c r="F259" s="369"/>
    </row>
    <row r="260" spans="1:6" ht="12.75" customHeight="1" x14ac:dyDescent="0.25">
      <c r="A260" s="353"/>
      <c r="B260" s="354"/>
      <c r="C260" s="354"/>
      <c r="D260" s="354"/>
      <c r="E260" s="368"/>
      <c r="F260" s="369"/>
    </row>
    <row r="261" spans="1:6" ht="12.75" customHeight="1" x14ac:dyDescent="0.25">
      <c r="A261" s="353"/>
      <c r="B261" s="354"/>
      <c r="C261" s="354"/>
      <c r="D261" s="354"/>
      <c r="E261" s="368"/>
      <c r="F261" s="369"/>
    </row>
    <row r="262" spans="1:6" ht="12.75" customHeight="1" x14ac:dyDescent="0.25">
      <c r="A262" s="353"/>
      <c r="B262" s="354"/>
      <c r="C262" s="354"/>
      <c r="D262" s="354"/>
      <c r="E262" s="368"/>
      <c r="F262" s="369"/>
    </row>
    <row r="263" spans="1:6" ht="12.75" customHeight="1" x14ac:dyDescent="0.25">
      <c r="A263" s="353"/>
      <c r="B263" s="354"/>
      <c r="C263" s="354"/>
      <c r="D263" s="354"/>
      <c r="E263" s="368"/>
      <c r="F263" s="369"/>
    </row>
    <row r="264" spans="1:6" ht="12.75" customHeight="1" x14ac:dyDescent="0.25">
      <c r="A264" s="353"/>
      <c r="B264" s="354"/>
      <c r="C264" s="354"/>
      <c r="D264" s="354"/>
      <c r="E264" s="368"/>
      <c r="F264" s="369"/>
    </row>
    <row r="265" spans="1:6" ht="12.75" customHeight="1" x14ac:dyDescent="0.25">
      <c r="A265" s="353"/>
      <c r="B265" s="354"/>
      <c r="C265" s="354"/>
      <c r="D265" s="354"/>
      <c r="E265" s="368"/>
      <c r="F265" s="369"/>
    </row>
    <row r="266" spans="1:6" ht="12.75" customHeight="1" x14ac:dyDescent="0.25">
      <c r="A266" s="353"/>
      <c r="B266" s="354"/>
      <c r="C266" s="354"/>
      <c r="D266" s="354"/>
      <c r="E266" s="368"/>
      <c r="F266" s="369"/>
    </row>
    <row r="267" spans="1:6" ht="12.75" customHeight="1" x14ac:dyDescent="0.25">
      <c r="A267" s="353"/>
      <c r="B267" s="354"/>
      <c r="C267" s="354"/>
      <c r="D267" s="354"/>
      <c r="E267" s="368"/>
      <c r="F267" s="369"/>
    </row>
    <row r="268" spans="1:6" ht="12.75" customHeight="1" x14ac:dyDescent="0.25">
      <c r="A268" s="353"/>
      <c r="B268" s="354"/>
      <c r="C268" s="354"/>
      <c r="D268" s="354"/>
      <c r="E268" s="368"/>
      <c r="F268" s="369"/>
    </row>
    <row r="269" spans="1:6" ht="12.75" customHeight="1" x14ac:dyDescent="0.25">
      <c r="A269" s="353"/>
      <c r="B269" s="354"/>
      <c r="C269" s="354"/>
      <c r="D269" s="354"/>
      <c r="E269" s="368"/>
      <c r="F269" s="369"/>
    </row>
    <row r="270" spans="1:6" ht="12.75" customHeight="1" x14ac:dyDescent="0.25">
      <c r="A270" s="353"/>
      <c r="B270" s="354"/>
      <c r="C270" s="354"/>
      <c r="D270" s="354"/>
      <c r="E270" s="368"/>
      <c r="F270" s="369"/>
    </row>
    <row r="271" spans="1:6" ht="12.75" customHeight="1" x14ac:dyDescent="0.25">
      <c r="A271" s="353"/>
      <c r="B271" s="354"/>
      <c r="C271" s="354"/>
      <c r="D271" s="354"/>
      <c r="E271" s="368"/>
      <c r="F271" s="369"/>
    </row>
    <row r="272" spans="1:6" ht="12.75" customHeight="1" x14ac:dyDescent="0.25">
      <c r="A272" s="353"/>
      <c r="B272" s="354"/>
      <c r="C272" s="354"/>
      <c r="D272" s="354"/>
      <c r="E272" s="368"/>
      <c r="F272" s="369"/>
    </row>
    <row r="273" spans="1:6" ht="12.75" customHeight="1" x14ac:dyDescent="0.25">
      <c r="A273" s="353"/>
      <c r="B273" s="354"/>
      <c r="C273" s="354"/>
      <c r="D273" s="354"/>
      <c r="E273" s="368"/>
      <c r="F273" s="369"/>
    </row>
    <row r="274" spans="1:6" ht="12.75" customHeight="1" x14ac:dyDescent="0.25">
      <c r="A274" s="353"/>
      <c r="B274" s="354"/>
      <c r="C274" s="354"/>
      <c r="D274" s="354"/>
      <c r="E274" s="368"/>
      <c r="F274" s="369"/>
    </row>
    <row r="275" spans="1:6" ht="12.75" customHeight="1" x14ac:dyDescent="0.25">
      <c r="A275" s="353"/>
      <c r="B275" s="354"/>
      <c r="C275" s="354"/>
      <c r="D275" s="354"/>
      <c r="E275" s="368"/>
      <c r="F275" s="369"/>
    </row>
    <row r="276" spans="1:6" ht="12.75" customHeight="1" x14ac:dyDescent="0.25">
      <c r="A276" s="353"/>
      <c r="B276" s="354"/>
      <c r="C276" s="354"/>
      <c r="D276" s="354"/>
      <c r="E276" s="368"/>
      <c r="F276" s="369"/>
    </row>
    <row r="277" spans="1:6" ht="12.75" customHeight="1" x14ac:dyDescent="0.25">
      <c r="A277" s="353"/>
      <c r="B277" s="354"/>
      <c r="C277" s="354"/>
      <c r="D277" s="354"/>
      <c r="E277" s="368"/>
      <c r="F277" s="369"/>
    </row>
    <row r="278" spans="1:6" ht="12.75" customHeight="1" x14ac:dyDescent="0.25">
      <c r="A278" s="353"/>
      <c r="B278" s="354"/>
      <c r="C278" s="354"/>
      <c r="D278" s="354"/>
      <c r="E278" s="368"/>
      <c r="F278" s="369"/>
    </row>
    <row r="279" spans="1:6" ht="12.75" customHeight="1" x14ac:dyDescent="0.25">
      <c r="A279" s="353"/>
      <c r="B279" s="354"/>
      <c r="C279" s="354"/>
      <c r="D279" s="354"/>
      <c r="E279" s="368"/>
      <c r="F279" s="369"/>
    </row>
    <row r="280" spans="1:6" ht="12.75" customHeight="1" x14ac:dyDescent="0.25">
      <c r="A280" s="353"/>
      <c r="B280" s="354"/>
      <c r="C280" s="354"/>
      <c r="D280" s="354"/>
      <c r="E280" s="368"/>
      <c r="F280" s="369"/>
    </row>
    <row r="281" spans="1:6" ht="12.75" customHeight="1" x14ac:dyDescent="0.25">
      <c r="A281" s="353"/>
      <c r="B281" s="354"/>
      <c r="C281" s="354"/>
      <c r="D281" s="354"/>
      <c r="E281" s="368"/>
      <c r="F281" s="369"/>
    </row>
    <row r="282" spans="1:6" ht="12.75" customHeight="1" x14ac:dyDescent="0.25">
      <c r="A282" s="353"/>
      <c r="B282" s="354"/>
      <c r="C282" s="354"/>
      <c r="D282" s="354"/>
      <c r="E282" s="368"/>
      <c r="F282" s="369"/>
    </row>
    <row r="283" spans="1:6" ht="12.75" customHeight="1" x14ac:dyDescent="0.25">
      <c r="A283" s="353"/>
      <c r="B283" s="354"/>
      <c r="C283" s="354"/>
      <c r="D283" s="354"/>
      <c r="E283" s="368"/>
      <c r="F283" s="369"/>
    </row>
    <row r="284" spans="1:6" ht="12.75" customHeight="1" x14ac:dyDescent="0.25">
      <c r="A284" s="353"/>
      <c r="B284" s="354"/>
      <c r="C284" s="354"/>
      <c r="D284" s="354"/>
      <c r="E284" s="368"/>
      <c r="F284" s="369"/>
    </row>
    <row r="285" spans="1:6" ht="12.75" customHeight="1" x14ac:dyDescent="0.25">
      <c r="A285" s="353"/>
      <c r="B285" s="354"/>
      <c r="C285" s="354"/>
      <c r="D285" s="354"/>
      <c r="E285" s="368"/>
      <c r="F285" s="369"/>
    </row>
    <row r="286" spans="1:6" ht="12.75" customHeight="1" x14ac:dyDescent="0.25">
      <c r="A286" s="353"/>
      <c r="B286" s="354"/>
      <c r="C286" s="354"/>
      <c r="D286" s="354"/>
      <c r="E286" s="368"/>
      <c r="F286" s="369"/>
    </row>
    <row r="287" spans="1:6" ht="12.75" customHeight="1" x14ac:dyDescent="0.25">
      <c r="A287" s="353"/>
      <c r="B287" s="354"/>
      <c r="C287" s="354"/>
      <c r="D287" s="354"/>
      <c r="E287" s="368"/>
      <c r="F287" s="369"/>
    </row>
    <row r="288" spans="1:6" ht="12.75" customHeight="1" x14ac:dyDescent="0.25">
      <c r="A288" s="353"/>
      <c r="B288" s="354"/>
      <c r="C288" s="354"/>
      <c r="D288" s="354"/>
      <c r="E288" s="368"/>
      <c r="F288" s="369"/>
    </row>
    <row r="289" spans="1:6" ht="12.75" customHeight="1" x14ac:dyDescent="0.25">
      <c r="A289" s="353"/>
      <c r="B289" s="354"/>
      <c r="C289" s="354"/>
      <c r="D289" s="354"/>
      <c r="E289" s="368"/>
      <c r="F289" s="369"/>
    </row>
    <row r="290" spans="1:6" ht="12.75" customHeight="1" x14ac:dyDescent="0.25">
      <c r="A290" s="353"/>
      <c r="B290" s="354"/>
      <c r="C290" s="354"/>
      <c r="D290" s="354"/>
      <c r="E290" s="368"/>
      <c r="F290" s="369"/>
    </row>
    <row r="291" spans="1:6" ht="12.75" customHeight="1" x14ac:dyDescent="0.25">
      <c r="A291" s="353"/>
      <c r="B291" s="354"/>
      <c r="C291" s="354"/>
      <c r="D291" s="354"/>
      <c r="E291" s="368"/>
      <c r="F291" s="369"/>
    </row>
    <row r="292" spans="1:6" ht="12.75" customHeight="1" x14ac:dyDescent="0.25">
      <c r="A292" s="353"/>
      <c r="B292" s="354"/>
      <c r="C292" s="354"/>
      <c r="D292" s="354"/>
      <c r="E292" s="368"/>
      <c r="F292" s="369"/>
    </row>
    <row r="293" spans="1:6" ht="12.75" customHeight="1" x14ac:dyDescent="0.25">
      <c r="A293" s="353"/>
      <c r="B293" s="354"/>
      <c r="C293" s="354"/>
      <c r="D293" s="354"/>
      <c r="E293" s="368"/>
      <c r="F293" s="369"/>
    </row>
    <row r="294" spans="1:6" ht="12.75" customHeight="1" x14ac:dyDescent="0.25">
      <c r="A294" s="353"/>
      <c r="B294" s="354"/>
      <c r="C294" s="354"/>
      <c r="D294" s="354"/>
      <c r="E294" s="368"/>
      <c r="F294" s="369"/>
    </row>
    <row r="295" spans="1:6" ht="12.75" customHeight="1" x14ac:dyDescent="0.25">
      <c r="A295" s="353"/>
      <c r="B295" s="354"/>
      <c r="C295" s="354"/>
      <c r="D295" s="354"/>
      <c r="E295" s="368"/>
      <c r="F295" s="369"/>
    </row>
    <row r="296" spans="1:6" ht="12.75" customHeight="1" x14ac:dyDescent="0.25">
      <c r="A296" s="353"/>
      <c r="B296" s="354"/>
      <c r="C296" s="354"/>
      <c r="D296" s="354"/>
      <c r="E296" s="368"/>
      <c r="F296" s="369"/>
    </row>
    <row r="297" spans="1:6" ht="12.75" customHeight="1" x14ac:dyDescent="0.25">
      <c r="A297" s="353"/>
      <c r="B297" s="354"/>
      <c r="C297" s="354"/>
      <c r="D297" s="354"/>
      <c r="E297" s="368"/>
      <c r="F297" s="369"/>
    </row>
    <row r="298" spans="1:6" ht="12.75" customHeight="1" x14ac:dyDescent="0.25">
      <c r="A298" s="353"/>
      <c r="B298" s="354"/>
      <c r="C298" s="354"/>
      <c r="D298" s="354"/>
      <c r="E298" s="368"/>
      <c r="F298" s="369"/>
    </row>
    <row r="299" spans="1:6" ht="12.75" customHeight="1" x14ac:dyDescent="0.25">
      <c r="A299" s="353"/>
      <c r="B299" s="354"/>
      <c r="C299" s="354"/>
      <c r="D299" s="354"/>
      <c r="E299" s="368"/>
      <c r="F299" s="369"/>
    </row>
    <row r="300" spans="1:6" ht="12.75" customHeight="1" x14ac:dyDescent="0.25">
      <c r="A300" s="353"/>
      <c r="B300" s="354"/>
      <c r="C300" s="354"/>
      <c r="D300" s="354"/>
      <c r="E300" s="368"/>
      <c r="F300" s="369"/>
    </row>
    <row r="301" spans="1:6" ht="12.75" customHeight="1" x14ac:dyDescent="0.25">
      <c r="A301" s="353"/>
      <c r="B301" s="354"/>
      <c r="C301" s="354"/>
      <c r="D301" s="354"/>
      <c r="E301" s="368"/>
      <c r="F301" s="369"/>
    </row>
    <row r="302" spans="1:6" ht="12.75" customHeight="1" x14ac:dyDescent="0.25">
      <c r="A302" s="353"/>
      <c r="B302" s="354"/>
      <c r="C302" s="354"/>
      <c r="D302" s="354"/>
      <c r="E302" s="368"/>
      <c r="F302" s="369"/>
    </row>
    <row r="303" spans="1:6" ht="12.75" customHeight="1" x14ac:dyDescent="0.25">
      <c r="A303" s="353"/>
      <c r="B303" s="354"/>
      <c r="C303" s="354"/>
      <c r="D303" s="354"/>
      <c r="E303" s="368"/>
      <c r="F303" s="369"/>
    </row>
    <row r="304" spans="1:6" ht="12.75" customHeight="1" x14ac:dyDescent="0.25">
      <c r="A304" s="353"/>
      <c r="B304" s="354"/>
      <c r="C304" s="354"/>
      <c r="D304" s="354"/>
      <c r="E304" s="368"/>
      <c r="F304" s="369"/>
    </row>
    <row r="305" spans="1:6" ht="12.75" customHeight="1" x14ac:dyDescent="0.25">
      <c r="A305" s="353"/>
      <c r="B305" s="354"/>
      <c r="C305" s="354"/>
      <c r="D305" s="354"/>
      <c r="E305" s="368"/>
      <c r="F305" s="369"/>
    </row>
    <row r="306" spans="1:6" ht="12.75" customHeight="1" x14ac:dyDescent="0.25">
      <c r="A306" s="353"/>
      <c r="B306" s="354"/>
      <c r="C306" s="354"/>
      <c r="D306" s="354"/>
      <c r="E306" s="368"/>
      <c r="F306" s="369"/>
    </row>
    <row r="307" spans="1:6" ht="12.75" customHeight="1" x14ac:dyDescent="0.25">
      <c r="A307" s="353"/>
      <c r="B307" s="354"/>
      <c r="C307" s="354"/>
      <c r="D307" s="354"/>
      <c r="E307" s="368"/>
      <c r="F307" s="369"/>
    </row>
    <row r="308" spans="1:6" ht="12.75" customHeight="1" x14ac:dyDescent="0.25">
      <c r="A308" s="353"/>
      <c r="B308" s="354"/>
      <c r="C308" s="354"/>
      <c r="D308" s="354"/>
      <c r="E308" s="368"/>
      <c r="F308" s="369"/>
    </row>
    <row r="309" spans="1:6" ht="12.75" customHeight="1" x14ac:dyDescent="0.25">
      <c r="A309" s="353"/>
      <c r="B309" s="354"/>
      <c r="C309" s="354"/>
      <c r="D309" s="354"/>
      <c r="E309" s="368"/>
      <c r="F309" s="369"/>
    </row>
    <row r="310" spans="1:6" ht="12.75" customHeight="1" x14ac:dyDescent="0.25">
      <c r="A310" s="353"/>
      <c r="B310" s="354"/>
      <c r="C310" s="354"/>
      <c r="D310" s="354"/>
      <c r="E310" s="368"/>
      <c r="F310" s="369"/>
    </row>
    <row r="311" spans="1:6" ht="12.75" customHeight="1" x14ac:dyDescent="0.25">
      <c r="A311" s="353"/>
      <c r="B311" s="354"/>
      <c r="C311" s="354"/>
      <c r="D311" s="354"/>
      <c r="E311" s="368"/>
      <c r="F311" s="369"/>
    </row>
    <row r="312" spans="1:6" ht="12.75" customHeight="1" x14ac:dyDescent="0.25">
      <c r="A312" s="353"/>
      <c r="B312" s="354"/>
      <c r="C312" s="354"/>
      <c r="D312" s="354"/>
      <c r="E312" s="368"/>
      <c r="F312" s="369"/>
    </row>
    <row r="313" spans="1:6" ht="12.75" customHeight="1" x14ac:dyDescent="0.25">
      <c r="A313" s="353"/>
      <c r="B313" s="354"/>
      <c r="C313" s="354"/>
      <c r="D313" s="354"/>
      <c r="E313" s="368"/>
      <c r="F313" s="369"/>
    </row>
    <row r="314" spans="1:6" ht="12.75" customHeight="1" x14ac:dyDescent="0.25">
      <c r="A314" s="353"/>
      <c r="B314" s="354"/>
      <c r="C314" s="354"/>
      <c r="D314" s="354"/>
      <c r="E314" s="368"/>
      <c r="F314" s="369"/>
    </row>
    <row r="315" spans="1:6" ht="12.75" customHeight="1" x14ac:dyDescent="0.25">
      <c r="A315" s="353"/>
      <c r="B315" s="354"/>
      <c r="C315" s="354"/>
      <c r="D315" s="354"/>
      <c r="E315" s="368"/>
      <c r="F315" s="369"/>
    </row>
    <row r="316" spans="1:6" ht="12.75" customHeight="1" x14ac:dyDescent="0.25">
      <c r="A316" s="353"/>
      <c r="B316" s="354"/>
      <c r="C316" s="354"/>
      <c r="D316" s="354"/>
      <c r="E316" s="368"/>
      <c r="F316" s="369"/>
    </row>
    <row r="317" spans="1:6" ht="12.75" customHeight="1" x14ac:dyDescent="0.25">
      <c r="A317" s="353"/>
      <c r="B317" s="354"/>
      <c r="C317" s="354"/>
      <c r="D317" s="354"/>
      <c r="E317" s="368"/>
      <c r="F317" s="369"/>
    </row>
    <row r="318" spans="1:6" ht="12.75" customHeight="1" x14ac:dyDescent="0.25">
      <c r="A318" s="353"/>
      <c r="B318" s="354"/>
      <c r="C318" s="354"/>
      <c r="D318" s="354"/>
      <c r="E318" s="368"/>
      <c r="F318" s="369"/>
    </row>
    <row r="319" spans="1:6" ht="12.75" customHeight="1" x14ac:dyDescent="0.25">
      <c r="A319" s="353"/>
      <c r="B319" s="354"/>
      <c r="C319" s="354"/>
      <c r="D319" s="354"/>
      <c r="E319" s="368"/>
      <c r="F319" s="369"/>
    </row>
    <row r="320" spans="1:6" ht="12.75" customHeight="1" x14ac:dyDescent="0.25">
      <c r="A320" s="353"/>
      <c r="B320" s="354"/>
      <c r="C320" s="354"/>
      <c r="D320" s="354"/>
      <c r="E320" s="368"/>
      <c r="F320" s="369"/>
    </row>
    <row r="321" spans="1:6" ht="12.75" customHeight="1" x14ac:dyDescent="0.25">
      <c r="A321" s="353"/>
      <c r="B321" s="354"/>
      <c r="C321" s="354"/>
      <c r="D321" s="354"/>
      <c r="E321" s="368"/>
      <c r="F321" s="369"/>
    </row>
    <row r="322" spans="1:6" ht="12.75" customHeight="1" x14ac:dyDescent="0.25">
      <c r="A322" s="353"/>
      <c r="B322" s="354"/>
      <c r="C322" s="354"/>
      <c r="D322" s="354"/>
      <c r="E322" s="368"/>
      <c r="F322" s="369"/>
    </row>
    <row r="323" spans="1:6" ht="12.75" customHeight="1" x14ac:dyDescent="0.25">
      <c r="A323" s="353"/>
      <c r="B323" s="354"/>
      <c r="C323" s="354"/>
      <c r="D323" s="354"/>
      <c r="E323" s="368"/>
      <c r="F323" s="369"/>
    </row>
    <row r="324" spans="1:6" ht="12.75" customHeight="1" x14ac:dyDescent="0.25">
      <c r="A324" s="353"/>
      <c r="B324" s="354"/>
      <c r="C324" s="354"/>
      <c r="D324" s="354"/>
      <c r="E324" s="368"/>
      <c r="F324" s="369"/>
    </row>
    <row r="325" spans="1:6" ht="12.75" customHeight="1" x14ac:dyDescent="0.25">
      <c r="A325" s="353"/>
      <c r="B325" s="354"/>
      <c r="C325" s="354"/>
      <c r="D325" s="354"/>
      <c r="E325" s="368"/>
      <c r="F325" s="369"/>
    </row>
    <row r="326" spans="1:6" ht="12.75" customHeight="1" x14ac:dyDescent="0.25">
      <c r="A326" s="353"/>
      <c r="B326" s="354"/>
      <c r="C326" s="354"/>
      <c r="D326" s="354"/>
      <c r="E326" s="368"/>
      <c r="F326" s="369"/>
    </row>
    <row r="327" spans="1:6" ht="12.75" customHeight="1" x14ac:dyDescent="0.25">
      <c r="A327" s="353"/>
      <c r="B327" s="354"/>
      <c r="C327" s="354"/>
      <c r="D327" s="354"/>
      <c r="E327" s="368"/>
      <c r="F327" s="369"/>
    </row>
    <row r="328" spans="1:6" ht="12.75" customHeight="1" x14ac:dyDescent="0.25">
      <c r="A328" s="353"/>
      <c r="B328" s="354"/>
      <c r="C328" s="354"/>
      <c r="D328" s="354"/>
      <c r="E328" s="368"/>
      <c r="F328" s="369"/>
    </row>
    <row r="329" spans="1:6" ht="12.75" customHeight="1" x14ac:dyDescent="0.25">
      <c r="A329" s="353"/>
      <c r="B329" s="354"/>
      <c r="C329" s="354"/>
      <c r="D329" s="354"/>
      <c r="E329" s="368"/>
      <c r="F329" s="369"/>
    </row>
    <row r="330" spans="1:6" ht="12.75" customHeight="1" x14ac:dyDescent="0.25">
      <c r="A330" s="353"/>
      <c r="B330" s="354"/>
      <c r="C330" s="354"/>
      <c r="D330" s="354"/>
      <c r="E330" s="368"/>
      <c r="F330" s="369"/>
    </row>
    <row r="331" spans="1:6" ht="12.75" customHeight="1" x14ac:dyDescent="0.25">
      <c r="A331" s="353"/>
      <c r="B331" s="354"/>
      <c r="C331" s="354"/>
      <c r="D331" s="354"/>
      <c r="E331" s="368"/>
      <c r="F331" s="369"/>
    </row>
    <row r="332" spans="1:6" ht="12.75" customHeight="1" x14ac:dyDescent="0.25">
      <c r="A332" s="353"/>
      <c r="B332" s="354"/>
      <c r="C332" s="354"/>
      <c r="D332" s="354"/>
      <c r="E332" s="368"/>
      <c r="F332" s="369"/>
    </row>
    <row r="333" spans="1:6" ht="12.75" customHeight="1" x14ac:dyDescent="0.25">
      <c r="A333" s="353"/>
      <c r="B333" s="354"/>
      <c r="C333" s="354"/>
      <c r="D333" s="354"/>
      <c r="E333" s="368"/>
      <c r="F333" s="369"/>
    </row>
    <row r="334" spans="1:6" ht="12.75" customHeight="1" x14ac:dyDescent="0.25">
      <c r="A334" s="353"/>
      <c r="B334" s="354"/>
      <c r="C334" s="354"/>
      <c r="D334" s="354"/>
      <c r="E334" s="368"/>
      <c r="F334" s="369"/>
    </row>
    <row r="335" spans="1:6" ht="12.75" customHeight="1" x14ac:dyDescent="0.25">
      <c r="A335" s="353"/>
      <c r="B335" s="354"/>
      <c r="C335" s="354"/>
      <c r="D335" s="354"/>
      <c r="E335" s="368"/>
      <c r="F335" s="369"/>
    </row>
    <row r="336" spans="1:6" ht="12.75" customHeight="1" x14ac:dyDescent="0.25">
      <c r="A336" s="353"/>
      <c r="B336" s="354"/>
      <c r="C336" s="354"/>
      <c r="D336" s="354"/>
      <c r="E336" s="368"/>
      <c r="F336" s="369"/>
    </row>
    <row r="337" spans="1:6" ht="12.75" customHeight="1" x14ac:dyDescent="0.25">
      <c r="A337" s="353"/>
      <c r="B337" s="354"/>
      <c r="C337" s="354"/>
      <c r="D337" s="354"/>
      <c r="E337" s="368"/>
      <c r="F337" s="369"/>
    </row>
    <row r="338" spans="1:6" ht="12.75" customHeight="1" x14ac:dyDescent="0.25">
      <c r="A338" s="353"/>
      <c r="B338" s="354"/>
      <c r="C338" s="354"/>
      <c r="D338" s="354"/>
      <c r="E338" s="368"/>
      <c r="F338" s="369"/>
    </row>
    <row r="339" spans="1:6" ht="12.75" customHeight="1" x14ac:dyDescent="0.25">
      <c r="A339" s="353"/>
      <c r="B339" s="354"/>
      <c r="C339" s="354"/>
      <c r="D339" s="354"/>
      <c r="E339" s="368"/>
      <c r="F339" s="369"/>
    </row>
    <row r="340" spans="1:6" ht="12.75" customHeight="1" x14ac:dyDescent="0.25">
      <c r="A340" s="353"/>
      <c r="B340" s="354"/>
      <c r="C340" s="354"/>
      <c r="D340" s="354"/>
      <c r="E340" s="368"/>
      <c r="F340" s="369"/>
    </row>
    <row r="341" spans="1:6" ht="12.75" customHeight="1" x14ac:dyDescent="0.25">
      <c r="A341" s="353"/>
      <c r="B341" s="354"/>
      <c r="C341" s="354"/>
      <c r="D341" s="354"/>
      <c r="E341" s="368"/>
      <c r="F341" s="369"/>
    </row>
    <row r="342" spans="1:6" ht="12.75" customHeight="1" x14ac:dyDescent="0.25">
      <c r="A342" s="353"/>
      <c r="B342" s="354"/>
      <c r="C342" s="354"/>
      <c r="D342" s="354"/>
      <c r="E342" s="368"/>
      <c r="F342" s="369"/>
    </row>
    <row r="343" spans="1:6" ht="12.75" customHeight="1" x14ac:dyDescent="0.25">
      <c r="A343" s="353"/>
      <c r="B343" s="354"/>
      <c r="C343" s="354"/>
      <c r="D343" s="354"/>
      <c r="E343" s="368"/>
      <c r="F343" s="369"/>
    </row>
    <row r="344" spans="1:6" ht="12.75" customHeight="1" x14ac:dyDescent="0.25">
      <c r="A344" s="353"/>
      <c r="B344" s="354"/>
      <c r="C344" s="354"/>
      <c r="D344" s="354"/>
      <c r="E344" s="368"/>
      <c r="F344" s="369"/>
    </row>
    <row r="345" spans="1:6" ht="12.75" customHeight="1" x14ac:dyDescent="0.25">
      <c r="A345" s="353"/>
      <c r="B345" s="354"/>
      <c r="C345" s="354"/>
      <c r="D345" s="354"/>
      <c r="E345" s="368"/>
      <c r="F345" s="369"/>
    </row>
    <row r="346" spans="1:6" ht="12.75" customHeight="1" x14ac:dyDescent="0.25">
      <c r="A346" s="353"/>
      <c r="B346" s="354"/>
      <c r="C346" s="354"/>
      <c r="D346" s="354"/>
      <c r="E346" s="368"/>
      <c r="F346" s="369"/>
    </row>
    <row r="347" spans="1:6" ht="12.75" customHeight="1" x14ac:dyDescent="0.25">
      <c r="A347" s="353"/>
      <c r="B347" s="354"/>
      <c r="C347" s="354"/>
      <c r="D347" s="354"/>
      <c r="E347" s="368"/>
      <c r="F347" s="369"/>
    </row>
    <row r="348" spans="1:6" ht="12.75" customHeight="1" x14ac:dyDescent="0.25">
      <c r="A348" s="353"/>
      <c r="B348" s="354"/>
      <c r="C348" s="354"/>
      <c r="D348" s="354"/>
      <c r="E348" s="368"/>
      <c r="F348" s="369"/>
    </row>
    <row r="349" spans="1:6" ht="12.75" customHeight="1" x14ac:dyDescent="0.25">
      <c r="A349" s="353"/>
      <c r="B349" s="354"/>
      <c r="C349" s="354"/>
      <c r="D349" s="354"/>
      <c r="E349" s="368"/>
      <c r="F349" s="369"/>
    </row>
    <row r="350" spans="1:6" ht="12.75" customHeight="1" x14ac:dyDescent="0.25">
      <c r="A350" s="353"/>
      <c r="B350" s="354"/>
      <c r="C350" s="354"/>
      <c r="D350" s="354"/>
      <c r="E350" s="368"/>
      <c r="F350" s="369"/>
    </row>
    <row r="351" spans="1:6" ht="12.75" customHeight="1" x14ac:dyDescent="0.25">
      <c r="A351" s="353"/>
      <c r="B351" s="354"/>
      <c r="C351" s="354"/>
      <c r="D351" s="354"/>
      <c r="E351" s="368"/>
      <c r="F351" s="369"/>
    </row>
    <row r="352" spans="1:6" ht="12.75" customHeight="1" x14ac:dyDescent="0.25">
      <c r="A352" s="353"/>
      <c r="B352" s="354"/>
      <c r="C352" s="354"/>
      <c r="D352" s="354"/>
      <c r="E352" s="368"/>
      <c r="F352" s="369"/>
    </row>
    <row r="353" spans="1:6" ht="12.75" customHeight="1" x14ac:dyDescent="0.25">
      <c r="A353" s="353"/>
      <c r="B353" s="354"/>
      <c r="C353" s="354"/>
      <c r="D353" s="354"/>
      <c r="E353" s="368"/>
      <c r="F353" s="369"/>
    </row>
    <row r="354" spans="1:6" ht="12.75" customHeight="1" x14ac:dyDescent="0.25">
      <c r="A354" s="353"/>
      <c r="B354" s="354"/>
      <c r="C354" s="354"/>
      <c r="D354" s="354"/>
      <c r="E354" s="368"/>
      <c r="F354" s="369"/>
    </row>
    <row r="355" spans="1:6" ht="12.75" customHeight="1" x14ac:dyDescent="0.25">
      <c r="A355" s="353"/>
      <c r="B355" s="354"/>
      <c r="C355" s="354"/>
      <c r="D355" s="354"/>
      <c r="E355" s="368"/>
      <c r="F355" s="369"/>
    </row>
    <row r="356" spans="1:6" ht="12.75" customHeight="1" x14ac:dyDescent="0.25">
      <c r="A356" s="353"/>
      <c r="B356" s="354"/>
      <c r="C356" s="354"/>
      <c r="D356" s="354"/>
      <c r="E356" s="368"/>
      <c r="F356" s="369"/>
    </row>
    <row r="357" spans="1:6" ht="12.75" customHeight="1" x14ac:dyDescent="0.25">
      <c r="A357" s="353"/>
      <c r="B357" s="354"/>
      <c r="C357" s="354"/>
      <c r="D357" s="354"/>
      <c r="E357" s="368"/>
      <c r="F357" s="369"/>
    </row>
    <row r="358" spans="1:6" ht="12.75" customHeight="1" x14ac:dyDescent="0.25">
      <c r="A358" s="353"/>
      <c r="B358" s="354"/>
      <c r="C358" s="354"/>
      <c r="D358" s="354"/>
      <c r="E358" s="368"/>
      <c r="F358" s="369"/>
    </row>
    <row r="359" spans="1:6" ht="12.75" customHeight="1" x14ac:dyDescent="0.25">
      <c r="A359" s="353"/>
      <c r="B359" s="354"/>
      <c r="C359" s="354"/>
      <c r="D359" s="354"/>
      <c r="E359" s="368"/>
      <c r="F359" s="369"/>
    </row>
    <row r="360" spans="1:6" ht="12.75" customHeight="1" x14ac:dyDescent="0.25">
      <c r="A360" s="353"/>
      <c r="B360" s="354"/>
      <c r="C360" s="354"/>
      <c r="D360" s="354"/>
      <c r="E360" s="368"/>
      <c r="F360" s="369"/>
    </row>
    <row r="361" spans="1:6" ht="12.75" customHeight="1" x14ac:dyDescent="0.25">
      <c r="A361" s="353"/>
      <c r="B361" s="354"/>
      <c r="C361" s="354"/>
      <c r="D361" s="354"/>
      <c r="E361" s="368"/>
      <c r="F361" s="369"/>
    </row>
    <row r="362" spans="1:6" ht="12.75" customHeight="1" x14ac:dyDescent="0.25">
      <c r="A362" s="353"/>
      <c r="B362" s="354"/>
      <c r="C362" s="354"/>
      <c r="D362" s="354"/>
      <c r="E362" s="368"/>
      <c r="F362" s="369"/>
    </row>
    <row r="363" spans="1:6" ht="12.75" customHeight="1" x14ac:dyDescent="0.25">
      <c r="A363" s="353"/>
      <c r="B363" s="354"/>
      <c r="C363" s="354"/>
      <c r="D363" s="354"/>
      <c r="E363" s="368"/>
      <c r="F363" s="369"/>
    </row>
    <row r="364" spans="1:6" ht="12.75" customHeight="1" x14ac:dyDescent="0.25">
      <c r="A364" s="353"/>
      <c r="B364" s="354"/>
      <c r="C364" s="354"/>
      <c r="D364" s="354"/>
      <c r="E364" s="368"/>
      <c r="F364" s="369"/>
    </row>
    <row r="365" spans="1:6" ht="12.75" customHeight="1" x14ac:dyDescent="0.25">
      <c r="A365" s="353"/>
      <c r="B365" s="354"/>
      <c r="C365" s="354"/>
      <c r="D365" s="354"/>
      <c r="E365" s="368"/>
      <c r="F365" s="369"/>
    </row>
    <row r="366" spans="1:6" ht="12.75" customHeight="1" x14ac:dyDescent="0.25">
      <c r="A366" s="353"/>
      <c r="B366" s="354"/>
      <c r="C366" s="354"/>
      <c r="D366" s="354"/>
      <c r="E366" s="368"/>
      <c r="F366" s="369"/>
    </row>
    <row r="367" spans="1:6" ht="12.75" customHeight="1" x14ac:dyDescent="0.25">
      <c r="A367" s="353"/>
      <c r="B367" s="354"/>
      <c r="C367" s="354"/>
      <c r="D367" s="354"/>
      <c r="E367" s="368"/>
      <c r="F367" s="369"/>
    </row>
    <row r="368" spans="1:6" ht="12.75" customHeight="1" x14ac:dyDescent="0.25">
      <c r="A368" s="353"/>
      <c r="B368" s="354"/>
      <c r="C368" s="354"/>
      <c r="D368" s="354"/>
      <c r="E368" s="368"/>
      <c r="F368" s="369"/>
    </row>
    <row r="369" spans="1:6" ht="12.75" customHeight="1" x14ac:dyDescent="0.25">
      <c r="A369" s="353"/>
      <c r="B369" s="354"/>
      <c r="C369" s="354"/>
      <c r="D369" s="354"/>
      <c r="E369" s="368"/>
      <c r="F369" s="369"/>
    </row>
    <row r="370" spans="1:6" ht="12.75" customHeight="1" x14ac:dyDescent="0.25">
      <c r="A370" s="353"/>
      <c r="B370" s="354"/>
      <c r="C370" s="354"/>
      <c r="D370" s="354"/>
      <c r="E370" s="368"/>
      <c r="F370" s="369"/>
    </row>
    <row r="371" spans="1:6" ht="12.75" customHeight="1" x14ac:dyDescent="0.25">
      <c r="A371" s="353"/>
      <c r="B371" s="354"/>
      <c r="C371" s="354"/>
      <c r="D371" s="354"/>
      <c r="E371" s="368"/>
      <c r="F371" s="369"/>
    </row>
    <row r="372" spans="1:6" ht="12.75" customHeight="1" x14ac:dyDescent="0.25">
      <c r="A372" s="353"/>
      <c r="B372" s="354"/>
      <c r="C372" s="354"/>
      <c r="D372" s="354"/>
      <c r="E372" s="368"/>
      <c r="F372" s="369"/>
    </row>
    <row r="373" spans="1:6" ht="12.75" customHeight="1" x14ac:dyDescent="0.25">
      <c r="A373" s="353"/>
      <c r="B373" s="354"/>
      <c r="C373" s="354"/>
      <c r="D373" s="354"/>
      <c r="E373" s="368"/>
      <c r="F373" s="369"/>
    </row>
    <row r="374" spans="1:6" ht="12.75" customHeight="1" x14ac:dyDescent="0.25">
      <c r="A374" s="353"/>
      <c r="B374" s="354"/>
      <c r="C374" s="354"/>
      <c r="D374" s="354"/>
      <c r="E374" s="368"/>
      <c r="F374" s="369"/>
    </row>
    <row r="375" spans="1:6" ht="12.75" customHeight="1" x14ac:dyDescent="0.25">
      <c r="A375" s="353"/>
      <c r="B375" s="354"/>
      <c r="C375" s="354"/>
      <c r="D375" s="354"/>
      <c r="E375" s="368"/>
      <c r="F375" s="369"/>
    </row>
    <row r="376" spans="1:6" ht="12.75" customHeight="1" x14ac:dyDescent="0.25">
      <c r="A376" s="353"/>
      <c r="B376" s="354"/>
      <c r="C376" s="354"/>
      <c r="D376" s="354"/>
      <c r="E376" s="368"/>
      <c r="F376" s="369"/>
    </row>
    <row r="377" spans="1:6" ht="12.75" customHeight="1" x14ac:dyDescent="0.25">
      <c r="A377" s="353"/>
      <c r="B377" s="354"/>
      <c r="C377" s="354"/>
      <c r="D377" s="354"/>
      <c r="E377" s="368"/>
      <c r="F377" s="369"/>
    </row>
    <row r="378" spans="1:6" ht="12.75" customHeight="1" x14ac:dyDescent="0.25">
      <c r="A378" s="353"/>
      <c r="B378" s="354"/>
      <c r="C378" s="354"/>
      <c r="D378" s="354"/>
      <c r="E378" s="368"/>
      <c r="F378" s="369"/>
    </row>
    <row r="379" spans="1:6" ht="12.75" customHeight="1" x14ac:dyDescent="0.25">
      <c r="A379" s="353"/>
      <c r="B379" s="354"/>
      <c r="C379" s="354"/>
      <c r="D379" s="354"/>
      <c r="E379" s="368"/>
      <c r="F379" s="369"/>
    </row>
    <row r="380" spans="1:6" ht="12.75" customHeight="1" x14ac:dyDescent="0.25">
      <c r="A380" s="353"/>
      <c r="B380" s="354"/>
      <c r="C380" s="354"/>
      <c r="D380" s="354"/>
      <c r="E380" s="368"/>
      <c r="F380" s="369"/>
    </row>
    <row r="381" spans="1:6" ht="12.75" customHeight="1" x14ac:dyDescent="0.25">
      <c r="A381" s="353"/>
      <c r="B381" s="354"/>
      <c r="C381" s="354"/>
      <c r="D381" s="354"/>
      <c r="E381" s="368"/>
      <c r="F381" s="369"/>
    </row>
    <row r="382" spans="1:6" ht="12.75" customHeight="1" x14ac:dyDescent="0.25">
      <c r="A382" s="353"/>
      <c r="B382" s="354"/>
      <c r="C382" s="354"/>
      <c r="D382" s="354"/>
      <c r="E382" s="368"/>
      <c r="F382" s="369"/>
    </row>
    <row r="383" spans="1:6" ht="12.75" customHeight="1" x14ac:dyDescent="0.25">
      <c r="A383" s="353"/>
      <c r="B383" s="354"/>
      <c r="C383" s="354"/>
      <c r="D383" s="354"/>
      <c r="E383" s="368"/>
      <c r="F383" s="369"/>
    </row>
    <row r="384" spans="1:6" ht="12.75" customHeight="1" x14ac:dyDescent="0.25">
      <c r="A384" s="353"/>
      <c r="B384" s="354"/>
      <c r="C384" s="354"/>
      <c r="D384" s="354"/>
      <c r="E384" s="368"/>
      <c r="F384" s="369"/>
    </row>
    <row r="385" spans="1:6" ht="12.75" customHeight="1" x14ac:dyDescent="0.25">
      <c r="A385" s="353"/>
      <c r="B385" s="354"/>
      <c r="C385" s="354"/>
      <c r="D385" s="354"/>
      <c r="E385" s="368"/>
      <c r="F385" s="369"/>
    </row>
    <row r="386" spans="1:6" ht="12.75" customHeight="1" x14ac:dyDescent="0.25">
      <c r="A386" s="353"/>
      <c r="B386" s="354"/>
      <c r="C386" s="354"/>
      <c r="D386" s="354"/>
      <c r="E386" s="368"/>
      <c r="F386" s="369"/>
    </row>
    <row r="387" spans="1:6" ht="12.75" customHeight="1" x14ac:dyDescent="0.25">
      <c r="A387" s="353"/>
      <c r="B387" s="354"/>
      <c r="C387" s="354"/>
      <c r="D387" s="354"/>
      <c r="E387" s="368"/>
      <c r="F387" s="369"/>
    </row>
    <row r="388" spans="1:6" ht="12.75" customHeight="1" x14ac:dyDescent="0.25">
      <c r="A388" s="353"/>
      <c r="B388" s="354"/>
      <c r="C388" s="354"/>
      <c r="D388" s="354"/>
      <c r="E388" s="368"/>
      <c r="F388" s="369"/>
    </row>
    <row r="389" spans="1:6" ht="12.75" customHeight="1" x14ac:dyDescent="0.25">
      <c r="A389" s="353"/>
      <c r="B389" s="354"/>
      <c r="C389" s="354"/>
      <c r="D389" s="354"/>
      <c r="E389" s="368"/>
      <c r="F389" s="369"/>
    </row>
    <row r="390" spans="1:6" ht="12.75" customHeight="1" x14ac:dyDescent="0.25">
      <c r="A390" s="353"/>
      <c r="B390" s="354"/>
      <c r="C390" s="354"/>
      <c r="D390" s="354"/>
      <c r="E390" s="368"/>
      <c r="F390" s="369"/>
    </row>
    <row r="391" spans="1:6" ht="12.75" customHeight="1" x14ac:dyDescent="0.25">
      <c r="A391" s="353"/>
      <c r="B391" s="354"/>
      <c r="C391" s="354"/>
      <c r="D391" s="354"/>
      <c r="E391" s="368"/>
      <c r="F391" s="369"/>
    </row>
    <row r="392" spans="1:6" ht="12.75" customHeight="1" x14ac:dyDescent="0.25">
      <c r="A392" s="353"/>
      <c r="B392" s="354"/>
      <c r="C392" s="354"/>
      <c r="D392" s="354"/>
      <c r="E392" s="368"/>
      <c r="F392" s="369"/>
    </row>
    <row r="393" spans="1:6" ht="12.75" customHeight="1" x14ac:dyDescent="0.25">
      <c r="A393" s="353"/>
      <c r="B393" s="354"/>
      <c r="C393" s="354"/>
      <c r="D393" s="354"/>
      <c r="E393" s="368"/>
      <c r="F393" s="369"/>
    </row>
    <row r="394" spans="1:6" ht="12.75" customHeight="1" x14ac:dyDescent="0.25">
      <c r="A394" s="353"/>
      <c r="B394" s="354"/>
      <c r="C394" s="354"/>
      <c r="D394" s="354"/>
      <c r="E394" s="368"/>
      <c r="F394" s="369"/>
    </row>
    <row r="395" spans="1:6" ht="12.75" customHeight="1" x14ac:dyDescent="0.25">
      <c r="A395" s="353"/>
      <c r="B395" s="354"/>
      <c r="C395" s="354"/>
      <c r="D395" s="354"/>
      <c r="E395" s="368"/>
      <c r="F395" s="369"/>
    </row>
    <row r="396" spans="1:6" ht="12.75" customHeight="1" x14ac:dyDescent="0.25">
      <c r="A396" s="353"/>
      <c r="B396" s="354"/>
      <c r="C396" s="354"/>
      <c r="D396" s="354"/>
      <c r="E396" s="368"/>
      <c r="F396" s="369"/>
    </row>
    <row r="397" spans="1:6" ht="12.75" customHeight="1" x14ac:dyDescent="0.25">
      <c r="A397" s="353"/>
      <c r="B397" s="354"/>
      <c r="C397" s="354"/>
      <c r="D397" s="354"/>
      <c r="E397" s="368"/>
      <c r="F397" s="369"/>
    </row>
    <row r="398" spans="1:6" ht="12.75" customHeight="1" x14ac:dyDescent="0.25">
      <c r="A398" s="353"/>
      <c r="B398" s="354"/>
      <c r="C398" s="354"/>
      <c r="D398" s="354"/>
      <c r="E398" s="368"/>
      <c r="F398" s="369"/>
    </row>
    <row r="399" spans="1:6" ht="12.75" customHeight="1" x14ac:dyDescent="0.25">
      <c r="A399" s="353"/>
      <c r="B399" s="354"/>
      <c r="C399" s="354"/>
      <c r="D399" s="354"/>
      <c r="E399" s="368"/>
      <c r="F399" s="369"/>
    </row>
    <row r="400" spans="1:6" ht="12.75" customHeight="1" x14ac:dyDescent="0.25">
      <c r="A400" s="353"/>
      <c r="B400" s="354"/>
      <c r="C400" s="354"/>
      <c r="D400" s="354"/>
      <c r="E400" s="368"/>
      <c r="F400" s="369"/>
    </row>
    <row r="401" spans="1:6" ht="12.75" customHeight="1" x14ac:dyDescent="0.25">
      <c r="A401" s="353"/>
      <c r="B401" s="354"/>
      <c r="C401" s="354"/>
      <c r="D401" s="354"/>
      <c r="E401" s="368"/>
      <c r="F401" s="369"/>
    </row>
    <row r="402" spans="1:6" ht="12.75" customHeight="1" x14ac:dyDescent="0.25">
      <c r="A402" s="353"/>
      <c r="B402" s="354"/>
      <c r="C402" s="354"/>
      <c r="D402" s="354"/>
      <c r="E402" s="368"/>
      <c r="F402" s="369"/>
    </row>
    <row r="403" spans="1:6" ht="12.75" customHeight="1" x14ac:dyDescent="0.25">
      <c r="A403" s="353"/>
      <c r="B403" s="354"/>
      <c r="C403" s="354"/>
      <c r="D403" s="354"/>
      <c r="E403" s="368"/>
      <c r="F403" s="369"/>
    </row>
    <row r="404" spans="1:6" ht="12.75" customHeight="1" x14ac:dyDescent="0.25">
      <c r="A404" s="353"/>
      <c r="B404" s="354"/>
      <c r="C404" s="354"/>
      <c r="D404" s="354"/>
      <c r="E404" s="368"/>
      <c r="F404" s="369"/>
    </row>
    <row r="405" spans="1:6" ht="12.75" customHeight="1" x14ac:dyDescent="0.25">
      <c r="A405" s="353"/>
      <c r="B405" s="354"/>
      <c r="C405" s="354"/>
      <c r="D405" s="354"/>
      <c r="E405" s="368"/>
      <c r="F405" s="369"/>
    </row>
    <row r="406" spans="1:6" ht="12.75" customHeight="1" x14ac:dyDescent="0.25">
      <c r="A406" s="353"/>
      <c r="B406" s="354"/>
      <c r="C406" s="354"/>
      <c r="D406" s="354"/>
      <c r="E406" s="368"/>
      <c r="F406" s="369"/>
    </row>
    <row r="407" spans="1:6" ht="12.75" customHeight="1" x14ac:dyDescent="0.25">
      <c r="A407" s="353"/>
      <c r="B407" s="354"/>
      <c r="C407" s="354"/>
      <c r="D407" s="354"/>
      <c r="E407" s="368"/>
      <c r="F407" s="369"/>
    </row>
    <row r="408" spans="1:6" ht="12.75" customHeight="1" x14ac:dyDescent="0.25">
      <c r="A408" s="353"/>
      <c r="B408" s="354"/>
      <c r="C408" s="354"/>
      <c r="D408" s="354"/>
      <c r="E408" s="368"/>
      <c r="F408" s="369"/>
    </row>
    <row r="409" spans="1:6" ht="12.75" customHeight="1" x14ac:dyDescent="0.25">
      <c r="A409" s="353"/>
      <c r="B409" s="354"/>
      <c r="C409" s="354"/>
      <c r="D409" s="354"/>
      <c r="E409" s="368"/>
      <c r="F409" s="369"/>
    </row>
    <row r="410" spans="1:6" ht="12.75" customHeight="1" x14ac:dyDescent="0.25">
      <c r="A410" s="353"/>
      <c r="B410" s="354"/>
      <c r="C410" s="354"/>
      <c r="D410" s="354"/>
      <c r="E410" s="368"/>
      <c r="F410" s="369"/>
    </row>
    <row r="411" spans="1:6" ht="12.75" customHeight="1" x14ac:dyDescent="0.25">
      <c r="A411" s="353"/>
      <c r="B411" s="354"/>
      <c r="C411" s="354"/>
      <c r="D411" s="354"/>
      <c r="E411" s="368"/>
      <c r="F411" s="369"/>
    </row>
    <row r="412" spans="1:6" ht="12.75" customHeight="1" x14ac:dyDescent="0.25">
      <c r="A412" s="353"/>
      <c r="B412" s="354"/>
      <c r="C412" s="354"/>
      <c r="D412" s="354"/>
      <c r="E412" s="368"/>
      <c r="F412" s="369"/>
    </row>
    <row r="413" spans="1:6" ht="12.75" customHeight="1" x14ac:dyDescent="0.25">
      <c r="A413" s="353"/>
      <c r="B413" s="354"/>
      <c r="C413" s="354"/>
      <c r="D413" s="354"/>
      <c r="E413" s="368"/>
      <c r="F413" s="369"/>
    </row>
    <row r="414" spans="1:6" ht="12.75" customHeight="1" x14ac:dyDescent="0.25">
      <c r="A414" s="353"/>
      <c r="B414" s="354"/>
      <c r="C414" s="354"/>
      <c r="D414" s="354"/>
      <c r="E414" s="368"/>
      <c r="F414" s="369"/>
    </row>
    <row r="415" spans="1:6" ht="12.75" customHeight="1" x14ac:dyDescent="0.25">
      <c r="A415" s="353"/>
      <c r="B415" s="354"/>
      <c r="C415" s="354"/>
      <c r="D415" s="354"/>
      <c r="E415" s="368"/>
      <c r="F415" s="369"/>
    </row>
    <row r="416" spans="1:6" ht="12.75" customHeight="1" x14ac:dyDescent="0.25">
      <c r="A416" s="353"/>
      <c r="B416" s="354"/>
      <c r="C416" s="354"/>
      <c r="D416" s="354"/>
      <c r="E416" s="368"/>
      <c r="F416" s="369"/>
    </row>
    <row r="417" spans="1:6" ht="12.75" customHeight="1" x14ac:dyDescent="0.25">
      <c r="A417" s="353"/>
      <c r="B417" s="354"/>
      <c r="C417" s="354"/>
      <c r="D417" s="354"/>
      <c r="E417" s="368"/>
      <c r="F417" s="369"/>
    </row>
    <row r="418" spans="1:6" ht="12.75" customHeight="1" x14ac:dyDescent="0.25">
      <c r="A418" s="353"/>
      <c r="B418" s="354"/>
      <c r="C418" s="354"/>
      <c r="D418" s="354"/>
      <c r="E418" s="368"/>
      <c r="F418" s="369"/>
    </row>
    <row r="419" spans="1:6" ht="12.75" customHeight="1" x14ac:dyDescent="0.25">
      <c r="A419" s="353"/>
      <c r="B419" s="354"/>
      <c r="C419" s="354"/>
      <c r="D419" s="354"/>
      <c r="E419" s="368"/>
      <c r="F419" s="369"/>
    </row>
    <row r="420" spans="1:6" ht="12.75" customHeight="1" x14ac:dyDescent="0.25">
      <c r="A420" s="353"/>
      <c r="B420" s="354"/>
      <c r="C420" s="354"/>
      <c r="D420" s="354"/>
      <c r="E420" s="368"/>
      <c r="F420" s="369"/>
    </row>
    <row r="421" spans="1:6" ht="12.75" customHeight="1" x14ac:dyDescent="0.25">
      <c r="A421" s="353"/>
      <c r="B421" s="354"/>
      <c r="C421" s="354"/>
      <c r="D421" s="354"/>
      <c r="E421" s="368"/>
      <c r="F421" s="369"/>
    </row>
    <row r="422" spans="1:6" ht="12.75" customHeight="1" x14ac:dyDescent="0.25">
      <c r="A422" s="353"/>
      <c r="B422" s="354"/>
      <c r="C422" s="354"/>
      <c r="D422" s="354"/>
      <c r="E422" s="368"/>
      <c r="F422" s="369"/>
    </row>
    <row r="423" spans="1:6" ht="12.75" customHeight="1" x14ac:dyDescent="0.25">
      <c r="A423" s="353"/>
      <c r="B423" s="354"/>
      <c r="C423" s="354"/>
      <c r="D423" s="354"/>
      <c r="E423" s="368"/>
      <c r="F423" s="369"/>
    </row>
    <row r="424" spans="1:6" ht="12.75" customHeight="1" x14ac:dyDescent="0.25">
      <c r="A424" s="353"/>
      <c r="B424" s="354"/>
      <c r="C424" s="354"/>
      <c r="D424" s="354"/>
      <c r="E424" s="368"/>
      <c r="F424" s="369"/>
    </row>
    <row r="425" spans="1:6" ht="12.75" customHeight="1" x14ac:dyDescent="0.25">
      <c r="A425" s="353"/>
      <c r="B425" s="354"/>
      <c r="C425" s="354"/>
      <c r="D425" s="354"/>
      <c r="E425" s="368"/>
      <c r="F425" s="369"/>
    </row>
    <row r="426" spans="1:6" ht="12.75" customHeight="1" x14ac:dyDescent="0.25">
      <c r="A426" s="353"/>
      <c r="B426" s="354"/>
      <c r="C426" s="354"/>
      <c r="D426" s="354"/>
      <c r="E426" s="368"/>
      <c r="F426" s="369"/>
    </row>
    <row r="427" spans="1:6" ht="12.75" customHeight="1" x14ac:dyDescent="0.25">
      <c r="A427" s="353"/>
      <c r="B427" s="354"/>
      <c r="C427" s="354"/>
      <c r="D427" s="354"/>
      <c r="E427" s="368"/>
      <c r="F427" s="369"/>
    </row>
    <row r="428" spans="1:6" ht="12.75" customHeight="1" x14ac:dyDescent="0.25">
      <c r="A428" s="353"/>
      <c r="B428" s="354"/>
      <c r="C428" s="354"/>
      <c r="D428" s="354"/>
      <c r="E428" s="368"/>
      <c r="F428" s="369"/>
    </row>
    <row r="429" spans="1:6" ht="12.75" customHeight="1" x14ac:dyDescent="0.25">
      <c r="A429" s="353"/>
      <c r="B429" s="354"/>
      <c r="C429" s="354"/>
      <c r="D429" s="354"/>
      <c r="E429" s="368"/>
      <c r="F429" s="369"/>
    </row>
    <row r="430" spans="1:6" ht="12.75" customHeight="1" x14ac:dyDescent="0.25">
      <c r="A430" s="353"/>
      <c r="B430" s="354"/>
      <c r="C430" s="354"/>
      <c r="D430" s="354"/>
      <c r="E430" s="368"/>
      <c r="F430" s="369"/>
    </row>
    <row r="431" spans="1:6" ht="12.75" customHeight="1" x14ac:dyDescent="0.25">
      <c r="A431" s="353"/>
      <c r="B431" s="354"/>
      <c r="C431" s="354"/>
      <c r="D431" s="354"/>
      <c r="E431" s="368"/>
      <c r="F431" s="369"/>
    </row>
    <row r="432" spans="1:6" ht="12.75" customHeight="1" x14ac:dyDescent="0.25">
      <c r="A432" s="353"/>
      <c r="B432" s="354"/>
      <c r="C432" s="354"/>
      <c r="D432" s="354"/>
      <c r="E432" s="368"/>
      <c r="F432" s="369"/>
    </row>
    <row r="433" spans="1:6" ht="12.75" customHeight="1" x14ac:dyDescent="0.25">
      <c r="A433" s="353"/>
      <c r="B433" s="354"/>
      <c r="C433" s="354"/>
      <c r="D433" s="354"/>
      <c r="E433" s="368"/>
      <c r="F433" s="369"/>
    </row>
    <row r="434" spans="1:6" ht="12.75" customHeight="1" x14ac:dyDescent="0.25">
      <c r="A434" s="353"/>
      <c r="B434" s="354"/>
      <c r="C434" s="354"/>
      <c r="D434" s="354"/>
      <c r="E434" s="368"/>
      <c r="F434" s="369"/>
    </row>
    <row r="435" spans="1:6" ht="12.75" customHeight="1" x14ac:dyDescent="0.25">
      <c r="A435" s="353"/>
      <c r="B435" s="354"/>
      <c r="C435" s="354"/>
      <c r="D435" s="354"/>
      <c r="E435" s="368"/>
      <c r="F435" s="369"/>
    </row>
    <row r="436" spans="1:6" ht="12.75" customHeight="1" x14ac:dyDescent="0.25">
      <c r="A436" s="353"/>
      <c r="B436" s="354"/>
      <c r="C436" s="354"/>
      <c r="D436" s="354"/>
      <c r="E436" s="368"/>
      <c r="F436" s="369"/>
    </row>
    <row r="437" spans="1:6" ht="12.75" customHeight="1" x14ac:dyDescent="0.25">
      <c r="A437" s="353"/>
      <c r="B437" s="354"/>
      <c r="C437" s="354"/>
      <c r="D437" s="354"/>
      <c r="E437" s="368"/>
      <c r="F437" s="369"/>
    </row>
    <row r="438" spans="1:6" ht="12.75" customHeight="1" x14ac:dyDescent="0.25">
      <c r="A438" s="353"/>
      <c r="B438" s="354"/>
      <c r="C438" s="354"/>
      <c r="D438" s="354"/>
      <c r="E438" s="368"/>
      <c r="F438" s="369"/>
    </row>
    <row r="439" spans="1:6" ht="12.75" customHeight="1" x14ac:dyDescent="0.25">
      <c r="A439" s="353"/>
      <c r="B439" s="354"/>
      <c r="C439" s="354"/>
      <c r="D439" s="354"/>
      <c r="E439" s="368"/>
      <c r="F439" s="369"/>
    </row>
    <row r="440" spans="1:6" ht="12.75" customHeight="1" x14ac:dyDescent="0.25">
      <c r="A440" s="353"/>
      <c r="B440" s="354"/>
      <c r="C440" s="354"/>
      <c r="D440" s="354"/>
      <c r="E440" s="368"/>
      <c r="F440" s="369"/>
    </row>
    <row r="441" spans="1:6" ht="12.75" customHeight="1" x14ac:dyDescent="0.25">
      <c r="A441" s="353"/>
      <c r="B441" s="354"/>
      <c r="C441" s="354"/>
      <c r="D441" s="354"/>
      <c r="E441" s="368"/>
      <c r="F441" s="369"/>
    </row>
    <row r="442" spans="1:6" ht="12.75" customHeight="1" x14ac:dyDescent="0.25">
      <c r="A442" s="353"/>
      <c r="B442" s="354"/>
      <c r="C442" s="354"/>
      <c r="D442" s="354"/>
      <c r="E442" s="368"/>
      <c r="F442" s="369"/>
    </row>
    <row r="443" spans="1:6" ht="12.75" customHeight="1" x14ac:dyDescent="0.25">
      <c r="A443" s="353"/>
      <c r="B443" s="354"/>
      <c r="C443" s="354"/>
      <c r="D443" s="354"/>
      <c r="E443" s="368"/>
      <c r="F443" s="369"/>
    </row>
    <row r="444" spans="1:6" ht="12.75" customHeight="1" x14ac:dyDescent="0.25">
      <c r="A444" s="353"/>
      <c r="B444" s="354"/>
      <c r="C444" s="354"/>
      <c r="D444" s="354"/>
      <c r="E444" s="368"/>
      <c r="F444" s="369"/>
    </row>
    <row r="445" spans="1:6" ht="12.75" customHeight="1" x14ac:dyDescent="0.25">
      <c r="A445" s="353"/>
      <c r="B445" s="354"/>
      <c r="C445" s="354"/>
      <c r="D445" s="354"/>
      <c r="E445" s="368"/>
      <c r="F445" s="369"/>
    </row>
    <row r="446" spans="1:6" ht="12.75" customHeight="1" x14ac:dyDescent="0.25">
      <c r="A446" s="353"/>
      <c r="B446" s="354"/>
      <c r="C446" s="354"/>
      <c r="D446" s="354"/>
      <c r="E446" s="368"/>
      <c r="F446" s="369"/>
    </row>
    <row r="447" spans="1:6" ht="12.75" customHeight="1" x14ac:dyDescent="0.25">
      <c r="A447" s="353"/>
      <c r="B447" s="354"/>
      <c r="C447" s="354"/>
      <c r="D447" s="354"/>
      <c r="E447" s="368"/>
      <c r="F447" s="369"/>
    </row>
    <row r="448" spans="1:6" ht="12.75" customHeight="1" x14ac:dyDescent="0.25">
      <c r="A448" s="353"/>
      <c r="B448" s="354"/>
      <c r="C448" s="354"/>
      <c r="D448" s="354"/>
      <c r="E448" s="368"/>
      <c r="F448" s="369"/>
    </row>
    <row r="449" spans="1:6" ht="12.75" customHeight="1" x14ac:dyDescent="0.25">
      <c r="A449" s="353"/>
      <c r="B449" s="354"/>
      <c r="C449" s="354"/>
      <c r="D449" s="354"/>
      <c r="E449" s="368"/>
      <c r="F449" s="369"/>
    </row>
    <row r="450" spans="1:6" ht="12.75" customHeight="1" x14ac:dyDescent="0.25">
      <c r="A450" s="353"/>
      <c r="B450" s="354"/>
      <c r="C450" s="354"/>
      <c r="D450" s="354"/>
      <c r="E450" s="368"/>
      <c r="F450" s="369"/>
    </row>
    <row r="451" spans="1:6" ht="12.75" customHeight="1" x14ac:dyDescent="0.25">
      <c r="A451" s="353"/>
      <c r="B451" s="354"/>
      <c r="C451" s="354"/>
      <c r="D451" s="354"/>
      <c r="E451" s="368"/>
      <c r="F451" s="369"/>
    </row>
    <row r="452" spans="1:6" ht="12.75" customHeight="1" x14ac:dyDescent="0.25">
      <c r="A452" s="353"/>
      <c r="B452" s="354"/>
      <c r="C452" s="354"/>
      <c r="D452" s="354"/>
      <c r="E452" s="368"/>
      <c r="F452" s="369"/>
    </row>
    <row r="453" spans="1:6" ht="12.75" customHeight="1" x14ac:dyDescent="0.25">
      <c r="A453" s="353"/>
      <c r="B453" s="354"/>
      <c r="C453" s="354"/>
      <c r="D453" s="354"/>
      <c r="E453" s="368"/>
      <c r="F453" s="369"/>
    </row>
    <row r="454" spans="1:6" ht="12.75" customHeight="1" x14ac:dyDescent="0.25">
      <c r="A454" s="353"/>
      <c r="B454" s="354"/>
      <c r="C454" s="354"/>
      <c r="D454" s="354"/>
      <c r="E454" s="368"/>
      <c r="F454" s="369"/>
    </row>
    <row r="455" spans="1:6" ht="12.75" customHeight="1" x14ac:dyDescent="0.25">
      <c r="A455" s="353"/>
      <c r="B455" s="354"/>
      <c r="C455" s="354"/>
      <c r="D455" s="354"/>
      <c r="E455" s="368"/>
      <c r="F455" s="369"/>
    </row>
    <row r="456" spans="1:6" ht="12.75" customHeight="1" x14ac:dyDescent="0.25">
      <c r="A456" s="353"/>
      <c r="B456" s="354"/>
      <c r="C456" s="354"/>
      <c r="D456" s="354"/>
      <c r="E456" s="368"/>
      <c r="F456" s="369"/>
    </row>
    <row r="457" spans="1:6" ht="12.75" customHeight="1" x14ac:dyDescent="0.25">
      <c r="A457" s="353"/>
      <c r="B457" s="354"/>
      <c r="C457" s="354"/>
      <c r="D457" s="354"/>
      <c r="E457" s="368"/>
      <c r="F457" s="369"/>
    </row>
    <row r="458" spans="1:6" ht="12.75" customHeight="1" x14ac:dyDescent="0.25">
      <c r="A458" s="353"/>
      <c r="B458" s="354"/>
      <c r="C458" s="354"/>
      <c r="D458" s="354"/>
      <c r="E458" s="368"/>
      <c r="F458" s="369"/>
    </row>
    <row r="459" spans="1:6" ht="12.75" customHeight="1" x14ac:dyDescent="0.25">
      <c r="A459" s="353"/>
      <c r="B459" s="354"/>
      <c r="C459" s="354"/>
      <c r="D459" s="354"/>
      <c r="E459" s="368"/>
      <c r="F459" s="369"/>
    </row>
    <row r="460" spans="1:6" ht="12.75" customHeight="1" x14ac:dyDescent="0.25">
      <c r="A460" s="353"/>
      <c r="B460" s="354"/>
      <c r="C460" s="354"/>
      <c r="D460" s="354"/>
      <c r="E460" s="368"/>
      <c r="F460" s="369"/>
    </row>
    <row r="461" spans="1:6" ht="12.75" customHeight="1" x14ac:dyDescent="0.25">
      <c r="A461" s="353"/>
      <c r="B461" s="354"/>
      <c r="C461" s="354"/>
      <c r="D461" s="354"/>
      <c r="E461" s="368"/>
      <c r="F461" s="369"/>
    </row>
    <row r="462" spans="1:6" ht="12.75" customHeight="1" x14ac:dyDescent="0.25">
      <c r="A462" s="353"/>
      <c r="B462" s="354"/>
      <c r="C462" s="354"/>
      <c r="D462" s="354"/>
      <c r="E462" s="368"/>
      <c r="F462" s="369"/>
    </row>
    <row r="463" spans="1:6" ht="12.75" customHeight="1" x14ac:dyDescent="0.25">
      <c r="A463" s="353"/>
      <c r="B463" s="354"/>
      <c r="C463" s="354"/>
      <c r="D463" s="354"/>
      <c r="E463" s="368"/>
      <c r="F463" s="369"/>
    </row>
    <row r="464" spans="1:6" ht="12.75" customHeight="1" x14ac:dyDescent="0.25">
      <c r="A464" s="353"/>
      <c r="B464" s="354"/>
      <c r="C464" s="354"/>
      <c r="D464" s="354"/>
      <c r="E464" s="368"/>
      <c r="F464" s="369"/>
    </row>
    <row r="465" spans="1:6" ht="12.75" customHeight="1" x14ac:dyDescent="0.25">
      <c r="A465" s="353"/>
      <c r="B465" s="354"/>
      <c r="C465" s="354"/>
      <c r="D465" s="354"/>
      <c r="E465" s="368"/>
      <c r="F465" s="369"/>
    </row>
    <row r="466" spans="1:6" ht="12.75" customHeight="1" x14ac:dyDescent="0.25">
      <c r="A466" s="353"/>
      <c r="B466" s="354"/>
      <c r="C466" s="354"/>
      <c r="D466" s="354"/>
      <c r="E466" s="368"/>
      <c r="F466" s="369"/>
    </row>
    <row r="467" spans="1:6" ht="12.75" customHeight="1" x14ac:dyDescent="0.25">
      <c r="A467" s="353"/>
      <c r="B467" s="354"/>
      <c r="C467" s="354"/>
      <c r="D467" s="354"/>
      <c r="E467" s="368"/>
      <c r="F467" s="369"/>
    </row>
    <row r="468" spans="1:6" ht="12.75" customHeight="1" x14ac:dyDescent="0.25">
      <c r="A468" s="353"/>
      <c r="B468" s="354"/>
      <c r="C468" s="354"/>
      <c r="D468" s="354"/>
      <c r="E468" s="368"/>
      <c r="F468" s="369"/>
    </row>
    <row r="469" spans="1:6" ht="12.75" customHeight="1" x14ac:dyDescent="0.25">
      <c r="A469" s="353"/>
      <c r="B469" s="354"/>
      <c r="C469" s="354"/>
      <c r="D469" s="354"/>
      <c r="E469" s="368"/>
      <c r="F469" s="369"/>
    </row>
    <row r="470" spans="1:6" ht="12.75" customHeight="1" x14ac:dyDescent="0.25">
      <c r="A470" s="353"/>
      <c r="B470" s="354"/>
      <c r="C470" s="354"/>
      <c r="D470" s="354"/>
      <c r="E470" s="368"/>
      <c r="F470" s="369"/>
    </row>
    <row r="471" spans="1:6" ht="12.75" customHeight="1" x14ac:dyDescent="0.25">
      <c r="A471" s="353"/>
      <c r="B471" s="354"/>
      <c r="C471" s="354"/>
      <c r="D471" s="354"/>
      <c r="E471" s="368"/>
      <c r="F471" s="369"/>
    </row>
    <row r="472" spans="1:6" ht="12.75" customHeight="1" x14ac:dyDescent="0.25">
      <c r="A472" s="353"/>
      <c r="B472" s="354"/>
      <c r="C472" s="354"/>
      <c r="D472" s="354"/>
      <c r="E472" s="368"/>
      <c r="F472" s="369"/>
    </row>
    <row r="473" spans="1:6" ht="12.75" customHeight="1" x14ac:dyDescent="0.25">
      <c r="A473" s="353"/>
      <c r="B473" s="354"/>
      <c r="C473" s="354"/>
      <c r="D473" s="354"/>
      <c r="E473" s="368"/>
      <c r="F473" s="369"/>
    </row>
    <row r="474" spans="1:6" ht="12.75" customHeight="1" x14ac:dyDescent="0.25">
      <c r="A474" s="353"/>
      <c r="B474" s="354"/>
      <c r="C474" s="354"/>
      <c r="D474" s="354"/>
      <c r="E474" s="368"/>
      <c r="F474" s="369"/>
    </row>
    <row r="475" spans="1:6" ht="12.75" customHeight="1" x14ac:dyDescent="0.25">
      <c r="A475" s="353"/>
      <c r="B475" s="354"/>
      <c r="C475" s="354"/>
      <c r="D475" s="354"/>
      <c r="E475" s="368"/>
      <c r="F475" s="369"/>
    </row>
    <row r="476" spans="1:6" ht="12.75" customHeight="1" x14ac:dyDescent="0.25">
      <c r="A476" s="353"/>
      <c r="B476" s="354"/>
      <c r="C476" s="354"/>
      <c r="D476" s="354"/>
      <c r="E476" s="368"/>
      <c r="F476" s="369"/>
    </row>
    <row r="477" spans="1:6" ht="12.75" customHeight="1" x14ac:dyDescent="0.25">
      <c r="A477" s="353"/>
      <c r="B477" s="354"/>
      <c r="C477" s="354"/>
      <c r="D477" s="354"/>
      <c r="E477" s="368"/>
      <c r="F477" s="369"/>
    </row>
    <row r="478" spans="1:6" ht="12.75" customHeight="1" x14ac:dyDescent="0.25">
      <c r="A478" s="353"/>
      <c r="B478" s="354"/>
      <c r="C478" s="354"/>
      <c r="D478" s="354"/>
      <c r="E478" s="368"/>
      <c r="F478" s="369"/>
    </row>
    <row r="479" spans="1:6" ht="12.75" customHeight="1" x14ac:dyDescent="0.25">
      <c r="A479" s="353"/>
      <c r="B479" s="354"/>
      <c r="C479" s="354"/>
      <c r="D479" s="354"/>
      <c r="E479" s="368"/>
      <c r="F479" s="369"/>
    </row>
    <row r="480" spans="1:6" ht="12.75" customHeight="1" x14ac:dyDescent="0.25">
      <c r="A480" s="353"/>
      <c r="B480" s="354"/>
      <c r="C480" s="354"/>
      <c r="D480" s="354"/>
      <c r="E480" s="368"/>
      <c r="F480" s="369"/>
    </row>
    <row r="481" spans="1:6" ht="12.75" customHeight="1" x14ac:dyDescent="0.25">
      <c r="A481" s="353"/>
      <c r="B481" s="354"/>
      <c r="C481" s="354"/>
      <c r="D481" s="354"/>
      <c r="E481" s="368"/>
      <c r="F481" s="369"/>
    </row>
    <row r="482" spans="1:6" ht="12.75" customHeight="1" x14ac:dyDescent="0.25">
      <c r="A482" s="353"/>
      <c r="B482" s="354"/>
      <c r="C482" s="354"/>
      <c r="D482" s="354"/>
      <c r="E482" s="368"/>
      <c r="F482" s="369"/>
    </row>
    <row r="483" spans="1:6" ht="12.75" customHeight="1" x14ac:dyDescent="0.25">
      <c r="A483" s="353"/>
      <c r="B483" s="354"/>
      <c r="C483" s="354"/>
      <c r="D483" s="354"/>
      <c r="E483" s="368"/>
      <c r="F483" s="369"/>
    </row>
    <row r="484" spans="1:6" ht="12.75" customHeight="1" x14ac:dyDescent="0.25">
      <c r="A484" s="353"/>
      <c r="B484" s="354"/>
      <c r="C484" s="354"/>
      <c r="D484" s="354"/>
      <c r="E484" s="368"/>
      <c r="F484" s="369"/>
    </row>
    <row r="485" spans="1:6" ht="12.75" customHeight="1" x14ac:dyDescent="0.25">
      <c r="A485" s="353"/>
      <c r="B485" s="354"/>
      <c r="C485" s="354"/>
      <c r="D485" s="354"/>
      <c r="E485" s="368"/>
      <c r="F485" s="369"/>
    </row>
    <row r="486" spans="1:6" ht="12.75" customHeight="1" x14ac:dyDescent="0.25">
      <c r="A486" s="353"/>
      <c r="B486" s="354"/>
      <c r="C486" s="354"/>
      <c r="D486" s="354"/>
      <c r="E486" s="368"/>
      <c r="F486" s="369"/>
    </row>
    <row r="487" spans="1:6" ht="12.75" customHeight="1" x14ac:dyDescent="0.25">
      <c r="A487" s="353"/>
      <c r="B487" s="354"/>
      <c r="C487" s="354"/>
      <c r="D487" s="354"/>
      <c r="E487" s="368"/>
      <c r="F487" s="369"/>
    </row>
    <row r="488" spans="1:6" ht="12.75" customHeight="1" x14ac:dyDescent="0.25">
      <c r="A488" s="353"/>
      <c r="B488" s="354"/>
      <c r="C488" s="354"/>
      <c r="D488" s="354"/>
      <c r="E488" s="368"/>
      <c r="F488" s="369"/>
    </row>
    <row r="489" spans="1:6" ht="12.75" customHeight="1" x14ac:dyDescent="0.25">
      <c r="A489" s="353"/>
      <c r="B489" s="354"/>
      <c r="C489" s="354"/>
      <c r="D489" s="354"/>
      <c r="E489" s="368"/>
      <c r="F489" s="369"/>
    </row>
    <row r="490" spans="1:6" ht="12.75" customHeight="1" x14ac:dyDescent="0.25">
      <c r="A490" s="353"/>
      <c r="B490" s="354"/>
      <c r="C490" s="354"/>
      <c r="D490" s="354"/>
      <c r="E490" s="368"/>
      <c r="F490" s="369"/>
    </row>
    <row r="491" spans="1:6" ht="12.75" customHeight="1" x14ac:dyDescent="0.25">
      <c r="A491" s="353"/>
      <c r="B491" s="354"/>
      <c r="C491" s="354"/>
      <c r="D491" s="354"/>
      <c r="E491" s="368"/>
      <c r="F491" s="369"/>
    </row>
    <row r="492" spans="1:6" ht="12.75" customHeight="1" x14ac:dyDescent="0.25">
      <c r="A492" s="353"/>
      <c r="B492" s="354"/>
      <c r="C492" s="354"/>
      <c r="D492" s="354"/>
      <c r="E492" s="368"/>
      <c r="F492" s="369"/>
    </row>
    <row r="493" spans="1:6" ht="12.75" customHeight="1" x14ac:dyDescent="0.25">
      <c r="A493" s="353"/>
      <c r="B493" s="354"/>
      <c r="C493" s="354"/>
      <c r="D493" s="354"/>
      <c r="E493" s="368"/>
      <c r="F493" s="369"/>
    </row>
    <row r="494" spans="1:6" ht="12.75" customHeight="1" x14ac:dyDescent="0.25">
      <c r="A494" s="353"/>
      <c r="B494" s="354"/>
      <c r="C494" s="354"/>
      <c r="D494" s="354"/>
      <c r="E494" s="368"/>
      <c r="F494" s="369"/>
    </row>
    <row r="495" spans="1:6" ht="12.75" customHeight="1" x14ac:dyDescent="0.25">
      <c r="A495" s="353"/>
      <c r="B495" s="354"/>
      <c r="C495" s="354"/>
      <c r="D495" s="354"/>
      <c r="E495" s="368"/>
      <c r="F495" s="369"/>
    </row>
    <row r="496" spans="1:6" ht="12.75" customHeight="1" x14ac:dyDescent="0.25">
      <c r="A496" s="353"/>
      <c r="B496" s="354"/>
      <c r="C496" s="354"/>
      <c r="D496" s="354"/>
      <c r="E496" s="368"/>
      <c r="F496" s="369"/>
    </row>
    <row r="497" spans="1:6" ht="12.75" customHeight="1" x14ac:dyDescent="0.25">
      <c r="A497" s="353"/>
      <c r="B497" s="354"/>
      <c r="C497" s="354"/>
      <c r="D497" s="354"/>
      <c r="E497" s="368"/>
      <c r="F497" s="369"/>
    </row>
    <row r="498" spans="1:6" ht="12.75" customHeight="1" x14ac:dyDescent="0.25">
      <c r="A498" s="353"/>
      <c r="B498" s="354"/>
      <c r="C498" s="354"/>
      <c r="D498" s="354"/>
      <c r="E498" s="368"/>
      <c r="F498" s="369"/>
    </row>
    <row r="499" spans="1:6" ht="12.75" customHeight="1" x14ac:dyDescent="0.25">
      <c r="A499" s="353"/>
      <c r="B499" s="354"/>
      <c r="C499" s="354"/>
      <c r="D499" s="354"/>
      <c r="E499" s="368"/>
      <c r="F499" s="369"/>
    </row>
    <row r="500" spans="1:6" ht="12.75" customHeight="1" x14ac:dyDescent="0.25">
      <c r="A500" s="353"/>
      <c r="B500" s="354"/>
      <c r="C500" s="354"/>
      <c r="D500" s="354"/>
      <c r="E500" s="368"/>
      <c r="F500" s="369"/>
    </row>
    <row r="501" spans="1:6" ht="12.75" customHeight="1" x14ac:dyDescent="0.25">
      <c r="A501" s="353"/>
      <c r="B501" s="354"/>
      <c r="C501" s="354"/>
      <c r="D501" s="354"/>
      <c r="E501" s="368"/>
      <c r="F501" s="369"/>
    </row>
    <row r="502" spans="1:6" ht="12.75" customHeight="1" x14ac:dyDescent="0.25">
      <c r="A502" s="353"/>
      <c r="B502" s="354"/>
      <c r="C502" s="354"/>
      <c r="D502" s="354"/>
      <c r="E502" s="368"/>
      <c r="F502" s="369"/>
    </row>
    <row r="503" spans="1:6" ht="12.75" customHeight="1" x14ac:dyDescent="0.25">
      <c r="A503" s="353"/>
      <c r="B503" s="354"/>
      <c r="C503" s="354"/>
      <c r="D503" s="354"/>
      <c r="E503" s="368"/>
      <c r="F503" s="369"/>
    </row>
    <row r="504" spans="1:6" ht="12.75" customHeight="1" x14ac:dyDescent="0.25">
      <c r="A504" s="353"/>
      <c r="B504" s="354"/>
      <c r="C504" s="354"/>
      <c r="D504" s="354"/>
      <c r="E504" s="368"/>
      <c r="F504" s="369"/>
    </row>
    <row r="505" spans="1:6" ht="12.75" customHeight="1" x14ac:dyDescent="0.25">
      <c r="A505" s="353"/>
      <c r="B505" s="354"/>
      <c r="C505" s="354"/>
      <c r="D505" s="354"/>
      <c r="E505" s="368"/>
      <c r="F505" s="369"/>
    </row>
    <row r="506" spans="1:6" ht="12.75" customHeight="1" x14ac:dyDescent="0.25">
      <c r="A506" s="353"/>
      <c r="B506" s="354"/>
      <c r="C506" s="354"/>
      <c r="D506" s="354"/>
      <c r="E506" s="368"/>
      <c r="F506" s="369"/>
    </row>
    <row r="507" spans="1:6" ht="12.75" customHeight="1" x14ac:dyDescent="0.25">
      <c r="A507" s="353"/>
      <c r="B507" s="354"/>
      <c r="C507" s="354"/>
      <c r="D507" s="354"/>
      <c r="E507" s="368"/>
      <c r="F507" s="369"/>
    </row>
    <row r="508" spans="1:6" ht="12.75" customHeight="1" x14ac:dyDescent="0.25">
      <c r="A508" s="353"/>
      <c r="B508" s="354"/>
      <c r="C508" s="354"/>
      <c r="D508" s="354"/>
      <c r="E508" s="368"/>
      <c r="F508" s="369"/>
    </row>
    <row r="509" spans="1:6" ht="12.75" customHeight="1" x14ac:dyDescent="0.25">
      <c r="A509" s="353"/>
      <c r="B509" s="354"/>
      <c r="C509" s="354"/>
      <c r="D509" s="354"/>
      <c r="E509" s="368"/>
      <c r="F509" s="369"/>
    </row>
    <row r="510" spans="1:6" ht="12.75" customHeight="1" x14ac:dyDescent="0.25">
      <c r="A510" s="353"/>
      <c r="B510" s="354"/>
      <c r="C510" s="354"/>
      <c r="D510" s="354"/>
      <c r="E510" s="368"/>
      <c r="F510" s="369"/>
    </row>
    <row r="511" spans="1:6" ht="12.75" customHeight="1" x14ac:dyDescent="0.25">
      <c r="A511" s="353"/>
      <c r="B511" s="354"/>
      <c r="C511" s="354"/>
      <c r="D511" s="354"/>
      <c r="E511" s="368"/>
      <c r="F511" s="369"/>
    </row>
    <row r="512" spans="1:6" ht="12.75" customHeight="1" x14ac:dyDescent="0.25">
      <c r="A512" s="353"/>
      <c r="B512" s="354"/>
      <c r="C512" s="354"/>
      <c r="D512" s="354"/>
      <c r="E512" s="368"/>
      <c r="F512" s="369"/>
    </row>
    <row r="513" spans="1:6" ht="12.75" customHeight="1" x14ac:dyDescent="0.25">
      <c r="A513" s="353"/>
      <c r="B513" s="354"/>
      <c r="C513" s="354"/>
      <c r="D513" s="354"/>
      <c r="E513" s="368"/>
      <c r="F513" s="369"/>
    </row>
    <row r="514" spans="1:6" ht="12.75" customHeight="1" x14ac:dyDescent="0.25">
      <c r="A514" s="353"/>
      <c r="B514" s="354"/>
      <c r="C514" s="354"/>
      <c r="D514" s="354"/>
      <c r="E514" s="368"/>
      <c r="F514" s="369"/>
    </row>
    <row r="515" spans="1:6" ht="12.75" customHeight="1" x14ac:dyDescent="0.25">
      <c r="A515" s="353"/>
      <c r="B515" s="354"/>
      <c r="C515" s="354"/>
      <c r="D515" s="354"/>
      <c r="E515" s="368"/>
      <c r="F515" s="369"/>
    </row>
    <row r="516" spans="1:6" ht="12.75" customHeight="1" x14ac:dyDescent="0.25">
      <c r="A516" s="353"/>
      <c r="B516" s="354"/>
      <c r="C516" s="354"/>
      <c r="D516" s="354"/>
      <c r="E516" s="368"/>
      <c r="F516" s="369"/>
    </row>
    <row r="517" spans="1:6" ht="12.75" customHeight="1" x14ac:dyDescent="0.25">
      <c r="A517" s="353"/>
      <c r="B517" s="354"/>
      <c r="C517" s="354"/>
      <c r="D517" s="354"/>
      <c r="E517" s="368"/>
      <c r="F517" s="369"/>
    </row>
    <row r="518" spans="1:6" ht="12.75" customHeight="1" x14ac:dyDescent="0.25">
      <c r="A518" s="353"/>
      <c r="B518" s="354"/>
      <c r="C518" s="354"/>
      <c r="D518" s="354"/>
      <c r="E518" s="368"/>
      <c r="F518" s="369"/>
    </row>
    <row r="519" spans="1:6" ht="12.75" customHeight="1" x14ac:dyDescent="0.25">
      <c r="A519" s="353"/>
      <c r="B519" s="354"/>
      <c r="C519" s="354"/>
      <c r="D519" s="354"/>
      <c r="E519" s="368"/>
      <c r="F519" s="369"/>
    </row>
    <row r="520" spans="1:6" ht="12.75" customHeight="1" x14ac:dyDescent="0.25">
      <c r="A520" s="353"/>
      <c r="B520" s="354"/>
      <c r="C520" s="354"/>
      <c r="D520" s="354"/>
      <c r="E520" s="368"/>
      <c r="F520" s="369"/>
    </row>
    <row r="521" spans="1:6" ht="12.75" customHeight="1" x14ac:dyDescent="0.25">
      <c r="A521" s="353"/>
      <c r="B521" s="354"/>
      <c r="C521" s="354"/>
      <c r="D521" s="354"/>
      <c r="E521" s="368"/>
      <c r="F521" s="369"/>
    </row>
    <row r="522" spans="1:6" ht="12.75" customHeight="1" x14ac:dyDescent="0.25">
      <c r="A522" s="353"/>
      <c r="B522" s="354"/>
      <c r="C522" s="354"/>
      <c r="D522" s="354"/>
      <c r="E522" s="368"/>
      <c r="F522" s="369"/>
    </row>
    <row r="523" spans="1:6" ht="12.75" customHeight="1" x14ac:dyDescent="0.25">
      <c r="A523" s="353"/>
      <c r="B523" s="354"/>
      <c r="C523" s="354"/>
      <c r="D523" s="354"/>
      <c r="E523" s="368"/>
      <c r="F523" s="369"/>
    </row>
    <row r="524" spans="1:6" ht="12.75" customHeight="1" x14ac:dyDescent="0.25">
      <c r="A524" s="353"/>
      <c r="B524" s="354"/>
      <c r="C524" s="354"/>
      <c r="D524" s="354"/>
      <c r="E524" s="368"/>
      <c r="F524" s="369"/>
    </row>
    <row r="525" spans="1:6" ht="12.75" customHeight="1" x14ac:dyDescent="0.25">
      <c r="A525" s="353"/>
      <c r="B525" s="354"/>
      <c r="C525" s="354"/>
      <c r="D525" s="354"/>
      <c r="E525" s="368"/>
      <c r="F525" s="369"/>
    </row>
    <row r="526" spans="1:6" ht="12.75" customHeight="1" x14ac:dyDescent="0.25">
      <c r="A526" s="353"/>
      <c r="B526" s="354"/>
      <c r="C526" s="354"/>
      <c r="D526" s="354"/>
      <c r="E526" s="368"/>
      <c r="F526" s="369"/>
    </row>
    <row r="527" spans="1:6" ht="12.75" customHeight="1" x14ac:dyDescent="0.25">
      <c r="A527" s="353"/>
      <c r="B527" s="354"/>
      <c r="C527" s="354"/>
      <c r="D527" s="354"/>
      <c r="E527" s="368"/>
      <c r="F527" s="369"/>
    </row>
    <row r="528" spans="1:6" ht="12.75" customHeight="1" x14ac:dyDescent="0.25">
      <c r="A528" s="353"/>
      <c r="B528" s="354"/>
      <c r="C528" s="354"/>
      <c r="D528" s="354"/>
      <c r="E528" s="368"/>
      <c r="F528" s="369"/>
    </row>
    <row r="529" spans="1:6" ht="12.75" customHeight="1" x14ac:dyDescent="0.25">
      <c r="A529" s="353"/>
      <c r="B529" s="354"/>
      <c r="C529" s="354"/>
      <c r="D529" s="354"/>
      <c r="E529" s="368"/>
      <c r="F529" s="369"/>
    </row>
    <row r="530" spans="1:6" ht="12.75" customHeight="1" x14ac:dyDescent="0.25">
      <c r="A530" s="353"/>
      <c r="B530" s="354"/>
      <c r="C530" s="354"/>
      <c r="D530" s="354"/>
      <c r="E530" s="368"/>
      <c r="F530" s="369"/>
    </row>
    <row r="531" spans="1:6" ht="12.75" customHeight="1" x14ac:dyDescent="0.25">
      <c r="A531" s="353"/>
      <c r="B531" s="354"/>
      <c r="C531" s="354"/>
      <c r="D531" s="354"/>
      <c r="E531" s="368"/>
      <c r="F531" s="369"/>
    </row>
    <row r="532" spans="1:6" ht="12.75" customHeight="1" x14ac:dyDescent="0.25">
      <c r="A532" s="353"/>
      <c r="B532" s="354"/>
      <c r="C532" s="354"/>
      <c r="D532" s="354"/>
      <c r="E532" s="368"/>
      <c r="F532" s="369"/>
    </row>
    <row r="533" spans="1:6" ht="12.75" customHeight="1" x14ac:dyDescent="0.25">
      <c r="A533" s="353"/>
      <c r="B533" s="354"/>
      <c r="C533" s="354"/>
      <c r="D533" s="354"/>
      <c r="E533" s="368"/>
      <c r="F533" s="369"/>
    </row>
    <row r="534" spans="1:6" ht="12.75" customHeight="1" x14ac:dyDescent="0.25">
      <c r="A534" s="353"/>
      <c r="B534" s="354"/>
      <c r="C534" s="354"/>
      <c r="D534" s="354"/>
      <c r="E534" s="368"/>
      <c r="F534" s="369"/>
    </row>
    <row r="535" spans="1:6" ht="12.75" customHeight="1" x14ac:dyDescent="0.25">
      <c r="A535" s="353"/>
      <c r="B535" s="354"/>
      <c r="C535" s="354"/>
      <c r="D535" s="354"/>
      <c r="E535" s="368"/>
      <c r="F535" s="369"/>
    </row>
    <row r="536" spans="1:6" ht="12.75" customHeight="1" x14ac:dyDescent="0.25">
      <c r="A536" s="353"/>
      <c r="B536" s="354"/>
      <c r="C536" s="354"/>
      <c r="D536" s="354"/>
      <c r="E536" s="368"/>
      <c r="F536" s="369"/>
    </row>
    <row r="537" spans="1:6" ht="12.75" customHeight="1" x14ac:dyDescent="0.25">
      <c r="A537" s="353"/>
      <c r="B537" s="354"/>
      <c r="C537" s="354"/>
      <c r="D537" s="354"/>
      <c r="E537" s="368"/>
      <c r="F537" s="369"/>
    </row>
    <row r="538" spans="1:6" ht="12.75" customHeight="1" x14ac:dyDescent="0.25">
      <c r="A538" s="353"/>
      <c r="B538" s="354"/>
      <c r="C538" s="354"/>
      <c r="D538" s="354"/>
      <c r="E538" s="368"/>
      <c r="F538" s="369"/>
    </row>
    <row r="539" spans="1:6" ht="12.75" customHeight="1" x14ac:dyDescent="0.25">
      <c r="A539" s="353"/>
      <c r="B539" s="354"/>
      <c r="C539" s="354"/>
      <c r="D539" s="354"/>
      <c r="E539" s="368"/>
      <c r="F539" s="369"/>
    </row>
    <row r="540" spans="1:6" ht="12.75" customHeight="1" x14ac:dyDescent="0.25">
      <c r="A540" s="353"/>
      <c r="B540" s="354"/>
      <c r="C540" s="354"/>
      <c r="D540" s="354"/>
      <c r="E540" s="368"/>
      <c r="F540" s="369"/>
    </row>
    <row r="541" spans="1:6" ht="12.75" customHeight="1" x14ac:dyDescent="0.25">
      <c r="A541" s="353"/>
      <c r="B541" s="354"/>
      <c r="C541" s="354"/>
      <c r="D541" s="354"/>
      <c r="E541" s="368"/>
      <c r="F541" s="369"/>
    </row>
    <row r="542" spans="1:6" ht="12.75" customHeight="1" x14ac:dyDescent="0.25">
      <c r="A542" s="353"/>
      <c r="B542" s="354"/>
      <c r="C542" s="354"/>
      <c r="D542" s="354"/>
      <c r="E542" s="368"/>
      <c r="F542" s="369"/>
    </row>
    <row r="543" spans="1:6" ht="12.75" customHeight="1" x14ac:dyDescent="0.25">
      <c r="A543" s="353"/>
      <c r="B543" s="354"/>
      <c r="C543" s="354"/>
      <c r="D543" s="354"/>
      <c r="E543" s="368"/>
      <c r="F543" s="369"/>
    </row>
    <row r="544" spans="1:6" ht="12.75" customHeight="1" x14ac:dyDescent="0.25">
      <c r="A544" s="353"/>
      <c r="B544" s="354"/>
      <c r="C544" s="354"/>
      <c r="D544" s="354"/>
      <c r="E544" s="368"/>
      <c r="F544" s="369"/>
    </row>
    <row r="545" spans="1:6" ht="12.75" customHeight="1" x14ac:dyDescent="0.25">
      <c r="A545" s="353"/>
      <c r="B545" s="354"/>
      <c r="C545" s="354"/>
      <c r="D545" s="354"/>
      <c r="E545" s="368"/>
      <c r="F545" s="369"/>
    </row>
    <row r="546" spans="1:6" ht="12.75" customHeight="1" x14ac:dyDescent="0.25">
      <c r="A546" s="353"/>
      <c r="B546" s="354"/>
      <c r="C546" s="354"/>
      <c r="D546" s="354"/>
      <c r="E546" s="368"/>
      <c r="F546" s="369"/>
    </row>
    <row r="547" spans="1:6" ht="12.75" customHeight="1" x14ac:dyDescent="0.25">
      <c r="A547" s="353"/>
      <c r="B547" s="354"/>
      <c r="C547" s="354"/>
      <c r="D547" s="354"/>
      <c r="E547" s="368"/>
      <c r="F547" s="369"/>
    </row>
    <row r="548" spans="1:6" ht="12.75" customHeight="1" x14ac:dyDescent="0.25">
      <c r="A548" s="353"/>
      <c r="B548" s="354"/>
      <c r="C548" s="354"/>
      <c r="D548" s="354"/>
      <c r="E548" s="368"/>
      <c r="F548" s="369"/>
    </row>
    <row r="549" spans="1:6" ht="12.75" customHeight="1" x14ac:dyDescent="0.25">
      <c r="A549" s="353"/>
      <c r="B549" s="354"/>
      <c r="C549" s="354"/>
      <c r="D549" s="354"/>
      <c r="E549" s="368"/>
      <c r="F549" s="369"/>
    </row>
    <row r="550" spans="1:6" ht="12.75" customHeight="1" x14ac:dyDescent="0.25">
      <c r="A550" s="353"/>
      <c r="B550" s="354"/>
      <c r="C550" s="354"/>
      <c r="D550" s="354"/>
      <c r="E550" s="368"/>
      <c r="F550" s="369"/>
    </row>
    <row r="551" spans="1:6" ht="12.75" customHeight="1" x14ac:dyDescent="0.25">
      <c r="A551" s="353"/>
      <c r="B551" s="354"/>
      <c r="C551" s="354"/>
      <c r="D551" s="354"/>
      <c r="E551" s="368"/>
      <c r="F551" s="369"/>
    </row>
    <row r="552" spans="1:6" ht="12.75" customHeight="1" x14ac:dyDescent="0.25">
      <c r="A552" s="353"/>
      <c r="B552" s="354"/>
      <c r="C552" s="354"/>
      <c r="D552" s="354"/>
      <c r="E552" s="368"/>
      <c r="F552" s="369"/>
    </row>
    <row r="553" spans="1:6" ht="12.75" customHeight="1" x14ac:dyDescent="0.25">
      <c r="A553" s="353"/>
      <c r="B553" s="354"/>
      <c r="C553" s="354"/>
      <c r="D553" s="354"/>
      <c r="E553" s="368"/>
      <c r="F553" s="369"/>
    </row>
    <row r="554" spans="1:6" ht="12.75" customHeight="1" x14ac:dyDescent="0.25">
      <c r="A554" s="353"/>
      <c r="B554" s="354"/>
      <c r="C554" s="354"/>
      <c r="D554" s="354"/>
      <c r="E554" s="368"/>
      <c r="F554" s="369"/>
    </row>
    <row r="555" spans="1:6" ht="12.75" customHeight="1" x14ac:dyDescent="0.25">
      <c r="A555" s="353"/>
      <c r="B555" s="354"/>
      <c r="C555" s="354"/>
      <c r="D555" s="354"/>
      <c r="E555" s="368"/>
      <c r="F555" s="369"/>
    </row>
    <row r="556" spans="1:6" ht="12.75" customHeight="1" x14ac:dyDescent="0.25">
      <c r="A556" s="353"/>
      <c r="B556" s="354"/>
      <c r="C556" s="354"/>
      <c r="D556" s="354"/>
      <c r="E556" s="368"/>
      <c r="F556" s="369"/>
    </row>
    <row r="557" spans="1:6" ht="12.75" customHeight="1" x14ac:dyDescent="0.25">
      <c r="A557" s="353"/>
      <c r="B557" s="354"/>
      <c r="C557" s="354"/>
      <c r="D557" s="354"/>
      <c r="E557" s="368"/>
      <c r="F557" s="369"/>
    </row>
    <row r="558" spans="1:6" ht="12.75" customHeight="1" x14ac:dyDescent="0.25">
      <c r="A558" s="353"/>
      <c r="B558" s="354"/>
      <c r="C558" s="354"/>
      <c r="D558" s="354"/>
      <c r="E558" s="368"/>
      <c r="F558" s="369"/>
    </row>
    <row r="559" spans="1:6" ht="12.75" customHeight="1" x14ac:dyDescent="0.25">
      <c r="A559" s="353"/>
      <c r="B559" s="354"/>
      <c r="C559" s="354"/>
      <c r="D559" s="354"/>
      <c r="E559" s="368"/>
      <c r="F559" s="369"/>
    </row>
    <row r="560" spans="1:6" ht="12.75" customHeight="1" x14ac:dyDescent="0.25">
      <c r="A560" s="353"/>
      <c r="B560" s="354"/>
      <c r="C560" s="354"/>
      <c r="D560" s="354"/>
      <c r="E560" s="368"/>
      <c r="F560" s="369"/>
    </row>
    <row r="561" spans="1:6" ht="12.75" customHeight="1" x14ac:dyDescent="0.25">
      <c r="A561" s="353"/>
      <c r="B561" s="354"/>
      <c r="C561" s="354"/>
      <c r="D561" s="354"/>
      <c r="E561" s="368"/>
      <c r="F561" s="369"/>
    </row>
    <row r="562" spans="1:6" ht="12.75" customHeight="1" x14ac:dyDescent="0.25">
      <c r="A562" s="353"/>
      <c r="B562" s="354"/>
      <c r="C562" s="354"/>
      <c r="D562" s="354"/>
      <c r="E562" s="368"/>
      <c r="F562" s="369"/>
    </row>
    <row r="563" spans="1:6" ht="12.75" customHeight="1" x14ac:dyDescent="0.25">
      <c r="A563" s="353"/>
      <c r="B563" s="354"/>
      <c r="C563" s="354"/>
      <c r="D563" s="354"/>
      <c r="E563" s="368"/>
      <c r="F563" s="369"/>
    </row>
    <row r="564" spans="1:6" ht="12.75" customHeight="1" x14ac:dyDescent="0.25">
      <c r="A564" s="353"/>
      <c r="B564" s="354"/>
      <c r="C564" s="354"/>
      <c r="D564" s="354"/>
      <c r="E564" s="368"/>
      <c r="F564" s="369"/>
    </row>
    <row r="565" spans="1:6" ht="12.75" customHeight="1" x14ac:dyDescent="0.25">
      <c r="A565" s="353"/>
      <c r="B565" s="354"/>
      <c r="C565" s="354"/>
      <c r="D565" s="354"/>
      <c r="E565" s="368"/>
      <c r="F565" s="369"/>
    </row>
    <row r="566" spans="1:6" ht="12.75" customHeight="1" x14ac:dyDescent="0.25">
      <c r="A566" s="353"/>
      <c r="B566" s="354"/>
      <c r="C566" s="354"/>
      <c r="D566" s="354"/>
      <c r="E566" s="368"/>
      <c r="F566" s="369"/>
    </row>
    <row r="567" spans="1:6" ht="12.75" customHeight="1" x14ac:dyDescent="0.25">
      <c r="A567" s="353"/>
      <c r="B567" s="354"/>
      <c r="C567" s="354"/>
      <c r="D567" s="354"/>
      <c r="E567" s="368"/>
      <c r="F567" s="369"/>
    </row>
    <row r="568" spans="1:6" ht="12.75" customHeight="1" x14ac:dyDescent="0.25">
      <c r="A568" s="353"/>
      <c r="B568" s="354"/>
      <c r="C568" s="354"/>
      <c r="D568" s="354"/>
      <c r="E568" s="368"/>
      <c r="F568" s="369"/>
    </row>
    <row r="569" spans="1:6" ht="12.75" customHeight="1" x14ac:dyDescent="0.25">
      <c r="A569" s="353"/>
      <c r="B569" s="354"/>
      <c r="C569" s="354"/>
      <c r="D569" s="354"/>
      <c r="E569" s="368"/>
      <c r="F569" s="369"/>
    </row>
    <row r="570" spans="1:6" ht="12.75" customHeight="1" x14ac:dyDescent="0.25">
      <c r="A570" s="353"/>
      <c r="B570" s="354"/>
      <c r="C570" s="354"/>
      <c r="D570" s="354"/>
      <c r="E570" s="368"/>
      <c r="F570" s="369"/>
    </row>
    <row r="571" spans="1:6" ht="12.75" customHeight="1" x14ac:dyDescent="0.25">
      <c r="A571" s="353"/>
      <c r="B571" s="354"/>
      <c r="C571" s="354"/>
      <c r="D571" s="354"/>
      <c r="E571" s="368"/>
      <c r="F571" s="369"/>
    </row>
    <row r="572" spans="1:6" ht="12.75" customHeight="1" x14ac:dyDescent="0.25">
      <c r="A572" s="353"/>
      <c r="B572" s="354"/>
      <c r="C572" s="354"/>
      <c r="D572" s="354"/>
      <c r="E572" s="368"/>
      <c r="F572" s="369"/>
    </row>
    <row r="573" spans="1:6" ht="12.75" customHeight="1" x14ac:dyDescent="0.25">
      <c r="A573" s="353"/>
      <c r="B573" s="354"/>
      <c r="C573" s="354"/>
      <c r="D573" s="354"/>
      <c r="E573" s="368"/>
      <c r="F573" s="369"/>
    </row>
    <row r="574" spans="1:6" ht="12.75" customHeight="1" x14ac:dyDescent="0.25">
      <c r="A574" s="353"/>
      <c r="B574" s="354"/>
      <c r="C574" s="354"/>
      <c r="D574" s="354"/>
      <c r="E574" s="368"/>
      <c r="F574" s="369"/>
    </row>
    <row r="575" spans="1:6" ht="12.75" customHeight="1" x14ac:dyDescent="0.25">
      <c r="A575" s="353"/>
      <c r="B575" s="354"/>
      <c r="C575" s="354"/>
      <c r="D575" s="354"/>
      <c r="E575" s="368"/>
      <c r="F575" s="369"/>
    </row>
    <row r="576" spans="1:6" ht="12.75" customHeight="1" x14ac:dyDescent="0.25">
      <c r="A576" s="353"/>
      <c r="B576" s="354"/>
      <c r="C576" s="354"/>
      <c r="D576" s="354"/>
      <c r="E576" s="368"/>
      <c r="F576" s="369"/>
    </row>
    <row r="577" spans="1:6" ht="12.75" customHeight="1" x14ac:dyDescent="0.25">
      <c r="A577" s="353"/>
      <c r="B577" s="354"/>
      <c r="C577" s="354"/>
      <c r="D577" s="354"/>
      <c r="E577" s="368"/>
      <c r="F577" s="369"/>
    </row>
    <row r="578" spans="1:6" ht="12.75" customHeight="1" x14ac:dyDescent="0.25">
      <c r="A578" s="353"/>
      <c r="B578" s="354"/>
      <c r="C578" s="354"/>
      <c r="D578" s="354"/>
      <c r="E578" s="368"/>
      <c r="F578" s="369"/>
    </row>
    <row r="579" spans="1:6" ht="12.75" customHeight="1" x14ac:dyDescent="0.25">
      <c r="A579" s="353"/>
      <c r="B579" s="354"/>
      <c r="C579" s="354"/>
      <c r="D579" s="354"/>
      <c r="E579" s="368"/>
      <c r="F579" s="369"/>
    </row>
    <row r="580" spans="1:6" ht="12.75" customHeight="1" x14ac:dyDescent="0.25">
      <c r="A580" s="353"/>
      <c r="B580" s="354"/>
      <c r="C580" s="354"/>
      <c r="D580" s="354"/>
      <c r="E580" s="368"/>
      <c r="F580" s="369"/>
    </row>
    <row r="581" spans="1:6" ht="12.75" customHeight="1" x14ac:dyDescent="0.25">
      <c r="A581" s="353"/>
      <c r="B581" s="354"/>
      <c r="C581" s="354"/>
      <c r="D581" s="354"/>
      <c r="E581" s="368"/>
      <c r="F581" s="369"/>
    </row>
    <row r="582" spans="1:6" ht="12.75" customHeight="1" x14ac:dyDescent="0.25">
      <c r="A582" s="353"/>
      <c r="B582" s="354"/>
      <c r="C582" s="354"/>
      <c r="D582" s="354"/>
      <c r="E582" s="368"/>
      <c r="F582" s="369"/>
    </row>
    <row r="583" spans="1:6" ht="12.75" customHeight="1" x14ac:dyDescent="0.25">
      <c r="A583" s="353"/>
      <c r="B583" s="354"/>
      <c r="C583" s="354"/>
      <c r="D583" s="354"/>
      <c r="E583" s="368"/>
      <c r="F583" s="369"/>
    </row>
    <row r="584" spans="1:6" ht="12.75" customHeight="1" x14ac:dyDescent="0.25">
      <c r="A584" s="353"/>
      <c r="B584" s="354"/>
      <c r="C584" s="354"/>
      <c r="D584" s="354"/>
      <c r="E584" s="368"/>
      <c r="F584" s="369"/>
    </row>
    <row r="585" spans="1:6" ht="12.75" customHeight="1" x14ac:dyDescent="0.25">
      <c r="A585" s="353"/>
      <c r="B585" s="354"/>
      <c r="C585" s="354"/>
      <c r="D585" s="354"/>
      <c r="E585" s="368"/>
      <c r="F585" s="369"/>
    </row>
    <row r="586" spans="1:6" ht="12.75" customHeight="1" x14ac:dyDescent="0.25">
      <c r="A586" s="353"/>
      <c r="B586" s="354"/>
      <c r="C586" s="354"/>
      <c r="D586" s="354"/>
      <c r="E586" s="368"/>
      <c r="F586" s="369"/>
    </row>
    <row r="587" spans="1:6" ht="12.75" customHeight="1" x14ac:dyDescent="0.25">
      <c r="A587" s="353"/>
      <c r="B587" s="354"/>
      <c r="C587" s="354"/>
      <c r="D587" s="354"/>
      <c r="E587" s="368"/>
      <c r="F587" s="369"/>
    </row>
    <row r="588" spans="1:6" ht="12.75" customHeight="1" x14ac:dyDescent="0.25">
      <c r="A588" s="353"/>
      <c r="B588" s="354"/>
      <c r="C588" s="354"/>
      <c r="D588" s="354"/>
      <c r="E588" s="368"/>
      <c r="F588" s="369"/>
    </row>
    <row r="589" spans="1:6" ht="12.75" customHeight="1" x14ac:dyDescent="0.25">
      <c r="A589" s="353"/>
      <c r="B589" s="354"/>
      <c r="C589" s="354"/>
      <c r="D589" s="354"/>
      <c r="E589" s="368"/>
      <c r="F589" s="369"/>
    </row>
    <row r="590" spans="1:6" ht="12.75" customHeight="1" x14ac:dyDescent="0.25">
      <c r="A590" s="353"/>
      <c r="B590" s="354"/>
      <c r="C590" s="354"/>
      <c r="D590" s="354"/>
      <c r="E590" s="368"/>
      <c r="F590" s="369"/>
    </row>
    <row r="591" spans="1:6" ht="12.75" customHeight="1" x14ac:dyDescent="0.25">
      <c r="A591" s="353"/>
      <c r="B591" s="354"/>
      <c r="C591" s="354"/>
      <c r="D591" s="354"/>
      <c r="E591" s="368"/>
      <c r="F591" s="369"/>
    </row>
    <row r="592" spans="1:6" ht="12.75" customHeight="1" x14ac:dyDescent="0.25">
      <c r="A592" s="353"/>
      <c r="B592" s="354"/>
      <c r="C592" s="354"/>
      <c r="D592" s="354"/>
      <c r="E592" s="368"/>
      <c r="F592" s="369"/>
    </row>
    <row r="593" spans="1:6" ht="12.75" customHeight="1" x14ac:dyDescent="0.25">
      <c r="A593" s="353"/>
      <c r="B593" s="354"/>
      <c r="C593" s="354"/>
      <c r="D593" s="354"/>
      <c r="E593" s="368"/>
      <c r="F593" s="369"/>
    </row>
    <row r="594" spans="1:6" ht="12.75" customHeight="1" x14ac:dyDescent="0.25">
      <c r="A594" s="353"/>
      <c r="B594" s="354"/>
      <c r="C594" s="354"/>
      <c r="D594" s="354"/>
      <c r="E594" s="368"/>
      <c r="F594" s="369"/>
    </row>
    <row r="595" spans="1:6" ht="12.75" customHeight="1" x14ac:dyDescent="0.25">
      <c r="A595" s="353"/>
      <c r="B595" s="354"/>
      <c r="C595" s="354"/>
      <c r="D595" s="354"/>
      <c r="E595" s="368"/>
      <c r="F595" s="369"/>
    </row>
    <row r="596" spans="1:6" ht="12.75" customHeight="1" x14ac:dyDescent="0.25">
      <c r="A596" s="353"/>
      <c r="B596" s="354"/>
      <c r="C596" s="354"/>
      <c r="D596" s="354"/>
      <c r="E596" s="368"/>
      <c r="F596" s="369"/>
    </row>
    <row r="597" spans="1:6" ht="12.75" customHeight="1" x14ac:dyDescent="0.25">
      <c r="A597" s="353"/>
      <c r="B597" s="354"/>
      <c r="C597" s="354"/>
      <c r="D597" s="354"/>
      <c r="E597" s="368"/>
      <c r="F597" s="369"/>
    </row>
    <row r="598" spans="1:6" ht="12.75" customHeight="1" x14ac:dyDescent="0.25">
      <c r="A598" s="353"/>
      <c r="B598" s="354"/>
      <c r="C598" s="354"/>
      <c r="D598" s="354"/>
      <c r="E598" s="368"/>
      <c r="F598" s="369"/>
    </row>
    <row r="599" spans="1:6" ht="12.75" customHeight="1" x14ac:dyDescent="0.25">
      <c r="A599" s="353"/>
      <c r="B599" s="354"/>
      <c r="C599" s="354"/>
      <c r="D599" s="354"/>
      <c r="E599" s="368"/>
      <c r="F599" s="369"/>
    </row>
    <row r="600" spans="1:6" ht="12.75" customHeight="1" x14ac:dyDescent="0.25">
      <c r="A600" s="353"/>
      <c r="B600" s="354"/>
      <c r="C600" s="354"/>
      <c r="D600" s="354"/>
      <c r="E600" s="368"/>
      <c r="F600" s="369"/>
    </row>
    <row r="601" spans="1:6" ht="12.75" customHeight="1" x14ac:dyDescent="0.25">
      <c r="A601" s="353"/>
      <c r="B601" s="354"/>
      <c r="C601" s="354"/>
      <c r="D601" s="354"/>
      <c r="E601" s="368"/>
      <c r="F601" s="369"/>
    </row>
    <row r="602" spans="1:6" ht="12.75" customHeight="1" x14ac:dyDescent="0.25">
      <c r="A602" s="353"/>
      <c r="B602" s="354"/>
      <c r="C602" s="354"/>
      <c r="D602" s="354"/>
      <c r="E602" s="368"/>
      <c r="F602" s="369"/>
    </row>
    <row r="603" spans="1:6" ht="12.75" customHeight="1" x14ac:dyDescent="0.25">
      <c r="A603" s="353"/>
      <c r="B603" s="354"/>
      <c r="C603" s="354"/>
      <c r="D603" s="354"/>
      <c r="E603" s="368"/>
      <c r="F603" s="369"/>
    </row>
    <row r="604" spans="1:6" ht="12.75" customHeight="1" x14ac:dyDescent="0.25">
      <c r="A604" s="353"/>
      <c r="B604" s="354"/>
      <c r="C604" s="354"/>
      <c r="D604" s="354"/>
      <c r="E604" s="368"/>
      <c r="F604" s="369"/>
    </row>
    <row r="605" spans="1:6" ht="12.75" customHeight="1" x14ac:dyDescent="0.25">
      <c r="A605" s="353"/>
      <c r="B605" s="354"/>
      <c r="C605" s="354"/>
      <c r="D605" s="354"/>
      <c r="E605" s="368"/>
      <c r="F605" s="369"/>
    </row>
    <row r="606" spans="1:6" ht="12.75" customHeight="1" x14ac:dyDescent="0.25">
      <c r="A606" s="353"/>
      <c r="B606" s="354"/>
      <c r="C606" s="354"/>
      <c r="D606" s="354"/>
      <c r="E606" s="368"/>
      <c r="F606" s="369"/>
    </row>
    <row r="607" spans="1:6" ht="12.75" customHeight="1" x14ac:dyDescent="0.25">
      <c r="A607" s="353"/>
      <c r="B607" s="354"/>
      <c r="C607" s="354"/>
      <c r="D607" s="354"/>
      <c r="E607" s="368"/>
      <c r="F607" s="369"/>
    </row>
    <row r="608" spans="1:6" ht="12.75" customHeight="1" x14ac:dyDescent="0.25">
      <c r="A608" s="353"/>
      <c r="B608" s="354"/>
      <c r="C608" s="354"/>
      <c r="D608" s="354"/>
      <c r="E608" s="368"/>
      <c r="F608" s="369"/>
    </row>
    <row r="609" spans="1:6" ht="12.75" customHeight="1" x14ac:dyDescent="0.25">
      <c r="A609" s="353"/>
      <c r="B609" s="354"/>
      <c r="C609" s="354"/>
      <c r="D609" s="354"/>
      <c r="E609" s="368"/>
      <c r="F609" s="369"/>
    </row>
    <row r="610" spans="1:6" ht="12.75" customHeight="1" x14ac:dyDescent="0.25">
      <c r="A610" s="353"/>
      <c r="B610" s="354"/>
      <c r="C610" s="354"/>
      <c r="D610" s="354"/>
      <c r="E610" s="368"/>
      <c r="F610" s="369"/>
    </row>
    <row r="611" spans="1:6" ht="12.75" customHeight="1" x14ac:dyDescent="0.25">
      <c r="A611" s="353"/>
      <c r="B611" s="354"/>
      <c r="C611" s="354"/>
      <c r="D611" s="354"/>
      <c r="E611" s="368"/>
      <c r="F611" s="369"/>
    </row>
    <row r="612" spans="1:6" ht="12.75" customHeight="1" x14ac:dyDescent="0.25">
      <c r="A612" s="353"/>
      <c r="B612" s="354"/>
      <c r="C612" s="354"/>
      <c r="D612" s="354"/>
      <c r="E612" s="368"/>
      <c r="F612" s="369"/>
    </row>
    <row r="613" spans="1:6" ht="12.75" customHeight="1" x14ac:dyDescent="0.25">
      <c r="A613" s="353"/>
      <c r="B613" s="354"/>
      <c r="C613" s="354"/>
      <c r="D613" s="354"/>
      <c r="E613" s="368"/>
      <c r="F613" s="369"/>
    </row>
    <row r="614" spans="1:6" ht="12.75" customHeight="1" x14ac:dyDescent="0.25">
      <c r="A614" s="353"/>
      <c r="B614" s="354"/>
      <c r="C614" s="354"/>
      <c r="D614" s="354"/>
      <c r="E614" s="368"/>
      <c r="F614" s="369"/>
    </row>
    <row r="615" spans="1:6" ht="12.75" customHeight="1" x14ac:dyDescent="0.25">
      <c r="A615" s="353"/>
      <c r="B615" s="354"/>
      <c r="C615" s="354"/>
      <c r="D615" s="354"/>
      <c r="E615" s="368"/>
      <c r="F615" s="369"/>
    </row>
    <row r="616" spans="1:6" ht="12.75" customHeight="1" x14ac:dyDescent="0.25">
      <c r="A616" s="353"/>
      <c r="B616" s="354"/>
      <c r="C616" s="354"/>
      <c r="D616" s="354"/>
      <c r="E616" s="368"/>
      <c r="F616" s="369"/>
    </row>
    <row r="617" spans="1:6" ht="12.75" customHeight="1" x14ac:dyDescent="0.25">
      <c r="A617" s="353"/>
      <c r="B617" s="354"/>
      <c r="C617" s="354"/>
      <c r="D617" s="354"/>
      <c r="E617" s="368"/>
      <c r="F617" s="369"/>
    </row>
    <row r="618" spans="1:6" ht="12.75" customHeight="1" x14ac:dyDescent="0.25">
      <c r="A618" s="353"/>
      <c r="B618" s="354"/>
      <c r="C618" s="354"/>
      <c r="D618" s="354"/>
      <c r="E618" s="368"/>
      <c r="F618" s="369"/>
    </row>
    <row r="619" spans="1:6" ht="12.75" customHeight="1" x14ac:dyDescent="0.25">
      <c r="A619" s="353"/>
      <c r="B619" s="354"/>
      <c r="C619" s="354"/>
      <c r="D619" s="354"/>
      <c r="E619" s="368"/>
      <c r="F619" s="369"/>
    </row>
    <row r="620" spans="1:6" ht="12.75" customHeight="1" x14ac:dyDescent="0.25">
      <c r="A620" s="353"/>
      <c r="B620" s="354"/>
      <c r="C620" s="354"/>
      <c r="D620" s="354"/>
      <c r="E620" s="368"/>
      <c r="F620" s="369"/>
    </row>
    <row r="621" spans="1:6" ht="12.75" customHeight="1" x14ac:dyDescent="0.25">
      <c r="A621" s="353"/>
      <c r="B621" s="354"/>
      <c r="C621" s="354"/>
      <c r="D621" s="354"/>
      <c r="E621" s="368"/>
      <c r="F621" s="369"/>
    </row>
    <row r="622" spans="1:6" ht="12.75" customHeight="1" x14ac:dyDescent="0.25">
      <c r="A622" s="353"/>
      <c r="B622" s="354"/>
      <c r="C622" s="354"/>
      <c r="D622" s="354"/>
      <c r="E622" s="368"/>
      <c r="F622" s="369"/>
    </row>
    <row r="623" spans="1:6" ht="12.75" customHeight="1" x14ac:dyDescent="0.25">
      <c r="A623" s="353"/>
      <c r="B623" s="354"/>
      <c r="C623" s="354"/>
      <c r="D623" s="354"/>
      <c r="E623" s="368"/>
      <c r="F623" s="369"/>
    </row>
    <row r="624" spans="1:6" ht="12.75" customHeight="1" x14ac:dyDescent="0.25">
      <c r="A624" s="353"/>
      <c r="B624" s="354"/>
      <c r="C624" s="354"/>
      <c r="D624" s="354"/>
      <c r="E624" s="368"/>
      <c r="F624" s="369"/>
    </row>
    <row r="625" spans="1:6" ht="12.75" customHeight="1" x14ac:dyDescent="0.25">
      <c r="A625" s="353"/>
      <c r="B625" s="354"/>
      <c r="C625" s="354"/>
      <c r="D625" s="354"/>
      <c r="E625" s="368"/>
      <c r="F625" s="369"/>
    </row>
    <row r="626" spans="1:6" ht="12.75" customHeight="1" x14ac:dyDescent="0.25">
      <c r="A626" s="353"/>
      <c r="B626" s="354"/>
      <c r="C626" s="354"/>
      <c r="D626" s="354"/>
      <c r="E626" s="368"/>
      <c r="F626" s="369"/>
    </row>
    <row r="627" spans="1:6" ht="12.75" customHeight="1" x14ac:dyDescent="0.25">
      <c r="A627" s="353"/>
      <c r="B627" s="354"/>
      <c r="C627" s="354"/>
      <c r="D627" s="354"/>
      <c r="E627" s="368"/>
      <c r="F627" s="369"/>
    </row>
    <row r="628" spans="1:6" ht="12.75" customHeight="1" x14ac:dyDescent="0.25">
      <c r="A628" s="353"/>
      <c r="B628" s="354"/>
      <c r="C628" s="354"/>
      <c r="D628" s="354"/>
      <c r="E628" s="368"/>
      <c r="F628" s="369"/>
    </row>
    <row r="629" spans="1:6" ht="12.75" customHeight="1" x14ac:dyDescent="0.25">
      <c r="A629" s="353"/>
      <c r="B629" s="354"/>
      <c r="C629" s="354"/>
      <c r="D629" s="354"/>
      <c r="E629" s="368"/>
      <c r="F629" s="369"/>
    </row>
    <row r="630" spans="1:6" ht="12.75" customHeight="1" x14ac:dyDescent="0.25">
      <c r="A630" s="353"/>
      <c r="B630" s="354"/>
      <c r="C630" s="354"/>
      <c r="D630" s="354"/>
      <c r="E630" s="368"/>
      <c r="F630" s="369"/>
    </row>
    <row r="631" spans="1:6" ht="12.75" customHeight="1" x14ac:dyDescent="0.25">
      <c r="A631" s="353"/>
      <c r="B631" s="354"/>
      <c r="C631" s="354"/>
      <c r="D631" s="354"/>
      <c r="E631" s="368"/>
      <c r="F631" s="369"/>
    </row>
    <row r="632" spans="1:6" ht="12.75" customHeight="1" x14ac:dyDescent="0.25">
      <c r="A632" s="353"/>
      <c r="B632" s="354"/>
      <c r="C632" s="354"/>
      <c r="D632" s="354"/>
      <c r="E632" s="368"/>
      <c r="F632" s="369"/>
    </row>
    <row r="633" spans="1:6" ht="12.75" customHeight="1" x14ac:dyDescent="0.25">
      <c r="A633" s="353"/>
      <c r="B633" s="354"/>
      <c r="C633" s="354"/>
      <c r="D633" s="354"/>
      <c r="E633" s="368"/>
      <c r="F633" s="369"/>
    </row>
    <row r="634" spans="1:6" ht="12.75" customHeight="1" x14ac:dyDescent="0.25">
      <c r="A634" s="353"/>
      <c r="B634" s="354"/>
      <c r="C634" s="354"/>
      <c r="D634" s="354"/>
      <c r="E634" s="368"/>
      <c r="F634" s="369"/>
    </row>
    <row r="635" spans="1:6" ht="12.75" customHeight="1" x14ac:dyDescent="0.25">
      <c r="A635" s="353"/>
      <c r="B635" s="354"/>
      <c r="C635" s="354"/>
      <c r="D635" s="354"/>
      <c r="E635" s="368"/>
      <c r="F635" s="369"/>
    </row>
    <row r="636" spans="1:6" ht="12.75" customHeight="1" x14ac:dyDescent="0.25">
      <c r="A636" s="353"/>
      <c r="B636" s="354"/>
      <c r="C636" s="354"/>
      <c r="D636" s="354"/>
      <c r="E636" s="368"/>
      <c r="F636" s="369"/>
    </row>
    <row r="637" spans="1:6" ht="12.75" customHeight="1" x14ac:dyDescent="0.25">
      <c r="A637" s="353"/>
      <c r="B637" s="354"/>
      <c r="C637" s="354"/>
      <c r="D637" s="354"/>
      <c r="E637" s="368"/>
      <c r="F637" s="369"/>
    </row>
    <row r="638" spans="1:6" ht="12.75" customHeight="1" x14ac:dyDescent="0.25">
      <c r="A638" s="353"/>
      <c r="B638" s="354"/>
      <c r="C638" s="354"/>
      <c r="D638" s="354"/>
      <c r="E638" s="368"/>
      <c r="F638" s="369"/>
    </row>
    <row r="639" spans="1:6" ht="12.75" customHeight="1" x14ac:dyDescent="0.25">
      <c r="A639" s="353"/>
      <c r="B639" s="354"/>
      <c r="C639" s="354"/>
      <c r="D639" s="354"/>
      <c r="E639" s="368"/>
      <c r="F639" s="369"/>
    </row>
    <row r="640" spans="1:6" ht="12.75" customHeight="1" x14ac:dyDescent="0.25">
      <c r="A640" s="353"/>
      <c r="B640" s="354"/>
      <c r="C640" s="354"/>
      <c r="D640" s="354"/>
      <c r="E640" s="368"/>
      <c r="F640" s="369"/>
    </row>
    <row r="641" spans="1:6" ht="12.75" customHeight="1" x14ac:dyDescent="0.25">
      <c r="A641" s="353"/>
      <c r="B641" s="354"/>
      <c r="C641" s="354"/>
      <c r="D641" s="354"/>
      <c r="E641" s="368"/>
      <c r="F641" s="369"/>
    </row>
    <row r="642" spans="1:6" ht="12.75" customHeight="1" x14ac:dyDescent="0.25">
      <c r="A642" s="353"/>
      <c r="B642" s="354"/>
      <c r="C642" s="354"/>
      <c r="D642" s="354"/>
      <c r="E642" s="368"/>
      <c r="F642" s="369"/>
    </row>
    <row r="643" spans="1:6" ht="12.75" customHeight="1" x14ac:dyDescent="0.25">
      <c r="A643" s="353"/>
      <c r="B643" s="354"/>
      <c r="C643" s="354"/>
      <c r="D643" s="354"/>
      <c r="E643" s="368"/>
      <c r="F643" s="369"/>
    </row>
    <row r="644" spans="1:6" ht="12.75" customHeight="1" x14ac:dyDescent="0.25">
      <c r="A644" s="353"/>
      <c r="B644" s="354"/>
      <c r="C644" s="354"/>
      <c r="D644" s="354"/>
      <c r="E644" s="368"/>
      <c r="F644" s="369"/>
    </row>
    <row r="645" spans="1:6" ht="12.75" customHeight="1" x14ac:dyDescent="0.25">
      <c r="A645" s="353"/>
      <c r="B645" s="354"/>
      <c r="C645" s="354"/>
      <c r="D645" s="354"/>
      <c r="E645" s="368"/>
      <c r="F645" s="369"/>
    </row>
    <row r="646" spans="1:6" ht="12.75" customHeight="1" x14ac:dyDescent="0.25">
      <c r="A646" s="353"/>
      <c r="B646" s="354"/>
      <c r="C646" s="354"/>
      <c r="D646" s="354"/>
      <c r="E646" s="368"/>
      <c r="F646" s="369"/>
    </row>
    <row r="647" spans="1:6" ht="12.75" customHeight="1" x14ac:dyDescent="0.25">
      <c r="A647" s="353"/>
      <c r="B647" s="354"/>
      <c r="C647" s="354"/>
      <c r="D647" s="354"/>
      <c r="E647" s="368"/>
      <c r="F647" s="369"/>
    </row>
    <row r="648" spans="1:6" ht="12.75" customHeight="1" x14ac:dyDescent="0.25">
      <c r="A648" s="353"/>
      <c r="B648" s="354"/>
      <c r="C648" s="354"/>
      <c r="D648" s="354"/>
      <c r="E648" s="368"/>
      <c r="F648" s="369"/>
    </row>
    <row r="649" spans="1:6" ht="12.75" customHeight="1" x14ac:dyDescent="0.25">
      <c r="A649" s="353"/>
      <c r="B649" s="354"/>
      <c r="C649" s="354"/>
      <c r="D649" s="354"/>
      <c r="E649" s="368"/>
      <c r="F649" s="369"/>
    </row>
    <row r="650" spans="1:6" ht="12.75" customHeight="1" x14ac:dyDescent="0.25">
      <c r="A650" s="353"/>
      <c r="B650" s="354"/>
      <c r="C650" s="354"/>
      <c r="D650" s="354"/>
      <c r="E650" s="368"/>
      <c r="F650" s="369"/>
    </row>
    <row r="651" spans="1:6" ht="12.75" customHeight="1" x14ac:dyDescent="0.25">
      <c r="A651" s="353"/>
      <c r="B651" s="354"/>
      <c r="C651" s="354"/>
      <c r="D651" s="354"/>
      <c r="E651" s="368"/>
      <c r="F651" s="369"/>
    </row>
    <row r="652" spans="1:6" ht="12.75" customHeight="1" x14ac:dyDescent="0.25">
      <c r="A652" s="353"/>
      <c r="B652" s="354"/>
      <c r="C652" s="354"/>
      <c r="D652" s="354"/>
      <c r="E652" s="368"/>
      <c r="F652" s="369"/>
    </row>
    <row r="653" spans="1:6" ht="12.75" customHeight="1" x14ac:dyDescent="0.25">
      <c r="A653" s="353"/>
      <c r="B653" s="354"/>
      <c r="C653" s="354"/>
      <c r="D653" s="354"/>
      <c r="E653" s="368"/>
      <c r="F653" s="369"/>
    </row>
    <row r="654" spans="1:6" ht="12.75" customHeight="1" x14ac:dyDescent="0.25">
      <c r="A654" s="353"/>
      <c r="B654" s="354"/>
      <c r="C654" s="354"/>
      <c r="D654" s="354"/>
      <c r="E654" s="368"/>
      <c r="F654" s="369"/>
    </row>
    <row r="655" spans="1:6" ht="12.75" customHeight="1" x14ac:dyDescent="0.25">
      <c r="A655" s="353"/>
      <c r="B655" s="354"/>
      <c r="C655" s="354"/>
      <c r="D655" s="354"/>
      <c r="E655" s="368"/>
      <c r="F655" s="369"/>
    </row>
    <row r="656" spans="1:6" ht="12.75" customHeight="1" x14ac:dyDescent="0.25">
      <c r="A656" s="353"/>
      <c r="B656" s="354"/>
      <c r="C656" s="354"/>
      <c r="D656" s="354"/>
      <c r="E656" s="368"/>
      <c r="F656" s="369"/>
    </row>
    <row r="657" spans="1:6" ht="12.75" customHeight="1" x14ac:dyDescent="0.25">
      <c r="A657" s="353"/>
      <c r="B657" s="354"/>
      <c r="C657" s="354"/>
      <c r="D657" s="354"/>
      <c r="E657" s="368"/>
      <c r="F657" s="369"/>
    </row>
    <row r="658" spans="1:6" ht="12.75" customHeight="1" x14ac:dyDescent="0.25">
      <c r="A658" s="353"/>
      <c r="B658" s="354"/>
      <c r="C658" s="354"/>
      <c r="D658" s="354"/>
      <c r="E658" s="368"/>
      <c r="F658" s="369"/>
    </row>
    <row r="659" spans="1:6" ht="12.75" customHeight="1" x14ac:dyDescent="0.25">
      <c r="A659" s="353"/>
      <c r="B659" s="354"/>
      <c r="C659" s="354"/>
      <c r="D659" s="354"/>
      <c r="E659" s="368"/>
      <c r="F659" s="369"/>
    </row>
    <row r="660" spans="1:6" ht="12.75" customHeight="1" x14ac:dyDescent="0.25">
      <c r="A660" s="353"/>
      <c r="B660" s="354"/>
      <c r="C660" s="354"/>
      <c r="D660" s="354"/>
      <c r="E660" s="368"/>
      <c r="F660" s="369"/>
    </row>
    <row r="661" spans="1:6" ht="12.75" customHeight="1" x14ac:dyDescent="0.25">
      <c r="A661" s="353"/>
      <c r="B661" s="354"/>
      <c r="C661" s="354"/>
      <c r="D661" s="354"/>
      <c r="E661" s="368"/>
      <c r="F661" s="369"/>
    </row>
    <row r="662" spans="1:6" ht="12.75" customHeight="1" x14ac:dyDescent="0.25">
      <c r="A662" s="353"/>
      <c r="B662" s="354"/>
      <c r="C662" s="354"/>
      <c r="D662" s="354"/>
      <c r="E662" s="368"/>
      <c r="F662" s="369"/>
    </row>
    <row r="663" spans="1:6" ht="12.75" customHeight="1" x14ac:dyDescent="0.25">
      <c r="A663" s="353"/>
      <c r="B663" s="354"/>
      <c r="C663" s="354"/>
      <c r="D663" s="354"/>
      <c r="E663" s="368"/>
      <c r="F663" s="369"/>
    </row>
    <row r="664" spans="1:6" ht="12.75" customHeight="1" x14ac:dyDescent="0.25">
      <c r="A664" s="353"/>
      <c r="B664" s="354"/>
      <c r="C664" s="354"/>
      <c r="D664" s="354"/>
      <c r="E664" s="368"/>
      <c r="F664" s="369"/>
    </row>
    <row r="665" spans="1:6" ht="12.75" customHeight="1" x14ac:dyDescent="0.25">
      <c r="A665" s="353"/>
      <c r="B665" s="354"/>
      <c r="C665" s="354"/>
      <c r="D665" s="354"/>
      <c r="E665" s="368"/>
      <c r="F665" s="369"/>
    </row>
    <row r="666" spans="1:6" ht="12.75" customHeight="1" x14ac:dyDescent="0.25">
      <c r="A666" s="353"/>
      <c r="B666" s="354"/>
      <c r="C666" s="354"/>
      <c r="D666" s="354"/>
      <c r="E666" s="368"/>
      <c r="F666" s="369"/>
    </row>
    <row r="667" spans="1:6" ht="12.75" customHeight="1" x14ac:dyDescent="0.25">
      <c r="A667" s="353"/>
      <c r="B667" s="354"/>
      <c r="C667" s="354"/>
      <c r="D667" s="354"/>
      <c r="E667" s="368"/>
      <c r="F667" s="369"/>
    </row>
    <row r="668" spans="1:6" ht="12.75" customHeight="1" x14ac:dyDescent="0.25">
      <c r="A668" s="353"/>
      <c r="B668" s="354"/>
      <c r="C668" s="354"/>
      <c r="D668" s="354"/>
      <c r="E668" s="368"/>
      <c r="F668" s="369"/>
    </row>
    <row r="669" spans="1:6" ht="12.75" customHeight="1" x14ac:dyDescent="0.25">
      <c r="A669" s="353"/>
      <c r="B669" s="354"/>
      <c r="C669" s="354"/>
      <c r="D669" s="354"/>
      <c r="E669" s="368"/>
      <c r="F669" s="369"/>
    </row>
    <row r="670" spans="1:6" ht="12.75" customHeight="1" x14ac:dyDescent="0.25">
      <c r="A670" s="353"/>
      <c r="B670" s="354"/>
      <c r="C670" s="354"/>
      <c r="D670" s="354"/>
      <c r="E670" s="368"/>
      <c r="F670" s="369"/>
    </row>
    <row r="671" spans="1:6" ht="12.75" customHeight="1" x14ac:dyDescent="0.25">
      <c r="A671" s="353"/>
      <c r="B671" s="354"/>
      <c r="C671" s="354"/>
      <c r="D671" s="354"/>
      <c r="E671" s="368"/>
      <c r="F671" s="369"/>
    </row>
    <row r="672" spans="1:6" ht="12.75" customHeight="1" x14ac:dyDescent="0.25">
      <c r="A672" s="353"/>
      <c r="B672" s="354"/>
      <c r="C672" s="354"/>
      <c r="D672" s="354"/>
      <c r="E672" s="368"/>
      <c r="F672" s="369"/>
    </row>
    <row r="673" spans="1:6" ht="12.75" customHeight="1" x14ac:dyDescent="0.25">
      <c r="A673" s="353"/>
      <c r="B673" s="354"/>
      <c r="C673" s="354"/>
      <c r="D673" s="354"/>
      <c r="E673" s="368"/>
      <c r="F673" s="369"/>
    </row>
    <row r="674" spans="1:6" ht="12.75" customHeight="1" x14ac:dyDescent="0.25">
      <c r="A674" s="353"/>
      <c r="B674" s="354"/>
      <c r="C674" s="354"/>
      <c r="D674" s="354"/>
      <c r="E674" s="368"/>
      <c r="F674" s="369"/>
    </row>
    <row r="675" spans="1:6" ht="12.75" customHeight="1" x14ac:dyDescent="0.25">
      <c r="A675" s="353"/>
      <c r="B675" s="354"/>
      <c r="C675" s="354"/>
      <c r="D675" s="354"/>
      <c r="E675" s="368"/>
      <c r="F675" s="369"/>
    </row>
    <row r="676" spans="1:6" ht="12.75" customHeight="1" x14ac:dyDescent="0.25">
      <c r="A676" s="353"/>
      <c r="B676" s="354"/>
      <c r="C676" s="354"/>
      <c r="D676" s="354"/>
      <c r="E676" s="368"/>
      <c r="F676" s="369"/>
    </row>
    <row r="677" spans="1:6" ht="12.75" customHeight="1" x14ac:dyDescent="0.25">
      <c r="A677" s="353"/>
      <c r="B677" s="354"/>
      <c r="C677" s="354"/>
      <c r="D677" s="354"/>
      <c r="E677" s="368"/>
      <c r="F677" s="369"/>
    </row>
    <row r="678" spans="1:6" ht="12.75" customHeight="1" x14ac:dyDescent="0.25">
      <c r="A678" s="353"/>
      <c r="B678" s="354"/>
      <c r="C678" s="354"/>
      <c r="D678" s="354"/>
      <c r="E678" s="368"/>
      <c r="F678" s="369"/>
    </row>
    <row r="679" spans="1:6" ht="12.75" customHeight="1" x14ac:dyDescent="0.25">
      <c r="A679" s="353"/>
      <c r="B679" s="354"/>
      <c r="C679" s="354"/>
      <c r="D679" s="354"/>
      <c r="E679" s="368"/>
      <c r="F679" s="369"/>
    </row>
    <row r="680" spans="1:6" ht="12.75" customHeight="1" x14ac:dyDescent="0.25">
      <c r="A680" s="353"/>
      <c r="B680" s="354"/>
      <c r="C680" s="354"/>
      <c r="D680" s="354"/>
      <c r="E680" s="368"/>
      <c r="F680" s="369"/>
    </row>
    <row r="681" spans="1:6" ht="12.75" customHeight="1" x14ac:dyDescent="0.25">
      <c r="A681" s="353"/>
      <c r="B681" s="354"/>
      <c r="C681" s="354"/>
      <c r="D681" s="354"/>
      <c r="E681" s="368"/>
      <c r="F681" s="369"/>
    </row>
    <row r="682" spans="1:6" ht="12.75" customHeight="1" x14ac:dyDescent="0.25">
      <c r="A682" s="353"/>
      <c r="B682" s="354"/>
      <c r="C682" s="354"/>
      <c r="D682" s="354"/>
      <c r="E682" s="368"/>
      <c r="F682" s="369"/>
    </row>
    <row r="683" spans="1:6" ht="12.75" customHeight="1" x14ac:dyDescent="0.25">
      <c r="A683" s="353"/>
      <c r="B683" s="354"/>
      <c r="C683" s="354"/>
      <c r="D683" s="354"/>
      <c r="E683" s="368"/>
      <c r="F683" s="369"/>
    </row>
    <row r="684" spans="1:6" ht="12.75" customHeight="1" x14ac:dyDescent="0.25">
      <c r="A684" s="353"/>
      <c r="B684" s="354"/>
      <c r="C684" s="354"/>
      <c r="D684" s="354"/>
      <c r="E684" s="368"/>
      <c r="F684" s="369"/>
    </row>
    <row r="685" spans="1:6" ht="12.75" customHeight="1" x14ac:dyDescent="0.25">
      <c r="A685" s="353"/>
      <c r="B685" s="354"/>
      <c r="C685" s="354"/>
      <c r="D685" s="354"/>
      <c r="E685" s="368"/>
      <c r="F685" s="369"/>
    </row>
    <row r="686" spans="1:6" ht="12.75" customHeight="1" x14ac:dyDescent="0.25">
      <c r="A686" s="353"/>
      <c r="B686" s="354"/>
      <c r="C686" s="354"/>
      <c r="D686" s="354"/>
      <c r="E686" s="368"/>
      <c r="F686" s="369"/>
    </row>
    <row r="687" spans="1:6" ht="12.75" customHeight="1" x14ac:dyDescent="0.25">
      <c r="A687" s="353"/>
      <c r="B687" s="354"/>
      <c r="C687" s="354"/>
      <c r="D687" s="354"/>
      <c r="E687" s="368"/>
      <c r="F687" s="369"/>
    </row>
    <row r="688" spans="1:6" ht="12.75" customHeight="1" x14ac:dyDescent="0.25">
      <c r="A688" s="353"/>
      <c r="B688" s="354"/>
      <c r="C688" s="354"/>
      <c r="D688" s="354"/>
      <c r="E688" s="368"/>
      <c r="F688" s="369"/>
    </row>
    <row r="689" spans="1:6" ht="12.75" customHeight="1" x14ac:dyDescent="0.25">
      <c r="A689" s="353"/>
      <c r="B689" s="354"/>
      <c r="C689" s="354"/>
      <c r="D689" s="354"/>
      <c r="E689" s="368"/>
      <c r="F689" s="369"/>
    </row>
    <row r="690" spans="1:6" ht="12.75" customHeight="1" x14ac:dyDescent="0.25">
      <c r="A690" s="353"/>
      <c r="B690" s="354"/>
      <c r="C690" s="354"/>
      <c r="D690" s="354"/>
      <c r="E690" s="368"/>
      <c r="F690" s="369"/>
    </row>
    <row r="691" spans="1:6" ht="12.75" customHeight="1" x14ac:dyDescent="0.25">
      <c r="A691" s="353"/>
      <c r="B691" s="354"/>
      <c r="C691" s="354"/>
      <c r="D691" s="354"/>
      <c r="E691" s="368"/>
      <c r="F691" s="369"/>
    </row>
    <row r="692" spans="1:6" ht="12.75" customHeight="1" x14ac:dyDescent="0.25">
      <c r="A692" s="353"/>
      <c r="B692" s="354"/>
      <c r="C692" s="354"/>
      <c r="D692" s="354"/>
      <c r="E692" s="368"/>
      <c r="F692" s="369"/>
    </row>
    <row r="693" spans="1:6" ht="12.75" customHeight="1" x14ac:dyDescent="0.25">
      <c r="A693" s="353"/>
      <c r="B693" s="354"/>
      <c r="C693" s="354"/>
      <c r="D693" s="354"/>
      <c r="E693" s="368"/>
      <c r="F693" s="369"/>
    </row>
    <row r="694" spans="1:6" ht="12.75" customHeight="1" x14ac:dyDescent="0.25">
      <c r="A694" s="353"/>
      <c r="B694" s="354"/>
      <c r="C694" s="354"/>
      <c r="D694" s="354"/>
      <c r="E694" s="368"/>
      <c r="F694" s="369"/>
    </row>
    <row r="695" spans="1:6" ht="12.75" customHeight="1" x14ac:dyDescent="0.25">
      <c r="A695" s="353"/>
      <c r="B695" s="354"/>
      <c r="C695" s="354"/>
      <c r="D695" s="354"/>
      <c r="E695" s="368"/>
      <c r="F695" s="369"/>
    </row>
    <row r="696" spans="1:6" ht="12.75" customHeight="1" x14ac:dyDescent="0.25">
      <c r="A696" s="353"/>
      <c r="B696" s="354"/>
      <c r="C696" s="354"/>
      <c r="D696" s="354"/>
      <c r="E696" s="368"/>
      <c r="F696" s="369"/>
    </row>
    <row r="697" spans="1:6" ht="12.75" customHeight="1" x14ac:dyDescent="0.25">
      <c r="A697" s="353"/>
      <c r="B697" s="354"/>
      <c r="C697" s="354"/>
      <c r="D697" s="354"/>
      <c r="E697" s="368"/>
      <c r="F697" s="369"/>
    </row>
    <row r="698" spans="1:6" ht="12.75" customHeight="1" x14ac:dyDescent="0.25">
      <c r="A698" s="353"/>
      <c r="B698" s="354"/>
      <c r="C698" s="354"/>
      <c r="D698" s="354"/>
      <c r="E698" s="368"/>
      <c r="F698" s="369"/>
    </row>
    <row r="699" spans="1:6" ht="12.75" customHeight="1" x14ac:dyDescent="0.25">
      <c r="A699" s="353"/>
      <c r="B699" s="354"/>
      <c r="C699" s="354"/>
      <c r="D699" s="354"/>
      <c r="E699" s="368"/>
      <c r="F699" s="369"/>
    </row>
    <row r="700" spans="1:6" ht="12.75" customHeight="1" x14ac:dyDescent="0.25">
      <c r="A700" s="353"/>
      <c r="B700" s="354"/>
      <c r="C700" s="354"/>
      <c r="D700" s="354"/>
      <c r="E700" s="368"/>
      <c r="F700" s="369"/>
    </row>
    <row r="701" spans="1:6" ht="12.75" customHeight="1" x14ac:dyDescent="0.25">
      <c r="A701" s="353"/>
      <c r="B701" s="354"/>
      <c r="C701" s="354"/>
      <c r="D701" s="354"/>
      <c r="E701" s="368"/>
      <c r="F701" s="369"/>
    </row>
    <row r="702" spans="1:6" ht="12.75" customHeight="1" x14ac:dyDescent="0.25">
      <c r="A702" s="353"/>
      <c r="B702" s="354"/>
      <c r="C702" s="354"/>
      <c r="D702" s="354"/>
      <c r="E702" s="368"/>
      <c r="F702" s="369"/>
    </row>
    <row r="703" spans="1:6" ht="12.75" customHeight="1" x14ac:dyDescent="0.25">
      <c r="A703" s="353"/>
      <c r="B703" s="354"/>
      <c r="C703" s="354"/>
      <c r="D703" s="354"/>
      <c r="E703" s="368"/>
      <c r="F703" s="369"/>
    </row>
    <row r="704" spans="1:6" ht="12.75" customHeight="1" x14ac:dyDescent="0.25">
      <c r="A704" s="353"/>
      <c r="B704" s="354"/>
      <c r="C704" s="354"/>
      <c r="D704" s="354"/>
      <c r="E704" s="368"/>
      <c r="F704" s="369"/>
    </row>
    <row r="705" spans="1:6" ht="12.75" customHeight="1" x14ac:dyDescent="0.25">
      <c r="A705" s="353"/>
      <c r="B705" s="354"/>
      <c r="C705" s="354"/>
      <c r="D705" s="354"/>
      <c r="E705" s="368"/>
      <c r="F705" s="369"/>
    </row>
    <row r="706" spans="1:6" ht="12.75" customHeight="1" x14ac:dyDescent="0.25">
      <c r="A706" s="353"/>
      <c r="B706" s="354"/>
      <c r="C706" s="354"/>
      <c r="D706" s="354"/>
      <c r="E706" s="368"/>
      <c r="F706" s="369"/>
    </row>
    <row r="707" spans="1:6" ht="12.75" customHeight="1" x14ac:dyDescent="0.25">
      <c r="A707" s="353"/>
      <c r="B707" s="354"/>
      <c r="C707" s="354"/>
      <c r="D707" s="354"/>
      <c r="E707" s="368"/>
      <c r="F707" s="369"/>
    </row>
    <row r="708" spans="1:6" ht="12.75" customHeight="1" x14ac:dyDescent="0.25">
      <c r="A708" s="353"/>
      <c r="B708" s="354"/>
      <c r="C708" s="354"/>
      <c r="D708" s="354"/>
      <c r="E708" s="368"/>
      <c r="F708" s="369"/>
    </row>
    <row r="709" spans="1:6" ht="12.75" customHeight="1" x14ac:dyDescent="0.25">
      <c r="A709" s="353"/>
      <c r="B709" s="354"/>
      <c r="C709" s="354"/>
      <c r="D709" s="354"/>
      <c r="E709" s="368"/>
      <c r="F709" s="369"/>
    </row>
    <row r="710" spans="1:6" ht="12.75" customHeight="1" x14ac:dyDescent="0.25">
      <c r="A710" s="353"/>
      <c r="B710" s="354"/>
      <c r="C710" s="354"/>
      <c r="D710" s="354"/>
      <c r="E710" s="368"/>
      <c r="F710" s="369"/>
    </row>
    <row r="711" spans="1:6" ht="12.75" customHeight="1" x14ac:dyDescent="0.25">
      <c r="A711" s="353"/>
      <c r="B711" s="354"/>
      <c r="C711" s="354"/>
      <c r="D711" s="354"/>
      <c r="E711" s="368"/>
      <c r="F711" s="369"/>
    </row>
    <row r="712" spans="1:6" ht="12.75" customHeight="1" x14ac:dyDescent="0.25">
      <c r="A712" s="353"/>
      <c r="B712" s="354"/>
      <c r="C712" s="354"/>
      <c r="D712" s="354"/>
      <c r="E712" s="368"/>
      <c r="F712" s="369"/>
    </row>
    <row r="713" spans="1:6" ht="12.75" customHeight="1" x14ac:dyDescent="0.25">
      <c r="A713" s="353"/>
      <c r="B713" s="354"/>
      <c r="C713" s="354"/>
      <c r="D713" s="354"/>
      <c r="E713" s="368"/>
      <c r="F713" s="369"/>
    </row>
    <row r="714" spans="1:6" ht="12.75" customHeight="1" x14ac:dyDescent="0.25">
      <c r="A714" s="353"/>
      <c r="B714" s="354"/>
      <c r="C714" s="354"/>
      <c r="D714" s="354"/>
      <c r="E714" s="368"/>
      <c r="F714" s="369"/>
    </row>
    <row r="715" spans="1:6" ht="12.75" customHeight="1" x14ac:dyDescent="0.25">
      <c r="A715" s="353"/>
      <c r="B715" s="354"/>
      <c r="C715" s="354"/>
      <c r="D715" s="354"/>
      <c r="E715" s="368"/>
      <c r="F715" s="369"/>
    </row>
    <row r="716" spans="1:6" ht="12.75" customHeight="1" x14ac:dyDescent="0.25">
      <c r="A716" s="353"/>
      <c r="B716" s="354"/>
      <c r="C716" s="354"/>
      <c r="D716" s="354"/>
      <c r="E716" s="368"/>
      <c r="F716" s="369"/>
    </row>
    <row r="717" spans="1:6" ht="12.75" customHeight="1" x14ac:dyDescent="0.25">
      <c r="A717" s="353"/>
      <c r="B717" s="354"/>
      <c r="C717" s="354"/>
      <c r="D717" s="354"/>
      <c r="E717" s="368"/>
      <c r="F717" s="369"/>
    </row>
    <row r="718" spans="1:6" ht="12.75" customHeight="1" x14ac:dyDescent="0.25">
      <c r="A718" s="353"/>
      <c r="B718" s="354"/>
      <c r="C718" s="354"/>
      <c r="D718" s="354"/>
      <c r="E718" s="368"/>
      <c r="F718" s="369"/>
    </row>
    <row r="719" spans="1:6" ht="12.75" customHeight="1" x14ac:dyDescent="0.25">
      <c r="A719" s="353"/>
      <c r="B719" s="354"/>
      <c r="C719" s="354"/>
      <c r="D719" s="354"/>
      <c r="E719" s="368"/>
      <c r="F719" s="369"/>
    </row>
    <row r="720" spans="1:6" ht="12.75" customHeight="1" x14ac:dyDescent="0.25">
      <c r="A720" s="353"/>
      <c r="B720" s="354"/>
      <c r="C720" s="354"/>
      <c r="D720" s="354"/>
      <c r="E720" s="368"/>
      <c r="F720" s="369"/>
    </row>
    <row r="721" spans="1:6" ht="12.75" customHeight="1" x14ac:dyDescent="0.25">
      <c r="A721" s="353"/>
      <c r="B721" s="354"/>
      <c r="C721" s="354"/>
      <c r="D721" s="354"/>
      <c r="E721" s="368"/>
      <c r="F721" s="369"/>
    </row>
    <row r="722" spans="1:6" ht="12.75" customHeight="1" x14ac:dyDescent="0.25">
      <c r="A722" s="353"/>
      <c r="B722" s="354"/>
      <c r="C722" s="354"/>
      <c r="D722" s="354"/>
      <c r="E722" s="368"/>
      <c r="F722" s="369"/>
    </row>
    <row r="723" spans="1:6" ht="12.75" customHeight="1" x14ac:dyDescent="0.25">
      <c r="A723" s="353"/>
      <c r="B723" s="354"/>
      <c r="C723" s="354"/>
      <c r="D723" s="354"/>
      <c r="E723" s="368"/>
      <c r="F723" s="369"/>
    </row>
    <row r="724" spans="1:6" ht="12.75" customHeight="1" x14ac:dyDescent="0.25">
      <c r="A724" s="353"/>
      <c r="B724" s="354"/>
      <c r="C724" s="354"/>
      <c r="D724" s="354"/>
      <c r="E724" s="368"/>
      <c r="F724" s="369"/>
    </row>
    <row r="725" spans="1:6" ht="12.75" customHeight="1" x14ac:dyDescent="0.25">
      <c r="A725" s="353"/>
      <c r="B725" s="354"/>
      <c r="C725" s="354"/>
      <c r="D725" s="354"/>
      <c r="E725" s="368"/>
      <c r="F725" s="369"/>
    </row>
    <row r="726" spans="1:6" ht="12.75" customHeight="1" x14ac:dyDescent="0.25">
      <c r="A726" s="353"/>
      <c r="B726" s="354"/>
      <c r="C726" s="354"/>
      <c r="D726" s="354"/>
      <c r="E726" s="368"/>
      <c r="F726" s="369"/>
    </row>
    <row r="727" spans="1:6" ht="12.75" customHeight="1" x14ac:dyDescent="0.25">
      <c r="A727" s="353"/>
      <c r="B727" s="354"/>
      <c r="C727" s="354"/>
      <c r="D727" s="354"/>
      <c r="E727" s="368"/>
      <c r="F727" s="369"/>
    </row>
    <row r="728" spans="1:6" ht="12.75" customHeight="1" x14ac:dyDescent="0.25">
      <c r="A728" s="353"/>
      <c r="B728" s="354"/>
      <c r="C728" s="354"/>
      <c r="D728" s="354"/>
      <c r="E728" s="368"/>
      <c r="F728" s="369"/>
    </row>
    <row r="729" spans="1:6" ht="12.75" customHeight="1" x14ac:dyDescent="0.25">
      <c r="A729" s="353"/>
      <c r="B729" s="354"/>
      <c r="C729" s="354"/>
      <c r="D729" s="354"/>
      <c r="E729" s="368"/>
      <c r="F729" s="369"/>
    </row>
    <row r="730" spans="1:6" ht="12.75" customHeight="1" x14ac:dyDescent="0.25">
      <c r="A730" s="353"/>
      <c r="B730" s="354"/>
      <c r="C730" s="354"/>
      <c r="D730" s="354"/>
      <c r="E730" s="368"/>
      <c r="F730" s="369"/>
    </row>
    <row r="731" spans="1:6" ht="12.75" customHeight="1" x14ac:dyDescent="0.25">
      <c r="A731" s="353"/>
      <c r="B731" s="354"/>
      <c r="C731" s="354"/>
      <c r="D731" s="354"/>
      <c r="E731" s="368"/>
      <c r="F731" s="369"/>
    </row>
    <row r="732" spans="1:6" ht="12.75" customHeight="1" x14ac:dyDescent="0.25">
      <c r="A732" s="353"/>
      <c r="B732" s="354"/>
      <c r="C732" s="354"/>
      <c r="D732" s="354"/>
      <c r="E732" s="368"/>
      <c r="F732" s="369"/>
    </row>
    <row r="733" spans="1:6" ht="12.75" customHeight="1" x14ac:dyDescent="0.25">
      <c r="A733" s="353"/>
      <c r="B733" s="354"/>
      <c r="C733" s="354"/>
      <c r="D733" s="354"/>
      <c r="E733" s="368"/>
      <c r="F733" s="369"/>
    </row>
    <row r="734" spans="1:6" ht="12.75" customHeight="1" x14ac:dyDescent="0.25">
      <c r="A734" s="353"/>
      <c r="B734" s="354"/>
      <c r="C734" s="354"/>
      <c r="D734" s="354"/>
      <c r="E734" s="368"/>
      <c r="F734" s="369"/>
    </row>
    <row r="735" spans="1:6" ht="12.75" customHeight="1" x14ac:dyDescent="0.25">
      <c r="A735" s="353"/>
      <c r="B735" s="354"/>
      <c r="C735" s="354"/>
      <c r="D735" s="354"/>
      <c r="E735" s="368"/>
      <c r="F735" s="369"/>
    </row>
    <row r="736" spans="1:6" ht="12.75" customHeight="1" x14ac:dyDescent="0.25">
      <c r="A736" s="353"/>
      <c r="B736" s="354"/>
      <c r="C736" s="354"/>
      <c r="D736" s="354"/>
      <c r="E736" s="368"/>
      <c r="F736" s="369"/>
    </row>
    <row r="737" spans="1:6" ht="12.75" customHeight="1" x14ac:dyDescent="0.25">
      <c r="A737" s="353"/>
      <c r="B737" s="354"/>
      <c r="C737" s="354"/>
      <c r="D737" s="354"/>
      <c r="E737" s="368"/>
      <c r="F737" s="369"/>
    </row>
    <row r="738" spans="1:6" ht="12.75" customHeight="1" x14ac:dyDescent="0.25">
      <c r="A738" s="353"/>
      <c r="B738" s="354"/>
      <c r="C738" s="354"/>
      <c r="D738" s="354"/>
      <c r="E738" s="368"/>
      <c r="F738" s="369"/>
    </row>
    <row r="739" spans="1:6" ht="12.75" customHeight="1" x14ac:dyDescent="0.25">
      <c r="A739" s="353"/>
      <c r="B739" s="354"/>
      <c r="C739" s="354"/>
      <c r="D739" s="354"/>
      <c r="E739" s="368"/>
      <c r="F739" s="369"/>
    </row>
    <row r="740" spans="1:6" ht="12.75" customHeight="1" x14ac:dyDescent="0.25">
      <c r="A740" s="353"/>
      <c r="B740" s="354"/>
      <c r="C740" s="354"/>
      <c r="D740" s="354"/>
      <c r="E740" s="368"/>
      <c r="F740" s="369"/>
    </row>
    <row r="741" spans="1:6" ht="12.75" customHeight="1" x14ac:dyDescent="0.25">
      <c r="A741" s="353"/>
      <c r="B741" s="354"/>
      <c r="C741" s="354"/>
      <c r="D741" s="354"/>
      <c r="E741" s="368"/>
      <c r="F741" s="369"/>
    </row>
    <row r="742" spans="1:6" ht="12.75" customHeight="1" x14ac:dyDescent="0.25">
      <c r="A742" s="353"/>
      <c r="B742" s="354"/>
      <c r="C742" s="354"/>
      <c r="D742" s="354"/>
      <c r="E742" s="368"/>
      <c r="F742" s="369"/>
    </row>
    <row r="743" spans="1:6" ht="12.75" customHeight="1" x14ac:dyDescent="0.25">
      <c r="A743" s="353"/>
      <c r="B743" s="354"/>
      <c r="C743" s="354"/>
      <c r="D743" s="354"/>
      <c r="E743" s="368"/>
      <c r="F743" s="369"/>
    </row>
    <row r="744" spans="1:6" ht="12.75" customHeight="1" x14ac:dyDescent="0.25">
      <c r="A744" s="353"/>
      <c r="B744" s="354"/>
      <c r="C744" s="354"/>
      <c r="D744" s="354"/>
      <c r="E744" s="368"/>
      <c r="F744" s="369"/>
    </row>
    <row r="745" spans="1:6" ht="12.75" customHeight="1" x14ac:dyDescent="0.25">
      <c r="A745" s="353"/>
      <c r="B745" s="354"/>
      <c r="C745" s="354"/>
      <c r="D745" s="354"/>
      <c r="E745" s="368"/>
      <c r="F745" s="369"/>
    </row>
    <row r="746" spans="1:6" ht="12.75" customHeight="1" x14ac:dyDescent="0.25">
      <c r="A746" s="353"/>
      <c r="B746" s="354"/>
      <c r="C746" s="354"/>
      <c r="D746" s="354"/>
      <c r="E746" s="368"/>
      <c r="F746" s="369"/>
    </row>
    <row r="747" spans="1:6" ht="12.75" customHeight="1" x14ac:dyDescent="0.25">
      <c r="A747" s="353"/>
      <c r="B747" s="354"/>
      <c r="C747" s="354"/>
      <c r="D747" s="354"/>
      <c r="E747" s="368"/>
      <c r="F747" s="369"/>
    </row>
    <row r="748" spans="1:6" ht="12.75" customHeight="1" x14ac:dyDescent="0.25">
      <c r="A748" s="353"/>
      <c r="B748" s="354"/>
      <c r="C748" s="354"/>
      <c r="D748" s="354"/>
      <c r="E748" s="368"/>
      <c r="F748" s="369"/>
    </row>
    <row r="749" spans="1:6" ht="12.75" customHeight="1" x14ac:dyDescent="0.25">
      <c r="A749" s="353"/>
      <c r="B749" s="354"/>
      <c r="C749" s="354"/>
      <c r="D749" s="354"/>
      <c r="E749" s="368"/>
      <c r="F749" s="369"/>
    </row>
    <row r="750" spans="1:6" ht="12.75" customHeight="1" x14ac:dyDescent="0.25">
      <c r="A750" s="353"/>
      <c r="B750" s="354"/>
      <c r="C750" s="354"/>
      <c r="D750" s="354"/>
      <c r="E750" s="368"/>
      <c r="F750" s="369"/>
    </row>
    <row r="751" spans="1:6" ht="12.75" customHeight="1" x14ac:dyDescent="0.25">
      <c r="A751" s="353"/>
      <c r="B751" s="354"/>
      <c r="C751" s="354"/>
      <c r="D751" s="354"/>
      <c r="E751" s="368"/>
      <c r="F751" s="369"/>
    </row>
    <row r="752" spans="1:6" ht="12.75" customHeight="1" x14ac:dyDescent="0.25">
      <c r="A752" s="353"/>
      <c r="B752" s="354"/>
      <c r="C752" s="354"/>
      <c r="D752" s="354"/>
      <c r="E752" s="368"/>
      <c r="F752" s="369"/>
    </row>
    <row r="753" spans="1:6" ht="12.75" customHeight="1" x14ac:dyDescent="0.25">
      <c r="A753" s="353"/>
      <c r="B753" s="354"/>
      <c r="C753" s="354"/>
      <c r="D753" s="354"/>
      <c r="E753" s="368"/>
      <c r="F753" s="369"/>
    </row>
    <row r="754" spans="1:6" ht="12.75" customHeight="1" x14ac:dyDescent="0.25">
      <c r="A754" s="353"/>
      <c r="B754" s="354"/>
      <c r="C754" s="354"/>
      <c r="D754" s="354"/>
      <c r="E754" s="368"/>
      <c r="F754" s="369"/>
    </row>
    <row r="755" spans="1:6" ht="12.75" customHeight="1" x14ac:dyDescent="0.25">
      <c r="A755" s="353"/>
      <c r="B755" s="354"/>
      <c r="C755" s="354"/>
      <c r="D755" s="354"/>
      <c r="E755" s="368"/>
      <c r="F755" s="369"/>
    </row>
    <row r="756" spans="1:6" ht="12.75" customHeight="1" x14ac:dyDescent="0.25">
      <c r="A756" s="353"/>
      <c r="B756" s="354"/>
      <c r="C756" s="354"/>
      <c r="D756" s="354"/>
      <c r="E756" s="368"/>
      <c r="F756" s="369"/>
    </row>
    <row r="757" spans="1:6" ht="12.75" customHeight="1" x14ac:dyDescent="0.25">
      <c r="A757" s="353"/>
      <c r="B757" s="354"/>
      <c r="C757" s="354"/>
      <c r="D757" s="354"/>
      <c r="E757" s="368"/>
      <c r="F757" s="369"/>
    </row>
    <row r="758" spans="1:6" ht="12.75" customHeight="1" x14ac:dyDescent="0.25">
      <c r="A758" s="353"/>
      <c r="B758" s="354"/>
      <c r="C758" s="354"/>
      <c r="D758" s="354"/>
      <c r="E758" s="368"/>
      <c r="F758" s="369"/>
    </row>
    <row r="759" spans="1:6" ht="12.75" customHeight="1" x14ac:dyDescent="0.25">
      <c r="A759" s="353"/>
      <c r="B759" s="354"/>
      <c r="C759" s="354"/>
      <c r="D759" s="354"/>
      <c r="E759" s="368"/>
      <c r="F759" s="369"/>
    </row>
    <row r="760" spans="1:6" ht="12.75" customHeight="1" x14ac:dyDescent="0.25">
      <c r="A760" s="353"/>
      <c r="B760" s="354"/>
      <c r="C760" s="354"/>
      <c r="D760" s="354"/>
      <c r="E760" s="368"/>
      <c r="F760" s="369"/>
    </row>
    <row r="761" spans="1:6" ht="12.75" customHeight="1" x14ac:dyDescent="0.25">
      <c r="A761" s="353"/>
      <c r="B761" s="354"/>
      <c r="C761" s="354"/>
      <c r="D761" s="354"/>
      <c r="E761" s="368"/>
      <c r="F761" s="369"/>
    </row>
    <row r="762" spans="1:6" ht="12.75" customHeight="1" x14ac:dyDescent="0.25">
      <c r="A762" s="353"/>
      <c r="B762" s="354"/>
      <c r="C762" s="354"/>
      <c r="D762" s="354"/>
      <c r="E762" s="368"/>
      <c r="F762" s="369"/>
    </row>
    <row r="763" spans="1:6" ht="12.75" customHeight="1" x14ac:dyDescent="0.25">
      <c r="A763" s="353"/>
      <c r="B763" s="354"/>
      <c r="C763" s="354"/>
      <c r="D763" s="354"/>
      <c r="E763" s="368"/>
      <c r="F763" s="369"/>
    </row>
    <row r="764" spans="1:6" ht="12.75" customHeight="1" x14ac:dyDescent="0.25">
      <c r="A764" s="353"/>
      <c r="B764" s="354"/>
      <c r="C764" s="354"/>
      <c r="D764" s="354"/>
      <c r="E764" s="368"/>
      <c r="F764" s="369"/>
    </row>
    <row r="765" spans="1:6" ht="12.75" customHeight="1" x14ac:dyDescent="0.25">
      <c r="A765" s="353"/>
      <c r="B765" s="354"/>
      <c r="C765" s="354"/>
      <c r="D765" s="354"/>
      <c r="E765" s="368"/>
      <c r="F765" s="369"/>
    </row>
    <row r="766" spans="1:6" ht="12.75" customHeight="1" x14ac:dyDescent="0.25">
      <c r="A766" s="353"/>
      <c r="B766" s="354"/>
      <c r="C766" s="354"/>
      <c r="D766" s="354"/>
      <c r="E766" s="368"/>
      <c r="F766" s="369"/>
    </row>
    <row r="767" spans="1:6" ht="12.75" customHeight="1" x14ac:dyDescent="0.25">
      <c r="A767" s="353"/>
      <c r="B767" s="354"/>
      <c r="C767" s="354"/>
      <c r="D767" s="354"/>
      <c r="E767" s="368"/>
      <c r="F767" s="369"/>
    </row>
    <row r="768" spans="1:6" ht="12.75" customHeight="1" x14ac:dyDescent="0.25">
      <c r="A768" s="353"/>
      <c r="B768" s="354"/>
      <c r="C768" s="354"/>
      <c r="D768" s="354"/>
      <c r="E768" s="368"/>
      <c r="F768" s="369"/>
    </row>
    <row r="769" spans="1:6" ht="12.75" customHeight="1" x14ac:dyDescent="0.25">
      <c r="A769" s="353"/>
      <c r="B769" s="354"/>
      <c r="C769" s="354"/>
      <c r="D769" s="354"/>
      <c r="E769" s="368"/>
      <c r="F769" s="369"/>
    </row>
    <row r="770" spans="1:6" ht="12.75" customHeight="1" x14ac:dyDescent="0.25">
      <c r="A770" s="353"/>
      <c r="B770" s="354"/>
      <c r="C770" s="354"/>
      <c r="D770" s="354"/>
      <c r="E770" s="368"/>
      <c r="F770" s="369"/>
    </row>
    <row r="771" spans="1:6" ht="12.75" customHeight="1" x14ac:dyDescent="0.25">
      <c r="A771" s="353"/>
      <c r="B771" s="354"/>
      <c r="C771" s="354"/>
      <c r="D771" s="354"/>
      <c r="E771" s="368"/>
      <c r="F771" s="369"/>
    </row>
    <row r="772" spans="1:6" ht="12.75" customHeight="1" x14ac:dyDescent="0.25">
      <c r="A772" s="353"/>
      <c r="B772" s="354"/>
      <c r="C772" s="354"/>
      <c r="D772" s="354"/>
      <c r="E772" s="368"/>
      <c r="F772" s="369"/>
    </row>
    <row r="773" spans="1:6" ht="12.75" customHeight="1" x14ac:dyDescent="0.25">
      <c r="A773" s="353"/>
      <c r="B773" s="354"/>
      <c r="C773" s="354"/>
      <c r="D773" s="354"/>
      <c r="E773" s="368"/>
      <c r="F773" s="369"/>
    </row>
    <row r="774" spans="1:6" ht="12.75" customHeight="1" x14ac:dyDescent="0.25">
      <c r="A774" s="353"/>
      <c r="B774" s="354"/>
      <c r="C774" s="354"/>
      <c r="D774" s="354"/>
      <c r="E774" s="368"/>
      <c r="F774" s="369"/>
    </row>
    <row r="775" spans="1:6" ht="12.75" customHeight="1" x14ac:dyDescent="0.25">
      <c r="A775" s="353"/>
      <c r="B775" s="354"/>
      <c r="C775" s="354"/>
      <c r="D775" s="354"/>
      <c r="E775" s="368"/>
      <c r="F775" s="369"/>
    </row>
    <row r="776" spans="1:6" ht="12.75" customHeight="1" x14ac:dyDescent="0.25">
      <c r="A776" s="353"/>
      <c r="B776" s="354"/>
      <c r="C776" s="354"/>
      <c r="D776" s="354"/>
      <c r="E776" s="368"/>
      <c r="F776" s="369"/>
    </row>
    <row r="777" spans="1:6" ht="12.75" customHeight="1" x14ac:dyDescent="0.25">
      <c r="A777" s="353"/>
      <c r="B777" s="354"/>
      <c r="C777" s="354"/>
      <c r="D777" s="354"/>
      <c r="E777" s="368"/>
      <c r="F777" s="369"/>
    </row>
    <row r="778" spans="1:6" ht="12.75" customHeight="1" x14ac:dyDescent="0.25">
      <c r="A778" s="353"/>
      <c r="B778" s="354"/>
      <c r="C778" s="354"/>
      <c r="D778" s="354"/>
      <c r="E778" s="368"/>
      <c r="F778" s="369"/>
    </row>
    <row r="779" spans="1:6" ht="12.75" customHeight="1" x14ac:dyDescent="0.25">
      <c r="A779" s="353"/>
      <c r="B779" s="354"/>
      <c r="C779" s="354"/>
      <c r="D779" s="354"/>
      <c r="E779" s="368"/>
      <c r="F779" s="369"/>
    </row>
    <row r="780" spans="1:6" ht="12.75" customHeight="1" x14ac:dyDescent="0.25">
      <c r="A780" s="353"/>
      <c r="B780" s="354"/>
      <c r="C780" s="354"/>
      <c r="D780" s="354"/>
      <c r="E780" s="368"/>
      <c r="F780" s="369"/>
    </row>
    <row r="781" spans="1:6" ht="12.75" customHeight="1" x14ac:dyDescent="0.25">
      <c r="A781" s="353"/>
      <c r="B781" s="354"/>
      <c r="C781" s="354"/>
      <c r="D781" s="354"/>
      <c r="E781" s="368"/>
      <c r="F781" s="369"/>
    </row>
    <row r="782" spans="1:6" ht="12.75" customHeight="1" x14ac:dyDescent="0.25">
      <c r="A782" s="353"/>
      <c r="B782" s="354"/>
      <c r="C782" s="354"/>
      <c r="D782" s="354"/>
      <c r="E782" s="368"/>
      <c r="F782" s="369"/>
    </row>
    <row r="783" spans="1:6" ht="12.75" customHeight="1" x14ac:dyDescent="0.25">
      <c r="A783" s="353"/>
      <c r="B783" s="354"/>
      <c r="C783" s="354"/>
      <c r="D783" s="354"/>
      <c r="E783" s="368"/>
      <c r="F783" s="369"/>
    </row>
    <row r="784" spans="1:6" ht="12.75" customHeight="1" x14ac:dyDescent="0.25">
      <c r="A784" s="353"/>
      <c r="B784" s="354"/>
      <c r="C784" s="354"/>
      <c r="D784" s="354"/>
      <c r="E784" s="368"/>
      <c r="F784" s="369"/>
    </row>
    <row r="785" spans="1:6" ht="12.75" customHeight="1" x14ac:dyDescent="0.25">
      <c r="A785" s="353"/>
      <c r="B785" s="354"/>
      <c r="C785" s="354"/>
      <c r="D785" s="354"/>
      <c r="E785" s="368"/>
      <c r="F785" s="369"/>
    </row>
    <row r="786" spans="1:6" ht="12.75" customHeight="1" x14ac:dyDescent="0.25">
      <c r="A786" s="353"/>
      <c r="B786" s="354"/>
      <c r="C786" s="354"/>
      <c r="D786" s="354"/>
      <c r="E786" s="368"/>
      <c r="F786" s="369"/>
    </row>
    <row r="787" spans="1:6" ht="12.75" customHeight="1" x14ac:dyDescent="0.25">
      <c r="A787" s="353"/>
      <c r="B787" s="354"/>
      <c r="C787" s="354"/>
      <c r="D787" s="354"/>
      <c r="E787" s="368"/>
      <c r="F787" s="369"/>
    </row>
    <row r="788" spans="1:6" ht="12.75" customHeight="1" x14ac:dyDescent="0.25">
      <c r="A788" s="353"/>
      <c r="B788" s="354"/>
      <c r="C788" s="354"/>
      <c r="D788" s="354"/>
      <c r="E788" s="368"/>
      <c r="F788" s="369"/>
    </row>
    <row r="789" spans="1:6" ht="12.75" customHeight="1" x14ac:dyDescent="0.25">
      <c r="A789" s="353"/>
      <c r="B789" s="354"/>
      <c r="C789" s="354"/>
      <c r="D789" s="354"/>
      <c r="E789" s="368"/>
      <c r="F789" s="369"/>
    </row>
    <row r="790" spans="1:6" ht="12.75" customHeight="1" x14ac:dyDescent="0.25">
      <c r="A790" s="353"/>
      <c r="B790" s="354"/>
      <c r="C790" s="354"/>
      <c r="D790" s="354"/>
      <c r="E790" s="368"/>
      <c r="F790" s="369"/>
    </row>
    <row r="791" spans="1:6" ht="12.75" customHeight="1" x14ac:dyDescent="0.25">
      <c r="A791" s="353"/>
      <c r="B791" s="354"/>
      <c r="C791" s="354"/>
      <c r="D791" s="354"/>
      <c r="E791" s="368"/>
      <c r="F791" s="369"/>
    </row>
    <row r="792" spans="1:6" ht="12.75" customHeight="1" x14ac:dyDescent="0.25">
      <c r="A792" s="353"/>
      <c r="B792" s="354"/>
      <c r="C792" s="354"/>
      <c r="D792" s="354"/>
      <c r="E792" s="368"/>
      <c r="F792" s="369"/>
    </row>
    <row r="793" spans="1:6" ht="12.75" customHeight="1" x14ac:dyDescent="0.25">
      <c r="A793" s="353"/>
      <c r="B793" s="354"/>
      <c r="C793" s="354"/>
      <c r="D793" s="354"/>
      <c r="E793" s="368"/>
      <c r="F793" s="369"/>
    </row>
    <row r="794" spans="1:6" ht="12.75" customHeight="1" x14ac:dyDescent="0.25">
      <c r="A794" s="353"/>
      <c r="B794" s="354"/>
      <c r="C794" s="354"/>
      <c r="D794" s="354"/>
      <c r="E794" s="368"/>
      <c r="F794" s="369"/>
    </row>
    <row r="795" spans="1:6" ht="12.75" customHeight="1" x14ac:dyDescent="0.25">
      <c r="A795" s="353"/>
      <c r="B795" s="354"/>
      <c r="C795" s="354"/>
      <c r="D795" s="354"/>
      <c r="E795" s="368"/>
      <c r="F795" s="369"/>
    </row>
    <row r="796" spans="1:6" ht="12.75" customHeight="1" x14ac:dyDescent="0.25">
      <c r="A796" s="353"/>
      <c r="B796" s="354"/>
      <c r="C796" s="354"/>
      <c r="D796" s="354"/>
      <c r="E796" s="368"/>
      <c r="F796" s="369"/>
    </row>
    <row r="797" spans="1:6" ht="12.75" customHeight="1" x14ac:dyDescent="0.25">
      <c r="A797" s="353"/>
      <c r="B797" s="354"/>
      <c r="C797" s="354"/>
      <c r="D797" s="354"/>
      <c r="E797" s="368"/>
      <c r="F797" s="369"/>
    </row>
    <row r="798" spans="1:6" ht="12.75" customHeight="1" x14ac:dyDescent="0.25">
      <c r="A798" s="353"/>
      <c r="B798" s="354"/>
      <c r="C798" s="354"/>
      <c r="D798" s="354"/>
      <c r="E798" s="368"/>
      <c r="F798" s="369"/>
    </row>
    <row r="799" spans="1:6" ht="12.75" customHeight="1" x14ac:dyDescent="0.25">
      <c r="A799" s="353"/>
      <c r="B799" s="354"/>
      <c r="C799" s="354"/>
      <c r="D799" s="354"/>
      <c r="E799" s="368"/>
      <c r="F799" s="369"/>
    </row>
    <row r="800" spans="1:6" ht="12.75" customHeight="1" x14ac:dyDescent="0.25">
      <c r="A800" s="353"/>
      <c r="B800" s="354"/>
      <c r="C800" s="354"/>
      <c r="D800" s="354"/>
      <c r="E800" s="368"/>
      <c r="F800" s="369"/>
    </row>
    <row r="801" spans="1:6" ht="12.75" customHeight="1" x14ac:dyDescent="0.25">
      <c r="A801" s="353"/>
      <c r="B801" s="354"/>
      <c r="C801" s="354"/>
      <c r="D801" s="354"/>
      <c r="E801" s="368"/>
      <c r="F801" s="369"/>
    </row>
    <row r="802" spans="1:6" ht="12.75" customHeight="1" x14ac:dyDescent="0.25">
      <c r="A802" s="353"/>
      <c r="B802" s="354"/>
      <c r="C802" s="354"/>
      <c r="D802" s="354"/>
      <c r="E802" s="368"/>
      <c r="F802" s="369"/>
    </row>
    <row r="803" spans="1:6" ht="12.75" customHeight="1" x14ac:dyDescent="0.25">
      <c r="A803" s="353"/>
      <c r="B803" s="354"/>
      <c r="C803" s="354"/>
      <c r="D803" s="354"/>
      <c r="E803" s="368"/>
      <c r="F803" s="369"/>
    </row>
    <row r="804" spans="1:6" ht="12.75" customHeight="1" x14ac:dyDescent="0.25">
      <c r="A804" s="353"/>
      <c r="B804" s="354"/>
      <c r="C804" s="354"/>
      <c r="D804" s="354"/>
      <c r="E804" s="368"/>
      <c r="F804" s="369"/>
    </row>
    <row r="805" spans="1:6" ht="12.75" customHeight="1" x14ac:dyDescent="0.25">
      <c r="A805" s="353"/>
      <c r="B805" s="354"/>
      <c r="C805" s="354"/>
      <c r="D805" s="354"/>
      <c r="E805" s="368"/>
      <c r="F805" s="369"/>
    </row>
    <row r="806" spans="1:6" ht="12.75" customHeight="1" x14ac:dyDescent="0.25">
      <c r="A806" s="353"/>
      <c r="B806" s="354"/>
      <c r="C806" s="354"/>
      <c r="D806" s="354"/>
      <c r="E806" s="368"/>
      <c r="F806" s="369"/>
    </row>
    <row r="807" spans="1:6" ht="12.75" customHeight="1" x14ac:dyDescent="0.25">
      <c r="A807" s="353"/>
      <c r="B807" s="354"/>
      <c r="C807" s="354"/>
      <c r="D807" s="354"/>
      <c r="E807" s="368"/>
      <c r="F807" s="369"/>
    </row>
    <row r="808" spans="1:6" ht="12.75" customHeight="1" x14ac:dyDescent="0.25">
      <c r="A808" s="353"/>
      <c r="B808" s="354"/>
      <c r="C808" s="354"/>
      <c r="D808" s="354"/>
      <c r="E808" s="368"/>
      <c r="F808" s="369"/>
    </row>
    <row r="809" spans="1:6" ht="12.75" customHeight="1" x14ac:dyDescent="0.25">
      <c r="A809" s="353"/>
      <c r="B809" s="354"/>
      <c r="C809" s="354"/>
      <c r="D809" s="354"/>
      <c r="E809" s="368"/>
      <c r="F809" s="369"/>
    </row>
    <row r="810" spans="1:6" ht="12.75" customHeight="1" x14ac:dyDescent="0.25">
      <c r="A810" s="353"/>
      <c r="B810" s="354"/>
      <c r="C810" s="354"/>
      <c r="D810" s="354"/>
      <c r="E810" s="368"/>
      <c r="F810" s="369"/>
    </row>
    <row r="811" spans="1:6" ht="12.75" customHeight="1" x14ac:dyDescent="0.25">
      <c r="A811" s="353"/>
      <c r="B811" s="354"/>
      <c r="C811" s="354"/>
      <c r="D811" s="354"/>
      <c r="E811" s="368"/>
      <c r="F811" s="369"/>
    </row>
    <row r="812" spans="1:6" ht="12.75" customHeight="1" x14ac:dyDescent="0.25">
      <c r="A812" s="353"/>
      <c r="B812" s="354"/>
      <c r="C812" s="354"/>
      <c r="D812" s="354"/>
      <c r="E812" s="368"/>
      <c r="F812" s="369"/>
    </row>
    <row r="813" spans="1:6" ht="12.75" customHeight="1" x14ac:dyDescent="0.25">
      <c r="A813" s="353"/>
      <c r="B813" s="354"/>
      <c r="C813" s="354"/>
      <c r="D813" s="354"/>
      <c r="E813" s="368"/>
      <c r="F813" s="369"/>
    </row>
    <row r="814" spans="1:6" ht="12.75" customHeight="1" x14ac:dyDescent="0.25">
      <c r="A814" s="353"/>
      <c r="B814" s="354"/>
      <c r="C814" s="354"/>
      <c r="D814" s="354"/>
      <c r="E814" s="368"/>
      <c r="F814" s="369"/>
    </row>
    <row r="815" spans="1:6" ht="12.75" customHeight="1" x14ac:dyDescent="0.25">
      <c r="A815" s="353"/>
      <c r="B815" s="354"/>
      <c r="C815" s="354"/>
      <c r="D815" s="354"/>
      <c r="E815" s="368"/>
      <c r="F815" s="369"/>
    </row>
    <row r="816" spans="1:6" ht="12.75" customHeight="1" x14ac:dyDescent="0.25">
      <c r="A816" s="353"/>
      <c r="B816" s="354"/>
      <c r="C816" s="354"/>
      <c r="D816" s="354"/>
      <c r="E816" s="368"/>
      <c r="F816" s="369"/>
    </row>
    <row r="817" spans="1:6" ht="12.75" customHeight="1" x14ac:dyDescent="0.25">
      <c r="A817" s="353"/>
      <c r="B817" s="354"/>
      <c r="C817" s="354"/>
      <c r="D817" s="354"/>
      <c r="E817" s="368"/>
      <c r="F817" s="369"/>
    </row>
    <row r="818" spans="1:6" ht="12.75" customHeight="1" x14ac:dyDescent="0.25">
      <c r="A818" s="353"/>
      <c r="B818" s="354"/>
      <c r="C818" s="354"/>
      <c r="D818" s="354"/>
      <c r="E818" s="368"/>
      <c r="F818" s="369"/>
    </row>
    <row r="819" spans="1:6" ht="12.75" customHeight="1" x14ac:dyDescent="0.25">
      <c r="A819" s="353"/>
      <c r="B819" s="354"/>
      <c r="C819" s="354"/>
      <c r="D819" s="354"/>
      <c r="E819" s="368"/>
      <c r="F819" s="369"/>
    </row>
    <row r="820" spans="1:6" ht="12.75" customHeight="1" x14ac:dyDescent="0.25">
      <c r="A820" s="353"/>
      <c r="B820" s="354"/>
      <c r="C820" s="354"/>
      <c r="D820" s="354"/>
      <c r="E820" s="368"/>
      <c r="F820" s="369"/>
    </row>
    <row r="821" spans="1:6" ht="12.75" customHeight="1" x14ac:dyDescent="0.25">
      <c r="A821" s="353"/>
      <c r="B821" s="354"/>
      <c r="C821" s="354"/>
      <c r="D821" s="354"/>
      <c r="E821" s="368"/>
      <c r="F821" s="369"/>
    </row>
    <row r="822" spans="1:6" ht="12.75" customHeight="1" x14ac:dyDescent="0.25">
      <c r="A822" s="353"/>
      <c r="B822" s="354"/>
      <c r="C822" s="354"/>
      <c r="D822" s="354"/>
      <c r="E822" s="368"/>
      <c r="F822" s="369"/>
    </row>
    <row r="823" spans="1:6" ht="12.75" customHeight="1" x14ac:dyDescent="0.25">
      <c r="A823" s="353"/>
      <c r="B823" s="354"/>
      <c r="C823" s="354"/>
      <c r="D823" s="354"/>
      <c r="E823" s="368"/>
      <c r="F823" s="369"/>
    </row>
    <row r="824" spans="1:6" ht="12.75" customHeight="1" x14ac:dyDescent="0.25">
      <c r="A824" s="353"/>
      <c r="B824" s="354"/>
      <c r="C824" s="354"/>
      <c r="D824" s="354"/>
      <c r="E824" s="368"/>
      <c r="F824" s="369"/>
    </row>
    <row r="825" spans="1:6" ht="12.75" customHeight="1" x14ac:dyDescent="0.25">
      <c r="A825" s="353"/>
      <c r="B825" s="354"/>
      <c r="C825" s="354"/>
      <c r="D825" s="354"/>
      <c r="E825" s="368"/>
      <c r="F825" s="369"/>
    </row>
    <row r="826" spans="1:6" ht="12.75" customHeight="1" x14ac:dyDescent="0.25">
      <c r="A826" s="353"/>
      <c r="B826" s="354"/>
      <c r="C826" s="354"/>
      <c r="D826" s="354"/>
      <c r="E826" s="368"/>
      <c r="F826" s="369"/>
    </row>
    <row r="827" spans="1:6" ht="12.75" customHeight="1" x14ac:dyDescent="0.25">
      <c r="A827" s="353"/>
      <c r="B827" s="354"/>
      <c r="C827" s="354"/>
      <c r="D827" s="354"/>
      <c r="E827" s="368"/>
      <c r="F827" s="369"/>
    </row>
    <row r="828" spans="1:6" ht="12.75" customHeight="1" x14ac:dyDescent="0.25">
      <c r="A828" s="353"/>
      <c r="B828" s="354"/>
      <c r="C828" s="354"/>
      <c r="D828" s="354"/>
      <c r="E828" s="368"/>
      <c r="F828" s="369"/>
    </row>
    <row r="829" spans="1:6" ht="12.75" customHeight="1" x14ac:dyDescent="0.25">
      <c r="A829" s="353"/>
      <c r="B829" s="354"/>
      <c r="C829" s="354"/>
      <c r="D829" s="354"/>
      <c r="E829" s="368"/>
      <c r="F829" s="369"/>
    </row>
    <row r="830" spans="1:6" ht="12.75" customHeight="1" x14ac:dyDescent="0.25">
      <c r="A830" s="353"/>
      <c r="B830" s="354"/>
      <c r="C830" s="354"/>
      <c r="D830" s="354"/>
      <c r="E830" s="368"/>
      <c r="F830" s="369"/>
    </row>
    <row r="831" spans="1:6" ht="12.75" customHeight="1" x14ac:dyDescent="0.25">
      <c r="A831" s="353"/>
      <c r="B831" s="354"/>
      <c r="C831" s="354"/>
      <c r="D831" s="354"/>
      <c r="E831" s="368"/>
      <c r="F831" s="369"/>
    </row>
    <row r="832" spans="1:6" ht="12.75" customHeight="1" x14ac:dyDescent="0.25">
      <c r="A832" s="353"/>
      <c r="B832" s="354"/>
      <c r="C832" s="354"/>
      <c r="D832" s="354"/>
      <c r="E832" s="368"/>
      <c r="F832" s="369"/>
    </row>
    <row r="833" spans="1:6" ht="12.75" customHeight="1" x14ac:dyDescent="0.25">
      <c r="A833" s="353"/>
      <c r="B833" s="354"/>
      <c r="C833" s="354"/>
      <c r="D833" s="354"/>
      <c r="E833" s="368"/>
      <c r="F833" s="369"/>
    </row>
    <row r="834" spans="1:6" ht="12.75" customHeight="1" x14ac:dyDescent="0.25">
      <c r="A834" s="353"/>
      <c r="B834" s="354"/>
      <c r="C834" s="354"/>
      <c r="D834" s="354"/>
      <c r="E834" s="368"/>
      <c r="F834" s="369"/>
    </row>
    <row r="835" spans="1:6" ht="12.75" customHeight="1" x14ac:dyDescent="0.25">
      <c r="A835" s="353"/>
      <c r="B835" s="354"/>
      <c r="C835" s="354"/>
      <c r="D835" s="354"/>
      <c r="E835" s="368"/>
      <c r="F835" s="369"/>
    </row>
    <row r="836" spans="1:6" ht="12.75" customHeight="1" x14ac:dyDescent="0.25">
      <c r="A836" s="353"/>
      <c r="B836" s="354"/>
      <c r="C836" s="354"/>
      <c r="D836" s="354"/>
      <c r="E836" s="368"/>
      <c r="F836" s="369"/>
    </row>
    <row r="837" spans="1:6" ht="12.75" customHeight="1" x14ac:dyDescent="0.25">
      <c r="A837" s="353"/>
      <c r="B837" s="354"/>
      <c r="C837" s="354"/>
      <c r="D837" s="354"/>
      <c r="E837" s="368"/>
      <c r="F837" s="369"/>
    </row>
    <row r="838" spans="1:6" ht="12.75" customHeight="1" x14ac:dyDescent="0.25">
      <c r="A838" s="353"/>
      <c r="B838" s="354"/>
      <c r="C838" s="354"/>
      <c r="D838" s="354"/>
      <c r="E838" s="368"/>
      <c r="F838" s="369"/>
    </row>
    <row r="839" spans="1:6" ht="12.75" customHeight="1" x14ac:dyDescent="0.25">
      <c r="A839" s="353"/>
      <c r="B839" s="354"/>
      <c r="C839" s="354"/>
      <c r="D839" s="354"/>
      <c r="E839" s="368"/>
      <c r="F839" s="369"/>
    </row>
    <row r="840" spans="1:6" ht="12.75" customHeight="1" x14ac:dyDescent="0.25">
      <c r="A840" s="353"/>
      <c r="B840" s="354"/>
      <c r="C840" s="354"/>
      <c r="D840" s="354"/>
      <c r="E840" s="368"/>
      <c r="F840" s="369"/>
    </row>
    <row r="841" spans="1:6" ht="12.75" customHeight="1" x14ac:dyDescent="0.25">
      <c r="A841" s="353"/>
      <c r="B841" s="354"/>
      <c r="C841" s="354"/>
      <c r="D841" s="354"/>
      <c r="E841" s="368"/>
      <c r="F841" s="369"/>
    </row>
    <row r="842" spans="1:6" ht="12.75" customHeight="1" x14ac:dyDescent="0.25">
      <c r="A842" s="353"/>
      <c r="B842" s="354"/>
      <c r="C842" s="354"/>
      <c r="D842" s="354"/>
      <c r="E842" s="368"/>
      <c r="F842" s="369"/>
    </row>
    <row r="843" spans="1:6" ht="12.75" customHeight="1" x14ac:dyDescent="0.25">
      <c r="A843" s="353"/>
      <c r="B843" s="354"/>
      <c r="C843" s="354"/>
      <c r="D843" s="354"/>
      <c r="E843" s="368"/>
      <c r="F843" s="369"/>
    </row>
    <row r="844" spans="1:6" ht="12.75" customHeight="1" x14ac:dyDescent="0.25">
      <c r="A844" s="353"/>
      <c r="B844" s="354"/>
      <c r="C844" s="354"/>
      <c r="D844" s="354"/>
      <c r="E844" s="368"/>
      <c r="F844" s="369"/>
    </row>
    <row r="845" spans="1:6" ht="12.75" customHeight="1" x14ac:dyDescent="0.25">
      <c r="A845" s="353"/>
      <c r="B845" s="354"/>
      <c r="C845" s="354"/>
      <c r="D845" s="354"/>
      <c r="E845" s="368"/>
      <c r="F845" s="369"/>
    </row>
    <row r="846" spans="1:6" ht="12.75" customHeight="1" x14ac:dyDescent="0.25">
      <c r="A846" s="353"/>
      <c r="B846" s="354"/>
      <c r="C846" s="354"/>
      <c r="D846" s="354"/>
      <c r="E846" s="368"/>
      <c r="F846" s="369"/>
    </row>
    <row r="847" spans="1:6" ht="12.75" customHeight="1" x14ac:dyDescent="0.25">
      <c r="A847" s="353"/>
      <c r="B847" s="354"/>
      <c r="C847" s="354"/>
      <c r="D847" s="354"/>
      <c r="E847" s="368"/>
      <c r="F847" s="369"/>
    </row>
    <row r="848" spans="1:6" ht="12.75" customHeight="1" x14ac:dyDescent="0.25">
      <c r="A848" s="353"/>
      <c r="B848" s="354"/>
      <c r="C848" s="354"/>
      <c r="D848" s="354"/>
      <c r="E848" s="368"/>
      <c r="F848" s="369"/>
    </row>
    <row r="849" spans="1:6" ht="12.75" customHeight="1" x14ac:dyDescent="0.25">
      <c r="A849" s="353"/>
      <c r="B849" s="354"/>
      <c r="C849" s="354"/>
      <c r="D849" s="354"/>
      <c r="E849" s="368"/>
      <c r="F849" s="369"/>
    </row>
    <row r="850" spans="1:6" ht="12.75" customHeight="1" x14ac:dyDescent="0.25">
      <c r="A850" s="353"/>
      <c r="B850" s="354"/>
      <c r="C850" s="354"/>
      <c r="D850" s="354"/>
      <c r="E850" s="368"/>
      <c r="F850" s="369"/>
    </row>
    <row r="851" spans="1:6" ht="12.75" customHeight="1" x14ac:dyDescent="0.25">
      <c r="A851" s="353"/>
      <c r="B851" s="354"/>
      <c r="C851" s="354"/>
      <c r="D851" s="354"/>
      <c r="E851" s="368"/>
      <c r="F851" s="369"/>
    </row>
    <row r="852" spans="1:6" ht="12.75" customHeight="1" x14ac:dyDescent="0.25">
      <c r="A852" s="353"/>
      <c r="B852" s="354"/>
      <c r="C852" s="354"/>
      <c r="D852" s="354"/>
      <c r="E852" s="368"/>
      <c r="F852" s="369"/>
    </row>
    <row r="853" spans="1:6" ht="12.75" customHeight="1" x14ac:dyDescent="0.25">
      <c r="A853" s="353"/>
      <c r="B853" s="354"/>
      <c r="C853" s="354"/>
      <c r="D853" s="354"/>
      <c r="E853" s="368"/>
      <c r="F853" s="369"/>
    </row>
    <row r="854" spans="1:6" ht="12.75" customHeight="1" x14ac:dyDescent="0.25">
      <c r="A854" s="353"/>
      <c r="B854" s="354"/>
      <c r="C854" s="354"/>
      <c r="D854" s="354"/>
      <c r="E854" s="368"/>
      <c r="F854" s="369"/>
    </row>
    <row r="855" spans="1:6" ht="12.75" customHeight="1" x14ac:dyDescent="0.25">
      <c r="A855" s="353"/>
      <c r="B855" s="354"/>
      <c r="C855" s="354"/>
      <c r="D855" s="354"/>
      <c r="E855" s="368"/>
      <c r="F855" s="369"/>
    </row>
    <row r="856" spans="1:6" ht="12.75" customHeight="1" x14ac:dyDescent="0.25">
      <c r="A856" s="353"/>
      <c r="B856" s="354"/>
      <c r="C856" s="354"/>
      <c r="D856" s="354"/>
      <c r="E856" s="368"/>
      <c r="F856" s="369"/>
    </row>
    <row r="857" spans="1:6" ht="12.75" customHeight="1" x14ac:dyDescent="0.25">
      <c r="A857" s="353"/>
      <c r="B857" s="354"/>
      <c r="C857" s="354"/>
      <c r="D857" s="354"/>
      <c r="E857" s="368"/>
      <c r="F857" s="369"/>
    </row>
    <row r="858" spans="1:6" ht="12.75" customHeight="1" x14ac:dyDescent="0.25">
      <c r="A858" s="353"/>
      <c r="B858" s="354"/>
      <c r="C858" s="354"/>
      <c r="D858" s="354"/>
      <c r="E858" s="368"/>
      <c r="F858" s="369"/>
    </row>
    <row r="859" spans="1:6" ht="12.75" customHeight="1" x14ac:dyDescent="0.25">
      <c r="A859" s="353"/>
      <c r="B859" s="354"/>
      <c r="C859" s="354"/>
      <c r="D859" s="354"/>
      <c r="E859" s="368"/>
      <c r="F859" s="369"/>
    </row>
    <row r="860" spans="1:6" ht="12.75" customHeight="1" x14ac:dyDescent="0.25">
      <c r="A860" s="353"/>
      <c r="B860" s="354"/>
      <c r="C860" s="354"/>
      <c r="D860" s="354"/>
      <c r="E860" s="368"/>
      <c r="F860" s="369"/>
    </row>
    <row r="861" spans="1:6" ht="12.75" customHeight="1" x14ac:dyDescent="0.25">
      <c r="A861" s="353"/>
      <c r="B861" s="354"/>
      <c r="C861" s="354"/>
      <c r="D861" s="354"/>
      <c r="E861" s="368"/>
      <c r="F861" s="369"/>
    </row>
    <row r="862" spans="1:6" ht="12.75" customHeight="1" x14ac:dyDescent="0.25">
      <c r="A862" s="353"/>
      <c r="B862" s="354"/>
      <c r="C862" s="354"/>
      <c r="D862" s="354"/>
      <c r="E862" s="368"/>
      <c r="F862" s="369"/>
    </row>
    <row r="863" spans="1:6" ht="12.75" customHeight="1" x14ac:dyDescent="0.25">
      <c r="A863" s="353"/>
      <c r="B863" s="354"/>
      <c r="C863" s="354"/>
      <c r="D863" s="354"/>
      <c r="E863" s="368"/>
      <c r="F863" s="369"/>
    </row>
    <row r="864" spans="1:6" ht="12.75" customHeight="1" x14ac:dyDescent="0.25">
      <c r="A864" s="353"/>
      <c r="B864" s="354"/>
      <c r="C864" s="354"/>
      <c r="D864" s="354"/>
      <c r="E864" s="368"/>
      <c r="F864" s="369"/>
    </row>
    <row r="865" spans="1:6" ht="12.75" customHeight="1" x14ac:dyDescent="0.25">
      <c r="A865" s="353"/>
      <c r="B865" s="354"/>
      <c r="C865" s="354"/>
      <c r="D865" s="354"/>
      <c r="E865" s="368"/>
      <c r="F865" s="369"/>
    </row>
    <row r="866" spans="1:6" ht="12.75" customHeight="1" x14ac:dyDescent="0.25">
      <c r="A866" s="353"/>
      <c r="B866" s="354"/>
      <c r="C866" s="354"/>
      <c r="D866" s="354"/>
      <c r="E866" s="368"/>
      <c r="F866" s="369"/>
    </row>
    <row r="867" spans="1:6" ht="12.75" customHeight="1" x14ac:dyDescent="0.25">
      <c r="A867" s="353"/>
      <c r="B867" s="354"/>
      <c r="C867" s="354"/>
      <c r="D867" s="354"/>
      <c r="E867" s="368"/>
      <c r="F867" s="369"/>
    </row>
    <row r="868" spans="1:6" ht="12.75" customHeight="1" x14ac:dyDescent="0.25">
      <c r="A868" s="353"/>
      <c r="B868" s="354"/>
      <c r="C868" s="354"/>
      <c r="D868" s="354"/>
      <c r="E868" s="368"/>
      <c r="F868" s="369"/>
    </row>
    <row r="869" spans="1:6" ht="12.75" customHeight="1" x14ac:dyDescent="0.25">
      <c r="A869" s="353"/>
      <c r="B869" s="354"/>
      <c r="C869" s="354"/>
      <c r="D869" s="354"/>
      <c r="E869" s="368"/>
      <c r="F869" s="369"/>
    </row>
    <row r="870" spans="1:6" ht="12.75" customHeight="1" x14ac:dyDescent="0.25">
      <c r="A870" s="353"/>
      <c r="B870" s="354"/>
      <c r="C870" s="354"/>
      <c r="D870" s="354"/>
      <c r="E870" s="368"/>
      <c r="F870" s="369"/>
    </row>
    <row r="871" spans="1:6" ht="12.75" customHeight="1" x14ac:dyDescent="0.25">
      <c r="A871" s="353"/>
      <c r="B871" s="354"/>
      <c r="C871" s="354"/>
      <c r="D871" s="354"/>
      <c r="E871" s="368"/>
      <c r="F871" s="369"/>
    </row>
    <row r="872" spans="1:6" ht="12.75" customHeight="1" x14ac:dyDescent="0.25">
      <c r="A872" s="353"/>
      <c r="B872" s="354"/>
      <c r="C872" s="354"/>
      <c r="D872" s="354"/>
      <c r="E872" s="368"/>
      <c r="F872" s="369"/>
    </row>
    <row r="873" spans="1:6" ht="12.75" customHeight="1" x14ac:dyDescent="0.25">
      <c r="A873" s="353"/>
      <c r="B873" s="354"/>
      <c r="C873" s="354"/>
      <c r="D873" s="354"/>
      <c r="E873" s="368"/>
      <c r="F873" s="369"/>
    </row>
    <row r="874" spans="1:6" ht="12.75" customHeight="1" x14ac:dyDescent="0.25">
      <c r="A874" s="353"/>
      <c r="B874" s="354"/>
      <c r="C874" s="354"/>
      <c r="D874" s="354"/>
      <c r="E874" s="368"/>
      <c r="F874" s="369"/>
    </row>
    <row r="875" spans="1:6" ht="12.75" customHeight="1" x14ac:dyDescent="0.25">
      <c r="A875" s="353"/>
      <c r="B875" s="354"/>
      <c r="C875" s="354"/>
      <c r="D875" s="354"/>
      <c r="E875" s="368"/>
      <c r="F875" s="369"/>
    </row>
    <row r="876" spans="1:6" ht="12.75" customHeight="1" x14ac:dyDescent="0.25">
      <c r="A876" s="353"/>
      <c r="B876" s="354"/>
      <c r="C876" s="354"/>
      <c r="D876" s="354"/>
      <c r="E876" s="368"/>
      <c r="F876" s="369"/>
    </row>
    <row r="877" spans="1:6" ht="12.75" customHeight="1" x14ac:dyDescent="0.25">
      <c r="A877" s="353"/>
      <c r="B877" s="354"/>
      <c r="C877" s="354"/>
      <c r="D877" s="354"/>
      <c r="E877" s="368"/>
      <c r="F877" s="369"/>
    </row>
    <row r="878" spans="1:6" ht="12.75" customHeight="1" x14ac:dyDescent="0.25">
      <c r="A878" s="353"/>
      <c r="B878" s="354"/>
      <c r="C878" s="354"/>
      <c r="D878" s="354"/>
      <c r="E878" s="368"/>
      <c r="F878" s="369"/>
    </row>
    <row r="879" spans="1:6" ht="12.75" customHeight="1" x14ac:dyDescent="0.25">
      <c r="A879" s="353"/>
      <c r="B879" s="354"/>
      <c r="C879" s="354"/>
      <c r="D879" s="354"/>
      <c r="E879" s="368"/>
      <c r="F879" s="369"/>
    </row>
    <row r="880" spans="1:6" ht="12.75" customHeight="1" x14ac:dyDescent="0.25">
      <c r="A880" s="353"/>
      <c r="B880" s="354"/>
      <c r="C880" s="354"/>
      <c r="D880" s="354"/>
      <c r="E880" s="368"/>
      <c r="F880" s="369"/>
    </row>
    <row r="881" spans="1:6" ht="12.75" customHeight="1" x14ac:dyDescent="0.25">
      <c r="A881" s="353"/>
      <c r="B881" s="354"/>
      <c r="C881" s="354"/>
      <c r="D881" s="354"/>
      <c r="E881" s="368"/>
      <c r="F881" s="369"/>
    </row>
    <row r="882" spans="1:6" ht="12.75" customHeight="1" x14ac:dyDescent="0.25">
      <c r="A882" s="353"/>
      <c r="B882" s="354"/>
      <c r="C882" s="354"/>
      <c r="D882" s="354"/>
      <c r="E882" s="368"/>
      <c r="F882" s="369"/>
    </row>
    <row r="883" spans="1:6" ht="12.75" customHeight="1" x14ac:dyDescent="0.25">
      <c r="A883" s="353"/>
      <c r="B883" s="354"/>
      <c r="C883" s="354"/>
      <c r="D883" s="354"/>
      <c r="E883" s="368"/>
      <c r="F883" s="369"/>
    </row>
    <row r="884" spans="1:6" ht="12.75" customHeight="1" x14ac:dyDescent="0.25">
      <c r="A884" s="353"/>
      <c r="B884" s="354"/>
      <c r="C884" s="354"/>
      <c r="D884" s="354"/>
      <c r="E884" s="368"/>
      <c r="F884" s="369"/>
    </row>
    <row r="885" spans="1:6" ht="12.75" customHeight="1" x14ac:dyDescent="0.25">
      <c r="A885" s="353"/>
      <c r="B885" s="354"/>
      <c r="C885" s="354"/>
      <c r="D885" s="354"/>
      <c r="E885" s="368"/>
      <c r="F885" s="369"/>
    </row>
    <row r="886" spans="1:6" ht="12.75" customHeight="1" x14ac:dyDescent="0.25">
      <c r="A886" s="353"/>
      <c r="B886" s="354"/>
      <c r="C886" s="354"/>
      <c r="D886" s="354"/>
      <c r="E886" s="368"/>
      <c r="F886" s="369"/>
    </row>
    <row r="887" spans="1:6" ht="12.75" customHeight="1" x14ac:dyDescent="0.25">
      <c r="A887" s="353"/>
      <c r="B887" s="354"/>
      <c r="C887" s="354"/>
      <c r="D887" s="354"/>
      <c r="E887" s="368"/>
      <c r="F887" s="369"/>
    </row>
    <row r="888" spans="1:6" ht="12.75" customHeight="1" x14ac:dyDescent="0.25">
      <c r="A888" s="353"/>
      <c r="B888" s="354"/>
      <c r="C888" s="354"/>
      <c r="D888" s="354"/>
      <c r="E888" s="368"/>
      <c r="F888" s="369"/>
    </row>
    <row r="889" spans="1:6" ht="12.75" customHeight="1" x14ac:dyDescent="0.25">
      <c r="A889" s="353"/>
      <c r="B889" s="354"/>
      <c r="C889" s="354"/>
      <c r="D889" s="354"/>
      <c r="E889" s="368"/>
      <c r="F889" s="369"/>
    </row>
    <row r="890" spans="1:6" ht="12.75" customHeight="1" x14ac:dyDescent="0.25">
      <c r="A890" s="353"/>
      <c r="B890" s="354"/>
      <c r="C890" s="354"/>
      <c r="D890" s="354"/>
      <c r="E890" s="368"/>
      <c r="F890" s="369"/>
    </row>
    <row r="891" spans="1:6" ht="12.75" customHeight="1" x14ac:dyDescent="0.25">
      <c r="A891" s="353"/>
      <c r="B891" s="354"/>
      <c r="C891" s="354"/>
      <c r="D891" s="354"/>
      <c r="E891" s="368"/>
      <c r="F891" s="369"/>
    </row>
    <row r="892" spans="1:6" ht="12.75" customHeight="1" x14ac:dyDescent="0.25">
      <c r="A892" s="353"/>
      <c r="B892" s="354"/>
      <c r="C892" s="354"/>
      <c r="D892" s="354"/>
      <c r="E892" s="368"/>
      <c r="F892" s="369"/>
    </row>
    <row r="893" spans="1:6" ht="12.75" customHeight="1" x14ac:dyDescent="0.25">
      <c r="A893" s="353"/>
      <c r="B893" s="354"/>
      <c r="C893" s="354"/>
      <c r="D893" s="354"/>
      <c r="E893" s="368"/>
      <c r="F893" s="369"/>
    </row>
    <row r="894" spans="1:6" ht="12.75" customHeight="1" x14ac:dyDescent="0.25">
      <c r="A894" s="353"/>
      <c r="B894" s="354"/>
      <c r="C894" s="354"/>
      <c r="D894" s="354"/>
      <c r="E894" s="368"/>
      <c r="F894" s="369"/>
    </row>
    <row r="895" spans="1:6" ht="12.75" customHeight="1" x14ac:dyDescent="0.25">
      <c r="A895" s="353"/>
      <c r="B895" s="354"/>
      <c r="C895" s="354"/>
      <c r="D895" s="354"/>
      <c r="E895" s="368"/>
      <c r="F895" s="369"/>
    </row>
    <row r="896" spans="1:6" ht="12.75" customHeight="1" x14ac:dyDescent="0.25">
      <c r="A896" s="353"/>
      <c r="B896" s="354"/>
      <c r="C896" s="354"/>
      <c r="D896" s="354"/>
      <c r="E896" s="368"/>
      <c r="F896" s="369"/>
    </row>
    <row r="897" spans="1:6" ht="12.75" customHeight="1" x14ac:dyDescent="0.25">
      <c r="A897" s="353"/>
      <c r="B897" s="354"/>
      <c r="C897" s="354"/>
      <c r="D897" s="354"/>
      <c r="E897" s="368"/>
      <c r="F897" s="369"/>
    </row>
    <row r="898" spans="1:6" ht="12.75" customHeight="1" x14ac:dyDescent="0.25">
      <c r="A898" s="353"/>
      <c r="B898" s="354"/>
      <c r="C898" s="354"/>
      <c r="D898" s="354"/>
      <c r="E898" s="368"/>
      <c r="F898" s="369"/>
    </row>
    <row r="899" spans="1:6" ht="12.75" customHeight="1" x14ac:dyDescent="0.25">
      <c r="A899" s="353"/>
      <c r="B899" s="354"/>
      <c r="C899" s="354"/>
      <c r="D899" s="354"/>
      <c r="E899" s="368"/>
      <c r="F899" s="369"/>
    </row>
    <row r="900" spans="1:6" ht="12.75" customHeight="1" x14ac:dyDescent="0.25">
      <c r="A900" s="353"/>
      <c r="B900" s="354"/>
      <c r="C900" s="354"/>
      <c r="D900" s="354"/>
      <c r="E900" s="368"/>
      <c r="F900" s="369"/>
    </row>
    <row r="901" spans="1:6" ht="12.75" customHeight="1" x14ac:dyDescent="0.25">
      <c r="A901" s="353"/>
      <c r="B901" s="354"/>
      <c r="C901" s="354"/>
      <c r="D901" s="354"/>
      <c r="E901" s="368"/>
      <c r="F901" s="369"/>
    </row>
    <row r="902" spans="1:6" ht="12.75" customHeight="1" x14ac:dyDescent="0.25">
      <c r="A902" s="353"/>
      <c r="B902" s="354"/>
      <c r="C902" s="354"/>
      <c r="D902" s="354"/>
      <c r="E902" s="368"/>
      <c r="F902" s="369"/>
    </row>
    <row r="903" spans="1:6" ht="12.75" customHeight="1" x14ac:dyDescent="0.25">
      <c r="A903" s="353"/>
      <c r="B903" s="354"/>
      <c r="C903" s="354"/>
      <c r="D903" s="354"/>
      <c r="E903" s="368"/>
      <c r="F903" s="369"/>
    </row>
    <row r="904" spans="1:6" ht="12.75" customHeight="1" x14ac:dyDescent="0.25">
      <c r="A904" s="353"/>
      <c r="B904" s="354"/>
      <c r="C904" s="354"/>
      <c r="D904" s="354"/>
      <c r="E904" s="368"/>
      <c r="F904" s="369"/>
    </row>
    <row r="905" spans="1:6" ht="12.75" customHeight="1" x14ac:dyDescent="0.25">
      <c r="A905" s="353"/>
      <c r="B905" s="354"/>
      <c r="C905" s="354"/>
      <c r="D905" s="354"/>
      <c r="E905" s="368"/>
      <c r="F905" s="369"/>
    </row>
    <row r="906" spans="1:6" ht="12.75" customHeight="1" x14ac:dyDescent="0.25">
      <c r="A906" s="353"/>
      <c r="B906" s="354"/>
      <c r="C906" s="354"/>
      <c r="D906" s="354"/>
      <c r="E906" s="368"/>
      <c r="F906" s="369"/>
    </row>
    <row r="907" spans="1:6" ht="12.75" customHeight="1" x14ac:dyDescent="0.25">
      <c r="A907" s="353"/>
      <c r="B907" s="354"/>
      <c r="C907" s="354"/>
      <c r="D907" s="354"/>
      <c r="E907" s="368"/>
      <c r="F907" s="369"/>
    </row>
    <row r="908" spans="1:6" ht="12.75" customHeight="1" x14ac:dyDescent="0.25">
      <c r="A908" s="353"/>
      <c r="B908" s="354"/>
      <c r="C908" s="354"/>
      <c r="D908" s="354"/>
      <c r="E908" s="368"/>
      <c r="F908" s="369"/>
    </row>
    <row r="909" spans="1:6" ht="12.75" customHeight="1" x14ac:dyDescent="0.25">
      <c r="A909" s="353"/>
      <c r="B909" s="354"/>
      <c r="C909" s="354"/>
      <c r="D909" s="354"/>
      <c r="E909" s="368"/>
      <c r="F909" s="369"/>
    </row>
    <row r="910" spans="1:6" ht="12.75" customHeight="1" x14ac:dyDescent="0.25">
      <c r="A910" s="353"/>
      <c r="B910" s="354"/>
      <c r="C910" s="354"/>
      <c r="D910" s="354"/>
      <c r="E910" s="368"/>
      <c r="F910" s="369"/>
    </row>
    <row r="911" spans="1:6" ht="12.75" customHeight="1" x14ac:dyDescent="0.25">
      <c r="A911" s="353"/>
      <c r="B911" s="354"/>
      <c r="C911" s="354"/>
      <c r="D911" s="354"/>
      <c r="E911" s="368"/>
      <c r="F911" s="369"/>
    </row>
    <row r="912" spans="1:6" ht="12.75" customHeight="1" x14ac:dyDescent="0.25">
      <c r="A912" s="353"/>
      <c r="B912" s="354"/>
      <c r="C912" s="354"/>
      <c r="D912" s="354"/>
      <c r="E912" s="368"/>
      <c r="F912" s="369"/>
    </row>
    <row r="913" spans="1:6" ht="12.75" customHeight="1" x14ac:dyDescent="0.25">
      <c r="A913" s="353"/>
      <c r="B913" s="354"/>
      <c r="C913" s="354"/>
      <c r="D913" s="354"/>
      <c r="E913" s="368"/>
      <c r="F913" s="369"/>
    </row>
    <row r="914" spans="1:6" ht="12.75" customHeight="1" x14ac:dyDescent="0.25">
      <c r="A914" s="353"/>
      <c r="B914" s="354"/>
      <c r="C914" s="354"/>
      <c r="D914" s="354"/>
      <c r="E914" s="368"/>
      <c r="F914" s="369"/>
    </row>
    <row r="915" spans="1:6" ht="12.75" customHeight="1" x14ac:dyDescent="0.25">
      <c r="A915" s="353"/>
      <c r="B915" s="354"/>
      <c r="C915" s="354"/>
      <c r="D915" s="354"/>
      <c r="E915" s="368"/>
      <c r="F915" s="369"/>
    </row>
    <row r="916" spans="1:6" ht="12.75" customHeight="1" x14ac:dyDescent="0.25">
      <c r="A916" s="353"/>
      <c r="B916" s="354"/>
      <c r="C916" s="354"/>
      <c r="D916" s="354"/>
      <c r="E916" s="368"/>
      <c r="F916" s="369"/>
    </row>
    <row r="917" spans="1:6" ht="12.75" customHeight="1" x14ac:dyDescent="0.25">
      <c r="A917" s="353"/>
      <c r="B917" s="354"/>
      <c r="C917" s="354"/>
      <c r="D917" s="354"/>
      <c r="E917" s="368"/>
      <c r="F917" s="369"/>
    </row>
    <row r="918" spans="1:6" ht="12.75" customHeight="1" x14ac:dyDescent="0.25">
      <c r="A918" s="353"/>
      <c r="B918" s="354"/>
      <c r="C918" s="354"/>
      <c r="D918" s="354"/>
      <c r="E918" s="368"/>
      <c r="F918" s="369"/>
    </row>
    <row r="919" spans="1:6" ht="12.75" customHeight="1" x14ac:dyDescent="0.25">
      <c r="A919" s="353"/>
      <c r="B919" s="354"/>
      <c r="C919" s="354"/>
      <c r="D919" s="354"/>
      <c r="E919" s="368"/>
      <c r="F919" s="369"/>
    </row>
    <row r="920" spans="1:6" ht="12.75" customHeight="1" x14ac:dyDescent="0.25">
      <c r="A920" s="353"/>
      <c r="B920" s="354"/>
      <c r="C920" s="354"/>
      <c r="D920" s="354"/>
      <c r="E920" s="368"/>
      <c r="F920" s="369"/>
    </row>
    <row r="921" spans="1:6" ht="12.75" customHeight="1" x14ac:dyDescent="0.25">
      <c r="A921" s="353"/>
      <c r="B921" s="354"/>
      <c r="C921" s="354"/>
      <c r="D921" s="354"/>
      <c r="E921" s="368"/>
      <c r="F921" s="369"/>
    </row>
    <row r="922" spans="1:6" ht="12.75" customHeight="1" x14ac:dyDescent="0.25">
      <c r="A922" s="353"/>
      <c r="B922" s="354"/>
      <c r="C922" s="354"/>
      <c r="D922" s="354"/>
      <c r="E922" s="368"/>
      <c r="F922" s="369"/>
    </row>
    <row r="923" spans="1:6" ht="12.75" customHeight="1" x14ac:dyDescent="0.25">
      <c r="A923" s="353"/>
      <c r="B923" s="354"/>
      <c r="C923" s="354"/>
      <c r="D923" s="354"/>
      <c r="E923" s="368"/>
      <c r="F923" s="369"/>
    </row>
    <row r="924" spans="1:6" ht="12.75" customHeight="1" x14ac:dyDescent="0.25">
      <c r="A924" s="353"/>
      <c r="B924" s="354"/>
      <c r="C924" s="354"/>
      <c r="D924" s="354"/>
      <c r="E924" s="368"/>
      <c r="F924" s="369"/>
    </row>
    <row r="925" spans="1:6" ht="12.75" customHeight="1" x14ac:dyDescent="0.25">
      <c r="A925" s="353"/>
      <c r="B925" s="354"/>
      <c r="C925" s="354"/>
      <c r="D925" s="354"/>
      <c r="E925" s="368"/>
      <c r="F925" s="369"/>
    </row>
    <row r="926" spans="1:6" ht="12.75" customHeight="1" x14ac:dyDescent="0.25">
      <c r="A926" s="353"/>
      <c r="B926" s="354"/>
      <c r="C926" s="354"/>
      <c r="D926" s="354"/>
      <c r="E926" s="368"/>
      <c r="F926" s="369"/>
    </row>
    <row r="927" spans="1:6" ht="12.75" customHeight="1" x14ac:dyDescent="0.25">
      <c r="A927" s="353"/>
      <c r="B927" s="354"/>
      <c r="C927" s="354"/>
      <c r="D927" s="354"/>
      <c r="E927" s="368"/>
      <c r="F927" s="369"/>
    </row>
    <row r="928" spans="1:6" ht="12.75" customHeight="1" x14ac:dyDescent="0.25">
      <c r="A928" s="353"/>
      <c r="B928" s="354"/>
      <c r="C928" s="354"/>
      <c r="D928" s="354"/>
      <c r="E928" s="368"/>
      <c r="F928" s="369"/>
    </row>
    <row r="929" spans="1:6" ht="12.75" customHeight="1" x14ac:dyDescent="0.25">
      <c r="A929" s="353"/>
      <c r="B929" s="354"/>
      <c r="C929" s="354"/>
      <c r="D929" s="354"/>
      <c r="E929" s="368"/>
      <c r="F929" s="369"/>
    </row>
    <row r="930" spans="1:6" ht="12.75" customHeight="1" x14ac:dyDescent="0.25">
      <c r="A930" s="353"/>
      <c r="B930" s="354"/>
      <c r="C930" s="354"/>
      <c r="D930" s="354"/>
      <c r="E930" s="368"/>
      <c r="F930" s="369"/>
    </row>
    <row r="931" spans="1:6" ht="12.75" customHeight="1" x14ac:dyDescent="0.25">
      <c r="A931" s="353"/>
      <c r="B931" s="354"/>
      <c r="C931" s="354"/>
      <c r="D931" s="354"/>
      <c r="E931" s="368"/>
      <c r="F931" s="369"/>
    </row>
    <row r="932" spans="1:6" ht="12.75" customHeight="1" x14ac:dyDescent="0.25">
      <c r="A932" s="353"/>
      <c r="B932" s="354"/>
      <c r="C932" s="354"/>
      <c r="D932" s="354"/>
      <c r="E932" s="368"/>
      <c r="F932" s="369"/>
    </row>
    <row r="933" spans="1:6" ht="12.75" customHeight="1" x14ac:dyDescent="0.25">
      <c r="A933" s="353"/>
      <c r="B933" s="354"/>
      <c r="C933" s="354"/>
      <c r="D933" s="354"/>
      <c r="E933" s="368"/>
      <c r="F933" s="369"/>
    </row>
    <row r="934" spans="1:6" ht="12.75" customHeight="1" x14ac:dyDescent="0.25">
      <c r="A934" s="353"/>
      <c r="B934" s="354"/>
      <c r="C934" s="354"/>
      <c r="D934" s="354"/>
      <c r="E934" s="368"/>
      <c r="F934" s="369"/>
    </row>
    <row r="935" spans="1:6" ht="12.75" customHeight="1" x14ac:dyDescent="0.25">
      <c r="A935" s="353"/>
      <c r="B935" s="354"/>
      <c r="C935" s="354"/>
      <c r="D935" s="354"/>
      <c r="E935" s="368"/>
      <c r="F935" s="369"/>
    </row>
    <row r="936" spans="1:6" ht="12.75" customHeight="1" x14ac:dyDescent="0.25">
      <c r="A936" s="353"/>
      <c r="B936" s="354"/>
      <c r="C936" s="354"/>
      <c r="D936" s="354"/>
      <c r="E936" s="368"/>
      <c r="F936" s="369"/>
    </row>
    <row r="937" spans="1:6" ht="12.75" customHeight="1" x14ac:dyDescent="0.25">
      <c r="A937" s="353"/>
      <c r="B937" s="354"/>
      <c r="C937" s="354"/>
      <c r="D937" s="354"/>
      <c r="E937" s="368"/>
      <c r="F937" s="369"/>
    </row>
    <row r="938" spans="1:6" ht="12.75" customHeight="1" x14ac:dyDescent="0.25">
      <c r="A938" s="353"/>
      <c r="B938" s="354"/>
      <c r="C938" s="354"/>
      <c r="D938" s="354"/>
      <c r="E938" s="368"/>
      <c r="F938" s="369"/>
    </row>
    <row r="939" spans="1:6" ht="12.75" customHeight="1" x14ac:dyDescent="0.25">
      <c r="A939" s="353"/>
      <c r="B939" s="354"/>
      <c r="C939" s="354"/>
      <c r="D939" s="354"/>
      <c r="E939" s="368"/>
      <c r="F939" s="369"/>
    </row>
    <row r="940" spans="1:6" ht="12.75" customHeight="1" x14ac:dyDescent="0.25">
      <c r="A940" s="353"/>
      <c r="B940" s="354"/>
      <c r="C940" s="354"/>
      <c r="D940" s="354"/>
      <c r="E940" s="368"/>
      <c r="F940" s="369"/>
    </row>
    <row r="941" spans="1:6" ht="12.75" customHeight="1" x14ac:dyDescent="0.25">
      <c r="A941" s="353"/>
      <c r="B941" s="354"/>
      <c r="C941" s="354"/>
      <c r="D941" s="354"/>
      <c r="E941" s="368"/>
      <c r="F941" s="369"/>
    </row>
    <row r="942" spans="1:6" ht="12.75" customHeight="1" x14ac:dyDescent="0.25">
      <c r="A942" s="353"/>
      <c r="B942" s="354"/>
      <c r="C942" s="354"/>
      <c r="D942" s="354"/>
      <c r="E942" s="368"/>
      <c r="F942" s="369"/>
    </row>
    <row r="943" spans="1:6" ht="12.75" customHeight="1" x14ac:dyDescent="0.25">
      <c r="A943" s="353"/>
      <c r="B943" s="354"/>
      <c r="C943" s="354"/>
      <c r="D943" s="354"/>
      <c r="E943" s="368"/>
      <c r="F943" s="369"/>
    </row>
    <row r="944" spans="1:6" ht="12.75" customHeight="1" x14ac:dyDescent="0.25">
      <c r="A944" s="353"/>
      <c r="B944" s="354"/>
      <c r="C944" s="354"/>
      <c r="D944" s="354"/>
      <c r="E944" s="368"/>
      <c r="F944" s="369"/>
    </row>
    <row r="945" spans="1:6" ht="12.75" customHeight="1" x14ac:dyDescent="0.25">
      <c r="A945" s="353"/>
      <c r="B945" s="354"/>
      <c r="C945" s="354"/>
      <c r="D945" s="354"/>
      <c r="E945" s="368"/>
      <c r="F945" s="369"/>
    </row>
    <row r="946" spans="1:6" ht="12.75" customHeight="1" x14ac:dyDescent="0.25">
      <c r="A946" s="353"/>
      <c r="B946" s="354"/>
      <c r="C946" s="354"/>
      <c r="D946" s="354"/>
      <c r="E946" s="368"/>
      <c r="F946" s="369"/>
    </row>
    <row r="947" spans="1:6" ht="12.75" customHeight="1" x14ac:dyDescent="0.25">
      <c r="A947" s="353"/>
      <c r="B947" s="354"/>
      <c r="C947" s="354"/>
      <c r="D947" s="354"/>
      <c r="E947" s="368"/>
      <c r="F947" s="369"/>
    </row>
    <row r="948" spans="1:6" ht="12.75" customHeight="1" x14ac:dyDescent="0.25">
      <c r="A948" s="353"/>
      <c r="B948" s="354"/>
      <c r="C948" s="354"/>
      <c r="D948" s="354"/>
      <c r="E948" s="368"/>
      <c r="F948" s="369"/>
    </row>
    <row r="949" spans="1:6" ht="12.75" customHeight="1" x14ac:dyDescent="0.25">
      <c r="A949" s="353"/>
      <c r="B949" s="354"/>
      <c r="C949" s="354"/>
      <c r="D949" s="354"/>
      <c r="E949" s="368"/>
      <c r="F949" s="369"/>
    </row>
    <row r="950" spans="1:6" ht="12.75" customHeight="1" x14ac:dyDescent="0.25">
      <c r="A950" s="353"/>
      <c r="B950" s="354"/>
      <c r="C950" s="354"/>
      <c r="D950" s="354"/>
      <c r="E950" s="368"/>
      <c r="F950" s="369"/>
    </row>
    <row r="951" spans="1:6" ht="12.75" customHeight="1" x14ac:dyDescent="0.25">
      <c r="A951" s="353"/>
      <c r="B951" s="354"/>
      <c r="C951" s="354"/>
      <c r="D951" s="354"/>
      <c r="E951" s="368"/>
      <c r="F951" s="369"/>
    </row>
    <row r="952" spans="1:6" ht="12.75" customHeight="1" x14ac:dyDescent="0.25">
      <c r="A952" s="353"/>
      <c r="B952" s="354"/>
      <c r="C952" s="354"/>
      <c r="D952" s="354"/>
      <c r="E952" s="368"/>
      <c r="F952" s="369"/>
    </row>
    <row r="953" spans="1:6" ht="12.75" customHeight="1" x14ac:dyDescent="0.25">
      <c r="A953" s="353"/>
      <c r="B953" s="354"/>
      <c r="C953" s="354"/>
      <c r="D953" s="354"/>
      <c r="E953" s="368"/>
      <c r="F953" s="369"/>
    </row>
    <row r="954" spans="1:6" ht="12.75" customHeight="1" x14ac:dyDescent="0.25">
      <c r="A954" s="353"/>
      <c r="B954" s="354"/>
      <c r="C954" s="354"/>
      <c r="D954" s="354"/>
      <c r="E954" s="368"/>
      <c r="F954" s="369"/>
    </row>
    <row r="955" spans="1:6" ht="12.75" customHeight="1" x14ac:dyDescent="0.25">
      <c r="A955" s="353"/>
      <c r="B955" s="354"/>
      <c r="C955" s="354"/>
      <c r="D955" s="354"/>
      <c r="E955" s="368"/>
      <c r="F955" s="369"/>
    </row>
    <row r="956" spans="1:6" ht="12.75" customHeight="1" x14ac:dyDescent="0.25">
      <c r="A956" s="353"/>
      <c r="B956" s="354"/>
      <c r="C956" s="354"/>
      <c r="D956" s="354"/>
      <c r="E956" s="368"/>
      <c r="F956" s="369"/>
    </row>
    <row r="957" spans="1:6" ht="12.75" customHeight="1" x14ac:dyDescent="0.25">
      <c r="A957" s="353"/>
      <c r="B957" s="354"/>
      <c r="C957" s="354"/>
      <c r="D957" s="354"/>
      <c r="E957" s="368"/>
      <c r="F957" s="369"/>
    </row>
    <row r="958" spans="1:6" ht="12.75" customHeight="1" x14ac:dyDescent="0.25">
      <c r="A958" s="353"/>
      <c r="B958" s="354"/>
      <c r="C958" s="354"/>
      <c r="D958" s="354"/>
      <c r="E958" s="368"/>
      <c r="F958" s="369"/>
    </row>
    <row r="959" spans="1:6" ht="12.75" customHeight="1" x14ac:dyDescent="0.25">
      <c r="A959" s="353"/>
      <c r="B959" s="354"/>
      <c r="C959" s="354"/>
      <c r="D959" s="354"/>
      <c r="E959" s="368"/>
      <c r="F959" s="369"/>
    </row>
  </sheetData>
  <phoneticPr fontId="62" type="noConversion"/>
  <pageMargins left="0.7" right="0.7" top="0.75" bottom="0.75" header="0" footer="0"/>
  <pageSetup paperSize="9" scale="7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1F6E-9F00-4ADD-9F0B-B801F7821388}">
  <sheetPr>
    <tabColor rgb="FFF4B083"/>
    <pageSetUpPr fitToPage="1"/>
  </sheetPr>
  <dimension ref="A1:I1046"/>
  <sheetViews>
    <sheetView workbookViewId="0">
      <pane xSplit="2" ySplit="6" topLeftCell="C7" activePane="bottomRight" state="frozen"/>
      <selection pane="topRight" activeCell="H1" sqref="H1"/>
      <selection pane="bottomLeft" activeCell="A17" sqref="A17"/>
      <selection pane="bottomRight" activeCell="F8" sqref="F8:G13"/>
    </sheetView>
  </sheetViews>
  <sheetFormatPr defaultColWidth="19.140625" defaultRowHeight="15" customHeight="1" x14ac:dyDescent="0.25"/>
  <cols>
    <col min="1" max="1" width="9.140625" style="577" customWidth="1"/>
    <col min="2" max="2" width="37.7109375" style="387" customWidth="1"/>
    <col min="3" max="3" width="14.28515625" style="541" customWidth="1"/>
    <col min="4" max="4" width="17.28515625" style="541" customWidth="1"/>
    <col min="5" max="5" width="16" style="541" customWidth="1"/>
    <col min="6" max="16384" width="19.140625" style="387"/>
  </cols>
  <sheetData>
    <row r="1" spans="1:8" ht="15" customHeight="1" x14ac:dyDescent="0.25">
      <c r="B1" s="795" t="s">
        <v>244</v>
      </c>
    </row>
    <row r="2" spans="1:8" ht="15" customHeight="1" x14ac:dyDescent="0.25">
      <c r="B2" s="430">
        <f ca="1">TODAY()</f>
        <v>46107</v>
      </c>
    </row>
    <row r="3" spans="1:8" x14ac:dyDescent="0.25">
      <c r="B3" s="389"/>
      <c r="C3" s="542" t="s">
        <v>59</v>
      </c>
      <c r="D3" s="543"/>
      <c r="E3" s="543">
        <f>+C67-D67</f>
        <v>-9340.3000000000466</v>
      </c>
    </row>
    <row r="4" spans="1:8" x14ac:dyDescent="0.25">
      <c r="E4" s="543"/>
    </row>
    <row r="5" spans="1:8" x14ac:dyDescent="0.25">
      <c r="A5" s="581"/>
      <c r="B5" s="390"/>
      <c r="C5" s="854" t="s">
        <v>63</v>
      </c>
      <c r="D5" s="855"/>
      <c r="E5" s="856"/>
    </row>
    <row r="6" spans="1:8" ht="20.100000000000001" customHeight="1" x14ac:dyDescent="0.25">
      <c r="A6" s="578" t="s">
        <v>1</v>
      </c>
      <c r="B6" s="391" t="s">
        <v>3</v>
      </c>
      <c r="C6" s="544" t="s">
        <v>42</v>
      </c>
      <c r="D6" s="544" t="s">
        <v>41</v>
      </c>
      <c r="E6" s="545" t="s">
        <v>4</v>
      </c>
    </row>
    <row r="7" spans="1:8" ht="31.5" customHeight="1" x14ac:dyDescent="0.25">
      <c r="A7" s="579">
        <v>45957</v>
      </c>
      <c r="B7" s="391" t="s">
        <v>101</v>
      </c>
      <c r="C7" s="544">
        <v>80000</v>
      </c>
      <c r="D7" s="544">
        <v>0</v>
      </c>
      <c r="E7" s="545">
        <f>+C7-D7</f>
        <v>80000</v>
      </c>
    </row>
    <row r="8" spans="1:8" x14ac:dyDescent="0.25">
      <c r="A8" s="579">
        <v>45958</v>
      </c>
      <c r="B8" s="391" t="s">
        <v>104</v>
      </c>
      <c r="C8" s="546"/>
      <c r="D8" s="546">
        <v>71168</v>
      </c>
      <c r="E8" s="547">
        <f t="shared" ref="E8:E20" si="0">E7-D8+C8</f>
        <v>8832</v>
      </c>
    </row>
    <row r="9" spans="1:8" x14ac:dyDescent="0.25">
      <c r="A9" s="579">
        <v>45960</v>
      </c>
      <c r="B9" s="391" t="s">
        <v>102</v>
      </c>
      <c r="C9" s="546">
        <v>134000</v>
      </c>
      <c r="D9" s="546"/>
      <c r="E9" s="547">
        <f t="shared" si="0"/>
        <v>142832</v>
      </c>
      <c r="G9" s="808"/>
    </row>
    <row r="10" spans="1:8" x14ac:dyDescent="0.25">
      <c r="A10" s="579">
        <v>45962</v>
      </c>
      <c r="B10" s="391" t="s">
        <v>104</v>
      </c>
      <c r="C10" s="546"/>
      <c r="D10" s="546">
        <v>71168</v>
      </c>
      <c r="E10" s="547">
        <f t="shared" si="0"/>
        <v>71664</v>
      </c>
      <c r="F10" s="580"/>
    </row>
    <row r="11" spans="1:8" x14ac:dyDescent="0.25">
      <c r="A11" s="579">
        <v>45965</v>
      </c>
      <c r="B11" s="391" t="s">
        <v>103</v>
      </c>
      <c r="C11" s="546">
        <v>19140</v>
      </c>
      <c r="D11" s="546"/>
      <c r="E11" s="547">
        <f t="shared" si="0"/>
        <v>90804</v>
      </c>
    </row>
    <row r="12" spans="1:8" x14ac:dyDescent="0.25">
      <c r="A12" s="579">
        <v>45972</v>
      </c>
      <c r="B12" s="391" t="s">
        <v>103</v>
      </c>
      <c r="C12" s="546">
        <v>4872</v>
      </c>
      <c r="D12" s="546"/>
      <c r="E12" s="547">
        <f t="shared" si="0"/>
        <v>95676</v>
      </c>
    </row>
    <row r="13" spans="1:8" x14ac:dyDescent="0.25">
      <c r="A13" s="579">
        <v>45979</v>
      </c>
      <c r="B13" s="391" t="s">
        <v>103</v>
      </c>
      <c r="C13" s="546">
        <v>189750</v>
      </c>
      <c r="D13" s="546"/>
      <c r="E13" s="547">
        <f t="shared" si="0"/>
        <v>285426</v>
      </c>
    </row>
    <row r="14" spans="1:8" x14ac:dyDescent="0.25">
      <c r="A14" s="579">
        <v>46000</v>
      </c>
      <c r="B14" s="391" t="s">
        <v>104</v>
      </c>
      <c r="C14" s="546"/>
      <c r="D14" s="546">
        <v>71168</v>
      </c>
      <c r="E14" s="547">
        <f t="shared" si="0"/>
        <v>214258</v>
      </c>
      <c r="F14" s="394"/>
    </row>
    <row r="15" spans="1:8" x14ac:dyDescent="0.25">
      <c r="A15" s="579">
        <v>46008</v>
      </c>
      <c r="B15" s="391" t="s">
        <v>224</v>
      </c>
      <c r="C15" s="546"/>
      <c r="D15" s="546">
        <v>88960</v>
      </c>
      <c r="E15" s="547">
        <f t="shared" si="0"/>
        <v>125298</v>
      </c>
    </row>
    <row r="16" spans="1:8" ht="15.75" x14ac:dyDescent="0.25">
      <c r="A16" s="579">
        <v>46014</v>
      </c>
      <c r="B16" s="391" t="s">
        <v>242</v>
      </c>
      <c r="C16" s="546">
        <v>79350</v>
      </c>
      <c r="D16" s="546"/>
      <c r="E16" s="547">
        <f t="shared" si="0"/>
        <v>204648</v>
      </c>
      <c r="F16" s="395"/>
      <c r="G16" s="396"/>
      <c r="H16" s="397"/>
    </row>
    <row r="17" spans="1:9" x14ac:dyDescent="0.25">
      <c r="A17" s="579">
        <v>46385</v>
      </c>
      <c r="B17" s="391" t="s">
        <v>224</v>
      </c>
      <c r="C17" s="546"/>
      <c r="D17" s="546">
        <v>88960</v>
      </c>
      <c r="E17" s="547">
        <f t="shared" si="0"/>
        <v>115688</v>
      </c>
    </row>
    <row r="18" spans="1:9" x14ac:dyDescent="0.25">
      <c r="A18" s="579">
        <v>46025</v>
      </c>
      <c r="B18" s="391" t="s">
        <v>104</v>
      </c>
      <c r="C18" s="546"/>
      <c r="D18" s="546">
        <f>88.96*800</f>
        <v>71168</v>
      </c>
      <c r="E18" s="547">
        <f t="shared" si="0"/>
        <v>44520</v>
      </c>
    </row>
    <row r="19" spans="1:9" ht="15.75" customHeight="1" x14ac:dyDescent="0.3">
      <c r="A19" s="579">
        <v>46027</v>
      </c>
      <c r="B19" s="391" t="s">
        <v>224</v>
      </c>
      <c r="C19" s="546"/>
      <c r="D19" s="546">
        <v>88960</v>
      </c>
      <c r="E19" s="547">
        <f t="shared" si="0"/>
        <v>-44440</v>
      </c>
      <c r="F19" s="399"/>
      <c r="G19" s="400"/>
      <c r="H19" s="401"/>
      <c r="I19" s="400"/>
    </row>
    <row r="20" spans="1:9" x14ac:dyDescent="0.25">
      <c r="A20" s="579">
        <v>46031</v>
      </c>
      <c r="B20" s="391" t="s">
        <v>266</v>
      </c>
      <c r="C20" s="546">
        <f>395*88.86</f>
        <v>35099.699999999997</v>
      </c>
      <c r="D20" s="546"/>
      <c r="E20" s="547">
        <f t="shared" si="0"/>
        <v>-9340.3000000000029</v>
      </c>
      <c r="F20" s="402">
        <f>+E20/88.96</f>
        <v>-104.99437949640291</v>
      </c>
      <c r="G20" s="857"/>
      <c r="H20" s="857"/>
      <c r="I20" s="403"/>
    </row>
    <row r="21" spans="1:9" x14ac:dyDescent="0.25">
      <c r="A21" s="579"/>
      <c r="B21" s="391"/>
      <c r="C21" s="546"/>
      <c r="D21" s="546"/>
      <c r="E21" s="547"/>
      <c r="F21" s="402"/>
      <c r="G21" s="400"/>
      <c r="H21" s="400"/>
      <c r="I21" s="404"/>
    </row>
    <row r="22" spans="1:9" x14ac:dyDescent="0.25">
      <c r="A22" s="579"/>
      <c r="B22" s="398"/>
      <c r="C22" s="546"/>
      <c r="D22" s="546"/>
      <c r="E22" s="547"/>
      <c r="F22" s="402"/>
      <c r="G22" s="400"/>
      <c r="H22" s="400"/>
      <c r="I22" s="400"/>
    </row>
    <row r="23" spans="1:9" x14ac:dyDescent="0.25">
      <c r="A23" s="579"/>
      <c r="B23" s="398"/>
      <c r="C23" s="546"/>
      <c r="D23" s="546"/>
      <c r="E23" s="547"/>
      <c r="F23" s="405"/>
      <c r="G23" s="400"/>
      <c r="H23" s="401"/>
      <c r="I23" s="400"/>
    </row>
    <row r="24" spans="1:9" ht="15.75" customHeight="1" x14ac:dyDescent="0.25">
      <c r="A24" s="579"/>
      <c r="B24" s="398"/>
      <c r="C24" s="546"/>
      <c r="D24" s="546"/>
      <c r="E24" s="547"/>
      <c r="F24" s="402"/>
      <c r="G24" s="400"/>
      <c r="H24" s="401"/>
      <c r="I24" s="400"/>
    </row>
    <row r="25" spans="1:9" ht="15.75" customHeight="1" x14ac:dyDescent="0.25">
      <c r="A25" s="579"/>
      <c r="B25" s="391"/>
      <c r="C25" s="546"/>
      <c r="D25" s="546"/>
      <c r="E25" s="547"/>
      <c r="G25" s="400"/>
      <c r="H25" s="401"/>
      <c r="I25" s="400"/>
    </row>
    <row r="26" spans="1:9" ht="15.75" customHeight="1" x14ac:dyDescent="0.25">
      <c r="A26" s="579"/>
      <c r="B26" s="391"/>
      <c r="C26" s="546"/>
      <c r="D26" s="546"/>
      <c r="E26" s="547"/>
      <c r="G26" s="400"/>
      <c r="H26" s="401"/>
      <c r="I26" s="400"/>
    </row>
    <row r="27" spans="1:9" ht="15.75" customHeight="1" x14ac:dyDescent="0.25">
      <c r="A27" s="579"/>
      <c r="B27" s="391"/>
      <c r="C27" s="546"/>
      <c r="D27" s="546"/>
      <c r="E27" s="547"/>
      <c r="G27" s="400"/>
      <c r="H27" s="401"/>
      <c r="I27" s="400"/>
    </row>
    <row r="28" spans="1:9" ht="15.75" customHeight="1" x14ac:dyDescent="0.25">
      <c r="A28" s="579"/>
      <c r="B28" s="398"/>
      <c r="C28" s="546"/>
      <c r="D28" s="546"/>
      <c r="E28" s="547"/>
      <c r="G28" s="400"/>
      <c r="H28" s="401"/>
      <c r="I28" s="400"/>
    </row>
    <row r="29" spans="1:9" ht="15.75" customHeight="1" x14ac:dyDescent="0.25">
      <c r="A29" s="579"/>
      <c r="B29" s="398"/>
      <c r="C29" s="546"/>
      <c r="D29" s="546"/>
      <c r="E29" s="547"/>
      <c r="G29" s="388"/>
      <c r="H29" s="406"/>
      <c r="I29" s="400"/>
    </row>
    <row r="30" spans="1:9" ht="15.75" customHeight="1" x14ac:dyDescent="0.25">
      <c r="A30" s="579"/>
      <c r="B30" s="398"/>
      <c r="C30" s="546"/>
      <c r="D30" s="546"/>
      <c r="E30" s="547"/>
      <c r="H30" s="407"/>
    </row>
    <row r="31" spans="1:9" ht="15.75" customHeight="1" x14ac:dyDescent="0.25">
      <c r="A31" s="579"/>
      <c r="B31" s="391"/>
      <c r="C31" s="546"/>
      <c r="D31" s="546"/>
      <c r="E31" s="547"/>
      <c r="H31" s="407"/>
    </row>
    <row r="32" spans="1:9" ht="15.75" customHeight="1" x14ac:dyDescent="0.25">
      <c r="A32" s="579"/>
      <c r="B32" s="391"/>
      <c r="C32" s="546"/>
      <c r="D32" s="546"/>
      <c r="E32" s="547"/>
      <c r="H32" s="407"/>
    </row>
    <row r="33" spans="1:8" ht="15.75" customHeight="1" x14ac:dyDescent="0.25">
      <c r="A33" s="579"/>
      <c r="B33" s="398"/>
      <c r="C33" s="548"/>
      <c r="D33" s="548"/>
      <c r="E33" s="549"/>
      <c r="H33" s="407"/>
    </row>
    <row r="34" spans="1:8" ht="15.75" customHeight="1" x14ac:dyDescent="0.25">
      <c r="A34" s="579"/>
      <c r="B34" s="391"/>
      <c r="C34" s="546"/>
      <c r="D34" s="550"/>
      <c r="E34" s="549"/>
      <c r="F34" s="394"/>
      <c r="H34" s="407"/>
    </row>
    <row r="35" spans="1:8" ht="15.75" customHeight="1" x14ac:dyDescent="0.25">
      <c r="A35" s="579"/>
      <c r="B35" s="391"/>
      <c r="C35" s="551"/>
      <c r="D35" s="551"/>
      <c r="E35" s="549"/>
      <c r="H35" s="407"/>
    </row>
    <row r="36" spans="1:8" ht="15.75" customHeight="1" x14ac:dyDescent="0.25">
      <c r="A36" s="579"/>
      <c r="B36" s="391"/>
      <c r="C36" s="551"/>
      <c r="D36" s="551"/>
      <c r="E36" s="549"/>
      <c r="H36" s="407"/>
    </row>
    <row r="37" spans="1:8" ht="15.75" customHeight="1" x14ac:dyDescent="0.25">
      <c r="A37" s="579"/>
      <c r="B37" s="391"/>
      <c r="C37" s="551"/>
      <c r="D37" s="551"/>
      <c r="E37" s="549"/>
      <c r="H37" s="407"/>
    </row>
    <row r="38" spans="1:8" ht="15.75" customHeight="1" x14ac:dyDescent="0.25">
      <c r="A38" s="579"/>
      <c r="B38" s="391"/>
      <c r="C38" s="551"/>
      <c r="D38" s="551"/>
      <c r="E38" s="549"/>
      <c r="H38" s="407"/>
    </row>
    <row r="39" spans="1:8" ht="15.75" customHeight="1" x14ac:dyDescent="0.25">
      <c r="A39" s="579"/>
      <c r="B39" s="391"/>
      <c r="C39" s="551"/>
      <c r="D39" s="551"/>
      <c r="E39" s="549"/>
      <c r="H39" s="407"/>
    </row>
    <row r="40" spans="1:8" ht="15.75" customHeight="1" x14ac:dyDescent="0.25">
      <c r="A40" s="579"/>
      <c r="B40" s="391"/>
      <c r="C40" s="551"/>
      <c r="D40" s="551"/>
      <c r="E40" s="549"/>
      <c r="H40" s="407"/>
    </row>
    <row r="41" spans="1:8" ht="15.75" customHeight="1" x14ac:dyDescent="0.25">
      <c r="A41" s="579"/>
      <c r="B41" s="391"/>
      <c r="C41" s="551"/>
      <c r="D41" s="551"/>
      <c r="E41" s="549"/>
      <c r="H41" s="407"/>
    </row>
    <row r="42" spans="1:8" ht="15.75" customHeight="1" x14ac:dyDescent="0.25">
      <c r="A42" s="579"/>
      <c r="B42" s="391"/>
      <c r="C42" s="551"/>
      <c r="D42" s="551"/>
      <c r="E42" s="549"/>
      <c r="H42" s="407"/>
    </row>
    <row r="43" spans="1:8" ht="15.75" customHeight="1" x14ac:dyDescent="0.25">
      <c r="A43" s="579"/>
      <c r="B43" s="391"/>
      <c r="C43" s="551"/>
      <c r="D43" s="551"/>
      <c r="E43" s="549"/>
      <c r="H43" s="407"/>
    </row>
    <row r="44" spans="1:8" ht="15.75" customHeight="1" x14ac:dyDescent="0.25">
      <c r="A44" s="579"/>
      <c r="B44" s="391"/>
      <c r="C44" s="551"/>
      <c r="D44" s="551"/>
      <c r="E44" s="549"/>
      <c r="F44" s="414"/>
      <c r="H44" s="407"/>
    </row>
    <row r="45" spans="1:8" ht="15.75" customHeight="1" x14ac:dyDescent="0.25">
      <c r="A45" s="579"/>
      <c r="B45" s="391"/>
      <c r="C45" s="551"/>
      <c r="D45" s="551"/>
      <c r="E45" s="549"/>
      <c r="F45" s="414"/>
      <c r="H45" s="407"/>
    </row>
    <row r="46" spans="1:8" ht="15.75" customHeight="1" x14ac:dyDescent="0.25">
      <c r="A46" s="579"/>
      <c r="B46" s="391"/>
      <c r="C46" s="551"/>
      <c r="D46" s="551"/>
      <c r="E46" s="549"/>
      <c r="F46" s="415"/>
      <c r="H46" s="407"/>
    </row>
    <row r="47" spans="1:8" ht="15.75" customHeight="1" x14ac:dyDescent="0.25">
      <c r="A47" s="579"/>
      <c r="B47" s="391"/>
      <c r="C47" s="551"/>
      <c r="D47" s="551"/>
      <c r="E47" s="549"/>
      <c r="H47" s="407"/>
    </row>
    <row r="48" spans="1:8" ht="15.75" customHeight="1" x14ac:dyDescent="0.25">
      <c r="A48" s="579"/>
      <c r="B48" s="391"/>
      <c r="C48" s="551"/>
      <c r="D48" s="551"/>
      <c r="E48" s="549"/>
      <c r="H48" s="407"/>
    </row>
    <row r="49" spans="1:8" ht="15.75" customHeight="1" x14ac:dyDescent="0.25">
      <c r="A49" s="579"/>
      <c r="B49" s="391"/>
      <c r="C49" s="551"/>
      <c r="D49" s="551"/>
      <c r="E49" s="549"/>
      <c r="H49" s="407"/>
    </row>
    <row r="50" spans="1:8" ht="15.75" customHeight="1" x14ac:dyDescent="0.25">
      <c r="A50" s="579"/>
      <c r="B50" s="391"/>
      <c r="C50" s="551"/>
      <c r="D50" s="551"/>
      <c r="E50" s="549"/>
      <c r="F50" s="414"/>
      <c r="H50" s="407"/>
    </row>
    <row r="51" spans="1:8" ht="15.75" customHeight="1" x14ac:dyDescent="0.25">
      <c r="A51" s="579"/>
      <c r="B51" s="391"/>
      <c r="C51" s="551"/>
      <c r="D51" s="551"/>
      <c r="E51" s="549"/>
      <c r="F51" s="414"/>
      <c r="H51" s="407"/>
    </row>
    <row r="52" spans="1:8" ht="15.75" customHeight="1" x14ac:dyDescent="0.25">
      <c r="A52" s="579"/>
      <c r="B52" s="391"/>
      <c r="C52" s="551"/>
      <c r="D52" s="551"/>
      <c r="E52" s="549"/>
      <c r="F52" s="415"/>
      <c r="H52" s="407"/>
    </row>
    <row r="53" spans="1:8" ht="15.75" customHeight="1" x14ac:dyDescent="0.25">
      <c r="A53" s="579"/>
      <c r="B53" s="391"/>
      <c r="C53" s="551"/>
      <c r="D53" s="551"/>
      <c r="E53" s="549"/>
      <c r="H53" s="407"/>
    </row>
    <row r="54" spans="1:8" ht="15.75" customHeight="1" x14ac:dyDescent="0.25">
      <c r="A54" s="579"/>
      <c r="B54" s="391"/>
      <c r="C54" s="551"/>
      <c r="D54" s="551"/>
      <c r="E54" s="549"/>
      <c r="H54" s="407"/>
    </row>
    <row r="55" spans="1:8" ht="15.75" customHeight="1" x14ac:dyDescent="0.25">
      <c r="A55" s="579"/>
      <c r="B55" s="391"/>
      <c r="C55" s="551"/>
      <c r="D55" s="551"/>
      <c r="E55" s="549"/>
      <c r="H55" s="407"/>
    </row>
    <row r="56" spans="1:8" ht="15.75" customHeight="1" x14ac:dyDescent="0.25">
      <c r="A56" s="579"/>
      <c r="B56" s="391"/>
      <c r="C56" s="551"/>
      <c r="D56" s="551"/>
      <c r="E56" s="549"/>
      <c r="H56" s="407"/>
    </row>
    <row r="57" spans="1:8" ht="15.75" customHeight="1" x14ac:dyDescent="0.25">
      <c r="A57" s="579"/>
      <c r="B57" s="391"/>
      <c r="C57" s="551"/>
      <c r="D57" s="551"/>
      <c r="E57" s="549"/>
      <c r="H57" s="407"/>
    </row>
    <row r="58" spans="1:8" ht="15.75" customHeight="1" x14ac:dyDescent="0.25">
      <c r="A58" s="579"/>
      <c r="B58" s="391"/>
      <c r="C58" s="551"/>
      <c r="D58" s="551"/>
      <c r="E58" s="549"/>
      <c r="H58" s="407"/>
    </row>
    <row r="59" spans="1:8" ht="15.75" customHeight="1" x14ac:dyDescent="0.25">
      <c r="A59" s="579"/>
      <c r="B59" s="391"/>
      <c r="C59" s="551"/>
      <c r="D59" s="551"/>
      <c r="E59" s="549"/>
      <c r="H59" s="407"/>
    </row>
    <row r="60" spans="1:8" ht="15.75" customHeight="1" x14ac:dyDescent="0.25">
      <c r="A60" s="579"/>
      <c r="B60" s="391"/>
      <c r="C60" s="551"/>
      <c r="D60" s="551"/>
      <c r="E60" s="549"/>
      <c r="H60" s="407"/>
    </row>
    <row r="61" spans="1:8" ht="15.75" customHeight="1" x14ac:dyDescent="0.25">
      <c r="A61" s="579"/>
      <c r="B61" s="431"/>
      <c r="C61" s="552"/>
      <c r="D61" s="552"/>
      <c r="E61" s="553"/>
      <c r="H61" s="407"/>
    </row>
    <row r="62" spans="1:8" ht="15.75" customHeight="1" x14ac:dyDescent="0.25">
      <c r="A62" s="579"/>
      <c r="B62" s="391"/>
      <c r="C62" s="551"/>
      <c r="D62" s="551"/>
      <c r="E62" s="549"/>
      <c r="H62" s="407"/>
    </row>
    <row r="63" spans="1:8" ht="15.75" customHeight="1" x14ac:dyDescent="0.25">
      <c r="A63" s="579"/>
      <c r="B63" s="391"/>
      <c r="C63" s="551"/>
      <c r="D63" s="551"/>
      <c r="E63" s="549"/>
      <c r="H63" s="407"/>
    </row>
    <row r="64" spans="1:8" ht="15.75" customHeight="1" x14ac:dyDescent="0.25">
      <c r="A64" s="579"/>
      <c r="B64" s="391"/>
      <c r="C64" s="551"/>
      <c r="D64" s="551"/>
      <c r="E64" s="549"/>
      <c r="H64" s="407"/>
    </row>
    <row r="65" spans="1:8" ht="15.75" customHeight="1" x14ac:dyDescent="0.25">
      <c r="A65" s="579"/>
      <c r="B65" s="391"/>
      <c r="C65" s="551"/>
      <c r="D65" s="551"/>
      <c r="E65" s="549"/>
      <c r="H65" s="407"/>
    </row>
    <row r="66" spans="1:8" ht="15.75" customHeight="1" x14ac:dyDescent="0.25">
      <c r="A66" s="579"/>
      <c r="B66" s="391"/>
      <c r="C66" s="551"/>
      <c r="D66" s="551"/>
      <c r="E66" s="549"/>
      <c r="H66" s="407"/>
    </row>
    <row r="67" spans="1:8" ht="15.75" customHeight="1" x14ac:dyDescent="0.25">
      <c r="A67" s="579"/>
      <c r="B67" s="409" t="s">
        <v>52</v>
      </c>
      <c r="C67" s="551">
        <f>SUM(C7:C66)</f>
        <v>542211.69999999995</v>
      </c>
      <c r="D67" s="551">
        <f>SUM(D7:D66)</f>
        <v>551552</v>
      </c>
      <c r="E67" s="549">
        <f>+C67-D67</f>
        <v>-9340.3000000000466</v>
      </c>
      <c r="F67" s="397"/>
      <c r="H67" s="407"/>
    </row>
    <row r="68" spans="1:8" ht="15.75" customHeight="1" x14ac:dyDescent="0.25">
      <c r="A68" s="579"/>
      <c r="B68" s="410"/>
      <c r="C68" s="554"/>
      <c r="D68" s="555"/>
      <c r="E68" s="549"/>
      <c r="G68" s="394"/>
      <c r="H68" s="407"/>
    </row>
    <row r="69" spans="1:8" ht="15.75" customHeight="1" x14ac:dyDescent="0.25">
      <c r="C69" s="556"/>
      <c r="D69" s="556"/>
      <c r="E69" s="557"/>
      <c r="H69" s="407"/>
    </row>
    <row r="70" spans="1:8" ht="15.75" customHeight="1" x14ac:dyDescent="0.25">
      <c r="C70" s="551"/>
      <c r="D70" s="551"/>
      <c r="E70" s="558"/>
      <c r="H70" s="407"/>
    </row>
    <row r="71" spans="1:8" ht="15.75" customHeight="1" x14ac:dyDescent="0.25">
      <c r="C71" s="551"/>
      <c r="D71" s="551"/>
      <c r="E71" s="558"/>
      <c r="H71" s="407"/>
    </row>
    <row r="72" spans="1:8" ht="15.75" customHeight="1" x14ac:dyDescent="0.25">
      <c r="C72" s="551"/>
      <c r="D72" s="551"/>
      <c r="E72" s="558"/>
      <c r="H72" s="407"/>
    </row>
    <row r="73" spans="1:8" ht="15.75" customHeight="1" x14ac:dyDescent="0.25">
      <c r="C73" s="551"/>
      <c r="D73" s="551"/>
      <c r="E73" s="558"/>
    </row>
    <row r="74" spans="1:8" ht="15.75" customHeight="1" x14ac:dyDescent="0.25">
      <c r="C74" s="551"/>
      <c r="D74" s="551"/>
      <c r="E74" s="558"/>
    </row>
    <row r="75" spans="1:8" ht="15.75" customHeight="1" x14ac:dyDescent="0.25">
      <c r="C75" s="551"/>
      <c r="D75" s="551"/>
      <c r="E75" s="558"/>
    </row>
    <row r="76" spans="1:8" ht="15.75" customHeight="1" x14ac:dyDescent="0.25">
      <c r="C76" s="551"/>
      <c r="D76" s="551"/>
      <c r="E76" s="558"/>
    </row>
    <row r="77" spans="1:8" ht="15.75" customHeight="1" x14ac:dyDescent="0.25">
      <c r="C77" s="551"/>
      <c r="D77" s="551"/>
      <c r="E77" s="558"/>
    </row>
    <row r="78" spans="1:8" ht="15.75" customHeight="1" x14ac:dyDescent="0.25">
      <c r="C78" s="551"/>
      <c r="D78" s="551"/>
      <c r="E78" s="558"/>
    </row>
    <row r="79" spans="1:8" ht="15.75" customHeight="1" x14ac:dyDescent="0.25">
      <c r="C79" s="551"/>
      <c r="D79" s="551"/>
      <c r="E79" s="558"/>
    </row>
    <row r="80" spans="1:8" ht="15.75" customHeight="1" x14ac:dyDescent="0.25">
      <c r="E80" s="543"/>
    </row>
    <row r="81" spans="5:5" ht="15.75" customHeight="1" x14ac:dyDescent="0.25">
      <c r="E81" s="543"/>
    </row>
    <row r="82" spans="5:5" ht="15.75" customHeight="1" x14ac:dyDescent="0.25">
      <c r="E82" s="543"/>
    </row>
    <row r="83" spans="5:5" ht="15.75" customHeight="1" x14ac:dyDescent="0.25">
      <c r="E83" s="543"/>
    </row>
    <row r="84" spans="5:5" ht="15.75" customHeight="1" x14ac:dyDescent="0.25">
      <c r="E84" s="543"/>
    </row>
    <row r="85" spans="5:5" ht="15.75" customHeight="1" x14ac:dyDescent="0.25">
      <c r="E85" s="543"/>
    </row>
    <row r="86" spans="5:5" ht="15.75" customHeight="1" x14ac:dyDescent="0.25">
      <c r="E86" s="543"/>
    </row>
    <row r="87" spans="5:5" ht="15.75" customHeight="1" x14ac:dyDescent="0.25">
      <c r="E87" s="543"/>
    </row>
    <row r="88" spans="5:5" ht="15.75" customHeight="1" x14ac:dyDescent="0.25">
      <c r="E88" s="543"/>
    </row>
    <row r="89" spans="5:5" ht="15.75" customHeight="1" x14ac:dyDescent="0.25">
      <c r="E89" s="543"/>
    </row>
    <row r="90" spans="5:5" ht="15.75" customHeight="1" x14ac:dyDescent="0.25">
      <c r="E90" s="543"/>
    </row>
    <row r="91" spans="5:5" ht="15.75" customHeight="1" x14ac:dyDescent="0.25">
      <c r="E91" s="543"/>
    </row>
    <row r="92" spans="5:5" ht="15.75" customHeight="1" x14ac:dyDescent="0.25">
      <c r="E92" s="543"/>
    </row>
    <row r="93" spans="5:5" ht="15.75" customHeight="1" x14ac:dyDescent="0.25">
      <c r="E93" s="543"/>
    </row>
    <row r="94" spans="5:5" ht="15.75" customHeight="1" x14ac:dyDescent="0.25">
      <c r="E94" s="543"/>
    </row>
    <row r="95" spans="5:5" ht="15.75" customHeight="1" x14ac:dyDescent="0.25">
      <c r="E95" s="543"/>
    </row>
    <row r="96" spans="5:5" ht="15.75" customHeight="1" x14ac:dyDescent="0.25">
      <c r="E96" s="543"/>
    </row>
    <row r="97" spans="5:5" ht="15.75" customHeight="1" x14ac:dyDescent="0.25">
      <c r="E97" s="543"/>
    </row>
    <row r="98" spans="5:5" ht="15.75" customHeight="1" x14ac:dyDescent="0.25">
      <c r="E98" s="543"/>
    </row>
    <row r="99" spans="5:5" ht="15.75" customHeight="1" x14ac:dyDescent="0.25">
      <c r="E99" s="543"/>
    </row>
    <row r="100" spans="5:5" ht="15.75" customHeight="1" x14ac:dyDescent="0.25">
      <c r="E100" s="543"/>
    </row>
    <row r="101" spans="5:5" ht="15.75" customHeight="1" x14ac:dyDescent="0.25">
      <c r="E101" s="543"/>
    </row>
    <row r="102" spans="5:5" ht="15.75" customHeight="1" x14ac:dyDescent="0.25">
      <c r="E102" s="543"/>
    </row>
    <row r="103" spans="5:5" ht="15.75" customHeight="1" x14ac:dyDescent="0.25">
      <c r="E103" s="543"/>
    </row>
    <row r="104" spans="5:5" ht="15.75" customHeight="1" x14ac:dyDescent="0.25">
      <c r="E104" s="543"/>
    </row>
    <row r="105" spans="5:5" ht="15.75" customHeight="1" x14ac:dyDescent="0.25">
      <c r="E105" s="543"/>
    </row>
    <row r="106" spans="5:5" ht="15.75" customHeight="1" x14ac:dyDescent="0.25">
      <c r="E106" s="543"/>
    </row>
    <row r="107" spans="5:5" ht="15.75" customHeight="1" x14ac:dyDescent="0.25">
      <c r="E107" s="543"/>
    </row>
    <row r="108" spans="5:5" ht="15.75" customHeight="1" x14ac:dyDescent="0.25">
      <c r="E108" s="543"/>
    </row>
    <row r="109" spans="5:5" ht="15.75" customHeight="1" x14ac:dyDescent="0.25">
      <c r="E109" s="543"/>
    </row>
    <row r="110" spans="5:5" ht="15.75" customHeight="1" x14ac:dyDescent="0.25">
      <c r="E110" s="543"/>
    </row>
    <row r="111" spans="5:5" ht="15.75" customHeight="1" x14ac:dyDescent="0.25">
      <c r="E111" s="543"/>
    </row>
    <row r="112" spans="5:5" ht="15.75" customHeight="1" x14ac:dyDescent="0.25">
      <c r="E112" s="543"/>
    </row>
    <row r="113" spans="5:5" ht="15.75" customHeight="1" x14ac:dyDescent="0.25">
      <c r="E113" s="543"/>
    </row>
    <row r="114" spans="5:5" ht="15.75" customHeight="1" x14ac:dyDescent="0.25">
      <c r="E114" s="543"/>
    </row>
    <row r="115" spans="5:5" ht="15.75" customHeight="1" x14ac:dyDescent="0.25">
      <c r="E115" s="543"/>
    </row>
    <row r="116" spans="5:5" ht="15.75" customHeight="1" x14ac:dyDescent="0.25">
      <c r="E116" s="543"/>
    </row>
    <row r="117" spans="5:5" ht="15.75" customHeight="1" x14ac:dyDescent="0.25">
      <c r="E117" s="543"/>
    </row>
    <row r="118" spans="5:5" ht="15.75" customHeight="1" x14ac:dyDescent="0.25">
      <c r="E118" s="543"/>
    </row>
    <row r="119" spans="5:5" ht="15.75" customHeight="1" x14ac:dyDescent="0.25">
      <c r="E119" s="543"/>
    </row>
    <row r="120" spans="5:5" ht="15.75" customHeight="1" x14ac:dyDescent="0.25">
      <c r="E120" s="543"/>
    </row>
    <row r="121" spans="5:5" ht="15.75" customHeight="1" x14ac:dyDescent="0.25">
      <c r="E121" s="543"/>
    </row>
    <row r="122" spans="5:5" ht="15.75" customHeight="1" x14ac:dyDescent="0.25">
      <c r="E122" s="543"/>
    </row>
    <row r="123" spans="5:5" ht="15.75" customHeight="1" x14ac:dyDescent="0.25">
      <c r="E123" s="543"/>
    </row>
    <row r="124" spans="5:5" ht="15.75" customHeight="1" x14ac:dyDescent="0.25">
      <c r="E124" s="543"/>
    </row>
    <row r="125" spans="5:5" ht="15.75" customHeight="1" x14ac:dyDescent="0.25">
      <c r="E125" s="543"/>
    </row>
    <row r="126" spans="5:5" ht="15.75" customHeight="1" x14ac:dyDescent="0.25">
      <c r="E126" s="543"/>
    </row>
    <row r="127" spans="5:5" ht="15.75" customHeight="1" x14ac:dyDescent="0.25">
      <c r="E127" s="543"/>
    </row>
    <row r="128" spans="5:5" ht="15.75" customHeight="1" x14ac:dyDescent="0.25">
      <c r="E128" s="543"/>
    </row>
    <row r="129" spans="5:5" ht="15.75" customHeight="1" x14ac:dyDescent="0.25">
      <c r="E129" s="543"/>
    </row>
    <row r="130" spans="5:5" ht="15.75" customHeight="1" x14ac:dyDescent="0.25">
      <c r="E130" s="543"/>
    </row>
    <row r="131" spans="5:5" ht="15.75" customHeight="1" x14ac:dyDescent="0.25">
      <c r="E131" s="543"/>
    </row>
    <row r="132" spans="5:5" ht="15.75" customHeight="1" x14ac:dyDescent="0.25">
      <c r="E132" s="543"/>
    </row>
    <row r="133" spans="5:5" ht="15.75" customHeight="1" x14ac:dyDescent="0.25">
      <c r="E133" s="543"/>
    </row>
    <row r="134" spans="5:5" ht="15.75" customHeight="1" x14ac:dyDescent="0.25">
      <c r="E134" s="543"/>
    </row>
    <row r="135" spans="5:5" ht="15.75" customHeight="1" x14ac:dyDescent="0.25">
      <c r="E135" s="543"/>
    </row>
    <row r="136" spans="5:5" ht="15.75" customHeight="1" x14ac:dyDescent="0.25">
      <c r="E136" s="543"/>
    </row>
    <row r="137" spans="5:5" ht="15.75" customHeight="1" x14ac:dyDescent="0.25">
      <c r="E137" s="543"/>
    </row>
    <row r="138" spans="5:5" ht="15.75" customHeight="1" x14ac:dyDescent="0.25">
      <c r="E138" s="543"/>
    </row>
    <row r="139" spans="5:5" ht="15.75" customHeight="1" x14ac:dyDescent="0.25">
      <c r="E139" s="543"/>
    </row>
    <row r="140" spans="5:5" ht="15.75" customHeight="1" x14ac:dyDescent="0.25">
      <c r="E140" s="543"/>
    </row>
    <row r="141" spans="5:5" ht="15.75" customHeight="1" x14ac:dyDescent="0.25">
      <c r="E141" s="543"/>
    </row>
    <row r="142" spans="5:5" ht="15.75" customHeight="1" x14ac:dyDescent="0.25">
      <c r="E142" s="543"/>
    </row>
    <row r="143" spans="5:5" ht="15.75" customHeight="1" x14ac:dyDescent="0.25">
      <c r="E143" s="543"/>
    </row>
    <row r="144" spans="5:5" ht="15.75" customHeight="1" x14ac:dyDescent="0.25">
      <c r="E144" s="543"/>
    </row>
    <row r="145" spans="5:5" ht="15.75" customHeight="1" x14ac:dyDescent="0.25">
      <c r="E145" s="543"/>
    </row>
    <row r="146" spans="5:5" ht="15.75" customHeight="1" x14ac:dyDescent="0.25">
      <c r="E146" s="543"/>
    </row>
    <row r="147" spans="5:5" ht="15.75" customHeight="1" x14ac:dyDescent="0.25">
      <c r="E147" s="543"/>
    </row>
    <row r="148" spans="5:5" ht="15.75" customHeight="1" x14ac:dyDescent="0.25">
      <c r="E148" s="543"/>
    </row>
    <row r="149" spans="5:5" ht="15.75" customHeight="1" x14ac:dyDescent="0.25">
      <c r="E149" s="543"/>
    </row>
    <row r="150" spans="5:5" ht="15.75" customHeight="1" x14ac:dyDescent="0.25">
      <c r="E150" s="543"/>
    </row>
    <row r="151" spans="5:5" ht="15.75" customHeight="1" x14ac:dyDescent="0.25">
      <c r="E151" s="543"/>
    </row>
    <row r="152" spans="5:5" ht="15.75" customHeight="1" x14ac:dyDescent="0.25">
      <c r="E152" s="543"/>
    </row>
    <row r="153" spans="5:5" ht="15.75" customHeight="1" x14ac:dyDescent="0.25">
      <c r="E153" s="543"/>
    </row>
    <row r="154" spans="5:5" ht="15.75" customHeight="1" x14ac:dyDescent="0.25">
      <c r="E154" s="543"/>
    </row>
    <row r="155" spans="5:5" ht="15.75" customHeight="1" x14ac:dyDescent="0.25">
      <c r="E155" s="543"/>
    </row>
    <row r="156" spans="5:5" ht="15.75" customHeight="1" x14ac:dyDescent="0.25">
      <c r="E156" s="543"/>
    </row>
    <row r="157" spans="5:5" ht="15.75" customHeight="1" x14ac:dyDescent="0.25">
      <c r="E157" s="543"/>
    </row>
    <row r="158" spans="5:5" ht="15.75" customHeight="1" x14ac:dyDescent="0.25">
      <c r="E158" s="543"/>
    </row>
    <row r="159" spans="5:5" ht="15.75" customHeight="1" x14ac:dyDescent="0.25">
      <c r="E159" s="543"/>
    </row>
    <row r="160" spans="5:5" ht="15.75" customHeight="1" x14ac:dyDescent="0.25">
      <c r="E160" s="543"/>
    </row>
    <row r="161" spans="5:5" ht="15.75" customHeight="1" x14ac:dyDescent="0.25">
      <c r="E161" s="543"/>
    </row>
    <row r="162" spans="5:5" ht="15.75" customHeight="1" x14ac:dyDescent="0.25">
      <c r="E162" s="543"/>
    </row>
    <row r="163" spans="5:5" ht="15.75" customHeight="1" x14ac:dyDescent="0.25">
      <c r="E163" s="543"/>
    </row>
    <row r="164" spans="5:5" ht="15.75" customHeight="1" x14ac:dyDescent="0.25">
      <c r="E164" s="543"/>
    </row>
    <row r="165" spans="5:5" ht="15.75" customHeight="1" x14ac:dyDescent="0.25">
      <c r="E165" s="543"/>
    </row>
    <row r="166" spans="5:5" ht="15.75" customHeight="1" x14ac:dyDescent="0.25">
      <c r="E166" s="543"/>
    </row>
    <row r="167" spans="5:5" ht="15.75" customHeight="1" x14ac:dyDescent="0.25">
      <c r="E167" s="543"/>
    </row>
    <row r="168" spans="5:5" ht="15.75" customHeight="1" x14ac:dyDescent="0.25">
      <c r="E168" s="543"/>
    </row>
    <row r="169" spans="5:5" ht="15.75" customHeight="1" x14ac:dyDescent="0.25">
      <c r="E169" s="543"/>
    </row>
    <row r="170" spans="5:5" ht="15.75" customHeight="1" x14ac:dyDescent="0.25">
      <c r="E170" s="543"/>
    </row>
    <row r="171" spans="5:5" ht="15.75" customHeight="1" x14ac:dyDescent="0.25">
      <c r="E171" s="543"/>
    </row>
    <row r="172" spans="5:5" ht="15.75" customHeight="1" x14ac:dyDescent="0.25">
      <c r="E172" s="543"/>
    </row>
    <row r="173" spans="5:5" ht="15.75" customHeight="1" x14ac:dyDescent="0.25">
      <c r="E173" s="543"/>
    </row>
    <row r="174" spans="5:5" ht="15.75" customHeight="1" x14ac:dyDescent="0.25">
      <c r="E174" s="543"/>
    </row>
    <row r="175" spans="5:5" ht="15.75" customHeight="1" x14ac:dyDescent="0.25">
      <c r="E175" s="543"/>
    </row>
    <row r="176" spans="5:5" ht="15.75" customHeight="1" x14ac:dyDescent="0.25">
      <c r="E176" s="543"/>
    </row>
    <row r="177" spans="5:5" ht="15.75" customHeight="1" x14ac:dyDescent="0.25">
      <c r="E177" s="543"/>
    </row>
    <row r="178" spans="5:5" ht="15.75" customHeight="1" x14ac:dyDescent="0.25">
      <c r="E178" s="543"/>
    </row>
    <row r="179" spans="5:5" ht="15.75" customHeight="1" x14ac:dyDescent="0.25">
      <c r="E179" s="543"/>
    </row>
    <row r="180" spans="5:5" ht="15.75" customHeight="1" x14ac:dyDescent="0.25">
      <c r="E180" s="543"/>
    </row>
    <row r="181" spans="5:5" ht="15.75" customHeight="1" x14ac:dyDescent="0.25">
      <c r="E181" s="543"/>
    </row>
    <row r="182" spans="5:5" ht="15.75" customHeight="1" x14ac:dyDescent="0.25">
      <c r="E182" s="543"/>
    </row>
    <row r="183" spans="5:5" ht="15.75" customHeight="1" x14ac:dyDescent="0.25">
      <c r="E183" s="543"/>
    </row>
    <row r="184" spans="5:5" ht="15.75" customHeight="1" x14ac:dyDescent="0.25">
      <c r="E184" s="543"/>
    </row>
    <row r="185" spans="5:5" ht="15.75" customHeight="1" x14ac:dyDescent="0.25">
      <c r="E185" s="543"/>
    </row>
    <row r="186" spans="5:5" ht="15.75" customHeight="1" x14ac:dyDescent="0.25">
      <c r="E186" s="543"/>
    </row>
    <row r="187" spans="5:5" ht="15.75" customHeight="1" x14ac:dyDescent="0.25">
      <c r="E187" s="543"/>
    </row>
    <row r="188" spans="5:5" ht="15.75" customHeight="1" x14ac:dyDescent="0.25">
      <c r="E188" s="543"/>
    </row>
    <row r="189" spans="5:5" ht="15.75" customHeight="1" x14ac:dyDescent="0.25">
      <c r="E189" s="543"/>
    </row>
    <row r="190" spans="5:5" ht="15.75" customHeight="1" x14ac:dyDescent="0.25">
      <c r="E190" s="543"/>
    </row>
    <row r="191" spans="5:5" ht="15.75" customHeight="1" x14ac:dyDescent="0.25">
      <c r="E191" s="543"/>
    </row>
    <row r="192" spans="5:5" ht="15.75" customHeight="1" x14ac:dyDescent="0.25">
      <c r="E192" s="543"/>
    </row>
    <row r="193" spans="5:5" ht="15.75" customHeight="1" x14ac:dyDescent="0.25">
      <c r="E193" s="543"/>
    </row>
    <row r="194" spans="5:5" ht="15.75" customHeight="1" x14ac:dyDescent="0.25">
      <c r="E194" s="543"/>
    </row>
    <row r="195" spans="5:5" ht="15.75" customHeight="1" x14ac:dyDescent="0.25">
      <c r="E195" s="543"/>
    </row>
    <row r="196" spans="5:5" ht="15.75" customHeight="1" x14ac:dyDescent="0.25">
      <c r="E196" s="543"/>
    </row>
    <row r="197" spans="5:5" ht="15.75" customHeight="1" x14ac:dyDescent="0.25">
      <c r="E197" s="543"/>
    </row>
    <row r="198" spans="5:5" ht="15.75" customHeight="1" x14ac:dyDescent="0.25">
      <c r="E198" s="543"/>
    </row>
    <row r="199" spans="5:5" ht="15.75" customHeight="1" x14ac:dyDescent="0.25">
      <c r="E199" s="543"/>
    </row>
    <row r="200" spans="5:5" ht="15.75" customHeight="1" x14ac:dyDescent="0.25">
      <c r="E200" s="543"/>
    </row>
    <row r="201" spans="5:5" ht="15.75" customHeight="1" x14ac:dyDescent="0.25">
      <c r="E201" s="543"/>
    </row>
    <row r="202" spans="5:5" ht="15.75" customHeight="1" x14ac:dyDescent="0.25">
      <c r="E202" s="543"/>
    </row>
    <row r="203" spans="5:5" ht="15.75" customHeight="1" x14ac:dyDescent="0.25">
      <c r="E203" s="543"/>
    </row>
    <row r="204" spans="5:5" ht="15.75" customHeight="1" x14ac:dyDescent="0.25">
      <c r="E204" s="543"/>
    </row>
    <row r="205" spans="5:5" ht="15.75" customHeight="1" x14ac:dyDescent="0.25">
      <c r="E205" s="543"/>
    </row>
    <row r="206" spans="5:5" ht="15.75" customHeight="1" x14ac:dyDescent="0.25">
      <c r="E206" s="543"/>
    </row>
    <row r="207" spans="5:5" ht="15.75" customHeight="1" x14ac:dyDescent="0.25">
      <c r="E207" s="543"/>
    </row>
    <row r="208" spans="5:5" ht="15.75" customHeight="1" x14ac:dyDescent="0.25">
      <c r="E208" s="543"/>
    </row>
    <row r="209" spans="5:5" ht="15.75" customHeight="1" x14ac:dyDescent="0.25">
      <c r="E209" s="543"/>
    </row>
    <row r="210" spans="5:5" ht="15.75" customHeight="1" x14ac:dyDescent="0.25">
      <c r="E210" s="543"/>
    </row>
    <row r="211" spans="5:5" ht="15.75" customHeight="1" x14ac:dyDescent="0.25">
      <c r="E211" s="543"/>
    </row>
    <row r="212" spans="5:5" ht="15.75" customHeight="1" x14ac:dyDescent="0.25">
      <c r="E212" s="543"/>
    </row>
    <row r="213" spans="5:5" ht="15.75" customHeight="1" x14ac:dyDescent="0.25">
      <c r="E213" s="543"/>
    </row>
    <row r="214" spans="5:5" ht="15.75" customHeight="1" x14ac:dyDescent="0.25">
      <c r="E214" s="543"/>
    </row>
    <row r="215" spans="5:5" ht="15.75" customHeight="1" x14ac:dyDescent="0.25">
      <c r="E215" s="543"/>
    </row>
    <row r="216" spans="5:5" ht="15.75" customHeight="1" x14ac:dyDescent="0.25">
      <c r="E216" s="543"/>
    </row>
    <row r="217" spans="5:5" ht="15.75" customHeight="1" x14ac:dyDescent="0.25">
      <c r="E217" s="543"/>
    </row>
    <row r="218" spans="5:5" ht="15.75" customHeight="1" x14ac:dyDescent="0.25">
      <c r="E218" s="543"/>
    </row>
    <row r="219" spans="5:5" ht="15.75" customHeight="1" x14ac:dyDescent="0.25">
      <c r="E219" s="543"/>
    </row>
    <row r="220" spans="5:5" ht="15.75" customHeight="1" x14ac:dyDescent="0.25">
      <c r="E220" s="543"/>
    </row>
    <row r="221" spans="5:5" ht="15.75" customHeight="1" x14ac:dyDescent="0.25">
      <c r="E221" s="543"/>
    </row>
    <row r="222" spans="5:5" ht="15.75" customHeight="1" x14ac:dyDescent="0.25">
      <c r="E222" s="543"/>
    </row>
    <row r="223" spans="5:5" ht="15.75" customHeight="1" x14ac:dyDescent="0.25">
      <c r="E223" s="543"/>
    </row>
    <row r="224" spans="5:5" ht="15.75" customHeight="1" x14ac:dyDescent="0.25">
      <c r="E224" s="543"/>
    </row>
    <row r="225" spans="5:5" ht="15.75" customHeight="1" x14ac:dyDescent="0.25">
      <c r="E225" s="543"/>
    </row>
    <row r="226" spans="5:5" ht="15.75" customHeight="1" x14ac:dyDescent="0.25">
      <c r="E226" s="543"/>
    </row>
    <row r="227" spans="5:5" ht="15.75" customHeight="1" x14ac:dyDescent="0.25">
      <c r="E227" s="543"/>
    </row>
    <row r="228" spans="5:5" ht="15.75" customHeight="1" x14ac:dyDescent="0.25">
      <c r="E228" s="543"/>
    </row>
    <row r="229" spans="5:5" ht="15.75" customHeight="1" x14ac:dyDescent="0.25">
      <c r="E229" s="543"/>
    </row>
    <row r="230" spans="5:5" ht="15.75" customHeight="1" x14ac:dyDescent="0.25">
      <c r="E230" s="543"/>
    </row>
    <row r="231" spans="5:5" ht="15.75" customHeight="1" x14ac:dyDescent="0.25">
      <c r="E231" s="543"/>
    </row>
    <row r="232" spans="5:5" ht="15.75" customHeight="1" x14ac:dyDescent="0.25">
      <c r="E232" s="543"/>
    </row>
    <row r="233" spans="5:5" ht="15.75" customHeight="1" x14ac:dyDescent="0.25">
      <c r="E233" s="543"/>
    </row>
    <row r="234" spans="5:5" ht="15.75" customHeight="1" x14ac:dyDescent="0.25">
      <c r="E234" s="543"/>
    </row>
    <row r="235" spans="5:5" ht="15.75" customHeight="1" x14ac:dyDescent="0.25">
      <c r="E235" s="543"/>
    </row>
    <row r="236" spans="5:5" ht="15.75" customHeight="1" x14ac:dyDescent="0.25">
      <c r="E236" s="543"/>
    </row>
    <row r="237" spans="5:5" ht="15.75" customHeight="1" x14ac:dyDescent="0.25">
      <c r="E237" s="543"/>
    </row>
    <row r="238" spans="5:5" ht="15.75" customHeight="1" x14ac:dyDescent="0.25">
      <c r="E238" s="543"/>
    </row>
    <row r="239" spans="5:5" ht="15.75" customHeight="1" x14ac:dyDescent="0.25">
      <c r="E239" s="543"/>
    </row>
    <row r="240" spans="5:5" ht="15.75" customHeight="1" x14ac:dyDescent="0.25">
      <c r="E240" s="543"/>
    </row>
    <row r="241" spans="5:5" ht="15.75" customHeight="1" x14ac:dyDescent="0.25">
      <c r="E241" s="543"/>
    </row>
    <row r="242" spans="5:5" ht="15.75" customHeight="1" x14ac:dyDescent="0.25">
      <c r="E242" s="543"/>
    </row>
    <row r="243" spans="5:5" ht="15.75" customHeight="1" x14ac:dyDescent="0.25">
      <c r="E243" s="543"/>
    </row>
    <row r="244" spans="5:5" ht="15.75" customHeight="1" x14ac:dyDescent="0.25">
      <c r="E244" s="543"/>
    </row>
    <row r="245" spans="5:5" ht="15.75" customHeight="1" x14ac:dyDescent="0.25">
      <c r="E245" s="543"/>
    </row>
    <row r="246" spans="5:5" ht="15.75" customHeight="1" x14ac:dyDescent="0.25">
      <c r="E246" s="543"/>
    </row>
    <row r="247" spans="5:5" ht="15.75" customHeight="1" x14ac:dyDescent="0.25">
      <c r="E247" s="543"/>
    </row>
    <row r="248" spans="5:5" ht="15.75" customHeight="1" x14ac:dyDescent="0.25">
      <c r="E248" s="543"/>
    </row>
    <row r="249" spans="5:5" ht="15.75" customHeight="1" x14ac:dyDescent="0.25">
      <c r="E249" s="543"/>
    </row>
    <row r="250" spans="5:5" ht="15.75" customHeight="1" x14ac:dyDescent="0.25">
      <c r="E250" s="543"/>
    </row>
    <row r="251" spans="5:5" ht="15.75" customHeight="1" x14ac:dyDescent="0.25">
      <c r="E251" s="543"/>
    </row>
    <row r="252" spans="5:5" ht="15.75" customHeight="1" x14ac:dyDescent="0.25">
      <c r="E252" s="543"/>
    </row>
    <row r="253" spans="5:5" ht="15.75" customHeight="1" x14ac:dyDescent="0.25">
      <c r="E253" s="543"/>
    </row>
    <row r="254" spans="5:5" ht="15.75" customHeight="1" x14ac:dyDescent="0.25">
      <c r="E254" s="543"/>
    </row>
    <row r="255" spans="5:5" ht="15.75" customHeight="1" x14ac:dyDescent="0.25">
      <c r="E255" s="543"/>
    </row>
    <row r="256" spans="5:5" ht="15.75" customHeight="1" x14ac:dyDescent="0.25">
      <c r="E256" s="543"/>
    </row>
    <row r="257" spans="5:5" ht="15.75" customHeight="1" x14ac:dyDescent="0.25">
      <c r="E257" s="543"/>
    </row>
    <row r="258" spans="5:5" ht="15.75" customHeight="1" x14ac:dyDescent="0.25">
      <c r="E258" s="543"/>
    </row>
    <row r="259" spans="5:5" ht="15.75" customHeight="1" x14ac:dyDescent="0.25">
      <c r="E259" s="543"/>
    </row>
    <row r="260" spans="5:5" ht="15.75" customHeight="1" x14ac:dyDescent="0.25">
      <c r="E260" s="543"/>
    </row>
    <row r="261" spans="5:5" ht="15.75" customHeight="1" x14ac:dyDescent="0.25">
      <c r="E261" s="543"/>
    </row>
    <row r="262" spans="5:5" ht="15.75" customHeight="1" x14ac:dyDescent="0.25">
      <c r="E262" s="543"/>
    </row>
    <row r="263" spans="5:5" ht="15.75" customHeight="1" x14ac:dyDescent="0.25">
      <c r="E263" s="543"/>
    </row>
    <row r="264" spans="5:5" ht="15.75" customHeight="1" x14ac:dyDescent="0.25">
      <c r="E264" s="543"/>
    </row>
    <row r="265" spans="5:5" ht="15.75" customHeight="1" x14ac:dyDescent="0.25">
      <c r="E265" s="543"/>
    </row>
    <row r="266" spans="5:5" ht="15.75" customHeight="1" x14ac:dyDescent="0.25">
      <c r="E266" s="543"/>
    </row>
    <row r="267" spans="5:5" ht="15.75" customHeight="1" x14ac:dyDescent="0.25">
      <c r="E267" s="543"/>
    </row>
    <row r="268" spans="5:5" ht="15.75" customHeight="1" x14ac:dyDescent="0.25">
      <c r="E268" s="543"/>
    </row>
    <row r="269" spans="5:5" ht="15.75" customHeight="1" x14ac:dyDescent="0.25">
      <c r="E269" s="543"/>
    </row>
    <row r="270" spans="5:5" ht="15.75" customHeight="1" x14ac:dyDescent="0.25">
      <c r="E270" s="543"/>
    </row>
    <row r="271" spans="5:5" ht="15.75" customHeight="1" x14ac:dyDescent="0.25">
      <c r="E271" s="543"/>
    </row>
    <row r="272" spans="5:5" ht="15.75" customHeight="1" x14ac:dyDescent="0.25">
      <c r="E272" s="543"/>
    </row>
    <row r="273" spans="5:5" ht="15.75" customHeight="1" x14ac:dyDescent="0.25">
      <c r="E273" s="543"/>
    </row>
    <row r="274" spans="5:5" ht="15.75" customHeight="1" x14ac:dyDescent="0.25">
      <c r="E274" s="543"/>
    </row>
    <row r="275" spans="5:5" ht="15.75" customHeight="1" x14ac:dyDescent="0.25">
      <c r="E275" s="543"/>
    </row>
    <row r="276" spans="5:5" ht="15.75" customHeight="1" x14ac:dyDescent="0.25">
      <c r="E276" s="543"/>
    </row>
    <row r="277" spans="5:5" ht="15.75" customHeight="1" x14ac:dyDescent="0.25">
      <c r="E277" s="543"/>
    </row>
    <row r="278" spans="5:5" ht="15.75" customHeight="1" x14ac:dyDescent="0.25">
      <c r="E278" s="543"/>
    </row>
    <row r="279" spans="5:5" ht="15.75" customHeight="1" x14ac:dyDescent="0.25">
      <c r="E279" s="543"/>
    </row>
    <row r="280" spans="5:5" ht="15.75" customHeight="1" x14ac:dyDescent="0.25">
      <c r="E280" s="543"/>
    </row>
    <row r="281" spans="5:5" ht="15.75" customHeight="1" x14ac:dyDescent="0.25">
      <c r="E281" s="543"/>
    </row>
    <row r="282" spans="5:5" ht="15.75" customHeight="1" x14ac:dyDescent="0.25">
      <c r="E282" s="543"/>
    </row>
    <row r="283" spans="5:5" ht="15.75" customHeight="1" x14ac:dyDescent="0.25">
      <c r="E283" s="543"/>
    </row>
    <row r="284" spans="5:5" ht="15.75" customHeight="1" x14ac:dyDescent="0.25">
      <c r="E284" s="543"/>
    </row>
    <row r="285" spans="5:5" ht="15.75" customHeight="1" x14ac:dyDescent="0.25">
      <c r="E285" s="543"/>
    </row>
    <row r="286" spans="5:5" ht="15.75" customHeight="1" x14ac:dyDescent="0.25">
      <c r="E286" s="543"/>
    </row>
    <row r="287" spans="5:5" ht="15.75" customHeight="1" x14ac:dyDescent="0.25">
      <c r="E287" s="543"/>
    </row>
    <row r="288" spans="5:5" ht="15.75" customHeight="1" x14ac:dyDescent="0.25">
      <c r="E288" s="543"/>
    </row>
    <row r="289" spans="5:5" ht="15.75" customHeight="1" x14ac:dyDescent="0.25">
      <c r="E289" s="543"/>
    </row>
    <row r="290" spans="5:5" ht="15.75" customHeight="1" x14ac:dyDescent="0.25">
      <c r="E290" s="543"/>
    </row>
    <row r="291" spans="5:5" ht="15.75" customHeight="1" x14ac:dyDescent="0.25">
      <c r="E291" s="543"/>
    </row>
    <row r="292" spans="5:5" ht="15.75" customHeight="1" x14ac:dyDescent="0.25">
      <c r="E292" s="543"/>
    </row>
    <row r="293" spans="5:5" ht="15.75" customHeight="1" x14ac:dyDescent="0.25">
      <c r="E293" s="543"/>
    </row>
    <row r="294" spans="5:5" ht="15.75" customHeight="1" x14ac:dyDescent="0.25">
      <c r="E294" s="543"/>
    </row>
    <row r="295" spans="5:5" ht="15.75" customHeight="1" x14ac:dyDescent="0.25">
      <c r="E295" s="543"/>
    </row>
    <row r="296" spans="5:5" ht="15.75" customHeight="1" x14ac:dyDescent="0.25">
      <c r="E296" s="543"/>
    </row>
    <row r="297" spans="5:5" ht="15.75" customHeight="1" x14ac:dyDescent="0.25">
      <c r="E297" s="543"/>
    </row>
    <row r="298" spans="5:5" ht="15.75" customHeight="1" x14ac:dyDescent="0.25">
      <c r="E298" s="543"/>
    </row>
    <row r="299" spans="5:5" ht="15.75" customHeight="1" x14ac:dyDescent="0.25">
      <c r="E299" s="543"/>
    </row>
    <row r="300" spans="5:5" ht="15.75" customHeight="1" x14ac:dyDescent="0.25">
      <c r="E300" s="543"/>
    </row>
    <row r="301" spans="5:5" ht="15.75" customHeight="1" x14ac:dyDescent="0.25">
      <c r="E301" s="543"/>
    </row>
    <row r="302" spans="5:5" ht="15.75" customHeight="1" x14ac:dyDescent="0.25">
      <c r="E302" s="543"/>
    </row>
    <row r="303" spans="5:5" ht="15.75" customHeight="1" x14ac:dyDescent="0.25">
      <c r="E303" s="543"/>
    </row>
    <row r="304" spans="5:5" ht="15.75" customHeight="1" x14ac:dyDescent="0.25">
      <c r="E304" s="543"/>
    </row>
    <row r="305" spans="5:5" ht="15.75" customHeight="1" x14ac:dyDescent="0.25">
      <c r="E305" s="543"/>
    </row>
    <row r="306" spans="5:5" ht="15.75" customHeight="1" x14ac:dyDescent="0.25">
      <c r="E306" s="543"/>
    </row>
    <row r="307" spans="5:5" ht="15.75" customHeight="1" x14ac:dyDescent="0.25">
      <c r="E307" s="543"/>
    </row>
    <row r="308" spans="5:5" ht="15.75" customHeight="1" x14ac:dyDescent="0.25">
      <c r="E308" s="543"/>
    </row>
    <row r="309" spans="5:5" ht="15.75" customHeight="1" x14ac:dyDescent="0.25">
      <c r="E309" s="543"/>
    </row>
    <row r="310" spans="5:5" ht="15.75" customHeight="1" x14ac:dyDescent="0.25">
      <c r="E310" s="543"/>
    </row>
    <row r="311" spans="5:5" ht="15.75" customHeight="1" x14ac:dyDescent="0.25">
      <c r="E311" s="543"/>
    </row>
    <row r="312" spans="5:5" ht="15.75" customHeight="1" x14ac:dyDescent="0.25">
      <c r="E312" s="543"/>
    </row>
    <row r="313" spans="5:5" ht="15.75" customHeight="1" x14ac:dyDescent="0.25">
      <c r="E313" s="543"/>
    </row>
    <row r="314" spans="5:5" ht="15.75" customHeight="1" x14ac:dyDescent="0.25">
      <c r="E314" s="543"/>
    </row>
    <row r="315" spans="5:5" ht="15.75" customHeight="1" x14ac:dyDescent="0.25">
      <c r="E315" s="543"/>
    </row>
    <row r="316" spans="5:5" ht="15.75" customHeight="1" x14ac:dyDescent="0.25">
      <c r="E316" s="543"/>
    </row>
    <row r="317" spans="5:5" ht="15.75" customHeight="1" x14ac:dyDescent="0.25">
      <c r="E317" s="543"/>
    </row>
    <row r="318" spans="5:5" ht="15.75" customHeight="1" x14ac:dyDescent="0.25">
      <c r="E318" s="543"/>
    </row>
    <row r="319" spans="5:5" ht="15.75" customHeight="1" x14ac:dyDescent="0.25">
      <c r="E319" s="543"/>
    </row>
    <row r="320" spans="5:5" ht="15.75" customHeight="1" x14ac:dyDescent="0.25">
      <c r="E320" s="543"/>
    </row>
    <row r="321" spans="5:5" ht="15.75" customHeight="1" x14ac:dyDescent="0.25">
      <c r="E321" s="543"/>
    </row>
    <row r="322" spans="5:5" ht="15.75" customHeight="1" x14ac:dyDescent="0.25">
      <c r="E322" s="543"/>
    </row>
    <row r="323" spans="5:5" ht="15.75" customHeight="1" x14ac:dyDescent="0.25">
      <c r="E323" s="543"/>
    </row>
    <row r="324" spans="5:5" ht="15.75" customHeight="1" x14ac:dyDescent="0.25">
      <c r="E324" s="543"/>
    </row>
    <row r="325" spans="5:5" ht="15.75" customHeight="1" x14ac:dyDescent="0.25">
      <c r="E325" s="543"/>
    </row>
    <row r="326" spans="5:5" ht="15.75" customHeight="1" x14ac:dyDescent="0.25">
      <c r="E326" s="543"/>
    </row>
    <row r="327" spans="5:5" ht="15.75" customHeight="1" x14ac:dyDescent="0.25">
      <c r="E327" s="543"/>
    </row>
    <row r="328" spans="5:5" ht="15.75" customHeight="1" x14ac:dyDescent="0.25">
      <c r="E328" s="543"/>
    </row>
    <row r="329" spans="5:5" ht="15.75" customHeight="1" x14ac:dyDescent="0.25">
      <c r="E329" s="543"/>
    </row>
    <row r="330" spans="5:5" ht="15.75" customHeight="1" x14ac:dyDescent="0.25">
      <c r="E330" s="543"/>
    </row>
    <row r="331" spans="5:5" ht="15.75" customHeight="1" x14ac:dyDescent="0.25">
      <c r="E331" s="543"/>
    </row>
    <row r="332" spans="5:5" ht="15.75" customHeight="1" x14ac:dyDescent="0.25">
      <c r="E332" s="543"/>
    </row>
    <row r="333" spans="5:5" ht="15.75" customHeight="1" x14ac:dyDescent="0.25">
      <c r="E333" s="543"/>
    </row>
    <row r="334" spans="5:5" ht="15.75" customHeight="1" x14ac:dyDescent="0.25">
      <c r="E334" s="543"/>
    </row>
    <row r="335" spans="5:5" ht="15.75" customHeight="1" x14ac:dyDescent="0.25">
      <c r="E335" s="543"/>
    </row>
    <row r="336" spans="5:5" ht="15.75" customHeight="1" x14ac:dyDescent="0.25">
      <c r="E336" s="543"/>
    </row>
    <row r="337" spans="5:5" ht="15.75" customHeight="1" x14ac:dyDescent="0.25">
      <c r="E337" s="543"/>
    </row>
    <row r="338" spans="5:5" ht="15.75" customHeight="1" x14ac:dyDescent="0.25">
      <c r="E338" s="543"/>
    </row>
    <row r="339" spans="5:5" ht="15.75" customHeight="1" x14ac:dyDescent="0.25">
      <c r="E339" s="543"/>
    </row>
    <row r="340" spans="5:5" ht="15.75" customHeight="1" x14ac:dyDescent="0.25">
      <c r="E340" s="543"/>
    </row>
    <row r="341" spans="5:5" ht="15.75" customHeight="1" x14ac:dyDescent="0.25">
      <c r="E341" s="543"/>
    </row>
    <row r="342" spans="5:5" ht="15.75" customHeight="1" x14ac:dyDescent="0.25">
      <c r="E342" s="543"/>
    </row>
    <row r="343" spans="5:5" ht="15.75" customHeight="1" x14ac:dyDescent="0.25">
      <c r="E343" s="543"/>
    </row>
    <row r="344" spans="5:5" ht="15.75" customHeight="1" x14ac:dyDescent="0.25">
      <c r="E344" s="543"/>
    </row>
    <row r="345" spans="5:5" ht="15.75" customHeight="1" x14ac:dyDescent="0.25">
      <c r="E345" s="543"/>
    </row>
    <row r="346" spans="5:5" ht="15.75" customHeight="1" x14ac:dyDescent="0.25">
      <c r="E346" s="543"/>
    </row>
    <row r="347" spans="5:5" ht="15.75" customHeight="1" x14ac:dyDescent="0.25">
      <c r="E347" s="543"/>
    </row>
    <row r="348" spans="5:5" ht="15.75" customHeight="1" x14ac:dyDescent="0.25">
      <c r="E348" s="543"/>
    </row>
    <row r="349" spans="5:5" ht="15.75" customHeight="1" x14ac:dyDescent="0.25">
      <c r="E349" s="543"/>
    </row>
    <row r="350" spans="5:5" ht="15.75" customHeight="1" x14ac:dyDescent="0.25">
      <c r="E350" s="543"/>
    </row>
    <row r="351" spans="5:5" ht="15.75" customHeight="1" x14ac:dyDescent="0.25">
      <c r="E351" s="543"/>
    </row>
    <row r="352" spans="5:5" ht="15.75" customHeight="1" x14ac:dyDescent="0.25">
      <c r="E352" s="543"/>
    </row>
    <row r="353" spans="5:5" ht="15.75" customHeight="1" x14ac:dyDescent="0.25">
      <c r="E353" s="543"/>
    </row>
    <row r="354" spans="5:5" ht="15.75" customHeight="1" x14ac:dyDescent="0.25">
      <c r="E354" s="543"/>
    </row>
    <row r="355" spans="5:5" ht="15.75" customHeight="1" x14ac:dyDescent="0.25">
      <c r="E355" s="543"/>
    </row>
    <row r="356" spans="5:5" ht="15.75" customHeight="1" x14ac:dyDescent="0.25">
      <c r="E356" s="543"/>
    </row>
    <row r="357" spans="5:5" ht="15.75" customHeight="1" x14ac:dyDescent="0.25">
      <c r="E357" s="543"/>
    </row>
    <row r="358" spans="5:5" ht="15.75" customHeight="1" x14ac:dyDescent="0.25">
      <c r="E358" s="543"/>
    </row>
    <row r="359" spans="5:5" ht="15.75" customHeight="1" x14ac:dyDescent="0.25">
      <c r="E359" s="543"/>
    </row>
    <row r="360" spans="5:5" ht="15.75" customHeight="1" x14ac:dyDescent="0.25">
      <c r="E360" s="543"/>
    </row>
    <row r="361" spans="5:5" ht="15.75" customHeight="1" x14ac:dyDescent="0.25">
      <c r="E361" s="543"/>
    </row>
    <row r="362" spans="5:5" ht="15.75" customHeight="1" x14ac:dyDescent="0.25">
      <c r="E362" s="543"/>
    </row>
    <row r="363" spans="5:5" ht="15.75" customHeight="1" x14ac:dyDescent="0.25">
      <c r="E363" s="543"/>
    </row>
    <row r="364" spans="5:5" ht="15.75" customHeight="1" x14ac:dyDescent="0.25">
      <c r="E364" s="543"/>
    </row>
    <row r="365" spans="5:5" ht="15.75" customHeight="1" x14ac:dyDescent="0.25">
      <c r="E365" s="543"/>
    </row>
    <row r="366" spans="5:5" ht="15.75" customHeight="1" x14ac:dyDescent="0.25">
      <c r="E366" s="543"/>
    </row>
    <row r="367" spans="5:5" ht="15.75" customHeight="1" x14ac:dyDescent="0.25">
      <c r="E367" s="543"/>
    </row>
    <row r="368" spans="5:5" ht="15.75" customHeight="1" x14ac:dyDescent="0.25">
      <c r="E368" s="543"/>
    </row>
    <row r="369" spans="5:5" ht="15.75" customHeight="1" x14ac:dyDescent="0.25">
      <c r="E369" s="543"/>
    </row>
    <row r="370" spans="5:5" ht="15.75" customHeight="1" x14ac:dyDescent="0.25">
      <c r="E370" s="543"/>
    </row>
    <row r="371" spans="5:5" ht="15.75" customHeight="1" x14ac:dyDescent="0.25">
      <c r="E371" s="543"/>
    </row>
    <row r="372" spans="5:5" ht="15.75" customHeight="1" x14ac:dyDescent="0.25">
      <c r="E372" s="543"/>
    </row>
    <row r="373" spans="5:5" ht="15.75" customHeight="1" x14ac:dyDescent="0.25">
      <c r="E373" s="543"/>
    </row>
    <row r="374" spans="5:5" ht="15.75" customHeight="1" x14ac:dyDescent="0.25">
      <c r="E374" s="543"/>
    </row>
    <row r="375" spans="5:5" ht="15.75" customHeight="1" x14ac:dyDescent="0.25">
      <c r="E375" s="543"/>
    </row>
    <row r="376" spans="5:5" ht="15.75" customHeight="1" x14ac:dyDescent="0.25">
      <c r="E376" s="543"/>
    </row>
    <row r="377" spans="5:5" ht="15.75" customHeight="1" x14ac:dyDescent="0.25">
      <c r="E377" s="543"/>
    </row>
    <row r="378" spans="5:5" ht="15.75" customHeight="1" x14ac:dyDescent="0.25">
      <c r="E378" s="543"/>
    </row>
    <row r="379" spans="5:5" ht="15.75" customHeight="1" x14ac:dyDescent="0.25">
      <c r="E379" s="543"/>
    </row>
    <row r="380" spans="5:5" ht="15.75" customHeight="1" x14ac:dyDescent="0.25">
      <c r="E380" s="543"/>
    </row>
    <row r="381" spans="5:5" ht="15.75" customHeight="1" x14ac:dyDescent="0.25">
      <c r="E381" s="543"/>
    </row>
    <row r="382" spans="5:5" ht="15.75" customHeight="1" x14ac:dyDescent="0.25">
      <c r="E382" s="543"/>
    </row>
    <row r="383" spans="5:5" ht="15.75" customHeight="1" x14ac:dyDescent="0.25">
      <c r="E383" s="543"/>
    </row>
    <row r="384" spans="5:5" ht="15.75" customHeight="1" x14ac:dyDescent="0.25">
      <c r="E384" s="543"/>
    </row>
    <row r="385" spans="5:5" ht="15.75" customHeight="1" x14ac:dyDescent="0.25">
      <c r="E385" s="543"/>
    </row>
    <row r="386" spans="5:5" ht="15.75" customHeight="1" x14ac:dyDescent="0.25">
      <c r="E386" s="543"/>
    </row>
    <row r="387" spans="5:5" ht="15.75" customHeight="1" x14ac:dyDescent="0.25">
      <c r="E387" s="543"/>
    </row>
    <row r="388" spans="5:5" ht="15.75" customHeight="1" x14ac:dyDescent="0.25">
      <c r="E388" s="543"/>
    </row>
    <row r="389" spans="5:5" ht="15.75" customHeight="1" x14ac:dyDescent="0.25">
      <c r="E389" s="543"/>
    </row>
    <row r="390" spans="5:5" ht="15.75" customHeight="1" x14ac:dyDescent="0.25">
      <c r="E390" s="543"/>
    </row>
    <row r="391" spans="5:5" ht="15.75" customHeight="1" x14ac:dyDescent="0.25">
      <c r="E391" s="543"/>
    </row>
    <row r="392" spans="5:5" ht="15.75" customHeight="1" x14ac:dyDescent="0.25">
      <c r="E392" s="543"/>
    </row>
    <row r="393" spans="5:5" ht="15.75" customHeight="1" x14ac:dyDescent="0.25">
      <c r="E393" s="543"/>
    </row>
    <row r="394" spans="5:5" ht="15.75" customHeight="1" x14ac:dyDescent="0.25">
      <c r="E394" s="543"/>
    </row>
    <row r="395" spans="5:5" ht="15.75" customHeight="1" x14ac:dyDescent="0.25">
      <c r="E395" s="543"/>
    </row>
    <row r="396" spans="5:5" ht="15.75" customHeight="1" x14ac:dyDescent="0.25">
      <c r="E396" s="543"/>
    </row>
    <row r="397" spans="5:5" ht="15.75" customHeight="1" x14ac:dyDescent="0.25">
      <c r="E397" s="543"/>
    </row>
    <row r="398" spans="5:5" ht="15.75" customHeight="1" x14ac:dyDescent="0.25">
      <c r="E398" s="543"/>
    </row>
    <row r="399" spans="5:5" ht="15.75" customHeight="1" x14ac:dyDescent="0.25">
      <c r="E399" s="543"/>
    </row>
    <row r="400" spans="5:5" ht="15.75" customHeight="1" x14ac:dyDescent="0.25">
      <c r="E400" s="543"/>
    </row>
    <row r="401" spans="5:5" ht="15.75" customHeight="1" x14ac:dyDescent="0.25">
      <c r="E401" s="543"/>
    </row>
    <row r="402" spans="5:5" ht="15.75" customHeight="1" x14ac:dyDescent="0.25">
      <c r="E402" s="543"/>
    </row>
    <row r="403" spans="5:5" ht="15.75" customHeight="1" x14ac:dyDescent="0.25">
      <c r="E403" s="543"/>
    </row>
    <row r="404" spans="5:5" ht="15.75" customHeight="1" x14ac:dyDescent="0.25">
      <c r="E404" s="543"/>
    </row>
    <row r="405" spans="5:5" ht="15.75" customHeight="1" x14ac:dyDescent="0.25">
      <c r="E405" s="543"/>
    </row>
    <row r="406" spans="5:5" ht="15.75" customHeight="1" x14ac:dyDescent="0.25">
      <c r="E406" s="543"/>
    </row>
    <row r="407" spans="5:5" ht="15.75" customHeight="1" x14ac:dyDescent="0.25">
      <c r="E407" s="543"/>
    </row>
    <row r="408" spans="5:5" ht="15.75" customHeight="1" x14ac:dyDescent="0.25">
      <c r="E408" s="543"/>
    </row>
    <row r="409" spans="5:5" ht="15.75" customHeight="1" x14ac:dyDescent="0.25">
      <c r="E409" s="543"/>
    </row>
    <row r="410" spans="5:5" ht="15.75" customHeight="1" x14ac:dyDescent="0.25">
      <c r="E410" s="543"/>
    </row>
    <row r="411" spans="5:5" ht="15.75" customHeight="1" x14ac:dyDescent="0.25">
      <c r="E411" s="543"/>
    </row>
    <row r="412" spans="5:5" ht="15.75" customHeight="1" x14ac:dyDescent="0.25">
      <c r="E412" s="543"/>
    </row>
    <row r="413" spans="5:5" ht="15.75" customHeight="1" x14ac:dyDescent="0.25">
      <c r="E413" s="543"/>
    </row>
    <row r="414" spans="5:5" ht="15.75" customHeight="1" x14ac:dyDescent="0.25">
      <c r="E414" s="543"/>
    </row>
    <row r="415" spans="5:5" ht="15.75" customHeight="1" x14ac:dyDescent="0.25">
      <c r="E415" s="543"/>
    </row>
    <row r="416" spans="5:5" ht="15.75" customHeight="1" x14ac:dyDescent="0.25">
      <c r="E416" s="543"/>
    </row>
    <row r="417" spans="5:5" ht="15.75" customHeight="1" x14ac:dyDescent="0.25">
      <c r="E417" s="543"/>
    </row>
    <row r="418" spans="5:5" ht="15.75" customHeight="1" x14ac:dyDescent="0.25">
      <c r="E418" s="543"/>
    </row>
    <row r="419" spans="5:5" ht="15.75" customHeight="1" x14ac:dyDescent="0.25">
      <c r="E419" s="543"/>
    </row>
    <row r="420" spans="5:5" ht="15.75" customHeight="1" x14ac:dyDescent="0.25">
      <c r="E420" s="543"/>
    </row>
    <row r="421" spans="5:5" ht="15.75" customHeight="1" x14ac:dyDescent="0.25">
      <c r="E421" s="543"/>
    </row>
    <row r="422" spans="5:5" ht="15.75" customHeight="1" x14ac:dyDescent="0.25">
      <c r="E422" s="543"/>
    </row>
    <row r="423" spans="5:5" ht="15.75" customHeight="1" x14ac:dyDescent="0.25">
      <c r="E423" s="543"/>
    </row>
    <row r="424" spans="5:5" ht="15.75" customHeight="1" x14ac:dyDescent="0.25">
      <c r="E424" s="543"/>
    </row>
    <row r="425" spans="5:5" ht="15.75" customHeight="1" x14ac:dyDescent="0.25">
      <c r="E425" s="543"/>
    </row>
    <row r="426" spans="5:5" ht="15.75" customHeight="1" x14ac:dyDescent="0.25">
      <c r="E426" s="543"/>
    </row>
    <row r="427" spans="5:5" ht="15.75" customHeight="1" x14ac:dyDescent="0.25">
      <c r="E427" s="543"/>
    </row>
    <row r="428" spans="5:5" ht="15.75" customHeight="1" x14ac:dyDescent="0.25">
      <c r="E428" s="543"/>
    </row>
    <row r="429" spans="5:5" ht="15.75" customHeight="1" x14ac:dyDescent="0.25">
      <c r="E429" s="543"/>
    </row>
    <row r="430" spans="5:5" ht="15.75" customHeight="1" x14ac:dyDescent="0.25">
      <c r="E430" s="543"/>
    </row>
    <row r="431" spans="5:5" ht="15.75" customHeight="1" x14ac:dyDescent="0.25">
      <c r="E431" s="543"/>
    </row>
    <row r="432" spans="5:5" ht="15.75" customHeight="1" x14ac:dyDescent="0.25">
      <c r="E432" s="543"/>
    </row>
    <row r="433" spans="5:5" ht="15.75" customHeight="1" x14ac:dyDescent="0.25">
      <c r="E433" s="543"/>
    </row>
    <row r="434" spans="5:5" ht="15.75" customHeight="1" x14ac:dyDescent="0.25">
      <c r="E434" s="543"/>
    </row>
    <row r="435" spans="5:5" ht="15.75" customHeight="1" x14ac:dyDescent="0.25">
      <c r="E435" s="543"/>
    </row>
    <row r="436" spans="5:5" ht="15.75" customHeight="1" x14ac:dyDescent="0.25">
      <c r="E436" s="543"/>
    </row>
    <row r="437" spans="5:5" ht="15.75" customHeight="1" x14ac:dyDescent="0.25">
      <c r="E437" s="543"/>
    </row>
    <row r="438" spans="5:5" ht="15.75" customHeight="1" x14ac:dyDescent="0.25">
      <c r="E438" s="543"/>
    </row>
    <row r="439" spans="5:5" ht="15.75" customHeight="1" x14ac:dyDescent="0.25">
      <c r="E439" s="543"/>
    </row>
    <row r="440" spans="5:5" ht="15.75" customHeight="1" x14ac:dyDescent="0.25">
      <c r="E440" s="543"/>
    </row>
    <row r="441" spans="5:5" ht="15.75" customHeight="1" x14ac:dyDescent="0.25">
      <c r="E441" s="543"/>
    </row>
    <row r="442" spans="5:5" ht="15.75" customHeight="1" x14ac:dyDescent="0.25">
      <c r="E442" s="543"/>
    </row>
    <row r="443" spans="5:5" ht="15.75" customHeight="1" x14ac:dyDescent="0.25">
      <c r="E443" s="543"/>
    </row>
    <row r="444" spans="5:5" ht="15.75" customHeight="1" x14ac:dyDescent="0.25">
      <c r="E444" s="543"/>
    </row>
    <row r="445" spans="5:5" ht="15.75" customHeight="1" x14ac:dyDescent="0.25">
      <c r="E445" s="543"/>
    </row>
    <row r="446" spans="5:5" ht="15.75" customHeight="1" x14ac:dyDescent="0.25">
      <c r="E446" s="543"/>
    </row>
    <row r="447" spans="5:5" ht="15.75" customHeight="1" x14ac:dyDescent="0.25">
      <c r="E447" s="543"/>
    </row>
    <row r="448" spans="5:5" ht="15.75" customHeight="1" x14ac:dyDescent="0.25">
      <c r="E448" s="543"/>
    </row>
    <row r="449" spans="5:5" ht="15.75" customHeight="1" x14ac:dyDescent="0.25">
      <c r="E449" s="543"/>
    </row>
    <row r="450" spans="5:5" ht="15.75" customHeight="1" x14ac:dyDescent="0.25">
      <c r="E450" s="543"/>
    </row>
    <row r="451" spans="5:5" ht="15.75" customHeight="1" x14ac:dyDescent="0.25">
      <c r="E451" s="543"/>
    </row>
    <row r="452" spans="5:5" ht="15.75" customHeight="1" x14ac:dyDescent="0.25">
      <c r="E452" s="543"/>
    </row>
    <row r="453" spans="5:5" ht="15.75" customHeight="1" x14ac:dyDescent="0.25">
      <c r="E453" s="543"/>
    </row>
    <row r="454" spans="5:5" ht="15.75" customHeight="1" x14ac:dyDescent="0.25">
      <c r="E454" s="543"/>
    </row>
    <row r="455" spans="5:5" ht="15.75" customHeight="1" x14ac:dyDescent="0.25">
      <c r="E455" s="543"/>
    </row>
    <row r="456" spans="5:5" ht="15.75" customHeight="1" x14ac:dyDescent="0.25">
      <c r="E456" s="543"/>
    </row>
    <row r="457" spans="5:5" ht="15.75" customHeight="1" x14ac:dyDescent="0.25">
      <c r="E457" s="543"/>
    </row>
    <row r="458" spans="5:5" ht="15.75" customHeight="1" x14ac:dyDescent="0.25">
      <c r="E458" s="543"/>
    </row>
    <row r="459" spans="5:5" ht="15.75" customHeight="1" x14ac:dyDescent="0.25">
      <c r="E459" s="543"/>
    </row>
    <row r="460" spans="5:5" ht="15.75" customHeight="1" x14ac:dyDescent="0.25">
      <c r="E460" s="543"/>
    </row>
    <row r="461" spans="5:5" ht="15.75" customHeight="1" x14ac:dyDescent="0.25">
      <c r="E461" s="543"/>
    </row>
    <row r="462" spans="5:5" ht="15.75" customHeight="1" x14ac:dyDescent="0.25">
      <c r="E462" s="543"/>
    </row>
    <row r="463" spans="5:5" ht="15.75" customHeight="1" x14ac:dyDescent="0.25">
      <c r="E463" s="543"/>
    </row>
    <row r="464" spans="5:5" ht="15.75" customHeight="1" x14ac:dyDescent="0.25">
      <c r="E464" s="543"/>
    </row>
    <row r="465" spans="5:5" ht="15.75" customHeight="1" x14ac:dyDescent="0.25">
      <c r="E465" s="543"/>
    </row>
    <row r="466" spans="5:5" ht="15.75" customHeight="1" x14ac:dyDescent="0.25">
      <c r="E466" s="543"/>
    </row>
    <row r="467" spans="5:5" ht="15.75" customHeight="1" x14ac:dyDescent="0.25">
      <c r="E467" s="543"/>
    </row>
    <row r="468" spans="5:5" ht="15.75" customHeight="1" x14ac:dyDescent="0.25">
      <c r="E468" s="543"/>
    </row>
    <row r="469" spans="5:5" ht="15.75" customHeight="1" x14ac:dyDescent="0.25">
      <c r="E469" s="543"/>
    </row>
    <row r="470" spans="5:5" ht="15.75" customHeight="1" x14ac:dyDescent="0.25">
      <c r="E470" s="543"/>
    </row>
    <row r="471" spans="5:5" ht="15.75" customHeight="1" x14ac:dyDescent="0.25">
      <c r="E471" s="543"/>
    </row>
    <row r="472" spans="5:5" ht="15.75" customHeight="1" x14ac:dyDescent="0.25">
      <c r="E472" s="543"/>
    </row>
    <row r="473" spans="5:5" ht="15.75" customHeight="1" x14ac:dyDescent="0.25">
      <c r="E473" s="543"/>
    </row>
    <row r="474" spans="5:5" ht="15.75" customHeight="1" x14ac:dyDescent="0.25">
      <c r="E474" s="543"/>
    </row>
    <row r="475" spans="5:5" ht="15.75" customHeight="1" x14ac:dyDescent="0.25">
      <c r="E475" s="543"/>
    </row>
    <row r="476" spans="5:5" ht="15.75" customHeight="1" x14ac:dyDescent="0.25">
      <c r="E476" s="543"/>
    </row>
    <row r="477" spans="5:5" ht="15.75" customHeight="1" x14ac:dyDescent="0.25">
      <c r="E477" s="543"/>
    </row>
    <row r="478" spans="5:5" ht="15.75" customHeight="1" x14ac:dyDescent="0.25">
      <c r="E478" s="543"/>
    </row>
    <row r="479" spans="5:5" ht="15.75" customHeight="1" x14ac:dyDescent="0.25">
      <c r="E479" s="543"/>
    </row>
    <row r="480" spans="5:5" ht="15.75" customHeight="1" x14ac:dyDescent="0.25">
      <c r="E480" s="543"/>
    </row>
    <row r="481" spans="5:5" ht="15.75" customHeight="1" x14ac:dyDescent="0.25">
      <c r="E481" s="543"/>
    </row>
    <row r="482" spans="5:5" ht="15.75" customHeight="1" x14ac:dyDescent="0.25">
      <c r="E482" s="543"/>
    </row>
    <row r="483" spans="5:5" ht="15.75" customHeight="1" x14ac:dyDescent="0.25">
      <c r="E483" s="543"/>
    </row>
    <row r="484" spans="5:5" ht="15.75" customHeight="1" x14ac:dyDescent="0.25">
      <c r="E484" s="543"/>
    </row>
    <row r="485" spans="5:5" ht="15.75" customHeight="1" x14ac:dyDescent="0.25">
      <c r="E485" s="543"/>
    </row>
    <row r="486" spans="5:5" ht="15.75" customHeight="1" x14ac:dyDescent="0.25">
      <c r="E486" s="543"/>
    </row>
    <row r="487" spans="5:5" ht="15.75" customHeight="1" x14ac:dyDescent="0.25">
      <c r="E487" s="543"/>
    </row>
    <row r="488" spans="5:5" ht="15.75" customHeight="1" x14ac:dyDescent="0.25">
      <c r="E488" s="543"/>
    </row>
    <row r="489" spans="5:5" ht="15.75" customHeight="1" x14ac:dyDescent="0.25">
      <c r="E489" s="543"/>
    </row>
    <row r="490" spans="5:5" ht="15.75" customHeight="1" x14ac:dyDescent="0.25">
      <c r="E490" s="543"/>
    </row>
    <row r="491" spans="5:5" ht="15.75" customHeight="1" x14ac:dyDescent="0.25">
      <c r="E491" s="543"/>
    </row>
    <row r="492" spans="5:5" ht="15.75" customHeight="1" x14ac:dyDescent="0.25">
      <c r="E492" s="543"/>
    </row>
    <row r="493" spans="5:5" ht="15.75" customHeight="1" x14ac:dyDescent="0.25">
      <c r="E493" s="543"/>
    </row>
    <row r="494" spans="5:5" ht="15.75" customHeight="1" x14ac:dyDescent="0.25">
      <c r="E494" s="543"/>
    </row>
    <row r="495" spans="5:5" ht="15.75" customHeight="1" x14ac:dyDescent="0.25">
      <c r="E495" s="543"/>
    </row>
    <row r="496" spans="5:5" ht="15.75" customHeight="1" x14ac:dyDescent="0.25">
      <c r="E496" s="543"/>
    </row>
    <row r="497" spans="5:5" ht="15.75" customHeight="1" x14ac:dyDescent="0.25">
      <c r="E497" s="543"/>
    </row>
    <row r="498" spans="5:5" ht="15.75" customHeight="1" x14ac:dyDescent="0.25">
      <c r="E498" s="543"/>
    </row>
    <row r="499" spans="5:5" ht="15.75" customHeight="1" x14ac:dyDescent="0.25">
      <c r="E499" s="543"/>
    </row>
    <row r="500" spans="5:5" ht="15.75" customHeight="1" x14ac:dyDescent="0.25">
      <c r="E500" s="543"/>
    </row>
    <row r="501" spans="5:5" ht="15.75" customHeight="1" x14ac:dyDescent="0.25">
      <c r="E501" s="543"/>
    </row>
    <row r="502" spans="5:5" ht="15.75" customHeight="1" x14ac:dyDescent="0.25">
      <c r="E502" s="543"/>
    </row>
    <row r="503" spans="5:5" ht="15.75" customHeight="1" x14ac:dyDescent="0.25">
      <c r="E503" s="543"/>
    </row>
    <row r="504" spans="5:5" ht="15.75" customHeight="1" x14ac:dyDescent="0.25">
      <c r="E504" s="543"/>
    </row>
    <row r="505" spans="5:5" ht="15.75" customHeight="1" x14ac:dyDescent="0.25">
      <c r="E505" s="543"/>
    </row>
    <row r="506" spans="5:5" ht="15.75" customHeight="1" x14ac:dyDescent="0.25">
      <c r="E506" s="543"/>
    </row>
    <row r="507" spans="5:5" ht="15.75" customHeight="1" x14ac:dyDescent="0.25">
      <c r="E507" s="543"/>
    </row>
    <row r="508" spans="5:5" ht="15.75" customHeight="1" x14ac:dyDescent="0.25">
      <c r="E508" s="543"/>
    </row>
    <row r="509" spans="5:5" ht="15.75" customHeight="1" x14ac:dyDescent="0.25">
      <c r="E509" s="543"/>
    </row>
    <row r="510" spans="5:5" ht="15.75" customHeight="1" x14ac:dyDescent="0.25">
      <c r="E510" s="543"/>
    </row>
    <row r="511" spans="5:5" ht="15.75" customHeight="1" x14ac:dyDescent="0.25">
      <c r="E511" s="543"/>
    </row>
    <row r="512" spans="5:5" ht="15.75" customHeight="1" x14ac:dyDescent="0.25">
      <c r="E512" s="543"/>
    </row>
    <row r="513" spans="5:5" ht="15.75" customHeight="1" x14ac:dyDescent="0.25">
      <c r="E513" s="543"/>
    </row>
    <row r="514" spans="5:5" ht="15.75" customHeight="1" x14ac:dyDescent="0.25">
      <c r="E514" s="543"/>
    </row>
    <row r="515" spans="5:5" ht="15.75" customHeight="1" x14ac:dyDescent="0.25">
      <c r="E515" s="543"/>
    </row>
    <row r="516" spans="5:5" ht="15.75" customHeight="1" x14ac:dyDescent="0.25">
      <c r="E516" s="543"/>
    </row>
    <row r="517" spans="5:5" ht="15.75" customHeight="1" x14ac:dyDescent="0.25">
      <c r="E517" s="543"/>
    </row>
    <row r="518" spans="5:5" ht="15.75" customHeight="1" x14ac:dyDescent="0.25">
      <c r="E518" s="543"/>
    </row>
    <row r="519" spans="5:5" ht="15.75" customHeight="1" x14ac:dyDescent="0.25">
      <c r="E519" s="543"/>
    </row>
    <row r="520" spans="5:5" ht="15.75" customHeight="1" x14ac:dyDescent="0.25">
      <c r="E520" s="543"/>
    </row>
    <row r="521" spans="5:5" ht="15.75" customHeight="1" x14ac:dyDescent="0.25">
      <c r="E521" s="543"/>
    </row>
    <row r="522" spans="5:5" ht="15.75" customHeight="1" x14ac:dyDescent="0.25">
      <c r="E522" s="543"/>
    </row>
    <row r="523" spans="5:5" ht="15.75" customHeight="1" x14ac:dyDescent="0.25">
      <c r="E523" s="543"/>
    </row>
    <row r="524" spans="5:5" ht="15.75" customHeight="1" x14ac:dyDescent="0.25">
      <c r="E524" s="543"/>
    </row>
    <row r="525" spans="5:5" ht="15.75" customHeight="1" x14ac:dyDescent="0.25">
      <c r="E525" s="543"/>
    </row>
    <row r="526" spans="5:5" ht="15.75" customHeight="1" x14ac:dyDescent="0.25">
      <c r="E526" s="543"/>
    </row>
    <row r="527" spans="5:5" ht="15.75" customHeight="1" x14ac:dyDescent="0.25">
      <c r="E527" s="543"/>
    </row>
    <row r="528" spans="5:5" ht="15.75" customHeight="1" x14ac:dyDescent="0.25">
      <c r="E528" s="543"/>
    </row>
    <row r="529" spans="5:5" ht="15.75" customHeight="1" x14ac:dyDescent="0.25">
      <c r="E529" s="543"/>
    </row>
    <row r="530" spans="5:5" ht="15.75" customHeight="1" x14ac:dyDescent="0.25">
      <c r="E530" s="543"/>
    </row>
    <row r="531" spans="5:5" ht="15.75" customHeight="1" x14ac:dyDescent="0.25">
      <c r="E531" s="543"/>
    </row>
    <row r="532" spans="5:5" ht="15.75" customHeight="1" x14ac:dyDescent="0.25">
      <c r="E532" s="543"/>
    </row>
    <row r="533" spans="5:5" ht="15.75" customHeight="1" x14ac:dyDescent="0.25">
      <c r="E533" s="543"/>
    </row>
    <row r="534" spans="5:5" ht="15.75" customHeight="1" x14ac:dyDescent="0.25">
      <c r="E534" s="543"/>
    </row>
    <row r="535" spans="5:5" ht="15.75" customHeight="1" x14ac:dyDescent="0.25">
      <c r="E535" s="543"/>
    </row>
    <row r="536" spans="5:5" ht="15.75" customHeight="1" x14ac:dyDescent="0.25">
      <c r="E536" s="543"/>
    </row>
    <row r="537" spans="5:5" ht="15.75" customHeight="1" x14ac:dyDescent="0.25">
      <c r="E537" s="543"/>
    </row>
    <row r="538" spans="5:5" ht="15.75" customHeight="1" x14ac:dyDescent="0.25">
      <c r="E538" s="543"/>
    </row>
    <row r="539" spans="5:5" ht="15.75" customHeight="1" x14ac:dyDescent="0.25">
      <c r="E539" s="543"/>
    </row>
    <row r="540" spans="5:5" ht="15.75" customHeight="1" x14ac:dyDescent="0.25">
      <c r="E540" s="543"/>
    </row>
    <row r="541" spans="5:5" ht="15.75" customHeight="1" x14ac:dyDescent="0.25">
      <c r="E541" s="543"/>
    </row>
    <row r="542" spans="5:5" ht="15.75" customHeight="1" x14ac:dyDescent="0.25">
      <c r="E542" s="543"/>
    </row>
    <row r="543" spans="5:5" ht="15.75" customHeight="1" x14ac:dyDescent="0.25">
      <c r="E543" s="543"/>
    </row>
    <row r="544" spans="5:5" ht="15.75" customHeight="1" x14ac:dyDescent="0.25">
      <c r="E544" s="543"/>
    </row>
    <row r="545" spans="5:5" ht="15.75" customHeight="1" x14ac:dyDescent="0.25">
      <c r="E545" s="543"/>
    </row>
    <row r="546" spans="5:5" ht="15.75" customHeight="1" x14ac:dyDescent="0.25">
      <c r="E546" s="543"/>
    </row>
    <row r="547" spans="5:5" ht="15.75" customHeight="1" x14ac:dyDescent="0.25">
      <c r="E547" s="543"/>
    </row>
    <row r="548" spans="5:5" ht="15.75" customHeight="1" x14ac:dyDescent="0.25">
      <c r="E548" s="543"/>
    </row>
    <row r="549" spans="5:5" ht="15.75" customHeight="1" x14ac:dyDescent="0.25">
      <c r="E549" s="543"/>
    </row>
    <row r="550" spans="5:5" ht="15.75" customHeight="1" x14ac:dyDescent="0.25">
      <c r="E550" s="543"/>
    </row>
    <row r="551" spans="5:5" ht="15.75" customHeight="1" x14ac:dyDescent="0.25">
      <c r="E551" s="543"/>
    </row>
    <row r="552" spans="5:5" ht="15.75" customHeight="1" x14ac:dyDescent="0.25">
      <c r="E552" s="543"/>
    </row>
    <row r="553" spans="5:5" ht="15.75" customHeight="1" x14ac:dyDescent="0.25">
      <c r="E553" s="543"/>
    </row>
    <row r="554" spans="5:5" ht="15.75" customHeight="1" x14ac:dyDescent="0.25">
      <c r="E554" s="543"/>
    </row>
    <row r="555" spans="5:5" ht="15.75" customHeight="1" x14ac:dyDescent="0.25">
      <c r="E555" s="543"/>
    </row>
    <row r="556" spans="5:5" ht="15.75" customHeight="1" x14ac:dyDescent="0.25">
      <c r="E556" s="543"/>
    </row>
    <row r="557" spans="5:5" ht="15.75" customHeight="1" x14ac:dyDescent="0.25">
      <c r="E557" s="543"/>
    </row>
    <row r="558" spans="5:5" ht="15.75" customHeight="1" x14ac:dyDescent="0.25">
      <c r="E558" s="543"/>
    </row>
    <row r="559" spans="5:5" ht="15.75" customHeight="1" x14ac:dyDescent="0.25">
      <c r="E559" s="543"/>
    </row>
    <row r="560" spans="5:5" ht="15.75" customHeight="1" x14ac:dyDescent="0.25">
      <c r="E560" s="543"/>
    </row>
    <row r="561" spans="5:5" ht="15.75" customHeight="1" x14ac:dyDescent="0.25">
      <c r="E561" s="543"/>
    </row>
    <row r="562" spans="5:5" ht="15.75" customHeight="1" x14ac:dyDescent="0.25">
      <c r="E562" s="543"/>
    </row>
    <row r="563" spans="5:5" ht="15.75" customHeight="1" x14ac:dyDescent="0.25">
      <c r="E563" s="543"/>
    </row>
    <row r="564" spans="5:5" ht="15.75" customHeight="1" x14ac:dyDescent="0.25">
      <c r="E564" s="543"/>
    </row>
    <row r="565" spans="5:5" ht="15.75" customHeight="1" x14ac:dyDescent="0.25">
      <c r="E565" s="543"/>
    </row>
    <row r="566" spans="5:5" ht="15.75" customHeight="1" x14ac:dyDescent="0.25">
      <c r="E566" s="543"/>
    </row>
    <row r="567" spans="5:5" ht="15.75" customHeight="1" x14ac:dyDescent="0.25">
      <c r="E567" s="543"/>
    </row>
    <row r="568" spans="5:5" ht="15.75" customHeight="1" x14ac:dyDescent="0.25">
      <c r="E568" s="543"/>
    </row>
    <row r="569" spans="5:5" ht="15.75" customHeight="1" x14ac:dyDescent="0.25">
      <c r="E569" s="543"/>
    </row>
    <row r="570" spans="5:5" ht="15.75" customHeight="1" x14ac:dyDescent="0.25">
      <c r="E570" s="543"/>
    </row>
    <row r="571" spans="5:5" ht="15.75" customHeight="1" x14ac:dyDescent="0.25">
      <c r="E571" s="543"/>
    </row>
    <row r="572" spans="5:5" ht="15.75" customHeight="1" x14ac:dyDescent="0.25">
      <c r="E572" s="543"/>
    </row>
    <row r="573" spans="5:5" ht="15.75" customHeight="1" x14ac:dyDescent="0.25">
      <c r="E573" s="543"/>
    </row>
    <row r="574" spans="5:5" ht="15.75" customHeight="1" x14ac:dyDescent="0.25">
      <c r="E574" s="543"/>
    </row>
    <row r="575" spans="5:5" ht="15.75" customHeight="1" x14ac:dyDescent="0.25">
      <c r="E575" s="543"/>
    </row>
    <row r="576" spans="5:5" ht="15.75" customHeight="1" x14ac:dyDescent="0.25">
      <c r="E576" s="543"/>
    </row>
    <row r="577" spans="5:5" ht="15.75" customHeight="1" x14ac:dyDescent="0.25">
      <c r="E577" s="543"/>
    </row>
    <row r="578" spans="5:5" ht="15.75" customHeight="1" x14ac:dyDescent="0.25">
      <c r="E578" s="543"/>
    </row>
    <row r="579" spans="5:5" ht="15.75" customHeight="1" x14ac:dyDescent="0.25">
      <c r="E579" s="543"/>
    </row>
    <row r="580" spans="5:5" ht="15.75" customHeight="1" x14ac:dyDescent="0.25">
      <c r="E580" s="543"/>
    </row>
    <row r="581" spans="5:5" ht="15.75" customHeight="1" x14ac:dyDescent="0.25">
      <c r="E581" s="543"/>
    </row>
    <row r="582" spans="5:5" ht="15.75" customHeight="1" x14ac:dyDescent="0.25">
      <c r="E582" s="543"/>
    </row>
    <row r="583" spans="5:5" ht="15.75" customHeight="1" x14ac:dyDescent="0.25">
      <c r="E583" s="543"/>
    </row>
    <row r="584" spans="5:5" ht="15.75" customHeight="1" x14ac:dyDescent="0.25">
      <c r="E584" s="543"/>
    </row>
    <row r="585" spans="5:5" ht="15.75" customHeight="1" x14ac:dyDescent="0.25">
      <c r="E585" s="543"/>
    </row>
    <row r="586" spans="5:5" ht="15.75" customHeight="1" x14ac:dyDescent="0.25">
      <c r="E586" s="543"/>
    </row>
    <row r="587" spans="5:5" ht="15.75" customHeight="1" x14ac:dyDescent="0.25">
      <c r="E587" s="543"/>
    </row>
    <row r="588" spans="5:5" ht="15.75" customHeight="1" x14ac:dyDescent="0.25">
      <c r="E588" s="543"/>
    </row>
    <row r="589" spans="5:5" ht="15.75" customHeight="1" x14ac:dyDescent="0.25">
      <c r="E589" s="543"/>
    </row>
    <row r="590" spans="5:5" ht="15.75" customHeight="1" x14ac:dyDescent="0.25">
      <c r="E590" s="543"/>
    </row>
    <row r="591" spans="5:5" ht="15.75" customHeight="1" x14ac:dyDescent="0.25">
      <c r="E591" s="543"/>
    </row>
    <row r="592" spans="5:5" ht="15.75" customHeight="1" x14ac:dyDescent="0.25">
      <c r="E592" s="543"/>
    </row>
    <row r="593" spans="5:5" ht="15.75" customHeight="1" x14ac:dyDescent="0.25">
      <c r="E593" s="543"/>
    </row>
    <row r="594" spans="5:5" ht="15.75" customHeight="1" x14ac:dyDescent="0.25">
      <c r="E594" s="543"/>
    </row>
    <row r="595" spans="5:5" ht="15.75" customHeight="1" x14ac:dyDescent="0.25">
      <c r="E595" s="543"/>
    </row>
    <row r="596" spans="5:5" ht="15.75" customHeight="1" x14ac:dyDescent="0.25">
      <c r="E596" s="543"/>
    </row>
    <row r="597" spans="5:5" ht="15.75" customHeight="1" x14ac:dyDescent="0.25">
      <c r="E597" s="543"/>
    </row>
    <row r="598" spans="5:5" ht="15.75" customHeight="1" x14ac:dyDescent="0.25">
      <c r="E598" s="543"/>
    </row>
    <row r="599" spans="5:5" ht="15.75" customHeight="1" x14ac:dyDescent="0.25">
      <c r="E599" s="543"/>
    </row>
    <row r="600" spans="5:5" ht="15.75" customHeight="1" x14ac:dyDescent="0.25">
      <c r="E600" s="543"/>
    </row>
    <row r="601" spans="5:5" ht="15.75" customHeight="1" x14ac:dyDescent="0.25">
      <c r="E601" s="543"/>
    </row>
    <row r="602" spans="5:5" ht="15.75" customHeight="1" x14ac:dyDescent="0.25">
      <c r="E602" s="543"/>
    </row>
    <row r="603" spans="5:5" ht="15.75" customHeight="1" x14ac:dyDescent="0.25">
      <c r="E603" s="543"/>
    </row>
    <row r="604" spans="5:5" ht="15.75" customHeight="1" x14ac:dyDescent="0.25">
      <c r="E604" s="543"/>
    </row>
    <row r="605" spans="5:5" ht="15.75" customHeight="1" x14ac:dyDescent="0.25">
      <c r="E605" s="543"/>
    </row>
    <row r="606" spans="5:5" ht="15.75" customHeight="1" x14ac:dyDescent="0.25">
      <c r="E606" s="543"/>
    </row>
    <row r="607" spans="5:5" ht="15.75" customHeight="1" x14ac:dyDescent="0.25">
      <c r="E607" s="543"/>
    </row>
    <row r="608" spans="5:5" ht="15.75" customHeight="1" x14ac:dyDescent="0.25">
      <c r="E608" s="543"/>
    </row>
    <row r="609" spans="5:5" ht="15.75" customHeight="1" x14ac:dyDescent="0.25">
      <c r="E609" s="543"/>
    </row>
    <row r="610" spans="5:5" ht="15.75" customHeight="1" x14ac:dyDescent="0.25">
      <c r="E610" s="543"/>
    </row>
    <row r="611" spans="5:5" ht="15.75" customHeight="1" x14ac:dyDescent="0.25">
      <c r="E611" s="543"/>
    </row>
    <row r="612" spans="5:5" ht="15.75" customHeight="1" x14ac:dyDescent="0.25">
      <c r="E612" s="543"/>
    </row>
    <row r="613" spans="5:5" ht="15.75" customHeight="1" x14ac:dyDescent="0.25">
      <c r="E613" s="543"/>
    </row>
    <row r="614" spans="5:5" ht="15.75" customHeight="1" x14ac:dyDescent="0.25">
      <c r="E614" s="543"/>
    </row>
    <row r="615" spans="5:5" ht="15.75" customHeight="1" x14ac:dyDescent="0.25">
      <c r="E615" s="543"/>
    </row>
    <row r="616" spans="5:5" ht="15.75" customHeight="1" x14ac:dyDescent="0.25">
      <c r="E616" s="543"/>
    </row>
    <row r="617" spans="5:5" ht="15.75" customHeight="1" x14ac:dyDescent="0.25">
      <c r="E617" s="543"/>
    </row>
    <row r="618" spans="5:5" ht="15.75" customHeight="1" x14ac:dyDescent="0.25">
      <c r="E618" s="543"/>
    </row>
    <row r="619" spans="5:5" ht="15.75" customHeight="1" x14ac:dyDescent="0.25">
      <c r="E619" s="543"/>
    </row>
    <row r="620" spans="5:5" ht="15.75" customHeight="1" x14ac:dyDescent="0.25">
      <c r="E620" s="543"/>
    </row>
    <row r="621" spans="5:5" ht="15.75" customHeight="1" x14ac:dyDescent="0.25">
      <c r="E621" s="543"/>
    </row>
    <row r="622" spans="5:5" ht="15.75" customHeight="1" x14ac:dyDescent="0.25">
      <c r="E622" s="543"/>
    </row>
    <row r="623" spans="5:5" ht="15.75" customHeight="1" x14ac:dyDescent="0.25">
      <c r="E623" s="543"/>
    </row>
    <row r="624" spans="5:5" ht="15.75" customHeight="1" x14ac:dyDescent="0.25">
      <c r="E624" s="543"/>
    </row>
    <row r="625" spans="5:5" ht="15.75" customHeight="1" x14ac:dyDescent="0.25">
      <c r="E625" s="543"/>
    </row>
    <row r="626" spans="5:5" ht="15.75" customHeight="1" x14ac:dyDescent="0.25">
      <c r="E626" s="543"/>
    </row>
    <row r="627" spans="5:5" ht="15.75" customHeight="1" x14ac:dyDescent="0.25">
      <c r="E627" s="543"/>
    </row>
    <row r="628" spans="5:5" ht="15.75" customHeight="1" x14ac:dyDescent="0.25">
      <c r="E628" s="543"/>
    </row>
    <row r="629" spans="5:5" ht="15.75" customHeight="1" x14ac:dyDescent="0.25">
      <c r="E629" s="543"/>
    </row>
    <row r="630" spans="5:5" ht="15.75" customHeight="1" x14ac:dyDescent="0.25">
      <c r="E630" s="543"/>
    </row>
    <row r="631" spans="5:5" ht="15.75" customHeight="1" x14ac:dyDescent="0.25">
      <c r="E631" s="543"/>
    </row>
    <row r="632" spans="5:5" ht="15.75" customHeight="1" x14ac:dyDescent="0.25">
      <c r="E632" s="543"/>
    </row>
    <row r="633" spans="5:5" ht="15.75" customHeight="1" x14ac:dyDescent="0.25">
      <c r="E633" s="543"/>
    </row>
    <row r="634" spans="5:5" ht="15.75" customHeight="1" x14ac:dyDescent="0.25">
      <c r="E634" s="543"/>
    </row>
    <row r="635" spans="5:5" ht="15.75" customHeight="1" x14ac:dyDescent="0.25">
      <c r="E635" s="543"/>
    </row>
    <row r="636" spans="5:5" ht="15.75" customHeight="1" x14ac:dyDescent="0.25">
      <c r="E636" s="543"/>
    </row>
    <row r="637" spans="5:5" ht="15.75" customHeight="1" x14ac:dyDescent="0.25">
      <c r="E637" s="543"/>
    </row>
    <row r="638" spans="5:5" ht="15.75" customHeight="1" x14ac:dyDescent="0.25">
      <c r="E638" s="543"/>
    </row>
    <row r="639" spans="5:5" ht="15.75" customHeight="1" x14ac:dyDescent="0.25">
      <c r="E639" s="543"/>
    </row>
    <row r="640" spans="5:5" ht="15.75" customHeight="1" x14ac:dyDescent="0.25">
      <c r="E640" s="543"/>
    </row>
    <row r="641" spans="5:5" ht="15.75" customHeight="1" x14ac:dyDescent="0.25">
      <c r="E641" s="543"/>
    </row>
    <row r="642" spans="5:5" ht="15.75" customHeight="1" x14ac:dyDescent="0.25">
      <c r="E642" s="543"/>
    </row>
    <row r="643" spans="5:5" ht="15.75" customHeight="1" x14ac:dyDescent="0.25">
      <c r="E643" s="543"/>
    </row>
    <row r="644" spans="5:5" ht="15.75" customHeight="1" x14ac:dyDescent="0.25">
      <c r="E644" s="543"/>
    </row>
    <row r="645" spans="5:5" ht="15.75" customHeight="1" x14ac:dyDescent="0.25">
      <c r="E645" s="543"/>
    </row>
    <row r="646" spans="5:5" ht="15.75" customHeight="1" x14ac:dyDescent="0.25">
      <c r="E646" s="543"/>
    </row>
    <row r="647" spans="5:5" ht="15.75" customHeight="1" x14ac:dyDescent="0.25">
      <c r="E647" s="543"/>
    </row>
    <row r="648" spans="5:5" ht="15.75" customHeight="1" x14ac:dyDescent="0.25">
      <c r="E648" s="543"/>
    </row>
    <row r="649" spans="5:5" ht="15.75" customHeight="1" x14ac:dyDescent="0.25">
      <c r="E649" s="543"/>
    </row>
    <row r="650" spans="5:5" ht="15.75" customHeight="1" x14ac:dyDescent="0.25">
      <c r="E650" s="543"/>
    </row>
    <row r="651" spans="5:5" ht="15.75" customHeight="1" x14ac:dyDescent="0.25">
      <c r="E651" s="543"/>
    </row>
    <row r="652" spans="5:5" ht="15.75" customHeight="1" x14ac:dyDescent="0.25">
      <c r="E652" s="543"/>
    </row>
    <row r="653" spans="5:5" ht="15.75" customHeight="1" x14ac:dyDescent="0.25">
      <c r="E653" s="543"/>
    </row>
    <row r="654" spans="5:5" ht="15.75" customHeight="1" x14ac:dyDescent="0.25">
      <c r="E654" s="543"/>
    </row>
    <row r="655" spans="5:5" ht="15.75" customHeight="1" x14ac:dyDescent="0.25">
      <c r="E655" s="543"/>
    </row>
    <row r="656" spans="5:5" ht="15.75" customHeight="1" x14ac:dyDescent="0.25">
      <c r="E656" s="543"/>
    </row>
    <row r="657" spans="5:5" ht="15.75" customHeight="1" x14ac:dyDescent="0.25">
      <c r="E657" s="543"/>
    </row>
    <row r="658" spans="5:5" ht="15.75" customHeight="1" x14ac:dyDescent="0.25">
      <c r="E658" s="543"/>
    </row>
    <row r="659" spans="5:5" ht="15.75" customHeight="1" x14ac:dyDescent="0.25">
      <c r="E659" s="543"/>
    </row>
    <row r="660" spans="5:5" ht="15.75" customHeight="1" x14ac:dyDescent="0.25">
      <c r="E660" s="543"/>
    </row>
    <row r="661" spans="5:5" ht="15.75" customHeight="1" x14ac:dyDescent="0.25">
      <c r="E661" s="543"/>
    </row>
    <row r="662" spans="5:5" ht="15.75" customHeight="1" x14ac:dyDescent="0.25">
      <c r="E662" s="543"/>
    </row>
    <row r="663" spans="5:5" ht="15.75" customHeight="1" x14ac:dyDescent="0.25">
      <c r="E663" s="543"/>
    </row>
    <row r="664" spans="5:5" ht="15.75" customHeight="1" x14ac:dyDescent="0.25">
      <c r="E664" s="543"/>
    </row>
    <row r="665" spans="5:5" ht="15.75" customHeight="1" x14ac:dyDescent="0.25">
      <c r="E665" s="543"/>
    </row>
    <row r="666" spans="5:5" ht="15.75" customHeight="1" x14ac:dyDescent="0.25">
      <c r="E666" s="543"/>
    </row>
    <row r="667" spans="5:5" ht="15.75" customHeight="1" x14ac:dyDescent="0.25">
      <c r="E667" s="543"/>
    </row>
    <row r="668" spans="5:5" ht="15.75" customHeight="1" x14ac:dyDescent="0.25">
      <c r="E668" s="543"/>
    </row>
    <row r="669" spans="5:5" ht="15.75" customHeight="1" x14ac:dyDescent="0.25">
      <c r="E669" s="543"/>
    </row>
    <row r="670" spans="5:5" ht="15.75" customHeight="1" x14ac:dyDescent="0.25">
      <c r="E670" s="543"/>
    </row>
    <row r="671" spans="5:5" ht="15.75" customHeight="1" x14ac:dyDescent="0.25">
      <c r="E671" s="543"/>
    </row>
    <row r="672" spans="5:5" ht="15.75" customHeight="1" x14ac:dyDescent="0.25">
      <c r="E672" s="543"/>
    </row>
    <row r="673" spans="5:5" ht="15.75" customHeight="1" x14ac:dyDescent="0.25">
      <c r="E673" s="543"/>
    </row>
    <row r="674" spans="5:5" ht="15.75" customHeight="1" x14ac:dyDescent="0.25">
      <c r="E674" s="543"/>
    </row>
    <row r="675" spans="5:5" ht="15.75" customHeight="1" x14ac:dyDescent="0.25">
      <c r="E675" s="543"/>
    </row>
    <row r="676" spans="5:5" ht="15.75" customHeight="1" x14ac:dyDescent="0.25">
      <c r="E676" s="543"/>
    </row>
    <row r="677" spans="5:5" ht="15.75" customHeight="1" x14ac:dyDescent="0.25">
      <c r="E677" s="543"/>
    </row>
    <row r="678" spans="5:5" ht="15.75" customHeight="1" x14ac:dyDescent="0.25">
      <c r="E678" s="543"/>
    </row>
    <row r="679" spans="5:5" ht="15.75" customHeight="1" x14ac:dyDescent="0.25">
      <c r="E679" s="543"/>
    </row>
    <row r="680" spans="5:5" ht="15.75" customHeight="1" x14ac:dyDescent="0.25">
      <c r="E680" s="543"/>
    </row>
    <row r="681" spans="5:5" ht="15.75" customHeight="1" x14ac:dyDescent="0.25">
      <c r="E681" s="543"/>
    </row>
    <row r="682" spans="5:5" ht="15.75" customHeight="1" x14ac:dyDescent="0.25">
      <c r="E682" s="543"/>
    </row>
    <row r="683" spans="5:5" ht="15.75" customHeight="1" x14ac:dyDescent="0.25">
      <c r="E683" s="543"/>
    </row>
    <row r="684" spans="5:5" ht="15.75" customHeight="1" x14ac:dyDescent="0.25">
      <c r="E684" s="543"/>
    </row>
    <row r="685" spans="5:5" ht="15.75" customHeight="1" x14ac:dyDescent="0.25">
      <c r="E685" s="543"/>
    </row>
    <row r="686" spans="5:5" ht="15.75" customHeight="1" x14ac:dyDescent="0.25">
      <c r="E686" s="543"/>
    </row>
    <row r="687" spans="5:5" ht="15.75" customHeight="1" x14ac:dyDescent="0.25">
      <c r="E687" s="543"/>
    </row>
    <row r="688" spans="5:5" ht="15.75" customHeight="1" x14ac:dyDescent="0.25">
      <c r="E688" s="543"/>
    </row>
    <row r="689" spans="5:5" ht="15.75" customHeight="1" x14ac:dyDescent="0.25">
      <c r="E689" s="543"/>
    </row>
    <row r="690" spans="5:5" ht="15.75" customHeight="1" x14ac:dyDescent="0.25">
      <c r="E690" s="543"/>
    </row>
    <row r="691" spans="5:5" ht="15.75" customHeight="1" x14ac:dyDescent="0.25">
      <c r="E691" s="543"/>
    </row>
    <row r="692" spans="5:5" ht="15.75" customHeight="1" x14ac:dyDescent="0.25">
      <c r="E692" s="543"/>
    </row>
    <row r="693" spans="5:5" ht="15.75" customHeight="1" x14ac:dyDescent="0.25">
      <c r="E693" s="543"/>
    </row>
    <row r="694" spans="5:5" ht="15.75" customHeight="1" x14ac:dyDescent="0.25">
      <c r="E694" s="543"/>
    </row>
    <row r="695" spans="5:5" ht="15.75" customHeight="1" x14ac:dyDescent="0.25">
      <c r="E695" s="543"/>
    </row>
    <row r="696" spans="5:5" ht="15.75" customHeight="1" x14ac:dyDescent="0.25">
      <c r="E696" s="543"/>
    </row>
    <row r="697" spans="5:5" ht="15.75" customHeight="1" x14ac:dyDescent="0.25">
      <c r="E697" s="543"/>
    </row>
    <row r="698" spans="5:5" ht="15.75" customHeight="1" x14ac:dyDescent="0.25">
      <c r="E698" s="543"/>
    </row>
    <row r="699" spans="5:5" ht="15.75" customHeight="1" x14ac:dyDescent="0.25">
      <c r="E699" s="543"/>
    </row>
    <row r="700" spans="5:5" ht="15.75" customHeight="1" x14ac:dyDescent="0.25">
      <c r="E700" s="543"/>
    </row>
    <row r="701" spans="5:5" ht="15.75" customHeight="1" x14ac:dyDescent="0.25">
      <c r="E701" s="543"/>
    </row>
    <row r="702" spans="5:5" ht="15.75" customHeight="1" x14ac:dyDescent="0.25">
      <c r="E702" s="543"/>
    </row>
    <row r="703" spans="5:5" ht="15.75" customHeight="1" x14ac:dyDescent="0.25">
      <c r="E703" s="543"/>
    </row>
    <row r="704" spans="5:5" ht="15.75" customHeight="1" x14ac:dyDescent="0.25">
      <c r="E704" s="543"/>
    </row>
    <row r="705" spans="5:5" ht="15.75" customHeight="1" x14ac:dyDescent="0.25">
      <c r="E705" s="543"/>
    </row>
    <row r="706" spans="5:5" ht="15.75" customHeight="1" x14ac:dyDescent="0.25">
      <c r="E706" s="543"/>
    </row>
    <row r="707" spans="5:5" ht="15.75" customHeight="1" x14ac:dyDescent="0.25">
      <c r="E707" s="543"/>
    </row>
    <row r="708" spans="5:5" ht="15.75" customHeight="1" x14ac:dyDescent="0.25">
      <c r="E708" s="543"/>
    </row>
    <row r="709" spans="5:5" ht="15.75" customHeight="1" x14ac:dyDescent="0.25">
      <c r="E709" s="543"/>
    </row>
    <row r="710" spans="5:5" ht="15.75" customHeight="1" x14ac:dyDescent="0.25">
      <c r="E710" s="543"/>
    </row>
    <row r="711" spans="5:5" ht="15.75" customHeight="1" x14ac:dyDescent="0.25">
      <c r="E711" s="543"/>
    </row>
    <row r="712" spans="5:5" ht="15.75" customHeight="1" x14ac:dyDescent="0.25">
      <c r="E712" s="543"/>
    </row>
    <row r="713" spans="5:5" ht="15.75" customHeight="1" x14ac:dyDescent="0.25">
      <c r="E713" s="543"/>
    </row>
    <row r="714" spans="5:5" ht="15.75" customHeight="1" x14ac:dyDescent="0.25">
      <c r="E714" s="543"/>
    </row>
    <row r="715" spans="5:5" ht="15.75" customHeight="1" x14ac:dyDescent="0.25">
      <c r="E715" s="543"/>
    </row>
    <row r="716" spans="5:5" ht="15.75" customHeight="1" x14ac:dyDescent="0.25">
      <c r="E716" s="543"/>
    </row>
    <row r="717" spans="5:5" ht="15.75" customHeight="1" x14ac:dyDescent="0.25">
      <c r="E717" s="543"/>
    </row>
    <row r="718" spans="5:5" ht="15.75" customHeight="1" x14ac:dyDescent="0.25">
      <c r="E718" s="543"/>
    </row>
    <row r="719" spans="5:5" ht="15.75" customHeight="1" x14ac:dyDescent="0.25">
      <c r="E719" s="543"/>
    </row>
    <row r="720" spans="5:5" ht="15.75" customHeight="1" x14ac:dyDescent="0.25">
      <c r="E720" s="543"/>
    </row>
    <row r="721" spans="5:5" ht="15.75" customHeight="1" x14ac:dyDescent="0.25">
      <c r="E721" s="543"/>
    </row>
    <row r="722" spans="5:5" ht="15.75" customHeight="1" x14ac:dyDescent="0.25">
      <c r="E722" s="543"/>
    </row>
    <row r="723" spans="5:5" ht="15.75" customHeight="1" x14ac:dyDescent="0.25">
      <c r="E723" s="543"/>
    </row>
    <row r="724" spans="5:5" ht="15.75" customHeight="1" x14ac:dyDescent="0.25">
      <c r="E724" s="543"/>
    </row>
    <row r="725" spans="5:5" ht="15.75" customHeight="1" x14ac:dyDescent="0.25">
      <c r="E725" s="543"/>
    </row>
    <row r="726" spans="5:5" ht="15.75" customHeight="1" x14ac:dyDescent="0.25">
      <c r="E726" s="543"/>
    </row>
    <row r="727" spans="5:5" ht="15.75" customHeight="1" x14ac:dyDescent="0.25">
      <c r="E727" s="543"/>
    </row>
    <row r="728" spans="5:5" ht="15.75" customHeight="1" x14ac:dyDescent="0.25">
      <c r="E728" s="543"/>
    </row>
    <row r="729" spans="5:5" ht="15.75" customHeight="1" x14ac:dyDescent="0.25">
      <c r="E729" s="543"/>
    </row>
    <row r="730" spans="5:5" ht="15.75" customHeight="1" x14ac:dyDescent="0.25">
      <c r="E730" s="543"/>
    </row>
    <row r="731" spans="5:5" ht="15.75" customHeight="1" x14ac:dyDescent="0.25">
      <c r="E731" s="543"/>
    </row>
    <row r="732" spans="5:5" ht="15.75" customHeight="1" x14ac:dyDescent="0.25">
      <c r="E732" s="543"/>
    </row>
    <row r="733" spans="5:5" ht="15.75" customHeight="1" x14ac:dyDescent="0.25">
      <c r="E733" s="543"/>
    </row>
    <row r="734" spans="5:5" ht="15.75" customHeight="1" x14ac:dyDescent="0.25">
      <c r="E734" s="543"/>
    </row>
    <row r="735" spans="5:5" ht="15.75" customHeight="1" x14ac:dyDescent="0.25">
      <c r="E735" s="543"/>
    </row>
    <row r="736" spans="5:5" ht="15.75" customHeight="1" x14ac:dyDescent="0.25">
      <c r="E736" s="543"/>
    </row>
    <row r="737" spans="5:5" ht="15.75" customHeight="1" x14ac:dyDescent="0.25">
      <c r="E737" s="543"/>
    </row>
    <row r="738" spans="5:5" ht="15.75" customHeight="1" x14ac:dyDescent="0.25">
      <c r="E738" s="543"/>
    </row>
    <row r="739" spans="5:5" ht="15.75" customHeight="1" x14ac:dyDescent="0.25">
      <c r="E739" s="543"/>
    </row>
    <row r="740" spans="5:5" ht="15.75" customHeight="1" x14ac:dyDescent="0.25">
      <c r="E740" s="543"/>
    </row>
    <row r="741" spans="5:5" ht="15.75" customHeight="1" x14ac:dyDescent="0.25">
      <c r="E741" s="543"/>
    </row>
    <row r="742" spans="5:5" ht="15.75" customHeight="1" x14ac:dyDescent="0.25">
      <c r="E742" s="543"/>
    </row>
    <row r="743" spans="5:5" ht="15.75" customHeight="1" x14ac:dyDescent="0.25">
      <c r="E743" s="543"/>
    </row>
    <row r="744" spans="5:5" ht="15.75" customHeight="1" x14ac:dyDescent="0.25">
      <c r="E744" s="543"/>
    </row>
    <row r="745" spans="5:5" ht="15.75" customHeight="1" x14ac:dyDescent="0.25">
      <c r="E745" s="543"/>
    </row>
    <row r="746" spans="5:5" ht="15.75" customHeight="1" x14ac:dyDescent="0.25">
      <c r="E746" s="543"/>
    </row>
    <row r="747" spans="5:5" ht="15.75" customHeight="1" x14ac:dyDescent="0.25">
      <c r="E747" s="543"/>
    </row>
    <row r="748" spans="5:5" ht="15.75" customHeight="1" x14ac:dyDescent="0.25">
      <c r="E748" s="543"/>
    </row>
    <row r="749" spans="5:5" ht="15.75" customHeight="1" x14ac:dyDescent="0.25">
      <c r="E749" s="543"/>
    </row>
    <row r="750" spans="5:5" ht="15.75" customHeight="1" x14ac:dyDescent="0.25">
      <c r="E750" s="543"/>
    </row>
    <row r="751" spans="5:5" ht="15.75" customHeight="1" x14ac:dyDescent="0.25">
      <c r="E751" s="543"/>
    </row>
    <row r="752" spans="5:5" ht="15.75" customHeight="1" x14ac:dyDescent="0.25">
      <c r="E752" s="543"/>
    </row>
    <row r="753" spans="5:5" ht="15.75" customHeight="1" x14ac:dyDescent="0.25">
      <c r="E753" s="543"/>
    </row>
    <row r="754" spans="5:5" ht="15.75" customHeight="1" x14ac:dyDescent="0.25">
      <c r="E754" s="543"/>
    </row>
    <row r="755" spans="5:5" ht="15.75" customHeight="1" x14ac:dyDescent="0.25">
      <c r="E755" s="543"/>
    </row>
    <row r="756" spans="5:5" ht="15.75" customHeight="1" x14ac:dyDescent="0.25">
      <c r="E756" s="543"/>
    </row>
    <row r="757" spans="5:5" ht="15.75" customHeight="1" x14ac:dyDescent="0.25">
      <c r="E757" s="543"/>
    </row>
    <row r="758" spans="5:5" ht="15.75" customHeight="1" x14ac:dyDescent="0.25">
      <c r="E758" s="543"/>
    </row>
    <row r="759" spans="5:5" ht="15.75" customHeight="1" x14ac:dyDescent="0.25">
      <c r="E759" s="543"/>
    </row>
    <row r="760" spans="5:5" ht="15.75" customHeight="1" x14ac:dyDescent="0.25">
      <c r="E760" s="543"/>
    </row>
    <row r="761" spans="5:5" ht="15.75" customHeight="1" x14ac:dyDescent="0.25">
      <c r="E761" s="543"/>
    </row>
    <row r="762" spans="5:5" ht="15.75" customHeight="1" x14ac:dyDescent="0.25">
      <c r="E762" s="543"/>
    </row>
    <row r="763" spans="5:5" ht="15.75" customHeight="1" x14ac:dyDescent="0.25">
      <c r="E763" s="543"/>
    </row>
    <row r="764" spans="5:5" ht="15.75" customHeight="1" x14ac:dyDescent="0.25">
      <c r="E764" s="543"/>
    </row>
    <row r="765" spans="5:5" ht="15.75" customHeight="1" x14ac:dyDescent="0.25">
      <c r="E765" s="543"/>
    </row>
    <row r="766" spans="5:5" ht="15.75" customHeight="1" x14ac:dyDescent="0.25">
      <c r="E766" s="543"/>
    </row>
    <row r="767" spans="5:5" ht="15.75" customHeight="1" x14ac:dyDescent="0.25">
      <c r="E767" s="543"/>
    </row>
    <row r="768" spans="5:5" ht="15.75" customHeight="1" x14ac:dyDescent="0.25">
      <c r="E768" s="543"/>
    </row>
    <row r="769" spans="5:5" ht="15.75" customHeight="1" x14ac:dyDescent="0.25">
      <c r="E769" s="543"/>
    </row>
    <row r="770" spans="5:5" ht="15.75" customHeight="1" x14ac:dyDescent="0.25">
      <c r="E770" s="543"/>
    </row>
    <row r="771" spans="5:5" ht="15.75" customHeight="1" x14ac:dyDescent="0.25">
      <c r="E771" s="543"/>
    </row>
    <row r="772" spans="5:5" ht="15.75" customHeight="1" x14ac:dyDescent="0.25">
      <c r="E772" s="543"/>
    </row>
    <row r="773" spans="5:5" ht="15.75" customHeight="1" x14ac:dyDescent="0.25">
      <c r="E773" s="543"/>
    </row>
    <row r="774" spans="5:5" ht="15.75" customHeight="1" x14ac:dyDescent="0.25">
      <c r="E774" s="543"/>
    </row>
    <row r="775" spans="5:5" ht="15.75" customHeight="1" x14ac:dyDescent="0.25">
      <c r="E775" s="543"/>
    </row>
    <row r="776" spans="5:5" ht="15.75" customHeight="1" x14ac:dyDescent="0.25">
      <c r="E776" s="543"/>
    </row>
    <row r="777" spans="5:5" ht="15.75" customHeight="1" x14ac:dyDescent="0.25">
      <c r="E777" s="543"/>
    </row>
    <row r="778" spans="5:5" ht="15.75" customHeight="1" x14ac:dyDescent="0.25">
      <c r="E778" s="543"/>
    </row>
    <row r="779" spans="5:5" ht="15.75" customHeight="1" x14ac:dyDescent="0.25">
      <c r="E779" s="543"/>
    </row>
    <row r="780" spans="5:5" ht="15.75" customHeight="1" x14ac:dyDescent="0.25">
      <c r="E780" s="543"/>
    </row>
    <row r="781" spans="5:5" ht="15.75" customHeight="1" x14ac:dyDescent="0.25">
      <c r="E781" s="543"/>
    </row>
    <row r="782" spans="5:5" ht="15.75" customHeight="1" x14ac:dyDescent="0.25">
      <c r="E782" s="543"/>
    </row>
    <row r="783" spans="5:5" ht="15.75" customHeight="1" x14ac:dyDescent="0.25">
      <c r="E783" s="543"/>
    </row>
    <row r="784" spans="5:5" ht="15.75" customHeight="1" x14ac:dyDescent="0.25">
      <c r="E784" s="543"/>
    </row>
    <row r="785" spans="5:5" ht="15.75" customHeight="1" x14ac:dyDescent="0.25">
      <c r="E785" s="543"/>
    </row>
    <row r="786" spans="5:5" ht="15.75" customHeight="1" x14ac:dyDescent="0.25">
      <c r="E786" s="543"/>
    </row>
    <row r="787" spans="5:5" ht="15.75" customHeight="1" x14ac:dyDescent="0.25">
      <c r="E787" s="543"/>
    </row>
    <row r="788" spans="5:5" ht="15.75" customHeight="1" x14ac:dyDescent="0.25">
      <c r="E788" s="543"/>
    </row>
    <row r="789" spans="5:5" ht="15.75" customHeight="1" x14ac:dyDescent="0.25">
      <c r="E789" s="543"/>
    </row>
    <row r="790" spans="5:5" ht="15.75" customHeight="1" x14ac:dyDescent="0.25">
      <c r="E790" s="543"/>
    </row>
    <row r="791" spans="5:5" ht="15.75" customHeight="1" x14ac:dyDescent="0.25">
      <c r="E791" s="543"/>
    </row>
    <row r="792" spans="5:5" ht="15.75" customHeight="1" x14ac:dyDescent="0.25">
      <c r="E792" s="543"/>
    </row>
    <row r="793" spans="5:5" ht="15.75" customHeight="1" x14ac:dyDescent="0.25">
      <c r="E793" s="543"/>
    </row>
    <row r="794" spans="5:5" ht="15.75" customHeight="1" x14ac:dyDescent="0.25">
      <c r="E794" s="543"/>
    </row>
    <row r="795" spans="5:5" ht="15.75" customHeight="1" x14ac:dyDescent="0.25">
      <c r="E795" s="543"/>
    </row>
    <row r="796" spans="5:5" ht="15.75" customHeight="1" x14ac:dyDescent="0.25">
      <c r="E796" s="543"/>
    </row>
    <row r="797" spans="5:5" ht="15.75" customHeight="1" x14ac:dyDescent="0.25">
      <c r="E797" s="543"/>
    </row>
    <row r="798" spans="5:5" ht="15.75" customHeight="1" x14ac:dyDescent="0.25">
      <c r="E798" s="543"/>
    </row>
    <row r="799" spans="5:5" ht="15.75" customHeight="1" x14ac:dyDescent="0.25">
      <c r="E799" s="543"/>
    </row>
    <row r="800" spans="5:5" ht="15.75" customHeight="1" x14ac:dyDescent="0.25">
      <c r="E800" s="543"/>
    </row>
    <row r="801" spans="5:5" ht="15.75" customHeight="1" x14ac:dyDescent="0.25">
      <c r="E801" s="543"/>
    </row>
    <row r="802" spans="5:5" ht="15.75" customHeight="1" x14ac:dyDescent="0.25">
      <c r="E802" s="543"/>
    </row>
    <row r="803" spans="5:5" ht="15.75" customHeight="1" x14ac:dyDescent="0.25">
      <c r="E803" s="543"/>
    </row>
    <row r="804" spans="5:5" ht="15.75" customHeight="1" x14ac:dyDescent="0.25">
      <c r="E804" s="543"/>
    </row>
    <row r="805" spans="5:5" ht="15.75" customHeight="1" x14ac:dyDescent="0.25">
      <c r="E805" s="543"/>
    </row>
    <row r="806" spans="5:5" ht="15.75" customHeight="1" x14ac:dyDescent="0.25">
      <c r="E806" s="543"/>
    </row>
    <row r="807" spans="5:5" ht="15.75" customHeight="1" x14ac:dyDescent="0.25">
      <c r="E807" s="543"/>
    </row>
    <row r="808" spans="5:5" ht="15.75" customHeight="1" x14ac:dyDescent="0.25">
      <c r="E808" s="543"/>
    </row>
    <row r="809" spans="5:5" ht="15.75" customHeight="1" x14ac:dyDescent="0.25">
      <c r="E809" s="543"/>
    </row>
    <row r="810" spans="5:5" ht="15.75" customHeight="1" x14ac:dyDescent="0.25">
      <c r="E810" s="543"/>
    </row>
    <row r="811" spans="5:5" ht="15.75" customHeight="1" x14ac:dyDescent="0.25">
      <c r="E811" s="543"/>
    </row>
    <row r="812" spans="5:5" ht="15.75" customHeight="1" x14ac:dyDescent="0.25">
      <c r="E812" s="543"/>
    </row>
    <row r="813" spans="5:5" ht="15.75" customHeight="1" x14ac:dyDescent="0.25">
      <c r="E813" s="543"/>
    </row>
    <row r="814" spans="5:5" ht="15.75" customHeight="1" x14ac:dyDescent="0.25">
      <c r="E814" s="543"/>
    </row>
    <row r="815" spans="5:5" ht="15.75" customHeight="1" x14ac:dyDescent="0.25">
      <c r="E815" s="543"/>
    </row>
    <row r="816" spans="5:5" ht="15.75" customHeight="1" x14ac:dyDescent="0.25">
      <c r="E816" s="543"/>
    </row>
    <row r="817" spans="5:5" ht="15.75" customHeight="1" x14ac:dyDescent="0.25">
      <c r="E817" s="543"/>
    </row>
    <row r="818" spans="5:5" ht="15.75" customHeight="1" x14ac:dyDescent="0.25">
      <c r="E818" s="543"/>
    </row>
    <row r="819" spans="5:5" ht="15.75" customHeight="1" x14ac:dyDescent="0.25">
      <c r="E819" s="543"/>
    </row>
    <row r="820" spans="5:5" ht="15.75" customHeight="1" x14ac:dyDescent="0.25">
      <c r="E820" s="543"/>
    </row>
    <row r="821" spans="5:5" ht="15.75" customHeight="1" x14ac:dyDescent="0.25">
      <c r="E821" s="543"/>
    </row>
    <row r="822" spans="5:5" ht="15.75" customHeight="1" x14ac:dyDescent="0.25">
      <c r="E822" s="543"/>
    </row>
    <row r="823" spans="5:5" ht="15.75" customHeight="1" x14ac:dyDescent="0.25">
      <c r="E823" s="543"/>
    </row>
    <row r="824" spans="5:5" ht="15.75" customHeight="1" x14ac:dyDescent="0.25">
      <c r="E824" s="543"/>
    </row>
    <row r="825" spans="5:5" ht="15.75" customHeight="1" x14ac:dyDescent="0.25">
      <c r="E825" s="543"/>
    </row>
    <row r="826" spans="5:5" ht="15.75" customHeight="1" x14ac:dyDescent="0.25">
      <c r="E826" s="543"/>
    </row>
    <row r="827" spans="5:5" ht="15.75" customHeight="1" x14ac:dyDescent="0.25">
      <c r="E827" s="543"/>
    </row>
    <row r="828" spans="5:5" ht="15.75" customHeight="1" x14ac:dyDescent="0.25">
      <c r="E828" s="543"/>
    </row>
    <row r="829" spans="5:5" ht="15.75" customHeight="1" x14ac:dyDescent="0.25">
      <c r="E829" s="543"/>
    </row>
    <row r="830" spans="5:5" ht="15.75" customHeight="1" x14ac:dyDescent="0.25">
      <c r="E830" s="543"/>
    </row>
    <row r="831" spans="5:5" ht="15.75" customHeight="1" x14ac:dyDescent="0.25">
      <c r="E831" s="543"/>
    </row>
    <row r="832" spans="5:5" ht="15.75" customHeight="1" x14ac:dyDescent="0.25">
      <c r="E832" s="543"/>
    </row>
    <row r="833" spans="5:5" ht="15.75" customHeight="1" x14ac:dyDescent="0.25">
      <c r="E833" s="543"/>
    </row>
    <row r="834" spans="5:5" ht="15.75" customHeight="1" x14ac:dyDescent="0.25">
      <c r="E834" s="543"/>
    </row>
    <row r="835" spans="5:5" ht="15.75" customHeight="1" x14ac:dyDescent="0.25">
      <c r="E835" s="543"/>
    </row>
    <row r="836" spans="5:5" ht="15.75" customHeight="1" x14ac:dyDescent="0.25">
      <c r="E836" s="543"/>
    </row>
    <row r="837" spans="5:5" ht="15.75" customHeight="1" x14ac:dyDescent="0.25">
      <c r="E837" s="543"/>
    </row>
    <row r="838" spans="5:5" ht="15.75" customHeight="1" x14ac:dyDescent="0.25">
      <c r="E838" s="543"/>
    </row>
    <row r="839" spans="5:5" ht="15.75" customHeight="1" x14ac:dyDescent="0.25">
      <c r="E839" s="543"/>
    </row>
    <row r="840" spans="5:5" ht="15.75" customHeight="1" x14ac:dyDescent="0.25">
      <c r="E840" s="543"/>
    </row>
    <row r="841" spans="5:5" ht="15.75" customHeight="1" x14ac:dyDescent="0.25">
      <c r="E841" s="543"/>
    </row>
    <row r="842" spans="5:5" ht="15.75" customHeight="1" x14ac:dyDescent="0.25">
      <c r="E842" s="543"/>
    </row>
    <row r="843" spans="5:5" ht="15.75" customHeight="1" x14ac:dyDescent="0.25">
      <c r="E843" s="543"/>
    </row>
    <row r="844" spans="5:5" ht="15.75" customHeight="1" x14ac:dyDescent="0.25">
      <c r="E844" s="543"/>
    </row>
    <row r="845" spans="5:5" ht="15.75" customHeight="1" x14ac:dyDescent="0.25">
      <c r="E845" s="543"/>
    </row>
    <row r="846" spans="5:5" ht="15.75" customHeight="1" x14ac:dyDescent="0.25">
      <c r="E846" s="543"/>
    </row>
    <row r="847" spans="5:5" ht="15.75" customHeight="1" x14ac:dyDescent="0.25">
      <c r="E847" s="543"/>
    </row>
    <row r="848" spans="5:5" ht="15.75" customHeight="1" x14ac:dyDescent="0.25">
      <c r="E848" s="543"/>
    </row>
    <row r="849" spans="5:5" ht="15.75" customHeight="1" x14ac:dyDescent="0.25">
      <c r="E849" s="543"/>
    </row>
    <row r="850" spans="5:5" ht="15.75" customHeight="1" x14ac:dyDescent="0.25">
      <c r="E850" s="543"/>
    </row>
    <row r="851" spans="5:5" ht="15.75" customHeight="1" x14ac:dyDescent="0.25">
      <c r="E851" s="543"/>
    </row>
    <row r="852" spans="5:5" ht="15.75" customHeight="1" x14ac:dyDescent="0.25">
      <c r="E852" s="543"/>
    </row>
    <row r="853" spans="5:5" ht="15.75" customHeight="1" x14ac:dyDescent="0.25">
      <c r="E853" s="543"/>
    </row>
    <row r="854" spans="5:5" ht="15.75" customHeight="1" x14ac:dyDescent="0.25">
      <c r="E854" s="543"/>
    </row>
    <row r="855" spans="5:5" ht="15.75" customHeight="1" x14ac:dyDescent="0.25">
      <c r="E855" s="543"/>
    </row>
    <row r="856" spans="5:5" ht="15.75" customHeight="1" x14ac:dyDescent="0.25">
      <c r="E856" s="543"/>
    </row>
    <row r="857" spans="5:5" ht="15.75" customHeight="1" x14ac:dyDescent="0.25">
      <c r="E857" s="543"/>
    </row>
    <row r="858" spans="5:5" ht="15.75" customHeight="1" x14ac:dyDescent="0.25">
      <c r="E858" s="543"/>
    </row>
    <row r="859" spans="5:5" ht="15.75" customHeight="1" x14ac:dyDescent="0.25">
      <c r="E859" s="543"/>
    </row>
    <row r="860" spans="5:5" ht="15.75" customHeight="1" x14ac:dyDescent="0.25">
      <c r="E860" s="543"/>
    </row>
    <row r="861" spans="5:5" ht="15.75" customHeight="1" x14ac:dyDescent="0.25">
      <c r="E861" s="543"/>
    </row>
    <row r="862" spans="5:5" ht="15.75" customHeight="1" x14ac:dyDescent="0.25">
      <c r="E862" s="543"/>
    </row>
    <row r="863" spans="5:5" ht="15.75" customHeight="1" x14ac:dyDescent="0.25">
      <c r="E863" s="543"/>
    </row>
    <row r="864" spans="5:5" ht="15.75" customHeight="1" x14ac:dyDescent="0.25">
      <c r="E864" s="543"/>
    </row>
    <row r="865" spans="5:5" ht="15.75" customHeight="1" x14ac:dyDescent="0.25">
      <c r="E865" s="543"/>
    </row>
    <row r="866" spans="5:5" ht="15.75" customHeight="1" x14ac:dyDescent="0.25">
      <c r="E866" s="543"/>
    </row>
    <row r="867" spans="5:5" ht="15.75" customHeight="1" x14ac:dyDescent="0.25">
      <c r="E867" s="543"/>
    </row>
    <row r="868" spans="5:5" ht="15.75" customHeight="1" x14ac:dyDescent="0.25">
      <c r="E868" s="543"/>
    </row>
    <row r="869" spans="5:5" ht="15.75" customHeight="1" x14ac:dyDescent="0.25">
      <c r="E869" s="543"/>
    </row>
    <row r="870" spans="5:5" ht="15.75" customHeight="1" x14ac:dyDescent="0.25">
      <c r="E870" s="543"/>
    </row>
    <row r="871" spans="5:5" ht="15.75" customHeight="1" x14ac:dyDescent="0.25">
      <c r="E871" s="543"/>
    </row>
    <row r="872" spans="5:5" ht="15.75" customHeight="1" x14ac:dyDescent="0.25">
      <c r="E872" s="543"/>
    </row>
    <row r="873" spans="5:5" ht="15.75" customHeight="1" x14ac:dyDescent="0.25">
      <c r="E873" s="543"/>
    </row>
    <row r="874" spans="5:5" ht="15.75" customHeight="1" x14ac:dyDescent="0.25">
      <c r="E874" s="543"/>
    </row>
    <row r="875" spans="5:5" ht="15.75" customHeight="1" x14ac:dyDescent="0.25">
      <c r="E875" s="543"/>
    </row>
    <row r="876" spans="5:5" ht="15.75" customHeight="1" x14ac:dyDescent="0.25">
      <c r="E876" s="543"/>
    </row>
    <row r="877" spans="5:5" ht="15.75" customHeight="1" x14ac:dyDescent="0.25">
      <c r="E877" s="543"/>
    </row>
    <row r="878" spans="5:5" ht="15.75" customHeight="1" x14ac:dyDescent="0.25">
      <c r="E878" s="543"/>
    </row>
    <row r="879" spans="5:5" ht="15.75" customHeight="1" x14ac:dyDescent="0.25">
      <c r="E879" s="543"/>
    </row>
    <row r="880" spans="5:5" ht="15.75" customHeight="1" x14ac:dyDescent="0.25">
      <c r="E880" s="543"/>
    </row>
    <row r="881" spans="5:5" ht="15.75" customHeight="1" x14ac:dyDescent="0.25">
      <c r="E881" s="543"/>
    </row>
    <row r="882" spans="5:5" ht="15.75" customHeight="1" x14ac:dyDescent="0.25">
      <c r="E882" s="543"/>
    </row>
    <row r="883" spans="5:5" ht="15.75" customHeight="1" x14ac:dyDescent="0.25">
      <c r="E883" s="543"/>
    </row>
    <row r="884" spans="5:5" ht="15.75" customHeight="1" x14ac:dyDescent="0.25">
      <c r="E884" s="543"/>
    </row>
    <row r="885" spans="5:5" ht="15.75" customHeight="1" x14ac:dyDescent="0.25">
      <c r="E885" s="543"/>
    </row>
    <row r="886" spans="5:5" ht="15.75" customHeight="1" x14ac:dyDescent="0.25">
      <c r="E886" s="543"/>
    </row>
    <row r="887" spans="5:5" ht="15.75" customHeight="1" x14ac:dyDescent="0.25">
      <c r="E887" s="543"/>
    </row>
    <row r="888" spans="5:5" ht="15.75" customHeight="1" x14ac:dyDescent="0.25">
      <c r="E888" s="543"/>
    </row>
    <row r="889" spans="5:5" ht="15.75" customHeight="1" x14ac:dyDescent="0.25">
      <c r="E889" s="543"/>
    </row>
    <row r="890" spans="5:5" ht="15.75" customHeight="1" x14ac:dyDescent="0.25">
      <c r="E890" s="543"/>
    </row>
    <row r="891" spans="5:5" ht="15.75" customHeight="1" x14ac:dyDescent="0.25">
      <c r="E891" s="543"/>
    </row>
    <row r="892" spans="5:5" ht="15.75" customHeight="1" x14ac:dyDescent="0.25">
      <c r="E892" s="543"/>
    </row>
    <row r="893" spans="5:5" ht="15.75" customHeight="1" x14ac:dyDescent="0.25">
      <c r="E893" s="543"/>
    </row>
    <row r="894" spans="5:5" ht="15.75" customHeight="1" x14ac:dyDescent="0.25">
      <c r="E894" s="543"/>
    </row>
    <row r="895" spans="5:5" ht="15.75" customHeight="1" x14ac:dyDescent="0.25">
      <c r="E895" s="543"/>
    </row>
    <row r="896" spans="5:5" ht="15.75" customHeight="1" x14ac:dyDescent="0.25">
      <c r="E896" s="543"/>
    </row>
    <row r="897" spans="5:5" ht="15.75" customHeight="1" x14ac:dyDescent="0.25">
      <c r="E897" s="543"/>
    </row>
    <row r="898" spans="5:5" ht="15.75" customHeight="1" x14ac:dyDescent="0.25">
      <c r="E898" s="543"/>
    </row>
    <row r="899" spans="5:5" ht="15.75" customHeight="1" x14ac:dyDescent="0.25">
      <c r="E899" s="543"/>
    </row>
    <row r="900" spans="5:5" ht="15.75" customHeight="1" x14ac:dyDescent="0.25">
      <c r="E900" s="543"/>
    </row>
    <row r="901" spans="5:5" ht="15.75" customHeight="1" x14ac:dyDescent="0.25">
      <c r="E901" s="543"/>
    </row>
    <row r="902" spans="5:5" ht="15.75" customHeight="1" x14ac:dyDescent="0.25">
      <c r="E902" s="543"/>
    </row>
    <row r="903" spans="5:5" ht="15.75" customHeight="1" x14ac:dyDescent="0.25">
      <c r="E903" s="543"/>
    </row>
    <row r="904" spans="5:5" ht="15.75" customHeight="1" x14ac:dyDescent="0.25">
      <c r="E904" s="543"/>
    </row>
    <row r="905" spans="5:5" ht="15.75" customHeight="1" x14ac:dyDescent="0.25">
      <c r="E905" s="543"/>
    </row>
    <row r="906" spans="5:5" ht="15.75" customHeight="1" x14ac:dyDescent="0.25">
      <c r="E906" s="543"/>
    </row>
    <row r="907" spans="5:5" ht="15.75" customHeight="1" x14ac:dyDescent="0.25">
      <c r="E907" s="543"/>
    </row>
    <row r="908" spans="5:5" ht="15.75" customHeight="1" x14ac:dyDescent="0.25">
      <c r="E908" s="543"/>
    </row>
    <row r="909" spans="5:5" ht="15.75" customHeight="1" x14ac:dyDescent="0.25">
      <c r="E909" s="543"/>
    </row>
    <row r="910" spans="5:5" ht="15.75" customHeight="1" x14ac:dyDescent="0.25">
      <c r="E910" s="543"/>
    </row>
    <row r="911" spans="5:5" ht="15.75" customHeight="1" x14ac:dyDescent="0.25">
      <c r="E911" s="543"/>
    </row>
    <row r="912" spans="5:5" ht="15.75" customHeight="1" x14ac:dyDescent="0.25">
      <c r="E912" s="543"/>
    </row>
    <row r="913" spans="5:5" ht="15.75" customHeight="1" x14ac:dyDescent="0.25">
      <c r="E913" s="543"/>
    </row>
    <row r="914" spans="5:5" ht="15.75" customHeight="1" x14ac:dyDescent="0.25">
      <c r="E914" s="543"/>
    </row>
    <row r="915" spans="5:5" ht="15.75" customHeight="1" x14ac:dyDescent="0.25">
      <c r="E915" s="543"/>
    </row>
    <row r="916" spans="5:5" ht="15.75" customHeight="1" x14ac:dyDescent="0.25">
      <c r="E916" s="543"/>
    </row>
    <row r="917" spans="5:5" ht="15.75" customHeight="1" x14ac:dyDescent="0.25">
      <c r="E917" s="543"/>
    </row>
    <row r="918" spans="5:5" ht="15.75" customHeight="1" x14ac:dyDescent="0.25">
      <c r="E918" s="543"/>
    </row>
    <row r="919" spans="5:5" ht="15.75" customHeight="1" x14ac:dyDescent="0.25">
      <c r="E919" s="543"/>
    </row>
    <row r="920" spans="5:5" ht="15.75" customHeight="1" x14ac:dyDescent="0.25">
      <c r="E920" s="543"/>
    </row>
    <row r="921" spans="5:5" ht="15.75" customHeight="1" x14ac:dyDescent="0.25">
      <c r="E921" s="543"/>
    </row>
    <row r="922" spans="5:5" ht="15.75" customHeight="1" x14ac:dyDescent="0.25">
      <c r="E922" s="543"/>
    </row>
    <row r="923" spans="5:5" ht="15.75" customHeight="1" x14ac:dyDescent="0.25">
      <c r="E923" s="543"/>
    </row>
    <row r="924" spans="5:5" ht="15.75" customHeight="1" x14ac:dyDescent="0.25">
      <c r="E924" s="543"/>
    </row>
    <row r="925" spans="5:5" ht="15.75" customHeight="1" x14ac:dyDescent="0.25">
      <c r="E925" s="543"/>
    </row>
    <row r="926" spans="5:5" ht="15.75" customHeight="1" x14ac:dyDescent="0.25">
      <c r="E926" s="543"/>
    </row>
    <row r="927" spans="5:5" ht="15.75" customHeight="1" x14ac:dyDescent="0.25">
      <c r="E927" s="543"/>
    </row>
    <row r="928" spans="5:5" ht="15.75" customHeight="1" x14ac:dyDescent="0.25">
      <c r="E928" s="543"/>
    </row>
    <row r="929" spans="5:5" ht="15.75" customHeight="1" x14ac:dyDescent="0.25">
      <c r="E929" s="543"/>
    </row>
    <row r="930" spans="5:5" ht="15.75" customHeight="1" x14ac:dyDescent="0.25">
      <c r="E930" s="543"/>
    </row>
    <row r="931" spans="5:5" ht="15.75" customHeight="1" x14ac:dyDescent="0.25">
      <c r="E931" s="543"/>
    </row>
    <row r="932" spans="5:5" ht="15.75" customHeight="1" x14ac:dyDescent="0.25">
      <c r="E932" s="543"/>
    </row>
    <row r="933" spans="5:5" ht="15.75" customHeight="1" x14ac:dyDescent="0.25">
      <c r="E933" s="543"/>
    </row>
    <row r="934" spans="5:5" ht="15.75" customHeight="1" x14ac:dyDescent="0.25">
      <c r="E934" s="543"/>
    </row>
    <row r="935" spans="5:5" ht="15.75" customHeight="1" x14ac:dyDescent="0.25">
      <c r="E935" s="543"/>
    </row>
    <row r="936" spans="5:5" ht="15.75" customHeight="1" x14ac:dyDescent="0.25">
      <c r="E936" s="543"/>
    </row>
    <row r="937" spans="5:5" ht="15.75" customHeight="1" x14ac:dyDescent="0.25">
      <c r="E937" s="543"/>
    </row>
    <row r="938" spans="5:5" ht="15.75" customHeight="1" x14ac:dyDescent="0.25">
      <c r="E938" s="543"/>
    </row>
    <row r="939" spans="5:5" ht="15.75" customHeight="1" x14ac:dyDescent="0.25">
      <c r="E939" s="543"/>
    </row>
    <row r="940" spans="5:5" ht="15.75" customHeight="1" x14ac:dyDescent="0.25">
      <c r="E940" s="543"/>
    </row>
    <row r="941" spans="5:5" ht="15.75" customHeight="1" x14ac:dyDescent="0.25">
      <c r="E941" s="543"/>
    </row>
    <row r="942" spans="5:5" ht="15.75" customHeight="1" x14ac:dyDescent="0.25">
      <c r="E942" s="543"/>
    </row>
    <row r="943" spans="5:5" ht="15.75" customHeight="1" x14ac:dyDescent="0.25">
      <c r="E943" s="543"/>
    </row>
    <row r="944" spans="5:5" ht="15.75" customHeight="1" x14ac:dyDescent="0.25">
      <c r="E944" s="543"/>
    </row>
    <row r="945" spans="5:5" ht="15.75" customHeight="1" x14ac:dyDescent="0.25">
      <c r="E945" s="543"/>
    </row>
    <row r="946" spans="5:5" ht="15.75" customHeight="1" x14ac:dyDescent="0.25">
      <c r="E946" s="543"/>
    </row>
    <row r="947" spans="5:5" ht="15.75" customHeight="1" x14ac:dyDescent="0.25">
      <c r="E947" s="543"/>
    </row>
    <row r="948" spans="5:5" ht="15.75" customHeight="1" x14ac:dyDescent="0.25">
      <c r="E948" s="543"/>
    </row>
    <row r="949" spans="5:5" ht="15.75" customHeight="1" x14ac:dyDescent="0.25">
      <c r="E949" s="543"/>
    </row>
    <row r="950" spans="5:5" ht="15.75" customHeight="1" x14ac:dyDescent="0.25">
      <c r="E950" s="543"/>
    </row>
    <row r="951" spans="5:5" ht="15.75" customHeight="1" x14ac:dyDescent="0.25">
      <c r="E951" s="543"/>
    </row>
    <row r="952" spans="5:5" ht="15.75" customHeight="1" x14ac:dyDescent="0.25">
      <c r="E952" s="543"/>
    </row>
    <row r="953" spans="5:5" ht="15.75" customHeight="1" x14ac:dyDescent="0.25">
      <c r="E953" s="543"/>
    </row>
    <row r="954" spans="5:5" ht="15.75" customHeight="1" x14ac:dyDescent="0.25">
      <c r="E954" s="543"/>
    </row>
    <row r="955" spans="5:5" ht="15.75" customHeight="1" x14ac:dyDescent="0.25">
      <c r="E955" s="543"/>
    </row>
    <row r="956" spans="5:5" ht="15.75" customHeight="1" x14ac:dyDescent="0.25">
      <c r="E956" s="543"/>
    </row>
    <row r="957" spans="5:5" ht="15.75" customHeight="1" x14ac:dyDescent="0.25">
      <c r="E957" s="543"/>
    </row>
    <row r="958" spans="5:5" ht="15.75" customHeight="1" x14ac:dyDescent="0.25">
      <c r="E958" s="543"/>
    </row>
    <row r="959" spans="5:5" ht="15.75" customHeight="1" x14ac:dyDescent="0.25">
      <c r="E959" s="543"/>
    </row>
    <row r="960" spans="5:5" ht="15.75" customHeight="1" x14ac:dyDescent="0.25">
      <c r="E960" s="543"/>
    </row>
    <row r="961" spans="5:5" ht="15.75" customHeight="1" x14ac:dyDescent="0.25">
      <c r="E961" s="543"/>
    </row>
    <row r="962" spans="5:5" ht="15.75" customHeight="1" x14ac:dyDescent="0.25">
      <c r="E962" s="543"/>
    </row>
    <row r="963" spans="5:5" ht="15.75" customHeight="1" x14ac:dyDescent="0.25">
      <c r="E963" s="543"/>
    </row>
    <row r="964" spans="5:5" ht="15.75" customHeight="1" x14ac:dyDescent="0.25">
      <c r="E964" s="543"/>
    </row>
    <row r="965" spans="5:5" ht="15.75" customHeight="1" x14ac:dyDescent="0.25">
      <c r="E965" s="543"/>
    </row>
    <row r="966" spans="5:5" ht="15.75" customHeight="1" x14ac:dyDescent="0.25">
      <c r="E966" s="543"/>
    </row>
    <row r="967" spans="5:5" ht="15.75" customHeight="1" x14ac:dyDescent="0.25">
      <c r="E967" s="543"/>
    </row>
    <row r="968" spans="5:5" ht="15.75" customHeight="1" x14ac:dyDescent="0.25">
      <c r="E968" s="543"/>
    </row>
    <row r="969" spans="5:5" ht="15.75" customHeight="1" x14ac:dyDescent="0.25">
      <c r="E969" s="543"/>
    </row>
    <row r="970" spans="5:5" ht="15.75" customHeight="1" x14ac:dyDescent="0.25">
      <c r="E970" s="543"/>
    </row>
    <row r="971" spans="5:5" ht="15.75" customHeight="1" x14ac:dyDescent="0.25">
      <c r="E971" s="543"/>
    </row>
    <row r="972" spans="5:5" ht="15.75" customHeight="1" x14ac:dyDescent="0.25">
      <c r="E972" s="543"/>
    </row>
    <row r="973" spans="5:5" ht="15.75" customHeight="1" x14ac:dyDescent="0.25">
      <c r="E973" s="543"/>
    </row>
    <row r="974" spans="5:5" ht="15.75" customHeight="1" x14ac:dyDescent="0.25">
      <c r="E974" s="543"/>
    </row>
    <row r="975" spans="5:5" ht="15.75" customHeight="1" x14ac:dyDescent="0.25">
      <c r="E975" s="543"/>
    </row>
    <row r="976" spans="5:5" ht="15.75" customHeight="1" x14ac:dyDescent="0.25">
      <c r="E976" s="543"/>
    </row>
    <row r="977" spans="5:5" ht="15.75" customHeight="1" x14ac:dyDescent="0.25">
      <c r="E977" s="543"/>
    </row>
    <row r="978" spans="5:5" ht="15.75" customHeight="1" x14ac:dyDescent="0.25">
      <c r="E978" s="543"/>
    </row>
    <row r="979" spans="5:5" ht="15.75" customHeight="1" x14ac:dyDescent="0.25">
      <c r="E979" s="543"/>
    </row>
    <row r="980" spans="5:5" ht="15.75" customHeight="1" x14ac:dyDescent="0.25">
      <c r="E980" s="543"/>
    </row>
    <row r="981" spans="5:5" ht="15.75" customHeight="1" x14ac:dyDescent="0.25">
      <c r="E981" s="543"/>
    </row>
    <row r="982" spans="5:5" ht="15.75" customHeight="1" x14ac:dyDescent="0.25">
      <c r="E982" s="543"/>
    </row>
    <row r="983" spans="5:5" ht="15.75" customHeight="1" x14ac:dyDescent="0.25">
      <c r="E983" s="543"/>
    </row>
    <row r="984" spans="5:5" ht="15.75" customHeight="1" x14ac:dyDescent="0.25">
      <c r="E984" s="543"/>
    </row>
    <row r="985" spans="5:5" ht="15.75" customHeight="1" x14ac:dyDescent="0.25">
      <c r="E985" s="543"/>
    </row>
    <row r="986" spans="5:5" ht="15.75" customHeight="1" x14ac:dyDescent="0.25">
      <c r="E986" s="543"/>
    </row>
    <row r="987" spans="5:5" ht="15.75" customHeight="1" x14ac:dyDescent="0.25">
      <c r="E987" s="543"/>
    </row>
    <row r="988" spans="5:5" ht="15.75" customHeight="1" x14ac:dyDescent="0.25">
      <c r="E988" s="543"/>
    </row>
    <row r="989" spans="5:5" ht="15.75" customHeight="1" x14ac:dyDescent="0.25">
      <c r="E989" s="543"/>
    </row>
    <row r="990" spans="5:5" ht="15.75" customHeight="1" x14ac:dyDescent="0.25">
      <c r="E990" s="543"/>
    </row>
    <row r="991" spans="5:5" ht="15.75" customHeight="1" x14ac:dyDescent="0.25">
      <c r="E991" s="543"/>
    </row>
    <row r="992" spans="5:5" ht="15.75" customHeight="1" x14ac:dyDescent="0.25">
      <c r="E992" s="543"/>
    </row>
    <row r="993" spans="5:5" ht="15.75" customHeight="1" x14ac:dyDescent="0.25">
      <c r="E993" s="543"/>
    </row>
    <row r="994" spans="5:5" ht="15.75" customHeight="1" x14ac:dyDescent="0.25">
      <c r="E994" s="543"/>
    </row>
    <row r="995" spans="5:5" ht="15.75" customHeight="1" x14ac:dyDescent="0.25">
      <c r="E995" s="543"/>
    </row>
    <row r="996" spans="5:5" ht="15.75" customHeight="1" x14ac:dyDescent="0.25">
      <c r="E996" s="543"/>
    </row>
    <row r="997" spans="5:5" ht="15.75" customHeight="1" x14ac:dyDescent="0.25">
      <c r="E997" s="543"/>
    </row>
    <row r="998" spans="5:5" ht="15.75" customHeight="1" x14ac:dyDescent="0.25">
      <c r="E998" s="543"/>
    </row>
    <row r="999" spans="5:5" ht="15.75" customHeight="1" x14ac:dyDescent="0.25">
      <c r="E999" s="543"/>
    </row>
    <row r="1000" spans="5:5" ht="15.75" customHeight="1" x14ac:dyDescent="0.25">
      <c r="E1000" s="543"/>
    </row>
    <row r="1001" spans="5:5" ht="15.75" customHeight="1" x14ac:dyDescent="0.25">
      <c r="E1001" s="543"/>
    </row>
    <row r="1002" spans="5:5" ht="15.75" customHeight="1" x14ac:dyDescent="0.25">
      <c r="E1002" s="543"/>
    </row>
    <row r="1003" spans="5:5" ht="15.75" customHeight="1" x14ac:dyDescent="0.25">
      <c r="E1003" s="543"/>
    </row>
    <row r="1004" spans="5:5" ht="15.75" customHeight="1" x14ac:dyDescent="0.25">
      <c r="E1004" s="543"/>
    </row>
    <row r="1005" spans="5:5" ht="15.75" customHeight="1" x14ac:dyDescent="0.25">
      <c r="E1005" s="543"/>
    </row>
    <row r="1006" spans="5:5" ht="15.75" customHeight="1" x14ac:dyDescent="0.25">
      <c r="E1006" s="543"/>
    </row>
    <row r="1007" spans="5:5" ht="15.75" customHeight="1" x14ac:dyDescent="0.25">
      <c r="E1007" s="543"/>
    </row>
    <row r="1008" spans="5:5" ht="15.75" customHeight="1" x14ac:dyDescent="0.25">
      <c r="E1008" s="543"/>
    </row>
    <row r="1009" spans="5:5" ht="15.75" customHeight="1" x14ac:dyDescent="0.25">
      <c r="E1009" s="543"/>
    </row>
    <row r="1010" spans="5:5" ht="15.75" customHeight="1" x14ac:dyDescent="0.25">
      <c r="E1010" s="543"/>
    </row>
    <row r="1011" spans="5:5" ht="15.75" customHeight="1" x14ac:dyDescent="0.25">
      <c r="E1011" s="543"/>
    </row>
    <row r="1012" spans="5:5" ht="15.75" customHeight="1" x14ac:dyDescent="0.25">
      <c r="E1012" s="543"/>
    </row>
    <row r="1013" spans="5:5" ht="15.75" customHeight="1" x14ac:dyDescent="0.25">
      <c r="E1013" s="543"/>
    </row>
    <row r="1014" spans="5:5" ht="15.75" customHeight="1" x14ac:dyDescent="0.25">
      <c r="E1014" s="543"/>
    </row>
    <row r="1015" spans="5:5" ht="15.75" customHeight="1" x14ac:dyDescent="0.25">
      <c r="E1015" s="543"/>
    </row>
    <row r="1016" spans="5:5" ht="15.75" customHeight="1" x14ac:dyDescent="0.25">
      <c r="E1016" s="543"/>
    </row>
    <row r="1017" spans="5:5" ht="15.75" customHeight="1" x14ac:dyDescent="0.25">
      <c r="E1017" s="543"/>
    </row>
    <row r="1018" spans="5:5" ht="15.75" customHeight="1" x14ac:dyDescent="0.25">
      <c r="E1018" s="543"/>
    </row>
    <row r="1019" spans="5:5" ht="15.75" customHeight="1" x14ac:dyDescent="0.25">
      <c r="E1019" s="543"/>
    </row>
    <row r="1020" spans="5:5" ht="15.75" customHeight="1" x14ac:dyDescent="0.25">
      <c r="E1020" s="543"/>
    </row>
    <row r="1021" spans="5:5" ht="15.75" customHeight="1" x14ac:dyDescent="0.25">
      <c r="E1021" s="543"/>
    </row>
    <row r="1022" spans="5:5" ht="15.75" customHeight="1" x14ac:dyDescent="0.25">
      <c r="E1022" s="543"/>
    </row>
    <row r="1023" spans="5:5" ht="15.75" customHeight="1" x14ac:dyDescent="0.25">
      <c r="E1023" s="543"/>
    </row>
    <row r="1024" spans="5:5" ht="15.75" customHeight="1" x14ac:dyDescent="0.25">
      <c r="E1024" s="543"/>
    </row>
    <row r="1025" spans="5:5" ht="15.75" customHeight="1" x14ac:dyDescent="0.25">
      <c r="E1025" s="543"/>
    </row>
    <row r="1026" spans="5:5" ht="15" customHeight="1" x14ac:dyDescent="0.25">
      <c r="E1026" s="543"/>
    </row>
    <row r="1027" spans="5:5" ht="15" customHeight="1" x14ac:dyDescent="0.25">
      <c r="E1027" s="543"/>
    </row>
    <row r="1028" spans="5:5" ht="15" customHeight="1" x14ac:dyDescent="0.25">
      <c r="E1028" s="543"/>
    </row>
    <row r="1029" spans="5:5" ht="15" customHeight="1" x14ac:dyDescent="0.25">
      <c r="E1029" s="543"/>
    </row>
    <row r="1030" spans="5:5" ht="15" customHeight="1" x14ac:dyDescent="0.25">
      <c r="E1030" s="543"/>
    </row>
    <row r="1031" spans="5:5" ht="15" customHeight="1" x14ac:dyDescent="0.25">
      <c r="E1031" s="543"/>
    </row>
    <row r="1032" spans="5:5" ht="15" customHeight="1" x14ac:dyDescent="0.25">
      <c r="E1032" s="543"/>
    </row>
    <row r="1033" spans="5:5" ht="15" customHeight="1" x14ac:dyDescent="0.25">
      <c r="E1033" s="543"/>
    </row>
    <row r="1034" spans="5:5" ht="15" customHeight="1" x14ac:dyDescent="0.25">
      <c r="E1034" s="543"/>
    </row>
    <row r="1035" spans="5:5" ht="15" customHeight="1" x14ac:dyDescent="0.25">
      <c r="E1035" s="543"/>
    </row>
    <row r="1036" spans="5:5" ht="15" customHeight="1" x14ac:dyDescent="0.25">
      <c r="E1036" s="543"/>
    </row>
    <row r="1037" spans="5:5" ht="15" customHeight="1" x14ac:dyDescent="0.25">
      <c r="E1037" s="543"/>
    </row>
    <row r="1038" spans="5:5" ht="15" customHeight="1" x14ac:dyDescent="0.25">
      <c r="E1038" s="543"/>
    </row>
    <row r="1039" spans="5:5" ht="15" customHeight="1" x14ac:dyDescent="0.25">
      <c r="E1039" s="543"/>
    </row>
    <row r="1040" spans="5:5" ht="15" customHeight="1" x14ac:dyDescent="0.25">
      <c r="E1040" s="543"/>
    </row>
    <row r="1041" spans="5:5" ht="15" customHeight="1" x14ac:dyDescent="0.25">
      <c r="E1041" s="543"/>
    </row>
    <row r="1042" spans="5:5" ht="15" customHeight="1" x14ac:dyDescent="0.25">
      <c r="E1042" s="543"/>
    </row>
    <row r="1043" spans="5:5" ht="15" customHeight="1" x14ac:dyDescent="0.25">
      <c r="E1043" s="543"/>
    </row>
    <row r="1044" spans="5:5" ht="15" customHeight="1" x14ac:dyDescent="0.25">
      <c r="E1044" s="543"/>
    </row>
    <row r="1045" spans="5:5" ht="15" customHeight="1" x14ac:dyDescent="0.25">
      <c r="E1045" s="543"/>
    </row>
    <row r="1046" spans="5:5" ht="15" customHeight="1" x14ac:dyDescent="0.25">
      <c r="E1046" s="543"/>
    </row>
  </sheetData>
  <mergeCells count="2">
    <mergeCell ref="C5:E5"/>
    <mergeCell ref="G20:H20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6609-3C3E-4D07-82E6-2785D44C90E3}">
  <sheetPr>
    <tabColor rgb="FFF4B083"/>
    <pageSetUpPr fitToPage="1"/>
  </sheetPr>
  <dimension ref="A1:I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D14" sqref="D14"/>
    </sheetView>
  </sheetViews>
  <sheetFormatPr defaultColWidth="19.140625" defaultRowHeight="15" customHeight="1" x14ac:dyDescent="0.25"/>
  <cols>
    <col min="1" max="1" width="9.140625" style="577" customWidth="1"/>
    <col min="2" max="2" width="37.7109375" style="387" customWidth="1"/>
    <col min="3" max="3" width="14.28515625" style="541" customWidth="1"/>
    <col min="4" max="4" width="17.28515625" style="541" customWidth="1"/>
    <col min="5" max="5" width="16" style="541" customWidth="1"/>
    <col min="6" max="16384" width="19.140625" style="387"/>
  </cols>
  <sheetData>
    <row r="1" spans="1:8" ht="43.15" customHeight="1" x14ac:dyDescent="0.25">
      <c r="B1" s="858" t="s">
        <v>264</v>
      </c>
      <c r="C1" s="859"/>
      <c r="E1" s="430">
        <f ca="1">TODAY()</f>
        <v>46107</v>
      </c>
    </row>
    <row r="2" spans="1:8" x14ac:dyDescent="0.25">
      <c r="B2" s="389"/>
      <c r="C2" s="542" t="s">
        <v>59</v>
      </c>
      <c r="D2" s="543"/>
      <c r="E2" s="543">
        <f>+C66-D66</f>
        <v>97592</v>
      </c>
    </row>
    <row r="3" spans="1:8" x14ac:dyDescent="0.25">
      <c r="E3" s="543"/>
    </row>
    <row r="4" spans="1:8" x14ac:dyDescent="0.25">
      <c r="A4" s="581"/>
      <c r="B4" s="390"/>
      <c r="C4" s="854" t="s">
        <v>63</v>
      </c>
      <c r="D4" s="855"/>
      <c r="E4" s="856"/>
    </row>
    <row r="5" spans="1:8" ht="20.100000000000001" customHeight="1" x14ac:dyDescent="0.25">
      <c r="A5" s="578" t="s">
        <v>1</v>
      </c>
      <c r="B5" s="391" t="s">
        <v>3</v>
      </c>
      <c r="C5" s="544" t="s">
        <v>42</v>
      </c>
      <c r="D5" s="544" t="s">
        <v>41</v>
      </c>
      <c r="E5" s="545" t="s">
        <v>4</v>
      </c>
    </row>
    <row r="6" spans="1:8" ht="31.5" customHeight="1" x14ac:dyDescent="0.25">
      <c r="A6" s="579">
        <v>45965</v>
      </c>
      <c r="B6" s="391" t="s">
        <v>185</v>
      </c>
      <c r="C6" s="544">
        <v>58960</v>
      </c>
      <c r="D6" s="544">
        <v>0</v>
      </c>
      <c r="E6" s="545">
        <f>+C6-D6</f>
        <v>58960</v>
      </c>
    </row>
    <row r="7" spans="1:8" x14ac:dyDescent="0.25">
      <c r="A7" s="579">
        <v>45985</v>
      </c>
      <c r="B7" s="391" t="s">
        <v>104</v>
      </c>
      <c r="C7" s="546"/>
      <c r="D7" s="546">
        <v>71168</v>
      </c>
      <c r="E7" s="547">
        <f t="shared" ref="E7:E12" si="0">E6-D7+C7</f>
        <v>-12208</v>
      </c>
    </row>
    <row r="8" spans="1:8" x14ac:dyDescent="0.25">
      <c r="A8" s="579">
        <v>45991</v>
      </c>
      <c r="B8" s="391" t="s">
        <v>186</v>
      </c>
      <c r="C8" s="546">
        <v>42600</v>
      </c>
      <c r="D8" s="546"/>
      <c r="E8" s="547">
        <f t="shared" si="0"/>
        <v>30392</v>
      </c>
    </row>
    <row r="9" spans="1:8" x14ac:dyDescent="0.25">
      <c r="A9" s="579">
        <v>46007</v>
      </c>
      <c r="B9" s="391" t="s">
        <v>243</v>
      </c>
      <c r="C9" s="546">
        <f>960*70</f>
        <v>67200</v>
      </c>
      <c r="D9" s="546"/>
      <c r="E9" s="547">
        <f t="shared" si="0"/>
        <v>97592</v>
      </c>
      <c r="F9" s="580">
        <f>+D9/800</f>
        <v>0</v>
      </c>
      <c r="H9" s="387">
        <f>200*90</f>
        <v>18000</v>
      </c>
    </row>
    <row r="10" spans="1:8" x14ac:dyDescent="0.25">
      <c r="A10" s="579">
        <v>46377</v>
      </c>
      <c r="B10" s="391" t="s">
        <v>224</v>
      </c>
      <c r="C10" s="546"/>
      <c r="D10" s="546">
        <v>88960</v>
      </c>
      <c r="E10" s="547">
        <f t="shared" si="0"/>
        <v>8632</v>
      </c>
    </row>
    <row r="11" spans="1:8" x14ac:dyDescent="0.25">
      <c r="A11" s="579">
        <v>46030</v>
      </c>
      <c r="B11" s="391" t="s">
        <v>280</v>
      </c>
      <c r="C11" s="546">
        <v>88960</v>
      </c>
      <c r="D11" s="546"/>
      <c r="E11" s="547">
        <f t="shared" si="0"/>
        <v>97592</v>
      </c>
    </row>
    <row r="12" spans="1:8" x14ac:dyDescent="0.25">
      <c r="A12" s="579"/>
      <c r="B12" s="391"/>
      <c r="C12" s="546"/>
      <c r="D12" s="546"/>
      <c r="E12" s="547">
        <f t="shared" si="0"/>
        <v>97592</v>
      </c>
    </row>
    <row r="13" spans="1:8" x14ac:dyDescent="0.25">
      <c r="A13" s="579"/>
      <c r="B13" s="393"/>
      <c r="C13" s="546"/>
      <c r="D13" s="546"/>
      <c r="E13" s="547"/>
      <c r="F13" s="394"/>
    </row>
    <row r="14" spans="1:8" x14ac:dyDescent="0.25">
      <c r="A14" s="579"/>
      <c r="B14" s="391"/>
      <c r="C14" s="546"/>
      <c r="D14" s="546"/>
      <c r="E14" s="547"/>
    </row>
    <row r="15" spans="1:8" ht="15.75" x14ac:dyDescent="0.25">
      <c r="A15" s="579"/>
      <c r="B15" s="393"/>
      <c r="C15" s="546"/>
      <c r="D15" s="546"/>
      <c r="E15" s="547"/>
      <c r="F15" s="395"/>
      <c r="G15" s="396"/>
      <c r="H15" s="397"/>
    </row>
    <row r="16" spans="1:8" x14ac:dyDescent="0.25">
      <c r="A16" s="579"/>
      <c r="B16" s="392"/>
      <c r="C16" s="546"/>
      <c r="D16" s="546"/>
      <c r="E16" s="547"/>
    </row>
    <row r="17" spans="1:9" x14ac:dyDescent="0.25">
      <c r="A17" s="579"/>
      <c r="B17" s="398"/>
      <c r="C17" s="546"/>
      <c r="D17" s="546"/>
      <c r="E17" s="547"/>
    </row>
    <row r="18" spans="1:9" ht="15.75" customHeight="1" x14ac:dyDescent="0.3">
      <c r="A18" s="579"/>
      <c r="B18" s="398"/>
      <c r="C18" s="546"/>
      <c r="D18" s="546"/>
      <c r="E18" s="547"/>
      <c r="F18" s="399"/>
      <c r="G18" s="400"/>
      <c r="H18" s="401"/>
      <c r="I18" s="400"/>
    </row>
    <row r="19" spans="1:9" x14ac:dyDescent="0.25">
      <c r="A19" s="579"/>
      <c r="B19" s="398"/>
      <c r="C19" s="546"/>
      <c r="D19" s="546"/>
      <c r="E19" s="547"/>
      <c r="F19" s="402"/>
      <c r="G19" s="857"/>
      <c r="H19" s="857"/>
      <c r="I19" s="403"/>
    </row>
    <row r="20" spans="1:9" x14ac:dyDescent="0.25">
      <c r="A20" s="579"/>
      <c r="B20" s="398"/>
      <c r="C20" s="546"/>
      <c r="D20" s="546"/>
      <c r="E20" s="547"/>
      <c r="F20" s="402"/>
      <c r="G20" s="400"/>
      <c r="H20" s="400"/>
      <c r="I20" s="404"/>
    </row>
    <row r="21" spans="1:9" x14ac:dyDescent="0.25">
      <c r="A21" s="579"/>
      <c r="B21" s="398"/>
      <c r="C21" s="546"/>
      <c r="D21" s="546"/>
      <c r="E21" s="547"/>
      <c r="F21" s="402"/>
      <c r="G21" s="400"/>
      <c r="H21" s="400"/>
      <c r="I21" s="400"/>
    </row>
    <row r="22" spans="1:9" x14ac:dyDescent="0.25">
      <c r="A22" s="579"/>
      <c r="B22" s="398"/>
      <c r="C22" s="546"/>
      <c r="D22" s="546"/>
      <c r="E22" s="547"/>
      <c r="F22" s="405"/>
      <c r="G22" s="400"/>
      <c r="H22" s="401"/>
      <c r="I22" s="400"/>
    </row>
    <row r="23" spans="1:9" ht="15.75" customHeight="1" x14ac:dyDescent="0.25">
      <c r="A23" s="579"/>
      <c r="B23" s="398"/>
      <c r="C23" s="546"/>
      <c r="D23" s="546"/>
      <c r="E23" s="547"/>
      <c r="F23" s="402"/>
      <c r="G23" s="400"/>
      <c r="H23" s="401"/>
      <c r="I23" s="400"/>
    </row>
    <row r="24" spans="1:9" ht="15.75" customHeight="1" x14ac:dyDescent="0.25">
      <c r="A24" s="579"/>
      <c r="B24" s="391"/>
      <c r="C24" s="546"/>
      <c r="D24" s="546"/>
      <c r="E24" s="547"/>
      <c r="G24" s="400"/>
      <c r="H24" s="401"/>
      <c r="I24" s="400"/>
    </row>
    <row r="25" spans="1:9" ht="15.75" customHeight="1" x14ac:dyDescent="0.25">
      <c r="A25" s="579"/>
      <c r="B25" s="391"/>
      <c r="C25" s="546"/>
      <c r="D25" s="546"/>
      <c r="E25" s="547"/>
      <c r="G25" s="400"/>
      <c r="H25" s="401"/>
      <c r="I25" s="400"/>
    </row>
    <row r="26" spans="1:9" ht="15.75" customHeight="1" x14ac:dyDescent="0.25">
      <c r="A26" s="579"/>
      <c r="B26" s="391"/>
      <c r="C26" s="546"/>
      <c r="D26" s="546"/>
      <c r="E26" s="547"/>
      <c r="G26" s="400"/>
      <c r="H26" s="401"/>
      <c r="I26" s="400"/>
    </row>
    <row r="27" spans="1:9" ht="15.75" customHeight="1" x14ac:dyDescent="0.25">
      <c r="A27" s="579"/>
      <c r="B27" s="398"/>
      <c r="C27" s="546"/>
      <c r="D27" s="546"/>
      <c r="E27" s="547"/>
      <c r="G27" s="400"/>
      <c r="H27" s="401"/>
      <c r="I27" s="400"/>
    </row>
    <row r="28" spans="1:9" ht="15.75" customHeight="1" x14ac:dyDescent="0.25">
      <c r="A28" s="579"/>
      <c r="B28" s="398"/>
      <c r="C28" s="546"/>
      <c r="D28" s="546"/>
      <c r="E28" s="547"/>
      <c r="G28" s="388"/>
      <c r="H28" s="406"/>
      <c r="I28" s="400"/>
    </row>
    <row r="29" spans="1:9" ht="15.75" customHeight="1" x14ac:dyDescent="0.25">
      <c r="A29" s="579"/>
      <c r="B29" s="398"/>
      <c r="C29" s="546"/>
      <c r="D29" s="546"/>
      <c r="E29" s="547"/>
      <c r="H29" s="407"/>
    </row>
    <row r="30" spans="1:9" ht="15.75" customHeight="1" x14ac:dyDescent="0.25">
      <c r="A30" s="579"/>
      <c r="B30" s="391"/>
      <c r="C30" s="546"/>
      <c r="D30" s="546"/>
      <c r="E30" s="547"/>
      <c r="H30" s="407"/>
    </row>
    <row r="31" spans="1:9" ht="15.75" customHeight="1" x14ac:dyDescent="0.25">
      <c r="A31" s="579"/>
      <c r="B31" s="391"/>
      <c r="C31" s="546"/>
      <c r="D31" s="546"/>
      <c r="E31" s="547"/>
      <c r="H31" s="407"/>
    </row>
    <row r="32" spans="1:9" ht="15.75" customHeight="1" x14ac:dyDescent="0.25">
      <c r="A32" s="579"/>
      <c r="B32" s="398"/>
      <c r="C32" s="548"/>
      <c r="D32" s="548"/>
      <c r="E32" s="549"/>
      <c r="H32" s="407"/>
    </row>
    <row r="33" spans="1:8" ht="15.75" customHeight="1" x14ac:dyDescent="0.25">
      <c r="A33" s="579"/>
      <c r="B33" s="391"/>
      <c r="C33" s="546"/>
      <c r="D33" s="550"/>
      <c r="E33" s="549"/>
      <c r="F33" s="394"/>
      <c r="H33" s="407"/>
    </row>
    <row r="34" spans="1:8" ht="15.75" customHeight="1" x14ac:dyDescent="0.25">
      <c r="A34" s="579"/>
      <c r="B34" s="391"/>
      <c r="C34" s="551"/>
      <c r="D34" s="551"/>
      <c r="E34" s="549"/>
      <c r="H34" s="407"/>
    </row>
    <row r="35" spans="1:8" ht="15.75" customHeight="1" x14ac:dyDescent="0.25">
      <c r="A35" s="579"/>
      <c r="B35" s="391"/>
      <c r="C35" s="551"/>
      <c r="D35" s="551"/>
      <c r="E35" s="549"/>
      <c r="H35" s="407"/>
    </row>
    <row r="36" spans="1:8" ht="15.75" customHeight="1" x14ac:dyDescent="0.25">
      <c r="A36" s="579"/>
      <c r="B36" s="391"/>
      <c r="C36" s="551"/>
      <c r="D36" s="551"/>
      <c r="E36" s="549"/>
      <c r="H36" s="407"/>
    </row>
    <row r="37" spans="1:8" ht="15.75" customHeight="1" x14ac:dyDescent="0.25">
      <c r="A37" s="579"/>
      <c r="B37" s="391"/>
      <c r="C37" s="551"/>
      <c r="D37" s="551"/>
      <c r="E37" s="549"/>
      <c r="H37" s="407"/>
    </row>
    <row r="38" spans="1:8" ht="15.75" customHeight="1" x14ac:dyDescent="0.25">
      <c r="A38" s="579"/>
      <c r="B38" s="391"/>
      <c r="C38" s="551"/>
      <c r="D38" s="551"/>
      <c r="E38" s="549"/>
      <c r="H38" s="407"/>
    </row>
    <row r="39" spans="1:8" ht="15.75" customHeight="1" x14ac:dyDescent="0.25">
      <c r="A39" s="579"/>
      <c r="B39" s="391"/>
      <c r="C39" s="551"/>
      <c r="D39" s="551"/>
      <c r="E39" s="549"/>
      <c r="H39" s="407"/>
    </row>
    <row r="40" spans="1:8" ht="15.75" customHeight="1" x14ac:dyDescent="0.25">
      <c r="A40" s="579"/>
      <c r="B40" s="391"/>
      <c r="C40" s="551"/>
      <c r="D40" s="551"/>
      <c r="E40" s="549"/>
      <c r="H40" s="407"/>
    </row>
    <row r="41" spans="1:8" ht="15.75" customHeight="1" x14ac:dyDescent="0.25">
      <c r="A41" s="579"/>
      <c r="B41" s="391"/>
      <c r="C41" s="551"/>
      <c r="D41" s="551"/>
      <c r="E41" s="549"/>
      <c r="H41" s="407"/>
    </row>
    <row r="42" spans="1:8" ht="15.75" customHeight="1" x14ac:dyDescent="0.25">
      <c r="A42" s="579"/>
      <c r="B42" s="391"/>
      <c r="C42" s="551"/>
      <c r="D42" s="551"/>
      <c r="E42" s="549"/>
      <c r="H42" s="407"/>
    </row>
    <row r="43" spans="1:8" ht="15.75" customHeight="1" x14ac:dyDescent="0.25">
      <c r="A43" s="579"/>
      <c r="B43" s="391"/>
      <c r="C43" s="551"/>
      <c r="D43" s="551"/>
      <c r="E43" s="549"/>
      <c r="F43" s="414"/>
      <c r="H43" s="407"/>
    </row>
    <row r="44" spans="1:8" ht="15.75" customHeight="1" x14ac:dyDescent="0.25">
      <c r="A44" s="579"/>
      <c r="B44" s="391"/>
      <c r="C44" s="551"/>
      <c r="D44" s="551"/>
      <c r="E44" s="549"/>
      <c r="F44" s="414"/>
      <c r="H44" s="407"/>
    </row>
    <row r="45" spans="1:8" ht="15.75" customHeight="1" x14ac:dyDescent="0.25">
      <c r="A45" s="579"/>
      <c r="B45" s="391"/>
      <c r="C45" s="551"/>
      <c r="D45" s="551"/>
      <c r="E45" s="549"/>
      <c r="F45" s="415"/>
      <c r="H45" s="407"/>
    </row>
    <row r="46" spans="1:8" ht="15.75" customHeight="1" x14ac:dyDescent="0.25">
      <c r="A46" s="579"/>
      <c r="B46" s="391"/>
      <c r="C46" s="551"/>
      <c r="D46" s="551"/>
      <c r="E46" s="549"/>
      <c r="H46" s="407"/>
    </row>
    <row r="47" spans="1:8" ht="15.75" customHeight="1" x14ac:dyDescent="0.25">
      <c r="A47" s="579"/>
      <c r="B47" s="391"/>
      <c r="C47" s="551"/>
      <c r="D47" s="551"/>
      <c r="E47" s="549"/>
      <c r="H47" s="407"/>
    </row>
    <row r="48" spans="1:8" ht="15.75" customHeight="1" x14ac:dyDescent="0.25">
      <c r="A48" s="579"/>
      <c r="B48" s="391"/>
      <c r="C48" s="551"/>
      <c r="D48" s="551"/>
      <c r="E48" s="549"/>
      <c r="H48" s="407"/>
    </row>
    <row r="49" spans="1:8" ht="15.75" customHeight="1" x14ac:dyDescent="0.25">
      <c r="A49" s="579"/>
      <c r="B49" s="391"/>
      <c r="C49" s="551"/>
      <c r="D49" s="551"/>
      <c r="E49" s="549"/>
      <c r="F49" s="414"/>
      <c r="H49" s="407"/>
    </row>
    <row r="50" spans="1:8" ht="15.75" customHeight="1" x14ac:dyDescent="0.25">
      <c r="A50" s="579"/>
      <c r="B50" s="391"/>
      <c r="C50" s="551"/>
      <c r="D50" s="551"/>
      <c r="E50" s="549"/>
      <c r="F50" s="414"/>
      <c r="H50" s="407"/>
    </row>
    <row r="51" spans="1:8" ht="15.75" customHeight="1" x14ac:dyDescent="0.25">
      <c r="A51" s="579"/>
      <c r="B51" s="391"/>
      <c r="C51" s="551"/>
      <c r="D51" s="551"/>
      <c r="E51" s="549"/>
      <c r="F51" s="415"/>
      <c r="H51" s="407"/>
    </row>
    <row r="52" spans="1:8" ht="15.75" customHeight="1" x14ac:dyDescent="0.25">
      <c r="A52" s="579"/>
      <c r="B52" s="391"/>
      <c r="C52" s="551"/>
      <c r="D52" s="551"/>
      <c r="E52" s="549"/>
      <c r="H52" s="407"/>
    </row>
    <row r="53" spans="1:8" ht="15.75" customHeight="1" x14ac:dyDescent="0.25">
      <c r="A53" s="579"/>
      <c r="B53" s="391"/>
      <c r="C53" s="551"/>
      <c r="D53" s="551"/>
      <c r="E53" s="549"/>
      <c r="H53" s="407"/>
    </row>
    <row r="54" spans="1:8" ht="15.75" customHeight="1" x14ac:dyDescent="0.25">
      <c r="A54" s="579"/>
      <c r="B54" s="391"/>
      <c r="C54" s="551"/>
      <c r="D54" s="551"/>
      <c r="E54" s="549"/>
      <c r="H54" s="407"/>
    </row>
    <row r="55" spans="1:8" ht="15.75" customHeight="1" x14ac:dyDescent="0.25">
      <c r="A55" s="579"/>
      <c r="B55" s="391"/>
      <c r="C55" s="551"/>
      <c r="D55" s="551"/>
      <c r="E55" s="549"/>
      <c r="H55" s="407"/>
    </row>
    <row r="56" spans="1:8" ht="15.75" customHeight="1" x14ac:dyDescent="0.25">
      <c r="A56" s="579"/>
      <c r="B56" s="391"/>
      <c r="C56" s="551"/>
      <c r="D56" s="551"/>
      <c r="E56" s="549"/>
      <c r="H56" s="407"/>
    </row>
    <row r="57" spans="1:8" ht="15.75" customHeight="1" x14ac:dyDescent="0.25">
      <c r="A57" s="579"/>
      <c r="B57" s="391"/>
      <c r="C57" s="551"/>
      <c r="D57" s="551"/>
      <c r="E57" s="549"/>
      <c r="H57" s="407"/>
    </row>
    <row r="58" spans="1:8" ht="15.75" customHeight="1" x14ac:dyDescent="0.25">
      <c r="A58" s="579"/>
      <c r="B58" s="391"/>
      <c r="C58" s="551"/>
      <c r="D58" s="551"/>
      <c r="E58" s="549"/>
      <c r="H58" s="407"/>
    </row>
    <row r="59" spans="1:8" ht="15.75" customHeight="1" x14ac:dyDescent="0.25">
      <c r="A59" s="579"/>
      <c r="B59" s="391"/>
      <c r="C59" s="551"/>
      <c r="D59" s="551"/>
      <c r="E59" s="549"/>
      <c r="H59" s="407"/>
    </row>
    <row r="60" spans="1:8" ht="15.75" customHeight="1" x14ac:dyDescent="0.25">
      <c r="A60" s="579"/>
      <c r="B60" s="431"/>
      <c r="C60" s="552"/>
      <c r="D60" s="552"/>
      <c r="E60" s="553"/>
      <c r="H60" s="407"/>
    </row>
    <row r="61" spans="1:8" ht="15.75" customHeight="1" x14ac:dyDescent="0.25">
      <c r="A61" s="579"/>
      <c r="B61" s="391"/>
      <c r="C61" s="551"/>
      <c r="D61" s="551"/>
      <c r="E61" s="549"/>
      <c r="H61" s="407"/>
    </row>
    <row r="62" spans="1:8" ht="15.75" customHeight="1" x14ac:dyDescent="0.25">
      <c r="A62" s="579"/>
      <c r="B62" s="391"/>
      <c r="C62" s="551"/>
      <c r="D62" s="551"/>
      <c r="E62" s="549"/>
      <c r="H62" s="407"/>
    </row>
    <row r="63" spans="1:8" ht="15.75" customHeight="1" x14ac:dyDescent="0.25">
      <c r="A63" s="579"/>
      <c r="B63" s="391"/>
      <c r="C63" s="551"/>
      <c r="D63" s="551"/>
      <c r="E63" s="549"/>
      <c r="H63" s="407"/>
    </row>
    <row r="64" spans="1:8" ht="15.75" customHeight="1" x14ac:dyDescent="0.25">
      <c r="A64" s="579"/>
      <c r="B64" s="391"/>
      <c r="C64" s="551"/>
      <c r="D64" s="551"/>
      <c r="E64" s="549"/>
      <c r="H64" s="407"/>
    </row>
    <row r="65" spans="1:8" ht="15.75" customHeight="1" x14ac:dyDescent="0.25">
      <c r="A65" s="579"/>
      <c r="B65" s="391"/>
      <c r="C65" s="551"/>
      <c r="D65" s="551"/>
      <c r="E65" s="549"/>
      <c r="H65" s="407"/>
    </row>
    <row r="66" spans="1:8" ht="15.75" customHeight="1" x14ac:dyDescent="0.25">
      <c r="A66" s="579"/>
      <c r="B66" s="409" t="s">
        <v>52</v>
      </c>
      <c r="C66" s="551">
        <f>SUM(C6:C65)</f>
        <v>257720</v>
      </c>
      <c r="D66" s="551">
        <f>SUM(D6:D65)</f>
        <v>160128</v>
      </c>
      <c r="E66" s="549">
        <f>+C66-D66</f>
        <v>97592</v>
      </c>
      <c r="F66" s="397"/>
      <c r="H66" s="407"/>
    </row>
    <row r="67" spans="1:8" ht="15.75" customHeight="1" x14ac:dyDescent="0.25">
      <c r="A67" s="579"/>
      <c r="B67" s="410"/>
      <c r="C67" s="554"/>
      <c r="D67" s="555"/>
      <c r="E67" s="549"/>
      <c r="G67" s="394"/>
      <c r="H67" s="407"/>
    </row>
    <row r="68" spans="1:8" ht="15.75" customHeight="1" x14ac:dyDescent="0.25">
      <c r="C68" s="556"/>
      <c r="D68" s="556"/>
      <c r="E68" s="557"/>
      <c r="H68" s="407"/>
    </row>
    <row r="69" spans="1:8" ht="15.75" customHeight="1" x14ac:dyDescent="0.25">
      <c r="C69" s="551"/>
      <c r="D69" s="551"/>
      <c r="E69" s="558"/>
      <c r="H69" s="407"/>
    </row>
    <row r="70" spans="1:8" ht="15.75" customHeight="1" x14ac:dyDescent="0.25">
      <c r="C70" s="551"/>
      <c r="D70" s="551"/>
      <c r="E70" s="558"/>
      <c r="H70" s="407"/>
    </row>
    <row r="71" spans="1:8" ht="15.75" customHeight="1" x14ac:dyDescent="0.25">
      <c r="C71" s="551"/>
      <c r="D71" s="551"/>
      <c r="E71" s="558"/>
      <c r="H71" s="407"/>
    </row>
    <row r="72" spans="1:8" ht="15.75" customHeight="1" x14ac:dyDescent="0.25">
      <c r="C72" s="551"/>
      <c r="D72" s="551"/>
      <c r="E72" s="558"/>
    </row>
    <row r="73" spans="1:8" ht="15.75" customHeight="1" x14ac:dyDescent="0.25">
      <c r="C73" s="551"/>
      <c r="D73" s="551"/>
      <c r="E73" s="558"/>
    </row>
    <row r="74" spans="1:8" ht="15.75" customHeight="1" x14ac:dyDescent="0.25">
      <c r="C74" s="551"/>
      <c r="D74" s="551"/>
      <c r="E74" s="558"/>
    </row>
    <row r="75" spans="1:8" ht="15.75" customHeight="1" x14ac:dyDescent="0.25">
      <c r="C75" s="551"/>
      <c r="D75" s="551"/>
      <c r="E75" s="558"/>
    </row>
    <row r="76" spans="1:8" ht="15.75" customHeight="1" x14ac:dyDescent="0.25">
      <c r="C76" s="551"/>
      <c r="D76" s="551"/>
      <c r="E76" s="558"/>
    </row>
    <row r="77" spans="1:8" ht="15.75" customHeight="1" x14ac:dyDescent="0.25">
      <c r="C77" s="551"/>
      <c r="D77" s="551"/>
      <c r="E77" s="558"/>
    </row>
    <row r="78" spans="1:8" ht="15.75" customHeight="1" x14ac:dyDescent="0.25">
      <c r="C78" s="551"/>
      <c r="D78" s="551"/>
      <c r="E78" s="558"/>
    </row>
    <row r="79" spans="1:8" ht="15.75" customHeight="1" x14ac:dyDescent="0.25">
      <c r="E79" s="543"/>
    </row>
    <row r="80" spans="1:8" ht="15.75" customHeight="1" x14ac:dyDescent="0.25">
      <c r="E80" s="543"/>
    </row>
    <row r="81" spans="5:5" ht="15.75" customHeight="1" x14ac:dyDescent="0.25">
      <c r="E81" s="543"/>
    </row>
    <row r="82" spans="5:5" ht="15.75" customHeight="1" x14ac:dyDescent="0.25">
      <c r="E82" s="543"/>
    </row>
    <row r="83" spans="5:5" ht="15.75" customHeight="1" x14ac:dyDescent="0.25">
      <c r="E83" s="543"/>
    </row>
    <row r="84" spans="5:5" ht="15.75" customHeight="1" x14ac:dyDescent="0.25">
      <c r="E84" s="543"/>
    </row>
    <row r="85" spans="5:5" ht="15.75" customHeight="1" x14ac:dyDescent="0.25">
      <c r="E85" s="543"/>
    </row>
    <row r="86" spans="5:5" ht="15.75" customHeight="1" x14ac:dyDescent="0.25">
      <c r="E86" s="543"/>
    </row>
    <row r="87" spans="5:5" ht="15.75" customHeight="1" x14ac:dyDescent="0.25">
      <c r="E87" s="543"/>
    </row>
    <row r="88" spans="5:5" ht="15.75" customHeight="1" x14ac:dyDescent="0.25">
      <c r="E88" s="543"/>
    </row>
    <row r="89" spans="5:5" ht="15.75" customHeight="1" x14ac:dyDescent="0.25">
      <c r="E89" s="543"/>
    </row>
    <row r="90" spans="5:5" ht="15.75" customHeight="1" x14ac:dyDescent="0.25">
      <c r="E90" s="543"/>
    </row>
    <row r="91" spans="5:5" ht="15.75" customHeight="1" x14ac:dyDescent="0.25">
      <c r="E91" s="543"/>
    </row>
    <row r="92" spans="5:5" ht="15.75" customHeight="1" x14ac:dyDescent="0.25">
      <c r="E92" s="543"/>
    </row>
    <row r="93" spans="5:5" ht="15.75" customHeight="1" x14ac:dyDescent="0.25">
      <c r="E93" s="543"/>
    </row>
    <row r="94" spans="5:5" ht="15.75" customHeight="1" x14ac:dyDescent="0.25">
      <c r="E94" s="543"/>
    </row>
    <row r="95" spans="5:5" ht="15.75" customHeight="1" x14ac:dyDescent="0.25">
      <c r="E95" s="543"/>
    </row>
    <row r="96" spans="5:5" ht="15.75" customHeight="1" x14ac:dyDescent="0.25">
      <c r="E96" s="543"/>
    </row>
    <row r="97" spans="5:5" ht="15.75" customHeight="1" x14ac:dyDescent="0.25">
      <c r="E97" s="543"/>
    </row>
    <row r="98" spans="5:5" ht="15.75" customHeight="1" x14ac:dyDescent="0.25">
      <c r="E98" s="543"/>
    </row>
    <row r="99" spans="5:5" ht="15.75" customHeight="1" x14ac:dyDescent="0.25">
      <c r="E99" s="543"/>
    </row>
    <row r="100" spans="5:5" ht="15.75" customHeight="1" x14ac:dyDescent="0.25">
      <c r="E100" s="543"/>
    </row>
    <row r="101" spans="5:5" ht="15.75" customHeight="1" x14ac:dyDescent="0.25">
      <c r="E101" s="543"/>
    </row>
    <row r="102" spans="5:5" ht="15.75" customHeight="1" x14ac:dyDescent="0.25">
      <c r="E102" s="543"/>
    </row>
    <row r="103" spans="5:5" ht="15.75" customHeight="1" x14ac:dyDescent="0.25">
      <c r="E103" s="543"/>
    </row>
    <row r="104" spans="5:5" ht="15.75" customHeight="1" x14ac:dyDescent="0.25">
      <c r="E104" s="543"/>
    </row>
    <row r="105" spans="5:5" ht="15.75" customHeight="1" x14ac:dyDescent="0.25">
      <c r="E105" s="543"/>
    </row>
    <row r="106" spans="5:5" ht="15.75" customHeight="1" x14ac:dyDescent="0.25">
      <c r="E106" s="543"/>
    </row>
    <row r="107" spans="5:5" ht="15.75" customHeight="1" x14ac:dyDescent="0.25">
      <c r="E107" s="543"/>
    </row>
    <row r="108" spans="5:5" ht="15.75" customHeight="1" x14ac:dyDescent="0.25">
      <c r="E108" s="543"/>
    </row>
    <row r="109" spans="5:5" ht="15.75" customHeight="1" x14ac:dyDescent="0.25">
      <c r="E109" s="543"/>
    </row>
    <row r="110" spans="5:5" ht="15.75" customHeight="1" x14ac:dyDescent="0.25">
      <c r="E110" s="543"/>
    </row>
    <row r="111" spans="5:5" ht="15.75" customHeight="1" x14ac:dyDescent="0.25">
      <c r="E111" s="543"/>
    </row>
    <row r="112" spans="5:5" ht="15.75" customHeight="1" x14ac:dyDescent="0.25">
      <c r="E112" s="543"/>
    </row>
    <row r="113" spans="5:5" ht="15.75" customHeight="1" x14ac:dyDescent="0.25">
      <c r="E113" s="543"/>
    </row>
    <row r="114" spans="5:5" ht="15.75" customHeight="1" x14ac:dyDescent="0.25">
      <c r="E114" s="543"/>
    </row>
    <row r="115" spans="5:5" ht="15.75" customHeight="1" x14ac:dyDescent="0.25">
      <c r="E115" s="543"/>
    </row>
    <row r="116" spans="5:5" ht="15.75" customHeight="1" x14ac:dyDescent="0.25">
      <c r="E116" s="543"/>
    </row>
    <row r="117" spans="5:5" ht="15.75" customHeight="1" x14ac:dyDescent="0.25">
      <c r="E117" s="543"/>
    </row>
    <row r="118" spans="5:5" ht="15.75" customHeight="1" x14ac:dyDescent="0.25">
      <c r="E118" s="543"/>
    </row>
    <row r="119" spans="5:5" ht="15.75" customHeight="1" x14ac:dyDescent="0.25">
      <c r="E119" s="543"/>
    </row>
    <row r="120" spans="5:5" ht="15.75" customHeight="1" x14ac:dyDescent="0.25">
      <c r="E120" s="543"/>
    </row>
    <row r="121" spans="5:5" ht="15.75" customHeight="1" x14ac:dyDescent="0.25">
      <c r="E121" s="543"/>
    </row>
    <row r="122" spans="5:5" ht="15.75" customHeight="1" x14ac:dyDescent="0.25">
      <c r="E122" s="543"/>
    </row>
    <row r="123" spans="5:5" ht="15.75" customHeight="1" x14ac:dyDescent="0.25">
      <c r="E123" s="543"/>
    </row>
    <row r="124" spans="5:5" ht="15.75" customHeight="1" x14ac:dyDescent="0.25">
      <c r="E124" s="543"/>
    </row>
    <row r="125" spans="5:5" ht="15.75" customHeight="1" x14ac:dyDescent="0.25">
      <c r="E125" s="543"/>
    </row>
    <row r="126" spans="5:5" ht="15.75" customHeight="1" x14ac:dyDescent="0.25">
      <c r="E126" s="543"/>
    </row>
    <row r="127" spans="5:5" ht="15.75" customHeight="1" x14ac:dyDescent="0.25">
      <c r="E127" s="543"/>
    </row>
    <row r="128" spans="5:5" ht="15.75" customHeight="1" x14ac:dyDescent="0.25">
      <c r="E128" s="543"/>
    </row>
    <row r="129" spans="5:5" ht="15.75" customHeight="1" x14ac:dyDescent="0.25">
      <c r="E129" s="543"/>
    </row>
    <row r="130" spans="5:5" ht="15.75" customHeight="1" x14ac:dyDescent="0.25">
      <c r="E130" s="543"/>
    </row>
    <row r="131" spans="5:5" ht="15.75" customHeight="1" x14ac:dyDescent="0.25">
      <c r="E131" s="543"/>
    </row>
    <row r="132" spans="5:5" ht="15.75" customHeight="1" x14ac:dyDescent="0.25">
      <c r="E132" s="543"/>
    </row>
    <row r="133" spans="5:5" ht="15.75" customHeight="1" x14ac:dyDescent="0.25">
      <c r="E133" s="543"/>
    </row>
    <row r="134" spans="5:5" ht="15.75" customHeight="1" x14ac:dyDescent="0.25">
      <c r="E134" s="543"/>
    </row>
    <row r="135" spans="5:5" ht="15.75" customHeight="1" x14ac:dyDescent="0.25">
      <c r="E135" s="543"/>
    </row>
    <row r="136" spans="5:5" ht="15.75" customHeight="1" x14ac:dyDescent="0.25">
      <c r="E136" s="543"/>
    </row>
    <row r="137" spans="5:5" ht="15.75" customHeight="1" x14ac:dyDescent="0.25">
      <c r="E137" s="543"/>
    </row>
    <row r="138" spans="5:5" ht="15.75" customHeight="1" x14ac:dyDescent="0.25">
      <c r="E138" s="543"/>
    </row>
    <row r="139" spans="5:5" ht="15.75" customHeight="1" x14ac:dyDescent="0.25">
      <c r="E139" s="543"/>
    </row>
    <row r="140" spans="5:5" ht="15.75" customHeight="1" x14ac:dyDescent="0.25">
      <c r="E140" s="543"/>
    </row>
    <row r="141" spans="5:5" ht="15.75" customHeight="1" x14ac:dyDescent="0.25">
      <c r="E141" s="543"/>
    </row>
    <row r="142" spans="5:5" ht="15.75" customHeight="1" x14ac:dyDescent="0.25">
      <c r="E142" s="543"/>
    </row>
    <row r="143" spans="5:5" ht="15.75" customHeight="1" x14ac:dyDescent="0.25">
      <c r="E143" s="543"/>
    </row>
    <row r="144" spans="5:5" ht="15.75" customHeight="1" x14ac:dyDescent="0.25">
      <c r="E144" s="543"/>
    </row>
    <row r="145" spans="5:5" ht="15.75" customHeight="1" x14ac:dyDescent="0.25">
      <c r="E145" s="543"/>
    </row>
    <row r="146" spans="5:5" ht="15.75" customHeight="1" x14ac:dyDescent="0.25">
      <c r="E146" s="543"/>
    </row>
    <row r="147" spans="5:5" ht="15.75" customHeight="1" x14ac:dyDescent="0.25">
      <c r="E147" s="543"/>
    </row>
    <row r="148" spans="5:5" ht="15.75" customHeight="1" x14ac:dyDescent="0.25">
      <c r="E148" s="543"/>
    </row>
    <row r="149" spans="5:5" ht="15.75" customHeight="1" x14ac:dyDescent="0.25">
      <c r="E149" s="543"/>
    </row>
    <row r="150" spans="5:5" ht="15.75" customHeight="1" x14ac:dyDescent="0.25">
      <c r="E150" s="543"/>
    </row>
    <row r="151" spans="5:5" ht="15.75" customHeight="1" x14ac:dyDescent="0.25">
      <c r="E151" s="543"/>
    </row>
    <row r="152" spans="5:5" ht="15.75" customHeight="1" x14ac:dyDescent="0.25">
      <c r="E152" s="543"/>
    </row>
    <row r="153" spans="5:5" ht="15.75" customHeight="1" x14ac:dyDescent="0.25">
      <c r="E153" s="543"/>
    </row>
    <row r="154" spans="5:5" ht="15.75" customHeight="1" x14ac:dyDescent="0.25">
      <c r="E154" s="543"/>
    </row>
    <row r="155" spans="5:5" ht="15.75" customHeight="1" x14ac:dyDescent="0.25">
      <c r="E155" s="543"/>
    </row>
    <row r="156" spans="5:5" ht="15.75" customHeight="1" x14ac:dyDescent="0.25">
      <c r="E156" s="543"/>
    </row>
    <row r="157" spans="5:5" ht="15.75" customHeight="1" x14ac:dyDescent="0.25">
      <c r="E157" s="543"/>
    </row>
    <row r="158" spans="5:5" ht="15.75" customHeight="1" x14ac:dyDescent="0.25">
      <c r="E158" s="543"/>
    </row>
    <row r="159" spans="5:5" ht="15.75" customHeight="1" x14ac:dyDescent="0.25">
      <c r="E159" s="543"/>
    </row>
    <row r="160" spans="5:5" ht="15.75" customHeight="1" x14ac:dyDescent="0.25">
      <c r="E160" s="543"/>
    </row>
    <row r="161" spans="5:5" ht="15.75" customHeight="1" x14ac:dyDescent="0.25">
      <c r="E161" s="543"/>
    </row>
    <row r="162" spans="5:5" ht="15.75" customHeight="1" x14ac:dyDescent="0.25">
      <c r="E162" s="543"/>
    </row>
    <row r="163" spans="5:5" ht="15.75" customHeight="1" x14ac:dyDescent="0.25">
      <c r="E163" s="543"/>
    </row>
    <row r="164" spans="5:5" ht="15.75" customHeight="1" x14ac:dyDescent="0.25">
      <c r="E164" s="543"/>
    </row>
    <row r="165" spans="5:5" ht="15.75" customHeight="1" x14ac:dyDescent="0.25">
      <c r="E165" s="543"/>
    </row>
    <row r="166" spans="5:5" ht="15.75" customHeight="1" x14ac:dyDescent="0.25">
      <c r="E166" s="543"/>
    </row>
    <row r="167" spans="5:5" ht="15.75" customHeight="1" x14ac:dyDescent="0.25">
      <c r="E167" s="543"/>
    </row>
    <row r="168" spans="5:5" ht="15.75" customHeight="1" x14ac:dyDescent="0.25">
      <c r="E168" s="543"/>
    </row>
    <row r="169" spans="5:5" ht="15.75" customHeight="1" x14ac:dyDescent="0.25">
      <c r="E169" s="543"/>
    </row>
    <row r="170" spans="5:5" ht="15.75" customHeight="1" x14ac:dyDescent="0.25">
      <c r="E170" s="543"/>
    </row>
    <row r="171" spans="5:5" ht="15.75" customHeight="1" x14ac:dyDescent="0.25">
      <c r="E171" s="543"/>
    </row>
    <row r="172" spans="5:5" ht="15.75" customHeight="1" x14ac:dyDescent="0.25">
      <c r="E172" s="543"/>
    </row>
    <row r="173" spans="5:5" ht="15.75" customHeight="1" x14ac:dyDescent="0.25">
      <c r="E173" s="543"/>
    </row>
    <row r="174" spans="5:5" ht="15.75" customHeight="1" x14ac:dyDescent="0.25">
      <c r="E174" s="543"/>
    </row>
    <row r="175" spans="5:5" ht="15.75" customHeight="1" x14ac:dyDescent="0.25">
      <c r="E175" s="543"/>
    </row>
    <row r="176" spans="5:5" ht="15.75" customHeight="1" x14ac:dyDescent="0.25">
      <c r="E176" s="543"/>
    </row>
    <row r="177" spans="5:5" ht="15.75" customHeight="1" x14ac:dyDescent="0.25">
      <c r="E177" s="543"/>
    </row>
    <row r="178" spans="5:5" ht="15.75" customHeight="1" x14ac:dyDescent="0.25">
      <c r="E178" s="543"/>
    </row>
    <row r="179" spans="5:5" ht="15.75" customHeight="1" x14ac:dyDescent="0.25">
      <c r="E179" s="543"/>
    </row>
    <row r="180" spans="5:5" ht="15.75" customHeight="1" x14ac:dyDescent="0.25">
      <c r="E180" s="543"/>
    </row>
    <row r="181" spans="5:5" ht="15.75" customHeight="1" x14ac:dyDescent="0.25">
      <c r="E181" s="543"/>
    </row>
    <row r="182" spans="5:5" ht="15.75" customHeight="1" x14ac:dyDescent="0.25">
      <c r="E182" s="543"/>
    </row>
    <row r="183" spans="5:5" ht="15.75" customHeight="1" x14ac:dyDescent="0.25">
      <c r="E183" s="543"/>
    </row>
    <row r="184" spans="5:5" ht="15.75" customHeight="1" x14ac:dyDescent="0.25">
      <c r="E184" s="543"/>
    </row>
    <row r="185" spans="5:5" ht="15.75" customHeight="1" x14ac:dyDescent="0.25">
      <c r="E185" s="543"/>
    </row>
    <row r="186" spans="5:5" ht="15.75" customHeight="1" x14ac:dyDescent="0.25">
      <c r="E186" s="543"/>
    </row>
    <row r="187" spans="5:5" ht="15.75" customHeight="1" x14ac:dyDescent="0.25">
      <c r="E187" s="543"/>
    </row>
    <row r="188" spans="5:5" ht="15.75" customHeight="1" x14ac:dyDescent="0.25">
      <c r="E188" s="543"/>
    </row>
    <row r="189" spans="5:5" ht="15.75" customHeight="1" x14ac:dyDescent="0.25">
      <c r="E189" s="543"/>
    </row>
    <row r="190" spans="5:5" ht="15.75" customHeight="1" x14ac:dyDescent="0.25">
      <c r="E190" s="543"/>
    </row>
    <row r="191" spans="5:5" ht="15.75" customHeight="1" x14ac:dyDescent="0.25">
      <c r="E191" s="543"/>
    </row>
    <row r="192" spans="5:5" ht="15.75" customHeight="1" x14ac:dyDescent="0.25">
      <c r="E192" s="543"/>
    </row>
    <row r="193" spans="5:5" ht="15.75" customHeight="1" x14ac:dyDescent="0.25">
      <c r="E193" s="543"/>
    </row>
    <row r="194" spans="5:5" ht="15.75" customHeight="1" x14ac:dyDescent="0.25">
      <c r="E194" s="543"/>
    </row>
    <row r="195" spans="5:5" ht="15.75" customHeight="1" x14ac:dyDescent="0.25">
      <c r="E195" s="543"/>
    </row>
    <row r="196" spans="5:5" ht="15.75" customHeight="1" x14ac:dyDescent="0.25">
      <c r="E196" s="543"/>
    </row>
    <row r="197" spans="5:5" ht="15.75" customHeight="1" x14ac:dyDescent="0.25">
      <c r="E197" s="543"/>
    </row>
    <row r="198" spans="5:5" ht="15.75" customHeight="1" x14ac:dyDescent="0.25">
      <c r="E198" s="543"/>
    </row>
    <row r="199" spans="5:5" ht="15.75" customHeight="1" x14ac:dyDescent="0.25">
      <c r="E199" s="543"/>
    </row>
    <row r="200" spans="5:5" ht="15.75" customHeight="1" x14ac:dyDescent="0.25">
      <c r="E200" s="543"/>
    </row>
    <row r="201" spans="5:5" ht="15.75" customHeight="1" x14ac:dyDescent="0.25">
      <c r="E201" s="543"/>
    </row>
    <row r="202" spans="5:5" ht="15.75" customHeight="1" x14ac:dyDescent="0.25">
      <c r="E202" s="543"/>
    </row>
    <row r="203" spans="5:5" ht="15.75" customHeight="1" x14ac:dyDescent="0.25">
      <c r="E203" s="543"/>
    </row>
    <row r="204" spans="5:5" ht="15.75" customHeight="1" x14ac:dyDescent="0.25">
      <c r="E204" s="543"/>
    </row>
    <row r="205" spans="5:5" ht="15.75" customHeight="1" x14ac:dyDescent="0.25">
      <c r="E205" s="543"/>
    </row>
    <row r="206" spans="5:5" ht="15.75" customHeight="1" x14ac:dyDescent="0.25">
      <c r="E206" s="543"/>
    </row>
    <row r="207" spans="5:5" ht="15.75" customHeight="1" x14ac:dyDescent="0.25">
      <c r="E207" s="543"/>
    </row>
    <row r="208" spans="5:5" ht="15.75" customHeight="1" x14ac:dyDescent="0.25">
      <c r="E208" s="543"/>
    </row>
    <row r="209" spans="5:5" ht="15.75" customHeight="1" x14ac:dyDescent="0.25">
      <c r="E209" s="543"/>
    </row>
    <row r="210" spans="5:5" ht="15.75" customHeight="1" x14ac:dyDescent="0.25">
      <c r="E210" s="543"/>
    </row>
    <row r="211" spans="5:5" ht="15.75" customHeight="1" x14ac:dyDescent="0.25">
      <c r="E211" s="543"/>
    </row>
    <row r="212" spans="5:5" ht="15.75" customHeight="1" x14ac:dyDescent="0.25">
      <c r="E212" s="543"/>
    </row>
    <row r="213" spans="5:5" ht="15.75" customHeight="1" x14ac:dyDescent="0.25">
      <c r="E213" s="543"/>
    </row>
    <row r="214" spans="5:5" ht="15.75" customHeight="1" x14ac:dyDescent="0.25">
      <c r="E214" s="543"/>
    </row>
    <row r="215" spans="5:5" ht="15.75" customHeight="1" x14ac:dyDescent="0.25">
      <c r="E215" s="543"/>
    </row>
    <row r="216" spans="5:5" ht="15.75" customHeight="1" x14ac:dyDescent="0.25">
      <c r="E216" s="543"/>
    </row>
    <row r="217" spans="5:5" ht="15.75" customHeight="1" x14ac:dyDescent="0.25">
      <c r="E217" s="543"/>
    </row>
    <row r="218" spans="5:5" ht="15.75" customHeight="1" x14ac:dyDescent="0.25">
      <c r="E218" s="543"/>
    </row>
    <row r="219" spans="5:5" ht="15.75" customHeight="1" x14ac:dyDescent="0.25">
      <c r="E219" s="543"/>
    </row>
    <row r="220" spans="5:5" ht="15.75" customHeight="1" x14ac:dyDescent="0.25">
      <c r="E220" s="543"/>
    </row>
    <row r="221" spans="5:5" ht="15.75" customHeight="1" x14ac:dyDescent="0.25">
      <c r="E221" s="543"/>
    </row>
    <row r="222" spans="5:5" ht="15.75" customHeight="1" x14ac:dyDescent="0.25">
      <c r="E222" s="543"/>
    </row>
    <row r="223" spans="5:5" ht="15.75" customHeight="1" x14ac:dyDescent="0.25">
      <c r="E223" s="543"/>
    </row>
    <row r="224" spans="5:5" ht="15.75" customHeight="1" x14ac:dyDescent="0.25">
      <c r="E224" s="543"/>
    </row>
    <row r="225" spans="5:5" ht="15.75" customHeight="1" x14ac:dyDescent="0.25">
      <c r="E225" s="543"/>
    </row>
    <row r="226" spans="5:5" ht="15.75" customHeight="1" x14ac:dyDescent="0.25">
      <c r="E226" s="543"/>
    </row>
    <row r="227" spans="5:5" ht="15.75" customHeight="1" x14ac:dyDescent="0.25">
      <c r="E227" s="543"/>
    </row>
    <row r="228" spans="5:5" ht="15.75" customHeight="1" x14ac:dyDescent="0.25">
      <c r="E228" s="543"/>
    </row>
    <row r="229" spans="5:5" ht="15.75" customHeight="1" x14ac:dyDescent="0.25">
      <c r="E229" s="543"/>
    </row>
    <row r="230" spans="5:5" ht="15.75" customHeight="1" x14ac:dyDescent="0.25">
      <c r="E230" s="543"/>
    </row>
    <row r="231" spans="5:5" ht="15.75" customHeight="1" x14ac:dyDescent="0.25">
      <c r="E231" s="543"/>
    </row>
    <row r="232" spans="5:5" ht="15.75" customHeight="1" x14ac:dyDescent="0.25">
      <c r="E232" s="543"/>
    </row>
    <row r="233" spans="5:5" ht="15.75" customHeight="1" x14ac:dyDescent="0.25">
      <c r="E233" s="543"/>
    </row>
    <row r="234" spans="5:5" ht="15.75" customHeight="1" x14ac:dyDescent="0.25">
      <c r="E234" s="543"/>
    </row>
    <row r="235" spans="5:5" ht="15.75" customHeight="1" x14ac:dyDescent="0.25">
      <c r="E235" s="543"/>
    </row>
    <row r="236" spans="5:5" ht="15.75" customHeight="1" x14ac:dyDescent="0.25">
      <c r="E236" s="543"/>
    </row>
    <row r="237" spans="5:5" ht="15.75" customHeight="1" x14ac:dyDescent="0.25">
      <c r="E237" s="543"/>
    </row>
    <row r="238" spans="5:5" ht="15.75" customHeight="1" x14ac:dyDescent="0.25">
      <c r="E238" s="543"/>
    </row>
    <row r="239" spans="5:5" ht="15.75" customHeight="1" x14ac:dyDescent="0.25">
      <c r="E239" s="543"/>
    </row>
    <row r="240" spans="5:5" ht="15.75" customHeight="1" x14ac:dyDescent="0.25">
      <c r="E240" s="543"/>
    </row>
    <row r="241" spans="5:5" ht="15.75" customHeight="1" x14ac:dyDescent="0.25">
      <c r="E241" s="543"/>
    </row>
    <row r="242" spans="5:5" ht="15.75" customHeight="1" x14ac:dyDescent="0.25">
      <c r="E242" s="543"/>
    </row>
    <row r="243" spans="5:5" ht="15.75" customHeight="1" x14ac:dyDescent="0.25">
      <c r="E243" s="543"/>
    </row>
    <row r="244" spans="5:5" ht="15.75" customHeight="1" x14ac:dyDescent="0.25">
      <c r="E244" s="543"/>
    </row>
    <row r="245" spans="5:5" ht="15.75" customHeight="1" x14ac:dyDescent="0.25">
      <c r="E245" s="543"/>
    </row>
    <row r="246" spans="5:5" ht="15.75" customHeight="1" x14ac:dyDescent="0.25">
      <c r="E246" s="543"/>
    </row>
    <row r="247" spans="5:5" ht="15.75" customHeight="1" x14ac:dyDescent="0.25">
      <c r="E247" s="543"/>
    </row>
    <row r="248" spans="5:5" ht="15.75" customHeight="1" x14ac:dyDescent="0.25">
      <c r="E248" s="543"/>
    </row>
    <row r="249" spans="5:5" ht="15.75" customHeight="1" x14ac:dyDescent="0.25">
      <c r="E249" s="543"/>
    </row>
    <row r="250" spans="5:5" ht="15.75" customHeight="1" x14ac:dyDescent="0.25">
      <c r="E250" s="543"/>
    </row>
    <row r="251" spans="5:5" ht="15.75" customHeight="1" x14ac:dyDescent="0.25">
      <c r="E251" s="543"/>
    </row>
    <row r="252" spans="5:5" ht="15.75" customHeight="1" x14ac:dyDescent="0.25">
      <c r="E252" s="543"/>
    </row>
    <row r="253" spans="5:5" ht="15.75" customHeight="1" x14ac:dyDescent="0.25">
      <c r="E253" s="543"/>
    </row>
    <row r="254" spans="5:5" ht="15.75" customHeight="1" x14ac:dyDescent="0.25">
      <c r="E254" s="543"/>
    </row>
    <row r="255" spans="5:5" ht="15.75" customHeight="1" x14ac:dyDescent="0.25">
      <c r="E255" s="543"/>
    </row>
    <row r="256" spans="5:5" ht="15.75" customHeight="1" x14ac:dyDescent="0.25">
      <c r="E256" s="543"/>
    </row>
    <row r="257" spans="5:5" ht="15.75" customHeight="1" x14ac:dyDescent="0.25">
      <c r="E257" s="543"/>
    </row>
    <row r="258" spans="5:5" ht="15.75" customHeight="1" x14ac:dyDescent="0.25">
      <c r="E258" s="543"/>
    </row>
    <row r="259" spans="5:5" ht="15.75" customHeight="1" x14ac:dyDescent="0.25">
      <c r="E259" s="543"/>
    </row>
    <row r="260" spans="5:5" ht="15.75" customHeight="1" x14ac:dyDescent="0.25">
      <c r="E260" s="543"/>
    </row>
    <row r="261" spans="5:5" ht="15.75" customHeight="1" x14ac:dyDescent="0.25">
      <c r="E261" s="543"/>
    </row>
    <row r="262" spans="5:5" ht="15.75" customHeight="1" x14ac:dyDescent="0.25">
      <c r="E262" s="543"/>
    </row>
    <row r="263" spans="5:5" ht="15.75" customHeight="1" x14ac:dyDescent="0.25">
      <c r="E263" s="543"/>
    </row>
    <row r="264" spans="5:5" ht="15.75" customHeight="1" x14ac:dyDescent="0.25">
      <c r="E264" s="543"/>
    </row>
    <row r="265" spans="5:5" ht="15.75" customHeight="1" x14ac:dyDescent="0.25">
      <c r="E265" s="543"/>
    </row>
    <row r="266" spans="5:5" ht="15.75" customHeight="1" x14ac:dyDescent="0.25">
      <c r="E266" s="543"/>
    </row>
    <row r="267" spans="5:5" ht="15.75" customHeight="1" x14ac:dyDescent="0.25">
      <c r="E267" s="543"/>
    </row>
    <row r="268" spans="5:5" ht="15.75" customHeight="1" x14ac:dyDescent="0.25">
      <c r="E268" s="543"/>
    </row>
    <row r="269" spans="5:5" ht="15.75" customHeight="1" x14ac:dyDescent="0.25">
      <c r="E269" s="543"/>
    </row>
    <row r="270" spans="5:5" ht="15.75" customHeight="1" x14ac:dyDescent="0.25">
      <c r="E270" s="543"/>
    </row>
    <row r="271" spans="5:5" ht="15.75" customHeight="1" x14ac:dyDescent="0.25">
      <c r="E271" s="543"/>
    </row>
    <row r="272" spans="5:5" ht="15.75" customHeight="1" x14ac:dyDescent="0.25">
      <c r="E272" s="543"/>
    </row>
    <row r="273" spans="5:5" ht="15.75" customHeight="1" x14ac:dyDescent="0.25">
      <c r="E273" s="543"/>
    </row>
    <row r="274" spans="5:5" ht="15.75" customHeight="1" x14ac:dyDescent="0.25">
      <c r="E274" s="543"/>
    </row>
    <row r="275" spans="5:5" ht="15.75" customHeight="1" x14ac:dyDescent="0.25">
      <c r="E275" s="543"/>
    </row>
    <row r="276" spans="5:5" ht="15.75" customHeight="1" x14ac:dyDescent="0.25">
      <c r="E276" s="543"/>
    </row>
    <row r="277" spans="5:5" ht="15.75" customHeight="1" x14ac:dyDescent="0.25">
      <c r="E277" s="543"/>
    </row>
    <row r="278" spans="5:5" ht="15.75" customHeight="1" x14ac:dyDescent="0.25">
      <c r="E278" s="543"/>
    </row>
    <row r="279" spans="5:5" ht="15.75" customHeight="1" x14ac:dyDescent="0.25">
      <c r="E279" s="543"/>
    </row>
    <row r="280" spans="5:5" ht="15.75" customHeight="1" x14ac:dyDescent="0.25">
      <c r="E280" s="543"/>
    </row>
    <row r="281" spans="5:5" ht="15.75" customHeight="1" x14ac:dyDescent="0.25">
      <c r="E281" s="543"/>
    </row>
    <row r="282" spans="5:5" ht="15.75" customHeight="1" x14ac:dyDescent="0.25">
      <c r="E282" s="543"/>
    </row>
    <row r="283" spans="5:5" ht="15.75" customHeight="1" x14ac:dyDescent="0.25">
      <c r="E283" s="543"/>
    </row>
    <row r="284" spans="5:5" ht="15.75" customHeight="1" x14ac:dyDescent="0.25">
      <c r="E284" s="543"/>
    </row>
    <row r="285" spans="5:5" ht="15.75" customHeight="1" x14ac:dyDescent="0.25">
      <c r="E285" s="543"/>
    </row>
    <row r="286" spans="5:5" ht="15.75" customHeight="1" x14ac:dyDescent="0.25">
      <c r="E286" s="543"/>
    </row>
    <row r="287" spans="5:5" ht="15.75" customHeight="1" x14ac:dyDescent="0.25">
      <c r="E287" s="543"/>
    </row>
    <row r="288" spans="5:5" ht="15.75" customHeight="1" x14ac:dyDescent="0.25">
      <c r="E288" s="543"/>
    </row>
    <row r="289" spans="5:5" ht="15.75" customHeight="1" x14ac:dyDescent="0.25">
      <c r="E289" s="543"/>
    </row>
    <row r="290" spans="5:5" ht="15.75" customHeight="1" x14ac:dyDescent="0.25">
      <c r="E290" s="543"/>
    </row>
    <row r="291" spans="5:5" ht="15.75" customHeight="1" x14ac:dyDescent="0.25">
      <c r="E291" s="543"/>
    </row>
    <row r="292" spans="5:5" ht="15.75" customHeight="1" x14ac:dyDescent="0.25">
      <c r="E292" s="543"/>
    </row>
    <row r="293" spans="5:5" ht="15.75" customHeight="1" x14ac:dyDescent="0.25">
      <c r="E293" s="543"/>
    </row>
    <row r="294" spans="5:5" ht="15.75" customHeight="1" x14ac:dyDescent="0.25">
      <c r="E294" s="543"/>
    </row>
    <row r="295" spans="5:5" ht="15.75" customHeight="1" x14ac:dyDescent="0.25">
      <c r="E295" s="543"/>
    </row>
    <row r="296" spans="5:5" ht="15.75" customHeight="1" x14ac:dyDescent="0.25">
      <c r="E296" s="543"/>
    </row>
    <row r="297" spans="5:5" ht="15.75" customHeight="1" x14ac:dyDescent="0.25">
      <c r="E297" s="543"/>
    </row>
    <row r="298" spans="5:5" ht="15.75" customHeight="1" x14ac:dyDescent="0.25">
      <c r="E298" s="543"/>
    </row>
    <row r="299" spans="5:5" ht="15.75" customHeight="1" x14ac:dyDescent="0.25">
      <c r="E299" s="543"/>
    </row>
    <row r="300" spans="5:5" ht="15.75" customHeight="1" x14ac:dyDescent="0.25">
      <c r="E300" s="543"/>
    </row>
    <row r="301" spans="5:5" ht="15.75" customHeight="1" x14ac:dyDescent="0.25">
      <c r="E301" s="543"/>
    </row>
    <row r="302" spans="5:5" ht="15.75" customHeight="1" x14ac:dyDescent="0.25">
      <c r="E302" s="543"/>
    </row>
    <row r="303" spans="5:5" ht="15.75" customHeight="1" x14ac:dyDescent="0.25">
      <c r="E303" s="543"/>
    </row>
    <row r="304" spans="5:5" ht="15.75" customHeight="1" x14ac:dyDescent="0.25">
      <c r="E304" s="543"/>
    </row>
    <row r="305" spans="5:5" ht="15.75" customHeight="1" x14ac:dyDescent="0.25">
      <c r="E305" s="543"/>
    </row>
    <row r="306" spans="5:5" ht="15.75" customHeight="1" x14ac:dyDescent="0.25">
      <c r="E306" s="543"/>
    </row>
    <row r="307" spans="5:5" ht="15.75" customHeight="1" x14ac:dyDescent="0.25">
      <c r="E307" s="543"/>
    </row>
    <row r="308" spans="5:5" ht="15.75" customHeight="1" x14ac:dyDescent="0.25">
      <c r="E308" s="543"/>
    </row>
    <row r="309" spans="5:5" ht="15.75" customHeight="1" x14ac:dyDescent="0.25">
      <c r="E309" s="543"/>
    </row>
    <row r="310" spans="5:5" ht="15.75" customHeight="1" x14ac:dyDescent="0.25">
      <c r="E310" s="543"/>
    </row>
    <row r="311" spans="5:5" ht="15.75" customHeight="1" x14ac:dyDescent="0.25">
      <c r="E311" s="543"/>
    </row>
    <row r="312" spans="5:5" ht="15.75" customHeight="1" x14ac:dyDescent="0.25">
      <c r="E312" s="543"/>
    </row>
    <row r="313" spans="5:5" ht="15.75" customHeight="1" x14ac:dyDescent="0.25">
      <c r="E313" s="543"/>
    </row>
    <row r="314" spans="5:5" ht="15.75" customHeight="1" x14ac:dyDescent="0.25">
      <c r="E314" s="543"/>
    </row>
    <row r="315" spans="5:5" ht="15.75" customHeight="1" x14ac:dyDescent="0.25">
      <c r="E315" s="543"/>
    </row>
    <row r="316" spans="5:5" ht="15.75" customHeight="1" x14ac:dyDescent="0.25">
      <c r="E316" s="543"/>
    </row>
    <row r="317" spans="5:5" ht="15.75" customHeight="1" x14ac:dyDescent="0.25">
      <c r="E317" s="543"/>
    </row>
    <row r="318" spans="5:5" ht="15.75" customHeight="1" x14ac:dyDescent="0.25">
      <c r="E318" s="543"/>
    </row>
    <row r="319" spans="5:5" ht="15.75" customHeight="1" x14ac:dyDescent="0.25">
      <c r="E319" s="543"/>
    </row>
    <row r="320" spans="5:5" ht="15.75" customHeight="1" x14ac:dyDescent="0.25">
      <c r="E320" s="543"/>
    </row>
    <row r="321" spans="5:5" ht="15.75" customHeight="1" x14ac:dyDescent="0.25">
      <c r="E321" s="543"/>
    </row>
    <row r="322" spans="5:5" ht="15.75" customHeight="1" x14ac:dyDescent="0.25">
      <c r="E322" s="543"/>
    </row>
    <row r="323" spans="5:5" ht="15.75" customHeight="1" x14ac:dyDescent="0.25">
      <c r="E323" s="543"/>
    </row>
    <row r="324" spans="5:5" ht="15.75" customHeight="1" x14ac:dyDescent="0.25">
      <c r="E324" s="543"/>
    </row>
    <row r="325" spans="5:5" ht="15.75" customHeight="1" x14ac:dyDescent="0.25">
      <c r="E325" s="543"/>
    </row>
    <row r="326" spans="5:5" ht="15.75" customHeight="1" x14ac:dyDescent="0.25">
      <c r="E326" s="543"/>
    </row>
    <row r="327" spans="5:5" ht="15.75" customHeight="1" x14ac:dyDescent="0.25">
      <c r="E327" s="543"/>
    </row>
    <row r="328" spans="5:5" ht="15.75" customHeight="1" x14ac:dyDescent="0.25">
      <c r="E328" s="543"/>
    </row>
    <row r="329" spans="5:5" ht="15.75" customHeight="1" x14ac:dyDescent="0.25">
      <c r="E329" s="543"/>
    </row>
    <row r="330" spans="5:5" ht="15.75" customHeight="1" x14ac:dyDescent="0.25">
      <c r="E330" s="543"/>
    </row>
    <row r="331" spans="5:5" ht="15.75" customHeight="1" x14ac:dyDescent="0.25">
      <c r="E331" s="543"/>
    </row>
    <row r="332" spans="5:5" ht="15.75" customHeight="1" x14ac:dyDescent="0.25">
      <c r="E332" s="543"/>
    </row>
    <row r="333" spans="5:5" ht="15.75" customHeight="1" x14ac:dyDescent="0.25">
      <c r="E333" s="543"/>
    </row>
    <row r="334" spans="5:5" ht="15.75" customHeight="1" x14ac:dyDescent="0.25">
      <c r="E334" s="543"/>
    </row>
    <row r="335" spans="5:5" ht="15.75" customHeight="1" x14ac:dyDescent="0.25">
      <c r="E335" s="543"/>
    </row>
    <row r="336" spans="5:5" ht="15.75" customHeight="1" x14ac:dyDescent="0.25">
      <c r="E336" s="543"/>
    </row>
    <row r="337" spans="5:5" ht="15.75" customHeight="1" x14ac:dyDescent="0.25">
      <c r="E337" s="543"/>
    </row>
    <row r="338" spans="5:5" ht="15.75" customHeight="1" x14ac:dyDescent="0.25">
      <c r="E338" s="543"/>
    </row>
    <row r="339" spans="5:5" ht="15.75" customHeight="1" x14ac:dyDescent="0.25">
      <c r="E339" s="543"/>
    </row>
    <row r="340" spans="5:5" ht="15.75" customHeight="1" x14ac:dyDescent="0.25">
      <c r="E340" s="543"/>
    </row>
    <row r="341" spans="5:5" ht="15.75" customHeight="1" x14ac:dyDescent="0.25">
      <c r="E341" s="543"/>
    </row>
    <row r="342" spans="5:5" ht="15.75" customHeight="1" x14ac:dyDescent="0.25">
      <c r="E342" s="543"/>
    </row>
    <row r="343" spans="5:5" ht="15.75" customHeight="1" x14ac:dyDescent="0.25">
      <c r="E343" s="543"/>
    </row>
    <row r="344" spans="5:5" ht="15.75" customHeight="1" x14ac:dyDescent="0.25">
      <c r="E344" s="543"/>
    </row>
    <row r="345" spans="5:5" ht="15.75" customHeight="1" x14ac:dyDescent="0.25">
      <c r="E345" s="543"/>
    </row>
    <row r="346" spans="5:5" ht="15.75" customHeight="1" x14ac:dyDescent="0.25">
      <c r="E346" s="543"/>
    </row>
    <row r="347" spans="5:5" ht="15.75" customHeight="1" x14ac:dyDescent="0.25">
      <c r="E347" s="543"/>
    </row>
    <row r="348" spans="5:5" ht="15.75" customHeight="1" x14ac:dyDescent="0.25">
      <c r="E348" s="543"/>
    </row>
    <row r="349" spans="5:5" ht="15.75" customHeight="1" x14ac:dyDescent="0.25">
      <c r="E349" s="543"/>
    </row>
    <row r="350" spans="5:5" ht="15.75" customHeight="1" x14ac:dyDescent="0.25">
      <c r="E350" s="543"/>
    </row>
    <row r="351" spans="5:5" ht="15.75" customHeight="1" x14ac:dyDescent="0.25">
      <c r="E351" s="543"/>
    </row>
    <row r="352" spans="5:5" ht="15.75" customHeight="1" x14ac:dyDescent="0.25">
      <c r="E352" s="543"/>
    </row>
    <row r="353" spans="5:5" ht="15.75" customHeight="1" x14ac:dyDescent="0.25">
      <c r="E353" s="543"/>
    </row>
    <row r="354" spans="5:5" ht="15.75" customHeight="1" x14ac:dyDescent="0.25">
      <c r="E354" s="543"/>
    </row>
    <row r="355" spans="5:5" ht="15.75" customHeight="1" x14ac:dyDescent="0.25">
      <c r="E355" s="543"/>
    </row>
    <row r="356" spans="5:5" ht="15.75" customHeight="1" x14ac:dyDescent="0.25">
      <c r="E356" s="543"/>
    </row>
    <row r="357" spans="5:5" ht="15.75" customHeight="1" x14ac:dyDescent="0.25">
      <c r="E357" s="543"/>
    </row>
    <row r="358" spans="5:5" ht="15.75" customHeight="1" x14ac:dyDescent="0.25">
      <c r="E358" s="543"/>
    </row>
    <row r="359" spans="5:5" ht="15.75" customHeight="1" x14ac:dyDescent="0.25">
      <c r="E359" s="543"/>
    </row>
    <row r="360" spans="5:5" ht="15.75" customHeight="1" x14ac:dyDescent="0.25">
      <c r="E360" s="543"/>
    </row>
    <row r="361" spans="5:5" ht="15.75" customHeight="1" x14ac:dyDescent="0.25">
      <c r="E361" s="543"/>
    </row>
    <row r="362" spans="5:5" ht="15.75" customHeight="1" x14ac:dyDescent="0.25">
      <c r="E362" s="543"/>
    </row>
    <row r="363" spans="5:5" ht="15.75" customHeight="1" x14ac:dyDescent="0.25">
      <c r="E363" s="543"/>
    </row>
    <row r="364" spans="5:5" ht="15.75" customHeight="1" x14ac:dyDescent="0.25">
      <c r="E364" s="543"/>
    </row>
    <row r="365" spans="5:5" ht="15.75" customHeight="1" x14ac:dyDescent="0.25">
      <c r="E365" s="543"/>
    </row>
    <row r="366" spans="5:5" ht="15.75" customHeight="1" x14ac:dyDescent="0.25">
      <c r="E366" s="543"/>
    </row>
    <row r="367" spans="5:5" ht="15.75" customHeight="1" x14ac:dyDescent="0.25">
      <c r="E367" s="543"/>
    </row>
    <row r="368" spans="5:5" ht="15.75" customHeight="1" x14ac:dyDescent="0.25">
      <c r="E368" s="543"/>
    </row>
    <row r="369" spans="5:5" ht="15.75" customHeight="1" x14ac:dyDescent="0.25">
      <c r="E369" s="543"/>
    </row>
    <row r="370" spans="5:5" ht="15.75" customHeight="1" x14ac:dyDescent="0.25">
      <c r="E370" s="543"/>
    </row>
    <row r="371" spans="5:5" ht="15.75" customHeight="1" x14ac:dyDescent="0.25">
      <c r="E371" s="543"/>
    </row>
    <row r="372" spans="5:5" ht="15.75" customHeight="1" x14ac:dyDescent="0.25">
      <c r="E372" s="543"/>
    </row>
    <row r="373" spans="5:5" ht="15.75" customHeight="1" x14ac:dyDescent="0.25">
      <c r="E373" s="543"/>
    </row>
    <row r="374" spans="5:5" ht="15.75" customHeight="1" x14ac:dyDescent="0.25">
      <c r="E374" s="543"/>
    </row>
    <row r="375" spans="5:5" ht="15.75" customHeight="1" x14ac:dyDescent="0.25">
      <c r="E375" s="543"/>
    </row>
    <row r="376" spans="5:5" ht="15.75" customHeight="1" x14ac:dyDescent="0.25">
      <c r="E376" s="543"/>
    </row>
    <row r="377" spans="5:5" ht="15.75" customHeight="1" x14ac:dyDescent="0.25">
      <c r="E377" s="543"/>
    </row>
    <row r="378" spans="5:5" ht="15.75" customHeight="1" x14ac:dyDescent="0.25">
      <c r="E378" s="543"/>
    </row>
    <row r="379" spans="5:5" ht="15.75" customHeight="1" x14ac:dyDescent="0.25">
      <c r="E379" s="543"/>
    </row>
    <row r="380" spans="5:5" ht="15.75" customHeight="1" x14ac:dyDescent="0.25">
      <c r="E380" s="543"/>
    </row>
    <row r="381" spans="5:5" ht="15.75" customHeight="1" x14ac:dyDescent="0.25">
      <c r="E381" s="543"/>
    </row>
    <row r="382" spans="5:5" ht="15.75" customHeight="1" x14ac:dyDescent="0.25">
      <c r="E382" s="543"/>
    </row>
    <row r="383" spans="5:5" ht="15.75" customHeight="1" x14ac:dyDescent="0.25">
      <c r="E383" s="543"/>
    </row>
    <row r="384" spans="5:5" ht="15.75" customHeight="1" x14ac:dyDescent="0.25">
      <c r="E384" s="543"/>
    </row>
    <row r="385" spans="5:5" ht="15.75" customHeight="1" x14ac:dyDescent="0.25">
      <c r="E385" s="543"/>
    </row>
    <row r="386" spans="5:5" ht="15.75" customHeight="1" x14ac:dyDescent="0.25">
      <c r="E386" s="543"/>
    </row>
    <row r="387" spans="5:5" ht="15.75" customHeight="1" x14ac:dyDescent="0.25">
      <c r="E387" s="543"/>
    </row>
    <row r="388" spans="5:5" ht="15.75" customHeight="1" x14ac:dyDescent="0.25">
      <c r="E388" s="543"/>
    </row>
    <row r="389" spans="5:5" ht="15.75" customHeight="1" x14ac:dyDescent="0.25">
      <c r="E389" s="543"/>
    </row>
    <row r="390" spans="5:5" ht="15.75" customHeight="1" x14ac:dyDescent="0.25">
      <c r="E390" s="543"/>
    </row>
    <row r="391" spans="5:5" ht="15.75" customHeight="1" x14ac:dyDescent="0.25">
      <c r="E391" s="543"/>
    </row>
    <row r="392" spans="5:5" ht="15.75" customHeight="1" x14ac:dyDescent="0.25">
      <c r="E392" s="543"/>
    </row>
    <row r="393" spans="5:5" ht="15.75" customHeight="1" x14ac:dyDescent="0.25">
      <c r="E393" s="543"/>
    </row>
    <row r="394" spans="5:5" ht="15.75" customHeight="1" x14ac:dyDescent="0.25">
      <c r="E394" s="543"/>
    </row>
    <row r="395" spans="5:5" ht="15.75" customHeight="1" x14ac:dyDescent="0.25">
      <c r="E395" s="543"/>
    </row>
    <row r="396" spans="5:5" ht="15.75" customHeight="1" x14ac:dyDescent="0.25">
      <c r="E396" s="543"/>
    </row>
    <row r="397" spans="5:5" ht="15.75" customHeight="1" x14ac:dyDescent="0.25">
      <c r="E397" s="543"/>
    </row>
    <row r="398" spans="5:5" ht="15.75" customHeight="1" x14ac:dyDescent="0.25">
      <c r="E398" s="543"/>
    </row>
    <row r="399" spans="5:5" ht="15.75" customHeight="1" x14ac:dyDescent="0.25">
      <c r="E399" s="543"/>
    </row>
    <row r="400" spans="5:5" ht="15.75" customHeight="1" x14ac:dyDescent="0.25">
      <c r="E400" s="543"/>
    </row>
    <row r="401" spans="5:5" ht="15.75" customHeight="1" x14ac:dyDescent="0.25">
      <c r="E401" s="543"/>
    </row>
    <row r="402" spans="5:5" ht="15.75" customHeight="1" x14ac:dyDescent="0.25">
      <c r="E402" s="543"/>
    </row>
    <row r="403" spans="5:5" ht="15.75" customHeight="1" x14ac:dyDescent="0.25">
      <c r="E403" s="543"/>
    </row>
    <row r="404" spans="5:5" ht="15.75" customHeight="1" x14ac:dyDescent="0.25">
      <c r="E404" s="543"/>
    </row>
    <row r="405" spans="5:5" ht="15.75" customHeight="1" x14ac:dyDescent="0.25">
      <c r="E405" s="543"/>
    </row>
    <row r="406" spans="5:5" ht="15.75" customHeight="1" x14ac:dyDescent="0.25">
      <c r="E406" s="543"/>
    </row>
    <row r="407" spans="5:5" ht="15.75" customHeight="1" x14ac:dyDescent="0.25">
      <c r="E407" s="543"/>
    </row>
    <row r="408" spans="5:5" ht="15.75" customHeight="1" x14ac:dyDescent="0.25">
      <c r="E408" s="543"/>
    </row>
    <row r="409" spans="5:5" ht="15.75" customHeight="1" x14ac:dyDescent="0.25">
      <c r="E409" s="543"/>
    </row>
    <row r="410" spans="5:5" ht="15.75" customHeight="1" x14ac:dyDescent="0.25">
      <c r="E410" s="543"/>
    </row>
    <row r="411" spans="5:5" ht="15.75" customHeight="1" x14ac:dyDescent="0.25">
      <c r="E411" s="543"/>
    </row>
    <row r="412" spans="5:5" ht="15.75" customHeight="1" x14ac:dyDescent="0.25">
      <c r="E412" s="543"/>
    </row>
    <row r="413" spans="5:5" ht="15.75" customHeight="1" x14ac:dyDescent="0.25">
      <c r="E413" s="543"/>
    </row>
    <row r="414" spans="5:5" ht="15.75" customHeight="1" x14ac:dyDescent="0.25">
      <c r="E414" s="543"/>
    </row>
    <row r="415" spans="5:5" ht="15.75" customHeight="1" x14ac:dyDescent="0.25">
      <c r="E415" s="543"/>
    </row>
    <row r="416" spans="5:5" ht="15.75" customHeight="1" x14ac:dyDescent="0.25">
      <c r="E416" s="543"/>
    </row>
    <row r="417" spans="5:5" ht="15.75" customHeight="1" x14ac:dyDescent="0.25">
      <c r="E417" s="543"/>
    </row>
    <row r="418" spans="5:5" ht="15.75" customHeight="1" x14ac:dyDescent="0.25">
      <c r="E418" s="543"/>
    </row>
    <row r="419" spans="5:5" ht="15.75" customHeight="1" x14ac:dyDescent="0.25">
      <c r="E419" s="543"/>
    </row>
    <row r="420" spans="5:5" ht="15.75" customHeight="1" x14ac:dyDescent="0.25">
      <c r="E420" s="543"/>
    </row>
    <row r="421" spans="5:5" ht="15.75" customHeight="1" x14ac:dyDescent="0.25">
      <c r="E421" s="543"/>
    </row>
    <row r="422" spans="5:5" ht="15.75" customHeight="1" x14ac:dyDescent="0.25">
      <c r="E422" s="543"/>
    </row>
    <row r="423" spans="5:5" ht="15.75" customHeight="1" x14ac:dyDescent="0.25">
      <c r="E423" s="543"/>
    </row>
    <row r="424" spans="5:5" ht="15.75" customHeight="1" x14ac:dyDescent="0.25">
      <c r="E424" s="543"/>
    </row>
    <row r="425" spans="5:5" ht="15.75" customHeight="1" x14ac:dyDescent="0.25">
      <c r="E425" s="543"/>
    </row>
    <row r="426" spans="5:5" ht="15.75" customHeight="1" x14ac:dyDescent="0.25">
      <c r="E426" s="543"/>
    </row>
    <row r="427" spans="5:5" ht="15.75" customHeight="1" x14ac:dyDescent="0.25">
      <c r="E427" s="543"/>
    </row>
    <row r="428" spans="5:5" ht="15.75" customHeight="1" x14ac:dyDescent="0.25">
      <c r="E428" s="543"/>
    </row>
    <row r="429" spans="5:5" ht="15.75" customHeight="1" x14ac:dyDescent="0.25">
      <c r="E429" s="543"/>
    </row>
    <row r="430" spans="5:5" ht="15.75" customHeight="1" x14ac:dyDescent="0.25">
      <c r="E430" s="543"/>
    </row>
    <row r="431" spans="5:5" ht="15.75" customHeight="1" x14ac:dyDescent="0.25">
      <c r="E431" s="543"/>
    </row>
    <row r="432" spans="5:5" ht="15.75" customHeight="1" x14ac:dyDescent="0.25">
      <c r="E432" s="543"/>
    </row>
    <row r="433" spans="5:5" ht="15.75" customHeight="1" x14ac:dyDescent="0.25">
      <c r="E433" s="543"/>
    </row>
    <row r="434" spans="5:5" ht="15.75" customHeight="1" x14ac:dyDescent="0.25">
      <c r="E434" s="543"/>
    </row>
    <row r="435" spans="5:5" ht="15.75" customHeight="1" x14ac:dyDescent="0.25">
      <c r="E435" s="543"/>
    </row>
    <row r="436" spans="5:5" ht="15.75" customHeight="1" x14ac:dyDescent="0.25">
      <c r="E436" s="543"/>
    </row>
    <row r="437" spans="5:5" ht="15.75" customHeight="1" x14ac:dyDescent="0.25">
      <c r="E437" s="543"/>
    </row>
    <row r="438" spans="5:5" ht="15.75" customHeight="1" x14ac:dyDescent="0.25">
      <c r="E438" s="543"/>
    </row>
    <row r="439" spans="5:5" ht="15.75" customHeight="1" x14ac:dyDescent="0.25">
      <c r="E439" s="543"/>
    </row>
    <row r="440" spans="5:5" ht="15.75" customHeight="1" x14ac:dyDescent="0.25">
      <c r="E440" s="543"/>
    </row>
    <row r="441" spans="5:5" ht="15.75" customHeight="1" x14ac:dyDescent="0.25">
      <c r="E441" s="543"/>
    </row>
    <row r="442" spans="5:5" ht="15.75" customHeight="1" x14ac:dyDescent="0.25">
      <c r="E442" s="543"/>
    </row>
    <row r="443" spans="5:5" ht="15.75" customHeight="1" x14ac:dyDescent="0.25">
      <c r="E443" s="543"/>
    </row>
    <row r="444" spans="5:5" ht="15.75" customHeight="1" x14ac:dyDescent="0.25">
      <c r="E444" s="543"/>
    </row>
    <row r="445" spans="5:5" ht="15.75" customHeight="1" x14ac:dyDescent="0.25">
      <c r="E445" s="543"/>
    </row>
    <row r="446" spans="5:5" ht="15.75" customHeight="1" x14ac:dyDescent="0.25">
      <c r="E446" s="543"/>
    </row>
    <row r="447" spans="5:5" ht="15.75" customHeight="1" x14ac:dyDescent="0.25">
      <c r="E447" s="543"/>
    </row>
    <row r="448" spans="5:5" ht="15.75" customHeight="1" x14ac:dyDescent="0.25">
      <c r="E448" s="543"/>
    </row>
    <row r="449" spans="5:5" ht="15.75" customHeight="1" x14ac:dyDescent="0.25">
      <c r="E449" s="543"/>
    </row>
    <row r="450" spans="5:5" ht="15.75" customHeight="1" x14ac:dyDescent="0.25">
      <c r="E450" s="543"/>
    </row>
    <row r="451" spans="5:5" ht="15.75" customHeight="1" x14ac:dyDescent="0.25">
      <c r="E451" s="543"/>
    </row>
    <row r="452" spans="5:5" ht="15.75" customHeight="1" x14ac:dyDescent="0.25">
      <c r="E452" s="543"/>
    </row>
    <row r="453" spans="5:5" ht="15.75" customHeight="1" x14ac:dyDescent="0.25">
      <c r="E453" s="543"/>
    </row>
    <row r="454" spans="5:5" ht="15.75" customHeight="1" x14ac:dyDescent="0.25">
      <c r="E454" s="543"/>
    </row>
    <row r="455" spans="5:5" ht="15.75" customHeight="1" x14ac:dyDescent="0.25">
      <c r="E455" s="543"/>
    </row>
    <row r="456" spans="5:5" ht="15.75" customHeight="1" x14ac:dyDescent="0.25">
      <c r="E456" s="543"/>
    </row>
    <row r="457" spans="5:5" ht="15.75" customHeight="1" x14ac:dyDescent="0.25">
      <c r="E457" s="543"/>
    </row>
    <row r="458" spans="5:5" ht="15.75" customHeight="1" x14ac:dyDescent="0.25">
      <c r="E458" s="543"/>
    </row>
    <row r="459" spans="5:5" ht="15.75" customHeight="1" x14ac:dyDescent="0.25">
      <c r="E459" s="543"/>
    </row>
    <row r="460" spans="5:5" ht="15.75" customHeight="1" x14ac:dyDescent="0.25">
      <c r="E460" s="543"/>
    </row>
    <row r="461" spans="5:5" ht="15.75" customHeight="1" x14ac:dyDescent="0.25">
      <c r="E461" s="543"/>
    </row>
    <row r="462" spans="5:5" ht="15.75" customHeight="1" x14ac:dyDescent="0.25">
      <c r="E462" s="543"/>
    </row>
    <row r="463" spans="5:5" ht="15.75" customHeight="1" x14ac:dyDescent="0.25">
      <c r="E463" s="543"/>
    </row>
    <row r="464" spans="5:5" ht="15.75" customHeight="1" x14ac:dyDescent="0.25">
      <c r="E464" s="543"/>
    </row>
    <row r="465" spans="5:5" ht="15.75" customHeight="1" x14ac:dyDescent="0.25">
      <c r="E465" s="543"/>
    </row>
    <row r="466" spans="5:5" ht="15.75" customHeight="1" x14ac:dyDescent="0.25">
      <c r="E466" s="543"/>
    </row>
    <row r="467" spans="5:5" ht="15.75" customHeight="1" x14ac:dyDescent="0.25">
      <c r="E467" s="543"/>
    </row>
    <row r="468" spans="5:5" ht="15.75" customHeight="1" x14ac:dyDescent="0.25">
      <c r="E468" s="543"/>
    </row>
    <row r="469" spans="5:5" ht="15.75" customHeight="1" x14ac:dyDescent="0.25">
      <c r="E469" s="543"/>
    </row>
    <row r="470" spans="5:5" ht="15.75" customHeight="1" x14ac:dyDescent="0.25">
      <c r="E470" s="543"/>
    </row>
    <row r="471" spans="5:5" ht="15.75" customHeight="1" x14ac:dyDescent="0.25">
      <c r="E471" s="543"/>
    </row>
    <row r="472" spans="5:5" ht="15.75" customHeight="1" x14ac:dyDescent="0.25">
      <c r="E472" s="543"/>
    </row>
    <row r="473" spans="5:5" ht="15.75" customHeight="1" x14ac:dyDescent="0.25">
      <c r="E473" s="543"/>
    </row>
    <row r="474" spans="5:5" ht="15.75" customHeight="1" x14ac:dyDescent="0.25">
      <c r="E474" s="543"/>
    </row>
    <row r="475" spans="5:5" ht="15.75" customHeight="1" x14ac:dyDescent="0.25">
      <c r="E475" s="543"/>
    </row>
    <row r="476" spans="5:5" ht="15.75" customHeight="1" x14ac:dyDescent="0.25">
      <c r="E476" s="543"/>
    </row>
    <row r="477" spans="5:5" ht="15.75" customHeight="1" x14ac:dyDescent="0.25">
      <c r="E477" s="543"/>
    </row>
    <row r="478" spans="5:5" ht="15.75" customHeight="1" x14ac:dyDescent="0.25">
      <c r="E478" s="543"/>
    </row>
    <row r="479" spans="5:5" ht="15.75" customHeight="1" x14ac:dyDescent="0.25">
      <c r="E479" s="543"/>
    </row>
    <row r="480" spans="5:5" ht="15.75" customHeight="1" x14ac:dyDescent="0.25">
      <c r="E480" s="543"/>
    </row>
    <row r="481" spans="5:5" ht="15.75" customHeight="1" x14ac:dyDescent="0.25">
      <c r="E481" s="543"/>
    </row>
    <row r="482" spans="5:5" ht="15.75" customHeight="1" x14ac:dyDescent="0.25">
      <c r="E482" s="543"/>
    </row>
    <row r="483" spans="5:5" ht="15.75" customHeight="1" x14ac:dyDescent="0.25">
      <c r="E483" s="543"/>
    </row>
    <row r="484" spans="5:5" ht="15.75" customHeight="1" x14ac:dyDescent="0.25">
      <c r="E484" s="543"/>
    </row>
    <row r="485" spans="5:5" ht="15.75" customHeight="1" x14ac:dyDescent="0.25">
      <c r="E485" s="543"/>
    </row>
    <row r="486" spans="5:5" ht="15.75" customHeight="1" x14ac:dyDescent="0.25">
      <c r="E486" s="543"/>
    </row>
    <row r="487" spans="5:5" ht="15.75" customHeight="1" x14ac:dyDescent="0.25">
      <c r="E487" s="543"/>
    </row>
    <row r="488" spans="5:5" ht="15.75" customHeight="1" x14ac:dyDescent="0.25">
      <c r="E488" s="543"/>
    </row>
    <row r="489" spans="5:5" ht="15.75" customHeight="1" x14ac:dyDescent="0.25">
      <c r="E489" s="543"/>
    </row>
    <row r="490" spans="5:5" ht="15.75" customHeight="1" x14ac:dyDescent="0.25">
      <c r="E490" s="543"/>
    </row>
    <row r="491" spans="5:5" ht="15.75" customHeight="1" x14ac:dyDescent="0.25">
      <c r="E491" s="543"/>
    </row>
    <row r="492" spans="5:5" ht="15.75" customHeight="1" x14ac:dyDescent="0.25">
      <c r="E492" s="543"/>
    </row>
    <row r="493" spans="5:5" ht="15.75" customHeight="1" x14ac:dyDescent="0.25">
      <c r="E493" s="543"/>
    </row>
    <row r="494" spans="5:5" ht="15.75" customHeight="1" x14ac:dyDescent="0.25">
      <c r="E494" s="543"/>
    </row>
    <row r="495" spans="5:5" ht="15.75" customHeight="1" x14ac:dyDescent="0.25">
      <c r="E495" s="543"/>
    </row>
    <row r="496" spans="5:5" ht="15.75" customHeight="1" x14ac:dyDescent="0.25">
      <c r="E496" s="543"/>
    </row>
    <row r="497" spans="5:5" ht="15.75" customHeight="1" x14ac:dyDescent="0.25">
      <c r="E497" s="543"/>
    </row>
    <row r="498" spans="5:5" ht="15.75" customHeight="1" x14ac:dyDescent="0.25">
      <c r="E498" s="543"/>
    </row>
    <row r="499" spans="5:5" ht="15.75" customHeight="1" x14ac:dyDescent="0.25">
      <c r="E499" s="543"/>
    </row>
    <row r="500" spans="5:5" ht="15.75" customHeight="1" x14ac:dyDescent="0.25">
      <c r="E500" s="543"/>
    </row>
    <row r="501" spans="5:5" ht="15.75" customHeight="1" x14ac:dyDescent="0.25">
      <c r="E501" s="543"/>
    </row>
    <row r="502" spans="5:5" ht="15.75" customHeight="1" x14ac:dyDescent="0.25">
      <c r="E502" s="543"/>
    </row>
    <row r="503" spans="5:5" ht="15.75" customHeight="1" x14ac:dyDescent="0.25">
      <c r="E503" s="543"/>
    </row>
    <row r="504" spans="5:5" ht="15.75" customHeight="1" x14ac:dyDescent="0.25">
      <c r="E504" s="543"/>
    </row>
    <row r="505" spans="5:5" ht="15.75" customHeight="1" x14ac:dyDescent="0.25">
      <c r="E505" s="543"/>
    </row>
    <row r="506" spans="5:5" ht="15.75" customHeight="1" x14ac:dyDescent="0.25">
      <c r="E506" s="543"/>
    </row>
    <row r="507" spans="5:5" ht="15.75" customHeight="1" x14ac:dyDescent="0.25">
      <c r="E507" s="543"/>
    </row>
    <row r="508" spans="5:5" ht="15.75" customHeight="1" x14ac:dyDescent="0.25">
      <c r="E508" s="543"/>
    </row>
    <row r="509" spans="5:5" ht="15.75" customHeight="1" x14ac:dyDescent="0.25">
      <c r="E509" s="543"/>
    </row>
    <row r="510" spans="5:5" ht="15.75" customHeight="1" x14ac:dyDescent="0.25">
      <c r="E510" s="543"/>
    </row>
    <row r="511" spans="5:5" ht="15.75" customHeight="1" x14ac:dyDescent="0.25">
      <c r="E511" s="543"/>
    </row>
    <row r="512" spans="5:5" ht="15.75" customHeight="1" x14ac:dyDescent="0.25">
      <c r="E512" s="543"/>
    </row>
    <row r="513" spans="5:5" ht="15.75" customHeight="1" x14ac:dyDescent="0.25">
      <c r="E513" s="543"/>
    </row>
    <row r="514" spans="5:5" ht="15.75" customHeight="1" x14ac:dyDescent="0.25">
      <c r="E514" s="543"/>
    </row>
    <row r="515" spans="5:5" ht="15.75" customHeight="1" x14ac:dyDescent="0.25">
      <c r="E515" s="543"/>
    </row>
    <row r="516" spans="5:5" ht="15.75" customHeight="1" x14ac:dyDescent="0.25">
      <c r="E516" s="543"/>
    </row>
    <row r="517" spans="5:5" ht="15.75" customHeight="1" x14ac:dyDescent="0.25">
      <c r="E517" s="543"/>
    </row>
    <row r="518" spans="5:5" ht="15.75" customHeight="1" x14ac:dyDescent="0.25">
      <c r="E518" s="543"/>
    </row>
    <row r="519" spans="5:5" ht="15.75" customHeight="1" x14ac:dyDescent="0.25">
      <c r="E519" s="543"/>
    </row>
    <row r="520" spans="5:5" ht="15.75" customHeight="1" x14ac:dyDescent="0.25">
      <c r="E520" s="543"/>
    </row>
    <row r="521" spans="5:5" ht="15.75" customHeight="1" x14ac:dyDescent="0.25">
      <c r="E521" s="543"/>
    </row>
    <row r="522" spans="5:5" ht="15.75" customHeight="1" x14ac:dyDescent="0.25">
      <c r="E522" s="543"/>
    </row>
    <row r="523" spans="5:5" ht="15.75" customHeight="1" x14ac:dyDescent="0.25">
      <c r="E523" s="543"/>
    </row>
    <row r="524" spans="5:5" ht="15.75" customHeight="1" x14ac:dyDescent="0.25">
      <c r="E524" s="543"/>
    </row>
    <row r="525" spans="5:5" ht="15.75" customHeight="1" x14ac:dyDescent="0.25">
      <c r="E525" s="543"/>
    </row>
    <row r="526" spans="5:5" ht="15.75" customHeight="1" x14ac:dyDescent="0.25">
      <c r="E526" s="543"/>
    </row>
    <row r="527" spans="5:5" ht="15.75" customHeight="1" x14ac:dyDescent="0.25">
      <c r="E527" s="543"/>
    </row>
    <row r="528" spans="5:5" ht="15.75" customHeight="1" x14ac:dyDescent="0.25">
      <c r="E528" s="543"/>
    </row>
    <row r="529" spans="5:5" ht="15.75" customHeight="1" x14ac:dyDescent="0.25">
      <c r="E529" s="543"/>
    </row>
    <row r="530" spans="5:5" ht="15.75" customHeight="1" x14ac:dyDescent="0.25">
      <c r="E530" s="543"/>
    </row>
    <row r="531" spans="5:5" ht="15.75" customHeight="1" x14ac:dyDescent="0.25">
      <c r="E531" s="543"/>
    </row>
    <row r="532" spans="5:5" ht="15.75" customHeight="1" x14ac:dyDescent="0.25">
      <c r="E532" s="543"/>
    </row>
    <row r="533" spans="5:5" ht="15.75" customHeight="1" x14ac:dyDescent="0.25">
      <c r="E533" s="543"/>
    </row>
    <row r="534" spans="5:5" ht="15.75" customHeight="1" x14ac:dyDescent="0.25">
      <c r="E534" s="543"/>
    </row>
    <row r="535" spans="5:5" ht="15.75" customHeight="1" x14ac:dyDescent="0.25">
      <c r="E535" s="543"/>
    </row>
    <row r="536" spans="5:5" ht="15.75" customHeight="1" x14ac:dyDescent="0.25">
      <c r="E536" s="543"/>
    </row>
    <row r="537" spans="5:5" ht="15.75" customHeight="1" x14ac:dyDescent="0.25">
      <c r="E537" s="543"/>
    </row>
    <row r="538" spans="5:5" ht="15.75" customHeight="1" x14ac:dyDescent="0.25">
      <c r="E538" s="543"/>
    </row>
    <row r="539" spans="5:5" ht="15.75" customHeight="1" x14ac:dyDescent="0.25">
      <c r="E539" s="543"/>
    </row>
    <row r="540" spans="5:5" ht="15.75" customHeight="1" x14ac:dyDescent="0.25">
      <c r="E540" s="543"/>
    </row>
    <row r="541" spans="5:5" ht="15.75" customHeight="1" x14ac:dyDescent="0.25">
      <c r="E541" s="543"/>
    </row>
    <row r="542" spans="5:5" ht="15.75" customHeight="1" x14ac:dyDescent="0.25">
      <c r="E542" s="543"/>
    </row>
    <row r="543" spans="5:5" ht="15.75" customHeight="1" x14ac:dyDescent="0.25">
      <c r="E543" s="543"/>
    </row>
    <row r="544" spans="5:5" ht="15.75" customHeight="1" x14ac:dyDescent="0.25">
      <c r="E544" s="543"/>
    </row>
    <row r="545" spans="5:5" ht="15.75" customHeight="1" x14ac:dyDescent="0.25">
      <c r="E545" s="543"/>
    </row>
    <row r="546" spans="5:5" ht="15.75" customHeight="1" x14ac:dyDescent="0.25">
      <c r="E546" s="543"/>
    </row>
    <row r="547" spans="5:5" ht="15.75" customHeight="1" x14ac:dyDescent="0.25">
      <c r="E547" s="543"/>
    </row>
    <row r="548" spans="5:5" ht="15.75" customHeight="1" x14ac:dyDescent="0.25">
      <c r="E548" s="543"/>
    </row>
    <row r="549" spans="5:5" ht="15.75" customHeight="1" x14ac:dyDescent="0.25">
      <c r="E549" s="543"/>
    </row>
    <row r="550" spans="5:5" ht="15.75" customHeight="1" x14ac:dyDescent="0.25">
      <c r="E550" s="543"/>
    </row>
    <row r="551" spans="5:5" ht="15.75" customHeight="1" x14ac:dyDescent="0.25">
      <c r="E551" s="543"/>
    </row>
    <row r="552" spans="5:5" ht="15.75" customHeight="1" x14ac:dyDescent="0.25">
      <c r="E552" s="543"/>
    </row>
    <row r="553" spans="5:5" ht="15.75" customHeight="1" x14ac:dyDescent="0.25">
      <c r="E553" s="543"/>
    </row>
    <row r="554" spans="5:5" ht="15.75" customHeight="1" x14ac:dyDescent="0.25">
      <c r="E554" s="543"/>
    </row>
    <row r="555" spans="5:5" ht="15.75" customHeight="1" x14ac:dyDescent="0.25">
      <c r="E555" s="543"/>
    </row>
    <row r="556" spans="5:5" ht="15.75" customHeight="1" x14ac:dyDescent="0.25">
      <c r="E556" s="543"/>
    </row>
    <row r="557" spans="5:5" ht="15.75" customHeight="1" x14ac:dyDescent="0.25">
      <c r="E557" s="543"/>
    </row>
    <row r="558" spans="5:5" ht="15.75" customHeight="1" x14ac:dyDescent="0.25">
      <c r="E558" s="543"/>
    </row>
    <row r="559" spans="5:5" ht="15.75" customHeight="1" x14ac:dyDescent="0.25">
      <c r="E559" s="543"/>
    </row>
    <row r="560" spans="5:5" ht="15.75" customHeight="1" x14ac:dyDescent="0.25">
      <c r="E560" s="543"/>
    </row>
    <row r="561" spans="5:5" ht="15.75" customHeight="1" x14ac:dyDescent="0.25">
      <c r="E561" s="543"/>
    </row>
    <row r="562" spans="5:5" ht="15.75" customHeight="1" x14ac:dyDescent="0.25">
      <c r="E562" s="543"/>
    </row>
    <row r="563" spans="5:5" ht="15.75" customHeight="1" x14ac:dyDescent="0.25">
      <c r="E563" s="543"/>
    </row>
    <row r="564" spans="5:5" ht="15.75" customHeight="1" x14ac:dyDescent="0.25">
      <c r="E564" s="543"/>
    </row>
    <row r="565" spans="5:5" ht="15.75" customHeight="1" x14ac:dyDescent="0.25">
      <c r="E565" s="543"/>
    </row>
    <row r="566" spans="5:5" ht="15.75" customHeight="1" x14ac:dyDescent="0.25">
      <c r="E566" s="543"/>
    </row>
    <row r="567" spans="5:5" ht="15.75" customHeight="1" x14ac:dyDescent="0.25">
      <c r="E567" s="543"/>
    </row>
    <row r="568" spans="5:5" ht="15.75" customHeight="1" x14ac:dyDescent="0.25">
      <c r="E568" s="543"/>
    </row>
    <row r="569" spans="5:5" ht="15.75" customHeight="1" x14ac:dyDescent="0.25">
      <c r="E569" s="543"/>
    </row>
    <row r="570" spans="5:5" ht="15.75" customHeight="1" x14ac:dyDescent="0.25">
      <c r="E570" s="543"/>
    </row>
    <row r="571" spans="5:5" ht="15.75" customHeight="1" x14ac:dyDescent="0.25">
      <c r="E571" s="543"/>
    </row>
    <row r="572" spans="5:5" ht="15.75" customHeight="1" x14ac:dyDescent="0.25">
      <c r="E572" s="543"/>
    </row>
    <row r="573" spans="5:5" ht="15.75" customHeight="1" x14ac:dyDescent="0.25">
      <c r="E573" s="543"/>
    </row>
    <row r="574" spans="5:5" ht="15.75" customHeight="1" x14ac:dyDescent="0.25">
      <c r="E574" s="543"/>
    </row>
    <row r="575" spans="5:5" ht="15.75" customHeight="1" x14ac:dyDescent="0.25">
      <c r="E575" s="543"/>
    </row>
    <row r="576" spans="5:5" ht="15.75" customHeight="1" x14ac:dyDescent="0.25">
      <c r="E576" s="543"/>
    </row>
    <row r="577" spans="5:5" ht="15.75" customHeight="1" x14ac:dyDescent="0.25">
      <c r="E577" s="543"/>
    </row>
    <row r="578" spans="5:5" ht="15.75" customHeight="1" x14ac:dyDescent="0.25">
      <c r="E578" s="543"/>
    </row>
    <row r="579" spans="5:5" ht="15.75" customHeight="1" x14ac:dyDescent="0.25">
      <c r="E579" s="543"/>
    </row>
    <row r="580" spans="5:5" ht="15.75" customHeight="1" x14ac:dyDescent="0.25">
      <c r="E580" s="543"/>
    </row>
    <row r="581" spans="5:5" ht="15.75" customHeight="1" x14ac:dyDescent="0.25">
      <c r="E581" s="543"/>
    </row>
    <row r="582" spans="5:5" ht="15.75" customHeight="1" x14ac:dyDescent="0.25">
      <c r="E582" s="543"/>
    </row>
    <row r="583" spans="5:5" ht="15.75" customHeight="1" x14ac:dyDescent="0.25">
      <c r="E583" s="543"/>
    </row>
    <row r="584" spans="5:5" ht="15.75" customHeight="1" x14ac:dyDescent="0.25">
      <c r="E584" s="543"/>
    </row>
    <row r="585" spans="5:5" ht="15.75" customHeight="1" x14ac:dyDescent="0.25">
      <c r="E585" s="543"/>
    </row>
    <row r="586" spans="5:5" ht="15.75" customHeight="1" x14ac:dyDescent="0.25">
      <c r="E586" s="543"/>
    </row>
    <row r="587" spans="5:5" ht="15.75" customHeight="1" x14ac:dyDescent="0.25">
      <c r="E587" s="543"/>
    </row>
    <row r="588" spans="5:5" ht="15.75" customHeight="1" x14ac:dyDescent="0.25">
      <c r="E588" s="543"/>
    </row>
    <row r="589" spans="5:5" ht="15.75" customHeight="1" x14ac:dyDescent="0.25">
      <c r="E589" s="543"/>
    </row>
    <row r="590" spans="5:5" ht="15.75" customHeight="1" x14ac:dyDescent="0.25">
      <c r="E590" s="543"/>
    </row>
    <row r="591" spans="5:5" ht="15.75" customHeight="1" x14ac:dyDescent="0.25">
      <c r="E591" s="543"/>
    </row>
    <row r="592" spans="5:5" ht="15.75" customHeight="1" x14ac:dyDescent="0.25">
      <c r="E592" s="543"/>
    </row>
    <row r="593" spans="5:5" ht="15.75" customHeight="1" x14ac:dyDescent="0.25">
      <c r="E593" s="543"/>
    </row>
    <row r="594" spans="5:5" ht="15.75" customHeight="1" x14ac:dyDescent="0.25">
      <c r="E594" s="543"/>
    </row>
    <row r="595" spans="5:5" ht="15.75" customHeight="1" x14ac:dyDescent="0.25">
      <c r="E595" s="543"/>
    </row>
    <row r="596" spans="5:5" ht="15.75" customHeight="1" x14ac:dyDescent="0.25">
      <c r="E596" s="543"/>
    </row>
    <row r="597" spans="5:5" ht="15.75" customHeight="1" x14ac:dyDescent="0.25">
      <c r="E597" s="543"/>
    </row>
    <row r="598" spans="5:5" ht="15.75" customHeight="1" x14ac:dyDescent="0.25">
      <c r="E598" s="543"/>
    </row>
    <row r="599" spans="5:5" ht="15.75" customHeight="1" x14ac:dyDescent="0.25">
      <c r="E599" s="543"/>
    </row>
    <row r="600" spans="5:5" ht="15.75" customHeight="1" x14ac:dyDescent="0.25">
      <c r="E600" s="543"/>
    </row>
    <row r="601" spans="5:5" ht="15.75" customHeight="1" x14ac:dyDescent="0.25">
      <c r="E601" s="543"/>
    </row>
    <row r="602" spans="5:5" ht="15.75" customHeight="1" x14ac:dyDescent="0.25">
      <c r="E602" s="543"/>
    </row>
    <row r="603" spans="5:5" ht="15.75" customHeight="1" x14ac:dyDescent="0.25">
      <c r="E603" s="543"/>
    </row>
    <row r="604" spans="5:5" ht="15.75" customHeight="1" x14ac:dyDescent="0.25">
      <c r="E604" s="543"/>
    </row>
    <row r="605" spans="5:5" ht="15.75" customHeight="1" x14ac:dyDescent="0.25">
      <c r="E605" s="543"/>
    </row>
    <row r="606" spans="5:5" ht="15.75" customHeight="1" x14ac:dyDescent="0.25">
      <c r="E606" s="543"/>
    </row>
    <row r="607" spans="5:5" ht="15.75" customHeight="1" x14ac:dyDescent="0.25">
      <c r="E607" s="543"/>
    </row>
    <row r="608" spans="5:5" ht="15.75" customHeight="1" x14ac:dyDescent="0.25">
      <c r="E608" s="543"/>
    </row>
    <row r="609" spans="5:5" ht="15.75" customHeight="1" x14ac:dyDescent="0.25">
      <c r="E609" s="543"/>
    </row>
    <row r="610" spans="5:5" ht="15.75" customHeight="1" x14ac:dyDescent="0.25">
      <c r="E610" s="543"/>
    </row>
    <row r="611" spans="5:5" ht="15.75" customHeight="1" x14ac:dyDescent="0.25">
      <c r="E611" s="543"/>
    </row>
    <row r="612" spans="5:5" ht="15.75" customHeight="1" x14ac:dyDescent="0.25">
      <c r="E612" s="543"/>
    </row>
    <row r="613" spans="5:5" ht="15.75" customHeight="1" x14ac:dyDescent="0.25">
      <c r="E613" s="543"/>
    </row>
    <row r="614" spans="5:5" ht="15.75" customHeight="1" x14ac:dyDescent="0.25">
      <c r="E614" s="543"/>
    </row>
    <row r="615" spans="5:5" ht="15.75" customHeight="1" x14ac:dyDescent="0.25">
      <c r="E615" s="543"/>
    </row>
    <row r="616" spans="5:5" ht="15.75" customHeight="1" x14ac:dyDescent="0.25">
      <c r="E616" s="543"/>
    </row>
    <row r="617" spans="5:5" ht="15.75" customHeight="1" x14ac:dyDescent="0.25">
      <c r="E617" s="543"/>
    </row>
    <row r="618" spans="5:5" ht="15.75" customHeight="1" x14ac:dyDescent="0.25">
      <c r="E618" s="543"/>
    </row>
    <row r="619" spans="5:5" ht="15.75" customHeight="1" x14ac:dyDescent="0.25">
      <c r="E619" s="543"/>
    </row>
    <row r="620" spans="5:5" ht="15.75" customHeight="1" x14ac:dyDescent="0.25">
      <c r="E620" s="543"/>
    </row>
    <row r="621" spans="5:5" ht="15.75" customHeight="1" x14ac:dyDescent="0.25">
      <c r="E621" s="543"/>
    </row>
    <row r="622" spans="5:5" ht="15.75" customHeight="1" x14ac:dyDescent="0.25">
      <c r="E622" s="543"/>
    </row>
    <row r="623" spans="5:5" ht="15.75" customHeight="1" x14ac:dyDescent="0.25">
      <c r="E623" s="543"/>
    </row>
    <row r="624" spans="5:5" ht="15.75" customHeight="1" x14ac:dyDescent="0.25">
      <c r="E624" s="543"/>
    </row>
    <row r="625" spans="5:5" ht="15.75" customHeight="1" x14ac:dyDescent="0.25">
      <c r="E625" s="543"/>
    </row>
    <row r="626" spans="5:5" ht="15.75" customHeight="1" x14ac:dyDescent="0.25">
      <c r="E626" s="543"/>
    </row>
    <row r="627" spans="5:5" ht="15.75" customHeight="1" x14ac:dyDescent="0.25">
      <c r="E627" s="543"/>
    </row>
    <row r="628" spans="5:5" ht="15.75" customHeight="1" x14ac:dyDescent="0.25">
      <c r="E628" s="543"/>
    </row>
    <row r="629" spans="5:5" ht="15.75" customHeight="1" x14ac:dyDescent="0.25">
      <c r="E629" s="543"/>
    </row>
    <row r="630" spans="5:5" ht="15.75" customHeight="1" x14ac:dyDescent="0.25">
      <c r="E630" s="543"/>
    </row>
    <row r="631" spans="5:5" ht="15.75" customHeight="1" x14ac:dyDescent="0.25">
      <c r="E631" s="543"/>
    </row>
    <row r="632" spans="5:5" ht="15.75" customHeight="1" x14ac:dyDescent="0.25">
      <c r="E632" s="543"/>
    </row>
    <row r="633" spans="5:5" ht="15.75" customHeight="1" x14ac:dyDescent="0.25">
      <c r="E633" s="543"/>
    </row>
    <row r="634" spans="5:5" ht="15.75" customHeight="1" x14ac:dyDescent="0.25">
      <c r="E634" s="543"/>
    </row>
    <row r="635" spans="5:5" ht="15.75" customHeight="1" x14ac:dyDescent="0.25">
      <c r="E635" s="543"/>
    </row>
    <row r="636" spans="5:5" ht="15.75" customHeight="1" x14ac:dyDescent="0.25">
      <c r="E636" s="543"/>
    </row>
    <row r="637" spans="5:5" ht="15.75" customHeight="1" x14ac:dyDescent="0.25">
      <c r="E637" s="543"/>
    </row>
    <row r="638" spans="5:5" ht="15.75" customHeight="1" x14ac:dyDescent="0.25">
      <c r="E638" s="543"/>
    </row>
    <row r="639" spans="5:5" ht="15.75" customHeight="1" x14ac:dyDescent="0.25">
      <c r="E639" s="543"/>
    </row>
    <row r="640" spans="5:5" ht="15.75" customHeight="1" x14ac:dyDescent="0.25">
      <c r="E640" s="543"/>
    </row>
    <row r="641" spans="5:5" ht="15.75" customHeight="1" x14ac:dyDescent="0.25">
      <c r="E641" s="543"/>
    </row>
    <row r="642" spans="5:5" ht="15.75" customHeight="1" x14ac:dyDescent="0.25">
      <c r="E642" s="543"/>
    </row>
    <row r="643" spans="5:5" ht="15.75" customHeight="1" x14ac:dyDescent="0.25">
      <c r="E643" s="543"/>
    </row>
    <row r="644" spans="5:5" ht="15.75" customHeight="1" x14ac:dyDescent="0.25">
      <c r="E644" s="543"/>
    </row>
    <row r="645" spans="5:5" ht="15.75" customHeight="1" x14ac:dyDescent="0.25">
      <c r="E645" s="543"/>
    </row>
    <row r="646" spans="5:5" ht="15.75" customHeight="1" x14ac:dyDescent="0.25">
      <c r="E646" s="543"/>
    </row>
    <row r="647" spans="5:5" ht="15.75" customHeight="1" x14ac:dyDescent="0.25">
      <c r="E647" s="543"/>
    </row>
    <row r="648" spans="5:5" ht="15.75" customHeight="1" x14ac:dyDescent="0.25">
      <c r="E648" s="543"/>
    </row>
    <row r="649" spans="5:5" ht="15.75" customHeight="1" x14ac:dyDescent="0.25">
      <c r="E649" s="543"/>
    </row>
    <row r="650" spans="5:5" ht="15.75" customHeight="1" x14ac:dyDescent="0.25">
      <c r="E650" s="543"/>
    </row>
    <row r="651" spans="5:5" ht="15.75" customHeight="1" x14ac:dyDescent="0.25">
      <c r="E651" s="543"/>
    </row>
    <row r="652" spans="5:5" ht="15.75" customHeight="1" x14ac:dyDescent="0.25">
      <c r="E652" s="543"/>
    </row>
    <row r="653" spans="5:5" ht="15.75" customHeight="1" x14ac:dyDescent="0.25">
      <c r="E653" s="543"/>
    </row>
    <row r="654" spans="5:5" ht="15.75" customHeight="1" x14ac:dyDescent="0.25">
      <c r="E654" s="543"/>
    </row>
    <row r="655" spans="5:5" ht="15.75" customHeight="1" x14ac:dyDescent="0.25">
      <c r="E655" s="543"/>
    </row>
    <row r="656" spans="5:5" ht="15.75" customHeight="1" x14ac:dyDescent="0.25">
      <c r="E656" s="543"/>
    </row>
    <row r="657" spans="5:5" ht="15.75" customHeight="1" x14ac:dyDescent="0.25">
      <c r="E657" s="543"/>
    </row>
    <row r="658" spans="5:5" ht="15.75" customHeight="1" x14ac:dyDescent="0.25">
      <c r="E658" s="543"/>
    </row>
    <row r="659" spans="5:5" ht="15.75" customHeight="1" x14ac:dyDescent="0.25">
      <c r="E659" s="543"/>
    </row>
    <row r="660" spans="5:5" ht="15.75" customHeight="1" x14ac:dyDescent="0.25">
      <c r="E660" s="543"/>
    </row>
    <row r="661" spans="5:5" ht="15.75" customHeight="1" x14ac:dyDescent="0.25">
      <c r="E661" s="543"/>
    </row>
    <row r="662" spans="5:5" ht="15.75" customHeight="1" x14ac:dyDescent="0.25">
      <c r="E662" s="543"/>
    </row>
    <row r="663" spans="5:5" ht="15.75" customHeight="1" x14ac:dyDescent="0.25">
      <c r="E663" s="543"/>
    </row>
    <row r="664" spans="5:5" ht="15.75" customHeight="1" x14ac:dyDescent="0.25">
      <c r="E664" s="543"/>
    </row>
    <row r="665" spans="5:5" ht="15.75" customHeight="1" x14ac:dyDescent="0.25">
      <c r="E665" s="543"/>
    </row>
    <row r="666" spans="5:5" ht="15.75" customHeight="1" x14ac:dyDescent="0.25">
      <c r="E666" s="543"/>
    </row>
    <row r="667" spans="5:5" ht="15.75" customHeight="1" x14ac:dyDescent="0.25">
      <c r="E667" s="543"/>
    </row>
    <row r="668" spans="5:5" ht="15.75" customHeight="1" x14ac:dyDescent="0.25">
      <c r="E668" s="543"/>
    </row>
    <row r="669" spans="5:5" ht="15.75" customHeight="1" x14ac:dyDescent="0.25">
      <c r="E669" s="543"/>
    </row>
    <row r="670" spans="5:5" ht="15.75" customHeight="1" x14ac:dyDescent="0.25">
      <c r="E670" s="543"/>
    </row>
    <row r="671" spans="5:5" ht="15.75" customHeight="1" x14ac:dyDescent="0.25">
      <c r="E671" s="543"/>
    </row>
    <row r="672" spans="5:5" ht="15.75" customHeight="1" x14ac:dyDescent="0.25">
      <c r="E672" s="543"/>
    </row>
    <row r="673" spans="5:5" ht="15.75" customHeight="1" x14ac:dyDescent="0.25">
      <c r="E673" s="543"/>
    </row>
    <row r="674" spans="5:5" ht="15.75" customHeight="1" x14ac:dyDescent="0.25">
      <c r="E674" s="543"/>
    </row>
    <row r="675" spans="5:5" ht="15.75" customHeight="1" x14ac:dyDescent="0.25">
      <c r="E675" s="543"/>
    </row>
    <row r="676" spans="5:5" ht="15.75" customHeight="1" x14ac:dyDescent="0.25">
      <c r="E676" s="543"/>
    </row>
    <row r="677" spans="5:5" ht="15.75" customHeight="1" x14ac:dyDescent="0.25">
      <c r="E677" s="543"/>
    </row>
    <row r="678" spans="5:5" ht="15.75" customHeight="1" x14ac:dyDescent="0.25">
      <c r="E678" s="543"/>
    </row>
    <row r="679" spans="5:5" ht="15.75" customHeight="1" x14ac:dyDescent="0.25">
      <c r="E679" s="543"/>
    </row>
    <row r="680" spans="5:5" ht="15.75" customHeight="1" x14ac:dyDescent="0.25">
      <c r="E680" s="543"/>
    </row>
    <row r="681" spans="5:5" ht="15.75" customHeight="1" x14ac:dyDescent="0.25">
      <c r="E681" s="543"/>
    </row>
    <row r="682" spans="5:5" ht="15.75" customHeight="1" x14ac:dyDescent="0.25">
      <c r="E682" s="543"/>
    </row>
    <row r="683" spans="5:5" ht="15.75" customHeight="1" x14ac:dyDescent="0.25">
      <c r="E683" s="543"/>
    </row>
    <row r="684" spans="5:5" ht="15.75" customHeight="1" x14ac:dyDescent="0.25">
      <c r="E684" s="543"/>
    </row>
    <row r="685" spans="5:5" ht="15.75" customHeight="1" x14ac:dyDescent="0.25">
      <c r="E685" s="543"/>
    </row>
    <row r="686" spans="5:5" ht="15.75" customHeight="1" x14ac:dyDescent="0.25">
      <c r="E686" s="543"/>
    </row>
    <row r="687" spans="5:5" ht="15.75" customHeight="1" x14ac:dyDescent="0.25">
      <c r="E687" s="543"/>
    </row>
    <row r="688" spans="5:5" ht="15.75" customHeight="1" x14ac:dyDescent="0.25">
      <c r="E688" s="543"/>
    </row>
    <row r="689" spans="5:5" ht="15.75" customHeight="1" x14ac:dyDescent="0.25">
      <c r="E689" s="543"/>
    </row>
    <row r="690" spans="5:5" ht="15.75" customHeight="1" x14ac:dyDescent="0.25">
      <c r="E690" s="543"/>
    </row>
    <row r="691" spans="5:5" ht="15.75" customHeight="1" x14ac:dyDescent="0.25">
      <c r="E691" s="543"/>
    </row>
    <row r="692" spans="5:5" ht="15.75" customHeight="1" x14ac:dyDescent="0.25">
      <c r="E692" s="543"/>
    </row>
    <row r="693" spans="5:5" ht="15.75" customHeight="1" x14ac:dyDescent="0.25">
      <c r="E693" s="543"/>
    </row>
    <row r="694" spans="5:5" ht="15.75" customHeight="1" x14ac:dyDescent="0.25">
      <c r="E694" s="543"/>
    </row>
    <row r="695" spans="5:5" ht="15.75" customHeight="1" x14ac:dyDescent="0.25">
      <c r="E695" s="543"/>
    </row>
    <row r="696" spans="5:5" ht="15.75" customHeight="1" x14ac:dyDescent="0.25">
      <c r="E696" s="543"/>
    </row>
    <row r="697" spans="5:5" ht="15.75" customHeight="1" x14ac:dyDescent="0.25">
      <c r="E697" s="543"/>
    </row>
    <row r="698" spans="5:5" ht="15.75" customHeight="1" x14ac:dyDescent="0.25">
      <c r="E698" s="543"/>
    </row>
    <row r="699" spans="5:5" ht="15.75" customHeight="1" x14ac:dyDescent="0.25">
      <c r="E699" s="543"/>
    </row>
    <row r="700" spans="5:5" ht="15.75" customHeight="1" x14ac:dyDescent="0.25">
      <c r="E700" s="543"/>
    </row>
    <row r="701" spans="5:5" ht="15.75" customHeight="1" x14ac:dyDescent="0.25">
      <c r="E701" s="543"/>
    </row>
    <row r="702" spans="5:5" ht="15.75" customHeight="1" x14ac:dyDescent="0.25">
      <c r="E702" s="543"/>
    </row>
    <row r="703" spans="5:5" ht="15.75" customHeight="1" x14ac:dyDescent="0.25">
      <c r="E703" s="543"/>
    </row>
    <row r="704" spans="5:5" ht="15.75" customHeight="1" x14ac:dyDescent="0.25">
      <c r="E704" s="543"/>
    </row>
    <row r="705" spans="5:5" ht="15.75" customHeight="1" x14ac:dyDescent="0.25">
      <c r="E705" s="543"/>
    </row>
    <row r="706" spans="5:5" ht="15.75" customHeight="1" x14ac:dyDescent="0.25">
      <c r="E706" s="543"/>
    </row>
    <row r="707" spans="5:5" ht="15.75" customHeight="1" x14ac:dyDescent="0.25">
      <c r="E707" s="543"/>
    </row>
    <row r="708" spans="5:5" ht="15.75" customHeight="1" x14ac:dyDescent="0.25">
      <c r="E708" s="543"/>
    </row>
    <row r="709" spans="5:5" ht="15.75" customHeight="1" x14ac:dyDescent="0.25">
      <c r="E709" s="543"/>
    </row>
    <row r="710" spans="5:5" ht="15.75" customHeight="1" x14ac:dyDescent="0.25">
      <c r="E710" s="543"/>
    </row>
    <row r="711" spans="5:5" ht="15.75" customHeight="1" x14ac:dyDescent="0.25">
      <c r="E711" s="543"/>
    </row>
    <row r="712" spans="5:5" ht="15.75" customHeight="1" x14ac:dyDescent="0.25">
      <c r="E712" s="543"/>
    </row>
    <row r="713" spans="5:5" ht="15.75" customHeight="1" x14ac:dyDescent="0.25">
      <c r="E713" s="543"/>
    </row>
    <row r="714" spans="5:5" ht="15.75" customHeight="1" x14ac:dyDescent="0.25">
      <c r="E714" s="543"/>
    </row>
    <row r="715" spans="5:5" ht="15.75" customHeight="1" x14ac:dyDescent="0.25">
      <c r="E715" s="543"/>
    </row>
    <row r="716" spans="5:5" ht="15.75" customHeight="1" x14ac:dyDescent="0.25">
      <c r="E716" s="543"/>
    </row>
    <row r="717" spans="5:5" ht="15.75" customHeight="1" x14ac:dyDescent="0.25">
      <c r="E717" s="543"/>
    </row>
    <row r="718" spans="5:5" ht="15.75" customHeight="1" x14ac:dyDescent="0.25">
      <c r="E718" s="543"/>
    </row>
    <row r="719" spans="5:5" ht="15.75" customHeight="1" x14ac:dyDescent="0.25">
      <c r="E719" s="543"/>
    </row>
    <row r="720" spans="5:5" ht="15.75" customHeight="1" x14ac:dyDescent="0.25">
      <c r="E720" s="543"/>
    </row>
    <row r="721" spans="5:5" ht="15.75" customHeight="1" x14ac:dyDescent="0.25">
      <c r="E721" s="543"/>
    </row>
    <row r="722" spans="5:5" ht="15.75" customHeight="1" x14ac:dyDescent="0.25">
      <c r="E722" s="543"/>
    </row>
    <row r="723" spans="5:5" ht="15.75" customHeight="1" x14ac:dyDescent="0.25">
      <c r="E723" s="543"/>
    </row>
    <row r="724" spans="5:5" ht="15.75" customHeight="1" x14ac:dyDescent="0.25">
      <c r="E724" s="543"/>
    </row>
    <row r="725" spans="5:5" ht="15.75" customHeight="1" x14ac:dyDescent="0.25">
      <c r="E725" s="543"/>
    </row>
    <row r="726" spans="5:5" ht="15.75" customHeight="1" x14ac:dyDescent="0.25">
      <c r="E726" s="543"/>
    </row>
    <row r="727" spans="5:5" ht="15.75" customHeight="1" x14ac:dyDescent="0.25">
      <c r="E727" s="543"/>
    </row>
    <row r="728" spans="5:5" ht="15.75" customHeight="1" x14ac:dyDescent="0.25">
      <c r="E728" s="543"/>
    </row>
    <row r="729" spans="5:5" ht="15.75" customHeight="1" x14ac:dyDescent="0.25">
      <c r="E729" s="543"/>
    </row>
    <row r="730" spans="5:5" ht="15.75" customHeight="1" x14ac:dyDescent="0.25">
      <c r="E730" s="543"/>
    </row>
    <row r="731" spans="5:5" ht="15.75" customHeight="1" x14ac:dyDescent="0.25">
      <c r="E731" s="543"/>
    </row>
    <row r="732" spans="5:5" ht="15.75" customHeight="1" x14ac:dyDescent="0.25">
      <c r="E732" s="543"/>
    </row>
    <row r="733" spans="5:5" ht="15.75" customHeight="1" x14ac:dyDescent="0.25">
      <c r="E733" s="543"/>
    </row>
    <row r="734" spans="5:5" ht="15.75" customHeight="1" x14ac:dyDescent="0.25">
      <c r="E734" s="543"/>
    </row>
    <row r="735" spans="5:5" ht="15.75" customHeight="1" x14ac:dyDescent="0.25">
      <c r="E735" s="543"/>
    </row>
    <row r="736" spans="5:5" ht="15.75" customHeight="1" x14ac:dyDescent="0.25">
      <c r="E736" s="543"/>
    </row>
    <row r="737" spans="5:5" ht="15.75" customHeight="1" x14ac:dyDescent="0.25">
      <c r="E737" s="543"/>
    </row>
    <row r="738" spans="5:5" ht="15.75" customHeight="1" x14ac:dyDescent="0.25">
      <c r="E738" s="543"/>
    </row>
    <row r="739" spans="5:5" ht="15.75" customHeight="1" x14ac:dyDescent="0.25">
      <c r="E739" s="543"/>
    </row>
    <row r="740" spans="5:5" ht="15.75" customHeight="1" x14ac:dyDescent="0.25">
      <c r="E740" s="543"/>
    </row>
    <row r="741" spans="5:5" ht="15.75" customHeight="1" x14ac:dyDescent="0.25">
      <c r="E741" s="543"/>
    </row>
    <row r="742" spans="5:5" ht="15.75" customHeight="1" x14ac:dyDescent="0.25">
      <c r="E742" s="543"/>
    </row>
    <row r="743" spans="5:5" ht="15.75" customHeight="1" x14ac:dyDescent="0.25">
      <c r="E743" s="543"/>
    </row>
    <row r="744" spans="5:5" ht="15.75" customHeight="1" x14ac:dyDescent="0.25">
      <c r="E744" s="543"/>
    </row>
    <row r="745" spans="5:5" ht="15.75" customHeight="1" x14ac:dyDescent="0.25">
      <c r="E745" s="543"/>
    </row>
    <row r="746" spans="5:5" ht="15.75" customHeight="1" x14ac:dyDescent="0.25">
      <c r="E746" s="543"/>
    </row>
    <row r="747" spans="5:5" ht="15.75" customHeight="1" x14ac:dyDescent="0.25">
      <c r="E747" s="543"/>
    </row>
    <row r="748" spans="5:5" ht="15.75" customHeight="1" x14ac:dyDescent="0.25">
      <c r="E748" s="543"/>
    </row>
    <row r="749" spans="5:5" ht="15.75" customHeight="1" x14ac:dyDescent="0.25">
      <c r="E749" s="543"/>
    </row>
    <row r="750" spans="5:5" ht="15.75" customHeight="1" x14ac:dyDescent="0.25">
      <c r="E750" s="543"/>
    </row>
    <row r="751" spans="5:5" ht="15.75" customHeight="1" x14ac:dyDescent="0.25">
      <c r="E751" s="543"/>
    </row>
    <row r="752" spans="5:5" ht="15.75" customHeight="1" x14ac:dyDescent="0.25">
      <c r="E752" s="543"/>
    </row>
    <row r="753" spans="5:5" ht="15.75" customHeight="1" x14ac:dyDescent="0.25">
      <c r="E753" s="543"/>
    </row>
    <row r="754" spans="5:5" ht="15.75" customHeight="1" x14ac:dyDescent="0.25">
      <c r="E754" s="543"/>
    </row>
    <row r="755" spans="5:5" ht="15.75" customHeight="1" x14ac:dyDescent="0.25">
      <c r="E755" s="543"/>
    </row>
    <row r="756" spans="5:5" ht="15.75" customHeight="1" x14ac:dyDescent="0.25">
      <c r="E756" s="543"/>
    </row>
    <row r="757" spans="5:5" ht="15.75" customHeight="1" x14ac:dyDescent="0.25">
      <c r="E757" s="543"/>
    </row>
    <row r="758" spans="5:5" ht="15.75" customHeight="1" x14ac:dyDescent="0.25">
      <c r="E758" s="543"/>
    </row>
    <row r="759" spans="5:5" ht="15.75" customHeight="1" x14ac:dyDescent="0.25">
      <c r="E759" s="543"/>
    </row>
    <row r="760" spans="5:5" ht="15.75" customHeight="1" x14ac:dyDescent="0.25">
      <c r="E760" s="543"/>
    </row>
    <row r="761" spans="5:5" ht="15.75" customHeight="1" x14ac:dyDescent="0.25">
      <c r="E761" s="543"/>
    </row>
    <row r="762" spans="5:5" ht="15.75" customHeight="1" x14ac:dyDescent="0.25">
      <c r="E762" s="543"/>
    </row>
    <row r="763" spans="5:5" ht="15.75" customHeight="1" x14ac:dyDescent="0.25">
      <c r="E763" s="543"/>
    </row>
    <row r="764" spans="5:5" ht="15.75" customHeight="1" x14ac:dyDescent="0.25">
      <c r="E764" s="543"/>
    </row>
    <row r="765" spans="5:5" ht="15.75" customHeight="1" x14ac:dyDescent="0.25">
      <c r="E765" s="543"/>
    </row>
    <row r="766" spans="5:5" ht="15.75" customHeight="1" x14ac:dyDescent="0.25">
      <c r="E766" s="543"/>
    </row>
    <row r="767" spans="5:5" ht="15.75" customHeight="1" x14ac:dyDescent="0.25">
      <c r="E767" s="543"/>
    </row>
    <row r="768" spans="5:5" ht="15.75" customHeight="1" x14ac:dyDescent="0.25">
      <c r="E768" s="543"/>
    </row>
    <row r="769" spans="5:5" ht="15.75" customHeight="1" x14ac:dyDescent="0.25">
      <c r="E769" s="543"/>
    </row>
    <row r="770" spans="5:5" ht="15.75" customHeight="1" x14ac:dyDescent="0.25">
      <c r="E770" s="543"/>
    </row>
    <row r="771" spans="5:5" ht="15.75" customHeight="1" x14ac:dyDescent="0.25">
      <c r="E771" s="543"/>
    </row>
    <row r="772" spans="5:5" ht="15.75" customHeight="1" x14ac:dyDescent="0.25">
      <c r="E772" s="543"/>
    </row>
    <row r="773" spans="5:5" ht="15.75" customHeight="1" x14ac:dyDescent="0.25">
      <c r="E773" s="543"/>
    </row>
    <row r="774" spans="5:5" ht="15.75" customHeight="1" x14ac:dyDescent="0.25">
      <c r="E774" s="543"/>
    </row>
    <row r="775" spans="5:5" ht="15.75" customHeight="1" x14ac:dyDescent="0.25">
      <c r="E775" s="543"/>
    </row>
    <row r="776" spans="5:5" ht="15.75" customHeight="1" x14ac:dyDescent="0.25">
      <c r="E776" s="543"/>
    </row>
    <row r="777" spans="5:5" ht="15.75" customHeight="1" x14ac:dyDescent="0.25">
      <c r="E777" s="543"/>
    </row>
    <row r="778" spans="5:5" ht="15.75" customHeight="1" x14ac:dyDescent="0.25">
      <c r="E778" s="543"/>
    </row>
    <row r="779" spans="5:5" ht="15.75" customHeight="1" x14ac:dyDescent="0.25">
      <c r="E779" s="543"/>
    </row>
    <row r="780" spans="5:5" ht="15.75" customHeight="1" x14ac:dyDescent="0.25">
      <c r="E780" s="543"/>
    </row>
    <row r="781" spans="5:5" ht="15.75" customHeight="1" x14ac:dyDescent="0.25">
      <c r="E781" s="543"/>
    </row>
    <row r="782" spans="5:5" ht="15.75" customHeight="1" x14ac:dyDescent="0.25">
      <c r="E782" s="543"/>
    </row>
    <row r="783" spans="5:5" ht="15.75" customHeight="1" x14ac:dyDescent="0.25">
      <c r="E783" s="543"/>
    </row>
    <row r="784" spans="5:5" ht="15.75" customHeight="1" x14ac:dyDescent="0.25">
      <c r="E784" s="543"/>
    </row>
    <row r="785" spans="5:5" ht="15.75" customHeight="1" x14ac:dyDescent="0.25">
      <c r="E785" s="543"/>
    </row>
    <row r="786" spans="5:5" ht="15.75" customHeight="1" x14ac:dyDescent="0.25">
      <c r="E786" s="543"/>
    </row>
    <row r="787" spans="5:5" ht="15.75" customHeight="1" x14ac:dyDescent="0.25">
      <c r="E787" s="543"/>
    </row>
    <row r="788" spans="5:5" ht="15.75" customHeight="1" x14ac:dyDescent="0.25">
      <c r="E788" s="543"/>
    </row>
    <row r="789" spans="5:5" ht="15.75" customHeight="1" x14ac:dyDescent="0.25">
      <c r="E789" s="543"/>
    </row>
    <row r="790" spans="5:5" ht="15.75" customHeight="1" x14ac:dyDescent="0.25">
      <c r="E790" s="543"/>
    </row>
    <row r="791" spans="5:5" ht="15.75" customHeight="1" x14ac:dyDescent="0.25">
      <c r="E791" s="543"/>
    </row>
    <row r="792" spans="5:5" ht="15.75" customHeight="1" x14ac:dyDescent="0.25">
      <c r="E792" s="543"/>
    </row>
    <row r="793" spans="5:5" ht="15.75" customHeight="1" x14ac:dyDescent="0.25">
      <c r="E793" s="543"/>
    </row>
    <row r="794" spans="5:5" ht="15.75" customHeight="1" x14ac:dyDescent="0.25">
      <c r="E794" s="543"/>
    </row>
    <row r="795" spans="5:5" ht="15.75" customHeight="1" x14ac:dyDescent="0.25">
      <c r="E795" s="543"/>
    </row>
    <row r="796" spans="5:5" ht="15.75" customHeight="1" x14ac:dyDescent="0.25">
      <c r="E796" s="543"/>
    </row>
    <row r="797" spans="5:5" ht="15.75" customHeight="1" x14ac:dyDescent="0.25">
      <c r="E797" s="543"/>
    </row>
    <row r="798" spans="5:5" ht="15.75" customHeight="1" x14ac:dyDescent="0.25">
      <c r="E798" s="543"/>
    </row>
    <row r="799" spans="5:5" ht="15.75" customHeight="1" x14ac:dyDescent="0.25">
      <c r="E799" s="543"/>
    </row>
    <row r="800" spans="5:5" ht="15.75" customHeight="1" x14ac:dyDescent="0.25">
      <c r="E800" s="543"/>
    </row>
    <row r="801" spans="5:5" ht="15.75" customHeight="1" x14ac:dyDescent="0.25">
      <c r="E801" s="543"/>
    </row>
    <row r="802" spans="5:5" ht="15.75" customHeight="1" x14ac:dyDescent="0.25">
      <c r="E802" s="543"/>
    </row>
    <row r="803" spans="5:5" ht="15.75" customHeight="1" x14ac:dyDescent="0.25">
      <c r="E803" s="543"/>
    </row>
    <row r="804" spans="5:5" ht="15.75" customHeight="1" x14ac:dyDescent="0.25">
      <c r="E804" s="543"/>
    </row>
    <row r="805" spans="5:5" ht="15.75" customHeight="1" x14ac:dyDescent="0.25">
      <c r="E805" s="543"/>
    </row>
    <row r="806" spans="5:5" ht="15.75" customHeight="1" x14ac:dyDescent="0.25">
      <c r="E806" s="543"/>
    </row>
    <row r="807" spans="5:5" ht="15.75" customHeight="1" x14ac:dyDescent="0.25">
      <c r="E807" s="543"/>
    </row>
    <row r="808" spans="5:5" ht="15.75" customHeight="1" x14ac:dyDescent="0.25">
      <c r="E808" s="543"/>
    </row>
    <row r="809" spans="5:5" ht="15.75" customHeight="1" x14ac:dyDescent="0.25">
      <c r="E809" s="543"/>
    </row>
    <row r="810" spans="5:5" ht="15.75" customHeight="1" x14ac:dyDescent="0.25">
      <c r="E810" s="543"/>
    </row>
    <row r="811" spans="5:5" ht="15.75" customHeight="1" x14ac:dyDescent="0.25">
      <c r="E811" s="543"/>
    </row>
    <row r="812" spans="5:5" ht="15.75" customHeight="1" x14ac:dyDescent="0.25">
      <c r="E812" s="543"/>
    </row>
    <row r="813" spans="5:5" ht="15.75" customHeight="1" x14ac:dyDescent="0.25">
      <c r="E813" s="543"/>
    </row>
    <row r="814" spans="5:5" ht="15.75" customHeight="1" x14ac:dyDescent="0.25">
      <c r="E814" s="543"/>
    </row>
    <row r="815" spans="5:5" ht="15.75" customHeight="1" x14ac:dyDescent="0.25">
      <c r="E815" s="543"/>
    </row>
    <row r="816" spans="5:5" ht="15.75" customHeight="1" x14ac:dyDescent="0.25">
      <c r="E816" s="543"/>
    </row>
    <row r="817" spans="5:5" ht="15.75" customHeight="1" x14ac:dyDescent="0.25">
      <c r="E817" s="543"/>
    </row>
    <row r="818" spans="5:5" ht="15.75" customHeight="1" x14ac:dyDescent="0.25">
      <c r="E818" s="543"/>
    </row>
    <row r="819" spans="5:5" ht="15.75" customHeight="1" x14ac:dyDescent="0.25">
      <c r="E819" s="543"/>
    </row>
    <row r="820" spans="5:5" ht="15.75" customHeight="1" x14ac:dyDescent="0.25">
      <c r="E820" s="543"/>
    </row>
    <row r="821" spans="5:5" ht="15.75" customHeight="1" x14ac:dyDescent="0.25">
      <c r="E821" s="543"/>
    </row>
    <row r="822" spans="5:5" ht="15.75" customHeight="1" x14ac:dyDescent="0.25">
      <c r="E822" s="543"/>
    </row>
    <row r="823" spans="5:5" ht="15.75" customHeight="1" x14ac:dyDescent="0.25">
      <c r="E823" s="543"/>
    </row>
    <row r="824" spans="5:5" ht="15.75" customHeight="1" x14ac:dyDescent="0.25">
      <c r="E824" s="543"/>
    </row>
    <row r="825" spans="5:5" ht="15.75" customHeight="1" x14ac:dyDescent="0.25">
      <c r="E825" s="543"/>
    </row>
    <row r="826" spans="5:5" ht="15.75" customHeight="1" x14ac:dyDescent="0.25">
      <c r="E826" s="543"/>
    </row>
    <row r="827" spans="5:5" ht="15.75" customHeight="1" x14ac:dyDescent="0.25">
      <c r="E827" s="543"/>
    </row>
    <row r="828" spans="5:5" ht="15.75" customHeight="1" x14ac:dyDescent="0.25">
      <c r="E828" s="543"/>
    </row>
    <row r="829" spans="5:5" ht="15.75" customHeight="1" x14ac:dyDescent="0.25">
      <c r="E829" s="543"/>
    </row>
    <row r="830" spans="5:5" ht="15.75" customHeight="1" x14ac:dyDescent="0.25">
      <c r="E830" s="543"/>
    </row>
    <row r="831" spans="5:5" ht="15.75" customHeight="1" x14ac:dyDescent="0.25">
      <c r="E831" s="543"/>
    </row>
    <row r="832" spans="5:5" ht="15.75" customHeight="1" x14ac:dyDescent="0.25">
      <c r="E832" s="543"/>
    </row>
    <row r="833" spans="5:5" ht="15.75" customHeight="1" x14ac:dyDescent="0.25">
      <c r="E833" s="543"/>
    </row>
    <row r="834" spans="5:5" ht="15.75" customHeight="1" x14ac:dyDescent="0.25">
      <c r="E834" s="543"/>
    </row>
    <row r="835" spans="5:5" ht="15.75" customHeight="1" x14ac:dyDescent="0.25">
      <c r="E835" s="543"/>
    </row>
    <row r="836" spans="5:5" ht="15.75" customHeight="1" x14ac:dyDescent="0.25">
      <c r="E836" s="543"/>
    </row>
    <row r="837" spans="5:5" ht="15.75" customHeight="1" x14ac:dyDescent="0.25">
      <c r="E837" s="543"/>
    </row>
    <row r="838" spans="5:5" ht="15.75" customHeight="1" x14ac:dyDescent="0.25">
      <c r="E838" s="543"/>
    </row>
    <row r="839" spans="5:5" ht="15.75" customHeight="1" x14ac:dyDescent="0.25">
      <c r="E839" s="543"/>
    </row>
    <row r="840" spans="5:5" ht="15.75" customHeight="1" x14ac:dyDescent="0.25">
      <c r="E840" s="543"/>
    </row>
    <row r="841" spans="5:5" ht="15.75" customHeight="1" x14ac:dyDescent="0.25">
      <c r="E841" s="543"/>
    </row>
    <row r="842" spans="5:5" ht="15.75" customHeight="1" x14ac:dyDescent="0.25">
      <c r="E842" s="543"/>
    </row>
    <row r="843" spans="5:5" ht="15.75" customHeight="1" x14ac:dyDescent="0.25">
      <c r="E843" s="543"/>
    </row>
    <row r="844" spans="5:5" ht="15.75" customHeight="1" x14ac:dyDescent="0.25">
      <c r="E844" s="543"/>
    </row>
    <row r="845" spans="5:5" ht="15.75" customHeight="1" x14ac:dyDescent="0.25">
      <c r="E845" s="543"/>
    </row>
    <row r="846" spans="5:5" ht="15.75" customHeight="1" x14ac:dyDescent="0.25">
      <c r="E846" s="543"/>
    </row>
    <row r="847" spans="5:5" ht="15.75" customHeight="1" x14ac:dyDescent="0.25">
      <c r="E847" s="543"/>
    </row>
    <row r="848" spans="5:5" ht="15.75" customHeight="1" x14ac:dyDescent="0.25">
      <c r="E848" s="543"/>
    </row>
    <row r="849" spans="5:5" ht="15.75" customHeight="1" x14ac:dyDescent="0.25">
      <c r="E849" s="543"/>
    </row>
    <row r="850" spans="5:5" ht="15.75" customHeight="1" x14ac:dyDescent="0.25">
      <c r="E850" s="543"/>
    </row>
    <row r="851" spans="5:5" ht="15.75" customHeight="1" x14ac:dyDescent="0.25">
      <c r="E851" s="543"/>
    </row>
    <row r="852" spans="5:5" ht="15.75" customHeight="1" x14ac:dyDescent="0.25">
      <c r="E852" s="543"/>
    </row>
    <row r="853" spans="5:5" ht="15.75" customHeight="1" x14ac:dyDescent="0.25">
      <c r="E853" s="543"/>
    </row>
    <row r="854" spans="5:5" ht="15.75" customHeight="1" x14ac:dyDescent="0.25">
      <c r="E854" s="543"/>
    </row>
    <row r="855" spans="5:5" ht="15.75" customHeight="1" x14ac:dyDescent="0.25">
      <c r="E855" s="543"/>
    </row>
    <row r="856" spans="5:5" ht="15.75" customHeight="1" x14ac:dyDescent="0.25">
      <c r="E856" s="543"/>
    </row>
    <row r="857" spans="5:5" ht="15.75" customHeight="1" x14ac:dyDescent="0.25">
      <c r="E857" s="543"/>
    </row>
    <row r="858" spans="5:5" ht="15.75" customHeight="1" x14ac:dyDescent="0.25">
      <c r="E858" s="543"/>
    </row>
    <row r="859" spans="5:5" ht="15.75" customHeight="1" x14ac:dyDescent="0.25">
      <c r="E859" s="543"/>
    </row>
    <row r="860" spans="5:5" ht="15.75" customHeight="1" x14ac:dyDescent="0.25">
      <c r="E860" s="543"/>
    </row>
    <row r="861" spans="5:5" ht="15.75" customHeight="1" x14ac:dyDescent="0.25">
      <c r="E861" s="543"/>
    </row>
    <row r="862" spans="5:5" ht="15.75" customHeight="1" x14ac:dyDescent="0.25">
      <c r="E862" s="543"/>
    </row>
    <row r="863" spans="5:5" ht="15.75" customHeight="1" x14ac:dyDescent="0.25">
      <c r="E863" s="543"/>
    </row>
    <row r="864" spans="5:5" ht="15.75" customHeight="1" x14ac:dyDescent="0.25">
      <c r="E864" s="543"/>
    </row>
    <row r="865" spans="5:5" ht="15.75" customHeight="1" x14ac:dyDescent="0.25">
      <c r="E865" s="543"/>
    </row>
    <row r="866" spans="5:5" ht="15.75" customHeight="1" x14ac:dyDescent="0.25">
      <c r="E866" s="543"/>
    </row>
    <row r="867" spans="5:5" ht="15.75" customHeight="1" x14ac:dyDescent="0.25">
      <c r="E867" s="543"/>
    </row>
    <row r="868" spans="5:5" ht="15.75" customHeight="1" x14ac:dyDescent="0.25">
      <c r="E868" s="543"/>
    </row>
    <row r="869" spans="5:5" ht="15.75" customHeight="1" x14ac:dyDescent="0.25">
      <c r="E869" s="543"/>
    </row>
    <row r="870" spans="5:5" ht="15.75" customHeight="1" x14ac:dyDescent="0.25">
      <c r="E870" s="543"/>
    </row>
    <row r="871" spans="5:5" ht="15.75" customHeight="1" x14ac:dyDescent="0.25">
      <c r="E871" s="543"/>
    </row>
    <row r="872" spans="5:5" ht="15.75" customHeight="1" x14ac:dyDescent="0.25">
      <c r="E872" s="543"/>
    </row>
    <row r="873" spans="5:5" ht="15.75" customHeight="1" x14ac:dyDescent="0.25">
      <c r="E873" s="543"/>
    </row>
    <row r="874" spans="5:5" ht="15.75" customHeight="1" x14ac:dyDescent="0.25">
      <c r="E874" s="543"/>
    </row>
    <row r="875" spans="5:5" ht="15.75" customHeight="1" x14ac:dyDescent="0.25">
      <c r="E875" s="543"/>
    </row>
    <row r="876" spans="5:5" ht="15.75" customHeight="1" x14ac:dyDescent="0.25">
      <c r="E876" s="543"/>
    </row>
    <row r="877" spans="5:5" ht="15.75" customHeight="1" x14ac:dyDescent="0.25">
      <c r="E877" s="543"/>
    </row>
    <row r="878" spans="5:5" ht="15.75" customHeight="1" x14ac:dyDescent="0.25">
      <c r="E878" s="543"/>
    </row>
    <row r="879" spans="5:5" ht="15.75" customHeight="1" x14ac:dyDescent="0.25">
      <c r="E879" s="543"/>
    </row>
    <row r="880" spans="5:5" ht="15.75" customHeight="1" x14ac:dyDescent="0.25">
      <c r="E880" s="543"/>
    </row>
    <row r="881" spans="5:5" ht="15.75" customHeight="1" x14ac:dyDescent="0.25">
      <c r="E881" s="543"/>
    </row>
    <row r="882" spans="5:5" ht="15.75" customHeight="1" x14ac:dyDescent="0.25">
      <c r="E882" s="543"/>
    </row>
    <row r="883" spans="5:5" ht="15.75" customHeight="1" x14ac:dyDescent="0.25">
      <c r="E883" s="543"/>
    </row>
    <row r="884" spans="5:5" ht="15.75" customHeight="1" x14ac:dyDescent="0.25">
      <c r="E884" s="543"/>
    </row>
    <row r="885" spans="5:5" ht="15.75" customHeight="1" x14ac:dyDescent="0.25">
      <c r="E885" s="543"/>
    </row>
    <row r="886" spans="5:5" ht="15.75" customHeight="1" x14ac:dyDescent="0.25">
      <c r="E886" s="543"/>
    </row>
    <row r="887" spans="5:5" ht="15.75" customHeight="1" x14ac:dyDescent="0.25">
      <c r="E887" s="543"/>
    </row>
    <row r="888" spans="5:5" ht="15.75" customHeight="1" x14ac:dyDescent="0.25">
      <c r="E888" s="543"/>
    </row>
    <row r="889" spans="5:5" ht="15.75" customHeight="1" x14ac:dyDescent="0.25">
      <c r="E889" s="543"/>
    </row>
    <row r="890" spans="5:5" ht="15.75" customHeight="1" x14ac:dyDescent="0.25">
      <c r="E890" s="543"/>
    </row>
    <row r="891" spans="5:5" ht="15.75" customHeight="1" x14ac:dyDescent="0.25">
      <c r="E891" s="543"/>
    </row>
    <row r="892" spans="5:5" ht="15.75" customHeight="1" x14ac:dyDescent="0.25">
      <c r="E892" s="543"/>
    </row>
    <row r="893" spans="5:5" ht="15.75" customHeight="1" x14ac:dyDescent="0.25">
      <c r="E893" s="543"/>
    </row>
    <row r="894" spans="5:5" ht="15.75" customHeight="1" x14ac:dyDescent="0.25">
      <c r="E894" s="543"/>
    </row>
    <row r="895" spans="5:5" ht="15.75" customHeight="1" x14ac:dyDescent="0.25">
      <c r="E895" s="543"/>
    </row>
    <row r="896" spans="5:5" ht="15.75" customHeight="1" x14ac:dyDescent="0.25">
      <c r="E896" s="543"/>
    </row>
    <row r="897" spans="5:5" ht="15.75" customHeight="1" x14ac:dyDescent="0.25">
      <c r="E897" s="543"/>
    </row>
    <row r="898" spans="5:5" ht="15.75" customHeight="1" x14ac:dyDescent="0.25">
      <c r="E898" s="543"/>
    </row>
    <row r="899" spans="5:5" ht="15.75" customHeight="1" x14ac:dyDescent="0.25">
      <c r="E899" s="543"/>
    </row>
    <row r="900" spans="5:5" ht="15.75" customHeight="1" x14ac:dyDescent="0.25">
      <c r="E900" s="543"/>
    </row>
    <row r="901" spans="5:5" ht="15.75" customHeight="1" x14ac:dyDescent="0.25">
      <c r="E901" s="543"/>
    </row>
    <row r="902" spans="5:5" ht="15.75" customHeight="1" x14ac:dyDescent="0.25">
      <c r="E902" s="543"/>
    </row>
    <row r="903" spans="5:5" ht="15.75" customHeight="1" x14ac:dyDescent="0.25">
      <c r="E903" s="543"/>
    </row>
    <row r="904" spans="5:5" ht="15.75" customHeight="1" x14ac:dyDescent="0.25">
      <c r="E904" s="543"/>
    </row>
    <row r="905" spans="5:5" ht="15.75" customHeight="1" x14ac:dyDescent="0.25">
      <c r="E905" s="543"/>
    </row>
    <row r="906" spans="5:5" ht="15.75" customHeight="1" x14ac:dyDescent="0.25">
      <c r="E906" s="543"/>
    </row>
    <row r="907" spans="5:5" ht="15.75" customHeight="1" x14ac:dyDescent="0.25">
      <c r="E907" s="543"/>
    </row>
    <row r="908" spans="5:5" ht="15.75" customHeight="1" x14ac:dyDescent="0.25">
      <c r="E908" s="543"/>
    </row>
    <row r="909" spans="5:5" ht="15.75" customHeight="1" x14ac:dyDescent="0.25">
      <c r="E909" s="543"/>
    </row>
    <row r="910" spans="5:5" ht="15.75" customHeight="1" x14ac:dyDescent="0.25">
      <c r="E910" s="543"/>
    </row>
    <row r="911" spans="5:5" ht="15.75" customHeight="1" x14ac:dyDescent="0.25">
      <c r="E911" s="543"/>
    </row>
    <row r="912" spans="5:5" ht="15.75" customHeight="1" x14ac:dyDescent="0.25">
      <c r="E912" s="543"/>
    </row>
    <row r="913" spans="5:5" ht="15.75" customHeight="1" x14ac:dyDescent="0.25">
      <c r="E913" s="543"/>
    </row>
    <row r="914" spans="5:5" ht="15.75" customHeight="1" x14ac:dyDescent="0.25">
      <c r="E914" s="543"/>
    </row>
    <row r="915" spans="5:5" ht="15.75" customHeight="1" x14ac:dyDescent="0.25">
      <c r="E915" s="543"/>
    </row>
    <row r="916" spans="5:5" ht="15.75" customHeight="1" x14ac:dyDescent="0.25">
      <c r="E916" s="543"/>
    </row>
    <row r="917" spans="5:5" ht="15.75" customHeight="1" x14ac:dyDescent="0.25">
      <c r="E917" s="543"/>
    </row>
    <row r="918" spans="5:5" ht="15.75" customHeight="1" x14ac:dyDescent="0.25">
      <c r="E918" s="543"/>
    </row>
    <row r="919" spans="5:5" ht="15.75" customHeight="1" x14ac:dyDescent="0.25">
      <c r="E919" s="543"/>
    </row>
    <row r="920" spans="5:5" ht="15.75" customHeight="1" x14ac:dyDescent="0.25">
      <c r="E920" s="543"/>
    </row>
    <row r="921" spans="5:5" ht="15.75" customHeight="1" x14ac:dyDescent="0.25">
      <c r="E921" s="543"/>
    </row>
    <row r="922" spans="5:5" ht="15.75" customHeight="1" x14ac:dyDescent="0.25">
      <c r="E922" s="543"/>
    </row>
    <row r="923" spans="5:5" ht="15.75" customHeight="1" x14ac:dyDescent="0.25">
      <c r="E923" s="543"/>
    </row>
    <row r="924" spans="5:5" ht="15.75" customHeight="1" x14ac:dyDescent="0.25">
      <c r="E924" s="543"/>
    </row>
    <row r="925" spans="5:5" ht="15.75" customHeight="1" x14ac:dyDescent="0.25">
      <c r="E925" s="543"/>
    </row>
    <row r="926" spans="5:5" ht="15.75" customHeight="1" x14ac:dyDescent="0.25">
      <c r="E926" s="543"/>
    </row>
    <row r="927" spans="5:5" ht="15.75" customHeight="1" x14ac:dyDescent="0.25">
      <c r="E927" s="543"/>
    </row>
    <row r="928" spans="5:5" ht="15.75" customHeight="1" x14ac:dyDescent="0.25">
      <c r="E928" s="543"/>
    </row>
    <row r="929" spans="5:5" ht="15.75" customHeight="1" x14ac:dyDescent="0.25">
      <c r="E929" s="543"/>
    </row>
    <row r="930" spans="5:5" ht="15.75" customHeight="1" x14ac:dyDescent="0.25">
      <c r="E930" s="543"/>
    </row>
    <row r="931" spans="5:5" ht="15.75" customHeight="1" x14ac:dyDescent="0.25">
      <c r="E931" s="543"/>
    </row>
    <row r="932" spans="5:5" ht="15.75" customHeight="1" x14ac:dyDescent="0.25">
      <c r="E932" s="543"/>
    </row>
    <row r="933" spans="5:5" ht="15.75" customHeight="1" x14ac:dyDescent="0.25">
      <c r="E933" s="543"/>
    </row>
    <row r="934" spans="5:5" ht="15.75" customHeight="1" x14ac:dyDescent="0.25">
      <c r="E934" s="543"/>
    </row>
    <row r="935" spans="5:5" ht="15.75" customHeight="1" x14ac:dyDescent="0.25">
      <c r="E935" s="543"/>
    </row>
    <row r="936" spans="5:5" ht="15.75" customHeight="1" x14ac:dyDescent="0.25">
      <c r="E936" s="543"/>
    </row>
    <row r="937" spans="5:5" ht="15.75" customHeight="1" x14ac:dyDescent="0.25">
      <c r="E937" s="543"/>
    </row>
    <row r="938" spans="5:5" ht="15.75" customHeight="1" x14ac:dyDescent="0.25">
      <c r="E938" s="543"/>
    </row>
    <row r="939" spans="5:5" ht="15.75" customHeight="1" x14ac:dyDescent="0.25">
      <c r="E939" s="543"/>
    </row>
    <row r="940" spans="5:5" ht="15.75" customHeight="1" x14ac:dyDescent="0.25">
      <c r="E940" s="543"/>
    </row>
    <row r="941" spans="5:5" ht="15.75" customHeight="1" x14ac:dyDescent="0.25">
      <c r="E941" s="543"/>
    </row>
    <row r="942" spans="5:5" ht="15.75" customHeight="1" x14ac:dyDescent="0.25">
      <c r="E942" s="543"/>
    </row>
    <row r="943" spans="5:5" ht="15.75" customHeight="1" x14ac:dyDescent="0.25">
      <c r="E943" s="543"/>
    </row>
    <row r="944" spans="5:5" ht="15.75" customHeight="1" x14ac:dyDescent="0.25">
      <c r="E944" s="543"/>
    </row>
    <row r="945" spans="5:5" ht="15.75" customHeight="1" x14ac:dyDescent="0.25">
      <c r="E945" s="543"/>
    </row>
    <row r="946" spans="5:5" ht="15.75" customHeight="1" x14ac:dyDescent="0.25">
      <c r="E946" s="543"/>
    </row>
    <row r="947" spans="5:5" ht="15.75" customHeight="1" x14ac:dyDescent="0.25">
      <c r="E947" s="543"/>
    </row>
    <row r="948" spans="5:5" ht="15.75" customHeight="1" x14ac:dyDescent="0.25">
      <c r="E948" s="543"/>
    </row>
    <row r="949" spans="5:5" ht="15.75" customHeight="1" x14ac:dyDescent="0.25">
      <c r="E949" s="543"/>
    </row>
    <row r="950" spans="5:5" ht="15.75" customHeight="1" x14ac:dyDescent="0.25">
      <c r="E950" s="543"/>
    </row>
    <row r="951" spans="5:5" ht="15.75" customHeight="1" x14ac:dyDescent="0.25">
      <c r="E951" s="543"/>
    </row>
    <row r="952" spans="5:5" ht="15.75" customHeight="1" x14ac:dyDescent="0.25">
      <c r="E952" s="543"/>
    </row>
    <row r="953" spans="5:5" ht="15.75" customHeight="1" x14ac:dyDescent="0.25">
      <c r="E953" s="543"/>
    </row>
    <row r="954" spans="5:5" ht="15.75" customHeight="1" x14ac:dyDescent="0.25">
      <c r="E954" s="543"/>
    </row>
    <row r="955" spans="5:5" ht="15.75" customHeight="1" x14ac:dyDescent="0.25">
      <c r="E955" s="543"/>
    </row>
    <row r="956" spans="5:5" ht="15.75" customHeight="1" x14ac:dyDescent="0.25">
      <c r="E956" s="543"/>
    </row>
    <row r="957" spans="5:5" ht="15.75" customHeight="1" x14ac:dyDescent="0.25">
      <c r="E957" s="543"/>
    </row>
    <row r="958" spans="5:5" ht="15.75" customHeight="1" x14ac:dyDescent="0.25">
      <c r="E958" s="543"/>
    </row>
    <row r="959" spans="5:5" ht="15.75" customHeight="1" x14ac:dyDescent="0.25">
      <c r="E959" s="543"/>
    </row>
    <row r="960" spans="5:5" ht="15.75" customHeight="1" x14ac:dyDescent="0.25">
      <c r="E960" s="543"/>
    </row>
    <row r="961" spans="5:5" ht="15.75" customHeight="1" x14ac:dyDescent="0.25">
      <c r="E961" s="543"/>
    </row>
    <row r="962" spans="5:5" ht="15.75" customHeight="1" x14ac:dyDescent="0.25">
      <c r="E962" s="543"/>
    </row>
    <row r="963" spans="5:5" ht="15.75" customHeight="1" x14ac:dyDescent="0.25">
      <c r="E963" s="543"/>
    </row>
    <row r="964" spans="5:5" ht="15.75" customHeight="1" x14ac:dyDescent="0.25">
      <c r="E964" s="543"/>
    </row>
    <row r="965" spans="5:5" ht="15.75" customHeight="1" x14ac:dyDescent="0.25">
      <c r="E965" s="543"/>
    </row>
    <row r="966" spans="5:5" ht="15.75" customHeight="1" x14ac:dyDescent="0.25">
      <c r="E966" s="543"/>
    </row>
    <row r="967" spans="5:5" ht="15.75" customHeight="1" x14ac:dyDescent="0.25">
      <c r="E967" s="543"/>
    </row>
    <row r="968" spans="5:5" ht="15.75" customHeight="1" x14ac:dyDescent="0.25">
      <c r="E968" s="543"/>
    </row>
    <row r="969" spans="5:5" ht="15.75" customHeight="1" x14ac:dyDescent="0.25">
      <c r="E969" s="543"/>
    </row>
    <row r="970" spans="5:5" ht="15.75" customHeight="1" x14ac:dyDescent="0.25">
      <c r="E970" s="543"/>
    </row>
    <row r="971" spans="5:5" ht="15.75" customHeight="1" x14ac:dyDescent="0.25">
      <c r="E971" s="543"/>
    </row>
    <row r="972" spans="5:5" ht="15.75" customHeight="1" x14ac:dyDescent="0.25">
      <c r="E972" s="543"/>
    </row>
    <row r="973" spans="5:5" ht="15.75" customHeight="1" x14ac:dyDescent="0.25">
      <c r="E973" s="543"/>
    </row>
    <row r="974" spans="5:5" ht="15.75" customHeight="1" x14ac:dyDescent="0.25">
      <c r="E974" s="543"/>
    </row>
    <row r="975" spans="5:5" ht="15.75" customHeight="1" x14ac:dyDescent="0.25">
      <c r="E975" s="543"/>
    </row>
    <row r="976" spans="5:5" ht="15.75" customHeight="1" x14ac:dyDescent="0.25">
      <c r="E976" s="543"/>
    </row>
    <row r="977" spans="5:5" ht="15.75" customHeight="1" x14ac:dyDescent="0.25">
      <c r="E977" s="543"/>
    </row>
    <row r="978" spans="5:5" ht="15.75" customHeight="1" x14ac:dyDescent="0.25">
      <c r="E978" s="543"/>
    </row>
    <row r="979" spans="5:5" ht="15.75" customHeight="1" x14ac:dyDescent="0.25">
      <c r="E979" s="543"/>
    </row>
    <row r="980" spans="5:5" ht="15.75" customHeight="1" x14ac:dyDescent="0.25">
      <c r="E980" s="543"/>
    </row>
    <row r="981" spans="5:5" ht="15.75" customHeight="1" x14ac:dyDescent="0.25">
      <c r="E981" s="543"/>
    </row>
    <row r="982" spans="5:5" ht="15.75" customHeight="1" x14ac:dyDescent="0.25">
      <c r="E982" s="543"/>
    </row>
    <row r="983" spans="5:5" ht="15.75" customHeight="1" x14ac:dyDescent="0.25">
      <c r="E983" s="543"/>
    </row>
    <row r="984" spans="5:5" ht="15.75" customHeight="1" x14ac:dyDescent="0.25">
      <c r="E984" s="543"/>
    </row>
    <row r="985" spans="5:5" ht="15.75" customHeight="1" x14ac:dyDescent="0.25">
      <c r="E985" s="543"/>
    </row>
    <row r="986" spans="5:5" ht="15.75" customHeight="1" x14ac:dyDescent="0.25">
      <c r="E986" s="543"/>
    </row>
    <row r="987" spans="5:5" ht="15.75" customHeight="1" x14ac:dyDescent="0.25">
      <c r="E987" s="543"/>
    </row>
    <row r="988" spans="5:5" ht="15.75" customHeight="1" x14ac:dyDescent="0.25">
      <c r="E988" s="543"/>
    </row>
    <row r="989" spans="5:5" ht="15.75" customHeight="1" x14ac:dyDescent="0.25">
      <c r="E989" s="543"/>
    </row>
    <row r="990" spans="5:5" ht="15.75" customHeight="1" x14ac:dyDescent="0.25">
      <c r="E990" s="543"/>
    </row>
    <row r="991" spans="5:5" ht="15.75" customHeight="1" x14ac:dyDescent="0.25">
      <c r="E991" s="543"/>
    </row>
    <row r="992" spans="5:5" ht="15.75" customHeight="1" x14ac:dyDescent="0.25">
      <c r="E992" s="543"/>
    </row>
    <row r="993" spans="5:5" ht="15.75" customHeight="1" x14ac:dyDescent="0.25">
      <c r="E993" s="543"/>
    </row>
    <row r="994" spans="5:5" ht="15.75" customHeight="1" x14ac:dyDescent="0.25">
      <c r="E994" s="543"/>
    </row>
    <row r="995" spans="5:5" ht="15.75" customHeight="1" x14ac:dyDescent="0.25">
      <c r="E995" s="543"/>
    </row>
    <row r="996" spans="5:5" ht="15.75" customHeight="1" x14ac:dyDescent="0.25">
      <c r="E996" s="543"/>
    </row>
    <row r="997" spans="5:5" ht="15.75" customHeight="1" x14ac:dyDescent="0.25">
      <c r="E997" s="543"/>
    </row>
    <row r="998" spans="5:5" ht="15.75" customHeight="1" x14ac:dyDescent="0.25">
      <c r="E998" s="543"/>
    </row>
    <row r="999" spans="5:5" ht="15.75" customHeight="1" x14ac:dyDescent="0.25">
      <c r="E999" s="543"/>
    </row>
    <row r="1000" spans="5:5" ht="15.75" customHeight="1" x14ac:dyDescent="0.25">
      <c r="E1000" s="543"/>
    </row>
    <row r="1001" spans="5:5" ht="15.75" customHeight="1" x14ac:dyDescent="0.25">
      <c r="E1001" s="543"/>
    </row>
    <row r="1002" spans="5:5" ht="15.75" customHeight="1" x14ac:dyDescent="0.25">
      <c r="E1002" s="543"/>
    </row>
    <row r="1003" spans="5:5" ht="15.75" customHeight="1" x14ac:dyDescent="0.25">
      <c r="E1003" s="543"/>
    </row>
    <row r="1004" spans="5:5" ht="15.75" customHeight="1" x14ac:dyDescent="0.25">
      <c r="E1004" s="543"/>
    </row>
    <row r="1005" spans="5:5" ht="15.75" customHeight="1" x14ac:dyDescent="0.25">
      <c r="E1005" s="543"/>
    </row>
    <row r="1006" spans="5:5" ht="15.75" customHeight="1" x14ac:dyDescent="0.25">
      <c r="E1006" s="543"/>
    </row>
    <row r="1007" spans="5:5" ht="15.75" customHeight="1" x14ac:dyDescent="0.25">
      <c r="E1007" s="543"/>
    </row>
    <row r="1008" spans="5:5" ht="15.75" customHeight="1" x14ac:dyDescent="0.25">
      <c r="E1008" s="543"/>
    </row>
    <row r="1009" spans="5:5" ht="15.75" customHeight="1" x14ac:dyDescent="0.25">
      <c r="E1009" s="543"/>
    </row>
    <row r="1010" spans="5:5" ht="15.75" customHeight="1" x14ac:dyDescent="0.25">
      <c r="E1010" s="543"/>
    </row>
    <row r="1011" spans="5:5" ht="15.75" customHeight="1" x14ac:dyDescent="0.25">
      <c r="E1011" s="543"/>
    </row>
    <row r="1012" spans="5:5" ht="15.75" customHeight="1" x14ac:dyDescent="0.25">
      <c r="E1012" s="543"/>
    </row>
    <row r="1013" spans="5:5" ht="15.75" customHeight="1" x14ac:dyDescent="0.25">
      <c r="E1013" s="543"/>
    </row>
    <row r="1014" spans="5:5" ht="15.75" customHeight="1" x14ac:dyDescent="0.25">
      <c r="E1014" s="543"/>
    </row>
    <row r="1015" spans="5:5" ht="15.75" customHeight="1" x14ac:dyDescent="0.25">
      <c r="E1015" s="543"/>
    </row>
    <row r="1016" spans="5:5" ht="15.75" customHeight="1" x14ac:dyDescent="0.25">
      <c r="E1016" s="543"/>
    </row>
    <row r="1017" spans="5:5" ht="15.75" customHeight="1" x14ac:dyDescent="0.25">
      <c r="E1017" s="543"/>
    </row>
    <row r="1018" spans="5:5" ht="15.75" customHeight="1" x14ac:dyDescent="0.25">
      <c r="E1018" s="543"/>
    </row>
    <row r="1019" spans="5:5" ht="15.75" customHeight="1" x14ac:dyDescent="0.25">
      <c r="E1019" s="543"/>
    </row>
    <row r="1020" spans="5:5" ht="15.75" customHeight="1" x14ac:dyDescent="0.25">
      <c r="E1020" s="543"/>
    </row>
    <row r="1021" spans="5:5" ht="15.75" customHeight="1" x14ac:dyDescent="0.25">
      <c r="E1021" s="543"/>
    </row>
    <row r="1022" spans="5:5" ht="15.75" customHeight="1" x14ac:dyDescent="0.25">
      <c r="E1022" s="543"/>
    </row>
    <row r="1023" spans="5:5" ht="15.75" customHeight="1" x14ac:dyDescent="0.25">
      <c r="E1023" s="543"/>
    </row>
    <row r="1024" spans="5:5" ht="15.75" customHeight="1" x14ac:dyDescent="0.25">
      <c r="E1024" s="543"/>
    </row>
    <row r="1025" spans="5:5" ht="15" customHeight="1" x14ac:dyDescent="0.25">
      <c r="E1025" s="543"/>
    </row>
    <row r="1026" spans="5:5" ht="15" customHeight="1" x14ac:dyDescent="0.25">
      <c r="E1026" s="543"/>
    </row>
    <row r="1027" spans="5:5" ht="15" customHeight="1" x14ac:dyDescent="0.25">
      <c r="E1027" s="543"/>
    </row>
    <row r="1028" spans="5:5" ht="15" customHeight="1" x14ac:dyDescent="0.25">
      <c r="E1028" s="543"/>
    </row>
    <row r="1029" spans="5:5" ht="15" customHeight="1" x14ac:dyDescent="0.25">
      <c r="E1029" s="543"/>
    </row>
    <row r="1030" spans="5:5" ht="15" customHeight="1" x14ac:dyDescent="0.25">
      <c r="E1030" s="543"/>
    </row>
    <row r="1031" spans="5:5" ht="15" customHeight="1" x14ac:dyDescent="0.25">
      <c r="E1031" s="543"/>
    </row>
    <row r="1032" spans="5:5" ht="15" customHeight="1" x14ac:dyDescent="0.25">
      <c r="E1032" s="543"/>
    </row>
    <row r="1033" spans="5:5" ht="15" customHeight="1" x14ac:dyDescent="0.25">
      <c r="E1033" s="543"/>
    </row>
    <row r="1034" spans="5:5" ht="15" customHeight="1" x14ac:dyDescent="0.25">
      <c r="E1034" s="543"/>
    </row>
    <row r="1035" spans="5:5" ht="15" customHeight="1" x14ac:dyDescent="0.25">
      <c r="E1035" s="543"/>
    </row>
    <row r="1036" spans="5:5" ht="15" customHeight="1" x14ac:dyDescent="0.25">
      <c r="E1036" s="543"/>
    </row>
    <row r="1037" spans="5:5" ht="15" customHeight="1" x14ac:dyDescent="0.25">
      <c r="E1037" s="543"/>
    </row>
    <row r="1038" spans="5:5" ht="15" customHeight="1" x14ac:dyDescent="0.25">
      <c r="E1038" s="543"/>
    </row>
    <row r="1039" spans="5:5" ht="15" customHeight="1" x14ac:dyDescent="0.25">
      <c r="E1039" s="543"/>
    </row>
    <row r="1040" spans="5:5" ht="15" customHeight="1" x14ac:dyDescent="0.25">
      <c r="E1040" s="543"/>
    </row>
    <row r="1041" spans="5:5" ht="15" customHeight="1" x14ac:dyDescent="0.25">
      <c r="E1041" s="543"/>
    </row>
    <row r="1042" spans="5:5" ht="15" customHeight="1" x14ac:dyDescent="0.25">
      <c r="E1042" s="543"/>
    </row>
    <row r="1043" spans="5:5" ht="15" customHeight="1" x14ac:dyDescent="0.25">
      <c r="E1043" s="543"/>
    </row>
    <row r="1044" spans="5:5" ht="15" customHeight="1" x14ac:dyDescent="0.25">
      <c r="E1044" s="543"/>
    </row>
    <row r="1045" spans="5:5" ht="15" customHeight="1" x14ac:dyDescent="0.25">
      <c r="E1045" s="543"/>
    </row>
  </sheetData>
  <mergeCells count="3">
    <mergeCell ref="C4:E4"/>
    <mergeCell ref="G19:H19"/>
    <mergeCell ref="B1:C1"/>
  </mergeCells>
  <printOptions horizontalCentered="1"/>
  <pageMargins left="0.51181102362204722" right="0.31496062992125984" top="0.35433070866141736" bottom="0.35433070866141736" header="0" footer="0"/>
  <pageSetup paperSize="9"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6153-16E3-4A28-B7A5-4EC3E45F474F}">
  <sheetPr>
    <tabColor rgb="FFF4B083"/>
    <pageSetUpPr fitToPage="1"/>
  </sheetPr>
  <dimension ref="A1:AE1051"/>
  <sheetViews>
    <sheetView workbookViewId="0">
      <pane xSplit="3" ySplit="5" topLeftCell="D6" activePane="bottomRight" state="frozen"/>
      <selection pane="topRight" activeCell="H1" sqref="H1"/>
      <selection pane="bottomLeft" activeCell="A17" sqref="A17"/>
      <selection pane="bottomRight" activeCell="C16" sqref="C16"/>
    </sheetView>
  </sheetViews>
  <sheetFormatPr defaultColWidth="19.140625" defaultRowHeight="15" customHeight="1" x14ac:dyDescent="0.25"/>
  <cols>
    <col min="1" max="2" width="9.140625" style="577" customWidth="1"/>
    <col min="3" max="3" width="37.7109375" style="387" customWidth="1"/>
    <col min="4" max="4" width="16" style="583" customWidth="1"/>
    <col min="5" max="8" width="10.7109375" style="583" customWidth="1"/>
    <col min="9" max="18" width="10.7109375" style="580" customWidth="1"/>
    <col min="19" max="31" width="19.140625" style="580"/>
    <col min="32" max="16384" width="19.140625" style="387"/>
  </cols>
  <sheetData>
    <row r="1" spans="1:18" ht="15" customHeight="1" x14ac:dyDescent="0.25">
      <c r="C1" s="430">
        <f ca="1">TODAY()</f>
        <v>46107</v>
      </c>
    </row>
    <row r="2" spans="1:18" x14ac:dyDescent="0.25">
      <c r="C2" s="389"/>
      <c r="D2" s="584"/>
      <c r="E2" s="584"/>
      <c r="F2" s="584"/>
      <c r="G2" s="584"/>
      <c r="H2" s="584">
        <v>381825.9</v>
      </c>
    </row>
    <row r="3" spans="1:18" x14ac:dyDescent="0.25">
      <c r="D3" s="584"/>
      <c r="E3" s="584"/>
      <c r="F3" s="584"/>
      <c r="G3" s="584"/>
      <c r="H3" s="584"/>
    </row>
    <row r="4" spans="1:18" x14ac:dyDescent="0.25">
      <c r="A4" s="581"/>
      <c r="B4" s="581"/>
      <c r="C4" s="390"/>
      <c r="D4" s="587"/>
      <c r="E4" s="588">
        <f>SUM(E7:E72)</f>
        <v>745880</v>
      </c>
      <c r="F4" s="630">
        <f>SUM(F7:F72)</f>
        <v>22400</v>
      </c>
      <c r="G4" s="630">
        <f t="shared" ref="G4:Q4" si="0">SUM(G7:G72)</f>
        <v>103350</v>
      </c>
      <c r="H4" s="630">
        <f t="shared" si="0"/>
        <v>177750</v>
      </c>
      <c r="I4" s="630">
        <f t="shared" si="0"/>
        <v>77000</v>
      </c>
      <c r="J4" s="630">
        <f t="shared" si="0"/>
        <v>200012.79999999999</v>
      </c>
      <c r="K4" s="630">
        <f>SUM(K7:K72)</f>
        <v>50800</v>
      </c>
      <c r="L4" s="630">
        <f>SUM(L7:L72)</f>
        <v>1500</v>
      </c>
      <c r="M4" s="630">
        <f t="shared" si="0"/>
        <v>0</v>
      </c>
      <c r="N4" s="630">
        <f t="shared" si="0"/>
        <v>0</v>
      </c>
      <c r="O4" s="630">
        <f t="shared" si="0"/>
        <v>20000</v>
      </c>
      <c r="P4" s="630">
        <f t="shared" si="0"/>
        <v>0</v>
      </c>
      <c r="Q4" s="630">
        <f t="shared" si="0"/>
        <v>34400</v>
      </c>
      <c r="R4" s="630">
        <f t="shared" ref="R4" si="1">SUM(R7:R72)</f>
        <v>-44520</v>
      </c>
    </row>
    <row r="5" spans="1:18" ht="41.25" customHeight="1" x14ac:dyDescent="0.25">
      <c r="A5" s="578" t="s">
        <v>1</v>
      </c>
      <c r="B5" s="578"/>
      <c r="C5" s="391" t="s">
        <v>3</v>
      </c>
      <c r="D5" s="615" t="s">
        <v>4</v>
      </c>
      <c r="E5" s="627" t="s">
        <v>125</v>
      </c>
      <c r="F5" s="631" t="s">
        <v>89</v>
      </c>
      <c r="G5" s="632" t="s">
        <v>122</v>
      </c>
      <c r="H5" s="632" t="s">
        <v>127</v>
      </c>
      <c r="I5" s="633" t="s">
        <v>110</v>
      </c>
      <c r="J5" s="633" t="s">
        <v>90</v>
      </c>
      <c r="K5" s="633" t="s">
        <v>131</v>
      </c>
      <c r="L5" s="633" t="s">
        <v>58</v>
      </c>
      <c r="M5" s="633" t="s">
        <v>111</v>
      </c>
      <c r="N5" s="633" t="s">
        <v>112</v>
      </c>
      <c r="O5" s="633" t="s">
        <v>113</v>
      </c>
      <c r="P5" s="633" t="s">
        <v>114</v>
      </c>
      <c r="Q5" s="634" t="s">
        <v>118</v>
      </c>
      <c r="R5" s="634" t="s">
        <v>126</v>
      </c>
    </row>
    <row r="6" spans="1:18" ht="15" customHeight="1" x14ac:dyDescent="0.25">
      <c r="A6" s="578"/>
      <c r="B6" s="578"/>
      <c r="C6" s="603"/>
      <c r="D6" s="624"/>
      <c r="E6" s="590"/>
      <c r="F6" s="632"/>
      <c r="G6" s="632"/>
      <c r="H6" s="632"/>
      <c r="I6" s="633"/>
      <c r="J6" s="633"/>
      <c r="K6" s="633"/>
      <c r="L6" s="633"/>
      <c r="M6" s="633"/>
      <c r="N6" s="633"/>
      <c r="O6" s="633"/>
      <c r="P6" s="633"/>
      <c r="Q6" s="633"/>
      <c r="R6" s="633"/>
    </row>
    <row r="7" spans="1:18" ht="15" customHeight="1" x14ac:dyDescent="0.25">
      <c r="A7" s="578">
        <v>45953</v>
      </c>
      <c r="B7" s="626" t="s">
        <v>43</v>
      </c>
      <c r="C7" s="603" t="s">
        <v>121</v>
      </c>
      <c r="D7" s="624">
        <v>222300</v>
      </c>
      <c r="E7" s="590">
        <v>194880</v>
      </c>
      <c r="F7" s="590"/>
      <c r="G7" s="590"/>
      <c r="H7" s="590"/>
      <c r="I7" s="589"/>
      <c r="J7" s="589"/>
      <c r="K7" s="589"/>
      <c r="L7" s="589"/>
      <c r="M7" s="589"/>
      <c r="N7" s="589"/>
      <c r="O7" s="589">
        <v>20000</v>
      </c>
      <c r="P7" s="589"/>
      <c r="Q7" s="589"/>
      <c r="R7" s="580">
        <f>SUM(E7:Q7)-D7</f>
        <v>-7420</v>
      </c>
    </row>
    <row r="8" spans="1:18" ht="15" customHeight="1" x14ac:dyDescent="0.25">
      <c r="A8" s="578">
        <v>45961</v>
      </c>
      <c r="B8" s="626" t="s">
        <v>132</v>
      </c>
      <c r="C8" s="603" t="s">
        <v>133</v>
      </c>
      <c r="D8" s="624">
        <v>201612.79999999999</v>
      </c>
      <c r="E8" s="590"/>
      <c r="F8" s="590"/>
      <c r="G8" s="590"/>
      <c r="H8" s="590"/>
      <c r="I8" s="589"/>
      <c r="J8" s="589">
        <v>158012.79999999999</v>
      </c>
      <c r="K8" s="589">
        <f>24600+2500+15000</f>
        <v>42100</v>
      </c>
      <c r="L8" s="589">
        <v>1500</v>
      </c>
      <c r="M8" s="589"/>
      <c r="N8" s="589"/>
      <c r="O8" s="589"/>
      <c r="P8" s="589"/>
      <c r="Q8" s="589"/>
      <c r="R8" s="580">
        <f t="shared" ref="R8:R11" si="2">SUM(E8:Q8)-D8</f>
        <v>0</v>
      </c>
    </row>
    <row r="9" spans="1:18" ht="15" customHeight="1" x14ac:dyDescent="0.25">
      <c r="A9" s="578">
        <v>45979</v>
      </c>
      <c r="B9" s="626" t="s">
        <v>43</v>
      </c>
      <c r="C9" s="603" t="s">
        <v>120</v>
      </c>
      <c r="D9" s="624">
        <f>26500*3.9</f>
        <v>103350</v>
      </c>
      <c r="E9" s="590"/>
      <c r="F9" s="590"/>
      <c r="G9" s="590">
        <v>103350</v>
      </c>
      <c r="H9" s="590"/>
      <c r="I9" s="589"/>
      <c r="J9" s="589"/>
      <c r="K9" s="589"/>
      <c r="L9" s="589"/>
      <c r="M9" s="589"/>
      <c r="N9" s="589"/>
      <c r="O9" s="589"/>
      <c r="P9" s="589"/>
      <c r="Q9" s="589"/>
      <c r="R9" s="580">
        <f t="shared" si="2"/>
        <v>0</v>
      </c>
    </row>
    <row r="10" spans="1:18" ht="15" customHeight="1" x14ac:dyDescent="0.25">
      <c r="A10" s="408">
        <v>45979</v>
      </c>
      <c r="B10" s="585" t="s">
        <v>115</v>
      </c>
      <c r="C10" s="603" t="s">
        <v>95</v>
      </c>
      <c r="D10" s="625">
        <v>39000</v>
      </c>
      <c r="E10" s="628"/>
      <c r="F10" s="628"/>
      <c r="G10" s="628"/>
      <c r="H10" s="628"/>
      <c r="I10" s="592">
        <f>+D10</f>
        <v>39000</v>
      </c>
      <c r="J10" s="592"/>
      <c r="K10" s="592"/>
      <c r="L10" s="592"/>
      <c r="M10" s="592"/>
      <c r="N10" s="592"/>
      <c r="O10" s="592"/>
      <c r="P10" s="592"/>
      <c r="Q10" s="592"/>
      <c r="R10" s="580">
        <f t="shared" si="2"/>
        <v>0</v>
      </c>
    </row>
    <row r="11" spans="1:18" ht="15" customHeight="1" x14ac:dyDescent="0.25">
      <c r="A11" s="408">
        <v>45980</v>
      </c>
      <c r="B11" s="585" t="s">
        <v>115</v>
      </c>
      <c r="C11" s="603" t="s">
        <v>106</v>
      </c>
      <c r="D11" s="616">
        <v>38000</v>
      </c>
      <c r="E11" s="629"/>
      <c r="F11" s="629"/>
      <c r="G11" s="629"/>
      <c r="H11" s="629"/>
      <c r="I11" s="592">
        <f>+D11</f>
        <v>38000</v>
      </c>
      <c r="J11" s="592"/>
      <c r="K11" s="592"/>
      <c r="L11" s="592"/>
      <c r="M11" s="592"/>
      <c r="N11" s="592"/>
      <c r="O11" s="592"/>
      <c r="P11" s="592"/>
      <c r="Q11" s="592"/>
      <c r="R11" s="580">
        <f t="shared" si="2"/>
        <v>0</v>
      </c>
    </row>
    <row r="12" spans="1:18" ht="15" customHeight="1" x14ac:dyDescent="0.25">
      <c r="A12" s="408">
        <v>45984</v>
      </c>
      <c r="B12" s="585" t="s">
        <v>116</v>
      </c>
      <c r="C12" s="603" t="s">
        <v>117</v>
      </c>
      <c r="D12" s="616">
        <v>632500</v>
      </c>
      <c r="E12" s="629">
        <v>551000</v>
      </c>
      <c r="F12" s="629"/>
      <c r="G12" s="629"/>
      <c r="H12" s="629">
        <v>81500</v>
      </c>
      <c r="I12" s="592"/>
      <c r="J12" s="592"/>
      <c r="K12" s="592"/>
      <c r="L12" s="592"/>
      <c r="M12" s="592"/>
      <c r="N12" s="592"/>
      <c r="O12" s="592"/>
      <c r="P12" s="592"/>
      <c r="Q12" s="592"/>
      <c r="R12" s="580">
        <f>SUM(E12:Q12)-D12</f>
        <v>0</v>
      </c>
    </row>
    <row r="13" spans="1:18" ht="15" customHeight="1" x14ac:dyDescent="0.25">
      <c r="A13" s="585">
        <v>45986</v>
      </c>
      <c r="B13" s="585" t="s">
        <v>123</v>
      </c>
      <c r="C13" s="603" t="s">
        <v>124</v>
      </c>
      <c r="D13" s="616">
        <f>1375*70</f>
        <v>96250</v>
      </c>
      <c r="E13" s="629"/>
      <c r="F13" s="629"/>
      <c r="G13" s="629"/>
      <c r="H13" s="629">
        <f>+D13</f>
        <v>96250</v>
      </c>
      <c r="I13" s="592"/>
      <c r="J13" s="592"/>
      <c r="K13" s="592"/>
      <c r="L13" s="592"/>
      <c r="M13" s="592"/>
      <c r="N13" s="592"/>
      <c r="O13" s="592"/>
      <c r="P13" s="592"/>
      <c r="Q13" s="592"/>
      <c r="R13" s="580">
        <f>SUM(E13:Q13)-D13</f>
        <v>0</v>
      </c>
    </row>
    <row r="14" spans="1:18" ht="15" customHeight="1" x14ac:dyDescent="0.25">
      <c r="A14" s="585">
        <v>45987</v>
      </c>
      <c r="B14" s="585" t="s">
        <v>129</v>
      </c>
      <c r="C14" s="603" t="s">
        <v>130</v>
      </c>
      <c r="D14" s="616">
        <v>73100</v>
      </c>
      <c r="E14" s="629"/>
      <c r="F14" s="629">
        <f>320*70</f>
        <v>22400</v>
      </c>
      <c r="G14" s="629"/>
      <c r="H14" s="629"/>
      <c r="I14" s="592"/>
      <c r="J14" s="592">
        <v>42000</v>
      </c>
      <c r="K14" s="592">
        <f>6200+2500</f>
        <v>8700</v>
      </c>
      <c r="L14" s="592"/>
      <c r="M14" s="592"/>
      <c r="N14" s="592"/>
      <c r="O14" s="592"/>
      <c r="P14" s="592"/>
      <c r="Q14" s="592"/>
      <c r="R14" s="580">
        <f>SUM(E14:Q14)-D14</f>
        <v>0</v>
      </c>
    </row>
    <row r="15" spans="1:18" ht="15" customHeight="1" x14ac:dyDescent="0.25">
      <c r="A15" s="579">
        <v>45986</v>
      </c>
      <c r="B15" s="623" t="s">
        <v>43</v>
      </c>
      <c r="C15" s="603" t="s">
        <v>119</v>
      </c>
      <c r="D15" s="616">
        <f>8820.5*3.9+0.05</f>
        <v>34400</v>
      </c>
      <c r="E15" s="629"/>
      <c r="F15" s="629"/>
      <c r="G15" s="629"/>
      <c r="H15" s="629"/>
      <c r="I15" s="592"/>
      <c r="J15" s="592"/>
      <c r="K15" s="592"/>
      <c r="L15" s="592"/>
      <c r="M15" s="592"/>
      <c r="N15" s="592"/>
      <c r="O15" s="592"/>
      <c r="P15" s="592"/>
      <c r="Q15" s="592">
        <f>+D15</f>
        <v>34400</v>
      </c>
      <c r="R15" s="580">
        <f>SUM(E15:Q15)-D15</f>
        <v>0</v>
      </c>
    </row>
    <row r="16" spans="1:18" ht="15" customHeight="1" x14ac:dyDescent="0.25">
      <c r="A16" s="579">
        <v>45987</v>
      </c>
      <c r="B16" s="623" t="s">
        <v>129</v>
      </c>
      <c r="C16" s="603" t="s">
        <v>183</v>
      </c>
      <c r="D16" s="616">
        <f>530*70</f>
        <v>37100</v>
      </c>
      <c r="E16" s="611"/>
      <c r="F16" s="611"/>
      <c r="G16" s="611"/>
      <c r="H16" s="611"/>
      <c r="I16" s="592"/>
      <c r="J16" s="592"/>
      <c r="K16" s="592"/>
      <c r="L16" s="592"/>
      <c r="M16" s="592"/>
      <c r="N16" s="592"/>
      <c r="O16" s="592"/>
      <c r="P16" s="592"/>
      <c r="Q16" s="592"/>
      <c r="R16" s="580">
        <f>SUM(E16:Q16)-D16</f>
        <v>-37100</v>
      </c>
    </row>
    <row r="17" spans="1:17" ht="15" customHeight="1" x14ac:dyDescent="0.25">
      <c r="A17" s="579"/>
      <c r="B17" s="579"/>
      <c r="C17" s="603"/>
      <c r="D17" s="616"/>
      <c r="E17" s="611"/>
      <c r="F17" s="611"/>
      <c r="G17" s="611"/>
      <c r="H17" s="611"/>
      <c r="I17" s="592"/>
      <c r="J17" s="592"/>
      <c r="K17" s="592"/>
      <c r="L17" s="592"/>
      <c r="M17" s="592"/>
      <c r="N17" s="592"/>
      <c r="O17" s="592"/>
      <c r="P17" s="592"/>
      <c r="Q17" s="592"/>
    </row>
    <row r="18" spans="1:17" ht="15" customHeight="1" x14ac:dyDescent="0.25">
      <c r="A18" s="579"/>
      <c r="B18" s="579"/>
      <c r="C18" s="603"/>
      <c r="D18" s="616"/>
      <c r="E18" s="611"/>
      <c r="F18" s="611"/>
      <c r="G18" s="611"/>
      <c r="H18" s="611"/>
      <c r="I18" s="592"/>
      <c r="J18" s="592"/>
      <c r="K18" s="592"/>
      <c r="L18" s="592"/>
      <c r="M18" s="592"/>
      <c r="N18" s="592"/>
      <c r="O18" s="592"/>
      <c r="P18" s="592"/>
      <c r="Q18" s="592"/>
    </row>
    <row r="19" spans="1:17" ht="15" customHeight="1" x14ac:dyDescent="0.25">
      <c r="A19" s="579"/>
      <c r="B19" s="579"/>
      <c r="C19" s="604"/>
      <c r="D19" s="616"/>
      <c r="E19" s="611"/>
      <c r="F19" s="611"/>
      <c r="G19" s="611"/>
      <c r="H19" s="611"/>
      <c r="I19" s="593"/>
      <c r="J19" s="593"/>
      <c r="K19" s="593"/>
      <c r="L19" s="593"/>
      <c r="M19" s="592"/>
      <c r="N19" s="592"/>
      <c r="O19" s="592"/>
      <c r="P19" s="592"/>
      <c r="Q19" s="592"/>
    </row>
    <row r="20" spans="1:17" x14ac:dyDescent="0.25">
      <c r="A20" s="579"/>
      <c r="B20" s="579"/>
      <c r="C20" s="603"/>
      <c r="D20" s="616"/>
      <c r="E20" s="611"/>
      <c r="F20" s="611"/>
      <c r="G20" s="611"/>
      <c r="H20" s="611"/>
      <c r="I20" s="592"/>
      <c r="J20" s="592"/>
      <c r="K20" s="592"/>
      <c r="L20" s="592"/>
      <c r="M20" s="592"/>
      <c r="N20" s="592"/>
      <c r="O20" s="592"/>
      <c r="P20" s="592"/>
      <c r="Q20" s="592"/>
    </row>
    <row r="21" spans="1:17" ht="15.75" x14ac:dyDescent="0.25">
      <c r="A21" s="579"/>
      <c r="B21" s="579"/>
      <c r="C21" s="604"/>
      <c r="D21" s="616"/>
      <c r="E21" s="611"/>
      <c r="F21" s="611"/>
      <c r="G21" s="611"/>
      <c r="H21" s="611"/>
      <c r="I21" s="594"/>
      <c r="J21" s="594"/>
      <c r="K21" s="594"/>
      <c r="L21" s="594"/>
      <c r="M21" s="595"/>
      <c r="N21" s="595"/>
      <c r="O21" s="592"/>
      <c r="P21" s="592"/>
      <c r="Q21" s="592"/>
    </row>
    <row r="22" spans="1:17" x14ac:dyDescent="0.25">
      <c r="A22" s="579"/>
      <c r="B22" s="579"/>
      <c r="C22" s="605"/>
      <c r="D22" s="616"/>
      <c r="E22" s="611"/>
      <c r="F22" s="611"/>
      <c r="G22" s="611"/>
      <c r="H22" s="611"/>
      <c r="I22" s="592"/>
      <c r="J22" s="592"/>
      <c r="K22" s="592"/>
      <c r="L22" s="592"/>
      <c r="M22" s="592"/>
      <c r="N22" s="592"/>
      <c r="O22" s="592"/>
      <c r="P22" s="592"/>
      <c r="Q22" s="592"/>
    </row>
    <row r="23" spans="1:17" x14ac:dyDescent="0.25">
      <c r="A23" s="579"/>
      <c r="B23" s="579"/>
      <c r="C23" s="606"/>
      <c r="D23" s="616"/>
      <c r="E23" s="611"/>
      <c r="F23" s="611"/>
      <c r="G23" s="611"/>
      <c r="H23" s="611"/>
      <c r="I23" s="592"/>
      <c r="J23" s="592"/>
      <c r="K23" s="592"/>
      <c r="L23" s="592"/>
      <c r="M23" s="592"/>
      <c r="N23" s="592"/>
      <c r="O23" s="592"/>
      <c r="P23" s="592"/>
      <c r="Q23" s="592"/>
    </row>
    <row r="24" spans="1:17" ht="15.75" customHeight="1" x14ac:dyDescent="0.3">
      <c r="A24" s="579"/>
      <c r="B24" s="579"/>
      <c r="C24" s="606"/>
      <c r="D24" s="616"/>
      <c r="E24" s="611"/>
      <c r="F24" s="611"/>
      <c r="G24" s="611"/>
      <c r="H24" s="611"/>
      <c r="I24" s="596"/>
      <c r="J24" s="596"/>
      <c r="K24" s="596"/>
      <c r="L24" s="596"/>
      <c r="M24" s="597"/>
      <c r="N24" s="598"/>
      <c r="O24" s="597"/>
      <c r="P24" s="592"/>
      <c r="Q24" s="592"/>
    </row>
    <row r="25" spans="1:17" x14ac:dyDescent="0.25">
      <c r="A25" s="579"/>
      <c r="B25" s="579"/>
      <c r="C25" s="606"/>
      <c r="D25" s="616"/>
      <c r="E25" s="611"/>
      <c r="F25" s="611"/>
      <c r="G25" s="611"/>
      <c r="H25" s="611"/>
      <c r="I25" s="593"/>
      <c r="J25" s="593"/>
      <c r="K25" s="593"/>
      <c r="L25" s="593"/>
      <c r="M25" s="912"/>
      <c r="N25" s="912"/>
      <c r="O25" s="597"/>
      <c r="P25" s="592"/>
      <c r="Q25" s="592"/>
    </row>
    <row r="26" spans="1:17" x14ac:dyDescent="0.25">
      <c r="A26" s="579"/>
      <c r="B26" s="579"/>
      <c r="C26" s="606"/>
      <c r="D26" s="616"/>
      <c r="E26" s="611"/>
      <c r="F26" s="611"/>
      <c r="G26" s="611"/>
      <c r="H26" s="611"/>
      <c r="I26" s="593"/>
      <c r="J26" s="593"/>
      <c r="K26" s="593"/>
      <c r="L26" s="593"/>
      <c r="M26" s="597"/>
      <c r="N26" s="597"/>
      <c r="O26" s="591"/>
      <c r="P26" s="592"/>
      <c r="Q26" s="592"/>
    </row>
    <row r="27" spans="1:17" x14ac:dyDescent="0.25">
      <c r="A27" s="579"/>
      <c r="B27" s="579"/>
      <c r="C27" s="606"/>
      <c r="D27" s="616"/>
      <c r="E27" s="611"/>
      <c r="F27" s="611"/>
      <c r="G27" s="611"/>
      <c r="H27" s="611"/>
      <c r="I27" s="593"/>
      <c r="J27" s="593"/>
      <c r="K27" s="593"/>
      <c r="L27" s="593"/>
      <c r="M27" s="597"/>
      <c r="N27" s="597"/>
      <c r="O27" s="597"/>
      <c r="P27" s="592"/>
      <c r="Q27" s="592"/>
    </row>
    <row r="28" spans="1:17" x14ac:dyDescent="0.25">
      <c r="A28" s="579"/>
      <c r="B28" s="579"/>
      <c r="C28" s="606"/>
      <c r="D28" s="616"/>
      <c r="E28" s="611"/>
      <c r="F28" s="611"/>
      <c r="G28" s="611"/>
      <c r="H28" s="611"/>
      <c r="I28" s="599"/>
      <c r="J28" s="599"/>
      <c r="K28" s="599"/>
      <c r="L28" s="599"/>
      <c r="M28" s="597"/>
      <c r="N28" s="598"/>
      <c r="O28" s="597"/>
      <c r="P28" s="592"/>
      <c r="Q28" s="592"/>
    </row>
    <row r="29" spans="1:17" ht="15.75" customHeight="1" x14ac:dyDescent="0.25">
      <c r="A29" s="579"/>
      <c r="B29" s="579"/>
      <c r="C29" s="606"/>
      <c r="D29" s="616"/>
      <c r="E29" s="611"/>
      <c r="F29" s="611"/>
      <c r="G29" s="611"/>
      <c r="H29" s="611"/>
      <c r="I29" s="593"/>
      <c r="J29" s="593"/>
      <c r="K29" s="593"/>
      <c r="L29" s="593"/>
      <c r="M29" s="597"/>
      <c r="N29" s="598"/>
      <c r="O29" s="597"/>
      <c r="P29" s="592"/>
      <c r="Q29" s="592"/>
    </row>
    <row r="30" spans="1:17" ht="15.75" customHeight="1" x14ac:dyDescent="0.25">
      <c r="A30" s="579"/>
      <c r="B30" s="579"/>
      <c r="C30" s="603"/>
      <c r="D30" s="616"/>
      <c r="E30" s="611"/>
      <c r="F30" s="611"/>
      <c r="G30" s="611"/>
      <c r="H30" s="611"/>
      <c r="I30" s="592"/>
      <c r="J30" s="592"/>
      <c r="K30" s="592"/>
      <c r="L30" s="592"/>
      <c r="M30" s="597"/>
      <c r="N30" s="598"/>
      <c r="O30" s="597"/>
      <c r="P30" s="592"/>
      <c r="Q30" s="592"/>
    </row>
    <row r="31" spans="1:17" ht="15.75" customHeight="1" x14ac:dyDescent="0.25">
      <c r="A31" s="579"/>
      <c r="B31" s="579"/>
      <c r="C31" s="603"/>
      <c r="D31" s="616"/>
      <c r="E31" s="611"/>
      <c r="F31" s="611"/>
      <c r="G31" s="611"/>
      <c r="H31" s="611"/>
      <c r="I31" s="592"/>
      <c r="J31" s="592"/>
      <c r="K31" s="592"/>
      <c r="L31" s="592"/>
      <c r="M31" s="597"/>
      <c r="N31" s="598"/>
      <c r="O31" s="597"/>
      <c r="P31" s="592"/>
      <c r="Q31" s="592"/>
    </row>
    <row r="32" spans="1:17" ht="15.75" customHeight="1" x14ac:dyDescent="0.25">
      <c r="A32" s="579"/>
      <c r="B32" s="579"/>
      <c r="C32" s="603"/>
      <c r="D32" s="616"/>
      <c r="E32" s="611"/>
      <c r="F32" s="611"/>
      <c r="G32" s="611"/>
      <c r="H32" s="611"/>
      <c r="I32" s="592"/>
      <c r="J32" s="592"/>
      <c r="K32" s="592"/>
      <c r="L32" s="592"/>
      <c r="M32" s="597"/>
      <c r="N32" s="598"/>
      <c r="O32" s="597"/>
      <c r="P32" s="592"/>
      <c r="Q32" s="592"/>
    </row>
    <row r="33" spans="1:17" ht="15.75" customHeight="1" x14ac:dyDescent="0.25">
      <c r="A33" s="579"/>
      <c r="B33" s="579"/>
      <c r="C33" s="606"/>
      <c r="D33" s="616"/>
      <c r="E33" s="611"/>
      <c r="F33" s="611"/>
      <c r="G33" s="611"/>
      <c r="H33" s="611"/>
      <c r="I33" s="592"/>
      <c r="J33" s="592"/>
      <c r="K33" s="592"/>
      <c r="L33" s="592"/>
      <c r="M33" s="597"/>
      <c r="N33" s="598"/>
      <c r="O33" s="597"/>
      <c r="P33" s="592"/>
      <c r="Q33" s="592"/>
    </row>
    <row r="34" spans="1:17" ht="15.75" customHeight="1" x14ac:dyDescent="0.25">
      <c r="A34" s="579"/>
      <c r="B34" s="579"/>
      <c r="C34" s="606"/>
      <c r="D34" s="616"/>
      <c r="E34" s="611"/>
      <c r="F34" s="611"/>
      <c r="G34" s="611"/>
      <c r="H34" s="611"/>
      <c r="I34" s="592"/>
      <c r="J34" s="592"/>
      <c r="K34" s="592"/>
      <c r="L34" s="592"/>
      <c r="M34" s="600"/>
      <c r="N34" s="601"/>
      <c r="O34" s="597"/>
      <c r="P34" s="592"/>
      <c r="Q34" s="592"/>
    </row>
    <row r="35" spans="1:17" ht="15.75" customHeight="1" x14ac:dyDescent="0.25">
      <c r="A35" s="579"/>
      <c r="B35" s="579"/>
      <c r="C35" s="606"/>
      <c r="D35" s="616"/>
      <c r="E35" s="611"/>
      <c r="F35" s="611"/>
      <c r="G35" s="611"/>
      <c r="H35" s="611"/>
      <c r="I35" s="592"/>
      <c r="J35" s="592"/>
      <c r="K35" s="592"/>
      <c r="L35" s="592"/>
      <c r="M35" s="592"/>
      <c r="N35" s="602"/>
      <c r="O35" s="592"/>
      <c r="P35" s="592"/>
      <c r="Q35" s="592"/>
    </row>
    <row r="36" spans="1:17" ht="15.75" customHeight="1" x14ac:dyDescent="0.25">
      <c r="A36" s="579"/>
      <c r="B36" s="579"/>
      <c r="C36" s="603"/>
      <c r="D36" s="616"/>
      <c r="E36" s="611"/>
      <c r="F36" s="611"/>
      <c r="G36" s="611"/>
      <c r="H36" s="611"/>
      <c r="I36" s="592"/>
      <c r="J36" s="592"/>
      <c r="K36" s="592"/>
      <c r="L36" s="592"/>
      <c r="M36" s="592"/>
      <c r="N36" s="602"/>
      <c r="O36" s="592"/>
      <c r="P36" s="592"/>
      <c r="Q36" s="592"/>
    </row>
    <row r="37" spans="1:17" ht="15.75" customHeight="1" x14ac:dyDescent="0.25">
      <c r="A37" s="579"/>
      <c r="B37" s="579"/>
      <c r="C37" s="603"/>
      <c r="D37" s="616"/>
      <c r="E37" s="611"/>
      <c r="F37" s="611"/>
      <c r="G37" s="611"/>
      <c r="H37" s="611"/>
      <c r="I37" s="592"/>
      <c r="J37" s="592"/>
      <c r="K37" s="592"/>
      <c r="L37" s="592"/>
      <c r="M37" s="592"/>
      <c r="N37" s="602"/>
      <c r="O37" s="592"/>
      <c r="P37" s="592"/>
      <c r="Q37" s="592"/>
    </row>
    <row r="38" spans="1:17" ht="15.75" customHeight="1" x14ac:dyDescent="0.25">
      <c r="A38" s="579"/>
      <c r="B38" s="579"/>
      <c r="C38" s="606"/>
      <c r="D38" s="617"/>
      <c r="E38" s="612"/>
      <c r="F38" s="612"/>
      <c r="G38" s="612"/>
      <c r="H38" s="612"/>
      <c r="I38" s="592"/>
      <c r="J38" s="592"/>
      <c r="K38" s="592"/>
      <c r="L38" s="592"/>
      <c r="M38" s="592"/>
      <c r="N38" s="602"/>
      <c r="O38" s="592"/>
      <c r="P38" s="592"/>
      <c r="Q38" s="592"/>
    </row>
    <row r="39" spans="1:17" ht="15.75" customHeight="1" x14ac:dyDescent="0.25">
      <c r="A39" s="579"/>
      <c r="B39" s="579"/>
      <c r="C39" s="603"/>
      <c r="D39" s="617"/>
      <c r="E39" s="612"/>
      <c r="F39" s="612"/>
      <c r="G39" s="612"/>
      <c r="H39" s="612"/>
      <c r="I39" s="593"/>
      <c r="J39" s="593"/>
      <c r="K39" s="593"/>
      <c r="L39" s="593"/>
      <c r="M39" s="592"/>
      <c r="N39" s="602"/>
      <c r="O39" s="592"/>
      <c r="P39" s="592"/>
      <c r="Q39" s="592"/>
    </row>
    <row r="40" spans="1:17" ht="15.75" customHeight="1" x14ac:dyDescent="0.25">
      <c r="A40" s="579"/>
      <c r="B40" s="579"/>
      <c r="C40" s="603"/>
      <c r="D40" s="617"/>
      <c r="E40" s="612"/>
      <c r="F40" s="612"/>
      <c r="G40" s="612"/>
      <c r="H40" s="612"/>
      <c r="I40" s="592"/>
      <c r="J40" s="592"/>
      <c r="K40" s="592"/>
      <c r="L40" s="592"/>
      <c r="M40" s="592"/>
      <c r="N40" s="602"/>
      <c r="O40" s="592"/>
      <c r="P40" s="592"/>
      <c r="Q40" s="592"/>
    </row>
    <row r="41" spans="1:17" ht="15.75" customHeight="1" x14ac:dyDescent="0.25">
      <c r="A41" s="579"/>
      <c r="B41" s="579"/>
      <c r="C41" s="603"/>
      <c r="D41" s="617"/>
      <c r="E41" s="612"/>
      <c r="F41" s="612"/>
      <c r="G41" s="612"/>
      <c r="H41" s="612"/>
      <c r="I41" s="592"/>
      <c r="J41" s="592"/>
      <c r="K41" s="592"/>
      <c r="L41" s="592"/>
      <c r="M41" s="592"/>
      <c r="N41" s="602"/>
      <c r="O41" s="592"/>
      <c r="P41" s="592"/>
      <c r="Q41" s="592"/>
    </row>
    <row r="42" spans="1:17" ht="15.75" customHeight="1" x14ac:dyDescent="0.25">
      <c r="A42" s="579"/>
      <c r="B42" s="579"/>
      <c r="C42" s="603"/>
      <c r="D42" s="617"/>
      <c r="E42" s="612"/>
      <c r="F42" s="612"/>
      <c r="G42" s="612"/>
      <c r="H42" s="612"/>
      <c r="I42" s="592"/>
      <c r="J42" s="592"/>
      <c r="K42" s="592"/>
      <c r="L42" s="592"/>
      <c r="M42" s="592"/>
      <c r="N42" s="602"/>
      <c r="O42" s="592"/>
      <c r="P42" s="592"/>
      <c r="Q42" s="592"/>
    </row>
    <row r="43" spans="1:17" ht="15.75" customHeight="1" x14ac:dyDescent="0.25">
      <c r="A43" s="579"/>
      <c r="B43" s="579"/>
      <c r="C43" s="603"/>
      <c r="D43" s="617"/>
      <c r="E43" s="612"/>
      <c r="F43" s="612"/>
      <c r="G43" s="612"/>
      <c r="H43" s="612"/>
      <c r="I43" s="592"/>
      <c r="J43" s="592"/>
      <c r="K43" s="592"/>
      <c r="L43" s="592"/>
      <c r="M43" s="592"/>
      <c r="N43" s="602"/>
      <c r="O43" s="592"/>
      <c r="P43" s="592"/>
      <c r="Q43" s="592"/>
    </row>
    <row r="44" spans="1:17" ht="15.75" customHeight="1" x14ac:dyDescent="0.25">
      <c r="A44" s="579"/>
      <c r="B44" s="579"/>
      <c r="C44" s="603"/>
      <c r="D44" s="617"/>
      <c r="E44" s="612"/>
      <c r="F44" s="612"/>
      <c r="G44" s="612"/>
      <c r="H44" s="612"/>
      <c r="I44" s="592"/>
      <c r="J44" s="592"/>
      <c r="K44" s="592"/>
      <c r="L44" s="592"/>
      <c r="M44" s="592"/>
      <c r="N44" s="602"/>
      <c r="O44" s="592"/>
      <c r="P44" s="592"/>
      <c r="Q44" s="592"/>
    </row>
    <row r="45" spans="1:17" ht="15.75" customHeight="1" x14ac:dyDescent="0.25">
      <c r="A45" s="579"/>
      <c r="B45" s="579"/>
      <c r="C45" s="603"/>
      <c r="D45" s="617"/>
      <c r="E45" s="612"/>
      <c r="F45" s="612"/>
      <c r="G45" s="612"/>
      <c r="H45" s="612"/>
      <c r="I45" s="592"/>
      <c r="J45" s="592"/>
      <c r="K45" s="592"/>
      <c r="L45" s="592"/>
      <c r="M45" s="592"/>
      <c r="N45" s="602"/>
      <c r="O45" s="592"/>
      <c r="P45" s="592"/>
      <c r="Q45" s="592"/>
    </row>
    <row r="46" spans="1:17" ht="15.75" customHeight="1" x14ac:dyDescent="0.25">
      <c r="A46" s="579"/>
      <c r="B46" s="579"/>
      <c r="C46" s="603"/>
      <c r="D46" s="617"/>
      <c r="E46" s="612"/>
      <c r="F46" s="612"/>
      <c r="G46" s="612"/>
      <c r="H46" s="612"/>
      <c r="I46" s="592"/>
      <c r="J46" s="592"/>
      <c r="K46" s="592"/>
      <c r="L46" s="592"/>
      <c r="M46" s="592"/>
      <c r="N46" s="602"/>
      <c r="O46" s="592"/>
      <c r="P46" s="592"/>
      <c r="Q46" s="592"/>
    </row>
    <row r="47" spans="1:17" ht="15.75" customHeight="1" x14ac:dyDescent="0.25">
      <c r="A47" s="579"/>
      <c r="B47" s="579"/>
      <c r="C47" s="603"/>
      <c r="D47" s="617"/>
      <c r="E47" s="612"/>
      <c r="F47" s="612"/>
      <c r="G47" s="612"/>
      <c r="H47" s="612"/>
      <c r="I47" s="592"/>
      <c r="J47" s="592"/>
      <c r="K47" s="592"/>
      <c r="L47" s="592"/>
      <c r="M47" s="592"/>
      <c r="N47" s="602"/>
      <c r="O47" s="592"/>
      <c r="P47" s="592"/>
      <c r="Q47" s="592"/>
    </row>
    <row r="48" spans="1:17" ht="15.75" customHeight="1" x14ac:dyDescent="0.25">
      <c r="A48" s="579"/>
      <c r="B48" s="579"/>
      <c r="C48" s="603"/>
      <c r="D48" s="617"/>
      <c r="E48" s="612"/>
      <c r="F48" s="612"/>
      <c r="G48" s="612"/>
      <c r="H48" s="612"/>
      <c r="I48" s="592"/>
      <c r="J48" s="592"/>
      <c r="K48" s="592"/>
      <c r="L48" s="592"/>
      <c r="M48" s="592"/>
      <c r="N48" s="602"/>
      <c r="O48" s="592"/>
      <c r="P48" s="592"/>
      <c r="Q48" s="592"/>
    </row>
    <row r="49" spans="1:17" ht="15.75" customHeight="1" x14ac:dyDescent="0.25">
      <c r="A49" s="579"/>
      <c r="B49" s="579"/>
      <c r="C49" s="603"/>
      <c r="D49" s="617"/>
      <c r="E49" s="612"/>
      <c r="F49" s="612"/>
      <c r="G49" s="612"/>
      <c r="H49" s="612"/>
      <c r="I49" s="592"/>
      <c r="J49" s="592"/>
      <c r="K49" s="592"/>
      <c r="L49" s="592"/>
      <c r="M49" s="592"/>
      <c r="N49" s="602"/>
      <c r="O49" s="592"/>
      <c r="P49" s="592"/>
      <c r="Q49" s="592"/>
    </row>
    <row r="50" spans="1:17" ht="15.75" customHeight="1" x14ac:dyDescent="0.25">
      <c r="A50" s="579"/>
      <c r="B50" s="579"/>
      <c r="C50" s="603"/>
      <c r="D50" s="617"/>
      <c r="E50" s="612"/>
      <c r="F50" s="612"/>
      <c r="G50" s="612"/>
      <c r="H50" s="612"/>
      <c r="I50" s="592"/>
      <c r="J50" s="592"/>
      <c r="K50" s="592"/>
      <c r="L50" s="592"/>
      <c r="M50" s="592"/>
      <c r="N50" s="602"/>
      <c r="O50" s="592"/>
      <c r="P50" s="592"/>
      <c r="Q50" s="592"/>
    </row>
    <row r="51" spans="1:17" ht="15.75" customHeight="1" x14ac:dyDescent="0.25">
      <c r="A51" s="579"/>
      <c r="B51" s="579"/>
      <c r="C51" s="603"/>
      <c r="D51" s="617"/>
      <c r="E51" s="612"/>
      <c r="F51" s="612"/>
      <c r="G51" s="612"/>
      <c r="H51" s="612"/>
      <c r="I51" s="592"/>
      <c r="J51" s="592"/>
      <c r="K51" s="592"/>
      <c r="L51" s="592"/>
      <c r="M51" s="592"/>
      <c r="N51" s="602"/>
      <c r="O51" s="592"/>
      <c r="P51" s="592"/>
      <c r="Q51" s="592"/>
    </row>
    <row r="52" spans="1:17" ht="15.75" customHeight="1" x14ac:dyDescent="0.25">
      <c r="A52" s="579"/>
      <c r="B52" s="579"/>
      <c r="C52" s="603"/>
      <c r="D52" s="617"/>
      <c r="E52" s="612"/>
      <c r="F52" s="612"/>
      <c r="G52" s="612"/>
      <c r="H52" s="612"/>
      <c r="I52" s="592"/>
      <c r="J52" s="592"/>
      <c r="K52" s="592"/>
      <c r="L52" s="592"/>
      <c r="M52" s="592"/>
      <c r="N52" s="602"/>
      <c r="O52" s="592"/>
      <c r="P52" s="592"/>
      <c r="Q52" s="592"/>
    </row>
    <row r="53" spans="1:17" ht="15.75" customHeight="1" x14ac:dyDescent="0.25">
      <c r="A53" s="579"/>
      <c r="B53" s="579"/>
      <c r="C53" s="603"/>
      <c r="D53" s="617"/>
      <c r="E53" s="612"/>
      <c r="F53" s="612"/>
      <c r="G53" s="612"/>
      <c r="H53" s="612"/>
      <c r="I53" s="592"/>
      <c r="J53" s="592"/>
      <c r="K53" s="592"/>
      <c r="L53" s="592"/>
      <c r="M53" s="592"/>
      <c r="N53" s="602"/>
      <c r="O53" s="592"/>
      <c r="P53" s="592"/>
      <c r="Q53" s="592"/>
    </row>
    <row r="54" spans="1:17" ht="15.75" customHeight="1" x14ac:dyDescent="0.25">
      <c r="A54" s="579"/>
      <c r="B54" s="579"/>
      <c r="C54" s="603"/>
      <c r="D54" s="617"/>
      <c r="E54" s="612"/>
      <c r="F54" s="612"/>
      <c r="G54" s="612"/>
      <c r="H54" s="612"/>
      <c r="I54" s="592"/>
      <c r="J54" s="592"/>
      <c r="K54" s="592"/>
      <c r="L54" s="592"/>
      <c r="M54" s="592"/>
      <c r="N54" s="602"/>
      <c r="O54" s="592"/>
      <c r="P54" s="592"/>
      <c r="Q54" s="592"/>
    </row>
    <row r="55" spans="1:17" ht="15.75" customHeight="1" x14ac:dyDescent="0.25">
      <c r="A55" s="579"/>
      <c r="B55" s="579"/>
      <c r="C55" s="603"/>
      <c r="D55" s="617"/>
      <c r="E55" s="612"/>
      <c r="F55" s="612"/>
      <c r="G55" s="612"/>
      <c r="H55" s="612"/>
      <c r="I55" s="592"/>
      <c r="J55" s="592"/>
      <c r="K55" s="592"/>
      <c r="L55" s="592"/>
      <c r="M55" s="592"/>
      <c r="N55" s="602"/>
      <c r="O55" s="592"/>
      <c r="P55" s="592"/>
      <c r="Q55" s="592"/>
    </row>
    <row r="56" spans="1:17" ht="15.75" customHeight="1" x14ac:dyDescent="0.25">
      <c r="A56" s="579"/>
      <c r="B56" s="579"/>
      <c r="C56" s="603"/>
      <c r="D56" s="617"/>
      <c r="E56" s="612"/>
      <c r="F56" s="612"/>
      <c r="G56" s="612"/>
      <c r="H56" s="612"/>
      <c r="I56" s="592"/>
      <c r="J56" s="592"/>
      <c r="K56" s="592"/>
      <c r="L56" s="592"/>
      <c r="M56" s="592"/>
      <c r="N56" s="602"/>
      <c r="O56" s="592"/>
      <c r="P56" s="592"/>
      <c r="Q56" s="592"/>
    </row>
    <row r="57" spans="1:17" ht="15.75" customHeight="1" x14ac:dyDescent="0.25">
      <c r="A57" s="579"/>
      <c r="B57" s="579"/>
      <c r="C57" s="603"/>
      <c r="D57" s="617"/>
      <c r="E57" s="612"/>
      <c r="F57" s="612"/>
      <c r="G57" s="612"/>
      <c r="H57" s="612"/>
      <c r="I57" s="592"/>
      <c r="J57" s="592"/>
      <c r="K57" s="592"/>
      <c r="L57" s="592"/>
      <c r="M57" s="592"/>
      <c r="N57" s="602"/>
      <c r="O57" s="592"/>
      <c r="P57" s="592"/>
      <c r="Q57" s="592"/>
    </row>
    <row r="58" spans="1:17" ht="15.75" customHeight="1" x14ac:dyDescent="0.25">
      <c r="A58" s="579"/>
      <c r="B58" s="579"/>
      <c r="C58" s="603"/>
      <c r="D58" s="617"/>
      <c r="E58" s="612"/>
      <c r="F58" s="612"/>
      <c r="G58" s="612"/>
      <c r="H58" s="612"/>
      <c r="I58" s="592"/>
      <c r="J58" s="592"/>
      <c r="K58" s="592"/>
      <c r="L58" s="592"/>
      <c r="M58" s="592"/>
      <c r="N58" s="602"/>
      <c r="O58" s="592"/>
      <c r="P58" s="592"/>
      <c r="Q58" s="592"/>
    </row>
    <row r="59" spans="1:17" ht="15.75" customHeight="1" x14ac:dyDescent="0.25">
      <c r="A59" s="579"/>
      <c r="B59" s="579"/>
      <c r="C59" s="603"/>
      <c r="D59" s="617"/>
      <c r="E59" s="612"/>
      <c r="F59" s="612"/>
      <c r="G59" s="612"/>
      <c r="H59" s="612"/>
      <c r="I59" s="592"/>
      <c r="J59" s="592"/>
      <c r="K59" s="592"/>
      <c r="L59" s="592"/>
      <c r="M59" s="592"/>
      <c r="N59" s="602"/>
      <c r="O59" s="592"/>
      <c r="P59" s="592"/>
      <c r="Q59" s="592"/>
    </row>
    <row r="60" spans="1:17" ht="15.75" customHeight="1" x14ac:dyDescent="0.25">
      <c r="A60" s="579"/>
      <c r="B60" s="579"/>
      <c r="C60" s="603"/>
      <c r="D60" s="617"/>
      <c r="E60" s="612"/>
      <c r="F60" s="612"/>
      <c r="G60" s="612"/>
      <c r="H60" s="612"/>
      <c r="I60" s="592"/>
      <c r="J60" s="592"/>
      <c r="K60" s="592"/>
      <c r="L60" s="592"/>
      <c r="M60" s="592"/>
      <c r="N60" s="602"/>
      <c r="O60" s="592"/>
      <c r="P60" s="592"/>
      <c r="Q60" s="592"/>
    </row>
    <row r="61" spans="1:17" ht="15.75" customHeight="1" x14ac:dyDescent="0.25">
      <c r="A61" s="579"/>
      <c r="B61" s="579"/>
      <c r="C61" s="603"/>
      <c r="D61" s="617"/>
      <c r="E61" s="612"/>
      <c r="F61" s="612"/>
      <c r="G61" s="612"/>
      <c r="H61" s="612"/>
      <c r="I61" s="592"/>
      <c r="J61" s="592"/>
      <c r="K61" s="592"/>
      <c r="L61" s="592"/>
      <c r="M61" s="592"/>
      <c r="N61" s="602"/>
      <c r="O61" s="592"/>
      <c r="P61" s="592"/>
      <c r="Q61" s="592"/>
    </row>
    <row r="62" spans="1:17" ht="15.75" customHeight="1" x14ac:dyDescent="0.25">
      <c r="A62" s="579"/>
      <c r="B62" s="579"/>
      <c r="C62" s="603"/>
      <c r="D62" s="617"/>
      <c r="E62" s="612"/>
      <c r="F62" s="612"/>
      <c r="G62" s="612"/>
      <c r="H62" s="612"/>
      <c r="I62" s="592"/>
      <c r="J62" s="592"/>
      <c r="K62" s="592"/>
      <c r="L62" s="592"/>
      <c r="M62" s="592"/>
      <c r="N62" s="602"/>
      <c r="O62" s="592"/>
      <c r="P62" s="592"/>
      <c r="Q62" s="592"/>
    </row>
    <row r="63" spans="1:17" ht="15.75" customHeight="1" x14ac:dyDescent="0.25">
      <c r="A63" s="579"/>
      <c r="B63" s="579"/>
      <c r="C63" s="603"/>
      <c r="D63" s="617"/>
      <c r="E63" s="612"/>
      <c r="F63" s="612"/>
      <c r="G63" s="612"/>
      <c r="H63" s="612"/>
      <c r="I63" s="592"/>
      <c r="J63" s="592"/>
      <c r="K63" s="592"/>
      <c r="L63" s="592"/>
      <c r="M63" s="592"/>
      <c r="N63" s="602"/>
      <c r="O63" s="592"/>
      <c r="P63" s="592"/>
      <c r="Q63" s="592"/>
    </row>
    <row r="64" spans="1:17" ht="15.75" customHeight="1" x14ac:dyDescent="0.25">
      <c r="A64" s="579"/>
      <c r="B64" s="579"/>
      <c r="C64" s="603"/>
      <c r="D64" s="617"/>
      <c r="E64" s="612"/>
      <c r="F64" s="612"/>
      <c r="G64" s="612"/>
      <c r="H64" s="612"/>
      <c r="I64" s="592"/>
      <c r="J64" s="592"/>
      <c r="K64" s="592"/>
      <c r="L64" s="592"/>
      <c r="M64" s="592"/>
      <c r="N64" s="602"/>
      <c r="O64" s="592"/>
      <c r="P64" s="592"/>
      <c r="Q64" s="592"/>
    </row>
    <row r="65" spans="1:17" ht="15.75" customHeight="1" x14ac:dyDescent="0.25">
      <c r="A65" s="579"/>
      <c r="B65" s="579"/>
      <c r="C65" s="603"/>
      <c r="D65" s="617"/>
      <c r="E65" s="612"/>
      <c r="F65" s="612"/>
      <c r="G65" s="612"/>
      <c r="H65" s="612"/>
      <c r="I65" s="592"/>
      <c r="J65" s="592"/>
      <c r="K65" s="592"/>
      <c r="L65" s="592"/>
      <c r="M65" s="592"/>
      <c r="N65" s="602"/>
      <c r="O65" s="592"/>
      <c r="P65" s="592"/>
      <c r="Q65" s="592"/>
    </row>
    <row r="66" spans="1:17" ht="15.75" customHeight="1" x14ac:dyDescent="0.25">
      <c r="A66" s="579"/>
      <c r="B66" s="579"/>
      <c r="C66" s="607"/>
      <c r="D66" s="618"/>
      <c r="E66" s="613"/>
      <c r="F66" s="613"/>
      <c r="G66" s="613"/>
      <c r="H66" s="613"/>
      <c r="I66" s="592"/>
      <c r="J66" s="592"/>
      <c r="K66" s="592"/>
      <c r="L66" s="592"/>
      <c r="M66" s="592"/>
      <c r="N66" s="602"/>
      <c r="O66" s="592"/>
      <c r="P66" s="592"/>
      <c r="Q66" s="592"/>
    </row>
    <row r="67" spans="1:17" ht="15.75" customHeight="1" x14ac:dyDescent="0.25">
      <c r="A67" s="579"/>
      <c r="B67" s="579"/>
      <c r="C67" s="603"/>
      <c r="D67" s="617"/>
      <c r="E67" s="612"/>
      <c r="F67" s="612"/>
      <c r="G67" s="612"/>
      <c r="H67" s="612"/>
      <c r="I67" s="592"/>
      <c r="J67" s="592"/>
      <c r="K67" s="592"/>
      <c r="L67" s="592"/>
      <c r="M67" s="592"/>
      <c r="N67" s="602"/>
      <c r="O67" s="592"/>
      <c r="P67" s="592"/>
      <c r="Q67" s="592"/>
    </row>
    <row r="68" spans="1:17" ht="15.75" customHeight="1" x14ac:dyDescent="0.25">
      <c r="A68" s="579"/>
      <c r="B68" s="579"/>
      <c r="C68" s="603"/>
      <c r="D68" s="617"/>
      <c r="E68" s="612"/>
      <c r="F68" s="612"/>
      <c r="G68" s="612"/>
      <c r="H68" s="612"/>
      <c r="I68" s="592"/>
      <c r="J68" s="592"/>
      <c r="K68" s="592"/>
      <c r="L68" s="592"/>
      <c r="M68" s="592"/>
      <c r="N68" s="602"/>
      <c r="O68" s="592"/>
      <c r="P68" s="592"/>
      <c r="Q68" s="592"/>
    </row>
    <row r="69" spans="1:17" ht="15.75" customHeight="1" x14ac:dyDescent="0.25">
      <c r="A69" s="579"/>
      <c r="B69" s="579"/>
      <c r="C69" s="603"/>
      <c r="D69" s="617"/>
      <c r="E69" s="612"/>
      <c r="F69" s="612"/>
      <c r="G69" s="612"/>
      <c r="H69" s="612"/>
      <c r="I69" s="592"/>
      <c r="J69" s="592"/>
      <c r="K69" s="592"/>
      <c r="L69" s="592"/>
      <c r="M69" s="592"/>
      <c r="N69" s="602"/>
      <c r="O69" s="592"/>
      <c r="P69" s="592"/>
      <c r="Q69" s="592"/>
    </row>
    <row r="70" spans="1:17" ht="15.75" customHeight="1" x14ac:dyDescent="0.25">
      <c r="A70" s="579"/>
      <c r="B70" s="579"/>
      <c r="C70" s="603"/>
      <c r="D70" s="617"/>
      <c r="E70" s="612"/>
      <c r="F70" s="612"/>
      <c r="G70" s="612"/>
      <c r="H70" s="612"/>
      <c r="I70" s="592"/>
      <c r="J70" s="592"/>
      <c r="K70" s="592"/>
      <c r="L70" s="592"/>
      <c r="M70" s="592"/>
      <c r="N70" s="602"/>
      <c r="O70" s="592"/>
      <c r="P70" s="592"/>
      <c r="Q70" s="592"/>
    </row>
    <row r="71" spans="1:17" ht="15.75" customHeight="1" x14ac:dyDescent="0.25">
      <c r="A71" s="579"/>
      <c r="B71" s="579"/>
      <c r="C71" s="603"/>
      <c r="D71" s="617"/>
      <c r="E71" s="612"/>
      <c r="F71" s="612"/>
      <c r="G71" s="612"/>
      <c r="H71" s="612"/>
      <c r="I71" s="592"/>
      <c r="J71" s="592"/>
      <c r="K71" s="592"/>
      <c r="L71" s="592"/>
      <c r="M71" s="592"/>
      <c r="N71" s="602"/>
      <c r="O71" s="592"/>
      <c r="P71" s="592"/>
      <c r="Q71" s="592"/>
    </row>
    <row r="72" spans="1:17" ht="15.75" customHeight="1" x14ac:dyDescent="0.25">
      <c r="A72" s="579"/>
      <c r="B72" s="579"/>
      <c r="C72" s="608" t="s">
        <v>52</v>
      </c>
      <c r="D72" s="617"/>
      <c r="E72" s="612"/>
      <c r="F72" s="612"/>
      <c r="G72" s="612"/>
      <c r="H72" s="612"/>
      <c r="I72" s="595"/>
      <c r="J72" s="595"/>
      <c r="K72" s="595"/>
      <c r="L72" s="595"/>
      <c r="M72" s="592"/>
      <c r="N72" s="602"/>
      <c r="O72" s="592"/>
      <c r="P72" s="592"/>
      <c r="Q72" s="592"/>
    </row>
    <row r="73" spans="1:17" ht="15.75" customHeight="1" x14ac:dyDescent="0.25">
      <c r="A73" s="579"/>
      <c r="B73" s="586"/>
      <c r="C73" s="609"/>
      <c r="D73" s="617"/>
      <c r="E73" s="612"/>
      <c r="F73" s="612"/>
      <c r="G73" s="612"/>
      <c r="H73" s="612"/>
      <c r="I73" s="592"/>
      <c r="J73" s="592"/>
      <c r="K73" s="592"/>
      <c r="L73" s="592"/>
      <c r="M73" s="593"/>
      <c r="N73" s="602"/>
      <c r="O73" s="592"/>
      <c r="P73" s="592"/>
      <c r="Q73" s="592"/>
    </row>
    <row r="74" spans="1:17" ht="15.75" customHeight="1" x14ac:dyDescent="0.25">
      <c r="D74" s="619"/>
      <c r="E74" s="614"/>
      <c r="F74" s="614"/>
      <c r="G74" s="614"/>
      <c r="H74" s="614"/>
      <c r="I74" s="592"/>
      <c r="J74" s="592"/>
      <c r="K74" s="592"/>
      <c r="L74" s="592"/>
      <c r="M74" s="592"/>
      <c r="N74" s="602"/>
      <c r="O74" s="592"/>
      <c r="P74" s="592"/>
      <c r="Q74" s="592"/>
    </row>
    <row r="75" spans="1:17" ht="15.75" customHeight="1" x14ac:dyDescent="0.25">
      <c r="D75" s="620"/>
      <c r="E75" s="614"/>
      <c r="F75" s="614"/>
      <c r="G75" s="614"/>
      <c r="H75" s="614"/>
      <c r="I75" s="592"/>
      <c r="J75" s="592"/>
      <c r="K75" s="592"/>
      <c r="L75" s="592"/>
      <c r="M75" s="592"/>
      <c r="N75" s="602"/>
      <c r="O75" s="592"/>
      <c r="P75" s="592"/>
      <c r="Q75" s="592"/>
    </row>
    <row r="76" spans="1:17" ht="15.75" customHeight="1" x14ac:dyDescent="0.25">
      <c r="D76" s="620"/>
      <c r="E76" s="614"/>
      <c r="F76" s="614"/>
      <c r="G76" s="614"/>
      <c r="H76" s="614"/>
      <c r="I76" s="592"/>
      <c r="J76" s="592"/>
      <c r="K76" s="592"/>
      <c r="L76" s="592"/>
      <c r="M76" s="592"/>
      <c r="N76" s="602"/>
      <c r="O76" s="592"/>
      <c r="P76" s="592"/>
      <c r="Q76" s="592"/>
    </row>
    <row r="77" spans="1:17" ht="15.75" customHeight="1" x14ac:dyDescent="0.25">
      <c r="D77" s="620"/>
      <c r="E77" s="614"/>
      <c r="F77" s="614"/>
      <c r="G77" s="614"/>
      <c r="H77" s="614"/>
      <c r="I77" s="592"/>
      <c r="J77" s="592"/>
      <c r="K77" s="592"/>
      <c r="L77" s="592"/>
      <c r="M77" s="592"/>
      <c r="N77" s="602"/>
      <c r="O77" s="592"/>
      <c r="P77" s="592"/>
      <c r="Q77" s="592"/>
    </row>
    <row r="78" spans="1:17" ht="15.75" customHeight="1" x14ac:dyDescent="0.25">
      <c r="D78" s="620"/>
      <c r="E78" s="614"/>
      <c r="F78" s="614"/>
      <c r="G78" s="614"/>
      <c r="H78" s="614"/>
      <c r="I78" s="592"/>
      <c r="J78" s="592"/>
      <c r="K78" s="592"/>
      <c r="L78" s="592"/>
      <c r="M78" s="592"/>
      <c r="N78" s="592"/>
      <c r="O78" s="592"/>
      <c r="P78" s="592"/>
      <c r="Q78" s="592"/>
    </row>
    <row r="79" spans="1:17" ht="15.75" customHeight="1" x14ac:dyDescent="0.25">
      <c r="D79" s="620"/>
      <c r="E79" s="614"/>
      <c r="F79" s="614"/>
      <c r="G79" s="614"/>
      <c r="H79" s="614"/>
      <c r="I79" s="592"/>
      <c r="J79" s="592"/>
      <c r="K79" s="592"/>
      <c r="L79" s="592"/>
      <c r="M79" s="592"/>
      <c r="N79" s="592"/>
      <c r="O79" s="592"/>
      <c r="P79" s="592"/>
      <c r="Q79" s="592"/>
    </row>
    <row r="80" spans="1:17" ht="15.75" customHeight="1" x14ac:dyDescent="0.25">
      <c r="D80" s="620"/>
      <c r="E80" s="614"/>
      <c r="F80" s="614"/>
      <c r="G80" s="614"/>
      <c r="H80" s="614"/>
      <c r="I80" s="592"/>
      <c r="J80" s="592"/>
      <c r="K80" s="592"/>
      <c r="L80" s="592"/>
      <c r="M80" s="592"/>
      <c r="N80" s="592"/>
      <c r="O80" s="592"/>
      <c r="P80" s="592"/>
      <c r="Q80" s="592"/>
    </row>
    <row r="81" spans="4:17" ht="15.75" customHeight="1" x14ac:dyDescent="0.25">
      <c r="D81" s="620"/>
      <c r="E81" s="614"/>
      <c r="F81" s="614"/>
      <c r="G81" s="614"/>
      <c r="H81" s="614"/>
      <c r="I81" s="592"/>
      <c r="J81" s="592"/>
      <c r="K81" s="592"/>
      <c r="L81" s="592"/>
      <c r="M81" s="592"/>
      <c r="N81" s="592"/>
      <c r="O81" s="592"/>
      <c r="P81" s="592"/>
      <c r="Q81" s="592"/>
    </row>
    <row r="82" spans="4:17" ht="15.75" customHeight="1" x14ac:dyDescent="0.25">
      <c r="D82" s="620"/>
      <c r="E82" s="614"/>
      <c r="F82" s="614"/>
      <c r="G82" s="614"/>
      <c r="H82" s="614"/>
      <c r="I82" s="592"/>
      <c r="J82" s="592"/>
      <c r="K82" s="592"/>
      <c r="L82" s="592"/>
      <c r="M82" s="592"/>
      <c r="N82" s="592"/>
      <c r="O82" s="592"/>
      <c r="P82" s="592"/>
      <c r="Q82" s="592"/>
    </row>
    <row r="83" spans="4:17" ht="15.75" customHeight="1" x14ac:dyDescent="0.25">
      <c r="D83" s="620"/>
      <c r="E83" s="614"/>
      <c r="F83" s="614"/>
      <c r="G83" s="614"/>
      <c r="H83" s="614"/>
      <c r="I83" s="592"/>
      <c r="J83" s="592"/>
      <c r="K83" s="592"/>
      <c r="L83" s="592"/>
      <c r="M83" s="592"/>
      <c r="N83" s="592"/>
      <c r="O83" s="592"/>
      <c r="P83" s="592"/>
      <c r="Q83" s="592"/>
    </row>
    <row r="84" spans="4:17" ht="15.75" customHeight="1" x14ac:dyDescent="0.25">
      <c r="D84" s="620"/>
      <c r="E84" s="614"/>
      <c r="F84" s="614"/>
      <c r="G84" s="614"/>
      <c r="H84" s="614"/>
      <c r="I84" s="592"/>
      <c r="J84" s="592"/>
      <c r="K84" s="592"/>
      <c r="L84" s="592"/>
      <c r="M84" s="592"/>
      <c r="N84" s="592"/>
      <c r="O84" s="592"/>
      <c r="P84" s="592"/>
      <c r="Q84" s="592"/>
    </row>
    <row r="85" spans="4:17" ht="15.75" customHeight="1" x14ac:dyDescent="0.25">
      <c r="D85" s="621"/>
      <c r="E85" s="610"/>
      <c r="F85" s="610"/>
      <c r="G85" s="610"/>
      <c r="H85" s="610"/>
      <c r="I85" s="592"/>
      <c r="J85" s="592"/>
      <c r="K85" s="592"/>
      <c r="L85" s="592"/>
      <c r="M85" s="592"/>
      <c r="N85" s="592"/>
      <c r="O85" s="592"/>
      <c r="P85" s="592"/>
      <c r="Q85" s="592"/>
    </row>
    <row r="86" spans="4:17" ht="15.75" customHeight="1" x14ac:dyDescent="0.25">
      <c r="D86" s="621"/>
      <c r="E86" s="610"/>
      <c r="F86" s="610"/>
      <c r="G86" s="610"/>
      <c r="H86" s="610"/>
      <c r="I86" s="592"/>
      <c r="J86" s="592"/>
      <c r="K86" s="592"/>
      <c r="L86" s="592"/>
      <c r="M86" s="592"/>
      <c r="N86" s="592"/>
      <c r="O86" s="592"/>
      <c r="P86" s="592"/>
      <c r="Q86" s="592"/>
    </row>
    <row r="87" spans="4:17" ht="15.75" customHeight="1" x14ac:dyDescent="0.25">
      <c r="D87" s="621"/>
      <c r="E87" s="610"/>
      <c r="F87" s="610"/>
      <c r="G87" s="610"/>
      <c r="H87" s="610"/>
      <c r="I87" s="592"/>
      <c r="J87" s="592"/>
      <c r="K87" s="592"/>
      <c r="L87" s="592"/>
      <c r="M87" s="592"/>
      <c r="N87" s="592"/>
      <c r="O87" s="592"/>
      <c r="P87" s="592"/>
      <c r="Q87" s="592"/>
    </row>
    <row r="88" spans="4:17" ht="15.75" customHeight="1" x14ac:dyDescent="0.25">
      <c r="D88" s="621"/>
      <c r="E88" s="610"/>
      <c r="F88" s="610"/>
      <c r="G88" s="610"/>
      <c r="H88" s="610"/>
      <c r="I88" s="592"/>
      <c r="J88" s="592"/>
      <c r="K88" s="592"/>
      <c r="L88" s="592"/>
      <c r="M88" s="592"/>
      <c r="N88" s="592"/>
      <c r="O88" s="592"/>
      <c r="P88" s="592"/>
      <c r="Q88" s="592"/>
    </row>
    <row r="89" spans="4:17" ht="15.75" customHeight="1" x14ac:dyDescent="0.25">
      <c r="D89" s="621"/>
      <c r="E89" s="610"/>
      <c r="F89" s="610"/>
      <c r="G89" s="610"/>
      <c r="H89" s="610"/>
      <c r="I89" s="592"/>
      <c r="J89" s="592"/>
      <c r="K89" s="592"/>
      <c r="L89" s="592"/>
      <c r="M89" s="592"/>
      <c r="N89" s="592"/>
      <c r="O89" s="592"/>
      <c r="P89" s="592"/>
      <c r="Q89" s="592"/>
    </row>
    <row r="90" spans="4:17" ht="15.75" customHeight="1" x14ac:dyDescent="0.25">
      <c r="D90" s="621"/>
      <c r="E90" s="610"/>
      <c r="F90" s="610"/>
      <c r="G90" s="610"/>
      <c r="H90" s="610"/>
      <c r="I90" s="592"/>
      <c r="J90" s="592"/>
      <c r="K90" s="592"/>
      <c r="L90" s="592"/>
      <c r="M90" s="592"/>
      <c r="N90" s="592"/>
      <c r="O90" s="592"/>
      <c r="P90" s="592"/>
      <c r="Q90" s="592"/>
    </row>
    <row r="91" spans="4:17" ht="15.75" customHeight="1" x14ac:dyDescent="0.25">
      <c r="D91" s="621"/>
      <c r="E91" s="610"/>
      <c r="F91" s="610"/>
      <c r="G91" s="610"/>
      <c r="H91" s="610"/>
      <c r="I91" s="592"/>
      <c r="J91" s="592"/>
      <c r="K91" s="592"/>
      <c r="L91" s="592"/>
      <c r="M91" s="592"/>
      <c r="N91" s="592"/>
      <c r="O91" s="592"/>
      <c r="P91" s="592"/>
      <c r="Q91" s="592"/>
    </row>
    <row r="92" spans="4:17" ht="15.75" customHeight="1" x14ac:dyDescent="0.25">
      <c r="D92" s="621"/>
      <c r="E92" s="610"/>
      <c r="F92" s="610"/>
      <c r="G92" s="610"/>
      <c r="H92" s="610"/>
      <c r="I92" s="592"/>
      <c r="J92" s="592"/>
      <c r="K92" s="592"/>
      <c r="L92" s="592"/>
      <c r="M92" s="592"/>
      <c r="N92" s="592"/>
      <c r="O92" s="592"/>
      <c r="P92" s="592"/>
      <c r="Q92" s="592"/>
    </row>
    <row r="93" spans="4:17" ht="15.75" customHeight="1" x14ac:dyDescent="0.25">
      <c r="D93" s="621"/>
      <c r="E93" s="610"/>
      <c r="F93" s="610"/>
      <c r="G93" s="610"/>
      <c r="H93" s="610"/>
      <c r="I93" s="592"/>
      <c r="J93" s="592"/>
      <c r="K93" s="592"/>
      <c r="L93" s="592"/>
      <c r="M93" s="592"/>
      <c r="N93" s="592"/>
      <c r="O93" s="592"/>
      <c r="P93" s="592"/>
      <c r="Q93" s="592"/>
    </row>
    <row r="94" spans="4:17" ht="15.75" customHeight="1" x14ac:dyDescent="0.25">
      <c r="D94" s="621"/>
      <c r="E94" s="610"/>
      <c r="F94" s="610"/>
      <c r="G94" s="610"/>
      <c r="H94" s="610"/>
      <c r="I94" s="592"/>
      <c r="J94" s="592"/>
      <c r="K94" s="592"/>
      <c r="L94" s="592"/>
      <c r="M94" s="592"/>
      <c r="N94" s="592"/>
      <c r="O94" s="592"/>
      <c r="P94" s="592"/>
      <c r="Q94" s="592"/>
    </row>
    <row r="95" spans="4:17" ht="15.75" customHeight="1" x14ac:dyDescent="0.25">
      <c r="D95" s="621"/>
      <c r="E95" s="610"/>
      <c r="F95" s="610"/>
      <c r="G95" s="610"/>
      <c r="H95" s="610"/>
      <c r="I95" s="592"/>
      <c r="J95" s="592"/>
      <c r="K95" s="592"/>
      <c r="L95" s="592"/>
      <c r="M95" s="592"/>
      <c r="N95" s="592"/>
      <c r="O95" s="592"/>
      <c r="P95" s="592"/>
      <c r="Q95" s="592"/>
    </row>
    <row r="96" spans="4:17" ht="15.75" customHeight="1" x14ac:dyDescent="0.25">
      <c r="D96" s="621"/>
      <c r="E96" s="610"/>
      <c r="F96" s="610"/>
      <c r="G96" s="610"/>
      <c r="H96" s="610"/>
      <c r="I96" s="592"/>
      <c r="J96" s="592"/>
      <c r="K96" s="592"/>
      <c r="L96" s="592"/>
      <c r="M96" s="592"/>
      <c r="N96" s="592"/>
      <c r="O96" s="592"/>
      <c r="P96" s="592"/>
      <c r="Q96" s="592"/>
    </row>
    <row r="97" spans="4:17" ht="15.75" customHeight="1" x14ac:dyDescent="0.25">
      <c r="D97" s="621"/>
      <c r="E97" s="610"/>
      <c r="F97" s="610"/>
      <c r="G97" s="610"/>
      <c r="H97" s="610"/>
      <c r="I97" s="592"/>
      <c r="J97" s="592"/>
      <c r="K97" s="592"/>
      <c r="L97" s="592"/>
      <c r="M97" s="592"/>
      <c r="N97" s="592"/>
      <c r="O97" s="592"/>
      <c r="P97" s="592"/>
      <c r="Q97" s="592"/>
    </row>
    <row r="98" spans="4:17" ht="15.75" customHeight="1" x14ac:dyDescent="0.25">
      <c r="D98" s="621"/>
      <c r="E98" s="610"/>
      <c r="F98" s="610"/>
      <c r="G98" s="610"/>
      <c r="H98" s="610"/>
      <c r="I98" s="592"/>
      <c r="J98" s="592"/>
      <c r="K98" s="592"/>
      <c r="L98" s="592"/>
      <c r="M98" s="592"/>
      <c r="N98" s="592"/>
      <c r="O98" s="592"/>
      <c r="P98" s="592"/>
      <c r="Q98" s="592"/>
    </row>
    <row r="99" spans="4:17" ht="15.75" customHeight="1" x14ac:dyDescent="0.25">
      <c r="D99" s="621"/>
      <c r="E99" s="610"/>
      <c r="F99" s="610"/>
      <c r="G99" s="610"/>
      <c r="H99" s="610"/>
      <c r="I99" s="592"/>
      <c r="J99" s="592"/>
      <c r="K99" s="592"/>
      <c r="L99" s="592"/>
      <c r="M99" s="592"/>
      <c r="N99" s="592"/>
      <c r="O99" s="592"/>
      <c r="P99" s="592"/>
      <c r="Q99" s="592"/>
    </row>
    <row r="100" spans="4:17" ht="15.75" customHeight="1" x14ac:dyDescent="0.25">
      <c r="D100" s="621"/>
      <c r="E100" s="610"/>
      <c r="F100" s="610"/>
      <c r="G100" s="610"/>
      <c r="H100" s="610"/>
      <c r="I100" s="592"/>
      <c r="J100" s="592"/>
      <c r="K100" s="592"/>
      <c r="L100" s="592"/>
      <c r="M100" s="592"/>
      <c r="N100" s="592"/>
      <c r="O100" s="592"/>
      <c r="P100" s="592"/>
      <c r="Q100" s="592"/>
    </row>
    <row r="101" spans="4:17" ht="15.75" customHeight="1" x14ac:dyDescent="0.25">
      <c r="D101" s="621"/>
      <c r="E101" s="610"/>
      <c r="F101" s="610"/>
      <c r="G101" s="610"/>
      <c r="H101" s="610"/>
      <c r="I101" s="592"/>
      <c r="J101" s="592"/>
      <c r="K101" s="592"/>
      <c r="L101" s="592"/>
      <c r="M101" s="592"/>
      <c r="N101" s="592"/>
      <c r="O101" s="592"/>
      <c r="P101" s="592"/>
      <c r="Q101" s="592"/>
    </row>
    <row r="102" spans="4:17" ht="15.75" customHeight="1" x14ac:dyDescent="0.25">
      <c r="D102" s="621"/>
      <c r="E102" s="610"/>
      <c r="F102" s="610"/>
      <c r="G102" s="610"/>
      <c r="H102" s="610"/>
      <c r="I102" s="592"/>
      <c r="J102" s="592"/>
      <c r="K102" s="592"/>
      <c r="L102" s="592"/>
      <c r="M102" s="592"/>
      <c r="N102" s="592"/>
      <c r="O102" s="592"/>
      <c r="P102" s="592"/>
      <c r="Q102" s="592"/>
    </row>
    <row r="103" spans="4:17" ht="15.75" customHeight="1" x14ac:dyDescent="0.25">
      <c r="D103" s="621"/>
      <c r="E103" s="610"/>
      <c r="F103" s="610"/>
      <c r="G103" s="610"/>
      <c r="H103" s="610"/>
      <c r="I103" s="592"/>
      <c r="J103" s="592"/>
      <c r="K103" s="592"/>
      <c r="L103" s="592"/>
      <c r="M103" s="592"/>
      <c r="N103" s="592"/>
      <c r="O103" s="592"/>
      <c r="P103" s="592"/>
      <c r="Q103" s="592"/>
    </row>
    <row r="104" spans="4:17" ht="15.75" customHeight="1" x14ac:dyDescent="0.25">
      <c r="D104" s="621"/>
      <c r="E104" s="610"/>
      <c r="F104" s="610"/>
      <c r="G104" s="610"/>
      <c r="H104" s="610"/>
      <c r="I104" s="592"/>
      <c r="J104" s="592"/>
      <c r="K104" s="592"/>
      <c r="L104" s="592"/>
      <c r="M104" s="592"/>
      <c r="N104" s="592"/>
      <c r="O104" s="592"/>
      <c r="P104" s="592"/>
      <c r="Q104" s="592"/>
    </row>
    <row r="105" spans="4:17" ht="15.75" customHeight="1" x14ac:dyDescent="0.25">
      <c r="D105" s="621"/>
      <c r="E105" s="610"/>
      <c r="F105" s="610"/>
      <c r="G105" s="610"/>
      <c r="H105" s="610"/>
      <c r="I105" s="592"/>
      <c r="J105" s="592"/>
      <c r="K105" s="592"/>
      <c r="L105" s="592"/>
      <c r="M105" s="592"/>
      <c r="N105" s="592"/>
      <c r="O105" s="592"/>
      <c r="P105" s="592"/>
      <c r="Q105" s="592"/>
    </row>
    <row r="106" spans="4:17" ht="15.75" customHeight="1" x14ac:dyDescent="0.25">
      <c r="D106" s="621"/>
      <c r="E106" s="610"/>
      <c r="F106" s="610"/>
      <c r="G106" s="610"/>
      <c r="H106" s="610"/>
      <c r="I106" s="592"/>
      <c r="J106" s="592"/>
      <c r="K106" s="592"/>
      <c r="L106" s="592"/>
      <c r="M106" s="592"/>
      <c r="N106" s="592"/>
      <c r="O106" s="592"/>
      <c r="P106" s="592"/>
      <c r="Q106" s="592"/>
    </row>
    <row r="107" spans="4:17" ht="15.75" customHeight="1" x14ac:dyDescent="0.25">
      <c r="D107" s="621"/>
      <c r="E107" s="610"/>
      <c r="F107" s="610"/>
      <c r="G107" s="610"/>
      <c r="H107" s="610"/>
      <c r="I107" s="592"/>
      <c r="J107" s="592"/>
      <c r="K107" s="592"/>
      <c r="L107" s="592"/>
      <c r="M107" s="592"/>
      <c r="N107" s="592"/>
      <c r="O107" s="592"/>
      <c r="P107" s="592"/>
      <c r="Q107" s="592"/>
    </row>
    <row r="108" spans="4:17" ht="15.75" customHeight="1" x14ac:dyDescent="0.25">
      <c r="D108" s="621"/>
      <c r="E108" s="610"/>
      <c r="F108" s="610"/>
      <c r="G108" s="610"/>
      <c r="H108" s="610"/>
      <c r="I108" s="592"/>
      <c r="J108" s="592"/>
      <c r="K108" s="592"/>
      <c r="L108" s="592"/>
      <c r="M108" s="592"/>
      <c r="N108" s="592"/>
      <c r="O108" s="592"/>
      <c r="P108" s="592"/>
      <c r="Q108" s="592"/>
    </row>
    <row r="109" spans="4:17" ht="15.75" customHeight="1" x14ac:dyDescent="0.25">
      <c r="D109" s="621"/>
      <c r="E109" s="610"/>
      <c r="F109" s="610"/>
      <c r="G109" s="610"/>
      <c r="H109" s="610"/>
      <c r="I109" s="592"/>
      <c r="J109" s="592"/>
      <c r="K109" s="592"/>
      <c r="L109" s="592"/>
      <c r="M109" s="592"/>
      <c r="N109" s="592"/>
      <c r="O109" s="592"/>
      <c r="P109" s="592"/>
      <c r="Q109" s="592"/>
    </row>
    <row r="110" spans="4:17" ht="15.75" customHeight="1" x14ac:dyDescent="0.25">
      <c r="D110" s="621"/>
      <c r="E110" s="610"/>
      <c r="F110" s="610"/>
      <c r="G110" s="610"/>
      <c r="H110" s="610"/>
      <c r="I110" s="592"/>
      <c r="J110" s="592"/>
      <c r="K110" s="592"/>
      <c r="L110" s="592"/>
      <c r="M110" s="592"/>
      <c r="N110" s="592"/>
      <c r="O110" s="592"/>
      <c r="P110" s="592"/>
      <c r="Q110" s="592"/>
    </row>
    <row r="111" spans="4:17" ht="15.75" customHeight="1" x14ac:dyDescent="0.25">
      <c r="D111" s="621"/>
      <c r="E111" s="610"/>
      <c r="F111" s="610"/>
      <c r="G111" s="610"/>
      <c r="H111" s="610"/>
      <c r="I111" s="592"/>
      <c r="J111" s="592"/>
      <c r="K111" s="592"/>
      <c r="L111" s="592"/>
      <c r="M111" s="592"/>
      <c r="N111" s="592"/>
      <c r="O111" s="592"/>
      <c r="P111" s="592"/>
      <c r="Q111" s="592"/>
    </row>
    <row r="112" spans="4:17" ht="15.75" customHeight="1" x14ac:dyDescent="0.25">
      <c r="D112" s="621"/>
      <c r="E112" s="610"/>
      <c r="F112" s="610"/>
      <c r="G112" s="610"/>
      <c r="H112" s="610"/>
      <c r="I112" s="592"/>
      <c r="J112" s="592"/>
      <c r="K112" s="592"/>
      <c r="L112" s="592"/>
      <c r="M112" s="592"/>
      <c r="N112" s="592"/>
      <c r="O112" s="592"/>
      <c r="P112" s="592"/>
      <c r="Q112" s="592"/>
    </row>
    <row r="113" spans="4:17" ht="15.75" customHeight="1" x14ac:dyDescent="0.25">
      <c r="D113" s="621"/>
      <c r="E113" s="610"/>
      <c r="F113" s="610"/>
      <c r="G113" s="610"/>
      <c r="H113" s="610"/>
      <c r="I113" s="592"/>
      <c r="J113" s="592"/>
      <c r="K113" s="592"/>
      <c r="L113" s="592"/>
      <c r="M113" s="592"/>
      <c r="N113" s="592"/>
      <c r="O113" s="592"/>
      <c r="P113" s="592"/>
      <c r="Q113" s="592"/>
    </row>
    <row r="114" spans="4:17" ht="15.75" customHeight="1" x14ac:dyDescent="0.25">
      <c r="D114" s="621"/>
      <c r="E114" s="610"/>
      <c r="F114" s="610"/>
      <c r="G114" s="610"/>
      <c r="H114" s="610"/>
      <c r="I114" s="592"/>
      <c r="J114" s="592"/>
      <c r="K114" s="592"/>
      <c r="L114" s="592"/>
      <c r="M114" s="592"/>
      <c r="N114" s="592"/>
      <c r="O114" s="592"/>
      <c r="P114" s="592"/>
      <c r="Q114" s="592"/>
    </row>
    <row r="115" spans="4:17" ht="15.75" customHeight="1" x14ac:dyDescent="0.25">
      <c r="D115" s="621"/>
      <c r="E115" s="610"/>
      <c r="F115" s="610"/>
      <c r="G115" s="610"/>
      <c r="H115" s="610"/>
      <c r="I115" s="592"/>
      <c r="J115" s="592"/>
      <c r="K115" s="592"/>
      <c r="L115" s="592"/>
      <c r="M115" s="592"/>
      <c r="N115" s="592"/>
      <c r="O115" s="592"/>
      <c r="P115" s="592"/>
      <c r="Q115" s="592"/>
    </row>
    <row r="116" spans="4:17" ht="15.75" customHeight="1" x14ac:dyDescent="0.25">
      <c r="D116" s="621"/>
      <c r="E116" s="610"/>
      <c r="F116" s="610"/>
      <c r="G116" s="610"/>
      <c r="H116" s="610"/>
      <c r="I116" s="592"/>
      <c r="J116" s="592"/>
      <c r="K116" s="592"/>
      <c r="L116" s="592"/>
      <c r="M116" s="592"/>
      <c r="N116" s="592"/>
      <c r="O116" s="592"/>
      <c r="P116" s="592"/>
      <c r="Q116" s="592"/>
    </row>
    <row r="117" spans="4:17" ht="15.75" customHeight="1" x14ac:dyDescent="0.25">
      <c r="D117" s="621"/>
      <c r="E117" s="610"/>
      <c r="F117" s="610"/>
      <c r="G117" s="610"/>
      <c r="H117" s="610"/>
      <c r="I117" s="592"/>
      <c r="J117" s="592"/>
      <c r="K117" s="592"/>
      <c r="L117" s="592"/>
      <c r="M117" s="592"/>
      <c r="N117" s="592"/>
      <c r="O117" s="592"/>
      <c r="P117" s="592"/>
      <c r="Q117" s="592"/>
    </row>
    <row r="118" spans="4:17" ht="15.75" customHeight="1" x14ac:dyDescent="0.25">
      <c r="D118" s="621"/>
      <c r="E118" s="610"/>
      <c r="F118" s="610"/>
      <c r="G118" s="610"/>
      <c r="H118" s="610"/>
      <c r="I118" s="592"/>
      <c r="J118" s="592"/>
      <c r="K118" s="592"/>
      <c r="L118" s="592"/>
      <c r="M118" s="592"/>
      <c r="N118" s="592"/>
      <c r="O118" s="592"/>
      <c r="P118" s="592"/>
      <c r="Q118" s="592"/>
    </row>
    <row r="119" spans="4:17" ht="15.75" customHeight="1" x14ac:dyDescent="0.25">
      <c r="D119" s="621"/>
      <c r="E119" s="610"/>
      <c r="F119" s="610"/>
      <c r="G119" s="610"/>
      <c r="H119" s="610"/>
      <c r="I119" s="592"/>
      <c r="J119" s="592"/>
      <c r="K119" s="592"/>
      <c r="L119" s="592"/>
      <c r="M119" s="592"/>
      <c r="N119" s="592"/>
      <c r="O119" s="592"/>
      <c r="P119" s="592"/>
      <c r="Q119" s="592"/>
    </row>
    <row r="120" spans="4:17" ht="15.75" customHeight="1" x14ac:dyDescent="0.25">
      <c r="D120" s="621"/>
      <c r="E120" s="610"/>
      <c r="F120" s="610"/>
      <c r="G120" s="610"/>
      <c r="H120" s="610"/>
      <c r="I120" s="592"/>
      <c r="J120" s="592"/>
      <c r="K120" s="592"/>
      <c r="L120" s="592"/>
      <c r="M120" s="592"/>
      <c r="N120" s="592"/>
      <c r="O120" s="592"/>
      <c r="P120" s="592"/>
      <c r="Q120" s="592"/>
    </row>
    <row r="121" spans="4:17" ht="15.75" customHeight="1" x14ac:dyDescent="0.25">
      <c r="D121" s="621"/>
      <c r="E121" s="610"/>
      <c r="F121" s="610"/>
      <c r="G121" s="610"/>
      <c r="H121" s="610"/>
      <c r="I121" s="592"/>
      <c r="J121" s="592"/>
      <c r="K121" s="592"/>
      <c r="L121" s="592"/>
      <c r="M121" s="592"/>
      <c r="N121" s="592"/>
      <c r="O121" s="592"/>
      <c r="P121" s="592"/>
      <c r="Q121" s="592"/>
    </row>
    <row r="122" spans="4:17" ht="15.75" customHeight="1" x14ac:dyDescent="0.25">
      <c r="D122" s="621"/>
      <c r="E122" s="610"/>
      <c r="F122" s="610"/>
      <c r="G122" s="610"/>
      <c r="H122" s="610"/>
      <c r="I122" s="592"/>
      <c r="J122" s="592"/>
      <c r="K122" s="592"/>
      <c r="L122" s="592"/>
      <c r="M122" s="592"/>
      <c r="N122" s="592"/>
      <c r="O122" s="592"/>
      <c r="P122" s="592"/>
      <c r="Q122" s="592"/>
    </row>
    <row r="123" spans="4:17" ht="15.75" customHeight="1" x14ac:dyDescent="0.25">
      <c r="D123" s="621"/>
      <c r="E123" s="610"/>
      <c r="F123" s="610"/>
      <c r="G123" s="610"/>
      <c r="H123" s="610"/>
      <c r="I123" s="592"/>
      <c r="J123" s="592"/>
      <c r="K123" s="592"/>
      <c r="L123" s="592"/>
      <c r="M123" s="592"/>
      <c r="N123" s="592"/>
      <c r="O123" s="592"/>
      <c r="P123" s="592"/>
      <c r="Q123" s="592"/>
    </row>
    <row r="124" spans="4:17" ht="15.75" customHeight="1" x14ac:dyDescent="0.25">
      <c r="D124" s="621"/>
      <c r="E124" s="610"/>
      <c r="F124" s="610"/>
      <c r="G124" s="610"/>
      <c r="H124" s="610"/>
      <c r="I124" s="592"/>
      <c r="J124" s="592"/>
      <c r="K124" s="592"/>
      <c r="L124" s="592"/>
      <c r="M124" s="592"/>
      <c r="N124" s="592"/>
      <c r="O124" s="592"/>
      <c r="P124" s="592"/>
      <c r="Q124" s="592"/>
    </row>
    <row r="125" spans="4:17" ht="15.75" customHeight="1" x14ac:dyDescent="0.25">
      <c r="D125" s="621"/>
      <c r="E125" s="610"/>
      <c r="F125" s="610"/>
      <c r="G125" s="610"/>
      <c r="H125" s="610"/>
      <c r="I125" s="592"/>
      <c r="J125" s="592"/>
      <c r="K125" s="592"/>
      <c r="L125" s="592"/>
      <c r="M125" s="592"/>
      <c r="N125" s="592"/>
      <c r="O125" s="592"/>
      <c r="P125" s="592"/>
      <c r="Q125" s="592"/>
    </row>
    <row r="126" spans="4:17" ht="15.75" customHeight="1" x14ac:dyDescent="0.25">
      <c r="D126" s="621"/>
      <c r="E126" s="610"/>
      <c r="F126" s="610"/>
      <c r="G126" s="610"/>
      <c r="H126" s="610"/>
      <c r="I126" s="592"/>
      <c r="J126" s="592"/>
      <c r="K126" s="592"/>
      <c r="L126" s="592"/>
      <c r="M126" s="592"/>
      <c r="N126" s="592"/>
      <c r="O126" s="592"/>
      <c r="P126" s="592"/>
      <c r="Q126" s="592"/>
    </row>
    <row r="127" spans="4:17" ht="15.75" customHeight="1" x14ac:dyDescent="0.25">
      <c r="D127" s="621"/>
      <c r="E127" s="610"/>
      <c r="F127" s="610"/>
      <c r="G127" s="610"/>
      <c r="H127" s="610"/>
      <c r="I127" s="592"/>
      <c r="J127" s="592"/>
      <c r="K127" s="592"/>
      <c r="L127" s="592"/>
      <c r="M127" s="592"/>
      <c r="N127" s="592"/>
      <c r="O127" s="592"/>
      <c r="P127" s="592"/>
      <c r="Q127" s="592"/>
    </row>
    <row r="128" spans="4:17" ht="15.75" customHeight="1" x14ac:dyDescent="0.25">
      <c r="D128" s="621"/>
      <c r="E128" s="610"/>
      <c r="F128" s="610"/>
      <c r="G128" s="610"/>
      <c r="H128" s="610"/>
      <c r="I128" s="592"/>
      <c r="J128" s="592"/>
      <c r="K128" s="592"/>
      <c r="L128" s="592"/>
      <c r="M128" s="592"/>
      <c r="N128" s="592"/>
      <c r="O128" s="592"/>
      <c r="P128" s="592"/>
      <c r="Q128" s="592"/>
    </row>
    <row r="129" spans="4:17" ht="15.75" customHeight="1" x14ac:dyDescent="0.25">
      <c r="D129" s="621"/>
      <c r="E129" s="610"/>
      <c r="F129" s="610"/>
      <c r="G129" s="610"/>
      <c r="H129" s="610"/>
      <c r="I129" s="592"/>
      <c r="J129" s="592"/>
      <c r="K129" s="592"/>
      <c r="L129" s="592"/>
      <c r="M129" s="592"/>
      <c r="N129" s="592"/>
      <c r="O129" s="592"/>
      <c r="P129" s="592"/>
      <c r="Q129" s="592"/>
    </row>
    <row r="130" spans="4:17" ht="15.75" customHeight="1" x14ac:dyDescent="0.25">
      <c r="D130" s="621"/>
      <c r="E130" s="610"/>
      <c r="F130" s="610"/>
      <c r="G130" s="610"/>
      <c r="H130" s="610"/>
      <c r="I130" s="592"/>
      <c r="J130" s="592"/>
      <c r="K130" s="592"/>
      <c r="L130" s="592"/>
      <c r="M130" s="592"/>
      <c r="N130" s="592"/>
      <c r="O130" s="592"/>
      <c r="P130" s="592"/>
      <c r="Q130" s="592"/>
    </row>
    <row r="131" spans="4:17" ht="15.75" customHeight="1" x14ac:dyDescent="0.25">
      <c r="D131" s="621"/>
      <c r="E131" s="610"/>
      <c r="F131" s="610"/>
      <c r="G131" s="610"/>
      <c r="H131" s="610"/>
      <c r="I131" s="592"/>
      <c r="J131" s="592"/>
      <c r="K131" s="592"/>
      <c r="L131" s="592"/>
      <c r="M131" s="592"/>
      <c r="N131" s="592"/>
      <c r="O131" s="592"/>
      <c r="P131" s="592"/>
      <c r="Q131" s="592"/>
    </row>
    <row r="132" spans="4:17" ht="15.75" customHeight="1" x14ac:dyDescent="0.25">
      <c r="D132" s="621"/>
      <c r="E132" s="610"/>
      <c r="F132" s="610"/>
      <c r="G132" s="610"/>
      <c r="H132" s="610"/>
      <c r="I132" s="592"/>
      <c r="J132" s="592"/>
      <c r="K132" s="592"/>
      <c r="L132" s="592"/>
      <c r="M132" s="592"/>
      <c r="N132" s="592"/>
      <c r="O132" s="592"/>
      <c r="P132" s="592"/>
      <c r="Q132" s="592"/>
    </row>
    <row r="133" spans="4:17" ht="15.75" customHeight="1" x14ac:dyDescent="0.25">
      <c r="D133" s="621"/>
      <c r="E133" s="610"/>
      <c r="F133" s="610"/>
      <c r="G133" s="610"/>
      <c r="H133" s="610"/>
      <c r="I133" s="592"/>
      <c r="J133" s="592"/>
      <c r="K133" s="592"/>
      <c r="L133" s="592"/>
      <c r="M133" s="592"/>
      <c r="N133" s="592"/>
      <c r="O133" s="592"/>
      <c r="P133" s="592"/>
      <c r="Q133" s="592"/>
    </row>
    <row r="134" spans="4:17" ht="15.75" customHeight="1" x14ac:dyDescent="0.25">
      <c r="D134" s="621"/>
      <c r="E134" s="610"/>
      <c r="F134" s="610"/>
      <c r="G134" s="610"/>
      <c r="H134" s="610"/>
      <c r="I134" s="592"/>
      <c r="J134" s="592"/>
      <c r="K134" s="592"/>
      <c r="L134" s="592"/>
      <c r="M134" s="592"/>
      <c r="N134" s="592"/>
      <c r="O134" s="592"/>
      <c r="P134" s="592"/>
      <c r="Q134" s="592"/>
    </row>
    <row r="135" spans="4:17" ht="15.75" customHeight="1" x14ac:dyDescent="0.25">
      <c r="D135" s="621"/>
      <c r="E135" s="610"/>
      <c r="F135" s="610"/>
      <c r="G135" s="610"/>
      <c r="H135" s="610"/>
      <c r="I135" s="592"/>
      <c r="J135" s="592"/>
      <c r="K135" s="592"/>
      <c r="L135" s="592"/>
      <c r="M135" s="592"/>
      <c r="N135" s="592"/>
      <c r="O135" s="592"/>
      <c r="P135" s="592"/>
      <c r="Q135" s="592"/>
    </row>
    <row r="136" spans="4:17" ht="15.75" customHeight="1" x14ac:dyDescent="0.25">
      <c r="D136" s="621"/>
      <c r="E136" s="610"/>
      <c r="F136" s="610"/>
      <c r="G136" s="610"/>
      <c r="H136" s="610"/>
      <c r="I136" s="592"/>
      <c r="J136" s="592"/>
      <c r="K136" s="592"/>
      <c r="L136" s="592"/>
      <c r="M136" s="592"/>
      <c r="N136" s="592"/>
      <c r="O136" s="592"/>
      <c r="P136" s="592"/>
      <c r="Q136" s="592"/>
    </row>
    <row r="137" spans="4:17" ht="15.75" customHeight="1" x14ac:dyDescent="0.25">
      <c r="D137" s="621"/>
      <c r="E137" s="610"/>
      <c r="F137" s="610"/>
      <c r="G137" s="610"/>
      <c r="H137" s="610"/>
      <c r="I137" s="592"/>
      <c r="J137" s="592"/>
      <c r="K137" s="592"/>
      <c r="L137" s="592"/>
      <c r="M137" s="592"/>
      <c r="N137" s="592"/>
      <c r="O137" s="592"/>
      <c r="P137" s="592"/>
      <c r="Q137" s="592"/>
    </row>
    <row r="138" spans="4:17" ht="15.75" customHeight="1" x14ac:dyDescent="0.25">
      <c r="D138" s="621"/>
      <c r="E138" s="610"/>
      <c r="F138" s="610"/>
      <c r="G138" s="610"/>
      <c r="H138" s="610"/>
      <c r="I138" s="592"/>
      <c r="J138" s="592"/>
      <c r="K138" s="592"/>
      <c r="L138" s="592"/>
      <c r="M138" s="592"/>
      <c r="N138" s="592"/>
      <c r="O138" s="592"/>
      <c r="P138" s="592"/>
      <c r="Q138" s="592"/>
    </row>
    <row r="139" spans="4:17" ht="15.75" customHeight="1" x14ac:dyDescent="0.25">
      <c r="D139" s="621"/>
      <c r="E139" s="610"/>
      <c r="F139" s="610"/>
      <c r="G139" s="610"/>
      <c r="H139" s="610"/>
      <c r="I139" s="592"/>
      <c r="J139" s="592"/>
      <c r="K139" s="592"/>
      <c r="L139" s="592"/>
      <c r="M139" s="592"/>
      <c r="N139" s="592"/>
      <c r="O139" s="592"/>
      <c r="P139" s="592"/>
      <c r="Q139" s="592"/>
    </row>
    <row r="140" spans="4:17" ht="15.75" customHeight="1" x14ac:dyDescent="0.25">
      <c r="D140" s="621"/>
      <c r="E140" s="610"/>
      <c r="F140" s="610"/>
      <c r="G140" s="610"/>
      <c r="H140" s="610"/>
      <c r="I140" s="592"/>
      <c r="J140" s="592"/>
      <c r="K140" s="592"/>
      <c r="L140" s="592"/>
      <c r="M140" s="592"/>
      <c r="N140" s="592"/>
      <c r="O140" s="592"/>
      <c r="P140" s="592"/>
      <c r="Q140" s="592"/>
    </row>
    <row r="141" spans="4:17" ht="15.75" customHeight="1" x14ac:dyDescent="0.25">
      <c r="D141" s="621"/>
      <c r="E141" s="610"/>
      <c r="F141" s="610"/>
      <c r="G141" s="610"/>
      <c r="H141" s="610"/>
      <c r="I141" s="592"/>
      <c r="J141" s="592"/>
      <c r="K141" s="592"/>
      <c r="L141" s="592"/>
      <c r="M141" s="592"/>
      <c r="N141" s="592"/>
      <c r="O141" s="592"/>
      <c r="P141" s="592"/>
      <c r="Q141" s="592"/>
    </row>
    <row r="142" spans="4:17" ht="15.75" customHeight="1" x14ac:dyDescent="0.25">
      <c r="D142" s="621"/>
      <c r="E142" s="610"/>
      <c r="F142" s="610"/>
      <c r="G142" s="610"/>
      <c r="H142" s="610"/>
      <c r="I142" s="592"/>
      <c r="J142" s="592"/>
      <c r="K142" s="592"/>
      <c r="L142" s="592"/>
      <c r="M142" s="592"/>
      <c r="N142" s="592"/>
      <c r="O142" s="592"/>
      <c r="P142" s="592"/>
      <c r="Q142" s="592"/>
    </row>
    <row r="143" spans="4:17" ht="15.75" customHeight="1" x14ac:dyDescent="0.25">
      <c r="D143" s="621"/>
      <c r="E143" s="610"/>
      <c r="F143" s="610"/>
      <c r="G143" s="610"/>
      <c r="H143" s="610"/>
      <c r="I143" s="592"/>
      <c r="J143" s="592"/>
      <c r="K143" s="592"/>
      <c r="L143" s="592"/>
      <c r="M143" s="592"/>
      <c r="N143" s="592"/>
      <c r="O143" s="592"/>
      <c r="P143" s="592"/>
      <c r="Q143" s="592"/>
    </row>
    <row r="144" spans="4:17" ht="15.75" customHeight="1" x14ac:dyDescent="0.25">
      <c r="D144" s="621"/>
      <c r="E144" s="610"/>
      <c r="F144" s="610"/>
      <c r="G144" s="610"/>
      <c r="H144" s="610"/>
      <c r="I144" s="592"/>
      <c r="J144" s="592"/>
      <c r="K144" s="592"/>
      <c r="L144" s="592"/>
      <c r="M144" s="592"/>
      <c r="N144" s="592"/>
      <c r="O144" s="592"/>
      <c r="P144" s="592"/>
      <c r="Q144" s="592"/>
    </row>
    <row r="145" spans="4:17" ht="15.75" customHeight="1" x14ac:dyDescent="0.25">
      <c r="D145" s="621"/>
      <c r="E145" s="610"/>
      <c r="F145" s="610"/>
      <c r="G145" s="610"/>
      <c r="H145" s="610"/>
      <c r="I145" s="592"/>
      <c r="J145" s="592"/>
      <c r="K145" s="592"/>
      <c r="L145" s="592"/>
      <c r="M145" s="592"/>
      <c r="N145" s="592"/>
      <c r="O145" s="592"/>
      <c r="P145" s="592"/>
      <c r="Q145" s="592"/>
    </row>
    <row r="146" spans="4:17" ht="15.75" customHeight="1" x14ac:dyDescent="0.25">
      <c r="D146" s="621"/>
      <c r="E146" s="610"/>
      <c r="F146" s="610"/>
      <c r="G146" s="610"/>
      <c r="H146" s="610"/>
      <c r="I146" s="592"/>
      <c r="J146" s="592"/>
      <c r="K146" s="592"/>
      <c r="L146" s="592"/>
      <c r="M146" s="592"/>
      <c r="N146" s="592"/>
      <c r="O146" s="592"/>
      <c r="P146" s="592"/>
      <c r="Q146" s="592"/>
    </row>
    <row r="147" spans="4:17" ht="15.75" customHeight="1" x14ac:dyDescent="0.25">
      <c r="D147" s="621"/>
      <c r="E147" s="610"/>
      <c r="F147" s="610"/>
      <c r="G147" s="610"/>
      <c r="H147" s="610"/>
      <c r="I147" s="592"/>
      <c r="J147" s="592"/>
      <c r="K147" s="592"/>
      <c r="L147" s="592"/>
      <c r="M147" s="592"/>
      <c r="N147" s="592"/>
      <c r="O147" s="592"/>
      <c r="P147" s="592"/>
      <c r="Q147" s="592"/>
    </row>
    <row r="148" spans="4:17" ht="15.75" customHeight="1" x14ac:dyDescent="0.25">
      <c r="D148" s="621"/>
      <c r="E148" s="610"/>
      <c r="F148" s="610"/>
      <c r="G148" s="610"/>
      <c r="H148" s="610"/>
      <c r="I148" s="592"/>
      <c r="J148" s="592"/>
      <c r="K148" s="592"/>
      <c r="L148" s="592"/>
      <c r="M148" s="592"/>
      <c r="N148" s="592"/>
      <c r="O148" s="592"/>
      <c r="P148" s="592"/>
      <c r="Q148" s="592"/>
    </row>
    <row r="149" spans="4:17" ht="15.75" customHeight="1" x14ac:dyDescent="0.25">
      <c r="D149" s="621"/>
      <c r="E149" s="610"/>
      <c r="F149" s="610"/>
      <c r="G149" s="610"/>
      <c r="H149" s="610"/>
      <c r="I149" s="592"/>
      <c r="J149" s="592"/>
      <c r="K149" s="592"/>
      <c r="L149" s="592"/>
      <c r="M149" s="592"/>
      <c r="N149" s="592"/>
      <c r="O149" s="592"/>
      <c r="P149" s="592"/>
      <c r="Q149" s="592"/>
    </row>
    <row r="150" spans="4:17" ht="15.75" customHeight="1" x14ac:dyDescent="0.25">
      <c r="D150" s="621"/>
      <c r="E150" s="610"/>
      <c r="F150" s="610"/>
      <c r="G150" s="610"/>
      <c r="H150" s="610"/>
      <c r="I150" s="592"/>
      <c r="J150" s="592"/>
      <c r="K150" s="592"/>
      <c r="L150" s="592"/>
      <c r="M150" s="592"/>
      <c r="N150" s="592"/>
      <c r="O150" s="592"/>
      <c r="P150" s="592"/>
      <c r="Q150" s="592"/>
    </row>
    <row r="151" spans="4:17" ht="15.75" customHeight="1" x14ac:dyDescent="0.25">
      <c r="D151" s="621"/>
      <c r="E151" s="610"/>
      <c r="F151" s="610"/>
      <c r="G151" s="610"/>
      <c r="H151" s="610"/>
      <c r="I151" s="592"/>
      <c r="J151" s="592"/>
      <c r="K151" s="592"/>
      <c r="L151" s="592"/>
      <c r="M151" s="592"/>
      <c r="N151" s="592"/>
      <c r="O151" s="592"/>
      <c r="P151" s="592"/>
      <c r="Q151" s="592"/>
    </row>
    <row r="152" spans="4:17" ht="15.75" customHeight="1" x14ac:dyDescent="0.25">
      <c r="D152" s="622"/>
      <c r="E152" s="610"/>
      <c r="F152" s="610"/>
      <c r="G152" s="610"/>
      <c r="H152" s="610"/>
      <c r="I152" s="592"/>
      <c r="J152" s="592"/>
      <c r="K152" s="592"/>
      <c r="L152" s="592"/>
      <c r="M152" s="592"/>
      <c r="N152" s="592"/>
      <c r="O152" s="592"/>
      <c r="P152" s="592"/>
      <c r="Q152" s="592"/>
    </row>
    <row r="153" spans="4:17" ht="15.75" customHeight="1" x14ac:dyDescent="0.25">
      <c r="D153" s="584"/>
      <c r="E153" s="591"/>
      <c r="F153" s="591"/>
      <c r="G153" s="591"/>
      <c r="H153" s="591"/>
      <c r="I153" s="592"/>
      <c r="J153" s="592"/>
      <c r="K153" s="592"/>
      <c r="L153" s="592"/>
      <c r="M153" s="592"/>
      <c r="N153" s="592"/>
      <c r="O153" s="592"/>
      <c r="P153" s="592"/>
      <c r="Q153" s="592"/>
    </row>
    <row r="154" spans="4:17" ht="15.75" customHeight="1" x14ac:dyDescent="0.25">
      <c r="D154" s="584"/>
      <c r="E154" s="591"/>
      <c r="F154" s="591"/>
      <c r="G154" s="591"/>
      <c r="H154" s="591"/>
      <c r="I154" s="592"/>
      <c r="J154" s="592"/>
      <c r="K154" s="592"/>
      <c r="L154" s="592"/>
      <c r="M154" s="592"/>
      <c r="N154" s="592"/>
      <c r="O154" s="592"/>
      <c r="P154" s="592"/>
      <c r="Q154" s="592"/>
    </row>
    <row r="155" spans="4:17" ht="15.75" customHeight="1" x14ac:dyDescent="0.25">
      <c r="D155" s="584"/>
      <c r="E155" s="591"/>
      <c r="F155" s="591"/>
      <c r="G155" s="591"/>
      <c r="H155" s="591"/>
      <c r="I155" s="592"/>
      <c r="J155" s="592"/>
      <c r="K155" s="592"/>
      <c r="L155" s="592"/>
      <c r="M155" s="592"/>
      <c r="N155" s="592"/>
      <c r="O155" s="592"/>
      <c r="P155" s="592"/>
      <c r="Q155" s="592"/>
    </row>
    <row r="156" spans="4:17" ht="15.75" customHeight="1" x14ac:dyDescent="0.25">
      <c r="D156" s="584"/>
      <c r="E156" s="591"/>
      <c r="F156" s="591"/>
      <c r="G156" s="591"/>
      <c r="H156" s="591"/>
      <c r="I156" s="592"/>
      <c r="J156" s="592"/>
      <c r="K156" s="592"/>
      <c r="L156" s="592"/>
      <c r="M156" s="592"/>
      <c r="N156" s="592"/>
      <c r="O156" s="592"/>
      <c r="P156" s="592"/>
      <c r="Q156" s="592"/>
    </row>
    <row r="157" spans="4:17" ht="15.75" customHeight="1" x14ac:dyDescent="0.25">
      <c r="D157" s="584"/>
      <c r="E157" s="591"/>
      <c r="F157" s="591"/>
      <c r="G157" s="591"/>
      <c r="H157" s="591"/>
      <c r="I157" s="592"/>
      <c r="J157" s="592"/>
      <c r="K157" s="592"/>
      <c r="L157" s="592"/>
      <c r="M157" s="592"/>
      <c r="N157" s="592"/>
      <c r="O157" s="592"/>
      <c r="P157" s="592"/>
      <c r="Q157" s="592"/>
    </row>
    <row r="158" spans="4:17" ht="15.75" customHeight="1" x14ac:dyDescent="0.25">
      <c r="D158" s="584"/>
      <c r="E158" s="591"/>
      <c r="F158" s="591"/>
      <c r="G158" s="591"/>
      <c r="H158" s="591"/>
      <c r="I158" s="592"/>
      <c r="J158" s="592"/>
      <c r="K158" s="592"/>
      <c r="L158" s="592"/>
      <c r="M158" s="592"/>
      <c r="N158" s="592"/>
      <c r="O158" s="592"/>
      <c r="P158" s="592"/>
      <c r="Q158" s="592"/>
    </row>
    <row r="159" spans="4:17" ht="15.75" customHeight="1" x14ac:dyDescent="0.25">
      <c r="D159" s="584"/>
      <c r="E159" s="591"/>
      <c r="F159" s="591"/>
      <c r="G159" s="591"/>
      <c r="H159" s="591"/>
      <c r="I159" s="592"/>
      <c r="J159" s="592"/>
      <c r="K159" s="592"/>
      <c r="L159" s="592"/>
      <c r="M159" s="592"/>
      <c r="N159" s="592"/>
      <c r="O159" s="592"/>
      <c r="P159" s="592"/>
      <c r="Q159" s="592"/>
    </row>
    <row r="160" spans="4:17" ht="15.75" customHeight="1" x14ac:dyDescent="0.25">
      <c r="D160" s="584"/>
      <c r="E160" s="591"/>
      <c r="F160" s="591"/>
      <c r="G160" s="591"/>
      <c r="H160" s="591"/>
      <c r="I160" s="592"/>
      <c r="J160" s="592"/>
      <c r="K160" s="592"/>
      <c r="L160" s="592"/>
      <c r="M160" s="592"/>
      <c r="N160" s="592"/>
      <c r="O160" s="592"/>
      <c r="P160" s="592"/>
      <c r="Q160" s="592"/>
    </row>
    <row r="161" spans="4:17" ht="15.75" customHeight="1" x14ac:dyDescent="0.25">
      <c r="D161" s="584"/>
      <c r="E161" s="591"/>
      <c r="F161" s="591"/>
      <c r="G161" s="591"/>
      <c r="H161" s="591"/>
      <c r="I161" s="592"/>
      <c r="J161" s="592"/>
      <c r="K161" s="592"/>
      <c r="L161" s="592"/>
      <c r="M161" s="592"/>
      <c r="N161" s="592"/>
      <c r="O161" s="592"/>
      <c r="P161" s="592"/>
      <c r="Q161" s="592"/>
    </row>
    <row r="162" spans="4:17" ht="15.75" customHeight="1" x14ac:dyDescent="0.25">
      <c r="D162" s="584"/>
      <c r="E162" s="591"/>
      <c r="F162" s="591"/>
      <c r="G162" s="591"/>
      <c r="H162" s="591"/>
      <c r="I162" s="592"/>
      <c r="J162" s="592"/>
      <c r="K162" s="592"/>
      <c r="L162" s="592"/>
      <c r="M162" s="592"/>
      <c r="N162" s="592"/>
      <c r="O162" s="592"/>
      <c r="P162" s="592"/>
      <c r="Q162" s="592"/>
    </row>
    <row r="163" spans="4:17" ht="15.75" customHeight="1" x14ac:dyDescent="0.25">
      <c r="D163" s="584"/>
      <c r="E163" s="591"/>
      <c r="F163" s="591"/>
      <c r="G163" s="591"/>
      <c r="H163" s="591"/>
      <c r="I163" s="592"/>
      <c r="J163" s="592"/>
      <c r="K163" s="592"/>
      <c r="L163" s="592"/>
      <c r="M163" s="592"/>
      <c r="N163" s="592"/>
      <c r="O163" s="592"/>
      <c r="P163" s="592"/>
      <c r="Q163" s="592"/>
    </row>
    <row r="164" spans="4:17" ht="15.75" customHeight="1" x14ac:dyDescent="0.25">
      <c r="D164" s="584"/>
      <c r="E164" s="591"/>
      <c r="F164" s="591"/>
      <c r="G164" s="591"/>
      <c r="H164" s="591"/>
      <c r="I164" s="592"/>
      <c r="J164" s="592"/>
      <c r="K164" s="592"/>
      <c r="L164" s="592"/>
      <c r="M164" s="592"/>
      <c r="N164" s="592"/>
      <c r="O164" s="592"/>
      <c r="P164" s="592"/>
      <c r="Q164" s="592"/>
    </row>
    <row r="165" spans="4:17" ht="15.75" customHeight="1" x14ac:dyDescent="0.25">
      <c r="D165" s="584"/>
      <c r="E165" s="591"/>
      <c r="F165" s="591"/>
      <c r="G165" s="591"/>
      <c r="H165" s="591"/>
      <c r="I165" s="592"/>
      <c r="J165" s="592"/>
      <c r="K165" s="592"/>
      <c r="L165" s="592"/>
      <c r="M165" s="592"/>
      <c r="N165" s="592"/>
      <c r="O165" s="592"/>
      <c r="P165" s="592"/>
      <c r="Q165" s="592"/>
    </row>
    <row r="166" spans="4:17" ht="15.75" customHeight="1" x14ac:dyDescent="0.25">
      <c r="D166" s="584"/>
      <c r="E166" s="591"/>
      <c r="F166" s="591"/>
      <c r="G166" s="591"/>
      <c r="H166" s="591"/>
      <c r="I166" s="592"/>
      <c r="J166" s="592"/>
      <c r="K166" s="592"/>
      <c r="L166" s="592"/>
      <c r="M166" s="592"/>
      <c r="N166" s="592"/>
      <c r="O166" s="592"/>
      <c r="P166" s="592"/>
      <c r="Q166" s="592"/>
    </row>
    <row r="167" spans="4:17" ht="15.75" customHeight="1" x14ac:dyDescent="0.25">
      <c r="D167" s="584"/>
      <c r="E167" s="591"/>
      <c r="F167" s="591"/>
      <c r="G167" s="591"/>
      <c r="H167" s="591"/>
      <c r="I167" s="592"/>
      <c r="J167" s="592"/>
      <c r="K167" s="592"/>
      <c r="L167" s="592"/>
      <c r="M167" s="592"/>
      <c r="N167" s="592"/>
      <c r="O167" s="592"/>
      <c r="P167" s="592"/>
      <c r="Q167" s="592"/>
    </row>
    <row r="168" spans="4:17" ht="15.75" customHeight="1" x14ac:dyDescent="0.25">
      <c r="D168" s="584"/>
      <c r="E168" s="591"/>
      <c r="F168" s="591"/>
      <c r="G168" s="591"/>
      <c r="H168" s="591"/>
      <c r="I168" s="592"/>
      <c r="J168" s="592"/>
      <c r="K168" s="592"/>
      <c r="L168" s="592"/>
      <c r="M168" s="592"/>
      <c r="N168" s="592"/>
      <c r="O168" s="592"/>
      <c r="P168" s="592"/>
      <c r="Q168" s="592"/>
    </row>
    <row r="169" spans="4:17" ht="15.75" customHeight="1" x14ac:dyDescent="0.25">
      <c r="D169" s="584"/>
      <c r="E169" s="591"/>
      <c r="F169" s="591"/>
      <c r="G169" s="591"/>
      <c r="H169" s="591"/>
      <c r="I169" s="592"/>
      <c r="J169" s="592"/>
      <c r="K169" s="592"/>
      <c r="L169" s="592"/>
      <c r="M169" s="592"/>
      <c r="N169" s="592"/>
      <c r="O169" s="592"/>
      <c r="P169" s="592"/>
      <c r="Q169" s="592"/>
    </row>
    <row r="170" spans="4:17" ht="15.75" customHeight="1" x14ac:dyDescent="0.25">
      <c r="D170" s="584"/>
      <c r="E170" s="591"/>
      <c r="F170" s="591"/>
      <c r="G170" s="591"/>
      <c r="H170" s="591"/>
      <c r="I170" s="592"/>
      <c r="J170" s="592"/>
      <c r="K170" s="592"/>
      <c r="L170" s="592"/>
      <c r="M170" s="592"/>
      <c r="N170" s="592"/>
      <c r="O170" s="592"/>
      <c r="P170" s="592"/>
      <c r="Q170" s="592"/>
    </row>
    <row r="171" spans="4:17" ht="15.75" customHeight="1" x14ac:dyDescent="0.25">
      <c r="D171" s="584"/>
      <c r="E171" s="591"/>
      <c r="F171" s="591"/>
      <c r="G171" s="591"/>
      <c r="H171" s="591"/>
      <c r="I171" s="592"/>
      <c r="J171" s="592"/>
      <c r="K171" s="592"/>
      <c r="L171" s="592"/>
      <c r="M171" s="592"/>
      <c r="N171" s="592"/>
      <c r="O171" s="592"/>
      <c r="P171" s="592"/>
      <c r="Q171" s="592"/>
    </row>
    <row r="172" spans="4:17" ht="15.75" customHeight="1" x14ac:dyDescent="0.25">
      <c r="D172" s="584"/>
      <c r="E172" s="591"/>
      <c r="F172" s="591"/>
      <c r="G172" s="591"/>
      <c r="H172" s="591"/>
      <c r="I172" s="592"/>
      <c r="J172" s="592"/>
      <c r="K172" s="592"/>
      <c r="L172" s="592"/>
      <c r="M172" s="592"/>
      <c r="N172" s="592"/>
      <c r="O172" s="592"/>
      <c r="P172" s="592"/>
      <c r="Q172" s="592"/>
    </row>
    <row r="173" spans="4:17" ht="15.75" customHeight="1" x14ac:dyDescent="0.25">
      <c r="D173" s="584"/>
      <c r="E173" s="591"/>
      <c r="F173" s="591"/>
      <c r="G173" s="591"/>
      <c r="H173" s="591"/>
      <c r="I173" s="592"/>
      <c r="J173" s="592"/>
      <c r="K173" s="592"/>
      <c r="L173" s="592"/>
      <c r="M173" s="592"/>
      <c r="N173" s="592"/>
      <c r="O173" s="592"/>
      <c r="P173" s="592"/>
      <c r="Q173" s="592"/>
    </row>
    <row r="174" spans="4:17" ht="15.75" customHeight="1" x14ac:dyDescent="0.25">
      <c r="D174" s="584"/>
      <c r="E174" s="591"/>
      <c r="F174" s="591"/>
      <c r="G174" s="591"/>
      <c r="H174" s="591"/>
      <c r="I174" s="592"/>
      <c r="J174" s="592"/>
      <c r="K174" s="592"/>
      <c r="L174" s="592"/>
      <c r="M174" s="592"/>
      <c r="N174" s="592"/>
      <c r="O174" s="592"/>
      <c r="P174" s="592"/>
      <c r="Q174" s="592"/>
    </row>
    <row r="175" spans="4:17" ht="15.75" customHeight="1" x14ac:dyDescent="0.25">
      <c r="D175" s="584"/>
      <c r="E175" s="591"/>
      <c r="F175" s="591"/>
      <c r="G175" s="591"/>
      <c r="H175" s="591"/>
      <c r="I175" s="592"/>
      <c r="J175" s="592"/>
      <c r="K175" s="592"/>
      <c r="L175" s="592"/>
      <c r="M175" s="592"/>
      <c r="N175" s="592"/>
      <c r="O175" s="592"/>
      <c r="P175" s="592"/>
      <c r="Q175" s="592"/>
    </row>
    <row r="176" spans="4:17" ht="15.75" customHeight="1" x14ac:dyDescent="0.25">
      <c r="D176" s="584"/>
      <c r="E176" s="591"/>
      <c r="F176" s="591"/>
      <c r="G176" s="591"/>
      <c r="H176" s="591"/>
      <c r="I176" s="592"/>
      <c r="J176" s="592"/>
      <c r="K176" s="592"/>
      <c r="L176" s="592"/>
      <c r="M176" s="592"/>
      <c r="N176" s="592"/>
      <c r="O176" s="592"/>
      <c r="P176" s="592"/>
      <c r="Q176" s="592"/>
    </row>
    <row r="177" spans="4:17" ht="15.75" customHeight="1" x14ac:dyDescent="0.25">
      <c r="D177" s="584"/>
      <c r="E177" s="591"/>
      <c r="F177" s="591"/>
      <c r="G177" s="591"/>
      <c r="H177" s="591"/>
      <c r="I177" s="592"/>
      <c r="J177" s="592"/>
      <c r="K177" s="592"/>
      <c r="L177" s="592"/>
      <c r="M177" s="592"/>
      <c r="N177" s="592"/>
      <c r="O177" s="592"/>
      <c r="P177" s="592"/>
      <c r="Q177" s="592"/>
    </row>
    <row r="178" spans="4:17" ht="15.75" customHeight="1" x14ac:dyDescent="0.25">
      <c r="D178" s="584"/>
      <c r="E178" s="591"/>
      <c r="F178" s="591"/>
      <c r="G178" s="591"/>
      <c r="H178" s="591"/>
      <c r="I178" s="592"/>
      <c r="J178" s="592"/>
      <c r="K178" s="592"/>
      <c r="L178" s="592"/>
      <c r="M178" s="592"/>
      <c r="N178" s="592"/>
      <c r="O178" s="592"/>
      <c r="P178" s="592"/>
      <c r="Q178" s="592"/>
    </row>
    <row r="179" spans="4:17" ht="15.75" customHeight="1" x14ac:dyDescent="0.25">
      <c r="D179" s="584"/>
      <c r="E179" s="591"/>
      <c r="F179" s="591"/>
      <c r="G179" s="591"/>
      <c r="H179" s="591"/>
      <c r="I179" s="592"/>
      <c r="J179" s="592"/>
      <c r="K179" s="592"/>
      <c r="L179" s="592"/>
      <c r="M179" s="592"/>
      <c r="N179" s="592"/>
      <c r="O179" s="592"/>
      <c r="P179" s="592"/>
      <c r="Q179" s="592"/>
    </row>
    <row r="180" spans="4:17" ht="15.75" customHeight="1" x14ac:dyDescent="0.25">
      <c r="D180" s="584"/>
      <c r="E180" s="591"/>
      <c r="F180" s="591"/>
      <c r="G180" s="591"/>
      <c r="H180" s="591"/>
      <c r="I180" s="592"/>
      <c r="J180" s="592"/>
      <c r="K180" s="592"/>
      <c r="L180" s="592"/>
      <c r="M180" s="592"/>
      <c r="N180" s="592"/>
      <c r="O180" s="592"/>
      <c r="P180" s="592"/>
      <c r="Q180" s="592"/>
    </row>
    <row r="181" spans="4:17" ht="15.75" customHeight="1" x14ac:dyDescent="0.25">
      <c r="D181" s="584"/>
      <c r="E181" s="591"/>
      <c r="F181" s="591"/>
      <c r="G181" s="591"/>
      <c r="H181" s="591"/>
      <c r="I181" s="592"/>
      <c r="J181" s="592"/>
      <c r="K181" s="592"/>
      <c r="L181" s="592"/>
      <c r="M181" s="592"/>
      <c r="N181" s="592"/>
      <c r="O181" s="592"/>
      <c r="P181" s="592"/>
      <c r="Q181" s="592"/>
    </row>
    <row r="182" spans="4:17" ht="15.75" customHeight="1" x14ac:dyDescent="0.25">
      <c r="D182" s="584"/>
      <c r="E182" s="591"/>
      <c r="F182" s="591"/>
      <c r="G182" s="591"/>
      <c r="H182" s="591"/>
      <c r="I182" s="592"/>
      <c r="J182" s="592"/>
      <c r="K182" s="592"/>
      <c r="L182" s="592"/>
      <c r="M182" s="592"/>
      <c r="N182" s="592"/>
      <c r="O182" s="592"/>
      <c r="P182" s="592"/>
      <c r="Q182" s="592"/>
    </row>
    <row r="183" spans="4:17" ht="15.75" customHeight="1" x14ac:dyDescent="0.25">
      <c r="D183" s="584"/>
      <c r="E183" s="591"/>
      <c r="F183" s="591"/>
      <c r="G183" s="591"/>
      <c r="H183" s="591"/>
      <c r="I183" s="592"/>
      <c r="J183" s="592"/>
      <c r="K183" s="592"/>
      <c r="L183" s="592"/>
      <c r="M183" s="592"/>
      <c r="N183" s="592"/>
      <c r="O183" s="592"/>
      <c r="P183" s="592"/>
      <c r="Q183" s="592"/>
    </row>
    <row r="184" spans="4:17" ht="15.75" customHeight="1" x14ac:dyDescent="0.25">
      <c r="D184" s="584"/>
      <c r="E184" s="591"/>
      <c r="F184" s="591"/>
      <c r="G184" s="591"/>
      <c r="H184" s="591"/>
      <c r="I184" s="592"/>
      <c r="J184" s="592"/>
      <c r="K184" s="592"/>
      <c r="L184" s="592"/>
      <c r="M184" s="592"/>
      <c r="N184" s="592"/>
      <c r="O184" s="592"/>
      <c r="P184" s="592"/>
      <c r="Q184" s="592"/>
    </row>
    <row r="185" spans="4:17" ht="15.75" customHeight="1" x14ac:dyDescent="0.25">
      <c r="D185" s="584"/>
      <c r="E185" s="591"/>
      <c r="F185" s="591"/>
      <c r="G185" s="591"/>
      <c r="H185" s="591"/>
      <c r="I185" s="592"/>
      <c r="J185" s="592"/>
      <c r="K185" s="592"/>
      <c r="L185" s="592"/>
      <c r="M185" s="592"/>
      <c r="N185" s="592"/>
      <c r="O185" s="592"/>
      <c r="P185" s="592"/>
      <c r="Q185" s="592"/>
    </row>
    <row r="186" spans="4:17" ht="15.75" customHeight="1" x14ac:dyDescent="0.25">
      <c r="D186" s="584"/>
      <c r="E186" s="591"/>
      <c r="F186" s="591"/>
      <c r="G186" s="591"/>
      <c r="H186" s="591"/>
      <c r="I186" s="592"/>
      <c r="J186" s="592"/>
      <c r="K186" s="592"/>
      <c r="L186" s="592"/>
      <c r="M186" s="592"/>
      <c r="N186" s="592"/>
      <c r="O186" s="592"/>
      <c r="P186" s="592"/>
      <c r="Q186" s="592"/>
    </row>
    <row r="187" spans="4:17" ht="15.75" customHeight="1" x14ac:dyDescent="0.25">
      <c r="D187" s="584"/>
      <c r="E187" s="591"/>
      <c r="F187" s="591"/>
      <c r="G187" s="591"/>
      <c r="H187" s="591"/>
      <c r="I187" s="592"/>
      <c r="J187" s="592"/>
      <c r="K187" s="592"/>
      <c r="L187" s="592"/>
      <c r="M187" s="592"/>
      <c r="N187" s="592"/>
      <c r="O187" s="592"/>
      <c r="P187" s="592"/>
      <c r="Q187" s="592"/>
    </row>
    <row r="188" spans="4:17" ht="15.75" customHeight="1" x14ac:dyDescent="0.25">
      <c r="D188" s="584"/>
      <c r="E188" s="584"/>
      <c r="F188" s="584"/>
      <c r="G188" s="584"/>
      <c r="H188" s="584"/>
    </row>
    <row r="189" spans="4:17" ht="15.75" customHeight="1" x14ac:dyDescent="0.25">
      <c r="D189" s="584"/>
      <c r="E189" s="584"/>
      <c r="F189" s="584"/>
      <c r="G189" s="584"/>
      <c r="H189" s="584"/>
    </row>
    <row r="190" spans="4:17" ht="15.75" customHeight="1" x14ac:dyDescent="0.25">
      <c r="D190" s="584"/>
      <c r="E190" s="584"/>
      <c r="F190" s="584"/>
      <c r="G190" s="584"/>
      <c r="H190" s="584"/>
    </row>
    <row r="191" spans="4:17" ht="15.75" customHeight="1" x14ac:dyDescent="0.25">
      <c r="D191" s="584"/>
      <c r="E191" s="584"/>
      <c r="F191" s="584"/>
      <c r="G191" s="584"/>
      <c r="H191" s="584"/>
    </row>
    <row r="192" spans="4:17" ht="15.75" customHeight="1" x14ac:dyDescent="0.25">
      <c r="D192" s="584"/>
      <c r="E192" s="584"/>
      <c r="F192" s="584"/>
      <c r="G192" s="584"/>
      <c r="H192" s="584"/>
    </row>
    <row r="193" spans="4:8" ht="15.75" customHeight="1" x14ac:dyDescent="0.25">
      <c r="D193" s="584"/>
      <c r="E193" s="584"/>
      <c r="F193" s="584"/>
      <c r="G193" s="584"/>
      <c r="H193" s="584"/>
    </row>
    <row r="194" spans="4:8" ht="15.75" customHeight="1" x14ac:dyDescent="0.25">
      <c r="D194" s="584"/>
      <c r="E194" s="584"/>
      <c r="F194" s="584"/>
      <c r="G194" s="584"/>
      <c r="H194" s="584"/>
    </row>
    <row r="195" spans="4:8" ht="15.75" customHeight="1" x14ac:dyDescent="0.25">
      <c r="D195" s="584"/>
      <c r="E195" s="584"/>
      <c r="F195" s="584"/>
      <c r="G195" s="584"/>
      <c r="H195" s="584"/>
    </row>
    <row r="196" spans="4:8" ht="15.75" customHeight="1" x14ac:dyDescent="0.25">
      <c r="D196" s="584"/>
      <c r="E196" s="584"/>
      <c r="F196" s="584"/>
      <c r="G196" s="584"/>
      <c r="H196" s="584"/>
    </row>
    <row r="197" spans="4:8" ht="15.75" customHeight="1" x14ac:dyDescent="0.25">
      <c r="D197" s="584"/>
      <c r="E197" s="584"/>
      <c r="F197" s="584"/>
      <c r="G197" s="584"/>
      <c r="H197" s="584"/>
    </row>
    <row r="198" spans="4:8" ht="15.75" customHeight="1" x14ac:dyDescent="0.25">
      <c r="D198" s="584"/>
      <c r="E198" s="584"/>
      <c r="F198" s="584"/>
      <c r="G198" s="584"/>
      <c r="H198" s="584"/>
    </row>
    <row r="199" spans="4:8" ht="15.75" customHeight="1" x14ac:dyDescent="0.25">
      <c r="D199" s="584"/>
      <c r="E199" s="584"/>
      <c r="F199" s="584"/>
      <c r="G199" s="584"/>
      <c r="H199" s="584"/>
    </row>
    <row r="200" spans="4:8" ht="15.75" customHeight="1" x14ac:dyDescent="0.25">
      <c r="D200" s="584"/>
      <c r="E200" s="584"/>
      <c r="F200" s="584"/>
      <c r="G200" s="584"/>
      <c r="H200" s="584"/>
    </row>
    <row r="201" spans="4:8" ht="15.75" customHeight="1" x14ac:dyDescent="0.25">
      <c r="D201" s="584"/>
      <c r="E201" s="584"/>
      <c r="F201" s="584"/>
      <c r="G201" s="584"/>
      <c r="H201" s="584"/>
    </row>
    <row r="202" spans="4:8" ht="15.75" customHeight="1" x14ac:dyDescent="0.25">
      <c r="D202" s="584"/>
      <c r="E202" s="584"/>
      <c r="F202" s="584"/>
      <c r="G202" s="584"/>
      <c r="H202" s="584"/>
    </row>
    <row r="203" spans="4:8" ht="15.75" customHeight="1" x14ac:dyDescent="0.25">
      <c r="D203" s="584"/>
      <c r="E203" s="584"/>
      <c r="F203" s="584"/>
      <c r="G203" s="584"/>
      <c r="H203" s="584"/>
    </row>
    <row r="204" spans="4:8" ht="15.75" customHeight="1" x14ac:dyDescent="0.25">
      <c r="D204" s="584"/>
      <c r="E204" s="584"/>
      <c r="F204" s="584"/>
      <c r="G204" s="584"/>
      <c r="H204" s="584"/>
    </row>
    <row r="205" spans="4:8" ht="15.75" customHeight="1" x14ac:dyDescent="0.25">
      <c r="D205" s="584"/>
      <c r="E205" s="584"/>
      <c r="F205" s="584"/>
      <c r="G205" s="584"/>
      <c r="H205" s="584"/>
    </row>
    <row r="206" spans="4:8" ht="15.75" customHeight="1" x14ac:dyDescent="0.25">
      <c r="D206" s="584"/>
      <c r="E206" s="584"/>
      <c r="F206" s="584"/>
      <c r="G206" s="584"/>
      <c r="H206" s="584"/>
    </row>
    <row r="207" spans="4:8" ht="15.75" customHeight="1" x14ac:dyDescent="0.25">
      <c r="D207" s="584"/>
      <c r="E207" s="584"/>
      <c r="F207" s="584"/>
      <c r="G207" s="584"/>
      <c r="H207" s="584"/>
    </row>
    <row r="208" spans="4:8" ht="15.75" customHeight="1" x14ac:dyDescent="0.25">
      <c r="D208" s="584"/>
      <c r="E208" s="584"/>
      <c r="F208" s="584"/>
      <c r="G208" s="584"/>
      <c r="H208" s="584"/>
    </row>
    <row r="209" spans="4:8" ht="15.75" customHeight="1" x14ac:dyDescent="0.25">
      <c r="D209" s="584"/>
      <c r="E209" s="584"/>
      <c r="F209" s="584"/>
      <c r="G209" s="584"/>
      <c r="H209" s="584"/>
    </row>
    <row r="210" spans="4:8" ht="15.75" customHeight="1" x14ac:dyDescent="0.25">
      <c r="D210" s="584"/>
      <c r="E210" s="584"/>
      <c r="F210" s="584"/>
      <c r="G210" s="584"/>
      <c r="H210" s="584"/>
    </row>
    <row r="211" spans="4:8" ht="15.75" customHeight="1" x14ac:dyDescent="0.25">
      <c r="D211" s="584"/>
      <c r="E211" s="584"/>
      <c r="F211" s="584"/>
      <c r="G211" s="584"/>
      <c r="H211" s="584"/>
    </row>
    <row r="212" spans="4:8" ht="15.75" customHeight="1" x14ac:dyDescent="0.25">
      <c r="D212" s="584"/>
      <c r="E212" s="584"/>
      <c r="F212" s="584"/>
      <c r="G212" s="584"/>
      <c r="H212" s="584"/>
    </row>
    <row r="213" spans="4:8" ht="15.75" customHeight="1" x14ac:dyDescent="0.25">
      <c r="D213" s="584"/>
      <c r="E213" s="584"/>
      <c r="F213" s="584"/>
      <c r="G213" s="584"/>
      <c r="H213" s="584"/>
    </row>
    <row r="214" spans="4:8" ht="15.75" customHeight="1" x14ac:dyDescent="0.25">
      <c r="D214" s="584"/>
      <c r="E214" s="584"/>
      <c r="F214" s="584"/>
      <c r="G214" s="584"/>
      <c r="H214" s="584"/>
    </row>
    <row r="215" spans="4:8" ht="15.75" customHeight="1" x14ac:dyDescent="0.25">
      <c r="D215" s="584"/>
      <c r="E215" s="584"/>
      <c r="F215" s="584"/>
      <c r="G215" s="584"/>
      <c r="H215" s="584"/>
    </row>
    <row r="216" spans="4:8" ht="15.75" customHeight="1" x14ac:dyDescent="0.25">
      <c r="D216" s="584"/>
      <c r="E216" s="584"/>
      <c r="F216" s="584"/>
      <c r="G216" s="584"/>
      <c r="H216" s="584"/>
    </row>
    <row r="217" spans="4:8" ht="15.75" customHeight="1" x14ac:dyDescent="0.25">
      <c r="D217" s="584"/>
      <c r="E217" s="584"/>
      <c r="F217" s="584"/>
      <c r="G217" s="584"/>
      <c r="H217" s="584"/>
    </row>
    <row r="218" spans="4:8" ht="15.75" customHeight="1" x14ac:dyDescent="0.25">
      <c r="D218" s="584"/>
      <c r="E218" s="584"/>
      <c r="F218" s="584"/>
      <c r="G218" s="584"/>
      <c r="H218" s="584"/>
    </row>
    <row r="219" spans="4:8" ht="15.75" customHeight="1" x14ac:dyDescent="0.25">
      <c r="D219" s="584"/>
      <c r="E219" s="584"/>
      <c r="F219" s="584"/>
      <c r="G219" s="584"/>
      <c r="H219" s="584"/>
    </row>
    <row r="220" spans="4:8" ht="15.75" customHeight="1" x14ac:dyDescent="0.25">
      <c r="D220" s="584"/>
      <c r="E220" s="584"/>
      <c r="F220" s="584"/>
      <c r="G220" s="584"/>
      <c r="H220" s="584"/>
    </row>
    <row r="221" spans="4:8" ht="15.75" customHeight="1" x14ac:dyDescent="0.25">
      <c r="D221" s="584"/>
      <c r="E221" s="584"/>
      <c r="F221" s="584"/>
      <c r="G221" s="584"/>
      <c r="H221" s="584"/>
    </row>
    <row r="222" spans="4:8" ht="15.75" customHeight="1" x14ac:dyDescent="0.25">
      <c r="D222" s="584"/>
      <c r="E222" s="584"/>
      <c r="F222" s="584"/>
      <c r="G222" s="584"/>
      <c r="H222" s="584"/>
    </row>
    <row r="223" spans="4:8" ht="15.75" customHeight="1" x14ac:dyDescent="0.25">
      <c r="D223" s="584"/>
      <c r="E223" s="584"/>
      <c r="F223" s="584"/>
      <c r="G223" s="584"/>
      <c r="H223" s="584"/>
    </row>
    <row r="224" spans="4:8" ht="15.75" customHeight="1" x14ac:dyDescent="0.25">
      <c r="D224" s="584"/>
      <c r="E224" s="584"/>
      <c r="F224" s="584"/>
      <c r="G224" s="584"/>
      <c r="H224" s="584"/>
    </row>
    <row r="225" spans="4:8" ht="15.75" customHeight="1" x14ac:dyDescent="0.25">
      <c r="D225" s="584"/>
      <c r="E225" s="584"/>
      <c r="F225" s="584"/>
      <c r="G225" s="584"/>
      <c r="H225" s="584"/>
    </row>
    <row r="226" spans="4:8" ht="15.75" customHeight="1" x14ac:dyDescent="0.25">
      <c r="D226" s="584"/>
      <c r="E226" s="584"/>
      <c r="F226" s="584"/>
      <c r="G226" s="584"/>
      <c r="H226" s="584"/>
    </row>
    <row r="227" spans="4:8" ht="15.75" customHeight="1" x14ac:dyDescent="0.25">
      <c r="D227" s="584"/>
      <c r="E227" s="584"/>
      <c r="F227" s="584"/>
      <c r="G227" s="584"/>
      <c r="H227" s="584"/>
    </row>
    <row r="228" spans="4:8" ht="15.75" customHeight="1" x14ac:dyDescent="0.25">
      <c r="D228" s="584"/>
      <c r="E228" s="584"/>
      <c r="F228" s="584"/>
      <c r="G228" s="584"/>
      <c r="H228" s="584"/>
    </row>
    <row r="229" spans="4:8" ht="15.75" customHeight="1" x14ac:dyDescent="0.25">
      <c r="D229" s="584"/>
      <c r="E229" s="584"/>
      <c r="F229" s="584"/>
      <c r="G229" s="584"/>
      <c r="H229" s="584"/>
    </row>
    <row r="230" spans="4:8" ht="15.75" customHeight="1" x14ac:dyDescent="0.25">
      <c r="D230" s="584"/>
      <c r="E230" s="584"/>
      <c r="F230" s="584"/>
      <c r="G230" s="584"/>
      <c r="H230" s="584"/>
    </row>
    <row r="231" spans="4:8" ht="15.75" customHeight="1" x14ac:dyDescent="0.25">
      <c r="D231" s="584"/>
      <c r="E231" s="584"/>
      <c r="F231" s="584"/>
      <c r="G231" s="584"/>
      <c r="H231" s="584"/>
    </row>
    <row r="232" spans="4:8" ht="15.75" customHeight="1" x14ac:dyDescent="0.25">
      <c r="D232" s="584"/>
      <c r="E232" s="584"/>
      <c r="F232" s="584"/>
      <c r="G232" s="584"/>
      <c r="H232" s="584"/>
    </row>
    <row r="233" spans="4:8" ht="15.75" customHeight="1" x14ac:dyDescent="0.25">
      <c r="D233" s="584"/>
      <c r="E233" s="584"/>
      <c r="F233" s="584"/>
      <c r="G233" s="584"/>
      <c r="H233" s="584"/>
    </row>
    <row r="234" spans="4:8" ht="15.75" customHeight="1" x14ac:dyDescent="0.25">
      <c r="D234" s="584"/>
      <c r="E234" s="584"/>
      <c r="F234" s="584"/>
      <c r="G234" s="584"/>
      <c r="H234" s="584"/>
    </row>
    <row r="235" spans="4:8" ht="15.75" customHeight="1" x14ac:dyDescent="0.25">
      <c r="D235" s="584"/>
      <c r="E235" s="584"/>
      <c r="F235" s="584"/>
      <c r="G235" s="584"/>
      <c r="H235" s="584"/>
    </row>
    <row r="236" spans="4:8" ht="15.75" customHeight="1" x14ac:dyDescent="0.25">
      <c r="D236" s="584"/>
      <c r="E236" s="584"/>
      <c r="F236" s="584"/>
      <c r="G236" s="584"/>
      <c r="H236" s="584"/>
    </row>
    <row r="237" spans="4:8" ht="15.75" customHeight="1" x14ac:dyDescent="0.25">
      <c r="D237" s="584"/>
      <c r="E237" s="584"/>
      <c r="F237" s="584"/>
      <c r="G237" s="584"/>
      <c r="H237" s="584"/>
    </row>
    <row r="238" spans="4:8" ht="15.75" customHeight="1" x14ac:dyDescent="0.25">
      <c r="D238" s="584"/>
      <c r="E238" s="584"/>
      <c r="F238" s="584"/>
      <c r="G238" s="584"/>
      <c r="H238" s="584"/>
    </row>
    <row r="239" spans="4:8" ht="15.75" customHeight="1" x14ac:dyDescent="0.25">
      <c r="D239" s="584"/>
      <c r="E239" s="584"/>
      <c r="F239" s="584"/>
      <c r="G239" s="584"/>
      <c r="H239" s="584"/>
    </row>
    <row r="240" spans="4:8" ht="15.75" customHeight="1" x14ac:dyDescent="0.25">
      <c r="D240" s="584"/>
      <c r="E240" s="584"/>
      <c r="F240" s="584"/>
      <c r="G240" s="584"/>
      <c r="H240" s="584"/>
    </row>
    <row r="241" spans="4:8" ht="15.75" customHeight="1" x14ac:dyDescent="0.25">
      <c r="D241" s="584"/>
      <c r="E241" s="584"/>
      <c r="F241" s="584"/>
      <c r="G241" s="584"/>
      <c r="H241" s="584"/>
    </row>
    <row r="242" spans="4:8" ht="15.75" customHeight="1" x14ac:dyDescent="0.25">
      <c r="D242" s="584"/>
      <c r="E242" s="584"/>
      <c r="F242" s="584"/>
      <c r="G242" s="584"/>
      <c r="H242" s="584"/>
    </row>
    <row r="243" spans="4:8" ht="15.75" customHeight="1" x14ac:dyDescent="0.25">
      <c r="D243" s="584"/>
      <c r="E243" s="584"/>
      <c r="F243" s="584"/>
      <c r="G243" s="584"/>
      <c r="H243" s="584"/>
    </row>
    <row r="244" spans="4:8" ht="15.75" customHeight="1" x14ac:dyDescent="0.25">
      <c r="D244" s="584"/>
      <c r="E244" s="584"/>
      <c r="F244" s="584"/>
      <c r="G244" s="584"/>
      <c r="H244" s="584"/>
    </row>
    <row r="245" spans="4:8" ht="15.75" customHeight="1" x14ac:dyDescent="0.25">
      <c r="D245" s="584"/>
      <c r="E245" s="584"/>
      <c r="F245" s="584"/>
      <c r="G245" s="584"/>
      <c r="H245" s="584"/>
    </row>
    <row r="246" spans="4:8" ht="15.75" customHeight="1" x14ac:dyDescent="0.25">
      <c r="D246" s="584"/>
      <c r="E246" s="584"/>
      <c r="F246" s="584"/>
      <c r="G246" s="584"/>
      <c r="H246" s="584"/>
    </row>
    <row r="247" spans="4:8" ht="15.75" customHeight="1" x14ac:dyDescent="0.25">
      <c r="D247" s="584"/>
      <c r="E247" s="584"/>
      <c r="F247" s="584"/>
      <c r="G247" s="584"/>
      <c r="H247" s="584"/>
    </row>
    <row r="248" spans="4:8" ht="15.75" customHeight="1" x14ac:dyDescent="0.25">
      <c r="D248" s="584"/>
      <c r="E248" s="584"/>
      <c r="F248" s="584"/>
      <c r="G248" s="584"/>
      <c r="H248" s="584"/>
    </row>
    <row r="249" spans="4:8" ht="15.75" customHeight="1" x14ac:dyDescent="0.25">
      <c r="D249" s="584"/>
      <c r="E249" s="584"/>
      <c r="F249" s="584"/>
      <c r="G249" s="584"/>
      <c r="H249" s="584"/>
    </row>
    <row r="250" spans="4:8" ht="15.75" customHeight="1" x14ac:dyDescent="0.25">
      <c r="D250" s="584"/>
      <c r="E250" s="584"/>
      <c r="F250" s="584"/>
      <c r="G250" s="584"/>
      <c r="H250" s="584"/>
    </row>
    <row r="251" spans="4:8" ht="15.75" customHeight="1" x14ac:dyDescent="0.25">
      <c r="D251" s="584"/>
      <c r="E251" s="584"/>
      <c r="F251" s="584"/>
      <c r="G251" s="584"/>
      <c r="H251" s="584"/>
    </row>
    <row r="252" spans="4:8" ht="15.75" customHeight="1" x14ac:dyDescent="0.25">
      <c r="D252" s="584"/>
      <c r="E252" s="584"/>
      <c r="F252" s="584"/>
      <c r="G252" s="584"/>
      <c r="H252" s="584"/>
    </row>
    <row r="253" spans="4:8" ht="15.75" customHeight="1" x14ac:dyDescent="0.25">
      <c r="D253" s="584"/>
      <c r="E253" s="584"/>
      <c r="F253" s="584"/>
      <c r="G253" s="584"/>
      <c r="H253" s="584"/>
    </row>
    <row r="254" spans="4:8" ht="15.75" customHeight="1" x14ac:dyDescent="0.25">
      <c r="D254" s="584"/>
      <c r="E254" s="584"/>
      <c r="F254" s="584"/>
      <c r="G254" s="584"/>
      <c r="H254" s="584"/>
    </row>
    <row r="255" spans="4:8" ht="15.75" customHeight="1" x14ac:dyDescent="0.25">
      <c r="D255" s="584"/>
      <c r="E255" s="584"/>
      <c r="F255" s="584"/>
      <c r="G255" s="584"/>
      <c r="H255" s="584"/>
    </row>
    <row r="256" spans="4:8" ht="15.75" customHeight="1" x14ac:dyDescent="0.25">
      <c r="D256" s="584"/>
      <c r="E256" s="584"/>
      <c r="F256" s="584"/>
      <c r="G256" s="584"/>
      <c r="H256" s="584"/>
    </row>
    <row r="257" spans="4:8" ht="15.75" customHeight="1" x14ac:dyDescent="0.25">
      <c r="D257" s="584"/>
      <c r="E257" s="584"/>
      <c r="F257" s="584"/>
      <c r="G257" s="584"/>
      <c r="H257" s="584"/>
    </row>
    <row r="258" spans="4:8" ht="15.75" customHeight="1" x14ac:dyDescent="0.25">
      <c r="D258" s="584"/>
      <c r="E258" s="584"/>
      <c r="F258" s="584"/>
      <c r="G258" s="584"/>
      <c r="H258" s="584"/>
    </row>
    <row r="259" spans="4:8" ht="15.75" customHeight="1" x14ac:dyDescent="0.25">
      <c r="D259" s="584"/>
      <c r="E259" s="584"/>
      <c r="F259" s="584"/>
      <c r="G259" s="584"/>
      <c r="H259" s="584"/>
    </row>
    <row r="260" spans="4:8" ht="15.75" customHeight="1" x14ac:dyDescent="0.25">
      <c r="D260" s="584"/>
      <c r="E260" s="584"/>
      <c r="F260" s="584"/>
      <c r="G260" s="584"/>
      <c r="H260" s="584"/>
    </row>
    <row r="261" spans="4:8" ht="15.75" customHeight="1" x14ac:dyDescent="0.25">
      <c r="D261" s="584"/>
      <c r="E261" s="584"/>
      <c r="F261" s="584"/>
      <c r="G261" s="584"/>
      <c r="H261" s="584"/>
    </row>
    <row r="262" spans="4:8" ht="15.75" customHeight="1" x14ac:dyDescent="0.25">
      <c r="D262" s="584"/>
      <c r="E262" s="584"/>
      <c r="F262" s="584"/>
      <c r="G262" s="584"/>
      <c r="H262" s="584"/>
    </row>
    <row r="263" spans="4:8" ht="15.75" customHeight="1" x14ac:dyDescent="0.25">
      <c r="D263" s="584"/>
      <c r="E263" s="584"/>
      <c r="F263" s="584"/>
      <c r="G263" s="584"/>
      <c r="H263" s="584"/>
    </row>
    <row r="264" spans="4:8" ht="15.75" customHeight="1" x14ac:dyDescent="0.25">
      <c r="D264" s="584"/>
      <c r="E264" s="584"/>
      <c r="F264" s="584"/>
      <c r="G264" s="584"/>
      <c r="H264" s="584"/>
    </row>
    <row r="265" spans="4:8" ht="15.75" customHeight="1" x14ac:dyDescent="0.25">
      <c r="D265" s="584"/>
      <c r="E265" s="584"/>
      <c r="F265" s="584"/>
      <c r="G265" s="584"/>
      <c r="H265" s="584"/>
    </row>
    <row r="266" spans="4:8" ht="15.75" customHeight="1" x14ac:dyDescent="0.25">
      <c r="D266" s="584"/>
      <c r="E266" s="584"/>
      <c r="F266" s="584"/>
      <c r="G266" s="584"/>
      <c r="H266" s="584"/>
    </row>
    <row r="267" spans="4:8" ht="15.75" customHeight="1" x14ac:dyDescent="0.25">
      <c r="D267" s="584"/>
      <c r="E267" s="584"/>
      <c r="F267" s="584"/>
      <c r="G267" s="584"/>
      <c r="H267" s="584"/>
    </row>
    <row r="268" spans="4:8" ht="15.75" customHeight="1" x14ac:dyDescent="0.25">
      <c r="D268" s="584"/>
      <c r="E268" s="584"/>
      <c r="F268" s="584"/>
      <c r="G268" s="584"/>
      <c r="H268" s="584"/>
    </row>
    <row r="269" spans="4:8" ht="15.75" customHeight="1" x14ac:dyDescent="0.25">
      <c r="D269" s="584"/>
      <c r="E269" s="584"/>
      <c r="F269" s="584"/>
      <c r="G269" s="584"/>
      <c r="H269" s="584"/>
    </row>
    <row r="270" spans="4:8" ht="15.75" customHeight="1" x14ac:dyDescent="0.25">
      <c r="D270" s="584"/>
      <c r="E270" s="584"/>
      <c r="F270" s="584"/>
      <c r="G270" s="584"/>
      <c r="H270" s="584"/>
    </row>
    <row r="271" spans="4:8" ht="15.75" customHeight="1" x14ac:dyDescent="0.25">
      <c r="D271" s="584"/>
      <c r="E271" s="584"/>
      <c r="F271" s="584"/>
      <c r="G271" s="584"/>
      <c r="H271" s="584"/>
    </row>
    <row r="272" spans="4:8" ht="15.75" customHeight="1" x14ac:dyDescent="0.25">
      <c r="D272" s="584"/>
      <c r="E272" s="584"/>
      <c r="F272" s="584"/>
      <c r="G272" s="584"/>
      <c r="H272" s="584"/>
    </row>
    <row r="273" spans="4:8" ht="15.75" customHeight="1" x14ac:dyDescent="0.25">
      <c r="D273" s="584"/>
      <c r="E273" s="584"/>
      <c r="F273" s="584"/>
      <c r="G273" s="584"/>
      <c r="H273" s="584"/>
    </row>
    <row r="274" spans="4:8" ht="15.75" customHeight="1" x14ac:dyDescent="0.25">
      <c r="D274" s="584"/>
      <c r="E274" s="584"/>
      <c r="F274" s="584"/>
      <c r="G274" s="584"/>
      <c r="H274" s="584"/>
    </row>
    <row r="275" spans="4:8" ht="15.75" customHeight="1" x14ac:dyDescent="0.25">
      <c r="D275" s="584"/>
      <c r="E275" s="584"/>
      <c r="F275" s="584"/>
      <c r="G275" s="584"/>
      <c r="H275" s="584"/>
    </row>
    <row r="276" spans="4:8" ht="15.75" customHeight="1" x14ac:dyDescent="0.25">
      <c r="D276" s="584"/>
      <c r="E276" s="584"/>
      <c r="F276" s="584"/>
      <c r="G276" s="584"/>
      <c r="H276" s="584"/>
    </row>
    <row r="277" spans="4:8" ht="15.75" customHeight="1" x14ac:dyDescent="0.25">
      <c r="D277" s="584"/>
      <c r="E277" s="584"/>
      <c r="F277" s="584"/>
      <c r="G277" s="584"/>
      <c r="H277" s="584"/>
    </row>
    <row r="278" spans="4:8" ht="15.75" customHeight="1" x14ac:dyDescent="0.25">
      <c r="D278" s="584"/>
      <c r="E278" s="584"/>
      <c r="F278" s="584"/>
      <c r="G278" s="584"/>
      <c r="H278" s="584"/>
    </row>
    <row r="279" spans="4:8" ht="15.75" customHeight="1" x14ac:dyDescent="0.25">
      <c r="D279" s="584"/>
      <c r="E279" s="584"/>
      <c r="F279" s="584"/>
      <c r="G279" s="584"/>
      <c r="H279" s="584"/>
    </row>
    <row r="280" spans="4:8" ht="15.75" customHeight="1" x14ac:dyDescent="0.25">
      <c r="D280" s="584"/>
      <c r="E280" s="584"/>
      <c r="F280" s="584"/>
      <c r="G280" s="584"/>
      <c r="H280" s="584"/>
    </row>
    <row r="281" spans="4:8" ht="15.75" customHeight="1" x14ac:dyDescent="0.25">
      <c r="D281" s="584"/>
      <c r="E281" s="584"/>
      <c r="F281" s="584"/>
      <c r="G281" s="584"/>
      <c r="H281" s="584"/>
    </row>
    <row r="282" spans="4:8" ht="15.75" customHeight="1" x14ac:dyDescent="0.25">
      <c r="D282" s="584"/>
      <c r="E282" s="584"/>
      <c r="F282" s="584"/>
      <c r="G282" s="584"/>
      <c r="H282" s="584"/>
    </row>
    <row r="283" spans="4:8" ht="15.75" customHeight="1" x14ac:dyDescent="0.25">
      <c r="D283" s="584"/>
      <c r="E283" s="584"/>
      <c r="F283" s="584"/>
      <c r="G283" s="584"/>
      <c r="H283" s="584"/>
    </row>
    <row r="284" spans="4:8" ht="15.75" customHeight="1" x14ac:dyDescent="0.25">
      <c r="D284" s="584"/>
      <c r="E284" s="584"/>
      <c r="F284" s="584"/>
      <c r="G284" s="584"/>
      <c r="H284" s="584"/>
    </row>
    <row r="285" spans="4:8" ht="15.75" customHeight="1" x14ac:dyDescent="0.25">
      <c r="D285" s="584"/>
      <c r="E285" s="584"/>
      <c r="F285" s="584"/>
      <c r="G285" s="584"/>
      <c r="H285" s="584"/>
    </row>
    <row r="286" spans="4:8" ht="15.75" customHeight="1" x14ac:dyDescent="0.25">
      <c r="D286" s="584"/>
      <c r="E286" s="584"/>
      <c r="F286" s="584"/>
      <c r="G286" s="584"/>
      <c r="H286" s="584"/>
    </row>
    <row r="287" spans="4:8" ht="15.75" customHeight="1" x14ac:dyDescent="0.25">
      <c r="D287" s="584"/>
      <c r="E287" s="584"/>
      <c r="F287" s="584"/>
      <c r="G287" s="584"/>
      <c r="H287" s="584"/>
    </row>
    <row r="288" spans="4:8" ht="15.75" customHeight="1" x14ac:dyDescent="0.25">
      <c r="D288" s="584"/>
      <c r="E288" s="584"/>
      <c r="F288" s="584"/>
      <c r="G288" s="584"/>
      <c r="H288" s="584"/>
    </row>
    <row r="289" spans="4:8" ht="15.75" customHeight="1" x14ac:dyDescent="0.25">
      <c r="D289" s="584"/>
      <c r="E289" s="584"/>
      <c r="F289" s="584"/>
      <c r="G289" s="584"/>
      <c r="H289" s="584"/>
    </row>
    <row r="290" spans="4:8" ht="15.75" customHeight="1" x14ac:dyDescent="0.25">
      <c r="D290" s="584"/>
      <c r="E290" s="584"/>
      <c r="F290" s="584"/>
      <c r="G290" s="584"/>
      <c r="H290" s="584"/>
    </row>
    <row r="291" spans="4:8" ht="15.75" customHeight="1" x14ac:dyDescent="0.25">
      <c r="D291" s="584"/>
      <c r="E291" s="584"/>
      <c r="F291" s="584"/>
      <c r="G291" s="584"/>
      <c r="H291" s="584"/>
    </row>
    <row r="292" spans="4:8" ht="15.75" customHeight="1" x14ac:dyDescent="0.25">
      <c r="D292" s="584"/>
      <c r="E292" s="584"/>
      <c r="F292" s="584"/>
      <c r="G292" s="584"/>
      <c r="H292" s="584"/>
    </row>
    <row r="293" spans="4:8" ht="15.75" customHeight="1" x14ac:dyDescent="0.25">
      <c r="D293" s="584"/>
      <c r="E293" s="584"/>
      <c r="F293" s="584"/>
      <c r="G293" s="584"/>
      <c r="H293" s="584"/>
    </row>
    <row r="294" spans="4:8" ht="15.75" customHeight="1" x14ac:dyDescent="0.25">
      <c r="D294" s="584"/>
      <c r="E294" s="584"/>
      <c r="F294" s="584"/>
      <c r="G294" s="584"/>
      <c r="H294" s="584"/>
    </row>
    <row r="295" spans="4:8" ht="15.75" customHeight="1" x14ac:dyDescent="0.25">
      <c r="D295" s="584"/>
      <c r="E295" s="584"/>
      <c r="F295" s="584"/>
      <c r="G295" s="584"/>
      <c r="H295" s="584"/>
    </row>
    <row r="296" spans="4:8" ht="15.75" customHeight="1" x14ac:dyDescent="0.25">
      <c r="D296" s="584"/>
      <c r="E296" s="584"/>
      <c r="F296" s="584"/>
      <c r="G296" s="584"/>
      <c r="H296" s="584"/>
    </row>
    <row r="297" spans="4:8" ht="15.75" customHeight="1" x14ac:dyDescent="0.25">
      <c r="D297" s="584"/>
      <c r="E297" s="584"/>
      <c r="F297" s="584"/>
      <c r="G297" s="584"/>
      <c r="H297" s="584"/>
    </row>
    <row r="298" spans="4:8" ht="15.75" customHeight="1" x14ac:dyDescent="0.25">
      <c r="D298" s="584"/>
      <c r="E298" s="584"/>
      <c r="F298" s="584"/>
      <c r="G298" s="584"/>
      <c r="H298" s="584"/>
    </row>
    <row r="299" spans="4:8" ht="15.75" customHeight="1" x14ac:dyDescent="0.25">
      <c r="D299" s="584"/>
      <c r="E299" s="584"/>
      <c r="F299" s="584"/>
      <c r="G299" s="584"/>
      <c r="H299" s="584"/>
    </row>
    <row r="300" spans="4:8" ht="15.75" customHeight="1" x14ac:dyDescent="0.25">
      <c r="D300" s="584"/>
      <c r="E300" s="584"/>
      <c r="F300" s="584"/>
      <c r="G300" s="584"/>
      <c r="H300" s="584"/>
    </row>
    <row r="301" spans="4:8" ht="15.75" customHeight="1" x14ac:dyDescent="0.25">
      <c r="D301" s="584"/>
      <c r="E301" s="584"/>
      <c r="F301" s="584"/>
      <c r="G301" s="584"/>
      <c r="H301" s="584"/>
    </row>
    <row r="302" spans="4:8" ht="15.75" customHeight="1" x14ac:dyDescent="0.25">
      <c r="D302" s="584"/>
      <c r="E302" s="584"/>
      <c r="F302" s="584"/>
      <c r="G302" s="584"/>
      <c r="H302" s="584"/>
    </row>
    <row r="303" spans="4:8" ht="15.75" customHeight="1" x14ac:dyDescent="0.25">
      <c r="D303" s="584"/>
      <c r="E303" s="584"/>
      <c r="F303" s="584"/>
      <c r="G303" s="584"/>
      <c r="H303" s="584"/>
    </row>
    <row r="304" spans="4:8" ht="15.75" customHeight="1" x14ac:dyDescent="0.25">
      <c r="D304" s="584"/>
      <c r="E304" s="584"/>
      <c r="F304" s="584"/>
      <c r="G304" s="584"/>
      <c r="H304" s="584"/>
    </row>
    <row r="305" spans="4:8" ht="15.75" customHeight="1" x14ac:dyDescent="0.25">
      <c r="D305" s="584"/>
      <c r="E305" s="584"/>
      <c r="F305" s="584"/>
      <c r="G305" s="584"/>
      <c r="H305" s="584"/>
    </row>
    <row r="306" spans="4:8" ht="15.75" customHeight="1" x14ac:dyDescent="0.25">
      <c r="D306" s="584"/>
      <c r="E306" s="584"/>
      <c r="F306" s="584"/>
      <c r="G306" s="584"/>
      <c r="H306" s="584"/>
    </row>
    <row r="307" spans="4:8" ht="15.75" customHeight="1" x14ac:dyDescent="0.25">
      <c r="D307" s="584"/>
      <c r="E307" s="584"/>
      <c r="F307" s="584"/>
      <c r="G307" s="584"/>
      <c r="H307" s="584"/>
    </row>
    <row r="308" spans="4:8" ht="15.75" customHeight="1" x14ac:dyDescent="0.25">
      <c r="D308" s="584"/>
      <c r="E308" s="584"/>
      <c r="F308" s="584"/>
      <c r="G308" s="584"/>
      <c r="H308" s="584"/>
    </row>
    <row r="309" spans="4:8" ht="15.75" customHeight="1" x14ac:dyDescent="0.25">
      <c r="D309" s="584"/>
      <c r="E309" s="584"/>
      <c r="F309" s="584"/>
      <c r="G309" s="584"/>
      <c r="H309" s="584"/>
    </row>
    <row r="310" spans="4:8" ht="15.75" customHeight="1" x14ac:dyDescent="0.25">
      <c r="D310" s="584"/>
      <c r="E310" s="584"/>
      <c r="F310" s="584"/>
      <c r="G310" s="584"/>
      <c r="H310" s="584"/>
    </row>
    <row r="311" spans="4:8" ht="15.75" customHeight="1" x14ac:dyDescent="0.25">
      <c r="D311" s="584"/>
      <c r="E311" s="584"/>
      <c r="F311" s="584"/>
      <c r="G311" s="584"/>
      <c r="H311" s="584"/>
    </row>
    <row r="312" spans="4:8" ht="15.75" customHeight="1" x14ac:dyDescent="0.25">
      <c r="D312" s="584"/>
      <c r="E312" s="584"/>
      <c r="F312" s="584"/>
      <c r="G312" s="584"/>
      <c r="H312" s="584"/>
    </row>
    <row r="313" spans="4:8" ht="15.75" customHeight="1" x14ac:dyDescent="0.25">
      <c r="D313" s="584"/>
      <c r="E313" s="584"/>
      <c r="F313" s="584"/>
      <c r="G313" s="584"/>
      <c r="H313" s="584"/>
    </row>
    <row r="314" spans="4:8" ht="15.75" customHeight="1" x14ac:dyDescent="0.25">
      <c r="D314" s="584"/>
      <c r="E314" s="584"/>
      <c r="F314" s="584"/>
      <c r="G314" s="584"/>
      <c r="H314" s="584"/>
    </row>
    <row r="315" spans="4:8" ht="15.75" customHeight="1" x14ac:dyDescent="0.25">
      <c r="D315" s="584"/>
      <c r="E315" s="584"/>
      <c r="F315" s="584"/>
      <c r="G315" s="584"/>
      <c r="H315" s="584"/>
    </row>
    <row r="316" spans="4:8" ht="15.75" customHeight="1" x14ac:dyDescent="0.25">
      <c r="D316" s="584"/>
      <c r="E316" s="584"/>
      <c r="F316" s="584"/>
      <c r="G316" s="584"/>
      <c r="H316" s="584"/>
    </row>
    <row r="317" spans="4:8" ht="15.75" customHeight="1" x14ac:dyDescent="0.25">
      <c r="D317" s="584"/>
      <c r="E317" s="584"/>
      <c r="F317" s="584"/>
      <c r="G317" s="584"/>
      <c r="H317" s="584"/>
    </row>
    <row r="318" spans="4:8" ht="15.75" customHeight="1" x14ac:dyDescent="0.25">
      <c r="D318" s="584"/>
      <c r="E318" s="584"/>
      <c r="F318" s="584"/>
      <c r="G318" s="584"/>
      <c r="H318" s="584"/>
    </row>
    <row r="319" spans="4:8" ht="15.75" customHeight="1" x14ac:dyDescent="0.25">
      <c r="D319" s="584"/>
      <c r="E319" s="584"/>
      <c r="F319" s="584"/>
      <c r="G319" s="584"/>
      <c r="H319" s="584"/>
    </row>
    <row r="320" spans="4:8" ht="15.75" customHeight="1" x14ac:dyDescent="0.25">
      <c r="D320" s="584"/>
      <c r="E320" s="584"/>
      <c r="F320" s="584"/>
      <c r="G320" s="584"/>
      <c r="H320" s="584"/>
    </row>
    <row r="321" spans="4:8" ht="15.75" customHeight="1" x14ac:dyDescent="0.25">
      <c r="D321" s="584"/>
      <c r="E321" s="584"/>
      <c r="F321" s="584"/>
      <c r="G321" s="584"/>
      <c r="H321" s="584"/>
    </row>
    <row r="322" spans="4:8" ht="15.75" customHeight="1" x14ac:dyDescent="0.25">
      <c r="D322" s="584"/>
      <c r="E322" s="584"/>
      <c r="F322" s="584"/>
      <c r="G322" s="584"/>
      <c r="H322" s="584"/>
    </row>
    <row r="323" spans="4:8" ht="15.75" customHeight="1" x14ac:dyDescent="0.25">
      <c r="D323" s="584"/>
      <c r="E323" s="584"/>
      <c r="F323" s="584"/>
      <c r="G323" s="584"/>
      <c r="H323" s="584"/>
    </row>
    <row r="324" spans="4:8" ht="15.75" customHeight="1" x14ac:dyDescent="0.25">
      <c r="D324" s="584"/>
      <c r="E324" s="584"/>
      <c r="F324" s="584"/>
      <c r="G324" s="584"/>
      <c r="H324" s="584"/>
    </row>
    <row r="325" spans="4:8" ht="15.75" customHeight="1" x14ac:dyDescent="0.25">
      <c r="D325" s="584"/>
      <c r="E325" s="584"/>
      <c r="F325" s="584"/>
      <c r="G325" s="584"/>
      <c r="H325" s="584"/>
    </row>
    <row r="326" spans="4:8" ht="15.75" customHeight="1" x14ac:dyDescent="0.25">
      <c r="D326" s="584"/>
      <c r="E326" s="584"/>
      <c r="F326" s="584"/>
      <c r="G326" s="584"/>
      <c r="H326" s="584"/>
    </row>
    <row r="327" spans="4:8" ht="15.75" customHeight="1" x14ac:dyDescent="0.25">
      <c r="D327" s="584"/>
      <c r="E327" s="584"/>
      <c r="F327" s="584"/>
      <c r="G327" s="584"/>
      <c r="H327" s="584"/>
    </row>
    <row r="328" spans="4:8" ht="15.75" customHeight="1" x14ac:dyDescent="0.25">
      <c r="D328" s="584"/>
      <c r="E328" s="584"/>
      <c r="F328" s="584"/>
      <c r="G328" s="584"/>
      <c r="H328" s="584"/>
    </row>
    <row r="329" spans="4:8" ht="15.75" customHeight="1" x14ac:dyDescent="0.25">
      <c r="D329" s="584"/>
      <c r="E329" s="584"/>
      <c r="F329" s="584"/>
      <c r="G329" s="584"/>
      <c r="H329" s="584"/>
    </row>
    <row r="330" spans="4:8" ht="15.75" customHeight="1" x14ac:dyDescent="0.25">
      <c r="D330" s="584"/>
      <c r="E330" s="584"/>
      <c r="F330" s="584"/>
      <c r="G330" s="584"/>
      <c r="H330" s="584"/>
    </row>
    <row r="331" spans="4:8" ht="15.75" customHeight="1" x14ac:dyDescent="0.25">
      <c r="D331" s="584"/>
      <c r="E331" s="584"/>
      <c r="F331" s="584"/>
      <c r="G331" s="584"/>
      <c r="H331" s="584"/>
    </row>
    <row r="332" spans="4:8" ht="15.75" customHeight="1" x14ac:dyDescent="0.25">
      <c r="D332" s="584"/>
      <c r="E332" s="584"/>
      <c r="F332" s="584"/>
      <c r="G332" s="584"/>
      <c r="H332" s="584"/>
    </row>
    <row r="333" spans="4:8" ht="15.75" customHeight="1" x14ac:dyDescent="0.25">
      <c r="D333" s="584"/>
      <c r="E333" s="584"/>
      <c r="F333" s="584"/>
      <c r="G333" s="584"/>
      <c r="H333" s="584"/>
    </row>
    <row r="334" spans="4:8" ht="15.75" customHeight="1" x14ac:dyDescent="0.25">
      <c r="D334" s="584"/>
      <c r="E334" s="584"/>
      <c r="F334" s="584"/>
      <c r="G334" s="584"/>
      <c r="H334" s="584"/>
    </row>
    <row r="335" spans="4:8" ht="15.75" customHeight="1" x14ac:dyDescent="0.25">
      <c r="D335" s="584"/>
      <c r="E335" s="584"/>
      <c r="F335" s="584"/>
      <c r="G335" s="584"/>
      <c r="H335" s="584"/>
    </row>
    <row r="336" spans="4:8" ht="15.75" customHeight="1" x14ac:dyDescent="0.25">
      <c r="D336" s="584"/>
      <c r="E336" s="584"/>
      <c r="F336" s="584"/>
      <c r="G336" s="584"/>
      <c r="H336" s="584"/>
    </row>
    <row r="337" spans="4:8" ht="15.75" customHeight="1" x14ac:dyDescent="0.25">
      <c r="D337" s="584"/>
      <c r="E337" s="584"/>
      <c r="F337" s="584"/>
      <c r="G337" s="584"/>
      <c r="H337" s="584"/>
    </row>
    <row r="338" spans="4:8" ht="15.75" customHeight="1" x14ac:dyDescent="0.25">
      <c r="D338" s="584"/>
      <c r="E338" s="584"/>
      <c r="F338" s="584"/>
      <c r="G338" s="584"/>
      <c r="H338" s="584"/>
    </row>
    <row r="339" spans="4:8" ht="15.75" customHeight="1" x14ac:dyDescent="0.25">
      <c r="D339" s="584"/>
      <c r="E339" s="584"/>
      <c r="F339" s="584"/>
      <c r="G339" s="584"/>
      <c r="H339" s="584"/>
    </row>
    <row r="340" spans="4:8" ht="15.75" customHeight="1" x14ac:dyDescent="0.25">
      <c r="D340" s="584"/>
      <c r="E340" s="584"/>
      <c r="F340" s="584"/>
      <c r="G340" s="584"/>
      <c r="H340" s="584"/>
    </row>
    <row r="341" spans="4:8" ht="15.75" customHeight="1" x14ac:dyDescent="0.25">
      <c r="D341" s="584"/>
      <c r="E341" s="584"/>
      <c r="F341" s="584"/>
      <c r="G341" s="584"/>
      <c r="H341" s="584"/>
    </row>
    <row r="342" spans="4:8" ht="15.75" customHeight="1" x14ac:dyDescent="0.25">
      <c r="D342" s="584"/>
      <c r="E342" s="584"/>
      <c r="F342" s="584"/>
      <c r="G342" s="584"/>
      <c r="H342" s="584"/>
    </row>
    <row r="343" spans="4:8" ht="15.75" customHeight="1" x14ac:dyDescent="0.25">
      <c r="D343" s="584"/>
      <c r="E343" s="584"/>
      <c r="F343" s="584"/>
      <c r="G343" s="584"/>
      <c r="H343" s="584"/>
    </row>
    <row r="344" spans="4:8" ht="15.75" customHeight="1" x14ac:dyDescent="0.25">
      <c r="D344" s="584"/>
      <c r="E344" s="584"/>
      <c r="F344" s="584"/>
      <c r="G344" s="584"/>
      <c r="H344" s="584"/>
    </row>
    <row r="345" spans="4:8" ht="15.75" customHeight="1" x14ac:dyDescent="0.25">
      <c r="D345" s="584"/>
      <c r="E345" s="584"/>
      <c r="F345" s="584"/>
      <c r="G345" s="584"/>
      <c r="H345" s="584"/>
    </row>
    <row r="346" spans="4:8" ht="15.75" customHeight="1" x14ac:dyDescent="0.25">
      <c r="D346" s="584"/>
      <c r="E346" s="584"/>
      <c r="F346" s="584"/>
      <c r="G346" s="584"/>
      <c r="H346" s="584"/>
    </row>
    <row r="347" spans="4:8" ht="15.75" customHeight="1" x14ac:dyDescent="0.25">
      <c r="D347" s="584"/>
      <c r="E347" s="584"/>
      <c r="F347" s="584"/>
      <c r="G347" s="584"/>
      <c r="H347" s="584"/>
    </row>
    <row r="348" spans="4:8" ht="15.75" customHeight="1" x14ac:dyDescent="0.25">
      <c r="D348" s="584"/>
      <c r="E348" s="584"/>
      <c r="F348" s="584"/>
      <c r="G348" s="584"/>
      <c r="H348" s="584"/>
    </row>
    <row r="349" spans="4:8" ht="15.75" customHeight="1" x14ac:dyDescent="0.25">
      <c r="D349" s="584"/>
      <c r="E349" s="584"/>
      <c r="F349" s="584"/>
      <c r="G349" s="584"/>
      <c r="H349" s="584"/>
    </row>
    <row r="350" spans="4:8" ht="15.75" customHeight="1" x14ac:dyDescent="0.25">
      <c r="D350" s="584"/>
      <c r="E350" s="584"/>
      <c r="F350" s="584"/>
      <c r="G350" s="584"/>
      <c r="H350" s="584"/>
    </row>
    <row r="351" spans="4:8" ht="15.75" customHeight="1" x14ac:dyDescent="0.25">
      <c r="D351" s="584"/>
      <c r="E351" s="584"/>
      <c r="F351" s="584"/>
      <c r="G351" s="584"/>
      <c r="H351" s="584"/>
    </row>
    <row r="352" spans="4:8" ht="15.75" customHeight="1" x14ac:dyDescent="0.25">
      <c r="D352" s="584"/>
      <c r="E352" s="584"/>
      <c r="F352" s="584"/>
      <c r="G352" s="584"/>
      <c r="H352" s="584"/>
    </row>
    <row r="353" spans="4:8" ht="15.75" customHeight="1" x14ac:dyDescent="0.25">
      <c r="D353" s="584"/>
      <c r="E353" s="584"/>
      <c r="F353" s="584"/>
      <c r="G353" s="584"/>
      <c r="H353" s="584"/>
    </row>
    <row r="354" spans="4:8" ht="15.75" customHeight="1" x14ac:dyDescent="0.25">
      <c r="D354" s="584"/>
      <c r="E354" s="584"/>
      <c r="F354" s="584"/>
      <c r="G354" s="584"/>
      <c r="H354" s="584"/>
    </row>
    <row r="355" spans="4:8" ht="15.75" customHeight="1" x14ac:dyDescent="0.25">
      <c r="D355" s="584"/>
      <c r="E355" s="584"/>
      <c r="F355" s="584"/>
      <c r="G355" s="584"/>
      <c r="H355" s="584"/>
    </row>
    <row r="356" spans="4:8" ht="15.75" customHeight="1" x14ac:dyDescent="0.25">
      <c r="D356" s="584"/>
      <c r="E356" s="584"/>
      <c r="F356" s="584"/>
      <c r="G356" s="584"/>
      <c r="H356" s="584"/>
    </row>
    <row r="357" spans="4:8" ht="15.75" customHeight="1" x14ac:dyDescent="0.25">
      <c r="D357" s="584"/>
      <c r="E357" s="584"/>
      <c r="F357" s="584"/>
      <c r="G357" s="584"/>
      <c r="H357" s="584"/>
    </row>
    <row r="358" spans="4:8" ht="15.75" customHeight="1" x14ac:dyDescent="0.25">
      <c r="D358" s="584"/>
      <c r="E358" s="584"/>
      <c r="F358" s="584"/>
      <c r="G358" s="584"/>
      <c r="H358" s="584"/>
    </row>
    <row r="359" spans="4:8" ht="15.75" customHeight="1" x14ac:dyDescent="0.25">
      <c r="D359" s="584"/>
      <c r="E359" s="584"/>
      <c r="F359" s="584"/>
      <c r="G359" s="584"/>
      <c r="H359" s="584"/>
    </row>
    <row r="360" spans="4:8" ht="15.75" customHeight="1" x14ac:dyDescent="0.25">
      <c r="D360" s="584"/>
      <c r="E360" s="584"/>
      <c r="F360" s="584"/>
      <c r="G360" s="584"/>
      <c r="H360" s="584"/>
    </row>
    <row r="361" spans="4:8" ht="15.75" customHeight="1" x14ac:dyDescent="0.25">
      <c r="D361" s="584"/>
      <c r="E361" s="584"/>
      <c r="F361" s="584"/>
      <c r="G361" s="584"/>
      <c r="H361" s="584"/>
    </row>
    <row r="362" spans="4:8" ht="15.75" customHeight="1" x14ac:dyDescent="0.25">
      <c r="D362" s="584"/>
      <c r="E362" s="584"/>
      <c r="F362" s="584"/>
      <c r="G362" s="584"/>
      <c r="H362" s="584"/>
    </row>
    <row r="363" spans="4:8" ht="15.75" customHeight="1" x14ac:dyDescent="0.25">
      <c r="D363" s="584"/>
      <c r="E363" s="584"/>
      <c r="F363" s="584"/>
      <c r="G363" s="584"/>
      <c r="H363" s="584"/>
    </row>
    <row r="364" spans="4:8" ht="15.75" customHeight="1" x14ac:dyDescent="0.25">
      <c r="D364" s="584"/>
      <c r="E364" s="584"/>
      <c r="F364" s="584"/>
      <c r="G364" s="584"/>
      <c r="H364" s="584"/>
    </row>
    <row r="365" spans="4:8" ht="15.75" customHeight="1" x14ac:dyDescent="0.25">
      <c r="D365" s="584"/>
      <c r="E365" s="584"/>
      <c r="F365" s="584"/>
      <c r="G365" s="584"/>
      <c r="H365" s="584"/>
    </row>
    <row r="366" spans="4:8" ht="15.75" customHeight="1" x14ac:dyDescent="0.25">
      <c r="D366" s="584"/>
      <c r="E366" s="584"/>
      <c r="F366" s="584"/>
      <c r="G366" s="584"/>
      <c r="H366" s="584"/>
    </row>
    <row r="367" spans="4:8" ht="15.75" customHeight="1" x14ac:dyDescent="0.25">
      <c r="D367" s="584"/>
      <c r="E367" s="584"/>
      <c r="F367" s="584"/>
      <c r="G367" s="584"/>
      <c r="H367" s="584"/>
    </row>
    <row r="368" spans="4:8" ht="15.75" customHeight="1" x14ac:dyDescent="0.25">
      <c r="D368" s="584"/>
      <c r="E368" s="584"/>
      <c r="F368" s="584"/>
      <c r="G368" s="584"/>
      <c r="H368" s="584"/>
    </row>
    <row r="369" spans="4:8" ht="15.75" customHeight="1" x14ac:dyDescent="0.25">
      <c r="D369" s="584"/>
      <c r="E369" s="584"/>
      <c r="F369" s="584"/>
      <c r="G369" s="584"/>
      <c r="H369" s="584"/>
    </row>
    <row r="370" spans="4:8" ht="15.75" customHeight="1" x14ac:dyDescent="0.25">
      <c r="D370" s="584"/>
      <c r="E370" s="584"/>
      <c r="F370" s="584"/>
      <c r="G370" s="584"/>
      <c r="H370" s="584"/>
    </row>
    <row r="371" spans="4:8" ht="15.75" customHeight="1" x14ac:dyDescent="0.25">
      <c r="D371" s="584"/>
      <c r="E371" s="584"/>
      <c r="F371" s="584"/>
      <c r="G371" s="584"/>
      <c r="H371" s="584"/>
    </row>
    <row r="372" spans="4:8" ht="15.75" customHeight="1" x14ac:dyDescent="0.25">
      <c r="D372" s="584"/>
      <c r="E372" s="584"/>
      <c r="F372" s="584"/>
      <c r="G372" s="584"/>
      <c r="H372" s="584"/>
    </row>
    <row r="373" spans="4:8" ht="15.75" customHeight="1" x14ac:dyDescent="0.25">
      <c r="D373" s="584"/>
      <c r="E373" s="584"/>
      <c r="F373" s="584"/>
      <c r="G373" s="584"/>
      <c r="H373" s="584"/>
    </row>
    <row r="374" spans="4:8" ht="15.75" customHeight="1" x14ac:dyDescent="0.25">
      <c r="D374" s="584"/>
      <c r="E374" s="584"/>
      <c r="F374" s="584"/>
      <c r="G374" s="584"/>
      <c r="H374" s="584"/>
    </row>
    <row r="375" spans="4:8" ht="15.75" customHeight="1" x14ac:dyDescent="0.25">
      <c r="D375" s="584"/>
      <c r="E375" s="584"/>
      <c r="F375" s="584"/>
      <c r="G375" s="584"/>
      <c r="H375" s="584"/>
    </row>
    <row r="376" spans="4:8" ht="15.75" customHeight="1" x14ac:dyDescent="0.25">
      <c r="D376" s="584"/>
      <c r="E376" s="584"/>
      <c r="F376" s="584"/>
      <c r="G376" s="584"/>
      <c r="H376" s="584"/>
    </row>
    <row r="377" spans="4:8" ht="15.75" customHeight="1" x14ac:dyDescent="0.25">
      <c r="D377" s="584"/>
      <c r="E377" s="584"/>
      <c r="F377" s="584"/>
      <c r="G377" s="584"/>
      <c r="H377" s="584"/>
    </row>
    <row r="378" spans="4:8" ht="15.75" customHeight="1" x14ac:dyDescent="0.25">
      <c r="D378" s="584"/>
      <c r="E378" s="584"/>
      <c r="F378" s="584"/>
      <c r="G378" s="584"/>
      <c r="H378" s="584"/>
    </row>
    <row r="379" spans="4:8" ht="15.75" customHeight="1" x14ac:dyDescent="0.25">
      <c r="D379" s="584"/>
      <c r="E379" s="584"/>
      <c r="F379" s="584"/>
      <c r="G379" s="584"/>
      <c r="H379" s="584"/>
    </row>
    <row r="380" spans="4:8" ht="15.75" customHeight="1" x14ac:dyDescent="0.25">
      <c r="D380" s="584"/>
      <c r="E380" s="584"/>
      <c r="F380" s="584"/>
      <c r="G380" s="584"/>
      <c r="H380" s="584"/>
    </row>
    <row r="381" spans="4:8" ht="15.75" customHeight="1" x14ac:dyDescent="0.25">
      <c r="D381" s="584"/>
      <c r="E381" s="584"/>
      <c r="F381" s="584"/>
      <c r="G381" s="584"/>
      <c r="H381" s="584"/>
    </row>
    <row r="382" spans="4:8" ht="15.75" customHeight="1" x14ac:dyDescent="0.25">
      <c r="D382" s="584"/>
      <c r="E382" s="584"/>
      <c r="F382" s="584"/>
      <c r="G382" s="584"/>
      <c r="H382" s="584"/>
    </row>
    <row r="383" spans="4:8" ht="15.75" customHeight="1" x14ac:dyDescent="0.25">
      <c r="D383" s="584"/>
      <c r="E383" s="584"/>
      <c r="F383" s="584"/>
      <c r="G383" s="584"/>
      <c r="H383" s="584"/>
    </row>
    <row r="384" spans="4:8" ht="15.75" customHeight="1" x14ac:dyDescent="0.25">
      <c r="D384" s="584"/>
      <c r="E384" s="584"/>
      <c r="F384" s="584"/>
      <c r="G384" s="584"/>
      <c r="H384" s="584"/>
    </row>
    <row r="385" spans="4:8" ht="15.75" customHeight="1" x14ac:dyDescent="0.25">
      <c r="D385" s="584"/>
      <c r="E385" s="584"/>
      <c r="F385" s="584"/>
      <c r="G385" s="584"/>
      <c r="H385" s="584"/>
    </row>
    <row r="386" spans="4:8" ht="15.75" customHeight="1" x14ac:dyDescent="0.25">
      <c r="D386" s="584"/>
      <c r="E386" s="584"/>
      <c r="F386" s="584"/>
      <c r="G386" s="584"/>
      <c r="H386" s="584"/>
    </row>
    <row r="387" spans="4:8" ht="15.75" customHeight="1" x14ac:dyDescent="0.25">
      <c r="D387" s="584"/>
      <c r="E387" s="584"/>
      <c r="F387" s="584"/>
      <c r="G387" s="584"/>
      <c r="H387" s="584"/>
    </row>
    <row r="388" spans="4:8" ht="15.75" customHeight="1" x14ac:dyDescent="0.25">
      <c r="D388" s="584"/>
      <c r="E388" s="584"/>
      <c r="F388" s="584"/>
      <c r="G388" s="584"/>
      <c r="H388" s="584"/>
    </row>
    <row r="389" spans="4:8" ht="15.75" customHeight="1" x14ac:dyDescent="0.25">
      <c r="D389" s="584"/>
      <c r="E389" s="584"/>
      <c r="F389" s="584"/>
      <c r="G389" s="584"/>
      <c r="H389" s="584"/>
    </row>
    <row r="390" spans="4:8" ht="15.75" customHeight="1" x14ac:dyDescent="0.25">
      <c r="D390" s="584"/>
      <c r="E390" s="584"/>
      <c r="F390" s="584"/>
      <c r="G390" s="584"/>
      <c r="H390" s="584"/>
    </row>
    <row r="391" spans="4:8" ht="15.75" customHeight="1" x14ac:dyDescent="0.25">
      <c r="D391" s="584"/>
      <c r="E391" s="584"/>
      <c r="F391" s="584"/>
      <c r="G391" s="584"/>
      <c r="H391" s="584"/>
    </row>
    <row r="392" spans="4:8" ht="15.75" customHeight="1" x14ac:dyDescent="0.25">
      <c r="D392" s="584"/>
      <c r="E392" s="584"/>
      <c r="F392" s="584"/>
      <c r="G392" s="584"/>
      <c r="H392" s="584"/>
    </row>
    <row r="393" spans="4:8" ht="15.75" customHeight="1" x14ac:dyDescent="0.25">
      <c r="D393" s="584"/>
      <c r="E393" s="584"/>
      <c r="F393" s="584"/>
      <c r="G393" s="584"/>
      <c r="H393" s="584"/>
    </row>
    <row r="394" spans="4:8" ht="15.75" customHeight="1" x14ac:dyDescent="0.25">
      <c r="D394" s="584"/>
      <c r="E394" s="584"/>
      <c r="F394" s="584"/>
      <c r="G394" s="584"/>
      <c r="H394" s="584"/>
    </row>
    <row r="395" spans="4:8" ht="15.75" customHeight="1" x14ac:dyDescent="0.25">
      <c r="D395" s="584"/>
      <c r="E395" s="584"/>
      <c r="F395" s="584"/>
      <c r="G395" s="584"/>
      <c r="H395" s="584"/>
    </row>
    <row r="396" spans="4:8" ht="15.75" customHeight="1" x14ac:dyDescent="0.25">
      <c r="D396" s="584"/>
      <c r="E396" s="584"/>
      <c r="F396" s="584"/>
      <c r="G396" s="584"/>
      <c r="H396" s="584"/>
    </row>
    <row r="397" spans="4:8" ht="15.75" customHeight="1" x14ac:dyDescent="0.25">
      <c r="D397" s="584"/>
      <c r="E397" s="584"/>
      <c r="F397" s="584"/>
      <c r="G397" s="584"/>
      <c r="H397" s="584"/>
    </row>
    <row r="398" spans="4:8" ht="15.75" customHeight="1" x14ac:dyDescent="0.25">
      <c r="D398" s="584"/>
      <c r="E398" s="584"/>
      <c r="F398" s="584"/>
      <c r="G398" s="584"/>
      <c r="H398" s="584"/>
    </row>
    <row r="399" spans="4:8" ht="15.75" customHeight="1" x14ac:dyDescent="0.25">
      <c r="D399" s="584"/>
      <c r="E399" s="584"/>
      <c r="F399" s="584"/>
      <c r="G399" s="584"/>
      <c r="H399" s="584"/>
    </row>
    <row r="400" spans="4:8" ht="15.75" customHeight="1" x14ac:dyDescent="0.25">
      <c r="D400" s="584"/>
      <c r="E400" s="584"/>
      <c r="F400" s="584"/>
      <c r="G400" s="584"/>
      <c r="H400" s="584"/>
    </row>
    <row r="401" spans="4:8" ht="15.75" customHeight="1" x14ac:dyDescent="0.25">
      <c r="D401" s="584"/>
      <c r="E401" s="584"/>
      <c r="F401" s="584"/>
      <c r="G401" s="584"/>
      <c r="H401" s="584"/>
    </row>
    <row r="402" spans="4:8" ht="15.75" customHeight="1" x14ac:dyDescent="0.25">
      <c r="D402" s="584"/>
      <c r="E402" s="584"/>
      <c r="F402" s="584"/>
      <c r="G402" s="584"/>
      <c r="H402" s="584"/>
    </row>
    <row r="403" spans="4:8" ht="15.75" customHeight="1" x14ac:dyDescent="0.25">
      <c r="D403" s="584"/>
      <c r="E403" s="584"/>
      <c r="F403" s="584"/>
      <c r="G403" s="584"/>
      <c r="H403" s="584"/>
    </row>
    <row r="404" spans="4:8" ht="15.75" customHeight="1" x14ac:dyDescent="0.25">
      <c r="D404" s="584"/>
      <c r="E404" s="584"/>
      <c r="F404" s="584"/>
      <c r="G404" s="584"/>
      <c r="H404" s="584"/>
    </row>
    <row r="405" spans="4:8" ht="15.75" customHeight="1" x14ac:dyDescent="0.25">
      <c r="D405" s="584"/>
      <c r="E405" s="584"/>
      <c r="F405" s="584"/>
      <c r="G405" s="584"/>
      <c r="H405" s="584"/>
    </row>
    <row r="406" spans="4:8" ht="15.75" customHeight="1" x14ac:dyDescent="0.25">
      <c r="D406" s="584"/>
      <c r="E406" s="584"/>
      <c r="F406" s="584"/>
      <c r="G406" s="584"/>
      <c r="H406" s="584"/>
    </row>
    <row r="407" spans="4:8" ht="15.75" customHeight="1" x14ac:dyDescent="0.25">
      <c r="D407" s="584"/>
      <c r="E407" s="584"/>
      <c r="F407" s="584"/>
      <c r="G407" s="584"/>
      <c r="H407" s="584"/>
    </row>
    <row r="408" spans="4:8" ht="15.75" customHeight="1" x14ac:dyDescent="0.25">
      <c r="D408" s="584"/>
      <c r="E408" s="584"/>
      <c r="F408" s="584"/>
      <c r="G408" s="584"/>
      <c r="H408" s="584"/>
    </row>
    <row r="409" spans="4:8" ht="15.75" customHeight="1" x14ac:dyDescent="0.25">
      <c r="D409" s="584"/>
      <c r="E409" s="584"/>
      <c r="F409" s="584"/>
      <c r="G409" s="584"/>
      <c r="H409" s="584"/>
    </row>
    <row r="410" spans="4:8" ht="15.75" customHeight="1" x14ac:dyDescent="0.25">
      <c r="D410" s="584"/>
      <c r="E410" s="584"/>
      <c r="F410" s="584"/>
      <c r="G410" s="584"/>
      <c r="H410" s="584"/>
    </row>
    <row r="411" spans="4:8" ht="15.75" customHeight="1" x14ac:dyDescent="0.25">
      <c r="D411" s="584"/>
      <c r="E411" s="584"/>
      <c r="F411" s="584"/>
      <c r="G411" s="584"/>
      <c r="H411" s="584"/>
    </row>
    <row r="412" spans="4:8" ht="15.75" customHeight="1" x14ac:dyDescent="0.25">
      <c r="D412" s="584"/>
      <c r="E412" s="584"/>
      <c r="F412" s="584"/>
      <c r="G412" s="584"/>
      <c r="H412" s="584"/>
    </row>
    <row r="413" spans="4:8" ht="15.75" customHeight="1" x14ac:dyDescent="0.25">
      <c r="D413" s="584"/>
      <c r="E413" s="584"/>
      <c r="F413" s="584"/>
      <c r="G413" s="584"/>
      <c r="H413" s="584"/>
    </row>
    <row r="414" spans="4:8" ht="15.75" customHeight="1" x14ac:dyDescent="0.25">
      <c r="D414" s="584"/>
      <c r="E414" s="584"/>
      <c r="F414" s="584"/>
      <c r="G414" s="584"/>
      <c r="H414" s="584"/>
    </row>
    <row r="415" spans="4:8" ht="15.75" customHeight="1" x14ac:dyDescent="0.25">
      <c r="D415" s="584"/>
      <c r="E415" s="584"/>
      <c r="F415" s="584"/>
      <c r="G415" s="584"/>
      <c r="H415" s="584"/>
    </row>
    <row r="416" spans="4:8" ht="15.75" customHeight="1" x14ac:dyDescent="0.25">
      <c r="D416" s="584"/>
      <c r="E416" s="584"/>
      <c r="F416" s="584"/>
      <c r="G416" s="584"/>
      <c r="H416" s="584"/>
    </row>
    <row r="417" spans="4:8" ht="15.75" customHeight="1" x14ac:dyDescent="0.25">
      <c r="D417" s="584"/>
      <c r="E417" s="584"/>
      <c r="F417" s="584"/>
      <c r="G417" s="584"/>
      <c r="H417" s="584"/>
    </row>
    <row r="418" spans="4:8" ht="15.75" customHeight="1" x14ac:dyDescent="0.25">
      <c r="D418" s="584"/>
      <c r="E418" s="584"/>
      <c r="F418" s="584"/>
      <c r="G418" s="584"/>
      <c r="H418" s="584"/>
    </row>
    <row r="419" spans="4:8" ht="15.75" customHeight="1" x14ac:dyDescent="0.25">
      <c r="D419" s="584"/>
      <c r="E419" s="584"/>
      <c r="F419" s="584"/>
      <c r="G419" s="584"/>
      <c r="H419" s="584"/>
    </row>
    <row r="420" spans="4:8" ht="15.75" customHeight="1" x14ac:dyDescent="0.25">
      <c r="D420" s="584"/>
      <c r="E420" s="584"/>
      <c r="F420" s="584"/>
      <c r="G420" s="584"/>
      <c r="H420" s="584"/>
    </row>
    <row r="421" spans="4:8" ht="15.75" customHeight="1" x14ac:dyDescent="0.25">
      <c r="D421" s="584"/>
      <c r="E421" s="584"/>
      <c r="F421" s="584"/>
      <c r="G421" s="584"/>
      <c r="H421" s="584"/>
    </row>
    <row r="422" spans="4:8" ht="15.75" customHeight="1" x14ac:dyDescent="0.25">
      <c r="D422" s="584"/>
      <c r="E422" s="584"/>
      <c r="F422" s="584"/>
      <c r="G422" s="584"/>
      <c r="H422" s="584"/>
    </row>
    <row r="423" spans="4:8" ht="15.75" customHeight="1" x14ac:dyDescent="0.25">
      <c r="D423" s="584"/>
      <c r="E423" s="584"/>
      <c r="F423" s="584"/>
      <c r="G423" s="584"/>
      <c r="H423" s="584"/>
    </row>
    <row r="424" spans="4:8" ht="15.75" customHeight="1" x14ac:dyDescent="0.25">
      <c r="D424" s="584"/>
      <c r="E424" s="584"/>
      <c r="F424" s="584"/>
      <c r="G424" s="584"/>
      <c r="H424" s="584"/>
    </row>
    <row r="425" spans="4:8" ht="15.75" customHeight="1" x14ac:dyDescent="0.25">
      <c r="D425" s="584"/>
      <c r="E425" s="584"/>
      <c r="F425" s="584"/>
      <c r="G425" s="584"/>
      <c r="H425" s="584"/>
    </row>
    <row r="426" spans="4:8" ht="15.75" customHeight="1" x14ac:dyDescent="0.25">
      <c r="D426" s="584"/>
      <c r="E426" s="584"/>
      <c r="F426" s="584"/>
      <c r="G426" s="584"/>
      <c r="H426" s="584"/>
    </row>
    <row r="427" spans="4:8" ht="15.75" customHeight="1" x14ac:dyDescent="0.25">
      <c r="D427" s="584"/>
      <c r="E427" s="584"/>
      <c r="F427" s="584"/>
      <c r="G427" s="584"/>
      <c r="H427" s="584"/>
    </row>
    <row r="428" spans="4:8" ht="15.75" customHeight="1" x14ac:dyDescent="0.25">
      <c r="D428" s="584"/>
      <c r="E428" s="584"/>
      <c r="F428" s="584"/>
      <c r="G428" s="584"/>
      <c r="H428" s="584"/>
    </row>
    <row r="429" spans="4:8" ht="15.75" customHeight="1" x14ac:dyDescent="0.25">
      <c r="D429" s="584"/>
      <c r="E429" s="584"/>
      <c r="F429" s="584"/>
      <c r="G429" s="584"/>
      <c r="H429" s="584"/>
    </row>
    <row r="430" spans="4:8" ht="15.75" customHeight="1" x14ac:dyDescent="0.25">
      <c r="D430" s="584"/>
      <c r="E430" s="584"/>
      <c r="F430" s="584"/>
      <c r="G430" s="584"/>
      <c r="H430" s="584"/>
    </row>
    <row r="431" spans="4:8" ht="15.75" customHeight="1" x14ac:dyDescent="0.25">
      <c r="D431" s="584"/>
      <c r="E431" s="584"/>
      <c r="F431" s="584"/>
      <c r="G431" s="584"/>
      <c r="H431" s="584"/>
    </row>
    <row r="432" spans="4:8" ht="15.75" customHeight="1" x14ac:dyDescent="0.25">
      <c r="D432" s="584"/>
      <c r="E432" s="584"/>
      <c r="F432" s="584"/>
      <c r="G432" s="584"/>
      <c r="H432" s="584"/>
    </row>
    <row r="433" spans="4:8" ht="15.75" customHeight="1" x14ac:dyDescent="0.25">
      <c r="D433" s="584"/>
      <c r="E433" s="584"/>
      <c r="F433" s="584"/>
      <c r="G433" s="584"/>
      <c r="H433" s="584"/>
    </row>
    <row r="434" spans="4:8" ht="15.75" customHeight="1" x14ac:dyDescent="0.25">
      <c r="D434" s="584"/>
      <c r="E434" s="584"/>
      <c r="F434" s="584"/>
      <c r="G434" s="584"/>
      <c r="H434" s="584"/>
    </row>
    <row r="435" spans="4:8" ht="15.75" customHeight="1" x14ac:dyDescent="0.25">
      <c r="D435" s="584"/>
      <c r="E435" s="584"/>
      <c r="F435" s="584"/>
      <c r="G435" s="584"/>
      <c r="H435" s="584"/>
    </row>
    <row r="436" spans="4:8" ht="15.75" customHeight="1" x14ac:dyDescent="0.25">
      <c r="D436" s="584"/>
      <c r="E436" s="584"/>
      <c r="F436" s="584"/>
      <c r="G436" s="584"/>
      <c r="H436" s="584"/>
    </row>
    <row r="437" spans="4:8" ht="15.75" customHeight="1" x14ac:dyDescent="0.25">
      <c r="D437" s="584"/>
      <c r="E437" s="584"/>
      <c r="F437" s="584"/>
      <c r="G437" s="584"/>
      <c r="H437" s="584"/>
    </row>
    <row r="438" spans="4:8" ht="15.75" customHeight="1" x14ac:dyDescent="0.25">
      <c r="D438" s="584"/>
      <c r="E438" s="584"/>
      <c r="F438" s="584"/>
      <c r="G438" s="584"/>
      <c r="H438" s="584"/>
    </row>
    <row r="439" spans="4:8" ht="15.75" customHeight="1" x14ac:dyDescent="0.25">
      <c r="D439" s="584"/>
      <c r="E439" s="584"/>
      <c r="F439" s="584"/>
      <c r="G439" s="584"/>
      <c r="H439" s="584"/>
    </row>
    <row r="440" spans="4:8" ht="15.75" customHeight="1" x14ac:dyDescent="0.25">
      <c r="D440" s="584"/>
      <c r="E440" s="584"/>
      <c r="F440" s="584"/>
      <c r="G440" s="584"/>
      <c r="H440" s="584"/>
    </row>
    <row r="441" spans="4:8" ht="15.75" customHeight="1" x14ac:dyDescent="0.25">
      <c r="D441" s="584"/>
      <c r="E441" s="584"/>
      <c r="F441" s="584"/>
      <c r="G441" s="584"/>
      <c r="H441" s="584"/>
    </row>
    <row r="442" spans="4:8" ht="15.75" customHeight="1" x14ac:dyDescent="0.25">
      <c r="D442" s="584"/>
      <c r="E442" s="584"/>
      <c r="F442" s="584"/>
      <c r="G442" s="584"/>
      <c r="H442" s="584"/>
    </row>
    <row r="443" spans="4:8" ht="15.75" customHeight="1" x14ac:dyDescent="0.25">
      <c r="D443" s="584"/>
      <c r="E443" s="584"/>
      <c r="F443" s="584"/>
      <c r="G443" s="584"/>
      <c r="H443" s="584"/>
    </row>
    <row r="444" spans="4:8" ht="15.75" customHeight="1" x14ac:dyDescent="0.25">
      <c r="D444" s="584"/>
      <c r="E444" s="584"/>
      <c r="F444" s="584"/>
      <c r="G444" s="584"/>
      <c r="H444" s="584"/>
    </row>
    <row r="445" spans="4:8" ht="15.75" customHeight="1" x14ac:dyDescent="0.25">
      <c r="D445" s="584"/>
      <c r="E445" s="584"/>
      <c r="F445" s="584"/>
      <c r="G445" s="584"/>
      <c r="H445" s="584"/>
    </row>
    <row r="446" spans="4:8" ht="15.75" customHeight="1" x14ac:dyDescent="0.25">
      <c r="D446" s="584"/>
      <c r="E446" s="584"/>
      <c r="F446" s="584"/>
      <c r="G446" s="584"/>
      <c r="H446" s="584"/>
    </row>
    <row r="447" spans="4:8" ht="15.75" customHeight="1" x14ac:dyDescent="0.25">
      <c r="D447" s="584"/>
      <c r="E447" s="584"/>
      <c r="F447" s="584"/>
      <c r="G447" s="584"/>
      <c r="H447" s="584"/>
    </row>
    <row r="448" spans="4:8" ht="15.75" customHeight="1" x14ac:dyDescent="0.25">
      <c r="D448" s="584"/>
      <c r="E448" s="584"/>
      <c r="F448" s="584"/>
      <c r="G448" s="584"/>
      <c r="H448" s="584"/>
    </row>
    <row r="449" spans="4:8" ht="15.75" customHeight="1" x14ac:dyDescent="0.25">
      <c r="D449" s="584"/>
      <c r="E449" s="584"/>
      <c r="F449" s="584"/>
      <c r="G449" s="584"/>
      <c r="H449" s="584"/>
    </row>
    <row r="450" spans="4:8" ht="15.75" customHeight="1" x14ac:dyDescent="0.25">
      <c r="D450" s="584"/>
      <c r="E450" s="584"/>
      <c r="F450" s="584"/>
      <c r="G450" s="584"/>
      <c r="H450" s="584"/>
    </row>
    <row r="451" spans="4:8" ht="15.75" customHeight="1" x14ac:dyDescent="0.25">
      <c r="D451" s="584"/>
      <c r="E451" s="584"/>
      <c r="F451" s="584"/>
      <c r="G451" s="584"/>
      <c r="H451" s="584"/>
    </row>
    <row r="452" spans="4:8" ht="15.75" customHeight="1" x14ac:dyDescent="0.25">
      <c r="D452" s="584"/>
      <c r="E452" s="584"/>
      <c r="F452" s="584"/>
      <c r="G452" s="584"/>
      <c r="H452" s="584"/>
    </row>
    <row r="453" spans="4:8" ht="15.75" customHeight="1" x14ac:dyDescent="0.25">
      <c r="D453" s="584"/>
      <c r="E453" s="584"/>
      <c r="F453" s="584"/>
      <c r="G453" s="584"/>
      <c r="H453" s="584"/>
    </row>
    <row r="454" spans="4:8" ht="15.75" customHeight="1" x14ac:dyDescent="0.25">
      <c r="D454" s="584"/>
      <c r="E454" s="584"/>
      <c r="F454" s="584"/>
      <c r="G454" s="584"/>
      <c r="H454" s="584"/>
    </row>
    <row r="455" spans="4:8" ht="15.75" customHeight="1" x14ac:dyDescent="0.25">
      <c r="D455" s="584"/>
      <c r="E455" s="584"/>
      <c r="F455" s="584"/>
      <c r="G455" s="584"/>
      <c r="H455" s="584"/>
    </row>
    <row r="456" spans="4:8" ht="15.75" customHeight="1" x14ac:dyDescent="0.25">
      <c r="D456" s="584"/>
      <c r="E456" s="584"/>
      <c r="F456" s="584"/>
      <c r="G456" s="584"/>
      <c r="H456" s="584"/>
    </row>
    <row r="457" spans="4:8" ht="15.75" customHeight="1" x14ac:dyDescent="0.25">
      <c r="D457" s="584"/>
      <c r="E457" s="584"/>
      <c r="F457" s="584"/>
      <c r="G457" s="584"/>
      <c r="H457" s="584"/>
    </row>
    <row r="458" spans="4:8" ht="15.75" customHeight="1" x14ac:dyDescent="0.25">
      <c r="D458" s="584"/>
      <c r="E458" s="584"/>
      <c r="F458" s="584"/>
      <c r="G458" s="584"/>
      <c r="H458" s="584"/>
    </row>
    <row r="459" spans="4:8" ht="15.75" customHeight="1" x14ac:dyDescent="0.25">
      <c r="D459" s="584"/>
      <c r="E459" s="584"/>
      <c r="F459" s="584"/>
      <c r="G459" s="584"/>
      <c r="H459" s="584"/>
    </row>
    <row r="460" spans="4:8" ht="15.75" customHeight="1" x14ac:dyDescent="0.25">
      <c r="D460" s="584"/>
      <c r="E460" s="584"/>
      <c r="F460" s="584"/>
      <c r="G460" s="584"/>
      <c r="H460" s="584"/>
    </row>
    <row r="461" spans="4:8" ht="15.75" customHeight="1" x14ac:dyDescent="0.25">
      <c r="D461" s="584"/>
      <c r="E461" s="584"/>
      <c r="F461" s="584"/>
      <c r="G461" s="584"/>
      <c r="H461" s="584"/>
    </row>
    <row r="462" spans="4:8" ht="15.75" customHeight="1" x14ac:dyDescent="0.25">
      <c r="D462" s="584"/>
      <c r="E462" s="584"/>
      <c r="F462" s="584"/>
      <c r="G462" s="584"/>
      <c r="H462" s="584"/>
    </row>
    <row r="463" spans="4:8" ht="15.75" customHeight="1" x14ac:dyDescent="0.25">
      <c r="D463" s="584"/>
      <c r="E463" s="584"/>
      <c r="F463" s="584"/>
      <c r="G463" s="584"/>
      <c r="H463" s="584"/>
    </row>
    <row r="464" spans="4:8" ht="15.75" customHeight="1" x14ac:dyDescent="0.25">
      <c r="D464" s="584"/>
      <c r="E464" s="584"/>
      <c r="F464" s="584"/>
      <c r="G464" s="584"/>
      <c r="H464" s="584"/>
    </row>
    <row r="465" spans="4:8" ht="15.75" customHeight="1" x14ac:dyDescent="0.25">
      <c r="D465" s="584"/>
      <c r="E465" s="584"/>
      <c r="F465" s="584"/>
      <c r="G465" s="584"/>
      <c r="H465" s="584"/>
    </row>
    <row r="466" spans="4:8" ht="15.75" customHeight="1" x14ac:dyDescent="0.25">
      <c r="D466" s="584"/>
      <c r="E466" s="584"/>
      <c r="F466" s="584"/>
      <c r="G466" s="584"/>
      <c r="H466" s="584"/>
    </row>
    <row r="467" spans="4:8" ht="15.75" customHeight="1" x14ac:dyDescent="0.25">
      <c r="D467" s="584"/>
      <c r="E467" s="584"/>
      <c r="F467" s="584"/>
      <c r="G467" s="584"/>
      <c r="H467" s="584"/>
    </row>
    <row r="468" spans="4:8" ht="15.75" customHeight="1" x14ac:dyDescent="0.25">
      <c r="D468" s="584"/>
      <c r="E468" s="584"/>
      <c r="F468" s="584"/>
      <c r="G468" s="584"/>
      <c r="H468" s="584"/>
    </row>
    <row r="469" spans="4:8" ht="15.75" customHeight="1" x14ac:dyDescent="0.25">
      <c r="D469" s="584"/>
      <c r="E469" s="584"/>
      <c r="F469" s="584"/>
      <c r="G469" s="584"/>
      <c r="H469" s="584"/>
    </row>
    <row r="470" spans="4:8" ht="15.75" customHeight="1" x14ac:dyDescent="0.25">
      <c r="D470" s="584"/>
      <c r="E470" s="584"/>
      <c r="F470" s="584"/>
      <c r="G470" s="584"/>
      <c r="H470" s="584"/>
    </row>
    <row r="471" spans="4:8" ht="15.75" customHeight="1" x14ac:dyDescent="0.25">
      <c r="D471" s="584"/>
      <c r="E471" s="584"/>
      <c r="F471" s="584"/>
      <c r="G471" s="584"/>
      <c r="H471" s="584"/>
    </row>
    <row r="472" spans="4:8" ht="15.75" customHeight="1" x14ac:dyDescent="0.25">
      <c r="D472" s="584"/>
      <c r="E472" s="584"/>
      <c r="F472" s="584"/>
      <c r="G472" s="584"/>
      <c r="H472" s="584"/>
    </row>
    <row r="473" spans="4:8" ht="15.75" customHeight="1" x14ac:dyDescent="0.25">
      <c r="D473" s="584"/>
      <c r="E473" s="584"/>
      <c r="F473" s="584"/>
      <c r="G473" s="584"/>
      <c r="H473" s="584"/>
    </row>
    <row r="474" spans="4:8" ht="15.75" customHeight="1" x14ac:dyDescent="0.25">
      <c r="D474" s="584"/>
      <c r="E474" s="584"/>
      <c r="F474" s="584"/>
      <c r="G474" s="584"/>
      <c r="H474" s="584"/>
    </row>
    <row r="475" spans="4:8" ht="15.75" customHeight="1" x14ac:dyDescent="0.25">
      <c r="D475" s="584"/>
      <c r="E475" s="584"/>
      <c r="F475" s="584"/>
      <c r="G475" s="584"/>
      <c r="H475" s="584"/>
    </row>
    <row r="476" spans="4:8" ht="15.75" customHeight="1" x14ac:dyDescent="0.25">
      <c r="D476" s="584"/>
      <c r="E476" s="584"/>
      <c r="F476" s="584"/>
      <c r="G476" s="584"/>
      <c r="H476" s="584"/>
    </row>
    <row r="477" spans="4:8" ht="15.75" customHeight="1" x14ac:dyDescent="0.25">
      <c r="D477" s="584"/>
      <c r="E477" s="584"/>
      <c r="F477" s="584"/>
      <c r="G477" s="584"/>
      <c r="H477" s="584"/>
    </row>
    <row r="478" spans="4:8" ht="15.75" customHeight="1" x14ac:dyDescent="0.25">
      <c r="D478" s="584"/>
      <c r="E478" s="584"/>
      <c r="F478" s="584"/>
      <c r="G478" s="584"/>
      <c r="H478" s="584"/>
    </row>
    <row r="479" spans="4:8" ht="15.75" customHeight="1" x14ac:dyDescent="0.25">
      <c r="D479" s="584"/>
      <c r="E479" s="584"/>
      <c r="F479" s="584"/>
      <c r="G479" s="584"/>
      <c r="H479" s="584"/>
    </row>
    <row r="480" spans="4:8" ht="15.75" customHeight="1" x14ac:dyDescent="0.25">
      <c r="D480" s="584"/>
      <c r="E480" s="584"/>
      <c r="F480" s="584"/>
      <c r="G480" s="584"/>
      <c r="H480" s="584"/>
    </row>
    <row r="481" spans="4:8" ht="15.75" customHeight="1" x14ac:dyDescent="0.25">
      <c r="D481" s="584"/>
      <c r="E481" s="584"/>
      <c r="F481" s="584"/>
      <c r="G481" s="584"/>
      <c r="H481" s="584"/>
    </row>
    <row r="482" spans="4:8" ht="15.75" customHeight="1" x14ac:dyDescent="0.25">
      <c r="D482" s="584"/>
      <c r="E482" s="584"/>
      <c r="F482" s="584"/>
      <c r="G482" s="584"/>
      <c r="H482" s="584"/>
    </row>
    <row r="483" spans="4:8" ht="15.75" customHeight="1" x14ac:dyDescent="0.25">
      <c r="D483" s="584"/>
      <c r="E483" s="584"/>
      <c r="F483" s="584"/>
      <c r="G483" s="584"/>
      <c r="H483" s="584"/>
    </row>
    <row r="484" spans="4:8" ht="15.75" customHeight="1" x14ac:dyDescent="0.25">
      <c r="D484" s="584"/>
      <c r="E484" s="584"/>
      <c r="F484" s="584"/>
      <c r="G484" s="584"/>
      <c r="H484" s="584"/>
    </row>
    <row r="485" spans="4:8" ht="15.75" customHeight="1" x14ac:dyDescent="0.25">
      <c r="D485" s="584"/>
      <c r="E485" s="584"/>
      <c r="F485" s="584"/>
      <c r="G485" s="584"/>
      <c r="H485" s="584"/>
    </row>
    <row r="486" spans="4:8" ht="15.75" customHeight="1" x14ac:dyDescent="0.25">
      <c r="D486" s="584"/>
      <c r="E486" s="584"/>
      <c r="F486" s="584"/>
      <c r="G486" s="584"/>
      <c r="H486" s="584"/>
    </row>
    <row r="487" spans="4:8" ht="15.75" customHeight="1" x14ac:dyDescent="0.25">
      <c r="D487" s="584"/>
      <c r="E487" s="584"/>
      <c r="F487" s="584"/>
      <c r="G487" s="584"/>
      <c r="H487" s="584"/>
    </row>
    <row r="488" spans="4:8" ht="15.75" customHeight="1" x14ac:dyDescent="0.25">
      <c r="D488" s="584"/>
      <c r="E488" s="584"/>
      <c r="F488" s="584"/>
      <c r="G488" s="584"/>
      <c r="H488" s="584"/>
    </row>
    <row r="489" spans="4:8" ht="15.75" customHeight="1" x14ac:dyDescent="0.25">
      <c r="D489" s="584"/>
      <c r="E489" s="584"/>
      <c r="F489" s="584"/>
      <c r="G489" s="584"/>
      <c r="H489" s="584"/>
    </row>
    <row r="490" spans="4:8" ht="15.75" customHeight="1" x14ac:dyDescent="0.25">
      <c r="D490" s="584"/>
      <c r="E490" s="584"/>
      <c r="F490" s="584"/>
      <c r="G490" s="584"/>
      <c r="H490" s="584"/>
    </row>
    <row r="491" spans="4:8" ht="15.75" customHeight="1" x14ac:dyDescent="0.25">
      <c r="D491" s="584"/>
      <c r="E491" s="584"/>
      <c r="F491" s="584"/>
      <c r="G491" s="584"/>
      <c r="H491" s="584"/>
    </row>
    <row r="492" spans="4:8" ht="15.75" customHeight="1" x14ac:dyDescent="0.25">
      <c r="D492" s="584"/>
      <c r="E492" s="584"/>
      <c r="F492" s="584"/>
      <c r="G492" s="584"/>
      <c r="H492" s="584"/>
    </row>
    <row r="493" spans="4:8" ht="15.75" customHeight="1" x14ac:dyDescent="0.25">
      <c r="D493" s="584"/>
      <c r="E493" s="584"/>
      <c r="F493" s="584"/>
      <c r="G493" s="584"/>
      <c r="H493" s="584"/>
    </row>
    <row r="494" spans="4:8" ht="15.75" customHeight="1" x14ac:dyDescent="0.25">
      <c r="D494" s="584"/>
      <c r="E494" s="584"/>
      <c r="F494" s="584"/>
      <c r="G494" s="584"/>
      <c r="H494" s="584"/>
    </row>
    <row r="495" spans="4:8" ht="15.75" customHeight="1" x14ac:dyDescent="0.25">
      <c r="D495" s="584"/>
      <c r="E495" s="584"/>
      <c r="F495" s="584"/>
      <c r="G495" s="584"/>
      <c r="H495" s="584"/>
    </row>
    <row r="496" spans="4:8" ht="15.75" customHeight="1" x14ac:dyDescent="0.25">
      <c r="D496" s="584"/>
      <c r="E496" s="584"/>
      <c r="F496" s="584"/>
      <c r="G496" s="584"/>
      <c r="H496" s="584"/>
    </row>
    <row r="497" spans="4:8" ht="15.75" customHeight="1" x14ac:dyDescent="0.25">
      <c r="D497" s="584"/>
      <c r="E497" s="584"/>
      <c r="F497" s="584"/>
      <c r="G497" s="584"/>
      <c r="H497" s="584"/>
    </row>
    <row r="498" spans="4:8" ht="15.75" customHeight="1" x14ac:dyDescent="0.25">
      <c r="D498" s="584"/>
      <c r="E498" s="584"/>
      <c r="F498" s="584"/>
      <c r="G498" s="584"/>
      <c r="H498" s="584"/>
    </row>
    <row r="499" spans="4:8" ht="15.75" customHeight="1" x14ac:dyDescent="0.25">
      <c r="D499" s="584"/>
      <c r="E499" s="584"/>
      <c r="F499" s="584"/>
      <c r="G499" s="584"/>
      <c r="H499" s="584"/>
    </row>
    <row r="500" spans="4:8" ht="15.75" customHeight="1" x14ac:dyDescent="0.25">
      <c r="D500" s="584"/>
      <c r="E500" s="584"/>
      <c r="F500" s="584"/>
      <c r="G500" s="584"/>
      <c r="H500" s="584"/>
    </row>
    <row r="501" spans="4:8" ht="15.75" customHeight="1" x14ac:dyDescent="0.25">
      <c r="D501" s="584"/>
      <c r="E501" s="584"/>
      <c r="F501" s="584"/>
      <c r="G501" s="584"/>
      <c r="H501" s="584"/>
    </row>
    <row r="502" spans="4:8" ht="15.75" customHeight="1" x14ac:dyDescent="0.25">
      <c r="D502" s="584"/>
      <c r="E502" s="584"/>
      <c r="F502" s="584"/>
      <c r="G502" s="584"/>
      <c r="H502" s="584"/>
    </row>
    <row r="503" spans="4:8" ht="15.75" customHeight="1" x14ac:dyDescent="0.25">
      <c r="D503" s="584"/>
      <c r="E503" s="584"/>
      <c r="F503" s="584"/>
      <c r="G503" s="584"/>
      <c r="H503" s="584"/>
    </row>
    <row r="504" spans="4:8" ht="15.75" customHeight="1" x14ac:dyDescent="0.25">
      <c r="D504" s="584"/>
      <c r="E504" s="584"/>
      <c r="F504" s="584"/>
      <c r="G504" s="584"/>
      <c r="H504" s="584"/>
    </row>
    <row r="505" spans="4:8" ht="15.75" customHeight="1" x14ac:dyDescent="0.25">
      <c r="D505" s="584"/>
      <c r="E505" s="584"/>
      <c r="F505" s="584"/>
      <c r="G505" s="584"/>
      <c r="H505" s="584"/>
    </row>
    <row r="506" spans="4:8" ht="15.75" customHeight="1" x14ac:dyDescent="0.25">
      <c r="D506" s="584"/>
      <c r="E506" s="584"/>
      <c r="F506" s="584"/>
      <c r="G506" s="584"/>
      <c r="H506" s="584"/>
    </row>
    <row r="507" spans="4:8" ht="15.75" customHeight="1" x14ac:dyDescent="0.25">
      <c r="D507" s="584"/>
      <c r="E507" s="584"/>
      <c r="F507" s="584"/>
      <c r="G507" s="584"/>
      <c r="H507" s="584"/>
    </row>
    <row r="508" spans="4:8" ht="15.75" customHeight="1" x14ac:dyDescent="0.25">
      <c r="D508" s="584"/>
      <c r="E508" s="584"/>
      <c r="F508" s="584"/>
      <c r="G508" s="584"/>
      <c r="H508" s="584"/>
    </row>
    <row r="509" spans="4:8" ht="15.75" customHeight="1" x14ac:dyDescent="0.25">
      <c r="D509" s="584"/>
      <c r="E509" s="584"/>
      <c r="F509" s="584"/>
      <c r="G509" s="584"/>
      <c r="H509" s="584"/>
    </row>
    <row r="510" spans="4:8" ht="15.75" customHeight="1" x14ac:dyDescent="0.25">
      <c r="D510" s="584"/>
      <c r="E510" s="584"/>
      <c r="F510" s="584"/>
      <c r="G510" s="584"/>
      <c r="H510" s="584"/>
    </row>
    <row r="511" spans="4:8" ht="15.75" customHeight="1" x14ac:dyDescent="0.25">
      <c r="D511" s="584"/>
      <c r="E511" s="584"/>
      <c r="F511" s="584"/>
      <c r="G511" s="584"/>
      <c r="H511" s="584"/>
    </row>
    <row r="512" spans="4:8" ht="15.75" customHeight="1" x14ac:dyDescent="0.25">
      <c r="D512" s="584"/>
      <c r="E512" s="584"/>
      <c r="F512" s="584"/>
      <c r="G512" s="584"/>
      <c r="H512" s="584"/>
    </row>
    <row r="513" spans="4:8" ht="15.75" customHeight="1" x14ac:dyDescent="0.25">
      <c r="D513" s="584"/>
      <c r="E513" s="584"/>
      <c r="F513" s="584"/>
      <c r="G513" s="584"/>
      <c r="H513" s="584"/>
    </row>
    <row r="514" spans="4:8" ht="15.75" customHeight="1" x14ac:dyDescent="0.25">
      <c r="D514" s="584"/>
      <c r="E514" s="584"/>
      <c r="F514" s="584"/>
      <c r="G514" s="584"/>
      <c r="H514" s="584"/>
    </row>
    <row r="515" spans="4:8" ht="15.75" customHeight="1" x14ac:dyDescent="0.25">
      <c r="D515" s="584"/>
      <c r="E515" s="584"/>
      <c r="F515" s="584"/>
      <c r="G515" s="584"/>
      <c r="H515" s="584"/>
    </row>
    <row r="516" spans="4:8" ht="15.75" customHeight="1" x14ac:dyDescent="0.25">
      <c r="D516" s="584"/>
      <c r="E516" s="584"/>
      <c r="F516" s="584"/>
      <c r="G516" s="584"/>
      <c r="H516" s="584"/>
    </row>
    <row r="517" spans="4:8" ht="15.75" customHeight="1" x14ac:dyDescent="0.25">
      <c r="D517" s="584"/>
      <c r="E517" s="584"/>
      <c r="F517" s="584"/>
      <c r="G517" s="584"/>
      <c r="H517" s="584"/>
    </row>
    <row r="518" spans="4:8" ht="15.75" customHeight="1" x14ac:dyDescent="0.25">
      <c r="D518" s="584"/>
      <c r="E518" s="584"/>
      <c r="F518" s="584"/>
      <c r="G518" s="584"/>
      <c r="H518" s="584"/>
    </row>
    <row r="519" spans="4:8" ht="15.75" customHeight="1" x14ac:dyDescent="0.25">
      <c r="D519" s="584"/>
      <c r="E519" s="584"/>
      <c r="F519" s="584"/>
      <c r="G519" s="584"/>
      <c r="H519" s="584"/>
    </row>
    <row r="520" spans="4:8" ht="15.75" customHeight="1" x14ac:dyDescent="0.25">
      <c r="D520" s="584"/>
      <c r="E520" s="584"/>
      <c r="F520" s="584"/>
      <c r="G520" s="584"/>
      <c r="H520" s="584"/>
    </row>
    <row r="521" spans="4:8" ht="15.75" customHeight="1" x14ac:dyDescent="0.25">
      <c r="D521" s="584"/>
      <c r="E521" s="584"/>
      <c r="F521" s="584"/>
      <c r="G521" s="584"/>
      <c r="H521" s="584"/>
    </row>
    <row r="522" spans="4:8" ht="15.75" customHeight="1" x14ac:dyDescent="0.25">
      <c r="D522" s="584"/>
      <c r="E522" s="584"/>
      <c r="F522" s="584"/>
      <c r="G522" s="584"/>
      <c r="H522" s="584"/>
    </row>
    <row r="523" spans="4:8" ht="15.75" customHeight="1" x14ac:dyDescent="0.25">
      <c r="D523" s="584"/>
      <c r="E523" s="584"/>
      <c r="F523" s="584"/>
      <c r="G523" s="584"/>
      <c r="H523" s="584"/>
    </row>
    <row r="524" spans="4:8" ht="15.75" customHeight="1" x14ac:dyDescent="0.25">
      <c r="D524" s="584"/>
      <c r="E524" s="584"/>
      <c r="F524" s="584"/>
      <c r="G524" s="584"/>
      <c r="H524" s="584"/>
    </row>
    <row r="525" spans="4:8" ht="15.75" customHeight="1" x14ac:dyDescent="0.25">
      <c r="D525" s="584"/>
      <c r="E525" s="584"/>
      <c r="F525" s="584"/>
      <c r="G525" s="584"/>
      <c r="H525" s="584"/>
    </row>
    <row r="526" spans="4:8" ht="15.75" customHeight="1" x14ac:dyDescent="0.25">
      <c r="D526" s="584"/>
      <c r="E526" s="584"/>
      <c r="F526" s="584"/>
      <c r="G526" s="584"/>
      <c r="H526" s="584"/>
    </row>
    <row r="527" spans="4:8" ht="15.75" customHeight="1" x14ac:dyDescent="0.25">
      <c r="D527" s="584"/>
      <c r="E527" s="584"/>
      <c r="F527" s="584"/>
      <c r="G527" s="584"/>
      <c r="H527" s="584"/>
    </row>
    <row r="528" spans="4:8" ht="15.75" customHeight="1" x14ac:dyDescent="0.25">
      <c r="D528" s="584"/>
      <c r="E528" s="584"/>
      <c r="F528" s="584"/>
      <c r="G528" s="584"/>
      <c r="H528" s="584"/>
    </row>
    <row r="529" spans="4:8" ht="15.75" customHeight="1" x14ac:dyDescent="0.25">
      <c r="D529" s="584"/>
      <c r="E529" s="584"/>
      <c r="F529" s="584"/>
      <c r="G529" s="584"/>
      <c r="H529" s="584"/>
    </row>
    <row r="530" spans="4:8" ht="15.75" customHeight="1" x14ac:dyDescent="0.25">
      <c r="D530" s="584"/>
      <c r="E530" s="584"/>
      <c r="F530" s="584"/>
      <c r="G530" s="584"/>
      <c r="H530" s="584"/>
    </row>
    <row r="531" spans="4:8" ht="15.75" customHeight="1" x14ac:dyDescent="0.25">
      <c r="D531" s="584"/>
      <c r="E531" s="584"/>
      <c r="F531" s="584"/>
      <c r="G531" s="584"/>
      <c r="H531" s="584"/>
    </row>
    <row r="532" spans="4:8" ht="15.75" customHeight="1" x14ac:dyDescent="0.25">
      <c r="D532" s="584"/>
      <c r="E532" s="584"/>
      <c r="F532" s="584"/>
      <c r="G532" s="584"/>
      <c r="H532" s="584"/>
    </row>
    <row r="533" spans="4:8" ht="15.75" customHeight="1" x14ac:dyDescent="0.25">
      <c r="D533" s="584"/>
      <c r="E533" s="584"/>
      <c r="F533" s="584"/>
      <c r="G533" s="584"/>
      <c r="H533" s="584"/>
    </row>
    <row r="534" spans="4:8" ht="15.75" customHeight="1" x14ac:dyDescent="0.25">
      <c r="D534" s="584"/>
      <c r="E534" s="584"/>
      <c r="F534" s="584"/>
      <c r="G534" s="584"/>
      <c r="H534" s="584"/>
    </row>
    <row r="535" spans="4:8" ht="15.75" customHeight="1" x14ac:dyDescent="0.25">
      <c r="D535" s="584"/>
      <c r="E535" s="584"/>
      <c r="F535" s="584"/>
      <c r="G535" s="584"/>
      <c r="H535" s="584"/>
    </row>
    <row r="536" spans="4:8" ht="15.75" customHeight="1" x14ac:dyDescent="0.25">
      <c r="D536" s="584"/>
      <c r="E536" s="584"/>
      <c r="F536" s="584"/>
      <c r="G536" s="584"/>
      <c r="H536" s="584"/>
    </row>
    <row r="537" spans="4:8" ht="15.75" customHeight="1" x14ac:dyDescent="0.25">
      <c r="D537" s="584"/>
      <c r="E537" s="584"/>
      <c r="F537" s="584"/>
      <c r="G537" s="584"/>
      <c r="H537" s="584"/>
    </row>
    <row r="538" spans="4:8" ht="15.75" customHeight="1" x14ac:dyDescent="0.25">
      <c r="D538" s="584"/>
      <c r="E538" s="584"/>
      <c r="F538" s="584"/>
      <c r="G538" s="584"/>
      <c r="H538" s="584"/>
    </row>
    <row r="539" spans="4:8" ht="15.75" customHeight="1" x14ac:dyDescent="0.25">
      <c r="D539" s="584"/>
      <c r="E539" s="584"/>
      <c r="F539" s="584"/>
      <c r="G539" s="584"/>
      <c r="H539" s="584"/>
    </row>
    <row r="540" spans="4:8" ht="15.75" customHeight="1" x14ac:dyDescent="0.25">
      <c r="D540" s="584"/>
      <c r="E540" s="584"/>
      <c r="F540" s="584"/>
      <c r="G540" s="584"/>
      <c r="H540" s="584"/>
    </row>
    <row r="541" spans="4:8" ht="15.75" customHeight="1" x14ac:dyDescent="0.25">
      <c r="D541" s="584"/>
      <c r="E541" s="584"/>
      <c r="F541" s="584"/>
      <c r="G541" s="584"/>
      <c r="H541" s="584"/>
    </row>
    <row r="542" spans="4:8" ht="15.75" customHeight="1" x14ac:dyDescent="0.25">
      <c r="D542" s="584"/>
      <c r="E542" s="584"/>
      <c r="F542" s="584"/>
      <c r="G542" s="584"/>
      <c r="H542" s="584"/>
    </row>
    <row r="543" spans="4:8" ht="15.75" customHeight="1" x14ac:dyDescent="0.25">
      <c r="D543" s="584"/>
      <c r="E543" s="584"/>
      <c r="F543" s="584"/>
      <c r="G543" s="584"/>
      <c r="H543" s="584"/>
    </row>
    <row r="544" spans="4:8" ht="15.75" customHeight="1" x14ac:dyDescent="0.25">
      <c r="D544" s="584"/>
      <c r="E544" s="584"/>
      <c r="F544" s="584"/>
      <c r="G544" s="584"/>
      <c r="H544" s="584"/>
    </row>
    <row r="545" spans="4:8" ht="15.75" customHeight="1" x14ac:dyDescent="0.25">
      <c r="D545" s="584"/>
      <c r="E545" s="584"/>
      <c r="F545" s="584"/>
      <c r="G545" s="584"/>
      <c r="H545" s="584"/>
    </row>
    <row r="546" spans="4:8" ht="15.75" customHeight="1" x14ac:dyDescent="0.25">
      <c r="D546" s="584"/>
      <c r="E546" s="584"/>
      <c r="F546" s="584"/>
      <c r="G546" s="584"/>
      <c r="H546" s="584"/>
    </row>
    <row r="547" spans="4:8" ht="15.75" customHeight="1" x14ac:dyDescent="0.25">
      <c r="D547" s="584"/>
      <c r="E547" s="584"/>
      <c r="F547" s="584"/>
      <c r="G547" s="584"/>
      <c r="H547" s="584"/>
    </row>
    <row r="548" spans="4:8" ht="15.75" customHeight="1" x14ac:dyDescent="0.25">
      <c r="D548" s="584"/>
      <c r="E548" s="584"/>
      <c r="F548" s="584"/>
      <c r="G548" s="584"/>
      <c r="H548" s="584"/>
    </row>
    <row r="549" spans="4:8" ht="15.75" customHeight="1" x14ac:dyDescent="0.25">
      <c r="D549" s="584"/>
      <c r="E549" s="584"/>
      <c r="F549" s="584"/>
      <c r="G549" s="584"/>
      <c r="H549" s="584"/>
    </row>
    <row r="550" spans="4:8" ht="15.75" customHeight="1" x14ac:dyDescent="0.25">
      <c r="D550" s="584"/>
      <c r="E550" s="584"/>
      <c r="F550" s="584"/>
      <c r="G550" s="584"/>
      <c r="H550" s="584"/>
    </row>
    <row r="551" spans="4:8" ht="15.75" customHeight="1" x14ac:dyDescent="0.25">
      <c r="D551" s="584"/>
      <c r="E551" s="584"/>
      <c r="F551" s="584"/>
      <c r="G551" s="584"/>
      <c r="H551" s="584"/>
    </row>
    <row r="552" spans="4:8" ht="15.75" customHeight="1" x14ac:dyDescent="0.25">
      <c r="D552" s="584"/>
      <c r="E552" s="584"/>
      <c r="F552" s="584"/>
      <c r="G552" s="584"/>
      <c r="H552" s="584"/>
    </row>
    <row r="553" spans="4:8" ht="15.75" customHeight="1" x14ac:dyDescent="0.25">
      <c r="D553" s="584"/>
      <c r="E553" s="584"/>
      <c r="F553" s="584"/>
      <c r="G553" s="584"/>
      <c r="H553" s="584"/>
    </row>
    <row r="554" spans="4:8" ht="15.75" customHeight="1" x14ac:dyDescent="0.25">
      <c r="D554" s="584"/>
      <c r="E554" s="584"/>
      <c r="F554" s="584"/>
      <c r="G554" s="584"/>
      <c r="H554" s="584"/>
    </row>
    <row r="555" spans="4:8" ht="15.75" customHeight="1" x14ac:dyDescent="0.25">
      <c r="D555" s="584"/>
      <c r="E555" s="584"/>
      <c r="F555" s="584"/>
      <c r="G555" s="584"/>
      <c r="H555" s="584"/>
    </row>
    <row r="556" spans="4:8" ht="15.75" customHeight="1" x14ac:dyDescent="0.25">
      <c r="D556" s="584"/>
      <c r="E556" s="584"/>
      <c r="F556" s="584"/>
      <c r="G556" s="584"/>
      <c r="H556" s="584"/>
    </row>
    <row r="557" spans="4:8" ht="15.75" customHeight="1" x14ac:dyDescent="0.25">
      <c r="D557" s="584"/>
      <c r="E557" s="584"/>
      <c r="F557" s="584"/>
      <c r="G557" s="584"/>
      <c r="H557" s="584"/>
    </row>
    <row r="558" spans="4:8" ht="15.75" customHeight="1" x14ac:dyDescent="0.25">
      <c r="D558" s="584"/>
      <c r="E558" s="584"/>
      <c r="F558" s="584"/>
      <c r="G558" s="584"/>
      <c r="H558" s="584"/>
    </row>
    <row r="559" spans="4:8" ht="15.75" customHeight="1" x14ac:dyDescent="0.25">
      <c r="D559" s="584"/>
      <c r="E559" s="584"/>
      <c r="F559" s="584"/>
      <c r="G559" s="584"/>
      <c r="H559" s="584"/>
    </row>
    <row r="560" spans="4:8" ht="15.75" customHeight="1" x14ac:dyDescent="0.25">
      <c r="D560" s="584"/>
      <c r="E560" s="584"/>
      <c r="F560" s="584"/>
      <c r="G560" s="584"/>
      <c r="H560" s="584"/>
    </row>
    <row r="561" spans="4:8" ht="15.75" customHeight="1" x14ac:dyDescent="0.25">
      <c r="D561" s="584"/>
      <c r="E561" s="584"/>
      <c r="F561" s="584"/>
      <c r="G561" s="584"/>
      <c r="H561" s="584"/>
    </row>
    <row r="562" spans="4:8" ht="15.75" customHeight="1" x14ac:dyDescent="0.25">
      <c r="D562" s="584"/>
      <c r="E562" s="584"/>
      <c r="F562" s="584"/>
      <c r="G562" s="584"/>
      <c r="H562" s="584"/>
    </row>
    <row r="563" spans="4:8" ht="15.75" customHeight="1" x14ac:dyDescent="0.25">
      <c r="D563" s="584"/>
      <c r="E563" s="584"/>
      <c r="F563" s="584"/>
      <c r="G563" s="584"/>
      <c r="H563" s="584"/>
    </row>
    <row r="564" spans="4:8" ht="15.75" customHeight="1" x14ac:dyDescent="0.25">
      <c r="D564" s="584"/>
      <c r="E564" s="584"/>
      <c r="F564" s="584"/>
      <c r="G564" s="584"/>
      <c r="H564" s="584"/>
    </row>
    <row r="565" spans="4:8" ht="15.75" customHeight="1" x14ac:dyDescent="0.25">
      <c r="D565" s="584"/>
      <c r="E565" s="584"/>
      <c r="F565" s="584"/>
      <c r="G565" s="584"/>
      <c r="H565" s="584"/>
    </row>
    <row r="566" spans="4:8" ht="15.75" customHeight="1" x14ac:dyDescent="0.25">
      <c r="D566" s="584"/>
      <c r="E566" s="584"/>
      <c r="F566" s="584"/>
      <c r="G566" s="584"/>
      <c r="H566" s="584"/>
    </row>
    <row r="567" spans="4:8" ht="15.75" customHeight="1" x14ac:dyDescent="0.25">
      <c r="D567" s="584"/>
      <c r="E567" s="584"/>
      <c r="F567" s="584"/>
      <c r="G567" s="584"/>
      <c r="H567" s="584"/>
    </row>
    <row r="568" spans="4:8" ht="15.75" customHeight="1" x14ac:dyDescent="0.25">
      <c r="D568" s="584"/>
      <c r="E568" s="584"/>
      <c r="F568" s="584"/>
      <c r="G568" s="584"/>
      <c r="H568" s="584"/>
    </row>
    <row r="569" spans="4:8" ht="15.75" customHeight="1" x14ac:dyDescent="0.25">
      <c r="D569" s="584"/>
      <c r="E569" s="584"/>
      <c r="F569" s="584"/>
      <c r="G569" s="584"/>
      <c r="H569" s="584"/>
    </row>
    <row r="570" spans="4:8" ht="15.75" customHeight="1" x14ac:dyDescent="0.25">
      <c r="D570" s="584"/>
      <c r="E570" s="584"/>
      <c r="F570" s="584"/>
      <c r="G570" s="584"/>
      <c r="H570" s="584"/>
    </row>
    <row r="571" spans="4:8" ht="15.75" customHeight="1" x14ac:dyDescent="0.25">
      <c r="D571" s="584"/>
      <c r="E571" s="584"/>
      <c r="F571" s="584"/>
      <c r="G571" s="584"/>
      <c r="H571" s="584"/>
    </row>
    <row r="572" spans="4:8" ht="15.75" customHeight="1" x14ac:dyDescent="0.25">
      <c r="D572" s="584"/>
      <c r="E572" s="584"/>
      <c r="F572" s="584"/>
      <c r="G572" s="584"/>
      <c r="H572" s="584"/>
    </row>
    <row r="573" spans="4:8" ht="15.75" customHeight="1" x14ac:dyDescent="0.25">
      <c r="D573" s="584"/>
      <c r="E573" s="584"/>
      <c r="F573" s="584"/>
      <c r="G573" s="584"/>
      <c r="H573" s="584"/>
    </row>
    <row r="574" spans="4:8" ht="15.75" customHeight="1" x14ac:dyDescent="0.25">
      <c r="D574" s="584"/>
      <c r="E574" s="584"/>
      <c r="F574" s="584"/>
      <c r="G574" s="584"/>
      <c r="H574" s="584"/>
    </row>
    <row r="575" spans="4:8" ht="15.75" customHeight="1" x14ac:dyDescent="0.25">
      <c r="D575" s="584"/>
      <c r="E575" s="584"/>
      <c r="F575" s="584"/>
      <c r="G575" s="584"/>
      <c r="H575" s="584"/>
    </row>
    <row r="576" spans="4:8" ht="15.75" customHeight="1" x14ac:dyDescent="0.25">
      <c r="D576" s="584"/>
      <c r="E576" s="584"/>
      <c r="F576" s="584"/>
      <c r="G576" s="584"/>
      <c r="H576" s="584"/>
    </row>
    <row r="577" spans="4:8" ht="15.75" customHeight="1" x14ac:dyDescent="0.25">
      <c r="D577" s="584"/>
      <c r="E577" s="584"/>
      <c r="F577" s="584"/>
      <c r="G577" s="584"/>
      <c r="H577" s="584"/>
    </row>
    <row r="578" spans="4:8" ht="15.75" customHeight="1" x14ac:dyDescent="0.25">
      <c r="D578" s="584"/>
      <c r="E578" s="584"/>
      <c r="F578" s="584"/>
      <c r="G578" s="584"/>
      <c r="H578" s="584"/>
    </row>
    <row r="579" spans="4:8" ht="15.75" customHeight="1" x14ac:dyDescent="0.25">
      <c r="D579" s="584"/>
      <c r="E579" s="584"/>
      <c r="F579" s="584"/>
      <c r="G579" s="584"/>
      <c r="H579" s="584"/>
    </row>
    <row r="580" spans="4:8" ht="15.75" customHeight="1" x14ac:dyDescent="0.25">
      <c r="D580" s="584"/>
      <c r="E580" s="584"/>
      <c r="F580" s="584"/>
      <c r="G580" s="584"/>
      <c r="H580" s="584"/>
    </row>
    <row r="581" spans="4:8" ht="15.75" customHeight="1" x14ac:dyDescent="0.25">
      <c r="D581" s="584"/>
      <c r="E581" s="584"/>
      <c r="F581" s="584"/>
      <c r="G581" s="584"/>
      <c r="H581" s="584"/>
    </row>
    <row r="582" spans="4:8" ht="15.75" customHeight="1" x14ac:dyDescent="0.25">
      <c r="D582" s="584"/>
      <c r="E582" s="584"/>
      <c r="F582" s="584"/>
      <c r="G582" s="584"/>
      <c r="H582" s="584"/>
    </row>
    <row r="583" spans="4:8" ht="15.75" customHeight="1" x14ac:dyDescent="0.25">
      <c r="D583" s="584"/>
      <c r="E583" s="584"/>
      <c r="F583" s="584"/>
      <c r="G583" s="584"/>
      <c r="H583" s="584"/>
    </row>
    <row r="584" spans="4:8" ht="15.75" customHeight="1" x14ac:dyDescent="0.25">
      <c r="D584" s="584"/>
      <c r="E584" s="584"/>
      <c r="F584" s="584"/>
      <c r="G584" s="584"/>
      <c r="H584" s="584"/>
    </row>
    <row r="585" spans="4:8" ht="15.75" customHeight="1" x14ac:dyDescent="0.25">
      <c r="D585" s="584"/>
      <c r="E585" s="584"/>
      <c r="F585" s="584"/>
      <c r="G585" s="584"/>
      <c r="H585" s="584"/>
    </row>
    <row r="586" spans="4:8" ht="15.75" customHeight="1" x14ac:dyDescent="0.25">
      <c r="D586" s="584"/>
      <c r="E586" s="584"/>
      <c r="F586" s="584"/>
      <c r="G586" s="584"/>
      <c r="H586" s="584"/>
    </row>
    <row r="587" spans="4:8" ht="15.75" customHeight="1" x14ac:dyDescent="0.25">
      <c r="D587" s="584"/>
      <c r="E587" s="584"/>
      <c r="F587" s="584"/>
      <c r="G587" s="584"/>
      <c r="H587" s="584"/>
    </row>
    <row r="588" spans="4:8" ht="15.75" customHeight="1" x14ac:dyDescent="0.25">
      <c r="D588" s="584"/>
      <c r="E588" s="584"/>
      <c r="F588" s="584"/>
      <c r="G588" s="584"/>
      <c r="H588" s="584"/>
    </row>
    <row r="589" spans="4:8" ht="15.75" customHeight="1" x14ac:dyDescent="0.25">
      <c r="D589" s="584"/>
      <c r="E589" s="584"/>
      <c r="F589" s="584"/>
      <c r="G589" s="584"/>
      <c r="H589" s="584"/>
    </row>
    <row r="590" spans="4:8" ht="15.75" customHeight="1" x14ac:dyDescent="0.25">
      <c r="D590" s="584"/>
      <c r="E590" s="584"/>
      <c r="F590" s="584"/>
      <c r="G590" s="584"/>
      <c r="H590" s="584"/>
    </row>
    <row r="591" spans="4:8" ht="15.75" customHeight="1" x14ac:dyDescent="0.25">
      <c r="D591" s="584"/>
      <c r="E591" s="584"/>
      <c r="F591" s="584"/>
      <c r="G591" s="584"/>
      <c r="H591" s="584"/>
    </row>
    <row r="592" spans="4:8" ht="15.75" customHeight="1" x14ac:dyDescent="0.25">
      <c r="D592" s="584"/>
      <c r="E592" s="584"/>
      <c r="F592" s="584"/>
      <c r="G592" s="584"/>
      <c r="H592" s="584"/>
    </row>
    <row r="593" spans="4:8" ht="15.75" customHeight="1" x14ac:dyDescent="0.25">
      <c r="D593" s="584"/>
      <c r="E593" s="584"/>
      <c r="F593" s="584"/>
      <c r="G593" s="584"/>
      <c r="H593" s="584"/>
    </row>
    <row r="594" spans="4:8" ht="15.75" customHeight="1" x14ac:dyDescent="0.25">
      <c r="D594" s="584"/>
      <c r="E594" s="584"/>
      <c r="F594" s="584"/>
      <c r="G594" s="584"/>
      <c r="H594" s="584"/>
    </row>
    <row r="595" spans="4:8" ht="15.75" customHeight="1" x14ac:dyDescent="0.25">
      <c r="D595" s="584"/>
      <c r="E595" s="584"/>
      <c r="F595" s="584"/>
      <c r="G595" s="584"/>
      <c r="H595" s="584"/>
    </row>
    <row r="596" spans="4:8" ht="15.75" customHeight="1" x14ac:dyDescent="0.25">
      <c r="D596" s="584"/>
      <c r="E596" s="584"/>
      <c r="F596" s="584"/>
      <c r="G596" s="584"/>
      <c r="H596" s="584"/>
    </row>
    <row r="597" spans="4:8" ht="15.75" customHeight="1" x14ac:dyDescent="0.25">
      <c r="D597" s="584"/>
      <c r="E597" s="584"/>
      <c r="F597" s="584"/>
      <c r="G597" s="584"/>
      <c r="H597" s="584"/>
    </row>
    <row r="598" spans="4:8" ht="15.75" customHeight="1" x14ac:dyDescent="0.25">
      <c r="D598" s="584"/>
      <c r="E598" s="584"/>
      <c r="F598" s="584"/>
      <c r="G598" s="584"/>
      <c r="H598" s="584"/>
    </row>
    <row r="599" spans="4:8" ht="15.75" customHeight="1" x14ac:dyDescent="0.25">
      <c r="D599" s="584"/>
      <c r="E599" s="584"/>
      <c r="F599" s="584"/>
      <c r="G599" s="584"/>
      <c r="H599" s="584"/>
    </row>
    <row r="600" spans="4:8" ht="15.75" customHeight="1" x14ac:dyDescent="0.25">
      <c r="D600" s="584"/>
      <c r="E600" s="584"/>
      <c r="F600" s="584"/>
      <c r="G600" s="584"/>
      <c r="H600" s="584"/>
    </row>
    <row r="601" spans="4:8" ht="15.75" customHeight="1" x14ac:dyDescent="0.25">
      <c r="D601" s="584"/>
      <c r="E601" s="584"/>
      <c r="F601" s="584"/>
      <c r="G601" s="584"/>
      <c r="H601" s="584"/>
    </row>
    <row r="602" spans="4:8" ht="15.75" customHeight="1" x14ac:dyDescent="0.25">
      <c r="D602" s="584"/>
      <c r="E602" s="584"/>
      <c r="F602" s="584"/>
      <c r="G602" s="584"/>
      <c r="H602" s="584"/>
    </row>
    <row r="603" spans="4:8" ht="15.75" customHeight="1" x14ac:dyDescent="0.25">
      <c r="D603" s="584"/>
      <c r="E603" s="584"/>
      <c r="F603" s="584"/>
      <c r="G603" s="584"/>
      <c r="H603" s="584"/>
    </row>
    <row r="604" spans="4:8" ht="15.75" customHeight="1" x14ac:dyDescent="0.25">
      <c r="D604" s="584"/>
      <c r="E604" s="584"/>
      <c r="F604" s="584"/>
      <c r="G604" s="584"/>
      <c r="H604" s="584"/>
    </row>
    <row r="605" spans="4:8" ht="15.75" customHeight="1" x14ac:dyDescent="0.25">
      <c r="D605" s="584"/>
      <c r="E605" s="584"/>
      <c r="F605" s="584"/>
      <c r="G605" s="584"/>
      <c r="H605" s="584"/>
    </row>
    <row r="606" spans="4:8" ht="15.75" customHeight="1" x14ac:dyDescent="0.25">
      <c r="D606" s="584"/>
      <c r="E606" s="584"/>
      <c r="F606" s="584"/>
      <c r="G606" s="584"/>
      <c r="H606" s="584"/>
    </row>
    <row r="607" spans="4:8" ht="15.75" customHeight="1" x14ac:dyDescent="0.25">
      <c r="D607" s="584"/>
      <c r="E607" s="584"/>
      <c r="F607" s="584"/>
      <c r="G607" s="584"/>
      <c r="H607" s="584"/>
    </row>
    <row r="608" spans="4:8" ht="15.75" customHeight="1" x14ac:dyDescent="0.25">
      <c r="D608" s="584"/>
      <c r="E608" s="584"/>
      <c r="F608" s="584"/>
      <c r="G608" s="584"/>
      <c r="H608" s="584"/>
    </row>
    <row r="609" spans="4:8" ht="15.75" customHeight="1" x14ac:dyDescent="0.25">
      <c r="D609" s="584"/>
      <c r="E609" s="584"/>
      <c r="F609" s="584"/>
      <c r="G609" s="584"/>
      <c r="H609" s="584"/>
    </row>
    <row r="610" spans="4:8" ht="15.75" customHeight="1" x14ac:dyDescent="0.25">
      <c r="D610" s="584"/>
      <c r="E610" s="584"/>
      <c r="F610" s="584"/>
      <c r="G610" s="584"/>
      <c r="H610" s="584"/>
    </row>
    <row r="611" spans="4:8" ht="15.75" customHeight="1" x14ac:dyDescent="0.25">
      <c r="D611" s="584"/>
      <c r="E611" s="584"/>
      <c r="F611" s="584"/>
      <c r="G611" s="584"/>
      <c r="H611" s="584"/>
    </row>
    <row r="612" spans="4:8" ht="15.75" customHeight="1" x14ac:dyDescent="0.25">
      <c r="D612" s="584"/>
      <c r="E612" s="584"/>
      <c r="F612" s="584"/>
      <c r="G612" s="584"/>
      <c r="H612" s="584"/>
    </row>
    <row r="613" spans="4:8" ht="15.75" customHeight="1" x14ac:dyDescent="0.25">
      <c r="D613" s="584"/>
      <c r="E613" s="584"/>
      <c r="F613" s="584"/>
      <c r="G613" s="584"/>
      <c r="H613" s="584"/>
    </row>
    <row r="614" spans="4:8" ht="15.75" customHeight="1" x14ac:dyDescent="0.25">
      <c r="D614" s="584"/>
      <c r="E614" s="584"/>
      <c r="F614" s="584"/>
      <c r="G614" s="584"/>
      <c r="H614" s="584"/>
    </row>
    <row r="615" spans="4:8" ht="15.75" customHeight="1" x14ac:dyDescent="0.25">
      <c r="D615" s="584"/>
      <c r="E615" s="584"/>
      <c r="F615" s="584"/>
      <c r="G615" s="584"/>
      <c r="H615" s="584"/>
    </row>
    <row r="616" spans="4:8" ht="15.75" customHeight="1" x14ac:dyDescent="0.25">
      <c r="D616" s="584"/>
      <c r="E616" s="584"/>
      <c r="F616" s="584"/>
      <c r="G616" s="584"/>
      <c r="H616" s="584"/>
    </row>
    <row r="617" spans="4:8" ht="15.75" customHeight="1" x14ac:dyDescent="0.25">
      <c r="D617" s="584"/>
      <c r="E617" s="584"/>
      <c r="F617" s="584"/>
      <c r="G617" s="584"/>
      <c r="H617" s="584"/>
    </row>
    <row r="618" spans="4:8" ht="15.75" customHeight="1" x14ac:dyDescent="0.25">
      <c r="D618" s="584"/>
      <c r="E618" s="584"/>
      <c r="F618" s="584"/>
      <c r="G618" s="584"/>
      <c r="H618" s="584"/>
    </row>
    <row r="619" spans="4:8" ht="15.75" customHeight="1" x14ac:dyDescent="0.25">
      <c r="D619" s="584"/>
      <c r="E619" s="584"/>
      <c r="F619" s="584"/>
      <c r="G619" s="584"/>
      <c r="H619" s="584"/>
    </row>
    <row r="620" spans="4:8" ht="15.75" customHeight="1" x14ac:dyDescent="0.25">
      <c r="D620" s="584"/>
      <c r="E620" s="584"/>
      <c r="F620" s="584"/>
      <c r="G620" s="584"/>
      <c r="H620" s="584"/>
    </row>
    <row r="621" spans="4:8" ht="15.75" customHeight="1" x14ac:dyDescent="0.25">
      <c r="D621" s="584"/>
      <c r="E621" s="584"/>
      <c r="F621" s="584"/>
      <c r="G621" s="584"/>
      <c r="H621" s="584"/>
    </row>
    <row r="622" spans="4:8" ht="15.75" customHeight="1" x14ac:dyDescent="0.25">
      <c r="D622" s="584"/>
      <c r="E622" s="584"/>
      <c r="F622" s="584"/>
      <c r="G622" s="584"/>
      <c r="H622" s="584"/>
    </row>
    <row r="623" spans="4:8" ht="15.75" customHeight="1" x14ac:dyDescent="0.25">
      <c r="D623" s="584"/>
      <c r="E623" s="584"/>
      <c r="F623" s="584"/>
      <c r="G623" s="584"/>
      <c r="H623" s="584"/>
    </row>
    <row r="624" spans="4:8" ht="15.75" customHeight="1" x14ac:dyDescent="0.25">
      <c r="D624" s="584"/>
      <c r="E624" s="584"/>
      <c r="F624" s="584"/>
      <c r="G624" s="584"/>
      <c r="H624" s="584"/>
    </row>
    <row r="625" spans="4:8" ht="15.75" customHeight="1" x14ac:dyDescent="0.25">
      <c r="D625" s="584"/>
      <c r="E625" s="584"/>
      <c r="F625" s="584"/>
      <c r="G625" s="584"/>
      <c r="H625" s="584"/>
    </row>
    <row r="626" spans="4:8" ht="15.75" customHeight="1" x14ac:dyDescent="0.25">
      <c r="D626" s="584"/>
      <c r="E626" s="584"/>
      <c r="F626" s="584"/>
      <c r="G626" s="584"/>
      <c r="H626" s="584"/>
    </row>
    <row r="627" spans="4:8" ht="15.75" customHeight="1" x14ac:dyDescent="0.25">
      <c r="D627" s="584"/>
      <c r="E627" s="584"/>
      <c r="F627" s="584"/>
      <c r="G627" s="584"/>
      <c r="H627" s="584"/>
    </row>
    <row r="628" spans="4:8" ht="15.75" customHeight="1" x14ac:dyDescent="0.25">
      <c r="D628" s="584"/>
      <c r="E628" s="584"/>
      <c r="F628" s="584"/>
      <c r="G628" s="584"/>
      <c r="H628" s="584"/>
    </row>
    <row r="629" spans="4:8" ht="15.75" customHeight="1" x14ac:dyDescent="0.25">
      <c r="D629" s="584"/>
      <c r="E629" s="584"/>
      <c r="F629" s="584"/>
      <c r="G629" s="584"/>
      <c r="H629" s="584"/>
    </row>
    <row r="630" spans="4:8" ht="15.75" customHeight="1" x14ac:dyDescent="0.25">
      <c r="D630" s="584"/>
      <c r="E630" s="584"/>
      <c r="F630" s="584"/>
      <c r="G630" s="584"/>
      <c r="H630" s="584"/>
    </row>
    <row r="631" spans="4:8" ht="15.75" customHeight="1" x14ac:dyDescent="0.25">
      <c r="D631" s="584"/>
      <c r="E631" s="584"/>
      <c r="F631" s="584"/>
      <c r="G631" s="584"/>
      <c r="H631" s="584"/>
    </row>
    <row r="632" spans="4:8" ht="15.75" customHeight="1" x14ac:dyDescent="0.25">
      <c r="D632" s="584"/>
      <c r="E632" s="584"/>
      <c r="F632" s="584"/>
      <c r="G632" s="584"/>
      <c r="H632" s="584"/>
    </row>
    <row r="633" spans="4:8" ht="15.75" customHeight="1" x14ac:dyDescent="0.25">
      <c r="D633" s="584"/>
      <c r="E633" s="584"/>
      <c r="F633" s="584"/>
      <c r="G633" s="584"/>
      <c r="H633" s="584"/>
    </row>
    <row r="634" spans="4:8" ht="15.75" customHeight="1" x14ac:dyDescent="0.25">
      <c r="D634" s="584"/>
      <c r="E634" s="584"/>
      <c r="F634" s="584"/>
      <c r="G634" s="584"/>
      <c r="H634" s="584"/>
    </row>
    <row r="635" spans="4:8" ht="15.75" customHeight="1" x14ac:dyDescent="0.25">
      <c r="D635" s="584"/>
      <c r="E635" s="584"/>
      <c r="F635" s="584"/>
      <c r="G635" s="584"/>
      <c r="H635" s="584"/>
    </row>
    <row r="636" spans="4:8" ht="15.75" customHeight="1" x14ac:dyDescent="0.25">
      <c r="D636" s="584"/>
      <c r="E636" s="584"/>
      <c r="F636" s="584"/>
      <c r="G636" s="584"/>
      <c r="H636" s="584"/>
    </row>
    <row r="637" spans="4:8" ht="15.75" customHeight="1" x14ac:dyDescent="0.25">
      <c r="D637" s="584"/>
      <c r="E637" s="584"/>
      <c r="F637" s="584"/>
      <c r="G637" s="584"/>
      <c r="H637" s="584"/>
    </row>
    <row r="638" spans="4:8" ht="15.75" customHeight="1" x14ac:dyDescent="0.25">
      <c r="D638" s="584"/>
      <c r="E638" s="584"/>
      <c r="F638" s="584"/>
      <c r="G638" s="584"/>
      <c r="H638" s="584"/>
    </row>
    <row r="639" spans="4:8" ht="15.75" customHeight="1" x14ac:dyDescent="0.25">
      <c r="D639" s="584"/>
      <c r="E639" s="584"/>
      <c r="F639" s="584"/>
      <c r="G639" s="584"/>
      <c r="H639" s="584"/>
    </row>
    <row r="640" spans="4:8" ht="15.75" customHeight="1" x14ac:dyDescent="0.25">
      <c r="D640" s="584"/>
      <c r="E640" s="584"/>
      <c r="F640" s="584"/>
      <c r="G640" s="584"/>
      <c r="H640" s="584"/>
    </row>
    <row r="641" spans="4:8" ht="15.75" customHeight="1" x14ac:dyDescent="0.25">
      <c r="D641" s="584"/>
      <c r="E641" s="584"/>
      <c r="F641" s="584"/>
      <c r="G641" s="584"/>
      <c r="H641" s="584"/>
    </row>
    <row r="642" spans="4:8" ht="15.75" customHeight="1" x14ac:dyDescent="0.25">
      <c r="D642" s="584"/>
      <c r="E642" s="584"/>
      <c r="F642" s="584"/>
      <c r="G642" s="584"/>
      <c r="H642" s="584"/>
    </row>
    <row r="643" spans="4:8" ht="15.75" customHeight="1" x14ac:dyDescent="0.25">
      <c r="D643" s="584"/>
      <c r="E643" s="584"/>
      <c r="F643" s="584"/>
      <c r="G643" s="584"/>
      <c r="H643" s="584"/>
    </row>
    <row r="644" spans="4:8" ht="15.75" customHeight="1" x14ac:dyDescent="0.25">
      <c r="D644" s="584"/>
      <c r="E644" s="584"/>
      <c r="F644" s="584"/>
      <c r="G644" s="584"/>
      <c r="H644" s="584"/>
    </row>
    <row r="645" spans="4:8" ht="15.75" customHeight="1" x14ac:dyDescent="0.25">
      <c r="D645" s="584"/>
      <c r="E645" s="584"/>
      <c r="F645" s="584"/>
      <c r="G645" s="584"/>
      <c r="H645" s="584"/>
    </row>
    <row r="646" spans="4:8" ht="15.75" customHeight="1" x14ac:dyDescent="0.25">
      <c r="D646" s="584"/>
      <c r="E646" s="584"/>
      <c r="F646" s="584"/>
      <c r="G646" s="584"/>
      <c r="H646" s="584"/>
    </row>
    <row r="647" spans="4:8" ht="15.75" customHeight="1" x14ac:dyDescent="0.25">
      <c r="D647" s="584"/>
      <c r="E647" s="584"/>
      <c r="F647" s="584"/>
      <c r="G647" s="584"/>
      <c r="H647" s="584"/>
    </row>
    <row r="648" spans="4:8" ht="15.75" customHeight="1" x14ac:dyDescent="0.25">
      <c r="D648" s="584"/>
      <c r="E648" s="584"/>
      <c r="F648" s="584"/>
      <c r="G648" s="584"/>
      <c r="H648" s="584"/>
    </row>
    <row r="649" spans="4:8" ht="15.75" customHeight="1" x14ac:dyDescent="0.25">
      <c r="D649" s="584"/>
      <c r="E649" s="584"/>
      <c r="F649" s="584"/>
      <c r="G649" s="584"/>
      <c r="H649" s="584"/>
    </row>
    <row r="650" spans="4:8" ht="15.75" customHeight="1" x14ac:dyDescent="0.25">
      <c r="D650" s="584"/>
      <c r="E650" s="584"/>
      <c r="F650" s="584"/>
      <c r="G650" s="584"/>
      <c r="H650" s="584"/>
    </row>
    <row r="651" spans="4:8" ht="15.75" customHeight="1" x14ac:dyDescent="0.25">
      <c r="D651" s="584"/>
      <c r="E651" s="584"/>
      <c r="F651" s="584"/>
      <c r="G651" s="584"/>
      <c r="H651" s="584"/>
    </row>
    <row r="652" spans="4:8" ht="15.75" customHeight="1" x14ac:dyDescent="0.25">
      <c r="D652" s="584"/>
      <c r="E652" s="584"/>
      <c r="F652" s="584"/>
      <c r="G652" s="584"/>
      <c r="H652" s="584"/>
    </row>
    <row r="653" spans="4:8" ht="15.75" customHeight="1" x14ac:dyDescent="0.25">
      <c r="D653" s="584"/>
      <c r="E653" s="584"/>
      <c r="F653" s="584"/>
      <c r="G653" s="584"/>
      <c r="H653" s="584"/>
    </row>
    <row r="654" spans="4:8" ht="15.75" customHeight="1" x14ac:dyDescent="0.25">
      <c r="D654" s="584"/>
      <c r="E654" s="584"/>
      <c r="F654" s="584"/>
      <c r="G654" s="584"/>
      <c r="H654" s="584"/>
    </row>
    <row r="655" spans="4:8" ht="15.75" customHeight="1" x14ac:dyDescent="0.25">
      <c r="D655" s="584"/>
      <c r="E655" s="584"/>
      <c r="F655" s="584"/>
      <c r="G655" s="584"/>
      <c r="H655" s="584"/>
    </row>
    <row r="656" spans="4:8" ht="15.75" customHeight="1" x14ac:dyDescent="0.25">
      <c r="D656" s="584"/>
      <c r="E656" s="584"/>
      <c r="F656" s="584"/>
      <c r="G656" s="584"/>
      <c r="H656" s="584"/>
    </row>
    <row r="657" spans="4:8" ht="15.75" customHeight="1" x14ac:dyDescent="0.25">
      <c r="D657" s="584"/>
      <c r="E657" s="584"/>
      <c r="F657" s="584"/>
      <c r="G657" s="584"/>
      <c r="H657" s="584"/>
    </row>
    <row r="658" spans="4:8" ht="15.75" customHeight="1" x14ac:dyDescent="0.25">
      <c r="D658" s="584"/>
      <c r="E658" s="584"/>
      <c r="F658" s="584"/>
      <c r="G658" s="584"/>
      <c r="H658" s="584"/>
    </row>
    <row r="659" spans="4:8" ht="15.75" customHeight="1" x14ac:dyDescent="0.25">
      <c r="D659" s="584"/>
      <c r="E659" s="584"/>
      <c r="F659" s="584"/>
      <c r="G659" s="584"/>
      <c r="H659" s="584"/>
    </row>
    <row r="660" spans="4:8" ht="15.75" customHeight="1" x14ac:dyDescent="0.25">
      <c r="D660" s="584"/>
      <c r="E660" s="584"/>
      <c r="F660" s="584"/>
      <c r="G660" s="584"/>
      <c r="H660" s="584"/>
    </row>
    <row r="661" spans="4:8" ht="15.75" customHeight="1" x14ac:dyDescent="0.25">
      <c r="D661" s="584"/>
      <c r="E661" s="584"/>
      <c r="F661" s="584"/>
      <c r="G661" s="584"/>
      <c r="H661" s="584"/>
    </row>
    <row r="662" spans="4:8" ht="15.75" customHeight="1" x14ac:dyDescent="0.25">
      <c r="D662" s="584"/>
      <c r="E662" s="584"/>
      <c r="F662" s="584"/>
      <c r="G662" s="584"/>
      <c r="H662" s="584"/>
    </row>
    <row r="663" spans="4:8" ht="15.75" customHeight="1" x14ac:dyDescent="0.25">
      <c r="D663" s="584"/>
      <c r="E663" s="584"/>
      <c r="F663" s="584"/>
      <c r="G663" s="584"/>
      <c r="H663" s="584"/>
    </row>
    <row r="664" spans="4:8" ht="15.75" customHeight="1" x14ac:dyDescent="0.25">
      <c r="D664" s="584"/>
      <c r="E664" s="584"/>
      <c r="F664" s="584"/>
      <c r="G664" s="584"/>
      <c r="H664" s="584"/>
    </row>
    <row r="665" spans="4:8" ht="15.75" customHeight="1" x14ac:dyDescent="0.25">
      <c r="D665" s="584"/>
      <c r="E665" s="584"/>
      <c r="F665" s="584"/>
      <c r="G665" s="584"/>
      <c r="H665" s="584"/>
    </row>
    <row r="666" spans="4:8" ht="15.75" customHeight="1" x14ac:dyDescent="0.25">
      <c r="D666" s="584"/>
      <c r="E666" s="584"/>
      <c r="F666" s="584"/>
      <c r="G666" s="584"/>
      <c r="H666" s="584"/>
    </row>
    <row r="667" spans="4:8" ht="15.75" customHeight="1" x14ac:dyDescent="0.25">
      <c r="D667" s="584"/>
      <c r="E667" s="584"/>
      <c r="F667" s="584"/>
      <c r="G667" s="584"/>
      <c r="H667" s="584"/>
    </row>
    <row r="668" spans="4:8" ht="15.75" customHeight="1" x14ac:dyDescent="0.25">
      <c r="D668" s="584"/>
      <c r="E668" s="584"/>
      <c r="F668" s="584"/>
      <c r="G668" s="584"/>
      <c r="H668" s="584"/>
    </row>
    <row r="669" spans="4:8" ht="15.75" customHeight="1" x14ac:dyDescent="0.25">
      <c r="D669" s="584"/>
      <c r="E669" s="584"/>
      <c r="F669" s="584"/>
      <c r="G669" s="584"/>
      <c r="H669" s="584"/>
    </row>
    <row r="670" spans="4:8" ht="15.75" customHeight="1" x14ac:dyDescent="0.25">
      <c r="D670" s="584"/>
      <c r="E670" s="584"/>
      <c r="F670" s="584"/>
      <c r="G670" s="584"/>
      <c r="H670" s="584"/>
    </row>
    <row r="671" spans="4:8" ht="15.75" customHeight="1" x14ac:dyDescent="0.25">
      <c r="D671" s="584"/>
      <c r="E671" s="584"/>
      <c r="F671" s="584"/>
      <c r="G671" s="584"/>
      <c r="H671" s="584"/>
    </row>
    <row r="672" spans="4:8" ht="15.75" customHeight="1" x14ac:dyDescent="0.25">
      <c r="D672" s="584"/>
      <c r="E672" s="584"/>
      <c r="F672" s="584"/>
      <c r="G672" s="584"/>
      <c r="H672" s="584"/>
    </row>
    <row r="673" spans="4:8" ht="15.75" customHeight="1" x14ac:dyDescent="0.25">
      <c r="D673" s="584"/>
      <c r="E673" s="584"/>
      <c r="F673" s="584"/>
      <c r="G673" s="584"/>
      <c r="H673" s="584"/>
    </row>
    <row r="674" spans="4:8" ht="15.75" customHeight="1" x14ac:dyDescent="0.25">
      <c r="D674" s="584"/>
      <c r="E674" s="584"/>
      <c r="F674" s="584"/>
      <c r="G674" s="584"/>
      <c r="H674" s="584"/>
    </row>
    <row r="675" spans="4:8" ht="15.75" customHeight="1" x14ac:dyDescent="0.25">
      <c r="D675" s="584"/>
      <c r="E675" s="584"/>
      <c r="F675" s="584"/>
      <c r="G675" s="584"/>
      <c r="H675" s="584"/>
    </row>
    <row r="676" spans="4:8" ht="15.75" customHeight="1" x14ac:dyDescent="0.25">
      <c r="D676" s="584"/>
      <c r="E676" s="584"/>
      <c r="F676" s="584"/>
      <c r="G676" s="584"/>
      <c r="H676" s="584"/>
    </row>
    <row r="677" spans="4:8" ht="15.75" customHeight="1" x14ac:dyDescent="0.25">
      <c r="D677" s="584"/>
      <c r="E677" s="584"/>
      <c r="F677" s="584"/>
      <c r="G677" s="584"/>
      <c r="H677" s="584"/>
    </row>
    <row r="678" spans="4:8" ht="15.75" customHeight="1" x14ac:dyDescent="0.25">
      <c r="D678" s="584"/>
      <c r="E678" s="584"/>
      <c r="F678" s="584"/>
      <c r="G678" s="584"/>
      <c r="H678" s="584"/>
    </row>
    <row r="679" spans="4:8" ht="15.75" customHeight="1" x14ac:dyDescent="0.25">
      <c r="D679" s="584"/>
      <c r="E679" s="584"/>
      <c r="F679" s="584"/>
      <c r="G679" s="584"/>
      <c r="H679" s="584"/>
    </row>
    <row r="680" spans="4:8" ht="15.75" customHeight="1" x14ac:dyDescent="0.25">
      <c r="D680" s="584"/>
      <c r="E680" s="584"/>
      <c r="F680" s="584"/>
      <c r="G680" s="584"/>
      <c r="H680" s="584"/>
    </row>
    <row r="681" spans="4:8" ht="15.75" customHeight="1" x14ac:dyDescent="0.25">
      <c r="D681" s="584"/>
      <c r="E681" s="584"/>
      <c r="F681" s="584"/>
      <c r="G681" s="584"/>
      <c r="H681" s="584"/>
    </row>
    <row r="682" spans="4:8" ht="15.75" customHeight="1" x14ac:dyDescent="0.25">
      <c r="D682" s="584"/>
      <c r="E682" s="584"/>
      <c r="F682" s="584"/>
      <c r="G682" s="584"/>
      <c r="H682" s="584"/>
    </row>
    <row r="683" spans="4:8" ht="15.75" customHeight="1" x14ac:dyDescent="0.25">
      <c r="D683" s="584"/>
      <c r="E683" s="584"/>
      <c r="F683" s="584"/>
      <c r="G683" s="584"/>
      <c r="H683" s="584"/>
    </row>
    <row r="684" spans="4:8" ht="15.75" customHeight="1" x14ac:dyDescent="0.25">
      <c r="D684" s="584"/>
      <c r="E684" s="584"/>
      <c r="F684" s="584"/>
      <c r="G684" s="584"/>
      <c r="H684" s="584"/>
    </row>
    <row r="685" spans="4:8" ht="15.75" customHeight="1" x14ac:dyDescent="0.25">
      <c r="D685" s="584"/>
      <c r="E685" s="584"/>
      <c r="F685" s="584"/>
      <c r="G685" s="584"/>
      <c r="H685" s="584"/>
    </row>
    <row r="686" spans="4:8" ht="15.75" customHeight="1" x14ac:dyDescent="0.25">
      <c r="D686" s="584"/>
      <c r="E686" s="584"/>
      <c r="F686" s="584"/>
      <c r="G686" s="584"/>
      <c r="H686" s="584"/>
    </row>
    <row r="687" spans="4:8" ht="15.75" customHeight="1" x14ac:dyDescent="0.25">
      <c r="D687" s="584"/>
      <c r="E687" s="584"/>
      <c r="F687" s="584"/>
      <c r="G687" s="584"/>
      <c r="H687" s="584"/>
    </row>
    <row r="688" spans="4:8" ht="15.75" customHeight="1" x14ac:dyDescent="0.25">
      <c r="D688" s="584"/>
      <c r="E688" s="584"/>
      <c r="F688" s="584"/>
      <c r="G688" s="584"/>
      <c r="H688" s="584"/>
    </row>
    <row r="689" spans="4:8" ht="15.75" customHeight="1" x14ac:dyDescent="0.25">
      <c r="D689" s="584"/>
      <c r="E689" s="584"/>
      <c r="F689" s="584"/>
      <c r="G689" s="584"/>
      <c r="H689" s="584"/>
    </row>
    <row r="690" spans="4:8" ht="15.75" customHeight="1" x14ac:dyDescent="0.25">
      <c r="D690" s="584"/>
      <c r="E690" s="584"/>
      <c r="F690" s="584"/>
      <c r="G690" s="584"/>
      <c r="H690" s="584"/>
    </row>
    <row r="691" spans="4:8" ht="15.75" customHeight="1" x14ac:dyDescent="0.25">
      <c r="D691" s="584"/>
      <c r="E691" s="584"/>
      <c r="F691" s="584"/>
      <c r="G691" s="584"/>
      <c r="H691" s="584"/>
    </row>
    <row r="692" spans="4:8" ht="15.75" customHeight="1" x14ac:dyDescent="0.25">
      <c r="D692" s="584"/>
      <c r="E692" s="584"/>
      <c r="F692" s="584"/>
      <c r="G692" s="584"/>
      <c r="H692" s="584"/>
    </row>
    <row r="693" spans="4:8" ht="15.75" customHeight="1" x14ac:dyDescent="0.25">
      <c r="D693" s="584"/>
      <c r="E693" s="584"/>
      <c r="F693" s="584"/>
      <c r="G693" s="584"/>
      <c r="H693" s="584"/>
    </row>
    <row r="694" spans="4:8" ht="15.75" customHeight="1" x14ac:dyDescent="0.25">
      <c r="D694" s="584"/>
      <c r="E694" s="584"/>
      <c r="F694" s="584"/>
      <c r="G694" s="584"/>
      <c r="H694" s="584"/>
    </row>
    <row r="695" spans="4:8" ht="15.75" customHeight="1" x14ac:dyDescent="0.25">
      <c r="D695" s="584"/>
      <c r="E695" s="584"/>
      <c r="F695" s="584"/>
      <c r="G695" s="584"/>
      <c r="H695" s="584"/>
    </row>
    <row r="696" spans="4:8" ht="15.75" customHeight="1" x14ac:dyDescent="0.25">
      <c r="D696" s="584"/>
      <c r="E696" s="584"/>
      <c r="F696" s="584"/>
      <c r="G696" s="584"/>
      <c r="H696" s="584"/>
    </row>
    <row r="697" spans="4:8" ht="15.75" customHeight="1" x14ac:dyDescent="0.25">
      <c r="D697" s="584"/>
      <c r="E697" s="584"/>
      <c r="F697" s="584"/>
      <c r="G697" s="584"/>
      <c r="H697" s="584"/>
    </row>
    <row r="698" spans="4:8" ht="15.75" customHeight="1" x14ac:dyDescent="0.25">
      <c r="D698" s="584"/>
      <c r="E698" s="584"/>
      <c r="F698" s="584"/>
      <c r="G698" s="584"/>
      <c r="H698" s="584"/>
    </row>
    <row r="699" spans="4:8" ht="15.75" customHeight="1" x14ac:dyDescent="0.25">
      <c r="D699" s="584"/>
      <c r="E699" s="584"/>
      <c r="F699" s="584"/>
      <c r="G699" s="584"/>
      <c r="H699" s="584"/>
    </row>
    <row r="700" spans="4:8" ht="15.75" customHeight="1" x14ac:dyDescent="0.25">
      <c r="D700" s="584"/>
      <c r="E700" s="584"/>
      <c r="F700" s="584"/>
      <c r="G700" s="584"/>
      <c r="H700" s="584"/>
    </row>
    <row r="701" spans="4:8" ht="15.75" customHeight="1" x14ac:dyDescent="0.25">
      <c r="D701" s="584"/>
      <c r="E701" s="584"/>
      <c r="F701" s="584"/>
      <c r="G701" s="584"/>
      <c r="H701" s="584"/>
    </row>
    <row r="702" spans="4:8" ht="15.75" customHeight="1" x14ac:dyDescent="0.25">
      <c r="D702" s="584"/>
      <c r="E702" s="584"/>
      <c r="F702" s="584"/>
      <c r="G702" s="584"/>
      <c r="H702" s="584"/>
    </row>
    <row r="703" spans="4:8" ht="15.75" customHeight="1" x14ac:dyDescent="0.25">
      <c r="D703" s="584"/>
      <c r="E703" s="584"/>
      <c r="F703" s="584"/>
      <c r="G703" s="584"/>
      <c r="H703" s="584"/>
    </row>
    <row r="704" spans="4:8" ht="15.75" customHeight="1" x14ac:dyDescent="0.25">
      <c r="D704" s="584"/>
      <c r="E704" s="584"/>
      <c r="F704" s="584"/>
      <c r="G704" s="584"/>
      <c r="H704" s="584"/>
    </row>
    <row r="705" spans="4:8" ht="15.75" customHeight="1" x14ac:dyDescent="0.25">
      <c r="D705" s="584"/>
      <c r="E705" s="584"/>
      <c r="F705" s="584"/>
      <c r="G705" s="584"/>
      <c r="H705" s="584"/>
    </row>
    <row r="706" spans="4:8" ht="15.75" customHeight="1" x14ac:dyDescent="0.25">
      <c r="D706" s="584"/>
      <c r="E706" s="584"/>
      <c r="F706" s="584"/>
      <c r="G706" s="584"/>
      <c r="H706" s="584"/>
    </row>
    <row r="707" spans="4:8" ht="15.75" customHeight="1" x14ac:dyDescent="0.25">
      <c r="D707" s="584"/>
      <c r="E707" s="584"/>
      <c r="F707" s="584"/>
      <c r="G707" s="584"/>
      <c r="H707" s="584"/>
    </row>
    <row r="708" spans="4:8" ht="15.75" customHeight="1" x14ac:dyDescent="0.25">
      <c r="D708" s="584"/>
      <c r="E708" s="584"/>
      <c r="F708" s="584"/>
      <c r="G708" s="584"/>
      <c r="H708" s="584"/>
    </row>
    <row r="709" spans="4:8" ht="15.75" customHeight="1" x14ac:dyDescent="0.25">
      <c r="D709" s="584"/>
      <c r="E709" s="584"/>
      <c r="F709" s="584"/>
      <c r="G709" s="584"/>
      <c r="H709" s="584"/>
    </row>
    <row r="710" spans="4:8" ht="15.75" customHeight="1" x14ac:dyDescent="0.25">
      <c r="D710" s="584"/>
      <c r="E710" s="584"/>
      <c r="F710" s="584"/>
      <c r="G710" s="584"/>
      <c r="H710" s="584"/>
    </row>
    <row r="711" spans="4:8" ht="15.75" customHeight="1" x14ac:dyDescent="0.25">
      <c r="D711" s="584"/>
      <c r="E711" s="584"/>
      <c r="F711" s="584"/>
      <c r="G711" s="584"/>
      <c r="H711" s="584"/>
    </row>
    <row r="712" spans="4:8" ht="15.75" customHeight="1" x14ac:dyDescent="0.25">
      <c r="D712" s="584"/>
      <c r="E712" s="584"/>
      <c r="F712" s="584"/>
      <c r="G712" s="584"/>
      <c r="H712" s="584"/>
    </row>
    <row r="713" spans="4:8" ht="15.75" customHeight="1" x14ac:dyDescent="0.25">
      <c r="D713" s="584"/>
      <c r="E713" s="584"/>
      <c r="F713" s="584"/>
      <c r="G713" s="584"/>
      <c r="H713" s="584"/>
    </row>
    <row r="714" spans="4:8" ht="15.75" customHeight="1" x14ac:dyDescent="0.25">
      <c r="D714" s="584"/>
      <c r="E714" s="584"/>
      <c r="F714" s="584"/>
      <c r="G714" s="584"/>
      <c r="H714" s="584"/>
    </row>
    <row r="715" spans="4:8" ht="15.75" customHeight="1" x14ac:dyDescent="0.25">
      <c r="D715" s="584"/>
      <c r="E715" s="584"/>
      <c r="F715" s="584"/>
      <c r="G715" s="584"/>
      <c r="H715" s="584"/>
    </row>
    <row r="716" spans="4:8" ht="15.75" customHeight="1" x14ac:dyDescent="0.25">
      <c r="D716" s="584"/>
      <c r="E716" s="584"/>
      <c r="F716" s="584"/>
      <c r="G716" s="584"/>
      <c r="H716" s="584"/>
    </row>
    <row r="717" spans="4:8" ht="15.75" customHeight="1" x14ac:dyDescent="0.25">
      <c r="D717" s="584"/>
      <c r="E717" s="584"/>
      <c r="F717" s="584"/>
      <c r="G717" s="584"/>
      <c r="H717" s="584"/>
    </row>
    <row r="718" spans="4:8" ht="15.75" customHeight="1" x14ac:dyDescent="0.25">
      <c r="D718" s="584"/>
      <c r="E718" s="584"/>
      <c r="F718" s="584"/>
      <c r="G718" s="584"/>
      <c r="H718" s="584"/>
    </row>
    <row r="719" spans="4:8" ht="15.75" customHeight="1" x14ac:dyDescent="0.25">
      <c r="D719" s="584"/>
      <c r="E719" s="584"/>
      <c r="F719" s="584"/>
      <c r="G719" s="584"/>
      <c r="H719" s="584"/>
    </row>
    <row r="720" spans="4:8" ht="15.75" customHeight="1" x14ac:dyDescent="0.25">
      <c r="D720" s="584"/>
      <c r="E720" s="584"/>
      <c r="F720" s="584"/>
      <c r="G720" s="584"/>
      <c r="H720" s="584"/>
    </row>
    <row r="721" spans="4:8" ht="15.75" customHeight="1" x14ac:dyDescent="0.25">
      <c r="D721" s="584"/>
      <c r="E721" s="584"/>
      <c r="F721" s="584"/>
      <c r="G721" s="584"/>
      <c r="H721" s="584"/>
    </row>
    <row r="722" spans="4:8" ht="15.75" customHeight="1" x14ac:dyDescent="0.25">
      <c r="D722" s="584"/>
      <c r="E722" s="584"/>
      <c r="F722" s="584"/>
      <c r="G722" s="584"/>
      <c r="H722" s="584"/>
    </row>
    <row r="723" spans="4:8" ht="15.75" customHeight="1" x14ac:dyDescent="0.25">
      <c r="D723" s="584"/>
      <c r="E723" s="584"/>
      <c r="F723" s="584"/>
      <c r="G723" s="584"/>
      <c r="H723" s="584"/>
    </row>
    <row r="724" spans="4:8" ht="15.75" customHeight="1" x14ac:dyDescent="0.25">
      <c r="D724" s="584"/>
      <c r="E724" s="584"/>
      <c r="F724" s="584"/>
      <c r="G724" s="584"/>
      <c r="H724" s="584"/>
    </row>
    <row r="725" spans="4:8" ht="15.75" customHeight="1" x14ac:dyDescent="0.25">
      <c r="D725" s="584"/>
      <c r="E725" s="584"/>
      <c r="F725" s="584"/>
      <c r="G725" s="584"/>
      <c r="H725" s="584"/>
    </row>
    <row r="726" spans="4:8" ht="15.75" customHeight="1" x14ac:dyDescent="0.25">
      <c r="D726" s="584"/>
      <c r="E726" s="584"/>
      <c r="F726" s="584"/>
      <c r="G726" s="584"/>
      <c r="H726" s="584"/>
    </row>
    <row r="727" spans="4:8" ht="15.75" customHeight="1" x14ac:dyDescent="0.25">
      <c r="D727" s="584"/>
      <c r="E727" s="584"/>
      <c r="F727" s="584"/>
      <c r="G727" s="584"/>
      <c r="H727" s="584"/>
    </row>
    <row r="728" spans="4:8" ht="15.75" customHeight="1" x14ac:dyDescent="0.25">
      <c r="D728" s="584"/>
      <c r="E728" s="584"/>
      <c r="F728" s="584"/>
      <c r="G728" s="584"/>
      <c r="H728" s="584"/>
    </row>
    <row r="729" spans="4:8" ht="15.75" customHeight="1" x14ac:dyDescent="0.25">
      <c r="D729" s="584"/>
      <c r="E729" s="584"/>
      <c r="F729" s="584"/>
      <c r="G729" s="584"/>
      <c r="H729" s="584"/>
    </row>
    <row r="730" spans="4:8" ht="15.75" customHeight="1" x14ac:dyDescent="0.25">
      <c r="D730" s="584"/>
      <c r="E730" s="584"/>
      <c r="F730" s="584"/>
      <c r="G730" s="584"/>
      <c r="H730" s="584"/>
    </row>
    <row r="731" spans="4:8" ht="15.75" customHeight="1" x14ac:dyDescent="0.25">
      <c r="D731" s="584"/>
      <c r="E731" s="584"/>
      <c r="F731" s="584"/>
      <c r="G731" s="584"/>
      <c r="H731" s="584"/>
    </row>
    <row r="732" spans="4:8" ht="15.75" customHeight="1" x14ac:dyDescent="0.25">
      <c r="D732" s="584"/>
      <c r="E732" s="584"/>
      <c r="F732" s="584"/>
      <c r="G732" s="584"/>
      <c r="H732" s="584"/>
    </row>
    <row r="733" spans="4:8" ht="15.75" customHeight="1" x14ac:dyDescent="0.25">
      <c r="D733" s="584"/>
      <c r="E733" s="584"/>
      <c r="F733" s="584"/>
      <c r="G733" s="584"/>
      <c r="H733" s="584"/>
    </row>
    <row r="734" spans="4:8" ht="15.75" customHeight="1" x14ac:dyDescent="0.25">
      <c r="D734" s="584"/>
      <c r="E734" s="584"/>
      <c r="F734" s="584"/>
      <c r="G734" s="584"/>
      <c r="H734" s="584"/>
    </row>
    <row r="735" spans="4:8" ht="15.75" customHeight="1" x14ac:dyDescent="0.25">
      <c r="D735" s="584"/>
      <c r="E735" s="584"/>
      <c r="F735" s="584"/>
      <c r="G735" s="584"/>
      <c r="H735" s="584"/>
    </row>
    <row r="736" spans="4:8" ht="15.75" customHeight="1" x14ac:dyDescent="0.25">
      <c r="D736" s="584"/>
      <c r="E736" s="584"/>
      <c r="F736" s="584"/>
      <c r="G736" s="584"/>
      <c r="H736" s="584"/>
    </row>
    <row r="737" spans="4:8" ht="15.75" customHeight="1" x14ac:dyDescent="0.25">
      <c r="D737" s="584"/>
      <c r="E737" s="584"/>
      <c r="F737" s="584"/>
      <c r="G737" s="584"/>
      <c r="H737" s="584"/>
    </row>
    <row r="738" spans="4:8" ht="15.75" customHeight="1" x14ac:dyDescent="0.25">
      <c r="D738" s="584"/>
      <c r="E738" s="584"/>
      <c r="F738" s="584"/>
      <c r="G738" s="584"/>
      <c r="H738" s="584"/>
    </row>
    <row r="739" spans="4:8" ht="15.75" customHeight="1" x14ac:dyDescent="0.25">
      <c r="D739" s="584"/>
      <c r="E739" s="584"/>
      <c r="F739" s="584"/>
      <c r="G739" s="584"/>
      <c r="H739" s="584"/>
    </row>
    <row r="740" spans="4:8" ht="15.75" customHeight="1" x14ac:dyDescent="0.25">
      <c r="D740" s="584"/>
      <c r="E740" s="584"/>
      <c r="F740" s="584"/>
      <c r="G740" s="584"/>
      <c r="H740" s="584"/>
    </row>
    <row r="741" spans="4:8" ht="15.75" customHeight="1" x14ac:dyDescent="0.25">
      <c r="D741" s="584"/>
      <c r="E741" s="584"/>
      <c r="F741" s="584"/>
      <c r="G741" s="584"/>
      <c r="H741" s="584"/>
    </row>
    <row r="742" spans="4:8" ht="15.75" customHeight="1" x14ac:dyDescent="0.25">
      <c r="D742" s="584"/>
      <c r="E742" s="584"/>
      <c r="F742" s="584"/>
      <c r="G742" s="584"/>
      <c r="H742" s="584"/>
    </row>
    <row r="743" spans="4:8" ht="15.75" customHeight="1" x14ac:dyDescent="0.25">
      <c r="D743" s="584"/>
      <c r="E743" s="584"/>
      <c r="F743" s="584"/>
      <c r="G743" s="584"/>
      <c r="H743" s="584"/>
    </row>
    <row r="744" spans="4:8" ht="15.75" customHeight="1" x14ac:dyDescent="0.25">
      <c r="D744" s="584"/>
      <c r="E744" s="584"/>
      <c r="F744" s="584"/>
      <c r="G744" s="584"/>
      <c r="H744" s="584"/>
    </row>
    <row r="745" spans="4:8" ht="15.75" customHeight="1" x14ac:dyDescent="0.25">
      <c r="D745" s="584"/>
      <c r="E745" s="584"/>
      <c r="F745" s="584"/>
      <c r="G745" s="584"/>
      <c r="H745" s="584"/>
    </row>
    <row r="746" spans="4:8" ht="15.75" customHeight="1" x14ac:dyDescent="0.25">
      <c r="D746" s="584"/>
      <c r="E746" s="584"/>
      <c r="F746" s="584"/>
      <c r="G746" s="584"/>
      <c r="H746" s="584"/>
    </row>
    <row r="747" spans="4:8" ht="15.75" customHeight="1" x14ac:dyDescent="0.25">
      <c r="D747" s="584"/>
      <c r="E747" s="584"/>
      <c r="F747" s="584"/>
      <c r="G747" s="584"/>
      <c r="H747" s="584"/>
    </row>
    <row r="748" spans="4:8" ht="15.75" customHeight="1" x14ac:dyDescent="0.25">
      <c r="D748" s="584"/>
      <c r="E748" s="584"/>
      <c r="F748" s="584"/>
      <c r="G748" s="584"/>
      <c r="H748" s="584"/>
    </row>
    <row r="749" spans="4:8" ht="15.75" customHeight="1" x14ac:dyDescent="0.25">
      <c r="D749" s="584"/>
      <c r="E749" s="584"/>
      <c r="F749" s="584"/>
      <c r="G749" s="584"/>
      <c r="H749" s="584"/>
    </row>
    <row r="750" spans="4:8" ht="15.75" customHeight="1" x14ac:dyDescent="0.25">
      <c r="D750" s="584"/>
      <c r="E750" s="584"/>
      <c r="F750" s="584"/>
      <c r="G750" s="584"/>
      <c r="H750" s="584"/>
    </row>
    <row r="751" spans="4:8" ht="15.75" customHeight="1" x14ac:dyDescent="0.25">
      <c r="D751" s="584"/>
      <c r="E751" s="584"/>
      <c r="F751" s="584"/>
      <c r="G751" s="584"/>
      <c r="H751" s="584"/>
    </row>
    <row r="752" spans="4:8" ht="15.75" customHeight="1" x14ac:dyDescent="0.25">
      <c r="D752" s="584"/>
      <c r="E752" s="584"/>
      <c r="F752" s="584"/>
      <c r="G752" s="584"/>
      <c r="H752" s="584"/>
    </row>
    <row r="753" spans="4:8" ht="15.75" customHeight="1" x14ac:dyDescent="0.25">
      <c r="D753" s="584"/>
      <c r="E753" s="584"/>
      <c r="F753" s="584"/>
      <c r="G753" s="584"/>
      <c r="H753" s="584"/>
    </row>
    <row r="754" spans="4:8" ht="15.75" customHeight="1" x14ac:dyDescent="0.25">
      <c r="D754" s="584"/>
      <c r="E754" s="584"/>
      <c r="F754" s="584"/>
      <c r="G754" s="584"/>
      <c r="H754" s="584"/>
    </row>
    <row r="755" spans="4:8" ht="15.75" customHeight="1" x14ac:dyDescent="0.25">
      <c r="D755" s="584"/>
      <c r="E755" s="584"/>
      <c r="F755" s="584"/>
      <c r="G755" s="584"/>
      <c r="H755" s="584"/>
    </row>
    <row r="756" spans="4:8" ht="15.75" customHeight="1" x14ac:dyDescent="0.25">
      <c r="D756" s="584"/>
      <c r="E756" s="584"/>
      <c r="F756" s="584"/>
      <c r="G756" s="584"/>
      <c r="H756" s="584"/>
    </row>
    <row r="757" spans="4:8" ht="15.75" customHeight="1" x14ac:dyDescent="0.25">
      <c r="D757" s="584"/>
      <c r="E757" s="584"/>
      <c r="F757" s="584"/>
      <c r="G757" s="584"/>
      <c r="H757" s="584"/>
    </row>
    <row r="758" spans="4:8" ht="15.75" customHeight="1" x14ac:dyDescent="0.25">
      <c r="D758" s="584"/>
      <c r="E758" s="584"/>
      <c r="F758" s="584"/>
      <c r="G758" s="584"/>
      <c r="H758" s="584"/>
    </row>
    <row r="759" spans="4:8" ht="15.75" customHeight="1" x14ac:dyDescent="0.25">
      <c r="D759" s="584"/>
      <c r="E759" s="584"/>
      <c r="F759" s="584"/>
      <c r="G759" s="584"/>
      <c r="H759" s="584"/>
    </row>
    <row r="760" spans="4:8" ht="15.75" customHeight="1" x14ac:dyDescent="0.25">
      <c r="D760" s="584"/>
      <c r="E760" s="584"/>
      <c r="F760" s="584"/>
      <c r="G760" s="584"/>
      <c r="H760" s="584"/>
    </row>
    <row r="761" spans="4:8" ht="15.75" customHeight="1" x14ac:dyDescent="0.25">
      <c r="D761" s="584"/>
      <c r="E761" s="584"/>
      <c r="F761" s="584"/>
      <c r="G761" s="584"/>
      <c r="H761" s="584"/>
    </row>
    <row r="762" spans="4:8" ht="15.75" customHeight="1" x14ac:dyDescent="0.25">
      <c r="D762" s="584"/>
      <c r="E762" s="584"/>
      <c r="F762" s="584"/>
      <c r="G762" s="584"/>
      <c r="H762" s="584"/>
    </row>
    <row r="763" spans="4:8" ht="15.75" customHeight="1" x14ac:dyDescent="0.25">
      <c r="D763" s="584"/>
      <c r="E763" s="584"/>
      <c r="F763" s="584"/>
      <c r="G763" s="584"/>
      <c r="H763" s="584"/>
    </row>
    <row r="764" spans="4:8" ht="15.75" customHeight="1" x14ac:dyDescent="0.25">
      <c r="D764" s="584"/>
      <c r="E764" s="584"/>
      <c r="F764" s="584"/>
      <c r="G764" s="584"/>
      <c r="H764" s="584"/>
    </row>
    <row r="765" spans="4:8" ht="15.75" customHeight="1" x14ac:dyDescent="0.25">
      <c r="D765" s="584"/>
      <c r="E765" s="584"/>
      <c r="F765" s="584"/>
      <c r="G765" s="584"/>
      <c r="H765" s="584"/>
    </row>
    <row r="766" spans="4:8" ht="15.75" customHeight="1" x14ac:dyDescent="0.25">
      <c r="D766" s="584"/>
      <c r="E766" s="584"/>
      <c r="F766" s="584"/>
      <c r="G766" s="584"/>
      <c r="H766" s="584"/>
    </row>
    <row r="767" spans="4:8" ht="15.75" customHeight="1" x14ac:dyDescent="0.25">
      <c r="D767" s="584"/>
      <c r="E767" s="584"/>
      <c r="F767" s="584"/>
      <c r="G767" s="584"/>
      <c r="H767" s="584"/>
    </row>
    <row r="768" spans="4:8" ht="15.75" customHeight="1" x14ac:dyDescent="0.25">
      <c r="D768" s="584"/>
      <c r="E768" s="584"/>
      <c r="F768" s="584"/>
      <c r="G768" s="584"/>
      <c r="H768" s="584"/>
    </row>
    <row r="769" spans="4:8" ht="15.75" customHeight="1" x14ac:dyDescent="0.25">
      <c r="D769" s="584"/>
      <c r="E769" s="584"/>
      <c r="F769" s="584"/>
      <c r="G769" s="584"/>
      <c r="H769" s="584"/>
    </row>
    <row r="770" spans="4:8" ht="15.75" customHeight="1" x14ac:dyDescent="0.25">
      <c r="D770" s="584"/>
      <c r="E770" s="584"/>
      <c r="F770" s="584"/>
      <c r="G770" s="584"/>
      <c r="H770" s="584"/>
    </row>
    <row r="771" spans="4:8" ht="15.75" customHeight="1" x14ac:dyDescent="0.25">
      <c r="D771" s="584"/>
      <c r="E771" s="584"/>
      <c r="F771" s="584"/>
      <c r="G771" s="584"/>
      <c r="H771" s="584"/>
    </row>
    <row r="772" spans="4:8" ht="15.75" customHeight="1" x14ac:dyDescent="0.25">
      <c r="D772" s="584"/>
      <c r="E772" s="584"/>
      <c r="F772" s="584"/>
      <c r="G772" s="584"/>
      <c r="H772" s="584"/>
    </row>
    <row r="773" spans="4:8" ht="15.75" customHeight="1" x14ac:dyDescent="0.25">
      <c r="D773" s="584"/>
      <c r="E773" s="584"/>
      <c r="F773" s="584"/>
      <c r="G773" s="584"/>
      <c r="H773" s="584"/>
    </row>
    <row r="774" spans="4:8" ht="15.75" customHeight="1" x14ac:dyDescent="0.25">
      <c r="D774" s="584"/>
      <c r="E774" s="584"/>
      <c r="F774" s="584"/>
      <c r="G774" s="584"/>
      <c r="H774" s="584"/>
    </row>
    <row r="775" spans="4:8" ht="15.75" customHeight="1" x14ac:dyDescent="0.25">
      <c r="D775" s="584"/>
      <c r="E775" s="584"/>
      <c r="F775" s="584"/>
      <c r="G775" s="584"/>
      <c r="H775" s="584"/>
    </row>
    <row r="776" spans="4:8" ht="15.75" customHeight="1" x14ac:dyDescent="0.25">
      <c r="D776" s="584"/>
      <c r="E776" s="584"/>
      <c r="F776" s="584"/>
      <c r="G776" s="584"/>
      <c r="H776" s="584"/>
    </row>
    <row r="777" spans="4:8" ht="15.75" customHeight="1" x14ac:dyDescent="0.25">
      <c r="D777" s="584"/>
      <c r="E777" s="584"/>
      <c r="F777" s="584"/>
      <c r="G777" s="584"/>
      <c r="H777" s="584"/>
    </row>
    <row r="778" spans="4:8" ht="15.75" customHeight="1" x14ac:dyDescent="0.25">
      <c r="D778" s="584"/>
      <c r="E778" s="584"/>
      <c r="F778" s="584"/>
      <c r="G778" s="584"/>
      <c r="H778" s="584"/>
    </row>
    <row r="779" spans="4:8" ht="15.75" customHeight="1" x14ac:dyDescent="0.25">
      <c r="D779" s="584"/>
      <c r="E779" s="584"/>
      <c r="F779" s="584"/>
      <c r="G779" s="584"/>
      <c r="H779" s="584"/>
    </row>
    <row r="780" spans="4:8" ht="15.75" customHeight="1" x14ac:dyDescent="0.25">
      <c r="D780" s="584"/>
      <c r="E780" s="584"/>
      <c r="F780" s="584"/>
      <c r="G780" s="584"/>
      <c r="H780" s="584"/>
    </row>
    <row r="781" spans="4:8" ht="15.75" customHeight="1" x14ac:dyDescent="0.25">
      <c r="D781" s="584"/>
      <c r="E781" s="584"/>
      <c r="F781" s="584"/>
      <c r="G781" s="584"/>
      <c r="H781" s="584"/>
    </row>
    <row r="782" spans="4:8" ht="15.75" customHeight="1" x14ac:dyDescent="0.25">
      <c r="D782" s="584"/>
      <c r="E782" s="584"/>
      <c r="F782" s="584"/>
      <c r="G782" s="584"/>
      <c r="H782" s="584"/>
    </row>
    <row r="783" spans="4:8" ht="15.75" customHeight="1" x14ac:dyDescent="0.25">
      <c r="D783" s="584"/>
      <c r="E783" s="584"/>
      <c r="F783" s="584"/>
      <c r="G783" s="584"/>
      <c r="H783" s="584"/>
    </row>
    <row r="784" spans="4:8" ht="15.75" customHeight="1" x14ac:dyDescent="0.25">
      <c r="D784" s="584"/>
      <c r="E784" s="584"/>
      <c r="F784" s="584"/>
      <c r="G784" s="584"/>
      <c r="H784" s="584"/>
    </row>
    <row r="785" spans="4:8" ht="15.75" customHeight="1" x14ac:dyDescent="0.25">
      <c r="D785" s="584"/>
      <c r="E785" s="584"/>
      <c r="F785" s="584"/>
      <c r="G785" s="584"/>
      <c r="H785" s="584"/>
    </row>
    <row r="786" spans="4:8" ht="15.75" customHeight="1" x14ac:dyDescent="0.25">
      <c r="D786" s="584"/>
      <c r="E786" s="584"/>
      <c r="F786" s="584"/>
      <c r="G786" s="584"/>
      <c r="H786" s="584"/>
    </row>
    <row r="787" spans="4:8" ht="15.75" customHeight="1" x14ac:dyDescent="0.25">
      <c r="D787" s="584"/>
      <c r="E787" s="584"/>
      <c r="F787" s="584"/>
      <c r="G787" s="584"/>
      <c r="H787" s="584"/>
    </row>
    <row r="788" spans="4:8" ht="15.75" customHeight="1" x14ac:dyDescent="0.25">
      <c r="D788" s="584"/>
      <c r="E788" s="584"/>
      <c r="F788" s="584"/>
      <c r="G788" s="584"/>
      <c r="H788" s="584"/>
    </row>
    <row r="789" spans="4:8" ht="15.75" customHeight="1" x14ac:dyDescent="0.25">
      <c r="D789" s="584"/>
      <c r="E789" s="584"/>
      <c r="F789" s="584"/>
      <c r="G789" s="584"/>
      <c r="H789" s="584"/>
    </row>
    <row r="790" spans="4:8" ht="15.75" customHeight="1" x14ac:dyDescent="0.25">
      <c r="D790" s="584"/>
      <c r="E790" s="584"/>
      <c r="F790" s="584"/>
      <c r="G790" s="584"/>
      <c r="H790" s="584"/>
    </row>
    <row r="791" spans="4:8" ht="15.75" customHeight="1" x14ac:dyDescent="0.25">
      <c r="D791" s="584"/>
      <c r="E791" s="584"/>
      <c r="F791" s="584"/>
      <c r="G791" s="584"/>
      <c r="H791" s="584"/>
    </row>
    <row r="792" spans="4:8" ht="15.75" customHeight="1" x14ac:dyDescent="0.25">
      <c r="D792" s="584"/>
      <c r="E792" s="584"/>
      <c r="F792" s="584"/>
      <c r="G792" s="584"/>
      <c r="H792" s="584"/>
    </row>
    <row r="793" spans="4:8" ht="15.75" customHeight="1" x14ac:dyDescent="0.25">
      <c r="D793" s="584"/>
      <c r="E793" s="584"/>
      <c r="F793" s="584"/>
      <c r="G793" s="584"/>
      <c r="H793" s="584"/>
    </row>
    <row r="794" spans="4:8" ht="15.75" customHeight="1" x14ac:dyDescent="0.25">
      <c r="D794" s="584"/>
      <c r="E794" s="584"/>
      <c r="F794" s="584"/>
      <c r="G794" s="584"/>
      <c r="H794" s="584"/>
    </row>
    <row r="795" spans="4:8" ht="15.75" customHeight="1" x14ac:dyDescent="0.25">
      <c r="D795" s="584"/>
      <c r="E795" s="584"/>
      <c r="F795" s="584"/>
      <c r="G795" s="584"/>
      <c r="H795" s="584"/>
    </row>
    <row r="796" spans="4:8" ht="15.75" customHeight="1" x14ac:dyDescent="0.25">
      <c r="D796" s="584"/>
      <c r="E796" s="584"/>
      <c r="F796" s="584"/>
      <c r="G796" s="584"/>
      <c r="H796" s="584"/>
    </row>
    <row r="797" spans="4:8" ht="15.75" customHeight="1" x14ac:dyDescent="0.25">
      <c r="D797" s="584"/>
      <c r="E797" s="584"/>
      <c r="F797" s="584"/>
      <c r="G797" s="584"/>
      <c r="H797" s="584"/>
    </row>
    <row r="798" spans="4:8" ht="15.75" customHeight="1" x14ac:dyDescent="0.25">
      <c r="D798" s="584"/>
      <c r="E798" s="584"/>
      <c r="F798" s="584"/>
      <c r="G798" s="584"/>
      <c r="H798" s="584"/>
    </row>
    <row r="799" spans="4:8" ht="15.75" customHeight="1" x14ac:dyDescent="0.25">
      <c r="D799" s="584"/>
      <c r="E799" s="584"/>
      <c r="F799" s="584"/>
      <c r="G799" s="584"/>
      <c r="H799" s="584"/>
    </row>
    <row r="800" spans="4:8" ht="15.75" customHeight="1" x14ac:dyDescent="0.25">
      <c r="D800" s="584"/>
      <c r="E800" s="584"/>
      <c r="F800" s="584"/>
      <c r="G800" s="584"/>
      <c r="H800" s="584"/>
    </row>
    <row r="801" spans="4:8" ht="15.75" customHeight="1" x14ac:dyDescent="0.25">
      <c r="D801" s="584"/>
      <c r="E801" s="584"/>
      <c r="F801" s="584"/>
      <c r="G801" s="584"/>
      <c r="H801" s="584"/>
    </row>
    <row r="802" spans="4:8" ht="15.75" customHeight="1" x14ac:dyDescent="0.25">
      <c r="D802" s="584"/>
      <c r="E802" s="584"/>
      <c r="F802" s="584"/>
      <c r="G802" s="584"/>
      <c r="H802" s="584"/>
    </row>
    <row r="803" spans="4:8" ht="15.75" customHeight="1" x14ac:dyDescent="0.25">
      <c r="D803" s="584"/>
      <c r="E803" s="584"/>
      <c r="F803" s="584"/>
      <c r="G803" s="584"/>
      <c r="H803" s="584"/>
    </row>
    <row r="804" spans="4:8" ht="15.75" customHeight="1" x14ac:dyDescent="0.25">
      <c r="D804" s="584"/>
      <c r="E804" s="584"/>
      <c r="F804" s="584"/>
      <c r="G804" s="584"/>
      <c r="H804" s="584"/>
    </row>
    <row r="805" spans="4:8" ht="15.75" customHeight="1" x14ac:dyDescent="0.25">
      <c r="D805" s="584"/>
      <c r="E805" s="584"/>
      <c r="F805" s="584"/>
      <c r="G805" s="584"/>
      <c r="H805" s="584"/>
    </row>
    <row r="806" spans="4:8" ht="15.75" customHeight="1" x14ac:dyDescent="0.25">
      <c r="D806" s="584"/>
      <c r="E806" s="584"/>
      <c r="F806" s="584"/>
      <c r="G806" s="584"/>
      <c r="H806" s="584"/>
    </row>
    <row r="807" spans="4:8" ht="15.75" customHeight="1" x14ac:dyDescent="0.25">
      <c r="D807" s="584"/>
      <c r="E807" s="584"/>
      <c r="F807" s="584"/>
      <c r="G807" s="584"/>
      <c r="H807" s="584"/>
    </row>
    <row r="808" spans="4:8" ht="15.75" customHeight="1" x14ac:dyDescent="0.25">
      <c r="D808" s="584"/>
      <c r="E808" s="584"/>
      <c r="F808" s="584"/>
      <c r="G808" s="584"/>
      <c r="H808" s="584"/>
    </row>
    <row r="809" spans="4:8" ht="15.75" customHeight="1" x14ac:dyDescent="0.25">
      <c r="D809" s="584"/>
      <c r="E809" s="584"/>
      <c r="F809" s="584"/>
      <c r="G809" s="584"/>
      <c r="H809" s="584"/>
    </row>
    <row r="810" spans="4:8" ht="15.75" customHeight="1" x14ac:dyDescent="0.25">
      <c r="D810" s="584"/>
      <c r="E810" s="584"/>
      <c r="F810" s="584"/>
      <c r="G810" s="584"/>
      <c r="H810" s="584"/>
    </row>
    <row r="811" spans="4:8" ht="15.75" customHeight="1" x14ac:dyDescent="0.25">
      <c r="D811" s="584"/>
      <c r="E811" s="584"/>
      <c r="F811" s="584"/>
      <c r="G811" s="584"/>
      <c r="H811" s="584"/>
    </row>
    <row r="812" spans="4:8" ht="15.75" customHeight="1" x14ac:dyDescent="0.25">
      <c r="D812" s="584"/>
      <c r="E812" s="584"/>
      <c r="F812" s="584"/>
      <c r="G812" s="584"/>
      <c r="H812" s="584"/>
    </row>
    <row r="813" spans="4:8" ht="15.75" customHeight="1" x14ac:dyDescent="0.25">
      <c r="D813" s="584"/>
      <c r="E813" s="584"/>
      <c r="F813" s="584"/>
      <c r="G813" s="584"/>
      <c r="H813" s="584"/>
    </row>
    <row r="814" spans="4:8" ht="15.75" customHeight="1" x14ac:dyDescent="0.25">
      <c r="D814" s="584"/>
      <c r="E814" s="584"/>
      <c r="F814" s="584"/>
      <c r="G814" s="584"/>
      <c r="H814" s="584"/>
    </row>
    <row r="815" spans="4:8" ht="15.75" customHeight="1" x14ac:dyDescent="0.25">
      <c r="D815" s="584"/>
      <c r="E815" s="584"/>
      <c r="F815" s="584"/>
      <c r="G815" s="584"/>
      <c r="H815" s="584"/>
    </row>
    <row r="816" spans="4:8" ht="15.75" customHeight="1" x14ac:dyDescent="0.25">
      <c r="D816" s="584"/>
      <c r="E816" s="584"/>
      <c r="F816" s="584"/>
      <c r="G816" s="584"/>
      <c r="H816" s="584"/>
    </row>
    <row r="817" spans="4:8" ht="15.75" customHeight="1" x14ac:dyDescent="0.25">
      <c r="D817" s="584"/>
      <c r="E817" s="584"/>
      <c r="F817" s="584"/>
      <c r="G817" s="584"/>
      <c r="H817" s="584"/>
    </row>
    <row r="818" spans="4:8" ht="15.75" customHeight="1" x14ac:dyDescent="0.25">
      <c r="D818" s="584"/>
      <c r="E818" s="584"/>
      <c r="F818" s="584"/>
      <c r="G818" s="584"/>
      <c r="H818" s="584"/>
    </row>
    <row r="819" spans="4:8" ht="15.75" customHeight="1" x14ac:dyDescent="0.25">
      <c r="D819" s="584"/>
      <c r="E819" s="584"/>
      <c r="F819" s="584"/>
      <c r="G819" s="584"/>
      <c r="H819" s="584"/>
    </row>
    <row r="820" spans="4:8" ht="15.75" customHeight="1" x14ac:dyDescent="0.25">
      <c r="D820" s="584"/>
      <c r="E820" s="584"/>
      <c r="F820" s="584"/>
      <c r="G820" s="584"/>
      <c r="H820" s="584"/>
    </row>
    <row r="821" spans="4:8" ht="15.75" customHeight="1" x14ac:dyDescent="0.25">
      <c r="D821" s="584"/>
      <c r="E821" s="584"/>
      <c r="F821" s="584"/>
      <c r="G821" s="584"/>
      <c r="H821" s="584"/>
    </row>
    <row r="822" spans="4:8" ht="15.75" customHeight="1" x14ac:dyDescent="0.25">
      <c r="D822" s="584"/>
      <c r="E822" s="584"/>
      <c r="F822" s="584"/>
      <c r="G822" s="584"/>
      <c r="H822" s="584"/>
    </row>
    <row r="823" spans="4:8" ht="15.75" customHeight="1" x14ac:dyDescent="0.25">
      <c r="D823" s="584"/>
      <c r="E823" s="584"/>
      <c r="F823" s="584"/>
      <c r="G823" s="584"/>
      <c r="H823" s="584"/>
    </row>
    <row r="824" spans="4:8" ht="15.75" customHeight="1" x14ac:dyDescent="0.25">
      <c r="D824" s="584"/>
      <c r="E824" s="584"/>
      <c r="F824" s="584"/>
      <c r="G824" s="584"/>
      <c r="H824" s="584"/>
    </row>
    <row r="825" spans="4:8" ht="15.75" customHeight="1" x14ac:dyDescent="0.25">
      <c r="D825" s="584"/>
      <c r="E825" s="584"/>
      <c r="F825" s="584"/>
      <c r="G825" s="584"/>
      <c r="H825" s="584"/>
    </row>
    <row r="826" spans="4:8" ht="15.75" customHeight="1" x14ac:dyDescent="0.25">
      <c r="D826" s="584"/>
      <c r="E826" s="584"/>
      <c r="F826" s="584"/>
      <c r="G826" s="584"/>
      <c r="H826" s="584"/>
    </row>
    <row r="827" spans="4:8" ht="15.75" customHeight="1" x14ac:dyDescent="0.25">
      <c r="D827" s="584"/>
      <c r="E827" s="584"/>
      <c r="F827" s="584"/>
      <c r="G827" s="584"/>
      <c r="H827" s="584"/>
    </row>
    <row r="828" spans="4:8" ht="15.75" customHeight="1" x14ac:dyDescent="0.25">
      <c r="D828" s="584"/>
      <c r="E828" s="584"/>
      <c r="F828" s="584"/>
      <c r="G828" s="584"/>
      <c r="H828" s="584"/>
    </row>
    <row r="829" spans="4:8" ht="15.75" customHeight="1" x14ac:dyDescent="0.25">
      <c r="D829" s="584"/>
      <c r="E829" s="584"/>
      <c r="F829" s="584"/>
      <c r="G829" s="584"/>
      <c r="H829" s="584"/>
    </row>
    <row r="830" spans="4:8" ht="15.75" customHeight="1" x14ac:dyDescent="0.25">
      <c r="D830" s="584"/>
      <c r="E830" s="584"/>
      <c r="F830" s="584"/>
      <c r="G830" s="584"/>
      <c r="H830" s="584"/>
    </row>
    <row r="831" spans="4:8" ht="15.75" customHeight="1" x14ac:dyDescent="0.25">
      <c r="D831" s="584"/>
      <c r="E831" s="584"/>
      <c r="F831" s="584"/>
      <c r="G831" s="584"/>
      <c r="H831" s="584"/>
    </row>
    <row r="832" spans="4:8" ht="15.75" customHeight="1" x14ac:dyDescent="0.25">
      <c r="D832" s="584"/>
      <c r="E832" s="584"/>
      <c r="F832" s="584"/>
      <c r="G832" s="584"/>
      <c r="H832" s="584"/>
    </row>
    <row r="833" spans="4:8" ht="15.75" customHeight="1" x14ac:dyDescent="0.25">
      <c r="D833" s="584"/>
      <c r="E833" s="584"/>
      <c r="F833" s="584"/>
      <c r="G833" s="584"/>
      <c r="H833" s="584"/>
    </row>
    <row r="834" spans="4:8" ht="15.75" customHeight="1" x14ac:dyDescent="0.25">
      <c r="D834" s="584"/>
      <c r="E834" s="584"/>
      <c r="F834" s="584"/>
      <c r="G834" s="584"/>
      <c r="H834" s="584"/>
    </row>
    <row r="835" spans="4:8" ht="15.75" customHeight="1" x14ac:dyDescent="0.25">
      <c r="D835" s="584"/>
      <c r="E835" s="584"/>
      <c r="F835" s="584"/>
      <c r="G835" s="584"/>
      <c r="H835" s="584"/>
    </row>
    <row r="836" spans="4:8" ht="15.75" customHeight="1" x14ac:dyDescent="0.25">
      <c r="D836" s="584"/>
      <c r="E836" s="584"/>
      <c r="F836" s="584"/>
      <c r="G836" s="584"/>
      <c r="H836" s="584"/>
    </row>
    <row r="837" spans="4:8" ht="15.75" customHeight="1" x14ac:dyDescent="0.25">
      <c r="D837" s="584"/>
      <c r="E837" s="584"/>
      <c r="F837" s="584"/>
      <c r="G837" s="584"/>
      <c r="H837" s="584"/>
    </row>
    <row r="838" spans="4:8" ht="15.75" customHeight="1" x14ac:dyDescent="0.25">
      <c r="D838" s="584"/>
      <c r="E838" s="584"/>
      <c r="F838" s="584"/>
      <c r="G838" s="584"/>
      <c r="H838" s="584"/>
    </row>
    <row r="839" spans="4:8" ht="15.75" customHeight="1" x14ac:dyDescent="0.25">
      <c r="D839" s="584"/>
      <c r="E839" s="584"/>
      <c r="F839" s="584"/>
      <c r="G839" s="584"/>
      <c r="H839" s="584"/>
    </row>
    <row r="840" spans="4:8" ht="15.75" customHeight="1" x14ac:dyDescent="0.25">
      <c r="D840" s="584"/>
      <c r="E840" s="584"/>
      <c r="F840" s="584"/>
      <c r="G840" s="584"/>
      <c r="H840" s="584"/>
    </row>
    <row r="841" spans="4:8" ht="15.75" customHeight="1" x14ac:dyDescent="0.25">
      <c r="D841" s="584"/>
      <c r="E841" s="584"/>
      <c r="F841" s="584"/>
      <c r="G841" s="584"/>
      <c r="H841" s="584"/>
    </row>
    <row r="842" spans="4:8" ht="15.75" customHeight="1" x14ac:dyDescent="0.25">
      <c r="D842" s="584"/>
      <c r="E842" s="584"/>
      <c r="F842" s="584"/>
      <c r="G842" s="584"/>
      <c r="H842" s="584"/>
    </row>
    <row r="843" spans="4:8" ht="15.75" customHeight="1" x14ac:dyDescent="0.25">
      <c r="D843" s="584"/>
      <c r="E843" s="584"/>
      <c r="F843" s="584"/>
      <c r="G843" s="584"/>
      <c r="H843" s="584"/>
    </row>
    <row r="844" spans="4:8" ht="15.75" customHeight="1" x14ac:dyDescent="0.25">
      <c r="D844" s="584"/>
      <c r="E844" s="584"/>
      <c r="F844" s="584"/>
      <c r="G844" s="584"/>
      <c r="H844" s="584"/>
    </row>
    <row r="845" spans="4:8" ht="15.75" customHeight="1" x14ac:dyDescent="0.25">
      <c r="D845" s="584"/>
      <c r="E845" s="584"/>
      <c r="F845" s="584"/>
      <c r="G845" s="584"/>
      <c r="H845" s="584"/>
    </row>
    <row r="846" spans="4:8" ht="15.75" customHeight="1" x14ac:dyDescent="0.25">
      <c r="D846" s="584"/>
      <c r="E846" s="584"/>
      <c r="F846" s="584"/>
      <c r="G846" s="584"/>
      <c r="H846" s="584"/>
    </row>
    <row r="847" spans="4:8" ht="15.75" customHeight="1" x14ac:dyDescent="0.25">
      <c r="D847" s="584"/>
      <c r="E847" s="584"/>
      <c r="F847" s="584"/>
      <c r="G847" s="584"/>
      <c r="H847" s="584"/>
    </row>
    <row r="848" spans="4:8" ht="15.75" customHeight="1" x14ac:dyDescent="0.25">
      <c r="D848" s="584"/>
      <c r="E848" s="584"/>
      <c r="F848" s="584"/>
      <c r="G848" s="584"/>
      <c r="H848" s="584"/>
    </row>
    <row r="849" spans="4:8" ht="15.75" customHeight="1" x14ac:dyDescent="0.25">
      <c r="D849" s="584"/>
      <c r="E849" s="584"/>
      <c r="F849" s="584"/>
      <c r="G849" s="584"/>
      <c r="H849" s="584"/>
    </row>
    <row r="850" spans="4:8" ht="15.75" customHeight="1" x14ac:dyDescent="0.25">
      <c r="D850" s="584"/>
      <c r="E850" s="584"/>
      <c r="F850" s="584"/>
      <c r="G850" s="584"/>
      <c r="H850" s="584"/>
    </row>
    <row r="851" spans="4:8" ht="15.75" customHeight="1" x14ac:dyDescent="0.25">
      <c r="D851" s="584"/>
      <c r="E851" s="584"/>
      <c r="F851" s="584"/>
      <c r="G851" s="584"/>
      <c r="H851" s="584"/>
    </row>
    <row r="852" spans="4:8" ht="15.75" customHeight="1" x14ac:dyDescent="0.25">
      <c r="D852" s="584"/>
      <c r="E852" s="584"/>
      <c r="F852" s="584"/>
      <c r="G852" s="584"/>
      <c r="H852" s="584"/>
    </row>
    <row r="853" spans="4:8" ht="15.75" customHeight="1" x14ac:dyDescent="0.25">
      <c r="D853" s="584"/>
      <c r="E853" s="584"/>
      <c r="F853" s="584"/>
      <c r="G853" s="584"/>
      <c r="H853" s="584"/>
    </row>
    <row r="854" spans="4:8" ht="15.75" customHeight="1" x14ac:dyDescent="0.25">
      <c r="D854" s="584"/>
      <c r="E854" s="584"/>
      <c r="F854" s="584"/>
      <c r="G854" s="584"/>
      <c r="H854" s="584"/>
    </row>
    <row r="855" spans="4:8" ht="15.75" customHeight="1" x14ac:dyDescent="0.25">
      <c r="D855" s="584"/>
      <c r="E855" s="584"/>
      <c r="F855" s="584"/>
      <c r="G855" s="584"/>
      <c r="H855" s="584"/>
    </row>
    <row r="856" spans="4:8" ht="15.75" customHeight="1" x14ac:dyDescent="0.25">
      <c r="D856" s="584"/>
      <c r="E856" s="584"/>
      <c r="F856" s="584"/>
      <c r="G856" s="584"/>
      <c r="H856" s="584"/>
    </row>
    <row r="857" spans="4:8" ht="15.75" customHeight="1" x14ac:dyDescent="0.25">
      <c r="D857" s="584"/>
      <c r="E857" s="584"/>
      <c r="F857" s="584"/>
      <c r="G857" s="584"/>
      <c r="H857" s="584"/>
    </row>
    <row r="858" spans="4:8" ht="15.75" customHeight="1" x14ac:dyDescent="0.25">
      <c r="D858" s="584"/>
      <c r="E858" s="584"/>
      <c r="F858" s="584"/>
      <c r="G858" s="584"/>
      <c r="H858" s="584"/>
    </row>
    <row r="859" spans="4:8" ht="15.75" customHeight="1" x14ac:dyDescent="0.25">
      <c r="D859" s="584"/>
      <c r="E859" s="584"/>
      <c r="F859" s="584"/>
      <c r="G859" s="584"/>
      <c r="H859" s="584"/>
    </row>
    <row r="860" spans="4:8" ht="15.75" customHeight="1" x14ac:dyDescent="0.25">
      <c r="D860" s="584"/>
      <c r="E860" s="584"/>
      <c r="F860" s="584"/>
      <c r="G860" s="584"/>
      <c r="H860" s="584"/>
    </row>
    <row r="861" spans="4:8" ht="15.75" customHeight="1" x14ac:dyDescent="0.25">
      <c r="D861" s="584"/>
      <c r="E861" s="584"/>
      <c r="F861" s="584"/>
      <c r="G861" s="584"/>
      <c r="H861" s="584"/>
    </row>
    <row r="862" spans="4:8" ht="15.75" customHeight="1" x14ac:dyDescent="0.25">
      <c r="D862" s="584"/>
      <c r="E862" s="584"/>
      <c r="F862" s="584"/>
      <c r="G862" s="584"/>
      <c r="H862" s="584"/>
    </row>
    <row r="863" spans="4:8" ht="15.75" customHeight="1" x14ac:dyDescent="0.25">
      <c r="D863" s="584"/>
      <c r="E863" s="584"/>
      <c r="F863" s="584"/>
      <c r="G863" s="584"/>
      <c r="H863" s="584"/>
    </row>
    <row r="864" spans="4:8" ht="15.75" customHeight="1" x14ac:dyDescent="0.25">
      <c r="D864" s="584"/>
      <c r="E864" s="584"/>
      <c r="F864" s="584"/>
      <c r="G864" s="584"/>
      <c r="H864" s="584"/>
    </row>
    <row r="865" spans="4:8" ht="15.75" customHeight="1" x14ac:dyDescent="0.25">
      <c r="D865" s="584"/>
      <c r="E865" s="584"/>
      <c r="F865" s="584"/>
      <c r="G865" s="584"/>
      <c r="H865" s="584"/>
    </row>
    <row r="866" spans="4:8" ht="15.75" customHeight="1" x14ac:dyDescent="0.25">
      <c r="D866" s="584"/>
      <c r="E866" s="584"/>
      <c r="F866" s="584"/>
      <c r="G866" s="584"/>
      <c r="H866" s="584"/>
    </row>
    <row r="867" spans="4:8" ht="15.75" customHeight="1" x14ac:dyDescent="0.25">
      <c r="D867" s="584"/>
      <c r="E867" s="584"/>
      <c r="F867" s="584"/>
      <c r="G867" s="584"/>
      <c r="H867" s="584"/>
    </row>
    <row r="868" spans="4:8" ht="15.75" customHeight="1" x14ac:dyDescent="0.25">
      <c r="D868" s="584"/>
      <c r="E868" s="584"/>
      <c r="F868" s="584"/>
      <c r="G868" s="584"/>
      <c r="H868" s="584"/>
    </row>
    <row r="869" spans="4:8" ht="15.75" customHeight="1" x14ac:dyDescent="0.25">
      <c r="D869" s="584"/>
      <c r="E869" s="584"/>
      <c r="F869" s="584"/>
      <c r="G869" s="584"/>
      <c r="H869" s="584"/>
    </row>
    <row r="870" spans="4:8" ht="15.75" customHeight="1" x14ac:dyDescent="0.25">
      <c r="D870" s="584"/>
      <c r="E870" s="584"/>
      <c r="F870" s="584"/>
      <c r="G870" s="584"/>
      <c r="H870" s="584"/>
    </row>
    <row r="871" spans="4:8" ht="15.75" customHeight="1" x14ac:dyDescent="0.25">
      <c r="D871" s="584"/>
      <c r="E871" s="584"/>
      <c r="F871" s="584"/>
      <c r="G871" s="584"/>
      <c r="H871" s="584"/>
    </row>
    <row r="872" spans="4:8" ht="15.75" customHeight="1" x14ac:dyDescent="0.25">
      <c r="D872" s="584"/>
      <c r="E872" s="584"/>
      <c r="F872" s="584"/>
      <c r="G872" s="584"/>
      <c r="H872" s="584"/>
    </row>
    <row r="873" spans="4:8" ht="15.75" customHeight="1" x14ac:dyDescent="0.25">
      <c r="D873" s="584"/>
      <c r="E873" s="584"/>
      <c r="F873" s="584"/>
      <c r="G873" s="584"/>
      <c r="H873" s="584"/>
    </row>
    <row r="874" spans="4:8" ht="15.75" customHeight="1" x14ac:dyDescent="0.25">
      <c r="D874" s="584"/>
      <c r="E874" s="584"/>
      <c r="F874" s="584"/>
      <c r="G874" s="584"/>
      <c r="H874" s="584"/>
    </row>
    <row r="875" spans="4:8" ht="15.75" customHeight="1" x14ac:dyDescent="0.25">
      <c r="D875" s="584"/>
      <c r="E875" s="584"/>
      <c r="F875" s="584"/>
      <c r="G875" s="584"/>
      <c r="H875" s="584"/>
    </row>
    <row r="876" spans="4:8" ht="15.75" customHeight="1" x14ac:dyDescent="0.25">
      <c r="D876" s="584"/>
      <c r="E876" s="584"/>
      <c r="F876" s="584"/>
      <c r="G876" s="584"/>
      <c r="H876" s="584"/>
    </row>
    <row r="877" spans="4:8" ht="15.75" customHeight="1" x14ac:dyDescent="0.25">
      <c r="D877" s="584"/>
      <c r="E877" s="584"/>
      <c r="F877" s="584"/>
      <c r="G877" s="584"/>
      <c r="H877" s="584"/>
    </row>
    <row r="878" spans="4:8" ht="15.75" customHeight="1" x14ac:dyDescent="0.25">
      <c r="D878" s="584"/>
      <c r="E878" s="584"/>
      <c r="F878" s="584"/>
      <c r="G878" s="584"/>
      <c r="H878" s="584"/>
    </row>
    <row r="879" spans="4:8" ht="15.75" customHeight="1" x14ac:dyDescent="0.25">
      <c r="D879" s="584"/>
      <c r="E879" s="584"/>
      <c r="F879" s="584"/>
      <c r="G879" s="584"/>
      <c r="H879" s="584"/>
    </row>
    <row r="880" spans="4:8" ht="15.75" customHeight="1" x14ac:dyDescent="0.25">
      <c r="D880" s="584"/>
      <c r="E880" s="584"/>
      <c r="F880" s="584"/>
      <c r="G880" s="584"/>
      <c r="H880" s="584"/>
    </row>
    <row r="881" spans="4:8" ht="15.75" customHeight="1" x14ac:dyDescent="0.25">
      <c r="D881" s="584"/>
      <c r="E881" s="584"/>
      <c r="F881" s="584"/>
      <c r="G881" s="584"/>
      <c r="H881" s="584"/>
    </row>
    <row r="882" spans="4:8" ht="15.75" customHeight="1" x14ac:dyDescent="0.25">
      <c r="D882" s="584"/>
      <c r="E882" s="584"/>
      <c r="F882" s="584"/>
      <c r="G882" s="584"/>
      <c r="H882" s="584"/>
    </row>
    <row r="883" spans="4:8" ht="15.75" customHeight="1" x14ac:dyDescent="0.25">
      <c r="D883" s="584"/>
      <c r="E883" s="584"/>
      <c r="F883" s="584"/>
      <c r="G883" s="584"/>
      <c r="H883" s="584"/>
    </row>
    <row r="884" spans="4:8" ht="15.75" customHeight="1" x14ac:dyDescent="0.25">
      <c r="D884" s="584"/>
      <c r="E884" s="584"/>
      <c r="F884" s="584"/>
      <c r="G884" s="584"/>
      <c r="H884" s="584"/>
    </row>
    <row r="885" spans="4:8" ht="15.75" customHeight="1" x14ac:dyDescent="0.25">
      <c r="D885" s="584"/>
      <c r="E885" s="584"/>
      <c r="F885" s="584"/>
      <c r="G885" s="584"/>
      <c r="H885" s="584"/>
    </row>
    <row r="886" spans="4:8" ht="15.75" customHeight="1" x14ac:dyDescent="0.25">
      <c r="D886" s="584"/>
      <c r="E886" s="584"/>
      <c r="F886" s="584"/>
      <c r="G886" s="584"/>
      <c r="H886" s="584"/>
    </row>
    <row r="887" spans="4:8" ht="15.75" customHeight="1" x14ac:dyDescent="0.25">
      <c r="D887" s="584"/>
      <c r="E887" s="584"/>
      <c r="F887" s="584"/>
      <c r="G887" s="584"/>
      <c r="H887" s="584"/>
    </row>
    <row r="888" spans="4:8" ht="15.75" customHeight="1" x14ac:dyDescent="0.25">
      <c r="D888" s="584"/>
      <c r="E888" s="584"/>
      <c r="F888" s="584"/>
      <c r="G888" s="584"/>
      <c r="H888" s="584"/>
    </row>
    <row r="889" spans="4:8" ht="15.75" customHeight="1" x14ac:dyDescent="0.25">
      <c r="D889" s="584"/>
      <c r="E889" s="584"/>
      <c r="F889" s="584"/>
      <c r="G889" s="584"/>
      <c r="H889" s="584"/>
    </row>
    <row r="890" spans="4:8" ht="15.75" customHeight="1" x14ac:dyDescent="0.25">
      <c r="D890" s="584"/>
      <c r="E890" s="584"/>
      <c r="F890" s="584"/>
      <c r="G890" s="584"/>
      <c r="H890" s="584"/>
    </row>
    <row r="891" spans="4:8" ht="15.75" customHeight="1" x14ac:dyDescent="0.25">
      <c r="D891" s="584"/>
      <c r="E891" s="584"/>
      <c r="F891" s="584"/>
      <c r="G891" s="584"/>
      <c r="H891" s="584"/>
    </row>
    <row r="892" spans="4:8" ht="15.75" customHeight="1" x14ac:dyDescent="0.25">
      <c r="D892" s="584"/>
      <c r="E892" s="584"/>
      <c r="F892" s="584"/>
      <c r="G892" s="584"/>
      <c r="H892" s="584"/>
    </row>
    <row r="893" spans="4:8" ht="15.75" customHeight="1" x14ac:dyDescent="0.25">
      <c r="D893" s="584"/>
      <c r="E893" s="584"/>
      <c r="F893" s="584"/>
      <c r="G893" s="584"/>
      <c r="H893" s="584"/>
    </row>
    <row r="894" spans="4:8" ht="15.75" customHeight="1" x14ac:dyDescent="0.25">
      <c r="D894" s="584"/>
      <c r="E894" s="584"/>
      <c r="F894" s="584"/>
      <c r="G894" s="584"/>
      <c r="H894" s="584"/>
    </row>
    <row r="895" spans="4:8" ht="15.75" customHeight="1" x14ac:dyDescent="0.25">
      <c r="D895" s="584"/>
      <c r="E895" s="584"/>
      <c r="F895" s="584"/>
      <c r="G895" s="584"/>
      <c r="H895" s="584"/>
    </row>
    <row r="896" spans="4:8" ht="15.75" customHeight="1" x14ac:dyDescent="0.25">
      <c r="D896" s="584"/>
      <c r="E896" s="584"/>
      <c r="F896" s="584"/>
      <c r="G896" s="584"/>
      <c r="H896" s="584"/>
    </row>
    <row r="897" spans="4:8" ht="15.75" customHeight="1" x14ac:dyDescent="0.25">
      <c r="D897" s="584"/>
      <c r="E897" s="584"/>
      <c r="F897" s="584"/>
      <c r="G897" s="584"/>
      <c r="H897" s="584"/>
    </row>
    <row r="898" spans="4:8" ht="15.75" customHeight="1" x14ac:dyDescent="0.25">
      <c r="D898" s="584"/>
      <c r="E898" s="584"/>
      <c r="F898" s="584"/>
      <c r="G898" s="584"/>
      <c r="H898" s="584"/>
    </row>
    <row r="899" spans="4:8" ht="15.75" customHeight="1" x14ac:dyDescent="0.25">
      <c r="D899" s="584"/>
      <c r="E899" s="584"/>
      <c r="F899" s="584"/>
      <c r="G899" s="584"/>
      <c r="H899" s="584"/>
    </row>
    <row r="900" spans="4:8" ht="15.75" customHeight="1" x14ac:dyDescent="0.25">
      <c r="D900" s="584"/>
      <c r="E900" s="584"/>
      <c r="F900" s="584"/>
      <c r="G900" s="584"/>
      <c r="H900" s="584"/>
    </row>
    <row r="901" spans="4:8" ht="15.75" customHeight="1" x14ac:dyDescent="0.25">
      <c r="D901" s="584"/>
      <c r="E901" s="584"/>
      <c r="F901" s="584"/>
      <c r="G901" s="584"/>
      <c r="H901" s="584"/>
    </row>
    <row r="902" spans="4:8" ht="15.75" customHeight="1" x14ac:dyDescent="0.25">
      <c r="D902" s="584"/>
      <c r="E902" s="584"/>
      <c r="F902" s="584"/>
      <c r="G902" s="584"/>
      <c r="H902" s="584"/>
    </row>
    <row r="903" spans="4:8" ht="15.75" customHeight="1" x14ac:dyDescent="0.25">
      <c r="D903" s="584"/>
      <c r="E903" s="584"/>
      <c r="F903" s="584"/>
      <c r="G903" s="584"/>
      <c r="H903" s="584"/>
    </row>
    <row r="904" spans="4:8" ht="15.75" customHeight="1" x14ac:dyDescent="0.25">
      <c r="D904" s="584"/>
      <c r="E904" s="584"/>
      <c r="F904" s="584"/>
      <c r="G904" s="584"/>
      <c r="H904" s="584"/>
    </row>
    <row r="905" spans="4:8" ht="15.75" customHeight="1" x14ac:dyDescent="0.25">
      <c r="D905" s="584"/>
      <c r="E905" s="584"/>
      <c r="F905" s="584"/>
      <c r="G905" s="584"/>
      <c r="H905" s="584"/>
    </row>
    <row r="906" spans="4:8" ht="15.75" customHeight="1" x14ac:dyDescent="0.25">
      <c r="D906" s="584"/>
      <c r="E906" s="584"/>
      <c r="F906" s="584"/>
      <c r="G906" s="584"/>
      <c r="H906" s="584"/>
    </row>
    <row r="907" spans="4:8" ht="15.75" customHeight="1" x14ac:dyDescent="0.25">
      <c r="D907" s="584"/>
      <c r="E907" s="584"/>
      <c r="F907" s="584"/>
      <c r="G907" s="584"/>
      <c r="H907" s="584"/>
    </row>
    <row r="908" spans="4:8" ht="15.75" customHeight="1" x14ac:dyDescent="0.25">
      <c r="D908" s="584"/>
      <c r="E908" s="584"/>
      <c r="F908" s="584"/>
      <c r="G908" s="584"/>
      <c r="H908" s="584"/>
    </row>
    <row r="909" spans="4:8" ht="15.75" customHeight="1" x14ac:dyDescent="0.25">
      <c r="D909" s="584"/>
      <c r="E909" s="584"/>
      <c r="F909" s="584"/>
      <c r="G909" s="584"/>
      <c r="H909" s="584"/>
    </row>
    <row r="910" spans="4:8" ht="15.75" customHeight="1" x14ac:dyDescent="0.25">
      <c r="D910" s="584"/>
      <c r="E910" s="584"/>
      <c r="F910" s="584"/>
      <c r="G910" s="584"/>
      <c r="H910" s="584"/>
    </row>
    <row r="911" spans="4:8" ht="15.75" customHeight="1" x14ac:dyDescent="0.25">
      <c r="D911" s="584"/>
      <c r="E911" s="584"/>
      <c r="F911" s="584"/>
      <c r="G911" s="584"/>
      <c r="H911" s="584"/>
    </row>
    <row r="912" spans="4:8" ht="15.75" customHeight="1" x14ac:dyDescent="0.25">
      <c r="D912" s="584"/>
      <c r="E912" s="584"/>
      <c r="F912" s="584"/>
      <c r="G912" s="584"/>
      <c r="H912" s="584"/>
    </row>
    <row r="913" spans="4:8" ht="15.75" customHeight="1" x14ac:dyDescent="0.25">
      <c r="D913" s="584"/>
      <c r="E913" s="584"/>
      <c r="F913" s="584"/>
      <c r="G913" s="584"/>
      <c r="H913" s="584"/>
    </row>
    <row r="914" spans="4:8" ht="15.75" customHeight="1" x14ac:dyDescent="0.25">
      <c r="D914" s="584"/>
      <c r="E914" s="584"/>
      <c r="F914" s="584"/>
      <c r="G914" s="584"/>
      <c r="H914" s="584"/>
    </row>
    <row r="915" spans="4:8" ht="15.75" customHeight="1" x14ac:dyDescent="0.25">
      <c r="D915" s="584"/>
      <c r="E915" s="584"/>
      <c r="F915" s="584"/>
      <c r="G915" s="584"/>
      <c r="H915" s="584"/>
    </row>
    <row r="916" spans="4:8" ht="15.75" customHeight="1" x14ac:dyDescent="0.25">
      <c r="D916" s="584"/>
      <c r="E916" s="584"/>
      <c r="F916" s="584"/>
      <c r="G916" s="584"/>
      <c r="H916" s="584"/>
    </row>
    <row r="917" spans="4:8" ht="15.75" customHeight="1" x14ac:dyDescent="0.25">
      <c r="D917" s="584"/>
      <c r="E917" s="584"/>
      <c r="F917" s="584"/>
      <c r="G917" s="584"/>
      <c r="H917" s="584"/>
    </row>
    <row r="918" spans="4:8" ht="15.75" customHeight="1" x14ac:dyDescent="0.25">
      <c r="D918" s="584"/>
      <c r="E918" s="584"/>
      <c r="F918" s="584"/>
      <c r="G918" s="584"/>
      <c r="H918" s="584"/>
    </row>
    <row r="919" spans="4:8" ht="15.75" customHeight="1" x14ac:dyDescent="0.25">
      <c r="D919" s="584"/>
      <c r="E919" s="584"/>
      <c r="F919" s="584"/>
      <c r="G919" s="584"/>
      <c r="H919" s="584"/>
    </row>
    <row r="920" spans="4:8" ht="15.75" customHeight="1" x14ac:dyDescent="0.25">
      <c r="D920" s="584"/>
      <c r="E920" s="584"/>
      <c r="F920" s="584"/>
      <c r="G920" s="584"/>
      <c r="H920" s="584"/>
    </row>
    <row r="921" spans="4:8" ht="15.75" customHeight="1" x14ac:dyDescent="0.25">
      <c r="D921" s="584"/>
      <c r="E921" s="584"/>
      <c r="F921" s="584"/>
      <c r="G921" s="584"/>
      <c r="H921" s="584"/>
    </row>
    <row r="922" spans="4:8" ht="15.75" customHeight="1" x14ac:dyDescent="0.25">
      <c r="D922" s="584"/>
      <c r="E922" s="584"/>
      <c r="F922" s="584"/>
      <c r="G922" s="584"/>
      <c r="H922" s="584"/>
    </row>
    <row r="923" spans="4:8" ht="15.75" customHeight="1" x14ac:dyDescent="0.25">
      <c r="D923" s="584"/>
      <c r="E923" s="584"/>
      <c r="F923" s="584"/>
      <c r="G923" s="584"/>
      <c r="H923" s="584"/>
    </row>
    <row r="924" spans="4:8" ht="15.75" customHeight="1" x14ac:dyDescent="0.25">
      <c r="D924" s="584"/>
      <c r="E924" s="584"/>
      <c r="F924" s="584"/>
      <c r="G924" s="584"/>
      <c r="H924" s="584"/>
    </row>
    <row r="925" spans="4:8" ht="15.75" customHeight="1" x14ac:dyDescent="0.25">
      <c r="D925" s="584"/>
      <c r="E925" s="584"/>
      <c r="F925" s="584"/>
      <c r="G925" s="584"/>
      <c r="H925" s="584"/>
    </row>
    <row r="926" spans="4:8" ht="15.75" customHeight="1" x14ac:dyDescent="0.25">
      <c r="D926" s="584"/>
      <c r="E926" s="584"/>
      <c r="F926" s="584"/>
      <c r="G926" s="584"/>
      <c r="H926" s="584"/>
    </row>
    <row r="927" spans="4:8" ht="15.75" customHeight="1" x14ac:dyDescent="0.25">
      <c r="D927" s="584"/>
      <c r="E927" s="584"/>
      <c r="F927" s="584"/>
      <c r="G927" s="584"/>
      <c r="H927" s="584"/>
    </row>
    <row r="928" spans="4:8" ht="15.75" customHeight="1" x14ac:dyDescent="0.25">
      <c r="D928" s="584"/>
      <c r="E928" s="584"/>
      <c r="F928" s="584"/>
      <c r="G928" s="584"/>
      <c r="H928" s="584"/>
    </row>
    <row r="929" spans="4:8" ht="15.75" customHeight="1" x14ac:dyDescent="0.25">
      <c r="D929" s="584"/>
      <c r="E929" s="584"/>
      <c r="F929" s="584"/>
      <c r="G929" s="584"/>
      <c r="H929" s="584"/>
    </row>
    <row r="930" spans="4:8" ht="15.75" customHeight="1" x14ac:dyDescent="0.25">
      <c r="D930" s="584"/>
      <c r="E930" s="584"/>
      <c r="F930" s="584"/>
      <c r="G930" s="584"/>
      <c r="H930" s="584"/>
    </row>
    <row r="931" spans="4:8" ht="15.75" customHeight="1" x14ac:dyDescent="0.25">
      <c r="D931" s="584"/>
      <c r="E931" s="584"/>
      <c r="F931" s="584"/>
      <c r="G931" s="584"/>
      <c r="H931" s="584"/>
    </row>
    <row r="932" spans="4:8" ht="15.75" customHeight="1" x14ac:dyDescent="0.25">
      <c r="D932" s="584"/>
      <c r="E932" s="584"/>
      <c r="F932" s="584"/>
      <c r="G932" s="584"/>
      <c r="H932" s="584"/>
    </row>
    <row r="933" spans="4:8" ht="15.75" customHeight="1" x14ac:dyDescent="0.25">
      <c r="D933" s="584"/>
      <c r="E933" s="584"/>
      <c r="F933" s="584"/>
      <c r="G933" s="584"/>
      <c r="H933" s="584"/>
    </row>
    <row r="934" spans="4:8" ht="15.75" customHeight="1" x14ac:dyDescent="0.25">
      <c r="D934" s="584"/>
      <c r="E934" s="584"/>
      <c r="F934" s="584"/>
      <c r="G934" s="584"/>
      <c r="H934" s="584"/>
    </row>
    <row r="935" spans="4:8" ht="15.75" customHeight="1" x14ac:dyDescent="0.25">
      <c r="D935" s="584"/>
      <c r="E935" s="584"/>
      <c r="F935" s="584"/>
      <c r="G935" s="584"/>
      <c r="H935" s="584"/>
    </row>
    <row r="936" spans="4:8" ht="15.75" customHeight="1" x14ac:dyDescent="0.25">
      <c r="D936" s="584"/>
      <c r="E936" s="584"/>
      <c r="F936" s="584"/>
      <c r="G936" s="584"/>
      <c r="H936" s="584"/>
    </row>
    <row r="937" spans="4:8" ht="15.75" customHeight="1" x14ac:dyDescent="0.25">
      <c r="D937" s="584"/>
      <c r="E937" s="584"/>
      <c r="F937" s="584"/>
      <c r="G937" s="584"/>
      <c r="H937" s="584"/>
    </row>
    <row r="938" spans="4:8" ht="15.75" customHeight="1" x14ac:dyDescent="0.25">
      <c r="D938" s="584"/>
      <c r="E938" s="584"/>
      <c r="F938" s="584"/>
      <c r="G938" s="584"/>
      <c r="H938" s="584"/>
    </row>
    <row r="939" spans="4:8" ht="15.75" customHeight="1" x14ac:dyDescent="0.25">
      <c r="D939" s="584"/>
      <c r="E939" s="584"/>
      <c r="F939" s="584"/>
      <c r="G939" s="584"/>
      <c r="H939" s="584"/>
    </row>
    <row r="940" spans="4:8" ht="15.75" customHeight="1" x14ac:dyDescent="0.25">
      <c r="D940" s="584"/>
      <c r="E940" s="584"/>
      <c r="F940" s="584"/>
      <c r="G940" s="584"/>
      <c r="H940" s="584"/>
    </row>
    <row r="941" spans="4:8" ht="15.75" customHeight="1" x14ac:dyDescent="0.25">
      <c r="D941" s="584"/>
      <c r="E941" s="584"/>
      <c r="F941" s="584"/>
      <c r="G941" s="584"/>
      <c r="H941" s="584"/>
    </row>
    <row r="942" spans="4:8" ht="15.75" customHeight="1" x14ac:dyDescent="0.25">
      <c r="D942" s="584"/>
      <c r="E942" s="584"/>
      <c r="F942" s="584"/>
      <c r="G942" s="584"/>
      <c r="H942" s="584"/>
    </row>
    <row r="943" spans="4:8" ht="15.75" customHeight="1" x14ac:dyDescent="0.25">
      <c r="D943" s="584"/>
      <c r="E943" s="584"/>
      <c r="F943" s="584"/>
      <c r="G943" s="584"/>
      <c r="H943" s="584"/>
    </row>
    <row r="944" spans="4:8" ht="15.75" customHeight="1" x14ac:dyDescent="0.25">
      <c r="D944" s="584"/>
      <c r="E944" s="584"/>
      <c r="F944" s="584"/>
      <c r="G944" s="584"/>
      <c r="H944" s="584"/>
    </row>
    <row r="945" spans="4:8" ht="15.75" customHeight="1" x14ac:dyDescent="0.25">
      <c r="D945" s="584"/>
      <c r="E945" s="584"/>
      <c r="F945" s="584"/>
      <c r="G945" s="584"/>
      <c r="H945" s="584"/>
    </row>
    <row r="946" spans="4:8" ht="15.75" customHeight="1" x14ac:dyDescent="0.25">
      <c r="D946" s="584"/>
      <c r="E946" s="584"/>
      <c r="F946" s="584"/>
      <c r="G946" s="584"/>
      <c r="H946" s="584"/>
    </row>
    <row r="947" spans="4:8" ht="15.75" customHeight="1" x14ac:dyDescent="0.25">
      <c r="D947" s="584"/>
      <c r="E947" s="584"/>
      <c r="F947" s="584"/>
      <c r="G947" s="584"/>
      <c r="H947" s="584"/>
    </row>
    <row r="948" spans="4:8" ht="15.75" customHeight="1" x14ac:dyDescent="0.25">
      <c r="D948" s="584"/>
      <c r="E948" s="584"/>
      <c r="F948" s="584"/>
      <c r="G948" s="584"/>
      <c r="H948" s="584"/>
    </row>
    <row r="949" spans="4:8" ht="15.75" customHeight="1" x14ac:dyDescent="0.25">
      <c r="D949" s="584"/>
      <c r="E949" s="584"/>
      <c r="F949" s="584"/>
      <c r="G949" s="584"/>
      <c r="H949" s="584"/>
    </row>
    <row r="950" spans="4:8" ht="15.75" customHeight="1" x14ac:dyDescent="0.25">
      <c r="D950" s="584"/>
      <c r="E950" s="584"/>
      <c r="F950" s="584"/>
      <c r="G950" s="584"/>
      <c r="H950" s="584"/>
    </row>
    <row r="951" spans="4:8" ht="15.75" customHeight="1" x14ac:dyDescent="0.25">
      <c r="D951" s="584"/>
      <c r="E951" s="584"/>
      <c r="F951" s="584"/>
      <c r="G951" s="584"/>
      <c r="H951" s="584"/>
    </row>
    <row r="952" spans="4:8" ht="15.75" customHeight="1" x14ac:dyDescent="0.25">
      <c r="D952" s="584"/>
      <c r="E952" s="584"/>
      <c r="F952" s="584"/>
      <c r="G952" s="584"/>
      <c r="H952" s="584"/>
    </row>
    <row r="953" spans="4:8" ht="15.75" customHeight="1" x14ac:dyDescent="0.25">
      <c r="D953" s="584"/>
      <c r="E953" s="584"/>
      <c r="F953" s="584"/>
      <c r="G953" s="584"/>
      <c r="H953" s="584"/>
    </row>
    <row r="954" spans="4:8" ht="15.75" customHeight="1" x14ac:dyDescent="0.25">
      <c r="D954" s="584"/>
      <c r="E954" s="584"/>
      <c r="F954" s="584"/>
      <c r="G954" s="584"/>
      <c r="H954" s="584"/>
    </row>
    <row r="955" spans="4:8" ht="15.75" customHeight="1" x14ac:dyDescent="0.25">
      <c r="D955" s="584"/>
      <c r="E955" s="584"/>
      <c r="F955" s="584"/>
      <c r="G955" s="584"/>
      <c r="H955" s="584"/>
    </row>
    <row r="956" spans="4:8" ht="15.75" customHeight="1" x14ac:dyDescent="0.25">
      <c r="D956" s="584"/>
      <c r="E956" s="584"/>
      <c r="F956" s="584"/>
      <c r="G956" s="584"/>
      <c r="H956" s="584"/>
    </row>
    <row r="957" spans="4:8" ht="15.75" customHeight="1" x14ac:dyDescent="0.25">
      <c r="D957" s="584"/>
      <c r="E957" s="584"/>
      <c r="F957" s="584"/>
      <c r="G957" s="584"/>
      <c r="H957" s="584"/>
    </row>
    <row r="958" spans="4:8" ht="15.75" customHeight="1" x14ac:dyDescent="0.25">
      <c r="D958" s="584"/>
      <c r="E958" s="584"/>
      <c r="F958" s="584"/>
      <c r="G958" s="584"/>
      <c r="H958" s="584"/>
    </row>
    <row r="959" spans="4:8" ht="15.75" customHeight="1" x14ac:dyDescent="0.25">
      <c r="D959" s="584"/>
      <c r="E959" s="584"/>
      <c r="F959" s="584"/>
      <c r="G959" s="584"/>
      <c r="H959" s="584"/>
    </row>
    <row r="960" spans="4:8" ht="15.75" customHeight="1" x14ac:dyDescent="0.25">
      <c r="D960" s="584"/>
      <c r="E960" s="584"/>
      <c r="F960" s="584"/>
      <c r="G960" s="584"/>
      <c r="H960" s="584"/>
    </row>
    <row r="961" spans="4:8" ht="15.75" customHeight="1" x14ac:dyDescent="0.25">
      <c r="D961" s="584"/>
      <c r="E961" s="584"/>
      <c r="F961" s="584"/>
      <c r="G961" s="584"/>
      <c r="H961" s="584"/>
    </row>
    <row r="962" spans="4:8" ht="15.75" customHeight="1" x14ac:dyDescent="0.25">
      <c r="D962" s="584"/>
      <c r="E962" s="584"/>
      <c r="F962" s="584"/>
      <c r="G962" s="584"/>
      <c r="H962" s="584"/>
    </row>
    <row r="963" spans="4:8" ht="15.75" customHeight="1" x14ac:dyDescent="0.25">
      <c r="D963" s="584"/>
      <c r="E963" s="584"/>
      <c r="F963" s="584"/>
      <c r="G963" s="584"/>
      <c r="H963" s="584"/>
    </row>
    <row r="964" spans="4:8" ht="15.75" customHeight="1" x14ac:dyDescent="0.25">
      <c r="D964" s="584"/>
      <c r="E964" s="584"/>
      <c r="F964" s="584"/>
      <c r="G964" s="584"/>
      <c r="H964" s="584"/>
    </row>
    <row r="965" spans="4:8" ht="15.75" customHeight="1" x14ac:dyDescent="0.25">
      <c r="D965" s="584"/>
      <c r="E965" s="584"/>
      <c r="F965" s="584"/>
      <c r="G965" s="584"/>
      <c r="H965" s="584"/>
    </row>
    <row r="966" spans="4:8" ht="15.75" customHeight="1" x14ac:dyDescent="0.25">
      <c r="D966" s="584"/>
      <c r="E966" s="584"/>
      <c r="F966" s="584"/>
      <c r="G966" s="584"/>
      <c r="H966" s="584"/>
    </row>
    <row r="967" spans="4:8" ht="15.75" customHeight="1" x14ac:dyDescent="0.25">
      <c r="D967" s="584"/>
      <c r="E967" s="584"/>
      <c r="F967" s="584"/>
      <c r="G967" s="584"/>
      <c r="H967" s="584"/>
    </row>
    <row r="968" spans="4:8" ht="15.75" customHeight="1" x14ac:dyDescent="0.25">
      <c r="D968" s="584"/>
      <c r="E968" s="584"/>
      <c r="F968" s="584"/>
      <c r="G968" s="584"/>
      <c r="H968" s="584"/>
    </row>
    <row r="969" spans="4:8" ht="15.75" customHeight="1" x14ac:dyDescent="0.25">
      <c r="D969" s="584"/>
      <c r="E969" s="584"/>
      <c r="F969" s="584"/>
      <c r="G969" s="584"/>
      <c r="H969" s="584"/>
    </row>
    <row r="970" spans="4:8" ht="15.75" customHeight="1" x14ac:dyDescent="0.25">
      <c r="D970" s="584"/>
      <c r="E970" s="584"/>
      <c r="F970" s="584"/>
      <c r="G970" s="584"/>
      <c r="H970" s="584"/>
    </row>
    <row r="971" spans="4:8" ht="15.75" customHeight="1" x14ac:dyDescent="0.25">
      <c r="D971" s="584"/>
      <c r="E971" s="584"/>
      <c r="F971" s="584"/>
      <c r="G971" s="584"/>
      <c r="H971" s="584"/>
    </row>
    <row r="972" spans="4:8" ht="15.75" customHeight="1" x14ac:dyDescent="0.25">
      <c r="D972" s="584"/>
      <c r="E972" s="584"/>
      <c r="F972" s="584"/>
      <c r="G972" s="584"/>
      <c r="H972" s="584"/>
    </row>
    <row r="973" spans="4:8" ht="15.75" customHeight="1" x14ac:dyDescent="0.25">
      <c r="D973" s="584"/>
      <c r="E973" s="584"/>
      <c r="F973" s="584"/>
      <c r="G973" s="584"/>
      <c r="H973" s="584"/>
    </row>
    <row r="974" spans="4:8" ht="15.75" customHeight="1" x14ac:dyDescent="0.25">
      <c r="D974" s="584"/>
      <c r="E974" s="584"/>
      <c r="F974" s="584"/>
      <c r="G974" s="584"/>
      <c r="H974" s="584"/>
    </row>
    <row r="975" spans="4:8" ht="15.75" customHeight="1" x14ac:dyDescent="0.25">
      <c r="D975" s="584"/>
      <c r="E975" s="584"/>
      <c r="F975" s="584"/>
      <c r="G975" s="584"/>
      <c r="H975" s="584"/>
    </row>
    <row r="976" spans="4:8" ht="15.75" customHeight="1" x14ac:dyDescent="0.25">
      <c r="D976" s="584"/>
      <c r="E976" s="584"/>
      <c r="F976" s="584"/>
      <c r="G976" s="584"/>
      <c r="H976" s="584"/>
    </row>
    <row r="977" spans="4:8" ht="15.75" customHeight="1" x14ac:dyDescent="0.25">
      <c r="D977" s="584"/>
      <c r="E977" s="584"/>
      <c r="F977" s="584"/>
      <c r="G977" s="584"/>
      <c r="H977" s="584"/>
    </row>
    <row r="978" spans="4:8" ht="15.75" customHeight="1" x14ac:dyDescent="0.25">
      <c r="D978" s="584"/>
      <c r="E978" s="584"/>
      <c r="F978" s="584"/>
      <c r="G978" s="584"/>
      <c r="H978" s="584"/>
    </row>
    <row r="979" spans="4:8" ht="15.75" customHeight="1" x14ac:dyDescent="0.25">
      <c r="D979" s="584"/>
      <c r="E979" s="584"/>
      <c r="F979" s="584"/>
      <c r="G979" s="584"/>
      <c r="H979" s="584"/>
    </row>
    <row r="980" spans="4:8" ht="15.75" customHeight="1" x14ac:dyDescent="0.25">
      <c r="D980" s="584"/>
      <c r="E980" s="584"/>
      <c r="F980" s="584"/>
      <c r="G980" s="584"/>
      <c r="H980" s="584"/>
    </row>
    <row r="981" spans="4:8" ht="15.75" customHeight="1" x14ac:dyDescent="0.25">
      <c r="D981" s="584"/>
      <c r="E981" s="584"/>
      <c r="F981" s="584"/>
      <c r="G981" s="584"/>
      <c r="H981" s="584"/>
    </row>
    <row r="982" spans="4:8" ht="15.75" customHeight="1" x14ac:dyDescent="0.25">
      <c r="D982" s="584"/>
      <c r="E982" s="584"/>
      <c r="F982" s="584"/>
      <c r="G982" s="584"/>
      <c r="H982" s="584"/>
    </row>
    <row r="983" spans="4:8" ht="15.75" customHeight="1" x14ac:dyDescent="0.25">
      <c r="D983" s="584"/>
      <c r="E983" s="584"/>
      <c r="F983" s="584"/>
      <c r="G983" s="584"/>
      <c r="H983" s="584"/>
    </row>
    <row r="984" spans="4:8" ht="15.75" customHeight="1" x14ac:dyDescent="0.25">
      <c r="D984" s="584"/>
      <c r="E984" s="584"/>
      <c r="F984" s="584"/>
      <c r="G984" s="584"/>
      <c r="H984" s="584"/>
    </row>
    <row r="985" spans="4:8" ht="15.75" customHeight="1" x14ac:dyDescent="0.25">
      <c r="D985" s="584"/>
      <c r="E985" s="584"/>
      <c r="F985" s="584"/>
      <c r="G985" s="584"/>
      <c r="H985" s="584"/>
    </row>
    <row r="986" spans="4:8" ht="15.75" customHeight="1" x14ac:dyDescent="0.25">
      <c r="D986" s="584"/>
      <c r="E986" s="584"/>
      <c r="F986" s="584"/>
      <c r="G986" s="584"/>
      <c r="H986" s="584"/>
    </row>
    <row r="987" spans="4:8" ht="15.75" customHeight="1" x14ac:dyDescent="0.25">
      <c r="D987" s="584"/>
      <c r="E987" s="584"/>
      <c r="F987" s="584"/>
      <c r="G987" s="584"/>
      <c r="H987" s="584"/>
    </row>
    <row r="988" spans="4:8" ht="15.75" customHeight="1" x14ac:dyDescent="0.25">
      <c r="D988" s="584"/>
      <c r="E988" s="584"/>
      <c r="F988" s="584"/>
      <c r="G988" s="584"/>
      <c r="H988" s="584"/>
    </row>
    <row r="989" spans="4:8" ht="15.75" customHeight="1" x14ac:dyDescent="0.25">
      <c r="D989" s="584"/>
      <c r="E989" s="584"/>
      <c r="F989" s="584"/>
      <c r="G989" s="584"/>
      <c r="H989" s="584"/>
    </row>
    <row r="990" spans="4:8" ht="15.75" customHeight="1" x14ac:dyDescent="0.25">
      <c r="D990" s="584"/>
      <c r="E990" s="584"/>
      <c r="F990" s="584"/>
      <c r="G990" s="584"/>
      <c r="H990" s="584"/>
    </row>
    <row r="991" spans="4:8" ht="15.75" customHeight="1" x14ac:dyDescent="0.25">
      <c r="D991" s="584"/>
      <c r="E991" s="584"/>
      <c r="F991" s="584"/>
      <c r="G991" s="584"/>
      <c r="H991" s="584"/>
    </row>
    <row r="992" spans="4:8" ht="15.75" customHeight="1" x14ac:dyDescent="0.25">
      <c r="D992" s="584"/>
      <c r="E992" s="584"/>
      <c r="F992" s="584"/>
      <c r="G992" s="584"/>
      <c r="H992" s="584"/>
    </row>
    <row r="993" spans="4:8" ht="15.75" customHeight="1" x14ac:dyDescent="0.25">
      <c r="D993" s="584"/>
      <c r="E993" s="584"/>
      <c r="F993" s="584"/>
      <c r="G993" s="584"/>
      <c r="H993" s="584"/>
    </row>
    <row r="994" spans="4:8" ht="15.75" customHeight="1" x14ac:dyDescent="0.25">
      <c r="D994" s="584"/>
      <c r="E994" s="584"/>
      <c r="F994" s="584"/>
      <c r="G994" s="584"/>
      <c r="H994" s="584"/>
    </row>
    <row r="995" spans="4:8" ht="15.75" customHeight="1" x14ac:dyDescent="0.25">
      <c r="D995" s="584"/>
      <c r="E995" s="584"/>
      <c r="F995" s="584"/>
      <c r="G995" s="584"/>
      <c r="H995" s="584"/>
    </row>
    <row r="996" spans="4:8" ht="15.75" customHeight="1" x14ac:dyDescent="0.25">
      <c r="D996" s="584"/>
      <c r="E996" s="584"/>
      <c r="F996" s="584"/>
      <c r="G996" s="584"/>
      <c r="H996" s="584"/>
    </row>
    <row r="997" spans="4:8" ht="15.75" customHeight="1" x14ac:dyDescent="0.25">
      <c r="D997" s="584"/>
      <c r="E997" s="584"/>
      <c r="F997" s="584"/>
      <c r="G997" s="584"/>
      <c r="H997" s="584"/>
    </row>
    <row r="998" spans="4:8" ht="15.75" customHeight="1" x14ac:dyDescent="0.25">
      <c r="D998" s="584"/>
      <c r="E998" s="584"/>
      <c r="F998" s="584"/>
      <c r="G998" s="584"/>
      <c r="H998" s="584"/>
    </row>
    <row r="999" spans="4:8" ht="15.75" customHeight="1" x14ac:dyDescent="0.25">
      <c r="D999" s="584"/>
      <c r="E999" s="584"/>
      <c r="F999" s="584"/>
      <c r="G999" s="584"/>
      <c r="H999" s="584"/>
    </row>
    <row r="1000" spans="4:8" ht="15.75" customHeight="1" x14ac:dyDescent="0.25">
      <c r="D1000" s="584"/>
      <c r="E1000" s="584"/>
      <c r="F1000" s="584"/>
      <c r="G1000" s="584"/>
      <c r="H1000" s="584"/>
    </row>
    <row r="1001" spans="4:8" ht="15.75" customHeight="1" x14ac:dyDescent="0.25">
      <c r="D1001" s="584"/>
      <c r="E1001" s="584"/>
      <c r="F1001" s="584"/>
      <c r="G1001" s="584"/>
      <c r="H1001" s="584"/>
    </row>
    <row r="1002" spans="4:8" ht="15.75" customHeight="1" x14ac:dyDescent="0.25">
      <c r="D1002" s="584"/>
      <c r="E1002" s="584"/>
      <c r="F1002" s="584"/>
      <c r="G1002" s="584"/>
      <c r="H1002" s="584"/>
    </row>
    <row r="1003" spans="4:8" ht="15.75" customHeight="1" x14ac:dyDescent="0.25">
      <c r="D1003" s="584"/>
      <c r="E1003" s="584"/>
      <c r="F1003" s="584"/>
      <c r="G1003" s="584"/>
      <c r="H1003" s="584"/>
    </row>
    <row r="1004" spans="4:8" ht="15.75" customHeight="1" x14ac:dyDescent="0.25">
      <c r="D1004" s="584"/>
      <c r="E1004" s="584"/>
      <c r="F1004" s="584"/>
      <c r="G1004" s="584"/>
      <c r="H1004" s="584"/>
    </row>
    <row r="1005" spans="4:8" ht="15.75" customHeight="1" x14ac:dyDescent="0.25">
      <c r="D1005" s="584"/>
      <c r="E1005" s="584"/>
      <c r="F1005" s="584"/>
      <c r="G1005" s="584"/>
      <c r="H1005" s="584"/>
    </row>
    <row r="1006" spans="4:8" ht="15.75" customHeight="1" x14ac:dyDescent="0.25">
      <c r="D1006" s="584"/>
      <c r="E1006" s="584"/>
      <c r="F1006" s="584"/>
      <c r="G1006" s="584"/>
      <c r="H1006" s="584"/>
    </row>
    <row r="1007" spans="4:8" ht="15.75" customHeight="1" x14ac:dyDescent="0.25">
      <c r="D1007" s="584"/>
      <c r="E1007" s="584"/>
      <c r="F1007" s="584"/>
      <c r="G1007" s="584"/>
      <c r="H1007" s="584"/>
    </row>
    <row r="1008" spans="4:8" ht="15.75" customHeight="1" x14ac:dyDescent="0.25">
      <c r="D1008" s="584"/>
      <c r="E1008" s="584"/>
      <c r="F1008" s="584"/>
      <c r="G1008" s="584"/>
      <c r="H1008" s="584"/>
    </row>
    <row r="1009" spans="4:8" ht="15.75" customHeight="1" x14ac:dyDescent="0.25">
      <c r="D1009" s="584"/>
      <c r="E1009" s="584"/>
      <c r="F1009" s="584"/>
      <c r="G1009" s="584"/>
      <c r="H1009" s="584"/>
    </row>
    <row r="1010" spans="4:8" ht="15.75" customHeight="1" x14ac:dyDescent="0.25">
      <c r="D1010" s="584"/>
      <c r="E1010" s="584"/>
      <c r="F1010" s="584"/>
      <c r="G1010" s="584"/>
      <c r="H1010" s="584"/>
    </row>
    <row r="1011" spans="4:8" ht="15.75" customHeight="1" x14ac:dyDescent="0.25">
      <c r="D1011" s="584"/>
      <c r="E1011" s="584"/>
      <c r="F1011" s="584"/>
      <c r="G1011" s="584"/>
      <c r="H1011" s="584"/>
    </row>
    <row r="1012" spans="4:8" ht="15.75" customHeight="1" x14ac:dyDescent="0.25">
      <c r="D1012" s="584"/>
      <c r="E1012" s="584"/>
      <c r="F1012" s="584"/>
      <c r="G1012" s="584"/>
      <c r="H1012" s="584"/>
    </row>
    <row r="1013" spans="4:8" ht="15.75" customHeight="1" x14ac:dyDescent="0.25">
      <c r="D1013" s="584"/>
      <c r="E1013" s="584"/>
      <c r="F1013" s="584"/>
      <c r="G1013" s="584"/>
      <c r="H1013" s="584"/>
    </row>
    <row r="1014" spans="4:8" ht="15.75" customHeight="1" x14ac:dyDescent="0.25">
      <c r="D1014" s="584"/>
      <c r="E1014" s="584"/>
      <c r="F1014" s="584"/>
      <c r="G1014" s="584"/>
      <c r="H1014" s="584"/>
    </row>
    <row r="1015" spans="4:8" ht="15.75" customHeight="1" x14ac:dyDescent="0.25">
      <c r="D1015" s="584"/>
      <c r="E1015" s="584"/>
      <c r="F1015" s="584"/>
      <c r="G1015" s="584"/>
      <c r="H1015" s="584"/>
    </row>
    <row r="1016" spans="4:8" ht="15.75" customHeight="1" x14ac:dyDescent="0.25">
      <c r="D1016" s="584"/>
      <c r="E1016" s="584"/>
      <c r="F1016" s="584"/>
      <c r="G1016" s="584"/>
      <c r="H1016" s="584"/>
    </row>
    <row r="1017" spans="4:8" ht="15.75" customHeight="1" x14ac:dyDescent="0.25">
      <c r="D1017" s="584"/>
      <c r="E1017" s="584"/>
      <c r="F1017" s="584"/>
      <c r="G1017" s="584"/>
      <c r="H1017" s="584"/>
    </row>
    <row r="1018" spans="4:8" ht="15.75" customHeight="1" x14ac:dyDescent="0.25">
      <c r="D1018" s="584"/>
      <c r="E1018" s="584"/>
      <c r="F1018" s="584"/>
      <c r="G1018" s="584"/>
      <c r="H1018" s="584"/>
    </row>
    <row r="1019" spans="4:8" ht="15.75" customHeight="1" x14ac:dyDescent="0.25">
      <c r="D1019" s="584"/>
      <c r="E1019" s="584"/>
      <c r="F1019" s="584"/>
      <c r="G1019" s="584"/>
      <c r="H1019" s="584"/>
    </row>
    <row r="1020" spans="4:8" ht="15.75" customHeight="1" x14ac:dyDescent="0.25">
      <c r="D1020" s="584"/>
      <c r="E1020" s="584"/>
      <c r="F1020" s="584"/>
      <c r="G1020" s="584"/>
      <c r="H1020" s="584"/>
    </row>
    <row r="1021" spans="4:8" ht="15.75" customHeight="1" x14ac:dyDescent="0.25">
      <c r="D1021" s="584"/>
      <c r="E1021" s="584"/>
      <c r="F1021" s="584"/>
      <c r="G1021" s="584"/>
      <c r="H1021" s="584"/>
    </row>
    <row r="1022" spans="4:8" ht="15.75" customHeight="1" x14ac:dyDescent="0.25">
      <c r="D1022" s="584"/>
      <c r="E1022" s="584"/>
      <c r="F1022" s="584"/>
      <c r="G1022" s="584"/>
      <c r="H1022" s="584"/>
    </row>
    <row r="1023" spans="4:8" ht="15.75" customHeight="1" x14ac:dyDescent="0.25">
      <c r="D1023" s="584"/>
      <c r="E1023" s="584"/>
      <c r="F1023" s="584"/>
      <c r="G1023" s="584"/>
      <c r="H1023" s="584"/>
    </row>
    <row r="1024" spans="4:8" ht="15.75" customHeight="1" x14ac:dyDescent="0.25">
      <c r="D1024" s="584"/>
      <c r="E1024" s="584"/>
      <c r="F1024" s="584"/>
      <c r="G1024" s="584"/>
      <c r="H1024" s="584"/>
    </row>
    <row r="1025" spans="4:8" ht="15.75" customHeight="1" x14ac:dyDescent="0.25">
      <c r="D1025" s="584"/>
      <c r="E1025" s="584"/>
      <c r="F1025" s="584"/>
      <c r="G1025" s="584"/>
      <c r="H1025" s="584"/>
    </row>
    <row r="1026" spans="4:8" ht="15.75" customHeight="1" x14ac:dyDescent="0.25">
      <c r="D1026" s="584"/>
      <c r="E1026" s="584"/>
      <c r="F1026" s="584"/>
      <c r="G1026" s="584"/>
      <c r="H1026" s="584"/>
    </row>
    <row r="1027" spans="4:8" ht="15.75" customHeight="1" x14ac:dyDescent="0.25">
      <c r="D1027" s="584"/>
      <c r="E1027" s="584"/>
      <c r="F1027" s="584"/>
      <c r="G1027" s="584"/>
      <c r="H1027" s="584"/>
    </row>
    <row r="1028" spans="4:8" ht="15.75" customHeight="1" x14ac:dyDescent="0.25">
      <c r="D1028" s="584"/>
      <c r="E1028" s="584"/>
      <c r="F1028" s="584"/>
      <c r="G1028" s="584"/>
      <c r="H1028" s="584"/>
    </row>
    <row r="1029" spans="4:8" ht="15.75" customHeight="1" x14ac:dyDescent="0.25">
      <c r="D1029" s="584"/>
      <c r="E1029" s="584"/>
      <c r="F1029" s="584"/>
      <c r="G1029" s="584"/>
      <c r="H1029" s="584"/>
    </row>
    <row r="1030" spans="4:8" ht="15.75" customHeight="1" x14ac:dyDescent="0.25">
      <c r="D1030" s="584"/>
      <c r="E1030" s="584"/>
      <c r="F1030" s="584"/>
      <c r="G1030" s="584"/>
      <c r="H1030" s="584"/>
    </row>
    <row r="1031" spans="4:8" ht="15" customHeight="1" x14ac:dyDescent="0.25">
      <c r="D1031" s="584"/>
      <c r="E1031" s="584"/>
      <c r="F1031" s="584"/>
      <c r="G1031" s="584"/>
      <c r="H1031" s="584"/>
    </row>
    <row r="1032" spans="4:8" ht="15" customHeight="1" x14ac:dyDescent="0.25">
      <c r="D1032" s="584"/>
      <c r="E1032" s="584"/>
      <c r="F1032" s="584"/>
      <c r="G1032" s="584"/>
      <c r="H1032" s="584"/>
    </row>
    <row r="1033" spans="4:8" ht="15" customHeight="1" x14ac:dyDescent="0.25">
      <c r="D1033" s="584"/>
      <c r="E1033" s="584"/>
      <c r="F1033" s="584"/>
      <c r="G1033" s="584"/>
      <c r="H1033" s="584"/>
    </row>
    <row r="1034" spans="4:8" ht="15" customHeight="1" x14ac:dyDescent="0.25">
      <c r="D1034" s="584"/>
      <c r="E1034" s="584"/>
      <c r="F1034" s="584"/>
      <c r="G1034" s="584"/>
      <c r="H1034" s="584"/>
    </row>
    <row r="1035" spans="4:8" ht="15" customHeight="1" x14ac:dyDescent="0.25">
      <c r="D1035" s="584"/>
      <c r="E1035" s="584"/>
      <c r="F1035" s="584"/>
      <c r="G1035" s="584"/>
      <c r="H1035" s="584"/>
    </row>
    <row r="1036" spans="4:8" ht="15" customHeight="1" x14ac:dyDescent="0.25">
      <c r="D1036" s="584"/>
      <c r="E1036" s="584"/>
      <c r="F1036" s="584"/>
      <c r="G1036" s="584"/>
      <c r="H1036" s="584"/>
    </row>
    <row r="1037" spans="4:8" ht="15" customHeight="1" x14ac:dyDescent="0.25">
      <c r="D1037" s="584"/>
      <c r="E1037" s="584"/>
      <c r="F1037" s="584"/>
      <c r="G1037" s="584"/>
      <c r="H1037" s="584"/>
    </row>
    <row r="1038" spans="4:8" ht="15" customHeight="1" x14ac:dyDescent="0.25">
      <c r="D1038" s="584"/>
      <c r="E1038" s="584"/>
      <c r="F1038" s="584"/>
      <c r="G1038" s="584"/>
      <c r="H1038" s="584"/>
    </row>
    <row r="1039" spans="4:8" ht="15" customHeight="1" x14ac:dyDescent="0.25">
      <c r="D1039" s="584"/>
      <c r="E1039" s="584"/>
      <c r="F1039" s="584"/>
      <c r="G1039" s="584"/>
      <c r="H1039" s="584"/>
    </row>
    <row r="1040" spans="4:8" ht="15" customHeight="1" x14ac:dyDescent="0.25">
      <c r="D1040" s="584"/>
      <c r="E1040" s="584"/>
      <c r="F1040" s="584"/>
      <c r="G1040" s="584"/>
      <c r="H1040" s="584"/>
    </row>
    <row r="1041" spans="4:8" ht="15" customHeight="1" x14ac:dyDescent="0.25">
      <c r="D1041" s="584"/>
      <c r="E1041" s="584"/>
      <c r="F1041" s="584"/>
      <c r="G1041" s="584"/>
      <c r="H1041" s="584"/>
    </row>
    <row r="1042" spans="4:8" ht="15" customHeight="1" x14ac:dyDescent="0.25">
      <c r="D1042" s="584"/>
      <c r="E1042" s="584"/>
      <c r="F1042" s="584"/>
      <c r="G1042" s="584"/>
      <c r="H1042" s="584"/>
    </row>
    <row r="1043" spans="4:8" ht="15" customHeight="1" x14ac:dyDescent="0.25">
      <c r="D1043" s="584"/>
      <c r="E1043" s="584"/>
      <c r="F1043" s="584"/>
      <c r="G1043" s="584"/>
      <c r="H1043" s="584"/>
    </row>
    <row r="1044" spans="4:8" ht="15" customHeight="1" x14ac:dyDescent="0.25">
      <c r="D1044" s="584"/>
      <c r="E1044" s="584"/>
      <c r="F1044" s="584"/>
      <c r="G1044" s="584"/>
      <c r="H1044" s="584"/>
    </row>
    <row r="1045" spans="4:8" ht="15" customHeight="1" x14ac:dyDescent="0.25">
      <c r="D1045" s="584"/>
      <c r="E1045" s="584"/>
      <c r="F1045" s="584"/>
      <c r="G1045" s="584"/>
      <c r="H1045" s="584"/>
    </row>
    <row r="1046" spans="4:8" ht="15" customHeight="1" x14ac:dyDescent="0.25">
      <c r="D1046" s="584"/>
      <c r="E1046" s="584"/>
      <c r="F1046" s="584"/>
      <c r="G1046" s="584"/>
      <c r="H1046" s="584"/>
    </row>
    <row r="1047" spans="4:8" ht="15" customHeight="1" x14ac:dyDescent="0.25">
      <c r="D1047" s="584"/>
      <c r="E1047" s="584"/>
      <c r="F1047" s="584"/>
      <c r="G1047" s="584"/>
      <c r="H1047" s="584"/>
    </row>
    <row r="1048" spans="4:8" ht="15" customHeight="1" x14ac:dyDescent="0.25">
      <c r="D1048" s="584"/>
      <c r="E1048" s="584"/>
      <c r="F1048" s="584"/>
      <c r="G1048" s="584"/>
      <c r="H1048" s="584"/>
    </row>
    <row r="1049" spans="4:8" ht="15" customHeight="1" x14ac:dyDescent="0.25">
      <c r="D1049" s="584"/>
      <c r="E1049" s="584"/>
      <c r="F1049" s="584"/>
      <c r="G1049" s="584"/>
      <c r="H1049" s="584"/>
    </row>
    <row r="1050" spans="4:8" ht="15" customHeight="1" x14ac:dyDescent="0.25">
      <c r="D1050" s="584"/>
      <c r="E1050" s="584"/>
      <c r="F1050" s="584"/>
      <c r="G1050" s="584"/>
      <c r="H1050" s="584"/>
    </row>
    <row r="1051" spans="4:8" ht="15" customHeight="1" x14ac:dyDescent="0.25">
      <c r="D1051" s="584"/>
      <c r="E1051" s="584"/>
      <c r="F1051" s="584"/>
      <c r="G1051" s="584"/>
      <c r="H1051" s="584"/>
    </row>
  </sheetData>
  <mergeCells count="1">
    <mergeCell ref="M25:N25"/>
  </mergeCells>
  <printOptions horizontalCentered="1"/>
  <pageMargins left="0.51181102362204722" right="0.31496062992125984" top="0.35433070866141736" bottom="0.35433070866141736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F3E3-2F7B-4955-AB66-1817328BACA4}">
  <sheetPr>
    <tabColor rgb="FFF4B083"/>
  </sheetPr>
  <dimension ref="A1:Z1024"/>
  <sheetViews>
    <sheetView topLeftCell="H1" workbookViewId="0">
      <pane xSplit="2" ySplit="4" topLeftCell="J5" activePane="bottomRight" state="frozen"/>
      <selection activeCell="H1" sqref="H1"/>
      <selection pane="topRight" activeCell="J1" sqref="J1"/>
      <selection pane="bottomLeft" activeCell="H5" sqref="H5"/>
      <selection pane="bottomRight" activeCell="I12" sqref="I12"/>
    </sheetView>
  </sheetViews>
  <sheetFormatPr defaultColWidth="14.42578125" defaultRowHeight="15" customHeight="1" x14ac:dyDescent="0.25"/>
  <cols>
    <col min="1" max="2" width="10" hidden="1" customWidth="1"/>
    <col min="3" max="3" width="44" hidden="1" customWidth="1"/>
    <col min="4" max="5" width="10.5703125" hidden="1" customWidth="1"/>
    <col min="6" max="6" width="8.7109375" hidden="1" customWidth="1"/>
    <col min="7" max="7" width="3" hidden="1" customWidth="1"/>
    <col min="8" max="8" width="10" customWidth="1"/>
    <col min="9" max="9" width="42" customWidth="1"/>
    <col min="10" max="10" width="14.28515625" customWidth="1"/>
    <col min="11" max="11" width="10.7109375" customWidth="1"/>
    <col min="12" max="12" width="12" customWidth="1"/>
    <col min="13" max="15" width="12.28515625" style="820" customWidth="1"/>
    <col min="16" max="16" width="6.42578125" customWidth="1"/>
    <col min="17" max="17" width="8" customWidth="1"/>
    <col min="18" max="18" width="8.7109375" bestFit="1" customWidth="1"/>
    <col min="19" max="19" width="10.7109375" customWidth="1"/>
    <col min="20" max="26" width="8.7109375" customWidth="1"/>
  </cols>
  <sheetData>
    <row r="1" spans="1:21" ht="18.75" x14ac:dyDescent="0.3">
      <c r="A1" s="72" t="s">
        <v>45</v>
      </c>
      <c r="B1" s="72"/>
      <c r="C1" s="89"/>
      <c r="D1" s="90"/>
      <c r="E1" s="91" t="s">
        <v>37</v>
      </c>
      <c r="F1" s="92">
        <f>F34</f>
        <v>0</v>
      </c>
      <c r="G1" s="4"/>
      <c r="H1" s="93" t="s">
        <v>64</v>
      </c>
      <c r="I1" s="4"/>
      <c r="K1" s="172"/>
    </row>
    <row r="2" spans="1:21" ht="18.75" x14ac:dyDescent="0.3">
      <c r="A2" s="72"/>
      <c r="B2" s="72"/>
      <c r="C2" s="89"/>
      <c r="D2" s="90"/>
      <c r="E2" s="91"/>
      <c r="F2" s="92"/>
      <c r="G2" s="4"/>
      <c r="H2" s="916" t="s">
        <v>36</v>
      </c>
      <c r="I2" s="917"/>
      <c r="J2" s="94">
        <f>+L56</f>
        <v>0</v>
      </c>
      <c r="K2" s="172"/>
      <c r="L2" s="218"/>
      <c r="M2" s="821" t="s">
        <v>59</v>
      </c>
      <c r="N2" s="822"/>
      <c r="O2" s="822">
        <f>+O56</f>
        <v>-770</v>
      </c>
      <c r="R2" s="174"/>
      <c r="S2" s="216"/>
      <c r="T2" s="216"/>
      <c r="U2" s="217"/>
    </row>
    <row r="3" spans="1:21" x14ac:dyDescent="0.25">
      <c r="A3" s="5"/>
      <c r="B3" s="6"/>
      <c r="C3" s="7"/>
      <c r="D3" s="913" t="s">
        <v>0</v>
      </c>
      <c r="E3" s="914"/>
      <c r="F3" s="915"/>
      <c r="H3" s="5"/>
      <c r="I3" s="7"/>
      <c r="J3" s="147"/>
      <c r="K3" s="146" t="s">
        <v>38</v>
      </c>
      <c r="L3" s="148"/>
      <c r="M3" s="823"/>
      <c r="N3" s="823"/>
      <c r="O3" s="824"/>
    </row>
    <row r="4" spans="1:21" x14ac:dyDescent="0.25">
      <c r="A4" s="8" t="s">
        <v>1</v>
      </c>
      <c r="B4" s="9"/>
      <c r="C4" s="10" t="s">
        <v>3</v>
      </c>
      <c r="D4" s="10" t="s">
        <v>41</v>
      </c>
      <c r="E4" s="10" t="s">
        <v>42</v>
      </c>
      <c r="F4" s="11" t="s">
        <v>4</v>
      </c>
      <c r="H4" s="8" t="s">
        <v>1</v>
      </c>
      <c r="I4" s="10" t="s">
        <v>3</v>
      </c>
      <c r="J4" s="83" t="s">
        <v>42</v>
      </c>
      <c r="K4" s="83" t="s">
        <v>41</v>
      </c>
      <c r="L4" s="837" t="s">
        <v>4</v>
      </c>
      <c r="M4" s="825" t="s">
        <v>42</v>
      </c>
      <c r="N4" s="825" t="s">
        <v>41</v>
      </c>
      <c r="O4" s="826" t="s">
        <v>4</v>
      </c>
    </row>
    <row r="5" spans="1:21" x14ac:dyDescent="0.25">
      <c r="A5" s="8"/>
      <c r="B5" s="9"/>
      <c r="C5" s="10"/>
      <c r="D5" s="10"/>
      <c r="E5" s="10"/>
      <c r="F5" s="11"/>
      <c r="H5" s="86">
        <v>46036</v>
      </c>
      <c r="I5" s="10" t="s">
        <v>284</v>
      </c>
      <c r="J5" s="83"/>
      <c r="K5" s="83"/>
      <c r="L5" s="84"/>
      <c r="M5" s="825"/>
      <c r="N5" s="825">
        <v>770</v>
      </c>
      <c r="O5" s="826">
        <f>+M5-N5</f>
        <v>-770</v>
      </c>
    </row>
    <row r="6" spans="1:21" x14ac:dyDescent="0.25">
      <c r="A6" s="14"/>
      <c r="B6" s="96"/>
      <c r="C6" s="10"/>
      <c r="D6" s="67"/>
      <c r="E6" s="67"/>
      <c r="F6" s="66"/>
      <c r="H6" s="14"/>
      <c r="I6" s="10"/>
      <c r="J6" s="83"/>
      <c r="K6" s="83"/>
      <c r="L6" s="84"/>
      <c r="M6" s="827"/>
      <c r="N6" s="827"/>
      <c r="O6" s="828"/>
    </row>
    <row r="7" spans="1:21" x14ac:dyDescent="0.25">
      <c r="A7" s="14"/>
      <c r="B7" s="150"/>
      <c r="C7" s="10"/>
      <c r="D7" s="67"/>
      <c r="E7" s="67"/>
      <c r="F7" s="66"/>
      <c r="H7" s="14"/>
      <c r="I7" s="10"/>
      <c r="J7" s="83"/>
      <c r="K7" s="83"/>
      <c r="L7" s="84"/>
      <c r="M7" s="827"/>
      <c r="N7" s="827"/>
      <c r="O7" s="828"/>
    </row>
    <row r="8" spans="1:21" x14ac:dyDescent="0.25">
      <c r="A8" s="14"/>
      <c r="B8" s="150"/>
      <c r="C8" s="10"/>
      <c r="D8" s="67"/>
      <c r="E8" s="67"/>
      <c r="F8" s="66"/>
      <c r="H8" s="14"/>
      <c r="I8" s="10"/>
      <c r="J8" s="83"/>
      <c r="K8" s="83"/>
      <c r="L8" s="84"/>
      <c r="M8" s="827"/>
      <c r="N8" s="827"/>
      <c r="O8" s="828"/>
    </row>
    <row r="9" spans="1:21" x14ac:dyDescent="0.25">
      <c r="A9" s="8"/>
      <c r="B9" s="9"/>
      <c r="C9" s="10"/>
      <c r="D9" s="67"/>
      <c r="E9" s="67"/>
      <c r="F9" s="66"/>
      <c r="H9" s="14"/>
      <c r="I9" s="10"/>
      <c r="J9" s="83"/>
      <c r="K9" s="83"/>
      <c r="L9" s="84"/>
      <c r="M9" s="827"/>
      <c r="N9" s="827"/>
      <c r="O9" s="828"/>
    </row>
    <row r="10" spans="1:21" x14ac:dyDescent="0.25">
      <c r="A10" s="14"/>
      <c r="B10" s="96"/>
      <c r="C10" s="10"/>
      <c r="D10" s="67"/>
      <c r="E10" s="67"/>
      <c r="F10" s="66"/>
      <c r="H10" s="14"/>
      <c r="I10" s="10"/>
      <c r="J10" s="83"/>
      <c r="K10" s="83"/>
      <c r="L10" s="84"/>
      <c r="M10" s="827"/>
      <c r="N10" s="827"/>
      <c r="O10" s="828"/>
    </row>
    <row r="11" spans="1:21" x14ac:dyDescent="0.25">
      <c r="A11" s="14"/>
      <c r="B11" s="96"/>
      <c r="C11" s="10"/>
      <c r="D11" s="67"/>
      <c r="E11" s="67"/>
      <c r="F11" s="66"/>
      <c r="H11" s="14"/>
      <c r="I11" s="10"/>
      <c r="J11" s="83"/>
      <c r="K11" s="83"/>
      <c r="L11" s="84"/>
      <c r="M11" s="827"/>
      <c r="N11" s="827"/>
      <c r="O11" s="828"/>
    </row>
    <row r="12" spans="1:21" x14ac:dyDescent="0.25">
      <c r="A12" s="14"/>
      <c r="B12" s="96"/>
      <c r="C12" s="10"/>
      <c r="D12" s="19"/>
      <c r="E12" s="19"/>
      <c r="F12" s="66"/>
      <c r="G12" s="13"/>
      <c r="H12" s="14"/>
      <c r="I12" s="10"/>
      <c r="J12" s="83"/>
      <c r="K12" s="83"/>
      <c r="L12" s="84"/>
      <c r="M12" s="827"/>
      <c r="N12" s="827"/>
      <c r="O12" s="828"/>
    </row>
    <row r="13" spans="1:21" x14ac:dyDescent="0.25">
      <c r="A13" s="14"/>
      <c r="B13" s="96"/>
      <c r="C13" s="10"/>
      <c r="D13" s="19"/>
      <c r="E13" s="67"/>
      <c r="F13" s="66"/>
      <c r="H13" s="14"/>
      <c r="I13" s="10"/>
      <c r="J13" s="83"/>
      <c r="K13" s="83"/>
      <c r="L13" s="84"/>
      <c r="M13" s="827"/>
      <c r="N13" s="827"/>
      <c r="O13" s="828"/>
    </row>
    <row r="14" spans="1:21" x14ac:dyDescent="0.25">
      <c r="A14" s="14"/>
      <c r="B14" s="96"/>
      <c r="C14" s="98"/>
      <c r="D14" s="19"/>
      <c r="E14" s="67"/>
      <c r="F14" s="66"/>
      <c r="H14" s="14"/>
      <c r="I14" s="10"/>
      <c r="J14" s="83"/>
      <c r="K14" s="83"/>
      <c r="L14" s="84"/>
      <c r="M14" s="827"/>
      <c r="N14" s="827"/>
      <c r="O14" s="828"/>
    </row>
    <row r="15" spans="1:21" x14ac:dyDescent="0.25">
      <c r="A15" s="14"/>
      <c r="B15" s="96"/>
      <c r="C15" s="98"/>
      <c r="D15" s="19"/>
      <c r="E15" s="19"/>
      <c r="F15" s="66"/>
      <c r="H15" s="14"/>
      <c r="I15" s="10"/>
      <c r="J15" s="83"/>
      <c r="K15" s="83"/>
      <c r="L15" s="84"/>
      <c r="M15" s="827"/>
      <c r="N15" s="827"/>
      <c r="O15" s="828"/>
    </row>
    <row r="16" spans="1:21" x14ac:dyDescent="0.25">
      <c r="A16" s="14"/>
      <c r="B16" s="96"/>
      <c r="C16" s="98"/>
      <c r="D16" s="19"/>
      <c r="E16" s="67"/>
      <c r="F16" s="66"/>
      <c r="H16" s="14"/>
      <c r="I16" s="10"/>
      <c r="J16" s="83"/>
      <c r="K16" s="83"/>
      <c r="L16" s="84"/>
      <c r="M16" s="827"/>
      <c r="N16" s="827"/>
      <c r="O16" s="828"/>
    </row>
    <row r="17" spans="1:26" x14ac:dyDescent="0.25">
      <c r="A17" s="14"/>
      <c r="B17" s="150"/>
      <c r="C17" s="98"/>
      <c r="D17" s="19"/>
      <c r="E17" s="67"/>
      <c r="F17" s="66"/>
      <c r="H17" s="14"/>
      <c r="I17" s="10"/>
      <c r="J17" s="83"/>
      <c r="K17" s="83"/>
      <c r="L17" s="84"/>
      <c r="M17" s="827"/>
      <c r="N17" s="827"/>
      <c r="O17" s="828"/>
    </row>
    <row r="18" spans="1:26" x14ac:dyDescent="0.25">
      <c r="A18" s="14"/>
      <c r="B18" s="96"/>
      <c r="C18" s="98"/>
      <c r="D18" s="19"/>
      <c r="E18" s="67"/>
      <c r="F18" s="99"/>
      <c r="H18" s="14"/>
      <c r="I18" s="10"/>
      <c r="J18" s="83"/>
      <c r="K18" s="83"/>
      <c r="L18" s="84"/>
      <c r="M18" s="827"/>
      <c r="N18" s="827"/>
      <c r="O18" s="82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5">
      <c r="A19" s="14"/>
      <c r="B19" s="96"/>
      <c r="C19" s="98"/>
      <c r="D19" s="19"/>
      <c r="E19" s="67"/>
      <c r="F19" s="66"/>
      <c r="H19" s="14"/>
      <c r="I19" s="10"/>
      <c r="J19" s="83"/>
      <c r="K19" s="83"/>
      <c r="L19" s="84"/>
      <c r="M19" s="827"/>
      <c r="N19" s="827"/>
      <c r="O19" s="828"/>
    </row>
    <row r="20" spans="1:26" ht="12.6" customHeight="1" x14ac:dyDescent="0.25">
      <c r="A20" s="14"/>
      <c r="B20" s="96"/>
      <c r="C20" s="98"/>
      <c r="D20" s="19"/>
      <c r="E20" s="67"/>
      <c r="F20" s="66"/>
      <c r="H20" s="14"/>
      <c r="I20" s="10"/>
      <c r="J20" s="83"/>
      <c r="K20" s="83"/>
      <c r="L20" s="84"/>
      <c r="M20" s="827"/>
      <c r="N20" s="827"/>
      <c r="O20" s="828"/>
    </row>
    <row r="21" spans="1:26" x14ac:dyDescent="0.25">
      <c r="A21" s="14"/>
      <c r="B21" s="96"/>
      <c r="C21" s="98"/>
      <c r="D21" s="19"/>
      <c r="E21" s="67"/>
      <c r="F21" s="66"/>
      <c r="H21" s="14"/>
      <c r="I21" s="10"/>
      <c r="J21" s="83"/>
      <c r="K21" s="83"/>
      <c r="L21" s="84"/>
      <c r="M21" s="827"/>
      <c r="N21" s="827"/>
      <c r="O21" s="828"/>
      <c r="Q21" s="75"/>
      <c r="R21" s="75"/>
    </row>
    <row r="22" spans="1:26" x14ac:dyDescent="0.25">
      <c r="A22" s="14"/>
      <c r="B22" s="96"/>
      <c r="C22" s="98"/>
      <c r="D22" s="19"/>
      <c r="E22" s="67"/>
      <c r="F22" s="66"/>
      <c r="H22" s="14"/>
      <c r="I22" s="10"/>
      <c r="J22" s="83"/>
      <c r="K22" s="83"/>
      <c r="L22" s="84"/>
      <c r="M22" s="827"/>
      <c r="N22" s="827"/>
      <c r="O22" s="828"/>
      <c r="Q22" s="352"/>
    </row>
    <row r="23" spans="1:26" x14ac:dyDescent="0.25">
      <c r="A23" s="14"/>
      <c r="B23" s="96"/>
      <c r="C23" s="10"/>
      <c r="D23" s="19"/>
      <c r="E23" s="67"/>
      <c r="F23" s="66"/>
      <c r="H23" s="14"/>
      <c r="I23" s="10"/>
      <c r="J23" s="83"/>
      <c r="K23" s="83"/>
      <c r="L23" s="84"/>
      <c r="M23" s="827"/>
      <c r="N23" s="827"/>
      <c r="O23" s="828"/>
    </row>
    <row r="24" spans="1:26" ht="15.75" customHeight="1" x14ac:dyDescent="0.25">
      <c r="A24" s="100"/>
      <c r="B24" s="101"/>
      <c r="C24" s="102"/>
      <c r="D24" s="102"/>
      <c r="E24" s="102"/>
      <c r="F24" s="103"/>
      <c r="H24" s="14"/>
      <c r="I24" s="10"/>
      <c r="J24" s="83"/>
      <c r="K24" s="83"/>
      <c r="L24" s="84"/>
      <c r="M24" s="827"/>
      <c r="N24" s="827"/>
      <c r="O24" s="828"/>
    </row>
    <row r="25" spans="1:26" ht="15.75" customHeight="1" x14ac:dyDescent="0.25">
      <c r="A25" s="62"/>
      <c r="D25" s="67"/>
      <c r="E25" s="67"/>
      <c r="F25" s="66"/>
      <c r="H25" s="14"/>
      <c r="I25" s="10"/>
      <c r="J25" s="83"/>
      <c r="K25" s="83"/>
      <c r="L25" s="84"/>
      <c r="M25" s="827"/>
      <c r="N25" s="825"/>
      <c r="O25" s="828"/>
      <c r="Q25" s="23"/>
      <c r="R25" s="23"/>
    </row>
    <row r="26" spans="1:26" ht="15.75" customHeight="1" x14ac:dyDescent="0.25">
      <c r="A26" s="14"/>
      <c r="B26" s="96"/>
      <c r="C26" s="10"/>
      <c r="D26" s="67"/>
      <c r="E26" s="67"/>
      <c r="F26" s="66"/>
      <c r="H26" s="14"/>
      <c r="I26" s="10"/>
      <c r="J26" s="83"/>
      <c r="K26" s="83"/>
      <c r="L26" s="84"/>
      <c r="M26" s="827"/>
      <c r="N26" s="827"/>
      <c r="O26" s="828"/>
    </row>
    <row r="27" spans="1:26" ht="15.75" customHeight="1" x14ac:dyDescent="0.25">
      <c r="A27" s="14"/>
      <c r="B27" s="96"/>
      <c r="C27" s="10"/>
      <c r="D27" s="67"/>
      <c r="E27" s="67"/>
      <c r="F27" s="66"/>
      <c r="H27" s="14"/>
      <c r="I27" s="10"/>
      <c r="J27" s="83"/>
      <c r="K27" s="83"/>
      <c r="L27" s="84"/>
      <c r="M27" s="827"/>
      <c r="N27" s="827"/>
      <c r="O27" s="828"/>
    </row>
    <row r="28" spans="1:26" ht="15.75" customHeight="1" x14ac:dyDescent="0.25">
      <c r="A28" s="14"/>
      <c r="B28" s="96"/>
      <c r="C28" s="10"/>
      <c r="D28" s="67"/>
      <c r="E28" s="67"/>
      <c r="F28" s="66"/>
      <c r="H28" s="14"/>
      <c r="I28" s="10"/>
      <c r="J28" s="83"/>
      <c r="K28" s="83"/>
      <c r="L28" s="84"/>
      <c r="M28" s="827"/>
      <c r="N28" s="827"/>
      <c r="O28" s="828"/>
    </row>
    <row r="29" spans="1:26" ht="15.75" customHeight="1" x14ac:dyDescent="0.25">
      <c r="A29" s="14"/>
      <c r="B29" s="96"/>
      <c r="C29" s="10"/>
      <c r="D29" s="67"/>
      <c r="E29" s="67"/>
      <c r="F29" s="66"/>
      <c r="H29" s="14"/>
      <c r="I29" s="10"/>
      <c r="J29" s="83"/>
      <c r="K29" s="83"/>
      <c r="L29" s="84"/>
      <c r="M29" s="827"/>
      <c r="N29" s="827"/>
      <c r="O29" s="828"/>
    </row>
    <row r="30" spans="1:26" ht="15.75" customHeight="1" x14ac:dyDescent="0.25">
      <c r="A30" s="14"/>
      <c r="B30" s="96"/>
      <c r="C30" s="10"/>
      <c r="D30" s="67"/>
      <c r="E30" s="67"/>
      <c r="F30" s="66"/>
      <c r="H30" s="14"/>
      <c r="I30" s="10"/>
      <c r="J30" s="83"/>
      <c r="K30" s="83"/>
      <c r="L30" s="84"/>
      <c r="M30" s="827"/>
      <c r="N30" s="827"/>
      <c r="O30" s="828"/>
    </row>
    <row r="31" spans="1:26" ht="15.75" customHeight="1" x14ac:dyDescent="0.25">
      <c r="A31" s="14"/>
      <c r="B31" s="96"/>
      <c r="C31" s="10"/>
      <c r="D31" s="67"/>
      <c r="E31" s="67"/>
      <c r="F31" s="66"/>
      <c r="H31" s="14"/>
      <c r="I31" s="10"/>
      <c r="J31" s="83"/>
      <c r="K31" s="83"/>
      <c r="L31" s="84"/>
      <c r="M31" s="827"/>
      <c r="N31" s="827"/>
      <c r="O31" s="828"/>
    </row>
    <row r="32" spans="1:26" ht="15.75" customHeight="1" x14ac:dyDescent="0.25">
      <c r="A32" s="14"/>
      <c r="B32" s="96"/>
      <c r="C32" s="10"/>
      <c r="D32" s="67"/>
      <c r="E32" s="67"/>
      <c r="F32" s="66"/>
      <c r="H32" s="14"/>
      <c r="I32" s="10"/>
      <c r="J32" s="83"/>
      <c r="K32" s="83"/>
      <c r="L32" s="84"/>
      <c r="M32" s="827"/>
      <c r="N32" s="827"/>
      <c r="O32" s="828"/>
    </row>
    <row r="33" spans="1:18" ht="15.75" customHeight="1" x14ac:dyDescent="0.25">
      <c r="A33" s="14"/>
      <c r="B33" s="96"/>
      <c r="C33" s="10"/>
      <c r="D33" s="67"/>
      <c r="E33" s="67"/>
      <c r="F33" s="66"/>
      <c r="H33" s="14"/>
      <c r="I33" s="10"/>
      <c r="J33" s="83"/>
      <c r="K33" s="83"/>
      <c r="L33" s="84"/>
      <c r="M33" s="827"/>
      <c r="N33" s="827"/>
      <c r="O33" s="828"/>
      <c r="Q33" s="121"/>
      <c r="R33" s="121"/>
    </row>
    <row r="34" spans="1:18" ht="15.75" customHeight="1" x14ac:dyDescent="0.25">
      <c r="A34" s="8"/>
      <c r="B34" s="9"/>
      <c r="C34" s="10"/>
      <c r="D34" s="67"/>
      <c r="E34" s="67"/>
      <c r="F34" s="66"/>
      <c r="H34" s="8"/>
      <c r="I34" s="122"/>
      <c r="J34" s="143"/>
      <c r="K34" s="143"/>
      <c r="L34" s="144"/>
      <c r="M34" s="827"/>
      <c r="N34" s="827"/>
      <c r="O34" s="829"/>
      <c r="Q34" s="23"/>
      <c r="R34" s="23"/>
    </row>
    <row r="35" spans="1:18" ht="15.75" customHeight="1" x14ac:dyDescent="0.25">
      <c r="A35" s="69"/>
      <c r="B35" s="104"/>
      <c r="C35" s="16"/>
      <c r="D35" s="78"/>
      <c r="E35" s="78"/>
      <c r="F35" s="105"/>
      <c r="H35" s="138"/>
      <c r="I35" s="120"/>
      <c r="J35" s="145"/>
      <c r="K35" s="145"/>
      <c r="L35" s="144"/>
      <c r="M35" s="830"/>
      <c r="N35" s="830"/>
      <c r="O35" s="829"/>
    </row>
    <row r="36" spans="1:18" ht="15.75" customHeight="1" x14ac:dyDescent="0.25">
      <c r="A36" s="109"/>
      <c r="B36" s="110"/>
      <c r="C36" s="12"/>
      <c r="D36" s="125"/>
      <c r="E36" s="125"/>
      <c r="F36" s="126"/>
      <c r="H36" s="86"/>
      <c r="I36" s="122"/>
      <c r="J36" s="143"/>
      <c r="K36" s="143"/>
      <c r="L36" s="144"/>
      <c r="M36" s="827"/>
      <c r="N36" s="831"/>
      <c r="O36" s="829"/>
      <c r="Q36" s="23"/>
      <c r="R36" s="23"/>
    </row>
    <row r="37" spans="1:18" ht="15.75" customHeight="1" x14ac:dyDescent="0.25">
      <c r="A37" s="109"/>
      <c r="B37" s="110"/>
      <c r="C37" s="12"/>
      <c r="D37" s="125"/>
      <c r="E37" s="125"/>
      <c r="F37" s="126"/>
      <c r="H37" s="138"/>
      <c r="I37" s="122"/>
      <c r="J37" s="145"/>
      <c r="K37" s="145"/>
      <c r="L37" s="144"/>
      <c r="M37" s="832"/>
      <c r="N37" s="832"/>
      <c r="O37" s="829"/>
      <c r="Q37" s="23"/>
      <c r="R37" s="23"/>
    </row>
    <row r="38" spans="1:18" ht="15.75" customHeight="1" x14ac:dyDescent="0.25">
      <c r="A38" s="109"/>
      <c r="B38" s="110"/>
      <c r="C38" s="12"/>
      <c r="D38" s="125"/>
      <c r="E38" s="125"/>
      <c r="F38" s="126"/>
      <c r="H38" s="138"/>
      <c r="I38" s="120"/>
      <c r="J38" s="145"/>
      <c r="K38" s="145"/>
      <c r="L38" s="144"/>
      <c r="M38" s="832"/>
      <c r="N38" s="832"/>
      <c r="O38" s="829"/>
      <c r="Q38" s="23"/>
      <c r="R38" s="23"/>
    </row>
    <row r="39" spans="1:18" ht="15.75" customHeight="1" x14ac:dyDescent="0.25">
      <c r="A39" s="109"/>
      <c r="B39" s="110"/>
      <c r="C39" s="12"/>
      <c r="D39" s="125"/>
      <c r="E39" s="125"/>
      <c r="F39" s="126"/>
      <c r="H39" s="138"/>
      <c r="I39" s="120"/>
      <c r="J39" s="145"/>
      <c r="K39" s="145"/>
      <c r="L39" s="144"/>
      <c r="M39" s="832"/>
      <c r="N39" s="832"/>
      <c r="O39" s="829"/>
      <c r="Q39" s="23"/>
      <c r="R39" s="23"/>
    </row>
    <row r="40" spans="1:18" ht="15.75" customHeight="1" x14ac:dyDescent="0.25">
      <c r="A40" s="109"/>
      <c r="B40" s="110"/>
      <c r="C40" s="12"/>
      <c r="D40" s="125"/>
      <c r="E40" s="125"/>
      <c r="F40" s="126"/>
      <c r="H40" s="138"/>
      <c r="I40" s="120"/>
      <c r="J40" s="128"/>
      <c r="K40" s="128"/>
      <c r="L40" s="144"/>
      <c r="M40" s="832"/>
      <c r="N40" s="832"/>
      <c r="O40" s="829"/>
      <c r="Q40" s="23"/>
      <c r="R40" s="23"/>
    </row>
    <row r="41" spans="1:18" ht="15.75" customHeight="1" x14ac:dyDescent="0.25">
      <c r="A41" s="109"/>
      <c r="B41" s="110"/>
      <c r="C41" s="12"/>
      <c r="D41" s="125"/>
      <c r="E41" s="125"/>
      <c r="F41" s="126"/>
      <c r="H41" s="138"/>
      <c r="I41" s="120"/>
      <c r="J41" s="128"/>
      <c r="K41" s="128"/>
      <c r="L41" s="144"/>
      <c r="M41" s="832"/>
      <c r="N41" s="832"/>
      <c r="O41" s="829"/>
      <c r="Q41" s="23"/>
      <c r="R41" s="23"/>
    </row>
    <row r="42" spans="1:18" ht="15.75" customHeight="1" x14ac:dyDescent="0.25">
      <c r="A42" s="109"/>
      <c r="B42" s="110"/>
      <c r="C42" s="12"/>
      <c r="D42" s="125"/>
      <c r="E42" s="125"/>
      <c r="F42" s="126"/>
      <c r="H42" s="138"/>
      <c r="I42" s="120"/>
      <c r="J42" s="128"/>
      <c r="K42" s="128"/>
      <c r="L42" s="144"/>
      <c r="M42" s="832"/>
      <c r="N42" s="832"/>
      <c r="O42" s="829"/>
      <c r="Q42" s="23"/>
      <c r="R42" s="23"/>
    </row>
    <row r="43" spans="1:18" ht="15.75" customHeight="1" x14ac:dyDescent="0.25">
      <c r="A43" s="109"/>
      <c r="B43" s="110"/>
      <c r="C43" s="12"/>
      <c r="D43" s="125"/>
      <c r="E43" s="125"/>
      <c r="F43" s="126"/>
      <c r="H43" s="138"/>
      <c r="I43" s="120"/>
      <c r="J43" s="128"/>
      <c r="K43" s="128"/>
      <c r="L43" s="144"/>
      <c r="M43" s="832"/>
      <c r="N43" s="832"/>
      <c r="O43" s="829"/>
      <c r="Q43" s="23"/>
      <c r="R43" s="23"/>
    </row>
    <row r="44" spans="1:18" ht="15.75" customHeight="1" x14ac:dyDescent="0.25">
      <c r="A44" s="109"/>
      <c r="B44" s="110"/>
      <c r="C44" s="12"/>
      <c r="D44" s="125"/>
      <c r="E44" s="125"/>
      <c r="F44" s="126"/>
      <c r="H44" s="138"/>
      <c r="I44" s="120"/>
      <c r="J44" s="128"/>
      <c r="K44" s="128"/>
      <c r="L44" s="144"/>
      <c r="M44" s="832"/>
      <c r="N44" s="832"/>
      <c r="O44" s="829"/>
      <c r="Q44" s="23"/>
      <c r="R44" s="23"/>
    </row>
    <row r="45" spans="1:18" ht="15.75" customHeight="1" x14ac:dyDescent="0.25">
      <c r="A45" s="109"/>
      <c r="B45" s="110"/>
      <c r="C45" s="12"/>
      <c r="D45" s="125"/>
      <c r="E45" s="125"/>
      <c r="F45" s="126"/>
      <c r="H45" s="109"/>
      <c r="I45" s="127"/>
      <c r="J45" s="128"/>
      <c r="K45" s="128"/>
      <c r="L45" s="129"/>
      <c r="M45" s="832"/>
      <c r="N45" s="832"/>
      <c r="O45" s="829"/>
      <c r="Q45" s="23"/>
      <c r="R45" s="23"/>
    </row>
    <row r="46" spans="1:18" ht="15.75" customHeight="1" x14ac:dyDescent="0.25">
      <c r="A46" s="109"/>
      <c r="B46" s="110"/>
      <c r="C46" s="12"/>
      <c r="D46" s="125"/>
      <c r="E46" s="125"/>
      <c r="F46" s="126"/>
      <c r="H46" s="109"/>
      <c r="I46" s="127"/>
      <c r="J46" s="128"/>
      <c r="K46" s="128"/>
      <c r="L46" s="129"/>
      <c r="M46" s="832"/>
      <c r="N46" s="832"/>
      <c r="O46" s="829"/>
      <c r="Q46" s="23"/>
      <c r="R46" s="23"/>
    </row>
    <row r="47" spans="1:18" ht="15.75" customHeight="1" x14ac:dyDescent="0.25">
      <c r="A47" s="109"/>
      <c r="B47" s="110"/>
      <c r="C47" s="12"/>
      <c r="D47" s="125"/>
      <c r="E47" s="125"/>
      <c r="F47" s="126"/>
      <c r="H47" s="109"/>
      <c r="I47" s="127"/>
      <c r="J47" s="128"/>
      <c r="K47" s="128"/>
      <c r="L47" s="129"/>
      <c r="M47" s="832"/>
      <c r="N47" s="832"/>
      <c r="O47" s="829"/>
      <c r="Q47" s="23"/>
      <c r="R47" s="23"/>
    </row>
    <row r="48" spans="1:18" ht="15.75" customHeight="1" x14ac:dyDescent="0.25">
      <c r="A48" s="109"/>
      <c r="B48" s="110"/>
      <c r="C48" s="12"/>
      <c r="D48" s="125"/>
      <c r="E48" s="125"/>
      <c r="F48" s="126"/>
      <c r="H48" s="109"/>
      <c r="I48" s="127"/>
      <c r="J48" s="128"/>
      <c r="K48" s="128"/>
      <c r="L48" s="129"/>
      <c r="M48" s="832"/>
      <c r="N48" s="832"/>
      <c r="O48" s="829"/>
      <c r="Q48" s="23"/>
      <c r="R48" s="23"/>
    </row>
    <row r="49" spans="1:18" ht="15.75" customHeight="1" x14ac:dyDescent="0.25">
      <c r="A49" s="109"/>
      <c r="B49" s="110"/>
      <c r="C49" s="12"/>
      <c r="D49" s="125"/>
      <c r="E49" s="125"/>
      <c r="F49" s="126"/>
      <c r="H49" s="109"/>
      <c r="I49" s="127"/>
      <c r="J49" s="128"/>
      <c r="K49" s="128"/>
      <c r="L49" s="129"/>
      <c r="M49" s="832"/>
      <c r="N49" s="832"/>
      <c r="O49" s="829"/>
      <c r="Q49" s="23"/>
      <c r="R49" s="23"/>
    </row>
    <row r="50" spans="1:18" ht="15.75" customHeight="1" x14ac:dyDescent="0.25">
      <c r="A50" s="109"/>
      <c r="B50" s="110"/>
      <c r="C50" s="12"/>
      <c r="D50" s="125"/>
      <c r="E50" s="125"/>
      <c r="F50" s="126"/>
      <c r="H50" s="109"/>
      <c r="I50" s="127"/>
      <c r="J50" s="128"/>
      <c r="K50" s="128"/>
      <c r="L50" s="129"/>
      <c r="M50" s="832"/>
      <c r="N50" s="832"/>
      <c r="O50" s="829"/>
      <c r="Q50" s="23"/>
      <c r="R50" s="23"/>
    </row>
    <row r="51" spans="1:18" ht="15.75" customHeight="1" x14ac:dyDescent="0.25">
      <c r="A51" s="109"/>
      <c r="B51" s="110"/>
      <c r="C51" s="12"/>
      <c r="D51" s="125"/>
      <c r="E51" s="125"/>
      <c r="F51" s="126"/>
      <c r="H51" s="109"/>
      <c r="I51" s="127"/>
      <c r="J51" s="128"/>
      <c r="K51" s="128"/>
      <c r="L51" s="129"/>
      <c r="M51" s="832"/>
      <c r="N51" s="832"/>
      <c r="O51" s="829"/>
      <c r="Q51" s="23"/>
      <c r="R51" s="23"/>
    </row>
    <row r="52" spans="1:18" ht="15.75" customHeight="1" x14ac:dyDescent="0.25">
      <c r="A52" s="109"/>
      <c r="B52" s="110"/>
      <c r="C52" s="12"/>
      <c r="D52" s="125"/>
      <c r="E52" s="125"/>
      <c r="F52" s="126"/>
      <c r="H52" s="109"/>
      <c r="I52" s="127"/>
      <c r="J52" s="128"/>
      <c r="K52" s="128"/>
      <c r="L52" s="129"/>
      <c r="M52" s="832"/>
      <c r="N52" s="832"/>
      <c r="O52" s="829"/>
      <c r="Q52" s="23"/>
      <c r="R52" s="23"/>
    </row>
    <row r="53" spans="1:18" ht="15.75" customHeight="1" x14ac:dyDescent="0.25">
      <c r="A53" s="109"/>
      <c r="B53" s="110"/>
      <c r="C53" s="12"/>
      <c r="D53" s="125"/>
      <c r="E53" s="125"/>
      <c r="F53" s="126"/>
      <c r="H53" s="109"/>
      <c r="I53" s="127"/>
      <c r="J53" s="128"/>
      <c r="K53" s="128"/>
      <c r="L53" s="129"/>
      <c r="M53" s="832"/>
      <c r="N53" s="832"/>
      <c r="O53" s="829"/>
      <c r="Q53" s="23"/>
      <c r="R53" s="23"/>
    </row>
    <row r="54" spans="1:18" ht="15.75" customHeight="1" x14ac:dyDescent="0.25">
      <c r="A54" s="109"/>
      <c r="B54" s="110"/>
      <c r="C54" s="12"/>
      <c r="D54" s="125"/>
      <c r="E54" s="125"/>
      <c r="F54" s="126"/>
      <c r="H54" s="109"/>
      <c r="I54" s="127"/>
      <c r="J54" s="128"/>
      <c r="K54" s="128"/>
      <c r="L54" s="129"/>
      <c r="M54" s="832"/>
      <c r="N54" s="832"/>
      <c r="O54" s="829"/>
      <c r="Q54" s="23"/>
      <c r="R54" s="23"/>
    </row>
    <row r="55" spans="1:18" ht="15.75" customHeight="1" x14ac:dyDescent="0.25">
      <c r="A55" s="109"/>
      <c r="B55" s="110"/>
      <c r="C55" s="12"/>
      <c r="D55" s="125"/>
      <c r="E55" s="125"/>
      <c r="F55" s="126"/>
      <c r="H55" s="109"/>
      <c r="I55" s="127"/>
      <c r="J55" s="128"/>
      <c r="K55" s="128"/>
      <c r="L55" s="129"/>
      <c r="M55" s="832"/>
      <c r="N55" s="832"/>
      <c r="O55" s="829"/>
      <c r="Q55" s="23"/>
      <c r="R55" s="23"/>
    </row>
    <row r="56" spans="1:18" ht="15.75" customHeight="1" x14ac:dyDescent="0.25">
      <c r="H56" s="119"/>
      <c r="I56" s="118"/>
      <c r="J56" s="131">
        <f>SUM(J5:J55)</f>
        <v>0</v>
      </c>
      <c r="K56" s="131">
        <f>SUM(K5:K55)</f>
        <v>0</v>
      </c>
      <c r="L56" s="132">
        <f>+J56-K56</f>
        <v>0</v>
      </c>
      <c r="M56" s="833">
        <f>SUM(M5:M55)</f>
        <v>0</v>
      </c>
      <c r="N56" s="833">
        <f>SUM(N5:N55)</f>
        <v>770</v>
      </c>
      <c r="O56" s="834">
        <f>+M56-N56</f>
        <v>-770</v>
      </c>
    </row>
    <row r="57" spans="1:18" ht="15.75" customHeight="1" x14ac:dyDescent="0.25">
      <c r="E57" s="20">
        <f>D18+D20</f>
        <v>0</v>
      </c>
      <c r="J57" s="95"/>
      <c r="K57" s="95"/>
      <c r="L57" s="80"/>
      <c r="M57" s="835"/>
      <c r="N57" s="835"/>
      <c r="O57" s="836"/>
    </row>
    <row r="58" spans="1:18" ht="15.75" customHeight="1" x14ac:dyDescent="0.25">
      <c r="E58" s="20">
        <f>E57/65</f>
        <v>0</v>
      </c>
      <c r="J58" s="95"/>
      <c r="K58" s="95"/>
      <c r="L58" s="80"/>
      <c r="M58" s="835"/>
      <c r="N58" s="835"/>
      <c r="O58" s="836"/>
    </row>
    <row r="59" spans="1:18" ht="15.75" customHeight="1" x14ac:dyDescent="0.25">
      <c r="J59" s="95"/>
      <c r="K59" s="95"/>
      <c r="L59" s="80"/>
      <c r="M59" s="835"/>
      <c r="N59" s="835"/>
      <c r="O59" s="836"/>
    </row>
    <row r="60" spans="1:18" ht="15.75" customHeight="1" x14ac:dyDescent="0.25">
      <c r="J60" s="95"/>
      <c r="K60" s="95"/>
      <c r="L60" s="80"/>
      <c r="M60" s="835"/>
      <c r="N60" s="835"/>
      <c r="O60" s="836"/>
    </row>
    <row r="61" spans="1:18" ht="15.75" customHeight="1" x14ac:dyDescent="0.25">
      <c r="J61" s="95"/>
      <c r="K61" s="95"/>
      <c r="L61" s="80"/>
      <c r="M61" s="835"/>
      <c r="N61" s="835"/>
      <c r="O61" s="836"/>
    </row>
    <row r="62" spans="1:18" ht="15.75" customHeight="1" x14ac:dyDescent="0.25">
      <c r="J62" s="95"/>
      <c r="K62" s="95"/>
      <c r="L62" s="80"/>
      <c r="M62" s="835"/>
      <c r="N62" s="835"/>
      <c r="O62" s="836"/>
    </row>
    <row r="63" spans="1:18" ht="15.75" customHeight="1" x14ac:dyDescent="0.25">
      <c r="J63" s="95"/>
      <c r="K63" s="95"/>
      <c r="L63" s="80"/>
      <c r="M63" s="835"/>
      <c r="N63" s="835"/>
      <c r="O63" s="836"/>
    </row>
    <row r="64" spans="1:18" ht="15.75" customHeight="1" x14ac:dyDescent="0.25">
      <c r="J64" s="95"/>
      <c r="K64" s="95"/>
      <c r="L64" s="80"/>
      <c r="M64" s="835"/>
      <c r="N64" s="835"/>
      <c r="O64" s="836"/>
    </row>
    <row r="65" spans="10:15" ht="15.75" customHeight="1" x14ac:dyDescent="0.25">
      <c r="J65" s="95"/>
      <c r="K65" s="95"/>
      <c r="L65" s="80"/>
      <c r="M65" s="835"/>
      <c r="N65" s="835"/>
      <c r="O65" s="836"/>
    </row>
    <row r="66" spans="10:15" ht="15.75" customHeight="1" x14ac:dyDescent="0.25">
      <c r="J66" s="95"/>
      <c r="K66" s="95"/>
      <c r="L66" s="80"/>
      <c r="M66" s="835"/>
      <c r="N66" s="835"/>
      <c r="O66" s="836"/>
    </row>
    <row r="67" spans="10:15" ht="15.75" customHeight="1" x14ac:dyDescent="0.25">
      <c r="J67" s="95"/>
      <c r="K67" s="95"/>
      <c r="L67" s="80"/>
      <c r="M67" s="835"/>
      <c r="N67" s="835"/>
      <c r="O67" s="836"/>
    </row>
    <row r="68" spans="10:15" ht="15.75" customHeight="1" x14ac:dyDescent="0.25">
      <c r="J68" s="95"/>
      <c r="K68" s="95"/>
      <c r="L68" s="80"/>
      <c r="M68" s="835"/>
      <c r="N68" s="835"/>
      <c r="O68" s="836"/>
    </row>
    <row r="69" spans="10:15" ht="15.75" customHeight="1" x14ac:dyDescent="0.25">
      <c r="J69" s="95"/>
      <c r="K69" s="95"/>
      <c r="L69" s="80"/>
      <c r="M69" s="835"/>
      <c r="N69" s="835"/>
      <c r="O69" s="836"/>
    </row>
    <row r="70" spans="10:15" ht="15.75" customHeight="1" x14ac:dyDescent="0.25">
      <c r="J70" s="95"/>
      <c r="K70" s="95"/>
      <c r="L70" s="80"/>
      <c r="M70" s="835"/>
      <c r="N70" s="835"/>
      <c r="O70" s="836"/>
    </row>
    <row r="71" spans="10:15" ht="15.75" customHeight="1" x14ac:dyDescent="0.25">
      <c r="J71" s="95"/>
      <c r="K71" s="95"/>
      <c r="L71" s="80"/>
      <c r="M71" s="835"/>
      <c r="N71" s="835"/>
      <c r="O71" s="836"/>
    </row>
    <row r="72" spans="10:15" ht="15.75" customHeight="1" x14ac:dyDescent="0.25">
      <c r="J72" s="95"/>
      <c r="K72" s="95"/>
      <c r="L72" s="80"/>
      <c r="M72" s="835"/>
      <c r="N72" s="835"/>
      <c r="O72" s="836"/>
    </row>
    <row r="73" spans="10:15" ht="15.75" customHeight="1" x14ac:dyDescent="0.25">
      <c r="J73" s="95"/>
      <c r="K73" s="95"/>
      <c r="L73" s="80"/>
      <c r="M73" s="835"/>
      <c r="N73" s="835"/>
      <c r="O73" s="836"/>
    </row>
    <row r="74" spans="10:15" ht="15.75" customHeight="1" x14ac:dyDescent="0.25">
      <c r="J74" s="95"/>
      <c r="K74" s="95"/>
      <c r="L74" s="80"/>
      <c r="M74" s="835"/>
      <c r="N74" s="835"/>
      <c r="O74" s="836"/>
    </row>
    <row r="75" spans="10:15" ht="15.75" customHeight="1" x14ac:dyDescent="0.25">
      <c r="J75" s="95"/>
      <c r="K75" s="95"/>
      <c r="L75" s="80"/>
      <c r="M75" s="835"/>
      <c r="N75" s="835"/>
      <c r="O75" s="836"/>
    </row>
    <row r="76" spans="10:15" ht="15.75" customHeight="1" x14ac:dyDescent="0.25">
      <c r="J76" s="95"/>
      <c r="K76" s="95"/>
      <c r="L76" s="80"/>
      <c r="M76" s="835"/>
      <c r="N76" s="835"/>
      <c r="O76" s="836"/>
    </row>
    <row r="77" spans="10:15" ht="15.75" customHeight="1" x14ac:dyDescent="0.25">
      <c r="J77" s="95"/>
      <c r="K77" s="95"/>
      <c r="L77" s="80"/>
      <c r="M77" s="835"/>
      <c r="N77" s="835"/>
      <c r="O77" s="836"/>
    </row>
    <row r="78" spans="10:15" ht="15.75" customHeight="1" x14ac:dyDescent="0.25">
      <c r="J78" s="95"/>
      <c r="K78" s="95"/>
      <c r="L78" s="80"/>
      <c r="M78" s="835"/>
      <c r="N78" s="835"/>
      <c r="O78" s="836"/>
    </row>
    <row r="79" spans="10:15" ht="15.75" customHeight="1" x14ac:dyDescent="0.25">
      <c r="J79" s="95"/>
      <c r="K79" s="95"/>
      <c r="L79" s="80"/>
      <c r="M79" s="835"/>
      <c r="N79" s="835"/>
      <c r="O79" s="836"/>
    </row>
    <row r="80" spans="10:15" ht="15.75" customHeight="1" x14ac:dyDescent="0.25">
      <c r="J80" s="95"/>
      <c r="K80" s="95"/>
      <c r="L80" s="80"/>
      <c r="M80" s="835"/>
      <c r="N80" s="835"/>
      <c r="O80" s="836"/>
    </row>
    <row r="81" spans="10:15" ht="15.75" customHeight="1" x14ac:dyDescent="0.25">
      <c r="J81" s="95"/>
      <c r="K81" s="95"/>
      <c r="L81" s="80"/>
      <c r="M81" s="835"/>
      <c r="N81" s="835"/>
      <c r="O81" s="836"/>
    </row>
    <row r="82" spans="10:15" ht="15.75" customHeight="1" x14ac:dyDescent="0.25">
      <c r="J82" s="95"/>
      <c r="K82" s="95"/>
      <c r="L82" s="80"/>
      <c r="M82" s="835"/>
      <c r="N82" s="835"/>
      <c r="O82" s="836"/>
    </row>
    <row r="83" spans="10:15" ht="15.75" customHeight="1" x14ac:dyDescent="0.25">
      <c r="J83" s="95"/>
      <c r="K83" s="95"/>
      <c r="L83" s="80"/>
      <c r="M83" s="835"/>
      <c r="N83" s="835"/>
      <c r="O83" s="836"/>
    </row>
    <row r="84" spans="10:15" ht="15.75" customHeight="1" x14ac:dyDescent="0.25">
      <c r="J84" s="95"/>
      <c r="K84" s="95"/>
      <c r="L84" s="80"/>
      <c r="M84" s="835"/>
      <c r="N84" s="835"/>
      <c r="O84" s="836"/>
    </row>
    <row r="85" spans="10:15" ht="15.75" customHeight="1" x14ac:dyDescent="0.25">
      <c r="J85" s="95"/>
      <c r="K85" s="95"/>
      <c r="L85" s="80"/>
      <c r="M85" s="835"/>
      <c r="N85" s="835"/>
      <c r="O85" s="836"/>
    </row>
    <row r="86" spans="10:15" ht="15.75" customHeight="1" x14ac:dyDescent="0.25">
      <c r="J86" s="95"/>
      <c r="K86" s="95"/>
      <c r="L86" s="80"/>
      <c r="M86" s="835"/>
      <c r="N86" s="835"/>
      <c r="O86" s="836"/>
    </row>
    <row r="87" spans="10:15" ht="15.75" customHeight="1" x14ac:dyDescent="0.25">
      <c r="J87" s="95"/>
      <c r="K87" s="95"/>
      <c r="L87" s="80"/>
      <c r="M87" s="835"/>
      <c r="N87" s="835"/>
      <c r="O87" s="836"/>
    </row>
    <row r="88" spans="10:15" ht="15.75" customHeight="1" x14ac:dyDescent="0.25">
      <c r="J88" s="95"/>
      <c r="K88" s="95"/>
      <c r="L88" s="80"/>
      <c r="M88" s="835"/>
      <c r="N88" s="835"/>
      <c r="O88" s="836"/>
    </row>
    <row r="89" spans="10:15" ht="15.75" customHeight="1" x14ac:dyDescent="0.25">
      <c r="J89" s="95"/>
      <c r="K89" s="95"/>
      <c r="L89" s="80"/>
      <c r="M89" s="835"/>
      <c r="N89" s="835"/>
      <c r="O89" s="836"/>
    </row>
    <row r="90" spans="10:15" ht="15.75" customHeight="1" x14ac:dyDescent="0.25">
      <c r="J90" s="95"/>
      <c r="K90" s="95"/>
      <c r="L90" s="80"/>
      <c r="M90" s="835"/>
      <c r="N90" s="835"/>
      <c r="O90" s="836"/>
    </row>
    <row r="91" spans="10:15" ht="15.75" customHeight="1" x14ac:dyDescent="0.25">
      <c r="J91" s="95"/>
      <c r="K91" s="95"/>
      <c r="L91" s="80"/>
      <c r="M91" s="835"/>
      <c r="N91" s="835"/>
      <c r="O91" s="836"/>
    </row>
    <row r="92" spans="10:15" ht="15.75" customHeight="1" x14ac:dyDescent="0.25">
      <c r="J92" s="95"/>
      <c r="K92" s="95"/>
      <c r="L92" s="80"/>
      <c r="M92" s="835"/>
      <c r="N92" s="835"/>
      <c r="O92" s="836"/>
    </row>
    <row r="93" spans="10:15" ht="15.75" customHeight="1" x14ac:dyDescent="0.25">
      <c r="J93" s="95"/>
      <c r="K93" s="95"/>
      <c r="L93" s="80"/>
      <c r="M93" s="835"/>
      <c r="N93" s="835"/>
      <c r="O93" s="836"/>
    </row>
    <row r="94" spans="10:15" ht="15.75" customHeight="1" x14ac:dyDescent="0.25">
      <c r="J94" s="95"/>
      <c r="K94" s="95"/>
      <c r="L94" s="80"/>
      <c r="M94" s="835"/>
      <c r="N94" s="835"/>
      <c r="O94" s="836"/>
    </row>
    <row r="95" spans="10:15" ht="15.75" customHeight="1" x14ac:dyDescent="0.25">
      <c r="J95" s="95"/>
      <c r="K95" s="95"/>
      <c r="L95" s="80"/>
      <c r="M95" s="835"/>
      <c r="N95" s="835"/>
      <c r="O95" s="836"/>
    </row>
    <row r="96" spans="10:15" ht="15.75" customHeight="1" x14ac:dyDescent="0.25">
      <c r="J96" s="95"/>
      <c r="K96" s="95"/>
      <c r="L96" s="80"/>
      <c r="M96" s="835"/>
      <c r="N96" s="835"/>
      <c r="O96" s="836"/>
    </row>
    <row r="97" spans="10:15" ht="15.75" customHeight="1" x14ac:dyDescent="0.25">
      <c r="J97" s="95"/>
      <c r="K97" s="95"/>
      <c r="L97" s="80"/>
      <c r="M97" s="835"/>
      <c r="N97" s="835"/>
      <c r="O97" s="836"/>
    </row>
    <row r="98" spans="10:15" ht="15.75" customHeight="1" x14ac:dyDescent="0.25">
      <c r="J98" s="95"/>
      <c r="K98" s="95"/>
      <c r="L98" s="80"/>
      <c r="M98" s="835"/>
      <c r="N98" s="835"/>
      <c r="O98" s="836"/>
    </row>
    <row r="99" spans="10:15" ht="15.75" customHeight="1" x14ac:dyDescent="0.25">
      <c r="J99" s="95"/>
      <c r="K99" s="95"/>
      <c r="L99" s="80"/>
      <c r="M99" s="835"/>
      <c r="N99" s="835"/>
      <c r="O99" s="836"/>
    </row>
    <row r="100" spans="10:15" ht="15.75" customHeight="1" x14ac:dyDescent="0.25">
      <c r="J100" s="95"/>
      <c r="K100" s="95"/>
      <c r="L100" s="80"/>
      <c r="M100" s="835"/>
      <c r="N100" s="835"/>
      <c r="O100" s="836"/>
    </row>
    <row r="101" spans="10:15" ht="15.75" customHeight="1" x14ac:dyDescent="0.25">
      <c r="J101" s="95"/>
      <c r="K101" s="95"/>
      <c r="L101" s="80"/>
      <c r="M101" s="835"/>
      <c r="N101" s="835"/>
      <c r="O101" s="836"/>
    </row>
    <row r="102" spans="10:15" ht="15.75" customHeight="1" x14ac:dyDescent="0.25">
      <c r="J102" s="95"/>
      <c r="K102" s="95"/>
      <c r="L102" s="80"/>
      <c r="M102" s="835"/>
      <c r="N102" s="835"/>
      <c r="O102" s="836"/>
    </row>
    <row r="103" spans="10:15" ht="15.75" customHeight="1" x14ac:dyDescent="0.25">
      <c r="J103" s="95"/>
      <c r="K103" s="95"/>
      <c r="L103" s="80"/>
      <c r="M103" s="835"/>
      <c r="N103" s="835"/>
      <c r="O103" s="836"/>
    </row>
    <row r="104" spans="10:15" ht="15.75" customHeight="1" x14ac:dyDescent="0.25">
      <c r="J104" s="95"/>
      <c r="K104" s="95"/>
      <c r="L104" s="80"/>
      <c r="M104" s="835"/>
      <c r="N104" s="835"/>
      <c r="O104" s="836"/>
    </row>
    <row r="105" spans="10:15" ht="15.75" customHeight="1" x14ac:dyDescent="0.25">
      <c r="J105" s="95"/>
      <c r="K105" s="95"/>
      <c r="L105" s="80"/>
      <c r="M105" s="835"/>
      <c r="N105" s="835"/>
      <c r="O105" s="836"/>
    </row>
    <row r="106" spans="10:15" ht="15.75" customHeight="1" x14ac:dyDescent="0.25">
      <c r="J106" s="95"/>
      <c r="K106" s="95"/>
      <c r="L106" s="80"/>
      <c r="M106" s="835"/>
      <c r="N106" s="835"/>
      <c r="O106" s="836"/>
    </row>
    <row r="107" spans="10:15" ht="15.75" customHeight="1" x14ac:dyDescent="0.25">
      <c r="J107" s="95"/>
      <c r="K107" s="95"/>
      <c r="L107" s="80"/>
      <c r="M107" s="835"/>
      <c r="N107" s="835"/>
      <c r="O107" s="836"/>
    </row>
    <row r="108" spans="10:15" ht="15.75" customHeight="1" x14ac:dyDescent="0.25">
      <c r="J108" s="95"/>
      <c r="K108" s="95"/>
      <c r="L108" s="80"/>
      <c r="M108" s="835"/>
      <c r="N108" s="835"/>
      <c r="O108" s="836"/>
    </row>
    <row r="109" spans="10:15" ht="15.75" customHeight="1" x14ac:dyDescent="0.25">
      <c r="J109" s="95"/>
      <c r="K109" s="95"/>
      <c r="L109" s="80"/>
      <c r="M109" s="835"/>
      <c r="N109" s="835"/>
      <c r="O109" s="836"/>
    </row>
    <row r="110" spans="10:15" ht="15.75" customHeight="1" x14ac:dyDescent="0.25">
      <c r="J110" s="95"/>
      <c r="K110" s="95"/>
      <c r="L110" s="80"/>
      <c r="M110" s="835"/>
      <c r="N110" s="835"/>
      <c r="O110" s="836"/>
    </row>
    <row r="111" spans="10:15" ht="15.75" customHeight="1" x14ac:dyDescent="0.25">
      <c r="J111" s="95"/>
      <c r="K111" s="95"/>
      <c r="L111" s="80"/>
      <c r="M111" s="835"/>
      <c r="N111" s="835"/>
      <c r="O111" s="836"/>
    </row>
    <row r="112" spans="10:15" ht="15.75" customHeight="1" x14ac:dyDescent="0.25">
      <c r="J112" s="95"/>
      <c r="K112" s="95"/>
      <c r="L112" s="80"/>
      <c r="M112" s="835"/>
      <c r="N112" s="835"/>
      <c r="O112" s="836"/>
    </row>
    <row r="113" spans="10:15" ht="15.75" customHeight="1" x14ac:dyDescent="0.25">
      <c r="J113" s="95"/>
      <c r="K113" s="95"/>
      <c r="L113" s="80"/>
      <c r="M113" s="835"/>
      <c r="N113" s="835"/>
      <c r="O113" s="836"/>
    </row>
    <row r="114" spans="10:15" ht="15.75" customHeight="1" x14ac:dyDescent="0.25">
      <c r="J114" s="95"/>
      <c r="K114" s="95"/>
      <c r="L114" s="80"/>
      <c r="M114" s="835"/>
      <c r="N114" s="835"/>
      <c r="O114" s="836"/>
    </row>
    <row r="115" spans="10:15" ht="15.75" customHeight="1" x14ac:dyDescent="0.25">
      <c r="J115" s="95"/>
      <c r="K115" s="95"/>
      <c r="L115" s="80"/>
      <c r="M115" s="835"/>
      <c r="N115" s="835"/>
      <c r="O115" s="836"/>
    </row>
    <row r="116" spans="10:15" ht="15.75" customHeight="1" x14ac:dyDescent="0.25">
      <c r="J116" s="95"/>
      <c r="K116" s="95"/>
      <c r="L116" s="80"/>
      <c r="M116" s="835"/>
      <c r="N116" s="835"/>
      <c r="O116" s="836"/>
    </row>
    <row r="117" spans="10:15" ht="15.75" customHeight="1" x14ac:dyDescent="0.25">
      <c r="J117" s="95"/>
      <c r="K117" s="95"/>
      <c r="L117" s="80"/>
      <c r="M117" s="835"/>
      <c r="N117" s="835"/>
      <c r="O117" s="836"/>
    </row>
    <row r="118" spans="10:15" ht="15.75" customHeight="1" x14ac:dyDescent="0.25">
      <c r="J118" s="95"/>
      <c r="K118" s="95"/>
      <c r="L118" s="80"/>
      <c r="M118" s="835"/>
      <c r="N118" s="835"/>
      <c r="O118" s="836"/>
    </row>
    <row r="119" spans="10:15" ht="15.75" customHeight="1" x14ac:dyDescent="0.25">
      <c r="J119" s="95"/>
      <c r="K119" s="95"/>
      <c r="L119" s="80"/>
      <c r="M119" s="835"/>
      <c r="N119" s="835"/>
      <c r="O119" s="836"/>
    </row>
    <row r="120" spans="10:15" ht="15.75" customHeight="1" x14ac:dyDescent="0.25">
      <c r="J120" s="95"/>
      <c r="K120" s="95"/>
      <c r="L120" s="80"/>
      <c r="M120" s="835"/>
      <c r="N120" s="835"/>
      <c r="O120" s="836"/>
    </row>
    <row r="121" spans="10:15" ht="15.75" customHeight="1" x14ac:dyDescent="0.25">
      <c r="J121" s="95"/>
      <c r="K121" s="95"/>
      <c r="L121" s="80"/>
      <c r="M121" s="835"/>
      <c r="N121" s="835"/>
      <c r="O121" s="836"/>
    </row>
    <row r="122" spans="10:15" ht="15.75" customHeight="1" x14ac:dyDescent="0.25">
      <c r="J122" s="95"/>
      <c r="K122" s="95"/>
      <c r="L122" s="80"/>
      <c r="M122" s="835"/>
      <c r="N122" s="835"/>
      <c r="O122" s="836"/>
    </row>
    <row r="123" spans="10:15" ht="15.75" customHeight="1" x14ac:dyDescent="0.25">
      <c r="J123" s="95"/>
      <c r="K123" s="95"/>
      <c r="L123" s="80"/>
      <c r="M123" s="835"/>
      <c r="N123" s="835"/>
      <c r="O123" s="836"/>
    </row>
    <row r="124" spans="10:15" ht="15.75" customHeight="1" x14ac:dyDescent="0.25">
      <c r="J124" s="95"/>
      <c r="K124" s="95"/>
      <c r="L124" s="80"/>
      <c r="M124" s="835"/>
      <c r="N124" s="835"/>
      <c r="O124" s="836"/>
    </row>
    <row r="125" spans="10:15" ht="15.75" customHeight="1" x14ac:dyDescent="0.25">
      <c r="J125" s="95"/>
      <c r="K125" s="95"/>
      <c r="L125" s="80"/>
      <c r="M125" s="835"/>
      <c r="N125" s="835"/>
      <c r="O125" s="836"/>
    </row>
    <row r="126" spans="10:15" ht="15.75" customHeight="1" x14ac:dyDescent="0.25">
      <c r="J126" s="95"/>
      <c r="K126" s="95"/>
      <c r="L126" s="80"/>
      <c r="M126" s="835"/>
      <c r="N126" s="835"/>
      <c r="O126" s="836"/>
    </row>
    <row r="127" spans="10:15" ht="15.75" customHeight="1" x14ac:dyDescent="0.25">
      <c r="J127" s="95"/>
      <c r="K127" s="95"/>
      <c r="L127" s="80"/>
      <c r="M127" s="835"/>
      <c r="N127" s="835"/>
      <c r="O127" s="836"/>
    </row>
    <row r="128" spans="10:15" ht="15.75" customHeight="1" x14ac:dyDescent="0.25">
      <c r="J128" s="95"/>
      <c r="K128" s="95"/>
      <c r="L128" s="80"/>
      <c r="M128" s="835"/>
      <c r="N128" s="835"/>
      <c r="O128" s="836"/>
    </row>
    <row r="129" spans="10:15" ht="15.75" customHeight="1" x14ac:dyDescent="0.25">
      <c r="J129" s="95"/>
      <c r="K129" s="95"/>
      <c r="L129" s="80"/>
      <c r="M129" s="835"/>
      <c r="N129" s="835"/>
      <c r="O129" s="836"/>
    </row>
    <row r="130" spans="10:15" ht="15.75" customHeight="1" x14ac:dyDescent="0.25">
      <c r="J130" s="95"/>
      <c r="K130" s="95"/>
      <c r="L130" s="80"/>
      <c r="M130" s="835"/>
      <c r="N130" s="835"/>
      <c r="O130" s="836"/>
    </row>
    <row r="131" spans="10:15" ht="15.75" customHeight="1" x14ac:dyDescent="0.25">
      <c r="J131" s="95"/>
      <c r="K131" s="95"/>
      <c r="L131" s="80"/>
      <c r="M131" s="835"/>
      <c r="N131" s="835"/>
      <c r="O131" s="836"/>
    </row>
    <row r="132" spans="10:15" ht="15.75" customHeight="1" x14ac:dyDescent="0.25">
      <c r="J132" s="95"/>
      <c r="K132" s="95"/>
      <c r="L132" s="80"/>
      <c r="M132" s="835"/>
      <c r="N132" s="835"/>
      <c r="O132" s="836"/>
    </row>
    <row r="133" spans="10:15" ht="15.75" customHeight="1" x14ac:dyDescent="0.25">
      <c r="J133" s="95"/>
      <c r="K133" s="95"/>
      <c r="L133" s="80"/>
      <c r="M133" s="835"/>
      <c r="N133" s="835"/>
      <c r="O133" s="836"/>
    </row>
    <row r="134" spans="10:15" ht="15.75" customHeight="1" x14ac:dyDescent="0.25">
      <c r="J134" s="95"/>
      <c r="K134" s="95"/>
      <c r="L134" s="80"/>
      <c r="M134" s="835"/>
      <c r="N134" s="835"/>
      <c r="O134" s="836"/>
    </row>
    <row r="135" spans="10:15" ht="15.75" customHeight="1" x14ac:dyDescent="0.25">
      <c r="J135" s="95"/>
      <c r="K135" s="95"/>
      <c r="L135" s="80"/>
      <c r="M135" s="835"/>
      <c r="N135" s="835"/>
      <c r="O135" s="836"/>
    </row>
    <row r="136" spans="10:15" ht="15.75" customHeight="1" x14ac:dyDescent="0.25">
      <c r="J136" s="95"/>
      <c r="K136" s="95"/>
      <c r="L136" s="80"/>
      <c r="M136" s="835"/>
      <c r="N136" s="835"/>
      <c r="O136" s="836"/>
    </row>
    <row r="137" spans="10:15" ht="15.75" customHeight="1" x14ac:dyDescent="0.25">
      <c r="J137" s="95"/>
      <c r="K137" s="95"/>
      <c r="L137" s="80"/>
      <c r="M137" s="835"/>
      <c r="N137" s="835"/>
      <c r="O137" s="836"/>
    </row>
    <row r="138" spans="10:15" ht="15.75" customHeight="1" x14ac:dyDescent="0.25">
      <c r="J138" s="95"/>
      <c r="K138" s="95"/>
      <c r="L138" s="80"/>
      <c r="M138" s="835"/>
      <c r="N138" s="835"/>
      <c r="O138" s="836"/>
    </row>
    <row r="139" spans="10:15" ht="15.75" customHeight="1" x14ac:dyDescent="0.25">
      <c r="J139" s="95"/>
      <c r="K139" s="95"/>
      <c r="L139" s="80"/>
      <c r="M139" s="835"/>
      <c r="N139" s="835"/>
      <c r="O139" s="836"/>
    </row>
    <row r="140" spans="10:15" ht="15.75" customHeight="1" x14ac:dyDescent="0.25">
      <c r="J140" s="95"/>
      <c r="K140" s="95"/>
      <c r="L140" s="80"/>
      <c r="M140" s="835"/>
      <c r="N140" s="835"/>
      <c r="O140" s="836"/>
    </row>
    <row r="141" spans="10:15" ht="15.75" customHeight="1" x14ac:dyDescent="0.25">
      <c r="J141" s="95"/>
      <c r="K141" s="95"/>
      <c r="L141" s="80"/>
      <c r="M141" s="835"/>
      <c r="N141" s="835"/>
      <c r="O141" s="836"/>
    </row>
    <row r="142" spans="10:15" ht="15.75" customHeight="1" x14ac:dyDescent="0.25">
      <c r="J142" s="95"/>
      <c r="K142" s="95"/>
      <c r="L142" s="80"/>
      <c r="M142" s="835"/>
      <c r="N142" s="835"/>
      <c r="O142" s="836"/>
    </row>
    <row r="143" spans="10:15" ht="15.75" customHeight="1" x14ac:dyDescent="0.25">
      <c r="J143" s="95"/>
      <c r="K143" s="95"/>
      <c r="L143" s="80"/>
      <c r="M143" s="835"/>
      <c r="N143" s="835"/>
      <c r="O143" s="836"/>
    </row>
    <row r="144" spans="10:15" ht="15.75" customHeight="1" x14ac:dyDescent="0.25">
      <c r="J144" s="95"/>
      <c r="K144" s="95"/>
      <c r="L144" s="80"/>
      <c r="M144" s="835"/>
      <c r="N144" s="835"/>
      <c r="O144" s="836"/>
    </row>
    <row r="145" spans="10:15" ht="15.75" customHeight="1" x14ac:dyDescent="0.25">
      <c r="J145" s="95"/>
      <c r="K145" s="95"/>
      <c r="L145" s="80"/>
      <c r="M145" s="835"/>
      <c r="N145" s="835"/>
      <c r="O145" s="836"/>
    </row>
    <row r="146" spans="10:15" ht="15.75" customHeight="1" x14ac:dyDescent="0.25">
      <c r="J146" s="95"/>
      <c r="K146" s="95"/>
      <c r="L146" s="80"/>
      <c r="M146" s="835"/>
      <c r="N146" s="835"/>
      <c r="O146" s="836"/>
    </row>
    <row r="147" spans="10:15" ht="15.75" customHeight="1" x14ac:dyDescent="0.25">
      <c r="J147" s="95"/>
      <c r="K147" s="95"/>
      <c r="L147" s="80"/>
      <c r="M147" s="835"/>
      <c r="N147" s="835"/>
      <c r="O147" s="836"/>
    </row>
    <row r="148" spans="10:15" ht="15.75" customHeight="1" x14ac:dyDescent="0.25">
      <c r="J148" s="95"/>
      <c r="K148" s="95"/>
      <c r="L148" s="80"/>
      <c r="M148" s="835"/>
      <c r="N148" s="835"/>
      <c r="O148" s="836"/>
    </row>
    <row r="149" spans="10:15" ht="15.75" customHeight="1" x14ac:dyDescent="0.25">
      <c r="J149" s="95"/>
      <c r="K149" s="95"/>
      <c r="L149" s="80"/>
      <c r="M149" s="835"/>
      <c r="N149" s="835"/>
      <c r="O149" s="836"/>
    </row>
    <row r="150" spans="10:15" ht="15.75" customHeight="1" x14ac:dyDescent="0.25">
      <c r="J150" s="95"/>
      <c r="K150" s="95"/>
      <c r="L150" s="80"/>
      <c r="M150" s="835"/>
      <c r="N150" s="835"/>
      <c r="O150" s="836"/>
    </row>
    <row r="151" spans="10:15" ht="15.75" customHeight="1" x14ac:dyDescent="0.25">
      <c r="J151" s="95"/>
      <c r="K151" s="95"/>
      <c r="L151" s="80"/>
      <c r="M151" s="835"/>
      <c r="N151" s="835"/>
      <c r="O151" s="836"/>
    </row>
    <row r="152" spans="10:15" ht="15.75" customHeight="1" x14ac:dyDescent="0.25">
      <c r="J152" s="95"/>
      <c r="K152" s="95"/>
      <c r="L152" s="80"/>
      <c r="M152" s="835"/>
      <c r="N152" s="835"/>
      <c r="O152" s="836"/>
    </row>
    <row r="153" spans="10:15" ht="15.75" customHeight="1" x14ac:dyDescent="0.25">
      <c r="J153" s="95"/>
      <c r="K153" s="95"/>
      <c r="L153" s="80"/>
      <c r="M153" s="835"/>
      <c r="N153" s="835"/>
      <c r="O153" s="836"/>
    </row>
    <row r="154" spans="10:15" ht="15.75" customHeight="1" x14ac:dyDescent="0.25">
      <c r="J154" s="95"/>
      <c r="K154" s="95"/>
      <c r="L154" s="80"/>
      <c r="M154" s="835"/>
      <c r="N154" s="835"/>
      <c r="O154" s="836"/>
    </row>
    <row r="155" spans="10:15" ht="15.75" customHeight="1" x14ac:dyDescent="0.25">
      <c r="J155" s="95"/>
      <c r="K155" s="95"/>
      <c r="L155" s="80"/>
      <c r="M155" s="835"/>
      <c r="N155" s="835"/>
      <c r="O155" s="836"/>
    </row>
    <row r="156" spans="10:15" ht="15.75" customHeight="1" x14ac:dyDescent="0.25">
      <c r="J156" s="95"/>
      <c r="K156" s="95"/>
      <c r="L156" s="80"/>
      <c r="M156" s="835"/>
      <c r="N156" s="835"/>
      <c r="O156" s="836"/>
    </row>
    <row r="157" spans="10:15" ht="15.75" customHeight="1" x14ac:dyDescent="0.25">
      <c r="J157" s="95"/>
      <c r="K157" s="95"/>
      <c r="L157" s="80"/>
      <c r="M157" s="835"/>
      <c r="N157" s="835"/>
      <c r="O157" s="836"/>
    </row>
    <row r="158" spans="10:15" ht="15.75" customHeight="1" x14ac:dyDescent="0.25">
      <c r="J158" s="95"/>
      <c r="K158" s="95"/>
      <c r="L158" s="80"/>
      <c r="M158" s="835"/>
      <c r="N158" s="835"/>
      <c r="O158" s="836"/>
    </row>
    <row r="159" spans="10:15" ht="15.75" customHeight="1" x14ac:dyDescent="0.25">
      <c r="J159" s="95"/>
      <c r="K159" s="95"/>
      <c r="L159" s="80"/>
      <c r="M159" s="835"/>
      <c r="N159" s="835"/>
      <c r="O159" s="836"/>
    </row>
    <row r="160" spans="10:15" ht="15.75" customHeight="1" x14ac:dyDescent="0.25">
      <c r="J160" s="95"/>
      <c r="K160" s="95"/>
      <c r="L160" s="80"/>
      <c r="M160" s="835"/>
      <c r="N160" s="835"/>
      <c r="O160" s="836"/>
    </row>
    <row r="161" spans="10:15" ht="15.75" customHeight="1" x14ac:dyDescent="0.25">
      <c r="J161" s="95"/>
      <c r="K161" s="95"/>
      <c r="L161" s="80"/>
      <c r="M161" s="835"/>
      <c r="N161" s="835"/>
      <c r="O161" s="836"/>
    </row>
    <row r="162" spans="10:15" ht="15.75" customHeight="1" x14ac:dyDescent="0.25">
      <c r="J162" s="95"/>
      <c r="K162" s="95"/>
      <c r="L162" s="80"/>
      <c r="M162" s="835"/>
      <c r="N162" s="835"/>
      <c r="O162" s="836"/>
    </row>
    <row r="163" spans="10:15" ht="15.75" customHeight="1" x14ac:dyDescent="0.25">
      <c r="J163" s="95"/>
      <c r="K163" s="95"/>
      <c r="L163" s="80"/>
      <c r="M163" s="835"/>
      <c r="N163" s="835"/>
      <c r="O163" s="836"/>
    </row>
    <row r="164" spans="10:15" ht="15.75" customHeight="1" x14ac:dyDescent="0.25">
      <c r="J164" s="95"/>
      <c r="K164" s="95"/>
      <c r="L164" s="80"/>
      <c r="M164" s="835"/>
      <c r="N164" s="835"/>
      <c r="O164" s="836"/>
    </row>
    <row r="165" spans="10:15" ht="15.75" customHeight="1" x14ac:dyDescent="0.25">
      <c r="J165" s="95"/>
      <c r="K165" s="95"/>
      <c r="L165" s="80"/>
      <c r="M165" s="835"/>
      <c r="N165" s="835"/>
      <c r="O165" s="836"/>
    </row>
    <row r="166" spans="10:15" ht="15.75" customHeight="1" x14ac:dyDescent="0.25">
      <c r="J166" s="95"/>
      <c r="K166" s="95"/>
      <c r="L166" s="80"/>
      <c r="M166" s="835"/>
      <c r="N166" s="835"/>
      <c r="O166" s="836"/>
    </row>
    <row r="167" spans="10:15" ht="15.75" customHeight="1" x14ac:dyDescent="0.25">
      <c r="J167" s="95"/>
      <c r="K167" s="95"/>
      <c r="L167" s="80"/>
      <c r="M167" s="835"/>
      <c r="N167" s="835"/>
      <c r="O167" s="836"/>
    </row>
    <row r="168" spans="10:15" ht="15.75" customHeight="1" x14ac:dyDescent="0.25">
      <c r="J168" s="95"/>
      <c r="K168" s="95"/>
      <c r="L168" s="80"/>
      <c r="M168" s="835"/>
      <c r="N168" s="835"/>
      <c r="O168" s="836"/>
    </row>
    <row r="169" spans="10:15" ht="15.75" customHeight="1" x14ac:dyDescent="0.25">
      <c r="J169" s="95"/>
      <c r="K169" s="95"/>
      <c r="L169" s="80"/>
      <c r="M169" s="835"/>
      <c r="N169" s="835"/>
      <c r="O169" s="836"/>
    </row>
    <row r="170" spans="10:15" ht="15.75" customHeight="1" x14ac:dyDescent="0.25">
      <c r="J170" s="95"/>
      <c r="K170" s="95"/>
      <c r="L170" s="80"/>
      <c r="M170" s="835"/>
      <c r="N170" s="835"/>
      <c r="O170" s="836"/>
    </row>
    <row r="171" spans="10:15" ht="15.75" customHeight="1" x14ac:dyDescent="0.25">
      <c r="J171" s="95"/>
      <c r="K171" s="95"/>
      <c r="L171" s="80"/>
      <c r="M171" s="835"/>
      <c r="N171" s="835"/>
      <c r="O171" s="836"/>
    </row>
    <row r="172" spans="10:15" ht="15.75" customHeight="1" x14ac:dyDescent="0.25">
      <c r="J172" s="95"/>
      <c r="K172" s="95"/>
      <c r="L172" s="80"/>
      <c r="M172" s="835"/>
      <c r="N172" s="835"/>
      <c r="O172" s="836"/>
    </row>
    <row r="173" spans="10:15" ht="15.75" customHeight="1" x14ac:dyDescent="0.25">
      <c r="J173" s="95"/>
      <c r="K173" s="95"/>
      <c r="L173" s="80"/>
      <c r="M173" s="835"/>
      <c r="N173" s="835"/>
      <c r="O173" s="836"/>
    </row>
    <row r="174" spans="10:15" ht="15.75" customHeight="1" x14ac:dyDescent="0.25">
      <c r="J174" s="95"/>
      <c r="K174" s="95"/>
      <c r="L174" s="80"/>
      <c r="M174" s="835"/>
      <c r="N174" s="835"/>
      <c r="O174" s="836"/>
    </row>
    <row r="175" spans="10:15" ht="15.75" customHeight="1" x14ac:dyDescent="0.25">
      <c r="J175" s="95"/>
      <c r="K175" s="95"/>
      <c r="L175" s="80"/>
      <c r="M175" s="835"/>
      <c r="N175" s="835"/>
      <c r="O175" s="836"/>
    </row>
    <row r="176" spans="10:15" ht="15.75" customHeight="1" x14ac:dyDescent="0.25">
      <c r="J176" s="95"/>
      <c r="K176" s="95"/>
      <c r="L176" s="80"/>
      <c r="M176" s="835"/>
      <c r="N176" s="835"/>
      <c r="O176" s="836"/>
    </row>
    <row r="177" spans="10:15" ht="15.75" customHeight="1" x14ac:dyDescent="0.25">
      <c r="J177" s="95"/>
      <c r="K177" s="95"/>
      <c r="L177" s="80"/>
      <c r="M177" s="835"/>
      <c r="N177" s="835"/>
      <c r="O177" s="836"/>
    </row>
    <row r="178" spans="10:15" ht="15.75" customHeight="1" x14ac:dyDescent="0.25">
      <c r="J178" s="95"/>
      <c r="K178" s="95"/>
      <c r="L178" s="80"/>
      <c r="M178" s="835"/>
      <c r="N178" s="835"/>
      <c r="O178" s="836"/>
    </row>
    <row r="179" spans="10:15" ht="15.75" customHeight="1" x14ac:dyDescent="0.25">
      <c r="J179" s="95"/>
      <c r="K179" s="95"/>
      <c r="L179" s="80"/>
      <c r="M179" s="835"/>
      <c r="N179" s="835"/>
      <c r="O179" s="836"/>
    </row>
    <row r="180" spans="10:15" ht="15.75" customHeight="1" x14ac:dyDescent="0.25">
      <c r="J180" s="95"/>
      <c r="K180" s="95"/>
      <c r="L180" s="80"/>
      <c r="M180" s="835"/>
      <c r="N180" s="835"/>
      <c r="O180" s="836"/>
    </row>
    <row r="181" spans="10:15" ht="15.75" customHeight="1" x14ac:dyDescent="0.25">
      <c r="J181" s="95"/>
      <c r="K181" s="95"/>
      <c r="L181" s="80"/>
      <c r="M181" s="835"/>
      <c r="N181" s="835"/>
      <c r="O181" s="836"/>
    </row>
    <row r="182" spans="10:15" ht="15.75" customHeight="1" x14ac:dyDescent="0.25">
      <c r="J182" s="95"/>
      <c r="K182" s="95"/>
      <c r="L182" s="80"/>
      <c r="M182" s="835"/>
      <c r="N182" s="835"/>
      <c r="O182" s="836"/>
    </row>
    <row r="183" spans="10:15" ht="15.75" customHeight="1" x14ac:dyDescent="0.25">
      <c r="J183" s="95"/>
      <c r="K183" s="95"/>
      <c r="L183" s="80"/>
      <c r="M183" s="835"/>
      <c r="N183" s="835"/>
      <c r="O183" s="836"/>
    </row>
    <row r="184" spans="10:15" ht="15.75" customHeight="1" x14ac:dyDescent="0.25">
      <c r="J184" s="95"/>
      <c r="K184" s="95"/>
      <c r="L184" s="80"/>
      <c r="M184" s="835"/>
      <c r="N184" s="835"/>
      <c r="O184" s="836"/>
    </row>
    <row r="185" spans="10:15" ht="15.75" customHeight="1" x14ac:dyDescent="0.25">
      <c r="J185" s="95"/>
      <c r="K185" s="95"/>
      <c r="L185" s="80"/>
      <c r="M185" s="835"/>
      <c r="N185" s="835"/>
      <c r="O185" s="836"/>
    </row>
    <row r="186" spans="10:15" ht="15.75" customHeight="1" x14ac:dyDescent="0.25">
      <c r="J186" s="95"/>
      <c r="K186" s="95"/>
      <c r="L186" s="80"/>
      <c r="M186" s="835"/>
      <c r="N186" s="835"/>
      <c r="O186" s="836"/>
    </row>
    <row r="187" spans="10:15" ht="15.75" customHeight="1" x14ac:dyDescent="0.25">
      <c r="J187" s="95"/>
      <c r="K187" s="95"/>
      <c r="L187" s="80"/>
      <c r="M187" s="835"/>
      <c r="N187" s="835"/>
      <c r="O187" s="836"/>
    </row>
    <row r="188" spans="10:15" ht="15.75" customHeight="1" x14ac:dyDescent="0.25">
      <c r="J188" s="95"/>
      <c r="K188" s="95"/>
      <c r="L188" s="80"/>
      <c r="M188" s="835"/>
      <c r="N188" s="835"/>
      <c r="O188" s="836"/>
    </row>
    <row r="189" spans="10:15" ht="15.75" customHeight="1" x14ac:dyDescent="0.25">
      <c r="J189" s="95"/>
      <c r="K189" s="95"/>
      <c r="L189" s="80"/>
      <c r="M189" s="835"/>
      <c r="N189" s="835"/>
      <c r="O189" s="836"/>
    </row>
    <row r="190" spans="10:15" ht="15.75" customHeight="1" x14ac:dyDescent="0.25">
      <c r="J190" s="95"/>
      <c r="K190" s="95"/>
      <c r="L190" s="80"/>
      <c r="M190" s="835"/>
      <c r="N190" s="835"/>
      <c r="O190" s="836"/>
    </row>
    <row r="191" spans="10:15" ht="15.75" customHeight="1" x14ac:dyDescent="0.25">
      <c r="J191" s="95"/>
      <c r="K191" s="95"/>
      <c r="L191" s="80"/>
      <c r="M191" s="835"/>
      <c r="N191" s="835"/>
      <c r="O191" s="836"/>
    </row>
    <row r="192" spans="10:15" ht="15.75" customHeight="1" x14ac:dyDescent="0.25">
      <c r="J192" s="95"/>
      <c r="K192" s="95"/>
      <c r="L192" s="80"/>
      <c r="M192" s="835"/>
      <c r="N192" s="835"/>
      <c r="O192" s="836"/>
    </row>
    <row r="193" spans="10:15" ht="15.75" customHeight="1" x14ac:dyDescent="0.25">
      <c r="J193" s="95"/>
      <c r="K193" s="95"/>
      <c r="L193" s="80"/>
      <c r="M193" s="835"/>
      <c r="N193" s="835"/>
      <c r="O193" s="836"/>
    </row>
    <row r="194" spans="10:15" ht="15.75" customHeight="1" x14ac:dyDescent="0.25">
      <c r="J194" s="95"/>
      <c r="K194" s="95"/>
      <c r="L194" s="80"/>
      <c r="M194" s="835"/>
      <c r="N194" s="835"/>
      <c r="O194" s="836"/>
    </row>
    <row r="195" spans="10:15" ht="15.75" customHeight="1" x14ac:dyDescent="0.25">
      <c r="J195" s="95"/>
      <c r="K195" s="95"/>
      <c r="L195" s="80"/>
      <c r="M195" s="835"/>
      <c r="N195" s="835"/>
      <c r="O195" s="836"/>
    </row>
    <row r="196" spans="10:15" ht="15.75" customHeight="1" x14ac:dyDescent="0.25">
      <c r="J196" s="95"/>
      <c r="K196" s="95"/>
      <c r="L196" s="80"/>
      <c r="M196" s="835"/>
      <c r="N196" s="835"/>
      <c r="O196" s="836"/>
    </row>
    <row r="197" spans="10:15" ht="15.75" customHeight="1" x14ac:dyDescent="0.25">
      <c r="J197" s="95"/>
      <c r="K197" s="95"/>
      <c r="L197" s="80"/>
      <c r="M197" s="835"/>
      <c r="N197" s="835"/>
      <c r="O197" s="836"/>
    </row>
    <row r="198" spans="10:15" ht="15.75" customHeight="1" x14ac:dyDescent="0.25">
      <c r="J198" s="95"/>
      <c r="K198" s="95"/>
      <c r="L198" s="80"/>
      <c r="M198" s="835"/>
      <c r="N198" s="835"/>
      <c r="O198" s="836"/>
    </row>
    <row r="199" spans="10:15" ht="15.75" customHeight="1" x14ac:dyDescent="0.25">
      <c r="J199" s="95"/>
      <c r="K199" s="95"/>
      <c r="L199" s="80"/>
      <c r="M199" s="835"/>
      <c r="N199" s="835"/>
      <c r="O199" s="836"/>
    </row>
    <row r="200" spans="10:15" ht="15.75" customHeight="1" x14ac:dyDescent="0.25">
      <c r="J200" s="95"/>
      <c r="K200" s="95"/>
      <c r="L200" s="80"/>
      <c r="M200" s="835"/>
      <c r="N200" s="835"/>
      <c r="O200" s="836"/>
    </row>
    <row r="201" spans="10:15" ht="15.75" customHeight="1" x14ac:dyDescent="0.25">
      <c r="J201" s="95"/>
      <c r="K201" s="95"/>
      <c r="L201" s="80"/>
      <c r="M201" s="835"/>
      <c r="N201" s="835"/>
      <c r="O201" s="836"/>
    </row>
    <row r="202" spans="10:15" ht="15.75" customHeight="1" x14ac:dyDescent="0.25">
      <c r="J202" s="95"/>
      <c r="K202" s="95"/>
      <c r="L202" s="80"/>
      <c r="M202" s="835"/>
      <c r="N202" s="835"/>
      <c r="O202" s="836"/>
    </row>
    <row r="203" spans="10:15" ht="15.75" customHeight="1" x14ac:dyDescent="0.25">
      <c r="J203" s="95"/>
      <c r="K203" s="95"/>
      <c r="L203" s="80"/>
      <c r="M203" s="835"/>
      <c r="N203" s="835"/>
      <c r="O203" s="836"/>
    </row>
    <row r="204" spans="10:15" ht="15.75" customHeight="1" x14ac:dyDescent="0.25">
      <c r="J204" s="95"/>
      <c r="K204" s="95"/>
      <c r="L204" s="80"/>
      <c r="M204" s="835"/>
      <c r="N204" s="835"/>
      <c r="O204" s="836"/>
    </row>
    <row r="205" spans="10:15" ht="15.75" customHeight="1" x14ac:dyDescent="0.25">
      <c r="J205" s="95"/>
      <c r="K205" s="95"/>
      <c r="L205" s="80"/>
      <c r="M205" s="835"/>
      <c r="N205" s="835"/>
      <c r="O205" s="836"/>
    </row>
    <row r="206" spans="10:15" ht="15.75" customHeight="1" x14ac:dyDescent="0.25">
      <c r="J206" s="95"/>
      <c r="K206" s="95"/>
      <c r="L206" s="80"/>
      <c r="M206" s="835"/>
      <c r="N206" s="835"/>
      <c r="O206" s="836"/>
    </row>
    <row r="207" spans="10:15" ht="15.75" customHeight="1" x14ac:dyDescent="0.25">
      <c r="J207" s="95"/>
      <c r="K207" s="95"/>
      <c r="L207" s="80"/>
      <c r="M207" s="835"/>
      <c r="N207" s="835"/>
      <c r="O207" s="836"/>
    </row>
    <row r="208" spans="10:15" ht="15.75" customHeight="1" x14ac:dyDescent="0.25">
      <c r="J208" s="95"/>
      <c r="K208" s="95"/>
      <c r="L208" s="80"/>
      <c r="M208" s="835"/>
      <c r="N208" s="835"/>
      <c r="O208" s="836"/>
    </row>
    <row r="209" spans="10:15" ht="15.75" customHeight="1" x14ac:dyDescent="0.25">
      <c r="J209" s="95"/>
      <c r="K209" s="95"/>
      <c r="L209" s="80"/>
      <c r="M209" s="835"/>
      <c r="N209" s="835"/>
      <c r="O209" s="836"/>
    </row>
    <row r="210" spans="10:15" ht="15.75" customHeight="1" x14ac:dyDescent="0.25">
      <c r="J210" s="95"/>
      <c r="K210" s="95"/>
      <c r="L210" s="80"/>
      <c r="M210" s="835"/>
      <c r="N210" s="835"/>
      <c r="O210" s="836"/>
    </row>
    <row r="211" spans="10:15" ht="15.75" customHeight="1" x14ac:dyDescent="0.25">
      <c r="J211" s="95"/>
      <c r="K211" s="95"/>
      <c r="L211" s="80"/>
      <c r="M211" s="835"/>
      <c r="N211" s="835"/>
      <c r="O211" s="836"/>
    </row>
    <row r="212" spans="10:15" ht="15.75" customHeight="1" x14ac:dyDescent="0.25">
      <c r="J212" s="95"/>
      <c r="K212" s="95"/>
      <c r="L212" s="80"/>
      <c r="M212" s="835"/>
      <c r="N212" s="835"/>
      <c r="O212" s="836"/>
    </row>
    <row r="213" spans="10:15" ht="15.75" customHeight="1" x14ac:dyDescent="0.25">
      <c r="J213" s="95"/>
      <c r="K213" s="95"/>
      <c r="L213" s="80"/>
      <c r="M213" s="835"/>
      <c r="N213" s="835"/>
      <c r="O213" s="836"/>
    </row>
    <row r="214" spans="10:15" ht="15.75" customHeight="1" x14ac:dyDescent="0.25">
      <c r="J214" s="95"/>
      <c r="K214" s="95"/>
      <c r="L214" s="80"/>
      <c r="M214" s="835"/>
      <c r="N214" s="835"/>
      <c r="O214" s="836"/>
    </row>
    <row r="215" spans="10:15" ht="15.75" customHeight="1" x14ac:dyDescent="0.25">
      <c r="J215" s="95"/>
      <c r="K215" s="95"/>
      <c r="L215" s="80"/>
      <c r="M215" s="835"/>
      <c r="N215" s="835"/>
      <c r="O215" s="836"/>
    </row>
    <row r="216" spans="10:15" ht="15.75" customHeight="1" x14ac:dyDescent="0.25">
      <c r="J216" s="95"/>
      <c r="K216" s="95"/>
      <c r="L216" s="80"/>
      <c r="M216" s="835"/>
      <c r="N216" s="835"/>
      <c r="O216" s="836"/>
    </row>
    <row r="217" spans="10:15" ht="15.75" customHeight="1" x14ac:dyDescent="0.25">
      <c r="J217" s="95"/>
      <c r="K217" s="95"/>
      <c r="L217" s="80"/>
      <c r="M217" s="835"/>
      <c r="N217" s="835"/>
      <c r="O217" s="836"/>
    </row>
    <row r="218" spans="10:15" ht="15.75" customHeight="1" x14ac:dyDescent="0.25">
      <c r="J218" s="95"/>
      <c r="K218" s="95"/>
      <c r="L218" s="80"/>
      <c r="M218" s="835"/>
      <c r="N218" s="835"/>
      <c r="O218" s="836"/>
    </row>
    <row r="219" spans="10:15" ht="15.75" customHeight="1" x14ac:dyDescent="0.25">
      <c r="J219" s="95"/>
      <c r="K219" s="95"/>
      <c r="L219" s="80"/>
      <c r="M219" s="835"/>
      <c r="N219" s="835"/>
      <c r="O219" s="836"/>
    </row>
    <row r="220" spans="10:15" ht="15.75" customHeight="1" x14ac:dyDescent="0.25">
      <c r="J220" s="95"/>
      <c r="K220" s="95"/>
      <c r="L220" s="80"/>
      <c r="M220" s="835"/>
      <c r="N220" s="835"/>
      <c r="O220" s="836"/>
    </row>
    <row r="221" spans="10:15" ht="15.75" customHeight="1" x14ac:dyDescent="0.25">
      <c r="J221" s="95"/>
      <c r="K221" s="95"/>
      <c r="L221" s="80"/>
      <c r="M221" s="835"/>
      <c r="N221" s="835"/>
      <c r="O221" s="836"/>
    </row>
    <row r="222" spans="10:15" ht="15.75" customHeight="1" x14ac:dyDescent="0.25">
      <c r="J222" s="95"/>
      <c r="K222" s="95"/>
      <c r="L222" s="80"/>
      <c r="M222" s="835"/>
      <c r="N222" s="835"/>
      <c r="O222" s="836"/>
    </row>
    <row r="223" spans="10:15" ht="15.75" customHeight="1" x14ac:dyDescent="0.25">
      <c r="J223" s="95"/>
      <c r="K223" s="95"/>
      <c r="L223" s="80"/>
      <c r="M223" s="835"/>
      <c r="N223" s="835"/>
      <c r="O223" s="836"/>
    </row>
    <row r="224" spans="10:15" ht="15.75" customHeight="1" x14ac:dyDescent="0.25">
      <c r="J224" s="95"/>
      <c r="K224" s="95"/>
      <c r="L224" s="80"/>
      <c r="M224" s="835"/>
      <c r="N224" s="835"/>
      <c r="O224" s="836"/>
    </row>
    <row r="225" spans="10:15" ht="15.75" customHeight="1" x14ac:dyDescent="0.25">
      <c r="J225" s="95"/>
      <c r="K225" s="95"/>
      <c r="L225" s="80"/>
      <c r="M225" s="835"/>
      <c r="N225" s="835"/>
      <c r="O225" s="836"/>
    </row>
    <row r="226" spans="10:15" ht="15.75" customHeight="1" x14ac:dyDescent="0.25">
      <c r="J226" s="95"/>
      <c r="K226" s="95"/>
      <c r="L226" s="80"/>
      <c r="M226" s="835"/>
      <c r="N226" s="835"/>
      <c r="O226" s="836"/>
    </row>
    <row r="227" spans="10:15" ht="15.75" customHeight="1" x14ac:dyDescent="0.25">
      <c r="J227" s="95"/>
      <c r="K227" s="95"/>
      <c r="L227" s="80"/>
      <c r="M227" s="835"/>
      <c r="N227" s="835"/>
      <c r="O227" s="836"/>
    </row>
    <row r="228" spans="10:15" ht="15.75" customHeight="1" x14ac:dyDescent="0.25">
      <c r="J228" s="95"/>
      <c r="K228" s="95"/>
      <c r="L228" s="80"/>
      <c r="M228" s="835"/>
      <c r="N228" s="835"/>
      <c r="O228" s="836"/>
    </row>
    <row r="229" spans="10:15" ht="15.75" customHeight="1" x14ac:dyDescent="0.25">
      <c r="J229" s="95"/>
      <c r="K229" s="95"/>
      <c r="L229" s="80"/>
      <c r="M229" s="835"/>
      <c r="N229" s="835"/>
      <c r="O229" s="836"/>
    </row>
    <row r="230" spans="10:15" ht="15.75" customHeight="1" x14ac:dyDescent="0.25">
      <c r="J230" s="95"/>
      <c r="K230" s="95"/>
      <c r="L230" s="80"/>
      <c r="M230" s="835"/>
      <c r="N230" s="835"/>
      <c r="O230" s="836"/>
    </row>
    <row r="231" spans="10:15" ht="15.75" customHeight="1" x14ac:dyDescent="0.25">
      <c r="J231" s="95"/>
      <c r="K231" s="95"/>
      <c r="L231" s="80"/>
      <c r="M231" s="835"/>
      <c r="N231" s="835"/>
      <c r="O231" s="836"/>
    </row>
    <row r="232" spans="10:15" ht="15.75" customHeight="1" x14ac:dyDescent="0.25">
      <c r="J232" s="95"/>
      <c r="K232" s="95"/>
      <c r="L232" s="80"/>
      <c r="M232" s="835"/>
      <c r="N232" s="835"/>
      <c r="O232" s="836"/>
    </row>
    <row r="233" spans="10:15" ht="15.75" customHeight="1" x14ac:dyDescent="0.25">
      <c r="J233" s="95"/>
      <c r="K233" s="95"/>
      <c r="L233" s="80"/>
      <c r="M233" s="835"/>
      <c r="N233" s="835"/>
      <c r="O233" s="836"/>
    </row>
    <row r="234" spans="10:15" ht="15.75" customHeight="1" x14ac:dyDescent="0.25">
      <c r="J234" s="95"/>
      <c r="K234" s="95"/>
      <c r="L234" s="80"/>
      <c r="M234" s="835"/>
      <c r="N234" s="835"/>
      <c r="O234" s="836"/>
    </row>
    <row r="235" spans="10:15" ht="15.75" customHeight="1" x14ac:dyDescent="0.25">
      <c r="J235" s="95"/>
      <c r="K235" s="95"/>
      <c r="L235" s="80"/>
      <c r="M235" s="835"/>
      <c r="N235" s="835"/>
      <c r="O235" s="836"/>
    </row>
    <row r="236" spans="10:15" ht="15.75" customHeight="1" x14ac:dyDescent="0.25">
      <c r="J236" s="95"/>
      <c r="K236" s="95"/>
      <c r="L236" s="80"/>
      <c r="M236" s="835"/>
      <c r="N236" s="835"/>
      <c r="O236" s="836"/>
    </row>
    <row r="237" spans="10:15" ht="15.75" customHeight="1" x14ac:dyDescent="0.25">
      <c r="J237" s="95"/>
      <c r="K237" s="95"/>
      <c r="L237" s="80"/>
      <c r="M237" s="835"/>
      <c r="N237" s="835"/>
      <c r="O237" s="836"/>
    </row>
    <row r="238" spans="10:15" ht="15.75" customHeight="1" x14ac:dyDescent="0.25">
      <c r="J238" s="95"/>
      <c r="K238" s="95"/>
      <c r="L238" s="80"/>
      <c r="M238" s="835"/>
      <c r="N238" s="835"/>
      <c r="O238" s="836"/>
    </row>
    <row r="239" spans="10:15" ht="15.75" customHeight="1" x14ac:dyDescent="0.25">
      <c r="J239" s="95"/>
      <c r="K239" s="95"/>
      <c r="L239" s="80"/>
      <c r="M239" s="835"/>
      <c r="N239" s="835"/>
      <c r="O239" s="836"/>
    </row>
    <row r="240" spans="10:15" ht="15.75" customHeight="1" x14ac:dyDescent="0.25">
      <c r="J240" s="95"/>
      <c r="K240" s="95"/>
      <c r="L240" s="80"/>
      <c r="M240" s="835"/>
      <c r="N240" s="835"/>
      <c r="O240" s="836"/>
    </row>
    <row r="241" spans="10:15" ht="15.75" customHeight="1" x14ac:dyDescent="0.25">
      <c r="J241" s="95"/>
      <c r="K241" s="95"/>
      <c r="L241" s="80"/>
      <c r="M241" s="835"/>
      <c r="N241" s="835"/>
      <c r="O241" s="836"/>
    </row>
    <row r="242" spans="10:15" ht="15.75" customHeight="1" x14ac:dyDescent="0.25">
      <c r="J242" s="95"/>
      <c r="K242" s="95"/>
      <c r="L242" s="80"/>
      <c r="M242" s="835"/>
      <c r="N242" s="835"/>
      <c r="O242" s="836"/>
    </row>
    <row r="243" spans="10:15" ht="15.75" customHeight="1" x14ac:dyDescent="0.25">
      <c r="J243" s="95"/>
      <c r="K243" s="95"/>
      <c r="L243" s="80"/>
      <c r="M243" s="835"/>
      <c r="N243" s="835"/>
      <c r="O243" s="836"/>
    </row>
    <row r="244" spans="10:15" ht="15.75" customHeight="1" x14ac:dyDescent="0.25">
      <c r="J244" s="95"/>
      <c r="K244" s="95"/>
      <c r="L244" s="80"/>
      <c r="M244" s="835"/>
      <c r="N244" s="835"/>
      <c r="O244" s="836"/>
    </row>
    <row r="245" spans="10:15" ht="15.75" customHeight="1" x14ac:dyDescent="0.25">
      <c r="J245" s="95"/>
      <c r="K245" s="95"/>
      <c r="L245" s="80"/>
      <c r="M245" s="835"/>
      <c r="N245" s="835"/>
      <c r="O245" s="836"/>
    </row>
    <row r="246" spans="10:15" ht="15.75" customHeight="1" x14ac:dyDescent="0.25">
      <c r="J246" s="95"/>
      <c r="K246" s="95"/>
      <c r="L246" s="80"/>
      <c r="M246" s="835"/>
      <c r="N246" s="835"/>
      <c r="O246" s="836"/>
    </row>
    <row r="247" spans="10:15" ht="15.75" customHeight="1" x14ac:dyDescent="0.25">
      <c r="J247" s="95"/>
      <c r="K247" s="95"/>
      <c r="L247" s="80"/>
      <c r="M247" s="835"/>
      <c r="N247" s="835"/>
      <c r="O247" s="836"/>
    </row>
    <row r="248" spans="10:15" ht="15.75" customHeight="1" x14ac:dyDescent="0.25">
      <c r="J248" s="95"/>
      <c r="K248" s="95"/>
      <c r="L248" s="80"/>
      <c r="M248" s="835"/>
      <c r="N248" s="835"/>
      <c r="O248" s="836"/>
    </row>
    <row r="249" spans="10:15" ht="15.75" customHeight="1" x14ac:dyDescent="0.25">
      <c r="J249" s="95"/>
      <c r="K249" s="95"/>
      <c r="L249" s="80"/>
      <c r="M249" s="835"/>
      <c r="N249" s="835"/>
      <c r="O249" s="836"/>
    </row>
    <row r="250" spans="10:15" ht="15.75" customHeight="1" x14ac:dyDescent="0.25">
      <c r="J250" s="95"/>
      <c r="K250" s="95"/>
      <c r="L250" s="80"/>
      <c r="M250" s="835"/>
      <c r="N250" s="835"/>
      <c r="O250" s="836"/>
    </row>
    <row r="251" spans="10:15" ht="15.75" customHeight="1" x14ac:dyDescent="0.25">
      <c r="J251" s="95"/>
      <c r="K251" s="95"/>
      <c r="L251" s="80"/>
      <c r="M251" s="835"/>
      <c r="N251" s="835"/>
      <c r="O251" s="836"/>
    </row>
    <row r="252" spans="10:15" ht="15.75" customHeight="1" x14ac:dyDescent="0.25">
      <c r="J252" s="95"/>
      <c r="K252" s="95"/>
      <c r="L252" s="80"/>
      <c r="M252" s="835"/>
      <c r="N252" s="835"/>
      <c r="O252" s="836"/>
    </row>
    <row r="253" spans="10:15" ht="15.75" customHeight="1" x14ac:dyDescent="0.25">
      <c r="J253" s="95"/>
      <c r="K253" s="95"/>
      <c r="L253" s="80"/>
      <c r="M253" s="835"/>
      <c r="N253" s="835"/>
      <c r="O253" s="836"/>
    </row>
    <row r="254" spans="10:15" ht="15.75" customHeight="1" x14ac:dyDescent="0.25">
      <c r="J254" s="95"/>
      <c r="K254" s="95"/>
      <c r="L254" s="80"/>
      <c r="M254" s="835"/>
      <c r="N254" s="835"/>
      <c r="O254" s="836"/>
    </row>
    <row r="255" spans="10:15" ht="15.75" customHeight="1" x14ac:dyDescent="0.25">
      <c r="J255" s="95"/>
      <c r="K255" s="95"/>
      <c r="L255" s="80"/>
      <c r="M255" s="835"/>
      <c r="N255" s="835"/>
      <c r="O255" s="836"/>
    </row>
    <row r="256" spans="10:15" ht="15.75" customHeight="1" x14ac:dyDescent="0.25">
      <c r="J256" s="95"/>
      <c r="K256" s="95"/>
      <c r="L256" s="80"/>
      <c r="M256" s="835"/>
      <c r="N256" s="835"/>
      <c r="O256" s="836"/>
    </row>
    <row r="257" spans="10:15" ht="15.75" customHeight="1" x14ac:dyDescent="0.25">
      <c r="J257" s="95"/>
      <c r="K257" s="95"/>
      <c r="L257" s="80"/>
      <c r="M257" s="835"/>
      <c r="N257" s="835"/>
      <c r="O257" s="836"/>
    </row>
    <row r="258" spans="10:15" ht="15.75" customHeight="1" x14ac:dyDescent="0.25">
      <c r="J258" s="95"/>
      <c r="K258" s="95"/>
      <c r="L258" s="80"/>
      <c r="M258" s="835"/>
      <c r="N258" s="835"/>
      <c r="O258" s="836"/>
    </row>
    <row r="259" spans="10:15" ht="15.75" customHeight="1" x14ac:dyDescent="0.25">
      <c r="J259" s="95"/>
      <c r="K259" s="95"/>
      <c r="L259" s="80"/>
      <c r="M259" s="835"/>
      <c r="N259" s="835"/>
      <c r="O259" s="836"/>
    </row>
    <row r="260" spans="10:15" ht="15.75" customHeight="1" x14ac:dyDescent="0.25">
      <c r="J260" s="95"/>
      <c r="K260" s="95"/>
      <c r="L260" s="80"/>
      <c r="M260" s="835"/>
      <c r="N260" s="835"/>
      <c r="O260" s="836"/>
    </row>
    <row r="261" spans="10:15" ht="15.75" customHeight="1" x14ac:dyDescent="0.25">
      <c r="J261" s="95"/>
      <c r="K261" s="95"/>
      <c r="L261" s="80"/>
      <c r="M261" s="835"/>
      <c r="N261" s="835"/>
      <c r="O261" s="836"/>
    </row>
    <row r="262" spans="10:15" ht="15.75" customHeight="1" x14ac:dyDescent="0.25">
      <c r="J262" s="95"/>
      <c r="K262" s="95"/>
      <c r="L262" s="80"/>
      <c r="M262" s="835"/>
      <c r="N262" s="835"/>
      <c r="O262" s="836"/>
    </row>
    <row r="263" spans="10:15" ht="15.75" customHeight="1" x14ac:dyDescent="0.25">
      <c r="J263" s="95"/>
      <c r="K263" s="95"/>
      <c r="L263" s="80"/>
      <c r="M263" s="835"/>
      <c r="N263" s="835"/>
      <c r="O263" s="836"/>
    </row>
    <row r="264" spans="10:15" ht="15.75" customHeight="1" x14ac:dyDescent="0.25">
      <c r="J264" s="95"/>
      <c r="K264" s="95"/>
      <c r="L264" s="80"/>
      <c r="M264" s="835"/>
      <c r="N264" s="835"/>
      <c r="O264" s="836"/>
    </row>
    <row r="265" spans="10:15" ht="15.75" customHeight="1" x14ac:dyDescent="0.25">
      <c r="J265" s="95"/>
      <c r="K265" s="95"/>
      <c r="L265" s="80"/>
      <c r="M265" s="835"/>
      <c r="N265" s="835"/>
      <c r="O265" s="836"/>
    </row>
    <row r="266" spans="10:15" ht="15.75" customHeight="1" x14ac:dyDescent="0.25">
      <c r="J266" s="95"/>
      <c r="K266" s="95"/>
      <c r="L266" s="80"/>
      <c r="M266" s="835"/>
      <c r="N266" s="835"/>
      <c r="O266" s="836"/>
    </row>
    <row r="267" spans="10:15" ht="15.75" customHeight="1" x14ac:dyDescent="0.25">
      <c r="J267" s="95"/>
      <c r="K267" s="95"/>
      <c r="L267" s="80"/>
      <c r="M267" s="835"/>
      <c r="N267" s="835"/>
      <c r="O267" s="836"/>
    </row>
    <row r="268" spans="10:15" ht="15.75" customHeight="1" x14ac:dyDescent="0.25">
      <c r="J268" s="95"/>
      <c r="K268" s="95"/>
      <c r="L268" s="80"/>
      <c r="M268" s="835"/>
      <c r="N268" s="835"/>
      <c r="O268" s="836"/>
    </row>
    <row r="269" spans="10:15" ht="15.75" customHeight="1" x14ac:dyDescent="0.25">
      <c r="J269" s="95"/>
      <c r="K269" s="95"/>
      <c r="L269" s="80"/>
      <c r="M269" s="835"/>
      <c r="N269" s="835"/>
      <c r="O269" s="836"/>
    </row>
    <row r="270" spans="10:15" ht="15.75" customHeight="1" x14ac:dyDescent="0.25">
      <c r="J270" s="95"/>
      <c r="K270" s="95"/>
      <c r="L270" s="80"/>
      <c r="M270" s="835"/>
      <c r="N270" s="835"/>
      <c r="O270" s="836"/>
    </row>
    <row r="271" spans="10:15" ht="15.75" customHeight="1" x14ac:dyDescent="0.25">
      <c r="J271" s="95"/>
      <c r="K271" s="95"/>
      <c r="L271" s="80"/>
      <c r="M271" s="835"/>
      <c r="N271" s="835"/>
      <c r="O271" s="836"/>
    </row>
    <row r="272" spans="10:15" ht="15.75" customHeight="1" x14ac:dyDescent="0.25">
      <c r="J272" s="95"/>
      <c r="K272" s="95"/>
      <c r="L272" s="80"/>
      <c r="M272" s="835"/>
      <c r="N272" s="835"/>
      <c r="O272" s="836"/>
    </row>
    <row r="273" spans="10:15" ht="15.75" customHeight="1" x14ac:dyDescent="0.25">
      <c r="J273" s="95"/>
      <c r="K273" s="95"/>
      <c r="L273" s="80"/>
      <c r="M273" s="835"/>
      <c r="N273" s="835"/>
      <c r="O273" s="836"/>
    </row>
    <row r="274" spans="10:15" ht="15.75" customHeight="1" x14ac:dyDescent="0.25">
      <c r="J274" s="95"/>
      <c r="K274" s="95"/>
      <c r="L274" s="80"/>
      <c r="M274" s="835"/>
      <c r="N274" s="835"/>
      <c r="O274" s="836"/>
    </row>
    <row r="275" spans="10:15" ht="15.75" customHeight="1" x14ac:dyDescent="0.25">
      <c r="J275" s="95"/>
      <c r="K275" s="95"/>
      <c r="L275" s="80"/>
      <c r="M275" s="835"/>
      <c r="N275" s="835"/>
      <c r="O275" s="836"/>
    </row>
    <row r="276" spans="10:15" ht="15.75" customHeight="1" x14ac:dyDescent="0.25">
      <c r="J276" s="95"/>
      <c r="K276" s="95"/>
      <c r="L276" s="80"/>
      <c r="M276" s="835"/>
      <c r="N276" s="835"/>
      <c r="O276" s="836"/>
    </row>
    <row r="277" spans="10:15" ht="15.75" customHeight="1" x14ac:dyDescent="0.25">
      <c r="J277" s="95"/>
      <c r="K277" s="95"/>
      <c r="L277" s="80"/>
      <c r="M277" s="835"/>
      <c r="N277" s="835"/>
      <c r="O277" s="836"/>
    </row>
    <row r="278" spans="10:15" ht="15.75" customHeight="1" x14ac:dyDescent="0.25">
      <c r="J278" s="95"/>
      <c r="K278" s="95"/>
      <c r="L278" s="80"/>
      <c r="M278" s="835"/>
      <c r="N278" s="835"/>
      <c r="O278" s="836"/>
    </row>
    <row r="279" spans="10:15" ht="15.75" customHeight="1" x14ac:dyDescent="0.25">
      <c r="J279" s="95"/>
      <c r="K279" s="95"/>
      <c r="L279" s="80"/>
      <c r="M279" s="835"/>
      <c r="N279" s="835"/>
      <c r="O279" s="836"/>
    </row>
    <row r="280" spans="10:15" ht="15.75" customHeight="1" x14ac:dyDescent="0.25">
      <c r="J280" s="95"/>
      <c r="K280" s="95"/>
      <c r="L280" s="80"/>
      <c r="M280" s="835"/>
      <c r="N280" s="835"/>
      <c r="O280" s="836"/>
    </row>
    <row r="281" spans="10:15" ht="15.75" customHeight="1" x14ac:dyDescent="0.25">
      <c r="J281" s="95"/>
      <c r="K281" s="95"/>
      <c r="L281" s="80"/>
      <c r="M281" s="835"/>
      <c r="N281" s="835"/>
      <c r="O281" s="836"/>
    </row>
    <row r="282" spans="10:15" ht="15.75" customHeight="1" x14ac:dyDescent="0.25">
      <c r="J282" s="95"/>
      <c r="K282" s="95"/>
      <c r="L282" s="80"/>
      <c r="M282" s="835"/>
      <c r="N282" s="835"/>
      <c r="O282" s="836"/>
    </row>
    <row r="283" spans="10:15" ht="15.75" customHeight="1" x14ac:dyDescent="0.25">
      <c r="J283" s="95"/>
      <c r="K283" s="95"/>
      <c r="L283" s="80"/>
      <c r="M283" s="835"/>
      <c r="N283" s="835"/>
      <c r="O283" s="836"/>
    </row>
    <row r="284" spans="10:15" ht="15.75" customHeight="1" x14ac:dyDescent="0.25">
      <c r="J284" s="95"/>
      <c r="K284" s="95"/>
      <c r="L284" s="80"/>
      <c r="M284" s="835"/>
      <c r="N284" s="835"/>
      <c r="O284" s="836"/>
    </row>
    <row r="285" spans="10:15" ht="15.75" customHeight="1" x14ac:dyDescent="0.25">
      <c r="J285" s="95"/>
      <c r="K285" s="95"/>
      <c r="L285" s="80"/>
      <c r="M285" s="835"/>
      <c r="N285" s="835"/>
      <c r="O285" s="836"/>
    </row>
    <row r="286" spans="10:15" ht="15.75" customHeight="1" x14ac:dyDescent="0.25">
      <c r="J286" s="95"/>
      <c r="K286" s="95"/>
      <c r="L286" s="80"/>
      <c r="M286" s="835"/>
      <c r="N286" s="835"/>
      <c r="O286" s="836"/>
    </row>
    <row r="287" spans="10:15" ht="15.75" customHeight="1" x14ac:dyDescent="0.25">
      <c r="J287" s="95"/>
      <c r="K287" s="95"/>
      <c r="L287" s="80"/>
      <c r="M287" s="835"/>
      <c r="N287" s="835"/>
      <c r="O287" s="836"/>
    </row>
    <row r="288" spans="10:15" ht="15.75" customHeight="1" x14ac:dyDescent="0.25">
      <c r="J288" s="95"/>
      <c r="K288" s="95"/>
      <c r="L288" s="80"/>
      <c r="M288" s="835"/>
      <c r="N288" s="835"/>
      <c r="O288" s="836"/>
    </row>
    <row r="289" spans="10:15" ht="15.75" customHeight="1" x14ac:dyDescent="0.25">
      <c r="J289" s="95"/>
      <c r="K289" s="95"/>
      <c r="L289" s="80"/>
      <c r="M289" s="835"/>
      <c r="N289" s="835"/>
      <c r="O289" s="836"/>
    </row>
    <row r="290" spans="10:15" ht="15.75" customHeight="1" x14ac:dyDescent="0.25">
      <c r="J290" s="95"/>
      <c r="K290" s="95"/>
      <c r="L290" s="80"/>
      <c r="M290" s="835"/>
      <c r="N290" s="835"/>
      <c r="O290" s="836"/>
    </row>
    <row r="291" spans="10:15" ht="15.75" customHeight="1" x14ac:dyDescent="0.25">
      <c r="J291" s="95"/>
      <c r="K291" s="95"/>
      <c r="L291" s="80"/>
      <c r="M291" s="835"/>
      <c r="N291" s="835"/>
      <c r="O291" s="836"/>
    </row>
    <row r="292" spans="10:15" ht="15.75" customHeight="1" x14ac:dyDescent="0.25">
      <c r="J292" s="95"/>
      <c r="K292" s="95"/>
      <c r="L292" s="80"/>
      <c r="M292" s="835"/>
      <c r="N292" s="835"/>
      <c r="O292" s="836"/>
    </row>
    <row r="293" spans="10:15" ht="15.75" customHeight="1" x14ac:dyDescent="0.25">
      <c r="J293" s="95"/>
      <c r="K293" s="95"/>
      <c r="L293" s="80"/>
      <c r="M293" s="835"/>
      <c r="N293" s="835"/>
      <c r="O293" s="836"/>
    </row>
    <row r="294" spans="10:15" ht="15.75" customHeight="1" x14ac:dyDescent="0.25">
      <c r="J294" s="95"/>
      <c r="K294" s="95"/>
      <c r="L294" s="80"/>
      <c r="M294" s="835"/>
      <c r="N294" s="835"/>
      <c r="O294" s="836"/>
    </row>
    <row r="295" spans="10:15" ht="15.75" customHeight="1" x14ac:dyDescent="0.25">
      <c r="J295" s="95"/>
      <c r="K295" s="95"/>
      <c r="L295" s="80"/>
      <c r="M295" s="835"/>
      <c r="N295" s="835"/>
      <c r="O295" s="836"/>
    </row>
    <row r="296" spans="10:15" ht="15.75" customHeight="1" x14ac:dyDescent="0.25">
      <c r="J296" s="95"/>
      <c r="K296" s="95"/>
      <c r="L296" s="80"/>
      <c r="M296" s="835"/>
      <c r="N296" s="835"/>
      <c r="O296" s="836"/>
    </row>
    <row r="297" spans="10:15" ht="15.75" customHeight="1" x14ac:dyDescent="0.25">
      <c r="J297" s="95"/>
      <c r="K297" s="95"/>
      <c r="L297" s="80"/>
      <c r="M297" s="835"/>
      <c r="N297" s="835"/>
      <c r="O297" s="836"/>
    </row>
    <row r="298" spans="10:15" ht="15.75" customHeight="1" x14ac:dyDescent="0.25">
      <c r="J298" s="95"/>
      <c r="K298" s="95"/>
      <c r="L298" s="80"/>
      <c r="M298" s="835"/>
      <c r="N298" s="835"/>
      <c r="O298" s="836"/>
    </row>
    <row r="299" spans="10:15" ht="15.75" customHeight="1" x14ac:dyDescent="0.25">
      <c r="J299" s="95"/>
      <c r="K299" s="95"/>
      <c r="L299" s="80"/>
      <c r="M299" s="835"/>
      <c r="N299" s="835"/>
      <c r="O299" s="836"/>
    </row>
    <row r="300" spans="10:15" ht="15.75" customHeight="1" x14ac:dyDescent="0.25">
      <c r="J300" s="95"/>
      <c r="K300" s="95"/>
      <c r="L300" s="80"/>
      <c r="M300" s="835"/>
      <c r="N300" s="835"/>
      <c r="O300" s="836"/>
    </row>
    <row r="301" spans="10:15" ht="15.75" customHeight="1" x14ac:dyDescent="0.25">
      <c r="J301" s="95"/>
      <c r="K301" s="95"/>
      <c r="L301" s="80"/>
      <c r="M301" s="835"/>
      <c r="N301" s="835"/>
      <c r="O301" s="836"/>
    </row>
    <row r="302" spans="10:15" ht="15.75" customHeight="1" x14ac:dyDescent="0.25">
      <c r="J302" s="95"/>
      <c r="K302" s="95"/>
      <c r="L302" s="80"/>
      <c r="M302" s="835"/>
      <c r="N302" s="835"/>
      <c r="O302" s="836"/>
    </row>
    <row r="303" spans="10:15" ht="15.75" customHeight="1" x14ac:dyDescent="0.25">
      <c r="J303" s="95"/>
      <c r="K303" s="95"/>
      <c r="L303" s="80"/>
      <c r="M303" s="835"/>
      <c r="N303" s="835"/>
      <c r="O303" s="836"/>
    </row>
    <row r="304" spans="10:15" ht="15.75" customHeight="1" x14ac:dyDescent="0.25">
      <c r="J304" s="95"/>
      <c r="K304" s="95"/>
      <c r="L304" s="80"/>
      <c r="M304" s="835"/>
      <c r="N304" s="835"/>
      <c r="O304" s="836"/>
    </row>
    <row r="305" spans="10:15" ht="15.75" customHeight="1" x14ac:dyDescent="0.25">
      <c r="J305" s="95"/>
      <c r="K305" s="95"/>
      <c r="L305" s="80"/>
      <c r="M305" s="835"/>
      <c r="N305" s="835"/>
      <c r="O305" s="836"/>
    </row>
    <row r="306" spans="10:15" ht="15.75" customHeight="1" x14ac:dyDescent="0.25">
      <c r="J306" s="95"/>
      <c r="K306" s="95"/>
      <c r="L306" s="80"/>
      <c r="M306" s="835"/>
      <c r="N306" s="835"/>
      <c r="O306" s="836"/>
    </row>
    <row r="307" spans="10:15" ht="15.75" customHeight="1" x14ac:dyDescent="0.25">
      <c r="J307" s="95"/>
      <c r="K307" s="95"/>
      <c r="L307" s="80"/>
      <c r="M307" s="835"/>
      <c r="N307" s="835"/>
      <c r="O307" s="836"/>
    </row>
    <row r="308" spans="10:15" ht="15.75" customHeight="1" x14ac:dyDescent="0.25">
      <c r="J308" s="95"/>
      <c r="K308" s="95"/>
      <c r="L308" s="80"/>
      <c r="M308" s="835"/>
      <c r="N308" s="835"/>
      <c r="O308" s="836"/>
    </row>
    <row r="309" spans="10:15" ht="15.75" customHeight="1" x14ac:dyDescent="0.25">
      <c r="J309" s="95"/>
      <c r="K309" s="95"/>
      <c r="L309" s="80"/>
      <c r="M309" s="835"/>
      <c r="N309" s="835"/>
      <c r="O309" s="836"/>
    </row>
    <row r="310" spans="10:15" ht="15.75" customHeight="1" x14ac:dyDescent="0.25">
      <c r="J310" s="95"/>
      <c r="K310" s="95"/>
      <c r="L310" s="80"/>
      <c r="M310" s="835"/>
      <c r="N310" s="835"/>
      <c r="O310" s="836"/>
    </row>
    <row r="311" spans="10:15" ht="15.75" customHeight="1" x14ac:dyDescent="0.25">
      <c r="J311" s="95"/>
      <c r="K311" s="95"/>
      <c r="L311" s="80"/>
      <c r="M311" s="835"/>
      <c r="N311" s="835"/>
      <c r="O311" s="836"/>
    </row>
    <row r="312" spans="10:15" ht="15.75" customHeight="1" x14ac:dyDescent="0.25">
      <c r="J312" s="95"/>
      <c r="K312" s="95"/>
      <c r="L312" s="80"/>
      <c r="M312" s="835"/>
      <c r="N312" s="835"/>
      <c r="O312" s="836"/>
    </row>
    <row r="313" spans="10:15" ht="15.75" customHeight="1" x14ac:dyDescent="0.25">
      <c r="J313" s="95"/>
      <c r="K313" s="95"/>
      <c r="L313" s="80"/>
      <c r="M313" s="835"/>
      <c r="N313" s="835"/>
      <c r="O313" s="836"/>
    </row>
    <row r="314" spans="10:15" ht="15.75" customHeight="1" x14ac:dyDescent="0.25">
      <c r="J314" s="95"/>
      <c r="K314" s="95"/>
      <c r="L314" s="80"/>
      <c r="M314" s="835"/>
      <c r="N314" s="835"/>
      <c r="O314" s="836"/>
    </row>
    <row r="315" spans="10:15" ht="15.75" customHeight="1" x14ac:dyDescent="0.25">
      <c r="J315" s="95"/>
      <c r="K315" s="95"/>
      <c r="L315" s="80"/>
      <c r="M315" s="835"/>
      <c r="N315" s="835"/>
      <c r="O315" s="836"/>
    </row>
    <row r="316" spans="10:15" ht="15.75" customHeight="1" x14ac:dyDescent="0.25">
      <c r="J316" s="95"/>
      <c r="K316" s="95"/>
      <c r="L316" s="80"/>
      <c r="M316" s="835"/>
      <c r="N316" s="835"/>
      <c r="O316" s="836"/>
    </row>
    <row r="317" spans="10:15" ht="15.75" customHeight="1" x14ac:dyDescent="0.25">
      <c r="J317" s="95"/>
      <c r="K317" s="95"/>
      <c r="L317" s="80"/>
      <c r="M317" s="835"/>
      <c r="N317" s="835"/>
      <c r="O317" s="836"/>
    </row>
    <row r="318" spans="10:15" ht="15.75" customHeight="1" x14ac:dyDescent="0.25">
      <c r="J318" s="95"/>
      <c r="K318" s="95"/>
      <c r="L318" s="80"/>
      <c r="M318" s="835"/>
      <c r="N318" s="835"/>
      <c r="O318" s="836"/>
    </row>
    <row r="319" spans="10:15" ht="15.75" customHeight="1" x14ac:dyDescent="0.25">
      <c r="J319" s="95"/>
      <c r="K319" s="95"/>
      <c r="L319" s="80"/>
      <c r="M319" s="835"/>
      <c r="N319" s="835"/>
      <c r="O319" s="836"/>
    </row>
    <row r="320" spans="10:15" ht="15.75" customHeight="1" x14ac:dyDescent="0.25">
      <c r="J320" s="95"/>
      <c r="K320" s="95"/>
      <c r="L320" s="80"/>
      <c r="M320" s="835"/>
      <c r="N320" s="835"/>
      <c r="O320" s="836"/>
    </row>
    <row r="321" spans="10:15" ht="15.75" customHeight="1" x14ac:dyDescent="0.25">
      <c r="J321" s="95"/>
      <c r="K321" s="95"/>
      <c r="L321" s="80"/>
      <c r="M321" s="835"/>
      <c r="N321" s="835"/>
      <c r="O321" s="836"/>
    </row>
    <row r="322" spans="10:15" ht="15.75" customHeight="1" x14ac:dyDescent="0.25">
      <c r="J322" s="95"/>
      <c r="K322" s="95"/>
      <c r="L322" s="80"/>
      <c r="M322" s="835"/>
      <c r="N322" s="835"/>
      <c r="O322" s="836"/>
    </row>
    <row r="323" spans="10:15" ht="15.75" customHeight="1" x14ac:dyDescent="0.25">
      <c r="J323" s="95"/>
      <c r="K323" s="95"/>
      <c r="L323" s="80"/>
      <c r="M323" s="835"/>
      <c r="N323" s="835"/>
      <c r="O323" s="836"/>
    </row>
    <row r="324" spans="10:15" ht="15.75" customHeight="1" x14ac:dyDescent="0.25">
      <c r="J324" s="95"/>
      <c r="K324" s="95"/>
      <c r="L324" s="80"/>
      <c r="M324" s="835"/>
      <c r="N324" s="835"/>
      <c r="O324" s="836"/>
    </row>
    <row r="325" spans="10:15" ht="15.75" customHeight="1" x14ac:dyDescent="0.25">
      <c r="J325" s="95"/>
      <c r="K325" s="95"/>
      <c r="L325" s="80"/>
      <c r="M325" s="835"/>
      <c r="N325" s="835"/>
      <c r="O325" s="836"/>
    </row>
    <row r="326" spans="10:15" ht="15.75" customHeight="1" x14ac:dyDescent="0.25">
      <c r="J326" s="95"/>
      <c r="K326" s="95"/>
      <c r="L326" s="80"/>
      <c r="M326" s="835"/>
      <c r="N326" s="835"/>
      <c r="O326" s="836"/>
    </row>
    <row r="327" spans="10:15" ht="15.75" customHeight="1" x14ac:dyDescent="0.25">
      <c r="J327" s="95"/>
      <c r="K327" s="95"/>
      <c r="L327" s="80"/>
      <c r="M327" s="835"/>
      <c r="N327" s="835"/>
      <c r="O327" s="836"/>
    </row>
    <row r="328" spans="10:15" ht="15.75" customHeight="1" x14ac:dyDescent="0.25">
      <c r="J328" s="95"/>
      <c r="K328" s="95"/>
      <c r="L328" s="80"/>
      <c r="M328" s="835"/>
      <c r="N328" s="835"/>
      <c r="O328" s="836"/>
    </row>
    <row r="329" spans="10:15" ht="15.75" customHeight="1" x14ac:dyDescent="0.25">
      <c r="J329" s="95"/>
      <c r="K329" s="95"/>
      <c r="L329" s="80"/>
      <c r="M329" s="835"/>
      <c r="N329" s="835"/>
      <c r="O329" s="836"/>
    </row>
    <row r="330" spans="10:15" ht="15.75" customHeight="1" x14ac:dyDescent="0.25">
      <c r="J330" s="95"/>
      <c r="K330" s="95"/>
      <c r="L330" s="80"/>
      <c r="M330" s="835"/>
      <c r="N330" s="835"/>
      <c r="O330" s="836"/>
    </row>
    <row r="331" spans="10:15" ht="15.75" customHeight="1" x14ac:dyDescent="0.25">
      <c r="J331" s="95"/>
      <c r="K331" s="95"/>
      <c r="L331" s="80"/>
      <c r="M331" s="835"/>
      <c r="N331" s="835"/>
      <c r="O331" s="836"/>
    </row>
    <row r="332" spans="10:15" ht="15.75" customHeight="1" x14ac:dyDescent="0.25">
      <c r="J332" s="95"/>
      <c r="K332" s="95"/>
      <c r="L332" s="80"/>
      <c r="M332" s="835"/>
      <c r="N332" s="835"/>
      <c r="O332" s="836"/>
    </row>
    <row r="333" spans="10:15" ht="15.75" customHeight="1" x14ac:dyDescent="0.25">
      <c r="J333" s="95"/>
      <c r="K333" s="95"/>
      <c r="L333" s="80"/>
      <c r="M333" s="835"/>
      <c r="N333" s="835"/>
      <c r="O333" s="836"/>
    </row>
    <row r="334" spans="10:15" ht="15.75" customHeight="1" x14ac:dyDescent="0.25">
      <c r="J334" s="95"/>
      <c r="K334" s="95"/>
      <c r="L334" s="80"/>
      <c r="M334" s="835"/>
      <c r="N334" s="835"/>
      <c r="O334" s="836"/>
    </row>
    <row r="335" spans="10:15" ht="15.75" customHeight="1" x14ac:dyDescent="0.25">
      <c r="J335" s="95"/>
      <c r="K335" s="95"/>
      <c r="L335" s="80"/>
      <c r="M335" s="835"/>
      <c r="N335" s="835"/>
      <c r="O335" s="836"/>
    </row>
    <row r="336" spans="10:15" ht="15.75" customHeight="1" x14ac:dyDescent="0.25">
      <c r="J336" s="95"/>
      <c r="K336" s="95"/>
      <c r="L336" s="80"/>
      <c r="M336" s="835"/>
      <c r="N336" s="835"/>
      <c r="O336" s="836"/>
    </row>
    <row r="337" spans="10:15" ht="15.75" customHeight="1" x14ac:dyDescent="0.25">
      <c r="J337" s="95"/>
      <c r="K337" s="95"/>
      <c r="L337" s="80"/>
      <c r="M337" s="835"/>
      <c r="N337" s="835"/>
      <c r="O337" s="836"/>
    </row>
    <row r="338" spans="10:15" ht="15.75" customHeight="1" x14ac:dyDescent="0.25">
      <c r="J338" s="95"/>
      <c r="K338" s="95"/>
      <c r="L338" s="80"/>
      <c r="M338" s="835"/>
      <c r="N338" s="835"/>
      <c r="O338" s="836"/>
    </row>
    <row r="339" spans="10:15" ht="15.75" customHeight="1" x14ac:dyDescent="0.25">
      <c r="J339" s="95"/>
      <c r="K339" s="95"/>
      <c r="L339" s="80"/>
      <c r="M339" s="835"/>
      <c r="N339" s="835"/>
      <c r="O339" s="836"/>
    </row>
    <row r="340" spans="10:15" ht="15.75" customHeight="1" x14ac:dyDescent="0.25">
      <c r="J340" s="95"/>
      <c r="K340" s="95"/>
      <c r="L340" s="80"/>
      <c r="M340" s="835"/>
      <c r="N340" s="835"/>
      <c r="O340" s="836"/>
    </row>
    <row r="341" spans="10:15" ht="15.75" customHeight="1" x14ac:dyDescent="0.25">
      <c r="J341" s="95"/>
      <c r="K341" s="95"/>
      <c r="L341" s="80"/>
      <c r="M341" s="835"/>
      <c r="N341" s="835"/>
      <c r="O341" s="836"/>
    </row>
    <row r="342" spans="10:15" ht="15.75" customHeight="1" x14ac:dyDescent="0.25">
      <c r="J342" s="95"/>
      <c r="K342" s="95"/>
      <c r="L342" s="80"/>
      <c r="M342" s="835"/>
      <c r="N342" s="835"/>
      <c r="O342" s="836"/>
    </row>
    <row r="343" spans="10:15" ht="15.75" customHeight="1" x14ac:dyDescent="0.25">
      <c r="J343" s="95"/>
      <c r="K343" s="95"/>
      <c r="L343" s="80"/>
      <c r="M343" s="835"/>
      <c r="N343" s="835"/>
      <c r="O343" s="836"/>
    </row>
    <row r="344" spans="10:15" ht="15.75" customHeight="1" x14ac:dyDescent="0.25">
      <c r="J344" s="95"/>
      <c r="K344" s="95"/>
      <c r="L344" s="80"/>
      <c r="M344" s="835"/>
      <c r="N344" s="835"/>
      <c r="O344" s="836"/>
    </row>
    <row r="345" spans="10:15" ht="15.75" customHeight="1" x14ac:dyDescent="0.25">
      <c r="J345" s="95"/>
      <c r="K345" s="95"/>
      <c r="L345" s="80"/>
      <c r="M345" s="835"/>
      <c r="N345" s="835"/>
      <c r="O345" s="836"/>
    </row>
    <row r="346" spans="10:15" ht="15.75" customHeight="1" x14ac:dyDescent="0.25">
      <c r="J346" s="95"/>
      <c r="K346" s="95"/>
      <c r="L346" s="80"/>
      <c r="M346" s="835"/>
      <c r="N346" s="835"/>
      <c r="O346" s="836"/>
    </row>
    <row r="347" spans="10:15" ht="15.75" customHeight="1" x14ac:dyDescent="0.25">
      <c r="J347" s="95"/>
      <c r="K347" s="95"/>
      <c r="L347" s="80"/>
      <c r="M347" s="835"/>
      <c r="N347" s="835"/>
      <c r="O347" s="836"/>
    </row>
    <row r="348" spans="10:15" ht="15.75" customHeight="1" x14ac:dyDescent="0.25">
      <c r="J348" s="95"/>
      <c r="K348" s="95"/>
      <c r="L348" s="80"/>
      <c r="M348" s="835"/>
      <c r="N348" s="835"/>
      <c r="O348" s="836"/>
    </row>
    <row r="349" spans="10:15" ht="15.75" customHeight="1" x14ac:dyDescent="0.25">
      <c r="J349" s="95"/>
      <c r="K349" s="95"/>
      <c r="L349" s="80"/>
      <c r="M349" s="835"/>
      <c r="N349" s="835"/>
      <c r="O349" s="836"/>
    </row>
    <row r="350" spans="10:15" ht="15.75" customHeight="1" x14ac:dyDescent="0.25">
      <c r="J350" s="95"/>
      <c r="K350" s="95"/>
      <c r="L350" s="80"/>
      <c r="M350" s="835"/>
      <c r="N350" s="835"/>
      <c r="O350" s="836"/>
    </row>
    <row r="351" spans="10:15" ht="15.75" customHeight="1" x14ac:dyDescent="0.25">
      <c r="J351" s="95"/>
      <c r="K351" s="95"/>
      <c r="L351" s="80"/>
      <c r="M351" s="835"/>
      <c r="N351" s="835"/>
      <c r="O351" s="836"/>
    </row>
    <row r="352" spans="10:15" ht="15.75" customHeight="1" x14ac:dyDescent="0.25">
      <c r="J352" s="95"/>
      <c r="K352" s="95"/>
      <c r="L352" s="80"/>
      <c r="M352" s="835"/>
      <c r="N352" s="835"/>
      <c r="O352" s="836"/>
    </row>
    <row r="353" spans="10:15" ht="15.75" customHeight="1" x14ac:dyDescent="0.25">
      <c r="J353" s="95"/>
      <c r="K353" s="95"/>
      <c r="L353" s="80"/>
      <c r="M353" s="835"/>
      <c r="N353" s="835"/>
      <c r="O353" s="836"/>
    </row>
    <row r="354" spans="10:15" ht="15.75" customHeight="1" x14ac:dyDescent="0.25">
      <c r="J354" s="95"/>
      <c r="K354" s="95"/>
      <c r="L354" s="80"/>
      <c r="M354" s="835"/>
      <c r="N354" s="835"/>
      <c r="O354" s="836"/>
    </row>
    <row r="355" spans="10:15" ht="15.75" customHeight="1" x14ac:dyDescent="0.25">
      <c r="J355" s="95"/>
      <c r="K355" s="95"/>
      <c r="L355" s="80"/>
      <c r="M355" s="835"/>
      <c r="N355" s="835"/>
      <c r="O355" s="836"/>
    </row>
    <row r="356" spans="10:15" ht="15.75" customHeight="1" x14ac:dyDescent="0.25">
      <c r="J356" s="95"/>
      <c r="K356" s="95"/>
      <c r="L356" s="80"/>
      <c r="M356" s="835"/>
      <c r="N356" s="835"/>
      <c r="O356" s="836"/>
    </row>
    <row r="357" spans="10:15" ht="15.75" customHeight="1" x14ac:dyDescent="0.25">
      <c r="J357" s="95"/>
      <c r="K357" s="95"/>
      <c r="L357" s="80"/>
      <c r="M357" s="835"/>
      <c r="N357" s="835"/>
      <c r="O357" s="836"/>
    </row>
    <row r="358" spans="10:15" ht="15.75" customHeight="1" x14ac:dyDescent="0.25">
      <c r="J358" s="95"/>
      <c r="K358" s="95"/>
      <c r="L358" s="80"/>
      <c r="M358" s="835"/>
      <c r="N358" s="835"/>
      <c r="O358" s="836"/>
    </row>
    <row r="359" spans="10:15" ht="15.75" customHeight="1" x14ac:dyDescent="0.25">
      <c r="J359" s="95"/>
      <c r="K359" s="95"/>
      <c r="L359" s="80"/>
      <c r="M359" s="835"/>
      <c r="N359" s="835"/>
      <c r="O359" s="836"/>
    </row>
    <row r="360" spans="10:15" ht="15.75" customHeight="1" x14ac:dyDescent="0.25">
      <c r="J360" s="95"/>
      <c r="K360" s="95"/>
      <c r="L360" s="80"/>
      <c r="M360" s="835"/>
      <c r="N360" s="835"/>
      <c r="O360" s="836"/>
    </row>
    <row r="361" spans="10:15" ht="15.75" customHeight="1" x14ac:dyDescent="0.25">
      <c r="J361" s="95"/>
      <c r="K361" s="95"/>
      <c r="L361" s="80"/>
      <c r="M361" s="835"/>
      <c r="N361" s="835"/>
      <c r="O361" s="836"/>
    </row>
    <row r="362" spans="10:15" ht="15.75" customHeight="1" x14ac:dyDescent="0.25">
      <c r="J362" s="95"/>
      <c r="K362" s="95"/>
      <c r="L362" s="80"/>
      <c r="M362" s="835"/>
      <c r="N362" s="835"/>
      <c r="O362" s="836"/>
    </row>
    <row r="363" spans="10:15" ht="15.75" customHeight="1" x14ac:dyDescent="0.25">
      <c r="J363" s="95"/>
      <c r="K363" s="95"/>
      <c r="L363" s="80"/>
      <c r="M363" s="835"/>
      <c r="N363" s="835"/>
      <c r="O363" s="836"/>
    </row>
    <row r="364" spans="10:15" ht="15.75" customHeight="1" x14ac:dyDescent="0.25">
      <c r="J364" s="95"/>
      <c r="K364" s="95"/>
      <c r="L364" s="80"/>
      <c r="M364" s="835"/>
      <c r="N364" s="835"/>
      <c r="O364" s="836"/>
    </row>
    <row r="365" spans="10:15" ht="15.75" customHeight="1" x14ac:dyDescent="0.25">
      <c r="J365" s="95"/>
      <c r="K365" s="95"/>
      <c r="L365" s="80"/>
      <c r="M365" s="835"/>
      <c r="N365" s="835"/>
      <c r="O365" s="836"/>
    </row>
    <row r="366" spans="10:15" ht="15.75" customHeight="1" x14ac:dyDescent="0.25">
      <c r="J366" s="95"/>
      <c r="K366" s="95"/>
      <c r="L366" s="80"/>
      <c r="M366" s="835"/>
      <c r="N366" s="835"/>
      <c r="O366" s="836"/>
    </row>
    <row r="367" spans="10:15" ht="15.75" customHeight="1" x14ac:dyDescent="0.25">
      <c r="J367" s="95"/>
      <c r="K367" s="95"/>
      <c r="L367" s="80"/>
      <c r="M367" s="835"/>
      <c r="N367" s="835"/>
      <c r="O367" s="836"/>
    </row>
    <row r="368" spans="10:15" ht="15.75" customHeight="1" x14ac:dyDescent="0.25">
      <c r="J368" s="95"/>
      <c r="K368" s="95"/>
      <c r="L368" s="80"/>
      <c r="M368" s="835"/>
      <c r="N368" s="835"/>
      <c r="O368" s="836"/>
    </row>
    <row r="369" spans="10:15" ht="15.75" customHeight="1" x14ac:dyDescent="0.25">
      <c r="J369" s="95"/>
      <c r="K369" s="95"/>
      <c r="L369" s="80"/>
      <c r="M369" s="835"/>
      <c r="N369" s="835"/>
      <c r="O369" s="836"/>
    </row>
    <row r="370" spans="10:15" ht="15.75" customHeight="1" x14ac:dyDescent="0.25">
      <c r="J370" s="95"/>
      <c r="K370" s="95"/>
      <c r="L370" s="80"/>
      <c r="M370" s="835"/>
      <c r="N370" s="835"/>
      <c r="O370" s="836"/>
    </row>
    <row r="371" spans="10:15" ht="15.75" customHeight="1" x14ac:dyDescent="0.25">
      <c r="J371" s="95"/>
      <c r="K371" s="95"/>
      <c r="L371" s="80"/>
      <c r="M371" s="835"/>
      <c r="N371" s="835"/>
      <c r="O371" s="836"/>
    </row>
    <row r="372" spans="10:15" ht="15.75" customHeight="1" x14ac:dyDescent="0.25">
      <c r="J372" s="95"/>
      <c r="K372" s="95"/>
      <c r="L372" s="80"/>
      <c r="M372" s="835"/>
      <c r="N372" s="835"/>
      <c r="O372" s="836"/>
    </row>
    <row r="373" spans="10:15" ht="15.75" customHeight="1" x14ac:dyDescent="0.25">
      <c r="J373" s="95"/>
      <c r="K373" s="95"/>
      <c r="L373" s="80"/>
      <c r="M373" s="835"/>
      <c r="N373" s="835"/>
      <c r="O373" s="836"/>
    </row>
    <row r="374" spans="10:15" ht="15.75" customHeight="1" x14ac:dyDescent="0.25">
      <c r="J374" s="95"/>
      <c r="K374" s="95"/>
      <c r="L374" s="80"/>
      <c r="M374" s="835"/>
      <c r="N374" s="835"/>
      <c r="O374" s="836"/>
    </row>
    <row r="375" spans="10:15" ht="15.75" customHeight="1" x14ac:dyDescent="0.25">
      <c r="J375" s="95"/>
      <c r="K375" s="95"/>
      <c r="L375" s="80"/>
      <c r="M375" s="835"/>
      <c r="N375" s="835"/>
      <c r="O375" s="836"/>
    </row>
    <row r="376" spans="10:15" ht="15.75" customHeight="1" x14ac:dyDescent="0.25">
      <c r="J376" s="95"/>
      <c r="K376" s="95"/>
      <c r="L376" s="80"/>
      <c r="M376" s="835"/>
      <c r="N376" s="835"/>
      <c r="O376" s="836"/>
    </row>
    <row r="377" spans="10:15" ht="15.75" customHeight="1" x14ac:dyDescent="0.25">
      <c r="J377" s="95"/>
      <c r="K377" s="95"/>
      <c r="L377" s="80"/>
      <c r="M377" s="835"/>
      <c r="N377" s="835"/>
      <c r="O377" s="836"/>
    </row>
    <row r="378" spans="10:15" ht="15.75" customHeight="1" x14ac:dyDescent="0.25">
      <c r="J378" s="95"/>
      <c r="K378" s="95"/>
      <c r="L378" s="80"/>
      <c r="M378" s="835"/>
      <c r="N378" s="835"/>
      <c r="O378" s="836"/>
    </row>
    <row r="379" spans="10:15" ht="15.75" customHeight="1" x14ac:dyDescent="0.25">
      <c r="J379" s="95"/>
      <c r="K379" s="95"/>
      <c r="L379" s="80"/>
      <c r="M379" s="835"/>
      <c r="N379" s="835"/>
      <c r="O379" s="836"/>
    </row>
    <row r="380" spans="10:15" ht="15.75" customHeight="1" x14ac:dyDescent="0.25">
      <c r="J380" s="95"/>
      <c r="K380" s="95"/>
      <c r="L380" s="80"/>
      <c r="M380" s="835"/>
      <c r="N380" s="835"/>
      <c r="O380" s="836"/>
    </row>
    <row r="381" spans="10:15" ht="15.75" customHeight="1" x14ac:dyDescent="0.25">
      <c r="J381" s="95"/>
      <c r="K381" s="95"/>
      <c r="L381" s="80"/>
      <c r="M381" s="835"/>
      <c r="N381" s="835"/>
      <c r="O381" s="836"/>
    </row>
    <row r="382" spans="10:15" ht="15.75" customHeight="1" x14ac:dyDescent="0.25">
      <c r="J382" s="95"/>
      <c r="K382" s="95"/>
      <c r="L382" s="80"/>
      <c r="M382" s="835"/>
      <c r="N382" s="835"/>
      <c r="O382" s="836"/>
    </row>
    <row r="383" spans="10:15" ht="15.75" customHeight="1" x14ac:dyDescent="0.25">
      <c r="J383" s="95"/>
      <c r="K383" s="95"/>
      <c r="L383" s="80"/>
      <c r="M383" s="835"/>
      <c r="N383" s="835"/>
      <c r="O383" s="836"/>
    </row>
    <row r="384" spans="10:15" ht="15.75" customHeight="1" x14ac:dyDescent="0.25">
      <c r="J384" s="95"/>
      <c r="K384" s="95"/>
      <c r="L384" s="80"/>
      <c r="M384" s="835"/>
      <c r="N384" s="835"/>
      <c r="O384" s="836"/>
    </row>
    <row r="385" spans="10:15" ht="15.75" customHeight="1" x14ac:dyDescent="0.25">
      <c r="J385" s="95"/>
      <c r="K385" s="95"/>
      <c r="L385" s="80"/>
      <c r="M385" s="835"/>
      <c r="N385" s="835"/>
      <c r="O385" s="836"/>
    </row>
    <row r="386" spans="10:15" ht="15.75" customHeight="1" x14ac:dyDescent="0.25">
      <c r="J386" s="95"/>
      <c r="K386" s="95"/>
      <c r="L386" s="80"/>
      <c r="M386" s="835"/>
      <c r="N386" s="835"/>
      <c r="O386" s="836"/>
    </row>
    <row r="387" spans="10:15" ht="15.75" customHeight="1" x14ac:dyDescent="0.25">
      <c r="J387" s="95"/>
      <c r="K387" s="95"/>
      <c r="L387" s="80"/>
      <c r="M387" s="835"/>
      <c r="N387" s="835"/>
      <c r="O387" s="836"/>
    </row>
    <row r="388" spans="10:15" ht="15.75" customHeight="1" x14ac:dyDescent="0.25">
      <c r="J388" s="95"/>
      <c r="K388" s="95"/>
      <c r="L388" s="80"/>
      <c r="M388" s="835"/>
      <c r="N388" s="835"/>
      <c r="O388" s="836"/>
    </row>
    <row r="389" spans="10:15" ht="15.75" customHeight="1" x14ac:dyDescent="0.25">
      <c r="J389" s="95"/>
      <c r="K389" s="95"/>
      <c r="L389" s="80"/>
      <c r="M389" s="835"/>
      <c r="N389" s="835"/>
      <c r="O389" s="836"/>
    </row>
    <row r="390" spans="10:15" ht="15.75" customHeight="1" x14ac:dyDescent="0.25">
      <c r="J390" s="95"/>
      <c r="K390" s="95"/>
      <c r="L390" s="80"/>
      <c r="M390" s="835"/>
      <c r="N390" s="835"/>
      <c r="O390" s="836"/>
    </row>
    <row r="391" spans="10:15" ht="15.75" customHeight="1" x14ac:dyDescent="0.25">
      <c r="J391" s="95"/>
      <c r="K391" s="95"/>
      <c r="L391" s="80"/>
      <c r="M391" s="835"/>
      <c r="N391" s="835"/>
      <c r="O391" s="836"/>
    </row>
    <row r="392" spans="10:15" ht="15.75" customHeight="1" x14ac:dyDescent="0.25">
      <c r="J392" s="95"/>
      <c r="K392" s="95"/>
      <c r="L392" s="80"/>
      <c r="M392" s="835"/>
      <c r="N392" s="835"/>
      <c r="O392" s="836"/>
    </row>
    <row r="393" spans="10:15" ht="15.75" customHeight="1" x14ac:dyDescent="0.25">
      <c r="J393" s="95"/>
      <c r="K393" s="95"/>
      <c r="L393" s="80"/>
      <c r="M393" s="835"/>
      <c r="N393" s="835"/>
      <c r="O393" s="836"/>
    </row>
    <row r="394" spans="10:15" ht="15.75" customHeight="1" x14ac:dyDescent="0.25">
      <c r="J394" s="95"/>
      <c r="K394" s="95"/>
      <c r="L394" s="80"/>
      <c r="M394" s="835"/>
      <c r="N394" s="835"/>
      <c r="O394" s="836"/>
    </row>
    <row r="395" spans="10:15" ht="15.75" customHeight="1" x14ac:dyDescent="0.25">
      <c r="J395" s="95"/>
      <c r="K395" s="95"/>
      <c r="L395" s="80"/>
      <c r="M395" s="835"/>
      <c r="N395" s="835"/>
      <c r="O395" s="836"/>
    </row>
    <row r="396" spans="10:15" ht="15.75" customHeight="1" x14ac:dyDescent="0.25">
      <c r="J396" s="95"/>
      <c r="K396" s="95"/>
      <c r="L396" s="80"/>
      <c r="M396" s="835"/>
      <c r="N396" s="835"/>
      <c r="O396" s="836"/>
    </row>
    <row r="397" spans="10:15" ht="15.75" customHeight="1" x14ac:dyDescent="0.25">
      <c r="J397" s="95"/>
      <c r="K397" s="95"/>
      <c r="L397" s="80"/>
      <c r="M397" s="835"/>
      <c r="N397" s="835"/>
      <c r="O397" s="836"/>
    </row>
    <row r="398" spans="10:15" ht="15.75" customHeight="1" x14ac:dyDescent="0.25">
      <c r="J398" s="95"/>
      <c r="K398" s="95"/>
      <c r="L398" s="80"/>
      <c r="M398" s="835"/>
      <c r="N398" s="835"/>
      <c r="O398" s="836"/>
    </row>
    <row r="399" spans="10:15" ht="15.75" customHeight="1" x14ac:dyDescent="0.25">
      <c r="J399" s="95"/>
      <c r="K399" s="95"/>
      <c r="L399" s="80"/>
      <c r="M399" s="835"/>
      <c r="N399" s="835"/>
      <c r="O399" s="836"/>
    </row>
    <row r="400" spans="10:15" ht="15.75" customHeight="1" x14ac:dyDescent="0.25">
      <c r="J400" s="95"/>
      <c r="K400" s="95"/>
      <c r="L400" s="80"/>
      <c r="M400" s="835"/>
      <c r="N400" s="835"/>
      <c r="O400" s="836"/>
    </row>
    <row r="401" spans="10:15" ht="15.75" customHeight="1" x14ac:dyDescent="0.25">
      <c r="J401" s="95"/>
      <c r="K401" s="95"/>
      <c r="L401" s="80"/>
      <c r="M401" s="835"/>
      <c r="N401" s="835"/>
      <c r="O401" s="836"/>
    </row>
    <row r="402" spans="10:15" ht="15.75" customHeight="1" x14ac:dyDescent="0.25">
      <c r="J402" s="95"/>
      <c r="K402" s="95"/>
      <c r="L402" s="80"/>
      <c r="M402" s="835"/>
      <c r="N402" s="835"/>
      <c r="O402" s="836"/>
    </row>
    <row r="403" spans="10:15" ht="15.75" customHeight="1" x14ac:dyDescent="0.25">
      <c r="J403" s="95"/>
      <c r="K403" s="95"/>
      <c r="L403" s="80"/>
      <c r="M403" s="835"/>
      <c r="N403" s="835"/>
      <c r="O403" s="836"/>
    </row>
    <row r="404" spans="10:15" ht="15.75" customHeight="1" x14ac:dyDescent="0.25">
      <c r="J404" s="95"/>
      <c r="K404" s="95"/>
      <c r="L404" s="80"/>
      <c r="M404" s="835"/>
      <c r="N404" s="835"/>
      <c r="O404" s="836"/>
    </row>
    <row r="405" spans="10:15" ht="15.75" customHeight="1" x14ac:dyDescent="0.25">
      <c r="J405" s="95"/>
      <c r="K405" s="95"/>
      <c r="L405" s="80"/>
      <c r="M405" s="835"/>
      <c r="N405" s="835"/>
      <c r="O405" s="836"/>
    </row>
    <row r="406" spans="10:15" ht="15.75" customHeight="1" x14ac:dyDescent="0.25">
      <c r="J406" s="95"/>
      <c r="K406" s="95"/>
      <c r="L406" s="80"/>
      <c r="M406" s="835"/>
      <c r="N406" s="835"/>
      <c r="O406" s="836"/>
    </row>
    <row r="407" spans="10:15" ht="15.75" customHeight="1" x14ac:dyDescent="0.25">
      <c r="J407" s="95"/>
      <c r="K407" s="95"/>
      <c r="L407" s="80"/>
      <c r="M407" s="835"/>
      <c r="N407" s="835"/>
      <c r="O407" s="836"/>
    </row>
    <row r="408" spans="10:15" ht="15.75" customHeight="1" x14ac:dyDescent="0.25">
      <c r="J408" s="95"/>
      <c r="K408" s="95"/>
      <c r="L408" s="80"/>
      <c r="M408" s="835"/>
      <c r="N408" s="835"/>
      <c r="O408" s="836"/>
    </row>
    <row r="409" spans="10:15" ht="15.75" customHeight="1" x14ac:dyDescent="0.25">
      <c r="J409" s="95"/>
      <c r="K409" s="95"/>
      <c r="L409" s="80"/>
      <c r="M409" s="835"/>
      <c r="N409" s="835"/>
      <c r="O409" s="836"/>
    </row>
    <row r="410" spans="10:15" ht="15.75" customHeight="1" x14ac:dyDescent="0.25">
      <c r="J410" s="95"/>
      <c r="K410" s="95"/>
      <c r="L410" s="80"/>
      <c r="M410" s="835"/>
      <c r="N410" s="835"/>
      <c r="O410" s="836"/>
    </row>
    <row r="411" spans="10:15" ht="15.75" customHeight="1" x14ac:dyDescent="0.25">
      <c r="J411" s="95"/>
      <c r="K411" s="95"/>
      <c r="L411" s="80"/>
      <c r="M411" s="835"/>
      <c r="N411" s="835"/>
      <c r="O411" s="836"/>
    </row>
    <row r="412" spans="10:15" ht="15.75" customHeight="1" x14ac:dyDescent="0.25">
      <c r="J412" s="95"/>
      <c r="K412" s="95"/>
      <c r="L412" s="80"/>
      <c r="M412" s="835"/>
      <c r="N412" s="835"/>
      <c r="O412" s="836"/>
    </row>
    <row r="413" spans="10:15" ht="15.75" customHeight="1" x14ac:dyDescent="0.25">
      <c r="J413" s="95"/>
      <c r="K413" s="95"/>
      <c r="L413" s="80"/>
      <c r="M413" s="835"/>
      <c r="N413" s="835"/>
      <c r="O413" s="836"/>
    </row>
    <row r="414" spans="10:15" ht="15.75" customHeight="1" x14ac:dyDescent="0.25">
      <c r="J414" s="95"/>
      <c r="K414" s="95"/>
      <c r="L414" s="80"/>
      <c r="M414" s="835"/>
      <c r="N414" s="835"/>
      <c r="O414" s="836"/>
    </row>
    <row r="415" spans="10:15" ht="15.75" customHeight="1" x14ac:dyDescent="0.25">
      <c r="J415" s="95"/>
      <c r="K415" s="95"/>
      <c r="L415" s="80"/>
      <c r="M415" s="835"/>
      <c r="N415" s="835"/>
      <c r="O415" s="836"/>
    </row>
    <row r="416" spans="10:15" ht="15.75" customHeight="1" x14ac:dyDescent="0.25">
      <c r="J416" s="95"/>
      <c r="K416" s="95"/>
      <c r="L416" s="80"/>
      <c r="M416" s="835"/>
      <c r="N416" s="835"/>
      <c r="O416" s="836"/>
    </row>
    <row r="417" spans="10:15" ht="15.75" customHeight="1" x14ac:dyDescent="0.25">
      <c r="J417" s="95"/>
      <c r="K417" s="95"/>
      <c r="L417" s="80"/>
      <c r="M417" s="835"/>
      <c r="N417" s="835"/>
      <c r="O417" s="836"/>
    </row>
    <row r="418" spans="10:15" ht="15.75" customHeight="1" x14ac:dyDescent="0.25">
      <c r="J418" s="95"/>
      <c r="K418" s="95"/>
      <c r="L418" s="80"/>
      <c r="M418" s="835"/>
      <c r="N418" s="835"/>
      <c r="O418" s="836"/>
    </row>
    <row r="419" spans="10:15" ht="15.75" customHeight="1" x14ac:dyDescent="0.25">
      <c r="J419" s="95"/>
      <c r="K419" s="95"/>
      <c r="L419" s="80"/>
      <c r="M419" s="835"/>
      <c r="N419" s="835"/>
      <c r="O419" s="836"/>
    </row>
    <row r="420" spans="10:15" ht="15.75" customHeight="1" x14ac:dyDescent="0.25">
      <c r="J420" s="95"/>
      <c r="K420" s="95"/>
      <c r="L420" s="80"/>
      <c r="M420" s="835"/>
      <c r="N420" s="835"/>
      <c r="O420" s="836"/>
    </row>
    <row r="421" spans="10:15" ht="15.75" customHeight="1" x14ac:dyDescent="0.25">
      <c r="J421" s="95"/>
      <c r="K421" s="95"/>
      <c r="L421" s="80"/>
      <c r="M421" s="835"/>
      <c r="N421" s="835"/>
      <c r="O421" s="836"/>
    </row>
    <row r="422" spans="10:15" ht="15.75" customHeight="1" x14ac:dyDescent="0.25">
      <c r="J422" s="95"/>
      <c r="K422" s="95"/>
      <c r="L422" s="80"/>
      <c r="M422" s="835"/>
      <c r="N422" s="835"/>
      <c r="O422" s="836"/>
    </row>
    <row r="423" spans="10:15" ht="15.75" customHeight="1" x14ac:dyDescent="0.25">
      <c r="J423" s="95"/>
      <c r="K423" s="95"/>
      <c r="L423" s="80"/>
      <c r="M423" s="835"/>
      <c r="N423" s="835"/>
      <c r="O423" s="836"/>
    </row>
    <row r="424" spans="10:15" ht="15.75" customHeight="1" x14ac:dyDescent="0.25">
      <c r="J424" s="95"/>
      <c r="K424" s="95"/>
      <c r="L424" s="80"/>
      <c r="M424" s="835"/>
      <c r="N424" s="835"/>
      <c r="O424" s="836"/>
    </row>
    <row r="425" spans="10:15" ht="15.75" customHeight="1" x14ac:dyDescent="0.25">
      <c r="J425" s="95"/>
      <c r="K425" s="95"/>
      <c r="L425" s="80"/>
      <c r="M425" s="835"/>
      <c r="N425" s="835"/>
      <c r="O425" s="836"/>
    </row>
    <row r="426" spans="10:15" ht="15.75" customHeight="1" x14ac:dyDescent="0.25">
      <c r="J426" s="95"/>
      <c r="K426" s="95"/>
      <c r="L426" s="80"/>
      <c r="M426" s="835"/>
      <c r="N426" s="835"/>
      <c r="O426" s="836"/>
    </row>
    <row r="427" spans="10:15" ht="15.75" customHeight="1" x14ac:dyDescent="0.25">
      <c r="J427" s="95"/>
      <c r="K427" s="95"/>
      <c r="L427" s="80"/>
      <c r="M427" s="835"/>
      <c r="N427" s="835"/>
      <c r="O427" s="836"/>
    </row>
    <row r="428" spans="10:15" ht="15.75" customHeight="1" x14ac:dyDescent="0.25">
      <c r="J428" s="95"/>
      <c r="K428" s="95"/>
      <c r="L428" s="80"/>
      <c r="M428" s="835"/>
      <c r="N428" s="835"/>
      <c r="O428" s="836"/>
    </row>
    <row r="429" spans="10:15" ht="15.75" customHeight="1" x14ac:dyDescent="0.25">
      <c r="J429" s="95"/>
      <c r="K429" s="95"/>
      <c r="L429" s="80"/>
      <c r="M429" s="835"/>
      <c r="N429" s="835"/>
      <c r="O429" s="836"/>
    </row>
    <row r="430" spans="10:15" ht="15.75" customHeight="1" x14ac:dyDescent="0.25">
      <c r="J430" s="95"/>
      <c r="K430" s="95"/>
      <c r="L430" s="80"/>
      <c r="M430" s="835"/>
      <c r="N430" s="835"/>
      <c r="O430" s="836"/>
    </row>
    <row r="431" spans="10:15" ht="15.75" customHeight="1" x14ac:dyDescent="0.25">
      <c r="J431" s="95"/>
      <c r="K431" s="95"/>
      <c r="L431" s="80"/>
      <c r="M431" s="835"/>
      <c r="N431" s="835"/>
      <c r="O431" s="836"/>
    </row>
    <row r="432" spans="10:15" ht="15.75" customHeight="1" x14ac:dyDescent="0.25">
      <c r="J432" s="95"/>
      <c r="K432" s="95"/>
      <c r="L432" s="80"/>
      <c r="M432" s="835"/>
      <c r="N432" s="835"/>
      <c r="O432" s="836"/>
    </row>
    <row r="433" spans="10:15" ht="15.75" customHeight="1" x14ac:dyDescent="0.25">
      <c r="J433" s="95"/>
      <c r="K433" s="95"/>
      <c r="L433" s="80"/>
      <c r="M433" s="835"/>
      <c r="N433" s="835"/>
      <c r="O433" s="836"/>
    </row>
    <row r="434" spans="10:15" ht="15.75" customHeight="1" x14ac:dyDescent="0.25">
      <c r="J434" s="95"/>
      <c r="K434" s="95"/>
      <c r="L434" s="80"/>
      <c r="M434" s="835"/>
      <c r="N434" s="835"/>
      <c r="O434" s="836"/>
    </row>
    <row r="435" spans="10:15" ht="15.75" customHeight="1" x14ac:dyDescent="0.25">
      <c r="J435" s="95"/>
      <c r="K435" s="95"/>
      <c r="L435" s="80"/>
      <c r="M435" s="835"/>
      <c r="N435" s="835"/>
      <c r="O435" s="836"/>
    </row>
    <row r="436" spans="10:15" ht="15.75" customHeight="1" x14ac:dyDescent="0.25">
      <c r="J436" s="95"/>
      <c r="K436" s="95"/>
      <c r="L436" s="80"/>
      <c r="M436" s="835"/>
      <c r="N436" s="835"/>
      <c r="O436" s="836"/>
    </row>
    <row r="437" spans="10:15" ht="15.75" customHeight="1" x14ac:dyDescent="0.25">
      <c r="J437" s="95"/>
      <c r="K437" s="95"/>
      <c r="L437" s="80"/>
      <c r="M437" s="835"/>
      <c r="N437" s="835"/>
      <c r="O437" s="836"/>
    </row>
    <row r="438" spans="10:15" ht="15.75" customHeight="1" x14ac:dyDescent="0.25">
      <c r="J438" s="95"/>
      <c r="K438" s="95"/>
      <c r="L438" s="80"/>
      <c r="M438" s="835"/>
      <c r="N438" s="835"/>
      <c r="O438" s="836"/>
    </row>
    <row r="439" spans="10:15" ht="15.75" customHeight="1" x14ac:dyDescent="0.25">
      <c r="J439" s="95"/>
      <c r="K439" s="95"/>
      <c r="L439" s="80"/>
      <c r="M439" s="835"/>
      <c r="N439" s="835"/>
      <c r="O439" s="836"/>
    </row>
    <row r="440" spans="10:15" ht="15.75" customHeight="1" x14ac:dyDescent="0.25">
      <c r="J440" s="95"/>
      <c r="K440" s="95"/>
      <c r="L440" s="80"/>
      <c r="M440" s="835"/>
      <c r="N440" s="835"/>
      <c r="O440" s="836"/>
    </row>
    <row r="441" spans="10:15" ht="15.75" customHeight="1" x14ac:dyDescent="0.25">
      <c r="J441" s="95"/>
      <c r="K441" s="95"/>
      <c r="L441" s="80"/>
      <c r="M441" s="835"/>
      <c r="N441" s="835"/>
      <c r="O441" s="836"/>
    </row>
    <row r="442" spans="10:15" ht="15.75" customHeight="1" x14ac:dyDescent="0.25">
      <c r="J442" s="95"/>
      <c r="K442" s="95"/>
      <c r="L442" s="80"/>
      <c r="M442" s="835"/>
      <c r="N442" s="835"/>
      <c r="O442" s="836"/>
    </row>
    <row r="443" spans="10:15" ht="15.75" customHeight="1" x14ac:dyDescent="0.25">
      <c r="J443" s="95"/>
      <c r="K443" s="95"/>
      <c r="L443" s="80"/>
      <c r="M443" s="835"/>
      <c r="N443" s="835"/>
      <c r="O443" s="836"/>
    </row>
    <row r="444" spans="10:15" ht="15.75" customHeight="1" x14ac:dyDescent="0.25">
      <c r="J444" s="95"/>
      <c r="K444" s="95"/>
      <c r="L444" s="80"/>
      <c r="M444" s="835"/>
      <c r="N444" s="835"/>
      <c r="O444" s="836"/>
    </row>
    <row r="445" spans="10:15" ht="15.75" customHeight="1" x14ac:dyDescent="0.25">
      <c r="J445" s="95"/>
      <c r="K445" s="95"/>
      <c r="L445" s="80"/>
      <c r="M445" s="835"/>
      <c r="N445" s="835"/>
      <c r="O445" s="836"/>
    </row>
    <row r="446" spans="10:15" ht="15.75" customHeight="1" x14ac:dyDescent="0.25">
      <c r="J446" s="95"/>
      <c r="K446" s="95"/>
      <c r="L446" s="80"/>
      <c r="M446" s="835"/>
      <c r="N446" s="835"/>
      <c r="O446" s="836"/>
    </row>
    <row r="447" spans="10:15" ht="15.75" customHeight="1" x14ac:dyDescent="0.25">
      <c r="J447" s="95"/>
      <c r="K447" s="95"/>
      <c r="L447" s="80"/>
      <c r="M447" s="835"/>
      <c r="N447" s="835"/>
      <c r="O447" s="836"/>
    </row>
    <row r="448" spans="10:15" ht="15.75" customHeight="1" x14ac:dyDescent="0.25">
      <c r="J448" s="95"/>
      <c r="K448" s="95"/>
      <c r="L448" s="80"/>
      <c r="M448" s="835"/>
      <c r="N448" s="835"/>
      <c r="O448" s="836"/>
    </row>
    <row r="449" spans="10:15" ht="15.75" customHeight="1" x14ac:dyDescent="0.25">
      <c r="J449" s="95"/>
      <c r="K449" s="95"/>
      <c r="L449" s="80"/>
      <c r="M449" s="835"/>
      <c r="N449" s="835"/>
      <c r="O449" s="836"/>
    </row>
    <row r="450" spans="10:15" ht="15.75" customHeight="1" x14ac:dyDescent="0.25">
      <c r="J450" s="95"/>
      <c r="K450" s="95"/>
      <c r="L450" s="80"/>
      <c r="M450" s="835"/>
      <c r="N450" s="835"/>
      <c r="O450" s="836"/>
    </row>
    <row r="451" spans="10:15" ht="15.75" customHeight="1" x14ac:dyDescent="0.25">
      <c r="J451" s="95"/>
      <c r="K451" s="95"/>
      <c r="L451" s="80"/>
      <c r="M451" s="835"/>
      <c r="N451" s="835"/>
      <c r="O451" s="836"/>
    </row>
    <row r="452" spans="10:15" ht="15.75" customHeight="1" x14ac:dyDescent="0.25">
      <c r="J452" s="95"/>
      <c r="K452" s="95"/>
      <c r="L452" s="80"/>
      <c r="M452" s="835"/>
      <c r="N452" s="835"/>
      <c r="O452" s="836"/>
    </row>
    <row r="453" spans="10:15" ht="15.75" customHeight="1" x14ac:dyDescent="0.25">
      <c r="J453" s="95"/>
      <c r="K453" s="95"/>
      <c r="L453" s="80"/>
      <c r="M453" s="835"/>
      <c r="N453" s="835"/>
      <c r="O453" s="836"/>
    </row>
    <row r="454" spans="10:15" ht="15.75" customHeight="1" x14ac:dyDescent="0.25">
      <c r="J454" s="95"/>
      <c r="K454" s="95"/>
      <c r="L454" s="80"/>
      <c r="M454" s="835"/>
      <c r="N454" s="835"/>
      <c r="O454" s="836"/>
    </row>
    <row r="455" spans="10:15" ht="15.75" customHeight="1" x14ac:dyDescent="0.25">
      <c r="J455" s="95"/>
      <c r="K455" s="95"/>
      <c r="L455" s="80"/>
      <c r="M455" s="835"/>
      <c r="N455" s="835"/>
      <c r="O455" s="836"/>
    </row>
    <row r="456" spans="10:15" ht="15.75" customHeight="1" x14ac:dyDescent="0.25">
      <c r="J456" s="95"/>
      <c r="K456" s="95"/>
      <c r="L456" s="80"/>
      <c r="M456" s="835"/>
      <c r="N456" s="835"/>
      <c r="O456" s="836"/>
    </row>
    <row r="457" spans="10:15" ht="15.75" customHeight="1" x14ac:dyDescent="0.25">
      <c r="J457" s="95"/>
      <c r="K457" s="95"/>
      <c r="L457" s="80"/>
      <c r="M457" s="835"/>
      <c r="N457" s="835"/>
      <c r="O457" s="836"/>
    </row>
    <row r="458" spans="10:15" ht="15.75" customHeight="1" x14ac:dyDescent="0.25">
      <c r="J458" s="95"/>
      <c r="K458" s="95"/>
      <c r="L458" s="80"/>
      <c r="M458" s="835"/>
      <c r="N458" s="835"/>
      <c r="O458" s="836"/>
    </row>
    <row r="459" spans="10:15" ht="15.75" customHeight="1" x14ac:dyDescent="0.25">
      <c r="J459" s="95"/>
      <c r="K459" s="95"/>
      <c r="L459" s="80"/>
      <c r="M459" s="835"/>
      <c r="N459" s="835"/>
      <c r="O459" s="836"/>
    </row>
    <row r="460" spans="10:15" ht="15.75" customHeight="1" x14ac:dyDescent="0.25">
      <c r="J460" s="95"/>
      <c r="K460" s="95"/>
      <c r="L460" s="80"/>
      <c r="M460" s="835"/>
      <c r="N460" s="835"/>
      <c r="O460" s="836"/>
    </row>
    <row r="461" spans="10:15" ht="15.75" customHeight="1" x14ac:dyDescent="0.25">
      <c r="J461" s="95"/>
      <c r="K461" s="95"/>
      <c r="L461" s="80"/>
      <c r="M461" s="835"/>
      <c r="N461" s="835"/>
      <c r="O461" s="836"/>
    </row>
    <row r="462" spans="10:15" ht="15.75" customHeight="1" x14ac:dyDescent="0.25">
      <c r="J462" s="95"/>
      <c r="K462" s="95"/>
      <c r="L462" s="80"/>
      <c r="M462" s="835"/>
      <c r="N462" s="835"/>
      <c r="O462" s="836"/>
    </row>
    <row r="463" spans="10:15" ht="15.75" customHeight="1" x14ac:dyDescent="0.25">
      <c r="J463" s="95"/>
      <c r="K463" s="95"/>
      <c r="L463" s="80"/>
      <c r="M463" s="835"/>
      <c r="N463" s="835"/>
      <c r="O463" s="836"/>
    </row>
    <row r="464" spans="10:15" ht="15.75" customHeight="1" x14ac:dyDescent="0.25">
      <c r="J464" s="95"/>
      <c r="K464" s="95"/>
      <c r="L464" s="80"/>
      <c r="M464" s="835"/>
      <c r="N464" s="835"/>
      <c r="O464" s="836"/>
    </row>
    <row r="465" spans="10:15" ht="15.75" customHeight="1" x14ac:dyDescent="0.25">
      <c r="J465" s="95"/>
      <c r="K465" s="95"/>
      <c r="L465" s="80"/>
      <c r="M465" s="835"/>
      <c r="N465" s="835"/>
      <c r="O465" s="836"/>
    </row>
    <row r="466" spans="10:15" ht="15.75" customHeight="1" x14ac:dyDescent="0.25">
      <c r="J466" s="95"/>
      <c r="K466" s="95"/>
      <c r="L466" s="80"/>
      <c r="M466" s="835"/>
      <c r="N466" s="835"/>
      <c r="O466" s="836"/>
    </row>
    <row r="467" spans="10:15" ht="15.75" customHeight="1" x14ac:dyDescent="0.25">
      <c r="J467" s="95"/>
      <c r="K467" s="95"/>
      <c r="L467" s="80"/>
      <c r="M467" s="835"/>
      <c r="N467" s="835"/>
      <c r="O467" s="836"/>
    </row>
    <row r="468" spans="10:15" ht="15.75" customHeight="1" x14ac:dyDescent="0.25">
      <c r="J468" s="95"/>
      <c r="K468" s="95"/>
      <c r="L468" s="80"/>
      <c r="M468" s="835"/>
      <c r="N468" s="835"/>
      <c r="O468" s="836"/>
    </row>
    <row r="469" spans="10:15" ht="15.75" customHeight="1" x14ac:dyDescent="0.25">
      <c r="J469" s="95"/>
      <c r="K469" s="95"/>
      <c r="L469" s="80"/>
      <c r="M469" s="835"/>
      <c r="N469" s="835"/>
      <c r="O469" s="836"/>
    </row>
    <row r="470" spans="10:15" ht="15.75" customHeight="1" x14ac:dyDescent="0.25">
      <c r="J470" s="95"/>
      <c r="K470" s="95"/>
      <c r="L470" s="80"/>
      <c r="M470" s="835"/>
      <c r="N470" s="835"/>
      <c r="O470" s="836"/>
    </row>
    <row r="471" spans="10:15" ht="15.75" customHeight="1" x14ac:dyDescent="0.25">
      <c r="J471" s="95"/>
      <c r="K471" s="95"/>
      <c r="L471" s="80"/>
      <c r="M471" s="835"/>
      <c r="N471" s="835"/>
      <c r="O471" s="836"/>
    </row>
    <row r="472" spans="10:15" ht="15.75" customHeight="1" x14ac:dyDescent="0.25">
      <c r="J472" s="95"/>
      <c r="K472" s="95"/>
      <c r="L472" s="80"/>
      <c r="M472" s="835"/>
      <c r="N472" s="835"/>
      <c r="O472" s="836"/>
    </row>
    <row r="473" spans="10:15" ht="15.75" customHeight="1" x14ac:dyDescent="0.25">
      <c r="J473" s="95"/>
      <c r="K473" s="95"/>
      <c r="L473" s="80"/>
      <c r="M473" s="835"/>
      <c r="N473" s="835"/>
      <c r="O473" s="836"/>
    </row>
    <row r="474" spans="10:15" ht="15.75" customHeight="1" x14ac:dyDescent="0.25">
      <c r="J474" s="95"/>
      <c r="K474" s="95"/>
      <c r="L474" s="80"/>
      <c r="M474" s="835"/>
      <c r="N474" s="835"/>
      <c r="O474" s="836"/>
    </row>
    <row r="475" spans="10:15" ht="15.75" customHeight="1" x14ac:dyDescent="0.25">
      <c r="J475" s="95"/>
      <c r="K475" s="95"/>
      <c r="L475" s="80"/>
      <c r="M475" s="835"/>
      <c r="N475" s="835"/>
      <c r="O475" s="836"/>
    </row>
    <row r="476" spans="10:15" ht="15.75" customHeight="1" x14ac:dyDescent="0.25">
      <c r="J476" s="95"/>
      <c r="K476" s="95"/>
      <c r="L476" s="80"/>
      <c r="M476" s="835"/>
      <c r="N476" s="835"/>
      <c r="O476" s="836"/>
    </row>
    <row r="477" spans="10:15" ht="15.75" customHeight="1" x14ac:dyDescent="0.25">
      <c r="J477" s="95"/>
      <c r="K477" s="95"/>
      <c r="L477" s="80"/>
      <c r="M477" s="835"/>
      <c r="N477" s="835"/>
      <c r="O477" s="836"/>
    </row>
    <row r="478" spans="10:15" ht="15.75" customHeight="1" x14ac:dyDescent="0.25">
      <c r="J478" s="95"/>
      <c r="K478" s="95"/>
      <c r="L478" s="80"/>
      <c r="M478" s="835"/>
      <c r="N478" s="835"/>
      <c r="O478" s="836"/>
    </row>
    <row r="479" spans="10:15" ht="15.75" customHeight="1" x14ac:dyDescent="0.25">
      <c r="J479" s="95"/>
      <c r="K479" s="95"/>
      <c r="L479" s="80"/>
      <c r="M479" s="835"/>
      <c r="N479" s="835"/>
      <c r="O479" s="836"/>
    </row>
    <row r="480" spans="10:15" ht="15.75" customHeight="1" x14ac:dyDescent="0.25">
      <c r="J480" s="95"/>
      <c r="K480" s="95"/>
      <c r="L480" s="80"/>
      <c r="M480" s="835"/>
      <c r="N480" s="835"/>
      <c r="O480" s="836"/>
    </row>
    <row r="481" spans="10:15" ht="15.75" customHeight="1" x14ac:dyDescent="0.25">
      <c r="J481" s="95"/>
      <c r="K481" s="95"/>
      <c r="L481" s="80"/>
      <c r="M481" s="835"/>
      <c r="N481" s="835"/>
      <c r="O481" s="836"/>
    </row>
    <row r="482" spans="10:15" ht="15.75" customHeight="1" x14ac:dyDescent="0.25">
      <c r="J482" s="95"/>
      <c r="K482" s="95"/>
      <c r="L482" s="80"/>
      <c r="M482" s="835"/>
      <c r="N482" s="835"/>
      <c r="O482" s="836"/>
    </row>
    <row r="483" spans="10:15" ht="15.75" customHeight="1" x14ac:dyDescent="0.25">
      <c r="J483" s="95"/>
      <c r="K483" s="95"/>
      <c r="L483" s="80"/>
      <c r="M483" s="835"/>
      <c r="N483" s="835"/>
      <c r="O483" s="836"/>
    </row>
    <row r="484" spans="10:15" ht="15.75" customHeight="1" x14ac:dyDescent="0.25">
      <c r="J484" s="95"/>
      <c r="K484" s="95"/>
      <c r="L484" s="80"/>
      <c r="M484" s="835"/>
      <c r="N484" s="835"/>
      <c r="O484" s="836"/>
    </row>
    <row r="485" spans="10:15" ht="15.75" customHeight="1" x14ac:dyDescent="0.25">
      <c r="J485" s="95"/>
      <c r="K485" s="95"/>
      <c r="L485" s="80"/>
      <c r="M485" s="835"/>
      <c r="N485" s="835"/>
      <c r="O485" s="836"/>
    </row>
    <row r="486" spans="10:15" ht="15.75" customHeight="1" x14ac:dyDescent="0.25">
      <c r="J486" s="95"/>
      <c r="K486" s="95"/>
      <c r="L486" s="80"/>
      <c r="M486" s="835"/>
      <c r="N486" s="835"/>
      <c r="O486" s="836"/>
    </row>
    <row r="487" spans="10:15" ht="15.75" customHeight="1" x14ac:dyDescent="0.25">
      <c r="J487" s="95"/>
      <c r="K487" s="95"/>
      <c r="L487" s="80"/>
      <c r="M487" s="835"/>
      <c r="N487" s="835"/>
      <c r="O487" s="836"/>
    </row>
    <row r="488" spans="10:15" ht="15.75" customHeight="1" x14ac:dyDescent="0.25">
      <c r="J488" s="95"/>
      <c r="K488" s="95"/>
      <c r="L488" s="80"/>
      <c r="M488" s="835"/>
      <c r="N488" s="835"/>
      <c r="O488" s="836"/>
    </row>
    <row r="489" spans="10:15" ht="15.75" customHeight="1" x14ac:dyDescent="0.25">
      <c r="J489" s="95"/>
      <c r="K489" s="95"/>
      <c r="L489" s="80"/>
      <c r="M489" s="835"/>
      <c r="N489" s="835"/>
      <c r="O489" s="836"/>
    </row>
    <row r="490" spans="10:15" ht="15.75" customHeight="1" x14ac:dyDescent="0.25">
      <c r="J490" s="95"/>
      <c r="K490" s="95"/>
      <c r="L490" s="80"/>
      <c r="M490" s="835"/>
      <c r="N490" s="835"/>
      <c r="O490" s="836"/>
    </row>
    <row r="491" spans="10:15" ht="15.75" customHeight="1" x14ac:dyDescent="0.25">
      <c r="J491" s="95"/>
      <c r="K491" s="95"/>
      <c r="L491" s="80"/>
      <c r="M491" s="835"/>
      <c r="N491" s="835"/>
      <c r="O491" s="836"/>
    </row>
    <row r="492" spans="10:15" ht="15.75" customHeight="1" x14ac:dyDescent="0.25">
      <c r="J492" s="95"/>
      <c r="K492" s="95"/>
      <c r="L492" s="80"/>
      <c r="M492" s="835"/>
      <c r="N492" s="835"/>
      <c r="O492" s="836"/>
    </row>
    <row r="493" spans="10:15" ht="15.75" customHeight="1" x14ac:dyDescent="0.25">
      <c r="J493" s="95"/>
      <c r="K493" s="95"/>
      <c r="L493" s="80"/>
      <c r="M493" s="835"/>
      <c r="N493" s="835"/>
      <c r="O493" s="836"/>
    </row>
    <row r="494" spans="10:15" ht="15.75" customHeight="1" x14ac:dyDescent="0.25">
      <c r="J494" s="95"/>
      <c r="K494" s="95"/>
      <c r="L494" s="80"/>
      <c r="M494" s="835"/>
      <c r="N494" s="835"/>
      <c r="O494" s="836"/>
    </row>
    <row r="495" spans="10:15" ht="15.75" customHeight="1" x14ac:dyDescent="0.25">
      <c r="J495" s="95"/>
      <c r="K495" s="95"/>
      <c r="L495" s="80"/>
      <c r="M495" s="835"/>
      <c r="N495" s="835"/>
      <c r="O495" s="836"/>
    </row>
    <row r="496" spans="10:15" ht="15.75" customHeight="1" x14ac:dyDescent="0.25">
      <c r="J496" s="95"/>
      <c r="K496" s="95"/>
      <c r="L496" s="80"/>
      <c r="M496" s="835"/>
      <c r="N496" s="835"/>
      <c r="O496" s="836"/>
    </row>
    <row r="497" spans="10:15" ht="15.75" customHeight="1" x14ac:dyDescent="0.25">
      <c r="J497" s="95"/>
      <c r="K497" s="95"/>
      <c r="L497" s="80"/>
      <c r="M497" s="835"/>
      <c r="N497" s="835"/>
      <c r="O497" s="836"/>
    </row>
    <row r="498" spans="10:15" ht="15.75" customHeight="1" x14ac:dyDescent="0.25">
      <c r="J498" s="95"/>
      <c r="K498" s="95"/>
      <c r="L498" s="80"/>
      <c r="M498" s="835"/>
      <c r="N498" s="835"/>
      <c r="O498" s="836"/>
    </row>
    <row r="499" spans="10:15" ht="15.75" customHeight="1" x14ac:dyDescent="0.25">
      <c r="J499" s="95"/>
      <c r="K499" s="95"/>
      <c r="L499" s="80"/>
      <c r="M499" s="835"/>
      <c r="N499" s="835"/>
      <c r="O499" s="836"/>
    </row>
    <row r="500" spans="10:15" ht="15.75" customHeight="1" x14ac:dyDescent="0.25">
      <c r="J500" s="95"/>
      <c r="K500" s="95"/>
      <c r="L500" s="80"/>
      <c r="M500" s="835"/>
      <c r="N500" s="835"/>
      <c r="O500" s="836"/>
    </row>
    <row r="501" spans="10:15" ht="15.75" customHeight="1" x14ac:dyDescent="0.25">
      <c r="J501" s="95"/>
      <c r="K501" s="95"/>
      <c r="L501" s="80"/>
      <c r="M501" s="835"/>
      <c r="N501" s="835"/>
      <c r="O501" s="836"/>
    </row>
    <row r="502" spans="10:15" ht="15.75" customHeight="1" x14ac:dyDescent="0.25">
      <c r="J502" s="95"/>
      <c r="K502" s="95"/>
      <c r="L502" s="80"/>
      <c r="M502" s="835"/>
      <c r="N502" s="835"/>
      <c r="O502" s="836"/>
    </row>
    <row r="503" spans="10:15" ht="15.75" customHeight="1" x14ac:dyDescent="0.25">
      <c r="J503" s="95"/>
      <c r="K503" s="95"/>
      <c r="L503" s="80"/>
      <c r="M503" s="835"/>
      <c r="N503" s="835"/>
      <c r="O503" s="836"/>
    </row>
    <row r="504" spans="10:15" ht="15.75" customHeight="1" x14ac:dyDescent="0.25">
      <c r="J504" s="95"/>
      <c r="K504" s="95"/>
      <c r="L504" s="80"/>
      <c r="M504" s="835"/>
      <c r="N504" s="835"/>
      <c r="O504" s="836"/>
    </row>
    <row r="505" spans="10:15" ht="15.75" customHeight="1" x14ac:dyDescent="0.25">
      <c r="J505" s="95"/>
      <c r="K505" s="95"/>
      <c r="L505" s="80"/>
      <c r="M505" s="835"/>
      <c r="N505" s="835"/>
      <c r="O505" s="836"/>
    </row>
    <row r="506" spans="10:15" ht="15.75" customHeight="1" x14ac:dyDescent="0.25">
      <c r="J506" s="95"/>
      <c r="K506" s="95"/>
      <c r="L506" s="80"/>
      <c r="M506" s="835"/>
      <c r="N506" s="835"/>
      <c r="O506" s="836"/>
    </row>
    <row r="507" spans="10:15" ht="15.75" customHeight="1" x14ac:dyDescent="0.25">
      <c r="J507" s="95"/>
      <c r="K507" s="95"/>
      <c r="L507" s="80"/>
      <c r="M507" s="835"/>
      <c r="N507" s="835"/>
      <c r="O507" s="836"/>
    </row>
    <row r="508" spans="10:15" ht="15.75" customHeight="1" x14ac:dyDescent="0.25">
      <c r="J508" s="95"/>
      <c r="K508" s="95"/>
      <c r="L508" s="80"/>
      <c r="M508" s="835"/>
      <c r="N508" s="835"/>
      <c r="O508" s="836"/>
    </row>
    <row r="509" spans="10:15" ht="15.75" customHeight="1" x14ac:dyDescent="0.25">
      <c r="J509" s="95"/>
      <c r="K509" s="95"/>
      <c r="L509" s="80"/>
      <c r="M509" s="835"/>
      <c r="N509" s="835"/>
      <c r="O509" s="836"/>
    </row>
    <row r="510" spans="10:15" ht="15.75" customHeight="1" x14ac:dyDescent="0.25">
      <c r="J510" s="95"/>
      <c r="K510" s="95"/>
      <c r="L510" s="80"/>
      <c r="M510" s="835"/>
      <c r="N510" s="835"/>
      <c r="O510" s="836"/>
    </row>
    <row r="511" spans="10:15" ht="15.75" customHeight="1" x14ac:dyDescent="0.25">
      <c r="J511" s="95"/>
      <c r="K511" s="95"/>
      <c r="L511" s="80"/>
      <c r="M511" s="835"/>
      <c r="N511" s="835"/>
      <c r="O511" s="836"/>
    </row>
    <row r="512" spans="10:15" ht="15.75" customHeight="1" x14ac:dyDescent="0.25">
      <c r="J512" s="95"/>
      <c r="K512" s="95"/>
      <c r="L512" s="80"/>
      <c r="M512" s="835"/>
      <c r="N512" s="835"/>
      <c r="O512" s="836"/>
    </row>
    <row r="513" spans="10:15" ht="15.75" customHeight="1" x14ac:dyDescent="0.25">
      <c r="J513" s="95"/>
      <c r="K513" s="95"/>
      <c r="L513" s="80"/>
      <c r="M513" s="835"/>
      <c r="N513" s="835"/>
      <c r="O513" s="836"/>
    </row>
    <row r="514" spans="10:15" ht="15.75" customHeight="1" x14ac:dyDescent="0.25">
      <c r="J514" s="95"/>
      <c r="K514" s="95"/>
      <c r="L514" s="80"/>
      <c r="M514" s="835"/>
      <c r="N514" s="835"/>
      <c r="O514" s="836"/>
    </row>
    <row r="515" spans="10:15" ht="15.75" customHeight="1" x14ac:dyDescent="0.25">
      <c r="J515" s="95"/>
      <c r="K515" s="95"/>
      <c r="L515" s="80"/>
      <c r="M515" s="835"/>
      <c r="N515" s="835"/>
      <c r="O515" s="836"/>
    </row>
    <row r="516" spans="10:15" ht="15.75" customHeight="1" x14ac:dyDescent="0.25">
      <c r="J516" s="95"/>
      <c r="K516" s="95"/>
      <c r="L516" s="80"/>
      <c r="M516" s="835"/>
      <c r="N516" s="835"/>
      <c r="O516" s="836"/>
    </row>
    <row r="517" spans="10:15" ht="15.75" customHeight="1" x14ac:dyDescent="0.25">
      <c r="J517" s="95"/>
      <c r="K517" s="95"/>
      <c r="L517" s="80"/>
      <c r="M517" s="835"/>
      <c r="N517" s="835"/>
      <c r="O517" s="836"/>
    </row>
    <row r="518" spans="10:15" ht="15.75" customHeight="1" x14ac:dyDescent="0.25">
      <c r="J518" s="95"/>
      <c r="K518" s="95"/>
      <c r="L518" s="80"/>
      <c r="M518" s="835"/>
      <c r="N518" s="835"/>
      <c r="O518" s="836"/>
    </row>
    <row r="519" spans="10:15" ht="15.75" customHeight="1" x14ac:dyDescent="0.25">
      <c r="J519" s="95"/>
      <c r="K519" s="95"/>
      <c r="L519" s="80"/>
      <c r="M519" s="835"/>
      <c r="N519" s="835"/>
      <c r="O519" s="836"/>
    </row>
    <row r="520" spans="10:15" ht="15.75" customHeight="1" x14ac:dyDescent="0.25">
      <c r="J520" s="95"/>
      <c r="K520" s="95"/>
      <c r="L520" s="80"/>
      <c r="M520" s="835"/>
      <c r="N520" s="835"/>
      <c r="O520" s="836"/>
    </row>
    <row r="521" spans="10:15" ht="15.75" customHeight="1" x14ac:dyDescent="0.25">
      <c r="J521" s="95"/>
      <c r="K521" s="95"/>
      <c r="L521" s="80"/>
      <c r="M521" s="835"/>
      <c r="N521" s="835"/>
      <c r="O521" s="836"/>
    </row>
    <row r="522" spans="10:15" ht="15.75" customHeight="1" x14ac:dyDescent="0.25">
      <c r="J522" s="95"/>
      <c r="K522" s="95"/>
      <c r="L522" s="80"/>
      <c r="M522" s="835"/>
      <c r="N522" s="835"/>
      <c r="O522" s="836"/>
    </row>
    <row r="523" spans="10:15" ht="15.75" customHeight="1" x14ac:dyDescent="0.25">
      <c r="J523" s="95"/>
      <c r="K523" s="95"/>
      <c r="L523" s="80"/>
      <c r="M523" s="835"/>
      <c r="N523" s="835"/>
      <c r="O523" s="836"/>
    </row>
    <row r="524" spans="10:15" ht="15.75" customHeight="1" x14ac:dyDescent="0.25">
      <c r="J524" s="95"/>
      <c r="K524" s="95"/>
      <c r="L524" s="80"/>
      <c r="M524" s="835"/>
      <c r="N524" s="835"/>
      <c r="O524" s="836"/>
    </row>
    <row r="525" spans="10:15" ht="15.75" customHeight="1" x14ac:dyDescent="0.25">
      <c r="J525" s="95"/>
      <c r="K525" s="95"/>
      <c r="L525" s="80"/>
      <c r="M525" s="835"/>
      <c r="N525" s="835"/>
      <c r="O525" s="836"/>
    </row>
    <row r="526" spans="10:15" ht="15.75" customHeight="1" x14ac:dyDescent="0.25">
      <c r="J526" s="95"/>
      <c r="K526" s="95"/>
      <c r="L526" s="80"/>
      <c r="M526" s="835"/>
      <c r="N526" s="835"/>
      <c r="O526" s="836"/>
    </row>
    <row r="527" spans="10:15" ht="15.75" customHeight="1" x14ac:dyDescent="0.25">
      <c r="J527" s="95"/>
      <c r="K527" s="95"/>
      <c r="L527" s="80"/>
      <c r="M527" s="835"/>
      <c r="N527" s="835"/>
      <c r="O527" s="836"/>
    </row>
    <row r="528" spans="10:15" ht="15.75" customHeight="1" x14ac:dyDescent="0.25">
      <c r="J528" s="95"/>
      <c r="K528" s="95"/>
      <c r="L528" s="80"/>
      <c r="M528" s="835"/>
      <c r="N528" s="835"/>
      <c r="O528" s="836"/>
    </row>
    <row r="529" spans="10:15" ht="15.75" customHeight="1" x14ac:dyDescent="0.25">
      <c r="J529" s="95"/>
      <c r="K529" s="95"/>
      <c r="L529" s="80"/>
      <c r="M529" s="835"/>
      <c r="N529" s="835"/>
      <c r="O529" s="836"/>
    </row>
    <row r="530" spans="10:15" ht="15.75" customHeight="1" x14ac:dyDescent="0.25">
      <c r="J530" s="95"/>
      <c r="K530" s="95"/>
      <c r="L530" s="80"/>
      <c r="M530" s="835"/>
      <c r="N530" s="835"/>
      <c r="O530" s="836"/>
    </row>
    <row r="531" spans="10:15" ht="15.75" customHeight="1" x14ac:dyDescent="0.25">
      <c r="J531" s="95"/>
      <c r="K531" s="95"/>
      <c r="L531" s="80"/>
      <c r="M531" s="835"/>
      <c r="N531" s="835"/>
      <c r="O531" s="836"/>
    </row>
    <row r="532" spans="10:15" ht="15.75" customHeight="1" x14ac:dyDescent="0.25">
      <c r="J532" s="95"/>
      <c r="K532" s="95"/>
      <c r="L532" s="80"/>
      <c r="M532" s="835"/>
      <c r="N532" s="835"/>
      <c r="O532" s="836"/>
    </row>
    <row r="533" spans="10:15" ht="15.75" customHeight="1" x14ac:dyDescent="0.25">
      <c r="J533" s="95"/>
      <c r="K533" s="95"/>
      <c r="L533" s="80"/>
      <c r="M533" s="835"/>
      <c r="N533" s="835"/>
      <c r="O533" s="836"/>
    </row>
    <row r="534" spans="10:15" ht="15.75" customHeight="1" x14ac:dyDescent="0.25">
      <c r="J534" s="95"/>
      <c r="K534" s="95"/>
      <c r="L534" s="80"/>
      <c r="M534" s="835"/>
      <c r="N534" s="835"/>
      <c r="O534" s="836"/>
    </row>
    <row r="535" spans="10:15" ht="15.75" customHeight="1" x14ac:dyDescent="0.25">
      <c r="J535" s="95"/>
      <c r="K535" s="95"/>
      <c r="L535" s="80"/>
      <c r="M535" s="835"/>
      <c r="N535" s="835"/>
      <c r="O535" s="836"/>
    </row>
    <row r="536" spans="10:15" ht="15.75" customHeight="1" x14ac:dyDescent="0.25">
      <c r="J536" s="95"/>
      <c r="K536" s="95"/>
      <c r="L536" s="80"/>
      <c r="M536" s="835"/>
      <c r="N536" s="835"/>
      <c r="O536" s="836"/>
    </row>
    <row r="537" spans="10:15" ht="15.75" customHeight="1" x14ac:dyDescent="0.25">
      <c r="J537" s="95"/>
      <c r="K537" s="95"/>
      <c r="L537" s="80"/>
      <c r="M537" s="835"/>
      <c r="N537" s="835"/>
      <c r="O537" s="836"/>
    </row>
    <row r="538" spans="10:15" ht="15.75" customHeight="1" x14ac:dyDescent="0.25">
      <c r="J538" s="95"/>
      <c r="K538" s="95"/>
      <c r="L538" s="80"/>
      <c r="M538" s="835"/>
      <c r="N538" s="835"/>
      <c r="O538" s="836"/>
    </row>
    <row r="539" spans="10:15" ht="15.75" customHeight="1" x14ac:dyDescent="0.25">
      <c r="J539" s="95"/>
      <c r="K539" s="95"/>
      <c r="L539" s="80"/>
      <c r="M539" s="835"/>
      <c r="N539" s="835"/>
      <c r="O539" s="836"/>
    </row>
    <row r="540" spans="10:15" ht="15.75" customHeight="1" x14ac:dyDescent="0.25">
      <c r="J540" s="95"/>
      <c r="K540" s="95"/>
      <c r="L540" s="80"/>
      <c r="M540" s="835"/>
      <c r="N540" s="835"/>
      <c r="O540" s="836"/>
    </row>
    <row r="541" spans="10:15" ht="15.75" customHeight="1" x14ac:dyDescent="0.25">
      <c r="J541" s="95"/>
      <c r="K541" s="95"/>
      <c r="L541" s="80"/>
      <c r="M541" s="835"/>
      <c r="N541" s="835"/>
      <c r="O541" s="836"/>
    </row>
    <row r="542" spans="10:15" ht="15.75" customHeight="1" x14ac:dyDescent="0.25">
      <c r="J542" s="95"/>
      <c r="K542" s="95"/>
      <c r="L542" s="80"/>
      <c r="M542" s="835"/>
      <c r="N542" s="835"/>
      <c r="O542" s="836"/>
    </row>
    <row r="543" spans="10:15" ht="15.75" customHeight="1" x14ac:dyDescent="0.25">
      <c r="J543" s="95"/>
      <c r="K543" s="95"/>
      <c r="L543" s="80"/>
      <c r="M543" s="835"/>
      <c r="N543" s="835"/>
      <c r="O543" s="836"/>
    </row>
    <row r="544" spans="10:15" ht="15.75" customHeight="1" x14ac:dyDescent="0.25">
      <c r="J544" s="95"/>
      <c r="K544" s="95"/>
      <c r="L544" s="80"/>
      <c r="M544" s="835"/>
      <c r="N544" s="835"/>
      <c r="O544" s="836"/>
    </row>
    <row r="545" spans="10:15" ht="15.75" customHeight="1" x14ac:dyDescent="0.25">
      <c r="J545" s="95"/>
      <c r="K545" s="95"/>
      <c r="L545" s="80"/>
      <c r="M545" s="835"/>
      <c r="N545" s="835"/>
      <c r="O545" s="836"/>
    </row>
    <row r="546" spans="10:15" ht="15.75" customHeight="1" x14ac:dyDescent="0.25">
      <c r="J546" s="95"/>
      <c r="K546" s="95"/>
      <c r="L546" s="80"/>
      <c r="M546" s="835"/>
      <c r="N546" s="835"/>
      <c r="O546" s="836"/>
    </row>
    <row r="547" spans="10:15" ht="15.75" customHeight="1" x14ac:dyDescent="0.25">
      <c r="J547" s="95"/>
      <c r="K547" s="95"/>
      <c r="L547" s="80"/>
      <c r="M547" s="835"/>
      <c r="N547" s="835"/>
      <c r="O547" s="836"/>
    </row>
    <row r="548" spans="10:15" ht="15.75" customHeight="1" x14ac:dyDescent="0.25">
      <c r="J548" s="95"/>
      <c r="K548" s="95"/>
      <c r="L548" s="80"/>
      <c r="M548" s="835"/>
      <c r="N548" s="835"/>
      <c r="O548" s="836"/>
    </row>
    <row r="549" spans="10:15" ht="15.75" customHeight="1" x14ac:dyDescent="0.25">
      <c r="J549" s="95"/>
      <c r="K549" s="95"/>
      <c r="L549" s="80"/>
      <c r="M549" s="835"/>
      <c r="N549" s="835"/>
      <c r="O549" s="836"/>
    </row>
    <row r="550" spans="10:15" ht="15.75" customHeight="1" x14ac:dyDescent="0.25">
      <c r="J550" s="95"/>
      <c r="K550" s="95"/>
      <c r="L550" s="80"/>
      <c r="M550" s="835"/>
      <c r="N550" s="835"/>
      <c r="O550" s="836"/>
    </row>
    <row r="551" spans="10:15" ht="15.75" customHeight="1" x14ac:dyDescent="0.25">
      <c r="J551" s="95"/>
      <c r="K551" s="95"/>
      <c r="L551" s="80"/>
      <c r="M551" s="835"/>
      <c r="N551" s="835"/>
      <c r="O551" s="836"/>
    </row>
    <row r="552" spans="10:15" ht="15.75" customHeight="1" x14ac:dyDescent="0.25">
      <c r="J552" s="95"/>
      <c r="K552" s="95"/>
      <c r="L552" s="80"/>
      <c r="M552" s="835"/>
      <c r="N552" s="835"/>
      <c r="O552" s="836"/>
    </row>
    <row r="553" spans="10:15" ht="15.75" customHeight="1" x14ac:dyDescent="0.25">
      <c r="J553" s="95"/>
      <c r="K553" s="95"/>
      <c r="L553" s="80"/>
      <c r="M553" s="835"/>
      <c r="N553" s="835"/>
      <c r="O553" s="836"/>
    </row>
    <row r="554" spans="10:15" ht="15.75" customHeight="1" x14ac:dyDescent="0.25">
      <c r="J554" s="95"/>
      <c r="K554" s="95"/>
      <c r="L554" s="80"/>
      <c r="M554" s="835"/>
      <c r="N554" s="835"/>
      <c r="O554" s="836"/>
    </row>
    <row r="555" spans="10:15" ht="15.75" customHeight="1" x14ac:dyDescent="0.25">
      <c r="J555" s="95"/>
      <c r="K555" s="95"/>
      <c r="L555" s="80"/>
      <c r="M555" s="835"/>
      <c r="N555" s="835"/>
      <c r="O555" s="836"/>
    </row>
    <row r="556" spans="10:15" ht="15.75" customHeight="1" x14ac:dyDescent="0.25">
      <c r="J556" s="95"/>
      <c r="K556" s="95"/>
      <c r="L556" s="80"/>
      <c r="M556" s="835"/>
      <c r="N556" s="835"/>
      <c r="O556" s="836"/>
    </row>
    <row r="557" spans="10:15" ht="15.75" customHeight="1" x14ac:dyDescent="0.25">
      <c r="J557" s="95"/>
      <c r="K557" s="95"/>
      <c r="L557" s="80"/>
      <c r="M557" s="835"/>
      <c r="N557" s="835"/>
      <c r="O557" s="836"/>
    </row>
    <row r="558" spans="10:15" ht="15.75" customHeight="1" x14ac:dyDescent="0.25">
      <c r="J558" s="95"/>
      <c r="K558" s="95"/>
      <c r="L558" s="80"/>
      <c r="M558" s="835"/>
      <c r="N558" s="835"/>
      <c r="O558" s="836"/>
    </row>
    <row r="559" spans="10:15" ht="15.75" customHeight="1" x14ac:dyDescent="0.25">
      <c r="J559" s="95"/>
      <c r="K559" s="95"/>
      <c r="L559" s="80"/>
      <c r="M559" s="835"/>
      <c r="N559" s="835"/>
      <c r="O559" s="836"/>
    </row>
    <row r="560" spans="10:15" ht="15.75" customHeight="1" x14ac:dyDescent="0.25">
      <c r="J560" s="95"/>
      <c r="K560" s="95"/>
      <c r="L560" s="80"/>
      <c r="M560" s="835"/>
      <c r="N560" s="835"/>
      <c r="O560" s="836"/>
    </row>
    <row r="561" spans="10:15" ht="15.75" customHeight="1" x14ac:dyDescent="0.25">
      <c r="J561" s="95"/>
      <c r="K561" s="95"/>
      <c r="L561" s="80"/>
      <c r="M561" s="835"/>
      <c r="N561" s="835"/>
      <c r="O561" s="836"/>
    </row>
    <row r="562" spans="10:15" ht="15.75" customHeight="1" x14ac:dyDescent="0.25">
      <c r="J562" s="95"/>
      <c r="K562" s="95"/>
      <c r="L562" s="80"/>
      <c r="M562" s="835"/>
      <c r="N562" s="835"/>
      <c r="O562" s="836"/>
    </row>
    <row r="563" spans="10:15" ht="15.75" customHeight="1" x14ac:dyDescent="0.25">
      <c r="J563" s="95"/>
      <c r="K563" s="95"/>
      <c r="L563" s="80"/>
      <c r="M563" s="835"/>
      <c r="N563" s="835"/>
      <c r="O563" s="836"/>
    </row>
    <row r="564" spans="10:15" ht="15.75" customHeight="1" x14ac:dyDescent="0.25">
      <c r="J564" s="95"/>
      <c r="K564" s="95"/>
      <c r="L564" s="80"/>
      <c r="M564" s="835"/>
      <c r="N564" s="835"/>
      <c r="O564" s="836"/>
    </row>
    <row r="565" spans="10:15" ht="15.75" customHeight="1" x14ac:dyDescent="0.25">
      <c r="J565" s="95"/>
      <c r="K565" s="95"/>
      <c r="L565" s="80"/>
      <c r="M565" s="835"/>
      <c r="N565" s="835"/>
      <c r="O565" s="836"/>
    </row>
    <row r="566" spans="10:15" ht="15.75" customHeight="1" x14ac:dyDescent="0.25">
      <c r="J566" s="95"/>
      <c r="K566" s="95"/>
      <c r="L566" s="80"/>
      <c r="M566" s="835"/>
      <c r="N566" s="835"/>
      <c r="O566" s="836"/>
    </row>
    <row r="567" spans="10:15" ht="15.75" customHeight="1" x14ac:dyDescent="0.25">
      <c r="J567" s="95"/>
      <c r="K567" s="95"/>
      <c r="L567" s="80"/>
      <c r="M567" s="835"/>
      <c r="N567" s="835"/>
      <c r="O567" s="836"/>
    </row>
    <row r="568" spans="10:15" ht="15.75" customHeight="1" x14ac:dyDescent="0.25">
      <c r="J568" s="95"/>
      <c r="K568" s="95"/>
      <c r="L568" s="80"/>
      <c r="M568" s="835"/>
      <c r="N568" s="835"/>
      <c r="O568" s="836"/>
    </row>
    <row r="569" spans="10:15" ht="15.75" customHeight="1" x14ac:dyDescent="0.25">
      <c r="J569" s="95"/>
      <c r="K569" s="95"/>
      <c r="L569" s="80"/>
      <c r="M569" s="835"/>
      <c r="N569" s="835"/>
      <c r="O569" s="836"/>
    </row>
    <row r="570" spans="10:15" ht="15.75" customHeight="1" x14ac:dyDescent="0.25">
      <c r="J570" s="95"/>
      <c r="K570" s="95"/>
      <c r="L570" s="80"/>
      <c r="M570" s="835"/>
      <c r="N570" s="835"/>
      <c r="O570" s="836"/>
    </row>
    <row r="571" spans="10:15" ht="15.75" customHeight="1" x14ac:dyDescent="0.25">
      <c r="J571" s="95"/>
      <c r="K571" s="95"/>
      <c r="L571" s="80"/>
      <c r="M571" s="835"/>
      <c r="N571" s="835"/>
      <c r="O571" s="836"/>
    </row>
    <row r="572" spans="10:15" ht="15.75" customHeight="1" x14ac:dyDescent="0.25">
      <c r="J572" s="95"/>
      <c r="K572" s="95"/>
      <c r="L572" s="80"/>
      <c r="M572" s="835"/>
      <c r="N572" s="835"/>
      <c r="O572" s="836"/>
    </row>
    <row r="573" spans="10:15" ht="15.75" customHeight="1" x14ac:dyDescent="0.25">
      <c r="J573" s="95"/>
      <c r="K573" s="95"/>
      <c r="L573" s="80"/>
      <c r="M573" s="835"/>
      <c r="N573" s="835"/>
      <c r="O573" s="836"/>
    </row>
    <row r="574" spans="10:15" ht="15.75" customHeight="1" x14ac:dyDescent="0.25">
      <c r="J574" s="95"/>
      <c r="K574" s="95"/>
      <c r="L574" s="80"/>
      <c r="M574" s="835"/>
      <c r="N574" s="835"/>
      <c r="O574" s="836"/>
    </row>
    <row r="575" spans="10:15" ht="15.75" customHeight="1" x14ac:dyDescent="0.25">
      <c r="J575" s="95"/>
      <c r="K575" s="95"/>
      <c r="L575" s="80"/>
      <c r="M575" s="835"/>
      <c r="N575" s="835"/>
      <c r="O575" s="836"/>
    </row>
    <row r="576" spans="10:15" ht="15.75" customHeight="1" x14ac:dyDescent="0.25">
      <c r="J576" s="95"/>
      <c r="K576" s="95"/>
      <c r="L576" s="80"/>
      <c r="M576" s="835"/>
      <c r="N576" s="835"/>
      <c r="O576" s="836"/>
    </row>
    <row r="577" spans="10:15" ht="15.75" customHeight="1" x14ac:dyDescent="0.25">
      <c r="J577" s="95"/>
      <c r="K577" s="95"/>
      <c r="L577" s="80"/>
      <c r="M577" s="835"/>
      <c r="N577" s="835"/>
      <c r="O577" s="836"/>
    </row>
    <row r="578" spans="10:15" ht="15.75" customHeight="1" x14ac:dyDescent="0.25">
      <c r="J578" s="95"/>
      <c r="K578" s="95"/>
      <c r="L578" s="80"/>
      <c r="M578" s="835"/>
      <c r="N578" s="835"/>
      <c r="O578" s="836"/>
    </row>
    <row r="579" spans="10:15" ht="15.75" customHeight="1" x14ac:dyDescent="0.25">
      <c r="J579" s="95"/>
      <c r="K579" s="95"/>
      <c r="L579" s="80"/>
      <c r="M579" s="835"/>
      <c r="N579" s="835"/>
      <c r="O579" s="836"/>
    </row>
    <row r="580" spans="10:15" ht="15.75" customHeight="1" x14ac:dyDescent="0.25">
      <c r="J580" s="95"/>
      <c r="K580" s="95"/>
      <c r="L580" s="80"/>
      <c r="M580" s="835"/>
      <c r="N580" s="835"/>
      <c r="O580" s="836"/>
    </row>
    <row r="581" spans="10:15" ht="15.75" customHeight="1" x14ac:dyDescent="0.25">
      <c r="J581" s="95"/>
      <c r="K581" s="95"/>
      <c r="L581" s="80"/>
      <c r="M581" s="835"/>
      <c r="N581" s="835"/>
      <c r="O581" s="836"/>
    </row>
    <row r="582" spans="10:15" ht="15.75" customHeight="1" x14ac:dyDescent="0.25">
      <c r="J582" s="95"/>
      <c r="K582" s="95"/>
      <c r="L582" s="80"/>
      <c r="M582" s="835"/>
      <c r="N582" s="835"/>
      <c r="O582" s="836"/>
    </row>
    <row r="583" spans="10:15" ht="15.75" customHeight="1" x14ac:dyDescent="0.25">
      <c r="J583" s="95"/>
      <c r="K583" s="95"/>
      <c r="L583" s="80"/>
      <c r="M583" s="835"/>
      <c r="N583" s="835"/>
      <c r="O583" s="836"/>
    </row>
    <row r="584" spans="10:15" ht="15.75" customHeight="1" x14ac:dyDescent="0.25">
      <c r="J584" s="95"/>
      <c r="K584" s="95"/>
      <c r="L584" s="80"/>
      <c r="M584" s="835"/>
      <c r="N584" s="835"/>
      <c r="O584" s="836"/>
    </row>
    <row r="585" spans="10:15" ht="15.75" customHeight="1" x14ac:dyDescent="0.25">
      <c r="J585" s="95"/>
      <c r="K585" s="95"/>
      <c r="L585" s="80"/>
      <c r="M585" s="835"/>
      <c r="N585" s="835"/>
      <c r="O585" s="836"/>
    </row>
    <row r="586" spans="10:15" ht="15.75" customHeight="1" x14ac:dyDescent="0.25">
      <c r="J586" s="95"/>
      <c r="K586" s="95"/>
      <c r="L586" s="80"/>
      <c r="M586" s="835"/>
      <c r="N586" s="835"/>
      <c r="O586" s="836"/>
    </row>
    <row r="587" spans="10:15" ht="15.75" customHeight="1" x14ac:dyDescent="0.25">
      <c r="J587" s="95"/>
      <c r="K587" s="95"/>
      <c r="L587" s="80"/>
      <c r="M587" s="835"/>
      <c r="N587" s="835"/>
      <c r="O587" s="836"/>
    </row>
    <row r="588" spans="10:15" ht="15.75" customHeight="1" x14ac:dyDescent="0.25">
      <c r="J588" s="95"/>
      <c r="K588" s="95"/>
      <c r="L588" s="80"/>
      <c r="M588" s="835"/>
      <c r="N588" s="835"/>
      <c r="O588" s="836"/>
    </row>
    <row r="589" spans="10:15" ht="15.75" customHeight="1" x14ac:dyDescent="0.25">
      <c r="J589" s="95"/>
      <c r="K589" s="95"/>
      <c r="L589" s="80"/>
      <c r="M589" s="835"/>
      <c r="N589" s="835"/>
      <c r="O589" s="836"/>
    </row>
    <row r="590" spans="10:15" ht="15.75" customHeight="1" x14ac:dyDescent="0.25">
      <c r="J590" s="95"/>
      <c r="K590" s="95"/>
      <c r="L590" s="80"/>
      <c r="M590" s="835"/>
      <c r="N590" s="835"/>
      <c r="O590" s="836"/>
    </row>
    <row r="591" spans="10:15" ht="15.75" customHeight="1" x14ac:dyDescent="0.25">
      <c r="J591" s="95"/>
      <c r="K591" s="95"/>
      <c r="L591" s="80"/>
      <c r="M591" s="835"/>
      <c r="N591" s="835"/>
      <c r="O591" s="836"/>
    </row>
    <row r="592" spans="10:15" ht="15.75" customHeight="1" x14ac:dyDescent="0.25">
      <c r="J592" s="95"/>
      <c r="K592" s="95"/>
      <c r="L592" s="80"/>
      <c r="M592" s="835"/>
      <c r="N592" s="835"/>
      <c r="O592" s="836"/>
    </row>
    <row r="593" spans="10:15" ht="15.75" customHeight="1" x14ac:dyDescent="0.25">
      <c r="J593" s="95"/>
      <c r="K593" s="95"/>
      <c r="L593" s="80"/>
      <c r="M593" s="835"/>
      <c r="N593" s="835"/>
      <c r="O593" s="836"/>
    </row>
    <row r="594" spans="10:15" ht="15.75" customHeight="1" x14ac:dyDescent="0.25">
      <c r="J594" s="95"/>
      <c r="K594" s="95"/>
      <c r="L594" s="80"/>
      <c r="M594" s="835"/>
      <c r="N594" s="835"/>
      <c r="O594" s="836"/>
    </row>
    <row r="595" spans="10:15" ht="15.75" customHeight="1" x14ac:dyDescent="0.25">
      <c r="J595" s="95"/>
      <c r="K595" s="95"/>
      <c r="L595" s="80"/>
      <c r="M595" s="835"/>
      <c r="N595" s="835"/>
      <c r="O595" s="836"/>
    </row>
    <row r="596" spans="10:15" ht="15.75" customHeight="1" x14ac:dyDescent="0.25">
      <c r="J596" s="95"/>
      <c r="K596" s="95"/>
      <c r="L596" s="80"/>
      <c r="M596" s="835"/>
      <c r="N596" s="835"/>
      <c r="O596" s="836"/>
    </row>
    <row r="597" spans="10:15" ht="15.75" customHeight="1" x14ac:dyDescent="0.25">
      <c r="J597" s="95"/>
      <c r="K597" s="95"/>
      <c r="L597" s="80"/>
      <c r="M597" s="835"/>
      <c r="N597" s="835"/>
      <c r="O597" s="836"/>
    </row>
    <row r="598" spans="10:15" ht="15.75" customHeight="1" x14ac:dyDescent="0.25">
      <c r="J598" s="95"/>
      <c r="K598" s="95"/>
      <c r="L598" s="80"/>
      <c r="M598" s="835"/>
      <c r="N598" s="835"/>
      <c r="O598" s="836"/>
    </row>
    <row r="599" spans="10:15" ht="15.75" customHeight="1" x14ac:dyDescent="0.25">
      <c r="J599" s="95"/>
      <c r="K599" s="95"/>
      <c r="L599" s="80"/>
      <c r="M599" s="835"/>
      <c r="N599" s="835"/>
      <c r="O599" s="836"/>
    </row>
    <row r="600" spans="10:15" ht="15.75" customHeight="1" x14ac:dyDescent="0.25">
      <c r="J600" s="95"/>
      <c r="K600" s="95"/>
      <c r="L600" s="80"/>
      <c r="M600" s="835"/>
      <c r="N600" s="835"/>
      <c r="O600" s="836"/>
    </row>
    <row r="601" spans="10:15" ht="15.75" customHeight="1" x14ac:dyDescent="0.25">
      <c r="J601" s="95"/>
      <c r="K601" s="95"/>
      <c r="L601" s="80"/>
      <c r="M601" s="835"/>
      <c r="N601" s="835"/>
      <c r="O601" s="836"/>
    </row>
    <row r="602" spans="10:15" ht="15.75" customHeight="1" x14ac:dyDescent="0.25">
      <c r="J602" s="95"/>
      <c r="K602" s="95"/>
      <c r="L602" s="80"/>
      <c r="M602" s="835"/>
      <c r="N602" s="835"/>
      <c r="O602" s="836"/>
    </row>
    <row r="603" spans="10:15" ht="15.75" customHeight="1" x14ac:dyDescent="0.25">
      <c r="J603" s="95"/>
      <c r="K603" s="95"/>
      <c r="L603" s="80"/>
      <c r="M603" s="835"/>
      <c r="N603" s="835"/>
      <c r="O603" s="836"/>
    </row>
    <row r="604" spans="10:15" ht="15.75" customHeight="1" x14ac:dyDescent="0.25">
      <c r="J604" s="95"/>
      <c r="K604" s="95"/>
      <c r="L604" s="80"/>
      <c r="M604" s="835"/>
      <c r="N604" s="835"/>
      <c r="O604" s="836"/>
    </row>
    <row r="605" spans="10:15" ht="15.75" customHeight="1" x14ac:dyDescent="0.25">
      <c r="J605" s="95"/>
      <c r="K605" s="95"/>
      <c r="L605" s="80"/>
      <c r="M605" s="835"/>
      <c r="N605" s="835"/>
      <c r="O605" s="836"/>
    </row>
    <row r="606" spans="10:15" ht="15.75" customHeight="1" x14ac:dyDescent="0.25">
      <c r="J606" s="95"/>
      <c r="K606" s="95"/>
      <c r="L606" s="80"/>
      <c r="M606" s="835"/>
      <c r="N606" s="835"/>
      <c r="O606" s="836"/>
    </row>
    <row r="607" spans="10:15" ht="15.75" customHeight="1" x14ac:dyDescent="0.25">
      <c r="J607" s="95"/>
      <c r="K607" s="95"/>
      <c r="L607" s="80"/>
      <c r="M607" s="835"/>
      <c r="N607" s="835"/>
      <c r="O607" s="836"/>
    </row>
    <row r="608" spans="10:15" ht="15.75" customHeight="1" x14ac:dyDescent="0.25">
      <c r="J608" s="95"/>
      <c r="K608" s="95"/>
      <c r="L608" s="80"/>
      <c r="M608" s="835"/>
      <c r="N608" s="835"/>
      <c r="O608" s="836"/>
    </row>
    <row r="609" spans="10:15" ht="15.75" customHeight="1" x14ac:dyDescent="0.25">
      <c r="J609" s="95"/>
      <c r="K609" s="95"/>
      <c r="L609" s="80"/>
      <c r="M609" s="835"/>
      <c r="N609" s="835"/>
      <c r="O609" s="836"/>
    </row>
    <row r="610" spans="10:15" ht="15.75" customHeight="1" x14ac:dyDescent="0.25">
      <c r="J610" s="95"/>
      <c r="K610" s="95"/>
      <c r="L610" s="80"/>
      <c r="M610" s="835"/>
      <c r="N610" s="835"/>
      <c r="O610" s="836"/>
    </row>
    <row r="611" spans="10:15" ht="15.75" customHeight="1" x14ac:dyDescent="0.25">
      <c r="J611" s="95"/>
      <c r="K611" s="95"/>
      <c r="L611" s="80"/>
      <c r="M611" s="835"/>
      <c r="N611" s="835"/>
      <c r="O611" s="836"/>
    </row>
    <row r="612" spans="10:15" ht="15.75" customHeight="1" x14ac:dyDescent="0.25">
      <c r="J612" s="95"/>
      <c r="K612" s="95"/>
      <c r="L612" s="80"/>
      <c r="M612" s="835"/>
      <c r="N612" s="835"/>
      <c r="O612" s="836"/>
    </row>
    <row r="613" spans="10:15" ht="15.75" customHeight="1" x14ac:dyDescent="0.25">
      <c r="J613" s="95"/>
      <c r="K613" s="95"/>
      <c r="L613" s="80"/>
      <c r="M613" s="835"/>
      <c r="N613" s="835"/>
      <c r="O613" s="836"/>
    </row>
    <row r="614" spans="10:15" ht="15.75" customHeight="1" x14ac:dyDescent="0.25">
      <c r="J614" s="95"/>
      <c r="K614" s="95"/>
      <c r="L614" s="80"/>
      <c r="M614" s="835"/>
      <c r="N614" s="835"/>
      <c r="O614" s="836"/>
    </row>
    <row r="615" spans="10:15" ht="15.75" customHeight="1" x14ac:dyDescent="0.25">
      <c r="J615" s="95"/>
      <c r="K615" s="95"/>
      <c r="L615" s="80"/>
      <c r="M615" s="835"/>
      <c r="N615" s="835"/>
      <c r="O615" s="836"/>
    </row>
    <row r="616" spans="10:15" ht="15.75" customHeight="1" x14ac:dyDescent="0.25">
      <c r="J616" s="95"/>
      <c r="K616" s="95"/>
      <c r="L616" s="80"/>
      <c r="M616" s="835"/>
      <c r="N616" s="835"/>
      <c r="O616" s="836"/>
    </row>
    <row r="617" spans="10:15" ht="15.75" customHeight="1" x14ac:dyDescent="0.25">
      <c r="J617" s="95"/>
      <c r="K617" s="95"/>
      <c r="L617" s="80"/>
      <c r="M617" s="835"/>
      <c r="N617" s="835"/>
      <c r="O617" s="836"/>
    </row>
    <row r="618" spans="10:15" ht="15.75" customHeight="1" x14ac:dyDescent="0.25">
      <c r="J618" s="95"/>
      <c r="K618" s="95"/>
      <c r="L618" s="80"/>
      <c r="M618" s="835"/>
      <c r="N618" s="835"/>
      <c r="O618" s="836"/>
    </row>
    <row r="619" spans="10:15" ht="15.75" customHeight="1" x14ac:dyDescent="0.25">
      <c r="J619" s="95"/>
      <c r="K619" s="95"/>
      <c r="L619" s="80"/>
      <c r="M619" s="835"/>
      <c r="N619" s="835"/>
      <c r="O619" s="836"/>
    </row>
    <row r="620" spans="10:15" ht="15.75" customHeight="1" x14ac:dyDescent="0.25">
      <c r="J620" s="95"/>
      <c r="K620" s="95"/>
      <c r="L620" s="80"/>
      <c r="M620" s="835"/>
      <c r="N620" s="835"/>
      <c r="O620" s="836"/>
    </row>
    <row r="621" spans="10:15" ht="15.75" customHeight="1" x14ac:dyDescent="0.25">
      <c r="J621" s="95"/>
      <c r="K621" s="95"/>
      <c r="L621" s="80"/>
      <c r="M621" s="835"/>
      <c r="N621" s="835"/>
      <c r="O621" s="836"/>
    </row>
    <row r="622" spans="10:15" ht="15.75" customHeight="1" x14ac:dyDescent="0.25">
      <c r="J622" s="95"/>
      <c r="K622" s="95"/>
      <c r="L622" s="80"/>
      <c r="M622" s="835"/>
      <c r="N622" s="835"/>
      <c r="O622" s="836"/>
    </row>
    <row r="623" spans="10:15" ht="15.75" customHeight="1" x14ac:dyDescent="0.25">
      <c r="J623" s="95"/>
      <c r="K623" s="95"/>
      <c r="L623" s="80"/>
      <c r="M623" s="835"/>
      <c r="N623" s="835"/>
      <c r="O623" s="836"/>
    </row>
    <row r="624" spans="10:15" ht="15.75" customHeight="1" x14ac:dyDescent="0.25">
      <c r="J624" s="95"/>
      <c r="K624" s="95"/>
      <c r="L624" s="80"/>
      <c r="M624" s="835"/>
      <c r="N624" s="835"/>
      <c r="O624" s="836"/>
    </row>
    <row r="625" spans="10:15" ht="15.75" customHeight="1" x14ac:dyDescent="0.25">
      <c r="J625" s="95"/>
      <c r="K625" s="95"/>
      <c r="L625" s="80"/>
      <c r="M625" s="835"/>
      <c r="N625" s="835"/>
      <c r="O625" s="836"/>
    </row>
    <row r="626" spans="10:15" ht="15.75" customHeight="1" x14ac:dyDescent="0.25">
      <c r="J626" s="95"/>
      <c r="K626" s="95"/>
      <c r="L626" s="80"/>
      <c r="M626" s="835"/>
      <c r="N626" s="835"/>
      <c r="O626" s="836"/>
    </row>
    <row r="627" spans="10:15" ht="15.75" customHeight="1" x14ac:dyDescent="0.25">
      <c r="J627" s="95"/>
      <c r="K627" s="95"/>
      <c r="L627" s="80"/>
      <c r="M627" s="835"/>
      <c r="N627" s="835"/>
      <c r="O627" s="836"/>
    </row>
    <row r="628" spans="10:15" ht="15.75" customHeight="1" x14ac:dyDescent="0.25">
      <c r="J628" s="95"/>
      <c r="K628" s="95"/>
      <c r="L628" s="80"/>
      <c r="M628" s="835"/>
      <c r="N628" s="835"/>
      <c r="O628" s="836"/>
    </row>
    <row r="629" spans="10:15" ht="15.75" customHeight="1" x14ac:dyDescent="0.25">
      <c r="J629" s="95"/>
      <c r="K629" s="95"/>
      <c r="L629" s="80"/>
      <c r="M629" s="835"/>
      <c r="N629" s="835"/>
      <c r="O629" s="836"/>
    </row>
    <row r="630" spans="10:15" ht="15.75" customHeight="1" x14ac:dyDescent="0.25">
      <c r="J630" s="95"/>
      <c r="K630" s="95"/>
      <c r="L630" s="80"/>
      <c r="M630" s="835"/>
      <c r="N630" s="835"/>
      <c r="O630" s="836"/>
    </row>
    <row r="631" spans="10:15" ht="15.75" customHeight="1" x14ac:dyDescent="0.25">
      <c r="J631" s="95"/>
      <c r="K631" s="95"/>
      <c r="L631" s="80"/>
      <c r="M631" s="835"/>
      <c r="N631" s="835"/>
      <c r="O631" s="836"/>
    </row>
    <row r="632" spans="10:15" ht="15.75" customHeight="1" x14ac:dyDescent="0.25">
      <c r="J632" s="95"/>
      <c r="K632" s="95"/>
      <c r="L632" s="80"/>
      <c r="M632" s="835"/>
      <c r="N632" s="835"/>
      <c r="O632" s="836"/>
    </row>
    <row r="633" spans="10:15" ht="15.75" customHeight="1" x14ac:dyDescent="0.25">
      <c r="J633" s="95"/>
      <c r="K633" s="95"/>
      <c r="L633" s="80"/>
      <c r="M633" s="835"/>
      <c r="N633" s="835"/>
      <c r="O633" s="836"/>
    </row>
    <row r="634" spans="10:15" ht="15.75" customHeight="1" x14ac:dyDescent="0.25">
      <c r="J634" s="95"/>
      <c r="K634" s="95"/>
      <c r="L634" s="80"/>
      <c r="M634" s="835"/>
      <c r="N634" s="835"/>
      <c r="O634" s="836"/>
    </row>
    <row r="635" spans="10:15" ht="15.75" customHeight="1" x14ac:dyDescent="0.25">
      <c r="J635" s="95"/>
      <c r="K635" s="95"/>
      <c r="L635" s="80"/>
      <c r="M635" s="835"/>
      <c r="N635" s="835"/>
      <c r="O635" s="836"/>
    </row>
    <row r="636" spans="10:15" ht="15.75" customHeight="1" x14ac:dyDescent="0.25">
      <c r="J636" s="95"/>
      <c r="K636" s="95"/>
      <c r="L636" s="80"/>
      <c r="M636" s="835"/>
      <c r="N636" s="835"/>
      <c r="O636" s="836"/>
    </row>
    <row r="637" spans="10:15" ht="15.75" customHeight="1" x14ac:dyDescent="0.25">
      <c r="J637" s="95"/>
      <c r="K637" s="95"/>
      <c r="L637" s="80"/>
      <c r="M637" s="835"/>
      <c r="N637" s="835"/>
      <c r="O637" s="836"/>
    </row>
    <row r="638" spans="10:15" ht="15.75" customHeight="1" x14ac:dyDescent="0.25">
      <c r="J638" s="95"/>
      <c r="K638" s="95"/>
      <c r="L638" s="80"/>
      <c r="M638" s="835"/>
      <c r="N638" s="835"/>
      <c r="O638" s="836"/>
    </row>
    <row r="639" spans="10:15" ht="15.75" customHeight="1" x14ac:dyDescent="0.25">
      <c r="J639" s="95"/>
      <c r="K639" s="95"/>
      <c r="L639" s="80"/>
      <c r="M639" s="835"/>
      <c r="N639" s="835"/>
      <c r="O639" s="836"/>
    </row>
    <row r="640" spans="10:15" ht="15.75" customHeight="1" x14ac:dyDescent="0.25">
      <c r="J640" s="95"/>
      <c r="K640" s="95"/>
      <c r="L640" s="80"/>
      <c r="M640" s="835"/>
      <c r="N640" s="835"/>
      <c r="O640" s="836"/>
    </row>
    <row r="641" spans="10:15" ht="15.75" customHeight="1" x14ac:dyDescent="0.25">
      <c r="J641" s="95"/>
      <c r="K641" s="95"/>
      <c r="L641" s="80"/>
      <c r="M641" s="835"/>
      <c r="N641" s="835"/>
      <c r="O641" s="836"/>
    </row>
    <row r="642" spans="10:15" ht="15.75" customHeight="1" x14ac:dyDescent="0.25">
      <c r="J642" s="95"/>
      <c r="K642" s="95"/>
      <c r="L642" s="80"/>
      <c r="M642" s="835"/>
      <c r="N642" s="835"/>
      <c r="O642" s="836"/>
    </row>
    <row r="643" spans="10:15" ht="15.75" customHeight="1" x14ac:dyDescent="0.25">
      <c r="J643" s="95"/>
      <c r="K643" s="95"/>
      <c r="L643" s="80"/>
      <c r="M643" s="835"/>
      <c r="N643" s="835"/>
      <c r="O643" s="836"/>
    </row>
    <row r="644" spans="10:15" ht="15.75" customHeight="1" x14ac:dyDescent="0.25">
      <c r="J644" s="95"/>
      <c r="K644" s="95"/>
      <c r="L644" s="80"/>
      <c r="M644" s="835"/>
      <c r="N644" s="835"/>
      <c r="O644" s="836"/>
    </row>
    <row r="645" spans="10:15" ht="15.75" customHeight="1" x14ac:dyDescent="0.25">
      <c r="J645" s="95"/>
      <c r="K645" s="95"/>
      <c r="L645" s="80"/>
      <c r="M645" s="835"/>
      <c r="N645" s="835"/>
      <c r="O645" s="836"/>
    </row>
    <row r="646" spans="10:15" ht="15.75" customHeight="1" x14ac:dyDescent="0.25">
      <c r="J646" s="95"/>
      <c r="K646" s="95"/>
      <c r="L646" s="80"/>
      <c r="M646" s="835"/>
      <c r="N646" s="835"/>
      <c r="O646" s="836"/>
    </row>
    <row r="647" spans="10:15" ht="15.75" customHeight="1" x14ac:dyDescent="0.25">
      <c r="J647" s="95"/>
      <c r="K647" s="95"/>
      <c r="L647" s="80"/>
      <c r="M647" s="835"/>
      <c r="N647" s="835"/>
      <c r="O647" s="836"/>
    </row>
    <row r="648" spans="10:15" ht="15.75" customHeight="1" x14ac:dyDescent="0.25">
      <c r="J648" s="95"/>
      <c r="K648" s="95"/>
      <c r="L648" s="80"/>
      <c r="M648" s="835"/>
      <c r="N648" s="835"/>
      <c r="O648" s="836"/>
    </row>
    <row r="649" spans="10:15" ht="15.75" customHeight="1" x14ac:dyDescent="0.25">
      <c r="J649" s="95"/>
      <c r="K649" s="95"/>
      <c r="L649" s="80"/>
      <c r="M649" s="835"/>
      <c r="N649" s="835"/>
      <c r="O649" s="836"/>
    </row>
    <row r="650" spans="10:15" ht="15.75" customHeight="1" x14ac:dyDescent="0.25">
      <c r="J650" s="95"/>
      <c r="K650" s="95"/>
      <c r="L650" s="80"/>
      <c r="M650" s="835"/>
      <c r="N650" s="835"/>
      <c r="O650" s="836"/>
    </row>
    <row r="651" spans="10:15" ht="15.75" customHeight="1" x14ac:dyDescent="0.25">
      <c r="J651" s="95"/>
      <c r="K651" s="95"/>
      <c r="L651" s="80"/>
      <c r="M651" s="835"/>
      <c r="N651" s="835"/>
      <c r="O651" s="836"/>
    </row>
    <row r="652" spans="10:15" ht="15.75" customHeight="1" x14ac:dyDescent="0.25">
      <c r="J652" s="95"/>
      <c r="K652" s="95"/>
      <c r="L652" s="80"/>
      <c r="M652" s="835"/>
      <c r="N652" s="835"/>
      <c r="O652" s="836"/>
    </row>
    <row r="653" spans="10:15" ht="15.75" customHeight="1" x14ac:dyDescent="0.25">
      <c r="J653" s="95"/>
      <c r="K653" s="95"/>
      <c r="L653" s="80"/>
      <c r="M653" s="835"/>
      <c r="N653" s="835"/>
      <c r="O653" s="836"/>
    </row>
    <row r="654" spans="10:15" ht="15.75" customHeight="1" x14ac:dyDescent="0.25">
      <c r="J654" s="95"/>
      <c r="K654" s="95"/>
      <c r="L654" s="80"/>
      <c r="M654" s="835"/>
      <c r="N654" s="835"/>
      <c r="O654" s="836"/>
    </row>
    <row r="655" spans="10:15" ht="15.75" customHeight="1" x14ac:dyDescent="0.25">
      <c r="J655" s="95"/>
      <c r="K655" s="95"/>
      <c r="L655" s="80"/>
      <c r="M655" s="835"/>
      <c r="N655" s="835"/>
      <c r="O655" s="836"/>
    </row>
    <row r="656" spans="10:15" ht="15.75" customHeight="1" x14ac:dyDescent="0.25">
      <c r="J656" s="95"/>
      <c r="K656" s="95"/>
      <c r="L656" s="80"/>
      <c r="M656" s="835"/>
      <c r="N656" s="835"/>
      <c r="O656" s="836"/>
    </row>
    <row r="657" spans="10:15" ht="15.75" customHeight="1" x14ac:dyDescent="0.25">
      <c r="J657" s="95"/>
      <c r="K657" s="95"/>
      <c r="L657" s="80"/>
      <c r="M657" s="835"/>
      <c r="N657" s="835"/>
      <c r="O657" s="836"/>
    </row>
    <row r="658" spans="10:15" ht="15.75" customHeight="1" x14ac:dyDescent="0.25">
      <c r="J658" s="95"/>
      <c r="K658" s="95"/>
      <c r="L658" s="80"/>
      <c r="M658" s="835"/>
      <c r="N658" s="835"/>
      <c r="O658" s="836"/>
    </row>
    <row r="659" spans="10:15" ht="15.75" customHeight="1" x14ac:dyDescent="0.25">
      <c r="J659" s="95"/>
      <c r="K659" s="95"/>
      <c r="L659" s="80"/>
      <c r="M659" s="835"/>
      <c r="N659" s="835"/>
      <c r="O659" s="836"/>
    </row>
    <row r="660" spans="10:15" ht="15.75" customHeight="1" x14ac:dyDescent="0.25">
      <c r="J660" s="95"/>
      <c r="K660" s="95"/>
      <c r="L660" s="80"/>
      <c r="M660" s="835"/>
      <c r="N660" s="835"/>
      <c r="O660" s="836"/>
    </row>
    <row r="661" spans="10:15" ht="15.75" customHeight="1" x14ac:dyDescent="0.25">
      <c r="J661" s="95"/>
      <c r="K661" s="95"/>
      <c r="L661" s="80"/>
      <c r="M661" s="835"/>
      <c r="N661" s="835"/>
      <c r="O661" s="836"/>
    </row>
    <row r="662" spans="10:15" ht="15.75" customHeight="1" x14ac:dyDescent="0.25">
      <c r="J662" s="95"/>
      <c r="K662" s="95"/>
      <c r="L662" s="80"/>
      <c r="M662" s="835"/>
      <c r="N662" s="835"/>
      <c r="O662" s="836"/>
    </row>
    <row r="663" spans="10:15" ht="15.75" customHeight="1" x14ac:dyDescent="0.25">
      <c r="J663" s="95"/>
      <c r="K663" s="95"/>
      <c r="L663" s="80"/>
      <c r="M663" s="835"/>
      <c r="N663" s="835"/>
      <c r="O663" s="836"/>
    </row>
    <row r="664" spans="10:15" ht="15.75" customHeight="1" x14ac:dyDescent="0.25">
      <c r="J664" s="95"/>
      <c r="K664" s="95"/>
      <c r="L664" s="80"/>
      <c r="M664" s="835"/>
      <c r="N664" s="835"/>
      <c r="O664" s="836"/>
    </row>
    <row r="665" spans="10:15" ht="15.75" customHeight="1" x14ac:dyDescent="0.25">
      <c r="J665" s="95"/>
      <c r="K665" s="95"/>
      <c r="L665" s="80"/>
      <c r="M665" s="835"/>
      <c r="N665" s="835"/>
      <c r="O665" s="836"/>
    </row>
    <row r="666" spans="10:15" ht="15.75" customHeight="1" x14ac:dyDescent="0.25">
      <c r="J666" s="95"/>
      <c r="K666" s="95"/>
      <c r="L666" s="80"/>
      <c r="M666" s="835"/>
      <c r="N666" s="835"/>
      <c r="O666" s="836"/>
    </row>
    <row r="667" spans="10:15" ht="15.75" customHeight="1" x14ac:dyDescent="0.25">
      <c r="J667" s="95"/>
      <c r="K667" s="95"/>
      <c r="L667" s="80"/>
      <c r="M667" s="835"/>
      <c r="N667" s="835"/>
      <c r="O667" s="836"/>
    </row>
    <row r="668" spans="10:15" ht="15.75" customHeight="1" x14ac:dyDescent="0.25">
      <c r="J668" s="95"/>
      <c r="K668" s="95"/>
      <c r="L668" s="80"/>
      <c r="M668" s="835"/>
      <c r="N668" s="835"/>
      <c r="O668" s="836"/>
    </row>
    <row r="669" spans="10:15" ht="15.75" customHeight="1" x14ac:dyDescent="0.25">
      <c r="J669" s="95"/>
      <c r="K669" s="95"/>
      <c r="L669" s="80"/>
      <c r="M669" s="835"/>
      <c r="N669" s="835"/>
      <c r="O669" s="836"/>
    </row>
    <row r="670" spans="10:15" ht="15.75" customHeight="1" x14ac:dyDescent="0.25">
      <c r="J670" s="95"/>
      <c r="K670" s="95"/>
      <c r="L670" s="80"/>
      <c r="M670" s="835"/>
      <c r="N670" s="835"/>
      <c r="O670" s="836"/>
    </row>
    <row r="671" spans="10:15" ht="15.75" customHeight="1" x14ac:dyDescent="0.25">
      <c r="J671" s="95"/>
      <c r="K671" s="95"/>
      <c r="L671" s="80"/>
      <c r="M671" s="835"/>
      <c r="N671" s="835"/>
      <c r="O671" s="836"/>
    </row>
    <row r="672" spans="10:15" ht="15.75" customHeight="1" x14ac:dyDescent="0.25">
      <c r="J672" s="95"/>
      <c r="K672" s="95"/>
      <c r="L672" s="80"/>
      <c r="M672" s="835"/>
      <c r="N672" s="835"/>
      <c r="O672" s="836"/>
    </row>
    <row r="673" spans="10:15" ht="15.75" customHeight="1" x14ac:dyDescent="0.25">
      <c r="J673" s="95"/>
      <c r="K673" s="95"/>
      <c r="L673" s="80"/>
      <c r="M673" s="835"/>
      <c r="N673" s="835"/>
      <c r="O673" s="836"/>
    </row>
    <row r="674" spans="10:15" ht="15.75" customHeight="1" x14ac:dyDescent="0.25">
      <c r="J674" s="95"/>
      <c r="K674" s="95"/>
      <c r="L674" s="80"/>
      <c r="M674" s="835"/>
      <c r="N674" s="835"/>
      <c r="O674" s="836"/>
    </row>
    <row r="675" spans="10:15" ht="15.75" customHeight="1" x14ac:dyDescent="0.25">
      <c r="J675" s="95"/>
      <c r="K675" s="95"/>
      <c r="L675" s="80"/>
      <c r="M675" s="835"/>
      <c r="N675" s="835"/>
      <c r="O675" s="836"/>
    </row>
    <row r="676" spans="10:15" ht="15.75" customHeight="1" x14ac:dyDescent="0.25">
      <c r="J676" s="95"/>
      <c r="K676" s="95"/>
      <c r="L676" s="80"/>
      <c r="M676" s="835"/>
      <c r="N676" s="835"/>
      <c r="O676" s="836"/>
    </row>
    <row r="677" spans="10:15" ht="15.75" customHeight="1" x14ac:dyDescent="0.25">
      <c r="J677" s="95"/>
      <c r="K677" s="95"/>
      <c r="L677" s="80"/>
      <c r="M677" s="835"/>
      <c r="N677" s="835"/>
      <c r="O677" s="836"/>
    </row>
    <row r="678" spans="10:15" ht="15.75" customHeight="1" x14ac:dyDescent="0.25">
      <c r="J678" s="95"/>
      <c r="K678" s="95"/>
      <c r="L678" s="80"/>
      <c r="M678" s="835"/>
      <c r="N678" s="835"/>
      <c r="O678" s="836"/>
    </row>
    <row r="679" spans="10:15" ht="15.75" customHeight="1" x14ac:dyDescent="0.25">
      <c r="J679" s="95"/>
      <c r="K679" s="95"/>
      <c r="L679" s="80"/>
      <c r="M679" s="835"/>
      <c r="N679" s="835"/>
      <c r="O679" s="836"/>
    </row>
    <row r="680" spans="10:15" ht="15.75" customHeight="1" x14ac:dyDescent="0.25">
      <c r="J680" s="95"/>
      <c r="K680" s="95"/>
      <c r="L680" s="80"/>
      <c r="M680" s="835"/>
      <c r="N680" s="835"/>
      <c r="O680" s="836"/>
    </row>
    <row r="681" spans="10:15" ht="15.75" customHeight="1" x14ac:dyDescent="0.25">
      <c r="J681" s="95"/>
      <c r="K681" s="95"/>
      <c r="L681" s="80"/>
      <c r="M681" s="835"/>
      <c r="N681" s="835"/>
      <c r="O681" s="836"/>
    </row>
    <row r="682" spans="10:15" ht="15.75" customHeight="1" x14ac:dyDescent="0.25">
      <c r="J682" s="95"/>
      <c r="K682" s="95"/>
      <c r="L682" s="80"/>
      <c r="M682" s="835"/>
      <c r="N682" s="835"/>
      <c r="O682" s="836"/>
    </row>
    <row r="683" spans="10:15" ht="15.75" customHeight="1" x14ac:dyDescent="0.25">
      <c r="J683" s="95"/>
      <c r="K683" s="95"/>
      <c r="L683" s="80"/>
      <c r="M683" s="835"/>
      <c r="N683" s="835"/>
      <c r="O683" s="836"/>
    </row>
    <row r="684" spans="10:15" ht="15.75" customHeight="1" x14ac:dyDescent="0.25">
      <c r="J684" s="95"/>
      <c r="K684" s="95"/>
      <c r="L684" s="80"/>
      <c r="M684" s="835"/>
      <c r="N684" s="835"/>
      <c r="O684" s="836"/>
    </row>
    <row r="685" spans="10:15" ht="15.75" customHeight="1" x14ac:dyDescent="0.25">
      <c r="J685" s="95"/>
      <c r="K685" s="95"/>
      <c r="L685" s="80"/>
      <c r="M685" s="835"/>
      <c r="N685" s="835"/>
      <c r="O685" s="836"/>
    </row>
    <row r="686" spans="10:15" ht="15.75" customHeight="1" x14ac:dyDescent="0.25">
      <c r="J686" s="95"/>
      <c r="K686" s="95"/>
      <c r="L686" s="80"/>
      <c r="M686" s="835"/>
      <c r="N686" s="835"/>
      <c r="O686" s="836"/>
    </row>
    <row r="687" spans="10:15" ht="15.75" customHeight="1" x14ac:dyDescent="0.25">
      <c r="J687" s="95"/>
      <c r="K687" s="95"/>
      <c r="L687" s="80"/>
      <c r="M687" s="835"/>
      <c r="N687" s="835"/>
      <c r="O687" s="836"/>
    </row>
    <row r="688" spans="10:15" ht="15.75" customHeight="1" x14ac:dyDescent="0.25">
      <c r="J688" s="95"/>
      <c r="K688" s="95"/>
      <c r="L688" s="80"/>
      <c r="M688" s="835"/>
      <c r="N688" s="835"/>
      <c r="O688" s="836"/>
    </row>
    <row r="689" spans="10:15" ht="15.75" customHeight="1" x14ac:dyDescent="0.25">
      <c r="J689" s="95"/>
      <c r="K689" s="95"/>
      <c r="L689" s="80"/>
      <c r="M689" s="835"/>
      <c r="N689" s="835"/>
      <c r="O689" s="836"/>
    </row>
    <row r="690" spans="10:15" ht="15.75" customHeight="1" x14ac:dyDescent="0.25">
      <c r="J690" s="95"/>
      <c r="K690" s="95"/>
      <c r="L690" s="80"/>
      <c r="M690" s="835"/>
      <c r="N690" s="835"/>
      <c r="O690" s="836"/>
    </row>
    <row r="691" spans="10:15" ht="15.75" customHeight="1" x14ac:dyDescent="0.25">
      <c r="J691" s="95"/>
      <c r="K691" s="95"/>
      <c r="L691" s="80"/>
      <c r="M691" s="835"/>
      <c r="N691" s="835"/>
      <c r="O691" s="836"/>
    </row>
    <row r="692" spans="10:15" ht="15.75" customHeight="1" x14ac:dyDescent="0.25">
      <c r="J692" s="95"/>
      <c r="K692" s="95"/>
      <c r="L692" s="80"/>
      <c r="M692" s="835"/>
      <c r="N692" s="835"/>
      <c r="O692" s="836"/>
    </row>
    <row r="693" spans="10:15" ht="15.75" customHeight="1" x14ac:dyDescent="0.25">
      <c r="J693" s="95"/>
      <c r="K693" s="95"/>
      <c r="L693" s="80"/>
      <c r="M693" s="835"/>
      <c r="N693" s="835"/>
      <c r="O693" s="836"/>
    </row>
    <row r="694" spans="10:15" ht="15.75" customHeight="1" x14ac:dyDescent="0.25">
      <c r="J694" s="95"/>
      <c r="K694" s="95"/>
      <c r="L694" s="80"/>
      <c r="M694" s="835"/>
      <c r="N694" s="835"/>
      <c r="O694" s="836"/>
    </row>
    <row r="695" spans="10:15" ht="15.75" customHeight="1" x14ac:dyDescent="0.25">
      <c r="J695" s="95"/>
      <c r="K695" s="95"/>
      <c r="L695" s="80"/>
      <c r="M695" s="835"/>
      <c r="N695" s="835"/>
      <c r="O695" s="836"/>
    </row>
    <row r="696" spans="10:15" ht="15.75" customHeight="1" x14ac:dyDescent="0.25">
      <c r="J696" s="95"/>
      <c r="K696" s="95"/>
      <c r="L696" s="80"/>
      <c r="M696" s="835"/>
      <c r="N696" s="835"/>
      <c r="O696" s="836"/>
    </row>
    <row r="697" spans="10:15" ht="15.75" customHeight="1" x14ac:dyDescent="0.25">
      <c r="J697" s="95"/>
      <c r="K697" s="95"/>
      <c r="L697" s="80"/>
      <c r="M697" s="835"/>
      <c r="N697" s="835"/>
      <c r="O697" s="836"/>
    </row>
    <row r="698" spans="10:15" ht="15.75" customHeight="1" x14ac:dyDescent="0.25">
      <c r="J698" s="95"/>
      <c r="K698" s="95"/>
      <c r="L698" s="80"/>
      <c r="M698" s="835"/>
      <c r="N698" s="835"/>
      <c r="O698" s="836"/>
    </row>
    <row r="699" spans="10:15" ht="15.75" customHeight="1" x14ac:dyDescent="0.25">
      <c r="J699" s="95"/>
      <c r="K699" s="95"/>
      <c r="L699" s="80"/>
      <c r="M699" s="835"/>
      <c r="N699" s="835"/>
      <c r="O699" s="836"/>
    </row>
    <row r="700" spans="10:15" ht="15.75" customHeight="1" x14ac:dyDescent="0.25">
      <c r="J700" s="95"/>
      <c r="K700" s="95"/>
      <c r="L700" s="80"/>
      <c r="M700" s="835"/>
      <c r="N700" s="835"/>
      <c r="O700" s="836"/>
    </row>
    <row r="701" spans="10:15" ht="15.75" customHeight="1" x14ac:dyDescent="0.25">
      <c r="J701" s="95"/>
      <c r="K701" s="95"/>
      <c r="L701" s="80"/>
      <c r="M701" s="835"/>
      <c r="N701" s="835"/>
      <c r="O701" s="836"/>
    </row>
    <row r="702" spans="10:15" ht="15.75" customHeight="1" x14ac:dyDescent="0.25">
      <c r="J702" s="95"/>
      <c r="K702" s="95"/>
      <c r="L702" s="80"/>
      <c r="M702" s="835"/>
      <c r="N702" s="835"/>
      <c r="O702" s="836"/>
    </row>
    <row r="703" spans="10:15" ht="15.75" customHeight="1" x14ac:dyDescent="0.25">
      <c r="J703" s="95"/>
      <c r="K703" s="95"/>
      <c r="L703" s="80"/>
      <c r="M703" s="835"/>
      <c r="N703" s="835"/>
      <c r="O703" s="836"/>
    </row>
    <row r="704" spans="10:15" ht="15.75" customHeight="1" x14ac:dyDescent="0.25">
      <c r="J704" s="95"/>
      <c r="K704" s="95"/>
      <c r="L704" s="80"/>
      <c r="M704" s="835"/>
      <c r="N704" s="835"/>
      <c r="O704" s="836"/>
    </row>
    <row r="705" spans="10:15" ht="15.75" customHeight="1" x14ac:dyDescent="0.25">
      <c r="J705" s="95"/>
      <c r="K705" s="95"/>
      <c r="L705" s="80"/>
      <c r="M705" s="835"/>
      <c r="N705" s="835"/>
      <c r="O705" s="836"/>
    </row>
    <row r="706" spans="10:15" ht="15.75" customHeight="1" x14ac:dyDescent="0.25">
      <c r="J706" s="95"/>
      <c r="K706" s="95"/>
      <c r="L706" s="80"/>
      <c r="M706" s="835"/>
      <c r="N706" s="835"/>
      <c r="O706" s="836"/>
    </row>
    <row r="707" spans="10:15" ht="15.75" customHeight="1" x14ac:dyDescent="0.25">
      <c r="J707" s="95"/>
      <c r="K707" s="95"/>
      <c r="L707" s="80"/>
      <c r="M707" s="835"/>
      <c r="N707" s="835"/>
      <c r="O707" s="836"/>
    </row>
    <row r="708" spans="10:15" ht="15.75" customHeight="1" x14ac:dyDescent="0.25">
      <c r="J708" s="95"/>
      <c r="K708" s="95"/>
      <c r="L708" s="80"/>
      <c r="M708" s="835"/>
      <c r="N708" s="835"/>
      <c r="O708" s="836"/>
    </row>
    <row r="709" spans="10:15" ht="15.75" customHeight="1" x14ac:dyDescent="0.25">
      <c r="J709" s="95"/>
      <c r="K709" s="95"/>
      <c r="L709" s="80"/>
      <c r="M709" s="835"/>
      <c r="N709" s="835"/>
      <c r="O709" s="836"/>
    </row>
    <row r="710" spans="10:15" ht="15.75" customHeight="1" x14ac:dyDescent="0.25">
      <c r="J710" s="95"/>
      <c r="K710" s="95"/>
      <c r="L710" s="80"/>
      <c r="M710" s="835"/>
      <c r="N710" s="835"/>
      <c r="O710" s="836"/>
    </row>
    <row r="711" spans="10:15" ht="15.75" customHeight="1" x14ac:dyDescent="0.25">
      <c r="J711" s="95"/>
      <c r="K711" s="95"/>
      <c r="L711" s="80"/>
      <c r="M711" s="835"/>
      <c r="N711" s="835"/>
      <c r="O711" s="836"/>
    </row>
    <row r="712" spans="10:15" ht="15.75" customHeight="1" x14ac:dyDescent="0.25">
      <c r="J712" s="95"/>
      <c r="K712" s="95"/>
      <c r="L712" s="80"/>
      <c r="M712" s="835"/>
      <c r="N712" s="835"/>
      <c r="O712" s="836"/>
    </row>
    <row r="713" spans="10:15" ht="15.75" customHeight="1" x14ac:dyDescent="0.25">
      <c r="J713" s="95"/>
      <c r="K713" s="95"/>
      <c r="L713" s="80"/>
      <c r="M713" s="835"/>
      <c r="N713" s="835"/>
      <c r="O713" s="836"/>
    </row>
    <row r="714" spans="10:15" ht="15.75" customHeight="1" x14ac:dyDescent="0.25">
      <c r="J714" s="95"/>
      <c r="K714" s="95"/>
      <c r="L714" s="80"/>
      <c r="M714" s="835"/>
      <c r="N714" s="835"/>
      <c r="O714" s="836"/>
    </row>
    <row r="715" spans="10:15" ht="15.75" customHeight="1" x14ac:dyDescent="0.25">
      <c r="J715" s="95"/>
      <c r="K715" s="95"/>
      <c r="L715" s="80"/>
      <c r="M715" s="835"/>
      <c r="N715" s="835"/>
      <c r="O715" s="836"/>
    </row>
    <row r="716" spans="10:15" ht="15.75" customHeight="1" x14ac:dyDescent="0.25">
      <c r="J716" s="95"/>
      <c r="K716" s="95"/>
      <c r="L716" s="80"/>
      <c r="M716" s="835"/>
      <c r="N716" s="835"/>
      <c r="O716" s="836"/>
    </row>
    <row r="717" spans="10:15" ht="15.75" customHeight="1" x14ac:dyDescent="0.25">
      <c r="J717" s="95"/>
      <c r="K717" s="95"/>
      <c r="L717" s="80"/>
      <c r="M717" s="835"/>
      <c r="N717" s="835"/>
      <c r="O717" s="836"/>
    </row>
    <row r="718" spans="10:15" ht="15.75" customHeight="1" x14ac:dyDescent="0.25">
      <c r="J718" s="95"/>
      <c r="K718" s="95"/>
      <c r="L718" s="80"/>
      <c r="M718" s="835"/>
      <c r="N718" s="835"/>
      <c r="O718" s="836"/>
    </row>
    <row r="719" spans="10:15" ht="15.75" customHeight="1" x14ac:dyDescent="0.25">
      <c r="J719" s="95"/>
      <c r="K719" s="95"/>
      <c r="L719" s="80"/>
      <c r="M719" s="835"/>
      <c r="N719" s="835"/>
      <c r="O719" s="836"/>
    </row>
    <row r="720" spans="10:15" ht="15.75" customHeight="1" x14ac:dyDescent="0.25">
      <c r="J720" s="95"/>
      <c r="K720" s="95"/>
      <c r="L720" s="80"/>
      <c r="M720" s="835"/>
      <c r="N720" s="835"/>
      <c r="O720" s="836"/>
    </row>
    <row r="721" spans="10:15" ht="15.75" customHeight="1" x14ac:dyDescent="0.25">
      <c r="J721" s="95"/>
      <c r="K721" s="95"/>
      <c r="L721" s="80"/>
      <c r="M721" s="835"/>
      <c r="N721" s="835"/>
      <c r="O721" s="836"/>
    </row>
    <row r="722" spans="10:15" ht="15.75" customHeight="1" x14ac:dyDescent="0.25">
      <c r="J722" s="95"/>
      <c r="K722" s="95"/>
      <c r="L722" s="80"/>
      <c r="M722" s="835"/>
      <c r="N722" s="835"/>
      <c r="O722" s="836"/>
    </row>
    <row r="723" spans="10:15" ht="15.75" customHeight="1" x14ac:dyDescent="0.25">
      <c r="J723" s="95"/>
      <c r="K723" s="95"/>
      <c r="L723" s="80"/>
      <c r="M723" s="835"/>
      <c r="N723" s="835"/>
      <c r="O723" s="836"/>
    </row>
    <row r="724" spans="10:15" ht="15.75" customHeight="1" x14ac:dyDescent="0.25">
      <c r="J724" s="95"/>
      <c r="K724" s="95"/>
      <c r="L724" s="80"/>
      <c r="M724" s="835"/>
      <c r="N724" s="835"/>
      <c r="O724" s="836"/>
    </row>
    <row r="725" spans="10:15" ht="15.75" customHeight="1" x14ac:dyDescent="0.25">
      <c r="J725" s="95"/>
      <c r="K725" s="95"/>
      <c r="L725" s="80"/>
      <c r="M725" s="835"/>
      <c r="N725" s="835"/>
      <c r="O725" s="836"/>
    </row>
    <row r="726" spans="10:15" ht="15.75" customHeight="1" x14ac:dyDescent="0.25">
      <c r="J726" s="95"/>
      <c r="K726" s="95"/>
      <c r="L726" s="80"/>
      <c r="M726" s="835"/>
      <c r="N726" s="835"/>
      <c r="O726" s="836"/>
    </row>
    <row r="727" spans="10:15" ht="15.75" customHeight="1" x14ac:dyDescent="0.25">
      <c r="J727" s="95"/>
      <c r="K727" s="95"/>
      <c r="L727" s="80"/>
      <c r="M727" s="835"/>
      <c r="N727" s="835"/>
      <c r="O727" s="836"/>
    </row>
    <row r="728" spans="10:15" ht="15.75" customHeight="1" x14ac:dyDescent="0.25">
      <c r="J728" s="95"/>
      <c r="K728" s="95"/>
      <c r="L728" s="80"/>
      <c r="M728" s="835"/>
      <c r="N728" s="835"/>
      <c r="O728" s="836"/>
    </row>
    <row r="729" spans="10:15" ht="15.75" customHeight="1" x14ac:dyDescent="0.25">
      <c r="J729" s="95"/>
      <c r="K729" s="95"/>
      <c r="L729" s="80"/>
      <c r="M729" s="835"/>
      <c r="N729" s="835"/>
      <c r="O729" s="836"/>
    </row>
    <row r="730" spans="10:15" ht="15.75" customHeight="1" x14ac:dyDescent="0.25">
      <c r="J730" s="95"/>
      <c r="K730" s="95"/>
      <c r="L730" s="80"/>
      <c r="M730" s="835"/>
      <c r="N730" s="835"/>
      <c r="O730" s="836"/>
    </row>
    <row r="731" spans="10:15" ht="15.75" customHeight="1" x14ac:dyDescent="0.25">
      <c r="J731" s="95"/>
      <c r="K731" s="95"/>
      <c r="L731" s="80"/>
      <c r="M731" s="835"/>
      <c r="N731" s="835"/>
      <c r="O731" s="836"/>
    </row>
    <row r="732" spans="10:15" ht="15.75" customHeight="1" x14ac:dyDescent="0.25">
      <c r="J732" s="95"/>
      <c r="K732" s="95"/>
      <c r="L732" s="80"/>
      <c r="M732" s="835"/>
      <c r="N732" s="835"/>
      <c r="O732" s="836"/>
    </row>
    <row r="733" spans="10:15" ht="15.75" customHeight="1" x14ac:dyDescent="0.25">
      <c r="J733" s="95"/>
      <c r="K733" s="95"/>
      <c r="L733" s="80"/>
      <c r="M733" s="835"/>
      <c r="N733" s="835"/>
      <c r="O733" s="836"/>
    </row>
    <row r="734" spans="10:15" ht="15.75" customHeight="1" x14ac:dyDescent="0.25">
      <c r="J734" s="95"/>
      <c r="K734" s="95"/>
      <c r="L734" s="80"/>
      <c r="M734" s="835"/>
      <c r="N734" s="835"/>
      <c r="O734" s="836"/>
    </row>
    <row r="735" spans="10:15" ht="15.75" customHeight="1" x14ac:dyDescent="0.25">
      <c r="J735" s="95"/>
      <c r="K735" s="95"/>
      <c r="L735" s="80"/>
      <c r="M735" s="835"/>
      <c r="N735" s="835"/>
      <c r="O735" s="836"/>
    </row>
    <row r="736" spans="10:15" ht="15.75" customHeight="1" x14ac:dyDescent="0.25">
      <c r="J736" s="95"/>
      <c r="K736" s="95"/>
      <c r="L736" s="80"/>
      <c r="M736" s="835"/>
      <c r="N736" s="835"/>
      <c r="O736" s="836"/>
    </row>
    <row r="737" spans="10:15" ht="15.75" customHeight="1" x14ac:dyDescent="0.25">
      <c r="J737" s="95"/>
      <c r="K737" s="95"/>
      <c r="L737" s="80"/>
      <c r="M737" s="835"/>
      <c r="N737" s="835"/>
      <c r="O737" s="836"/>
    </row>
    <row r="738" spans="10:15" ht="15.75" customHeight="1" x14ac:dyDescent="0.25">
      <c r="J738" s="95"/>
      <c r="K738" s="95"/>
      <c r="L738" s="80"/>
      <c r="M738" s="835"/>
      <c r="N738" s="835"/>
      <c r="O738" s="836"/>
    </row>
    <row r="739" spans="10:15" ht="15.75" customHeight="1" x14ac:dyDescent="0.25">
      <c r="J739" s="95"/>
      <c r="K739" s="95"/>
      <c r="L739" s="80"/>
      <c r="M739" s="835"/>
      <c r="N739" s="835"/>
      <c r="O739" s="836"/>
    </row>
    <row r="740" spans="10:15" ht="15.75" customHeight="1" x14ac:dyDescent="0.25">
      <c r="J740" s="95"/>
      <c r="K740" s="95"/>
      <c r="L740" s="80"/>
      <c r="M740" s="835"/>
      <c r="N740" s="835"/>
      <c r="O740" s="836"/>
    </row>
    <row r="741" spans="10:15" ht="15.75" customHeight="1" x14ac:dyDescent="0.25">
      <c r="J741" s="95"/>
      <c r="K741" s="95"/>
      <c r="L741" s="80"/>
      <c r="M741" s="835"/>
      <c r="N741" s="835"/>
      <c r="O741" s="836"/>
    </row>
    <row r="742" spans="10:15" ht="15.75" customHeight="1" x14ac:dyDescent="0.25">
      <c r="J742" s="95"/>
      <c r="K742" s="95"/>
      <c r="L742" s="80"/>
      <c r="M742" s="835"/>
      <c r="N742" s="835"/>
      <c r="O742" s="836"/>
    </row>
    <row r="743" spans="10:15" ht="15.75" customHeight="1" x14ac:dyDescent="0.25">
      <c r="J743" s="95"/>
      <c r="K743" s="95"/>
      <c r="L743" s="80"/>
      <c r="M743" s="835"/>
      <c r="N743" s="835"/>
      <c r="O743" s="836"/>
    </row>
    <row r="744" spans="10:15" ht="15.75" customHeight="1" x14ac:dyDescent="0.25">
      <c r="J744" s="95"/>
      <c r="K744" s="95"/>
      <c r="L744" s="80"/>
      <c r="M744" s="835"/>
      <c r="N744" s="835"/>
      <c r="O744" s="836"/>
    </row>
    <row r="745" spans="10:15" ht="15.75" customHeight="1" x14ac:dyDescent="0.25">
      <c r="J745" s="95"/>
      <c r="K745" s="95"/>
      <c r="L745" s="80"/>
      <c r="M745" s="835"/>
      <c r="N745" s="835"/>
      <c r="O745" s="836"/>
    </row>
    <row r="746" spans="10:15" ht="15.75" customHeight="1" x14ac:dyDescent="0.25">
      <c r="J746" s="95"/>
      <c r="K746" s="95"/>
      <c r="L746" s="80"/>
      <c r="M746" s="835"/>
      <c r="N746" s="835"/>
      <c r="O746" s="836"/>
    </row>
    <row r="747" spans="10:15" ht="15.75" customHeight="1" x14ac:dyDescent="0.25">
      <c r="J747" s="95"/>
      <c r="K747" s="95"/>
      <c r="L747" s="80"/>
      <c r="M747" s="835"/>
      <c r="N747" s="835"/>
      <c r="O747" s="836"/>
    </row>
    <row r="748" spans="10:15" ht="15.75" customHeight="1" x14ac:dyDescent="0.25">
      <c r="J748" s="95"/>
      <c r="K748" s="95"/>
      <c r="L748" s="80"/>
      <c r="M748" s="835"/>
      <c r="N748" s="835"/>
      <c r="O748" s="836"/>
    </row>
    <row r="749" spans="10:15" ht="15.75" customHeight="1" x14ac:dyDescent="0.25">
      <c r="J749" s="95"/>
      <c r="K749" s="95"/>
      <c r="L749" s="80"/>
      <c r="M749" s="835"/>
      <c r="N749" s="835"/>
      <c r="O749" s="836"/>
    </row>
    <row r="750" spans="10:15" ht="15.75" customHeight="1" x14ac:dyDescent="0.25">
      <c r="J750" s="95"/>
      <c r="K750" s="95"/>
      <c r="L750" s="80"/>
      <c r="M750" s="835"/>
      <c r="N750" s="835"/>
      <c r="O750" s="836"/>
    </row>
    <row r="751" spans="10:15" ht="15.75" customHeight="1" x14ac:dyDescent="0.25">
      <c r="J751" s="95"/>
      <c r="K751" s="95"/>
      <c r="L751" s="80"/>
      <c r="M751" s="835"/>
      <c r="N751" s="835"/>
      <c r="O751" s="836"/>
    </row>
    <row r="752" spans="10:15" ht="15.75" customHeight="1" x14ac:dyDescent="0.25">
      <c r="J752" s="95"/>
      <c r="K752" s="95"/>
      <c r="L752" s="80"/>
      <c r="M752" s="835"/>
      <c r="N752" s="835"/>
      <c r="O752" s="836"/>
    </row>
    <row r="753" spans="10:15" ht="15.75" customHeight="1" x14ac:dyDescent="0.25">
      <c r="J753" s="95"/>
      <c r="K753" s="95"/>
      <c r="L753" s="80"/>
      <c r="M753" s="835"/>
      <c r="N753" s="835"/>
      <c r="O753" s="836"/>
    </row>
    <row r="754" spans="10:15" ht="15.75" customHeight="1" x14ac:dyDescent="0.25">
      <c r="J754" s="95"/>
      <c r="K754" s="95"/>
      <c r="L754" s="80"/>
      <c r="M754" s="835"/>
      <c r="N754" s="835"/>
      <c r="O754" s="836"/>
    </row>
    <row r="755" spans="10:15" ht="15.75" customHeight="1" x14ac:dyDescent="0.25">
      <c r="J755" s="95"/>
      <c r="K755" s="95"/>
      <c r="L755" s="80"/>
      <c r="M755" s="835"/>
      <c r="N755" s="835"/>
      <c r="O755" s="836"/>
    </row>
    <row r="756" spans="10:15" ht="15.75" customHeight="1" x14ac:dyDescent="0.25">
      <c r="J756" s="95"/>
      <c r="K756" s="95"/>
      <c r="L756" s="80"/>
      <c r="M756" s="835"/>
      <c r="N756" s="835"/>
      <c r="O756" s="836"/>
    </row>
    <row r="757" spans="10:15" ht="15.75" customHeight="1" x14ac:dyDescent="0.25">
      <c r="J757" s="95"/>
      <c r="K757" s="95"/>
      <c r="L757" s="80"/>
      <c r="M757" s="835"/>
      <c r="N757" s="835"/>
      <c r="O757" s="836"/>
    </row>
    <row r="758" spans="10:15" ht="15.75" customHeight="1" x14ac:dyDescent="0.25">
      <c r="J758" s="95"/>
      <c r="K758" s="95"/>
      <c r="L758" s="80"/>
      <c r="M758" s="835"/>
      <c r="N758" s="835"/>
      <c r="O758" s="836"/>
    </row>
    <row r="759" spans="10:15" ht="15.75" customHeight="1" x14ac:dyDescent="0.25">
      <c r="J759" s="95"/>
      <c r="K759" s="95"/>
      <c r="L759" s="80"/>
      <c r="M759" s="835"/>
      <c r="N759" s="835"/>
      <c r="O759" s="836"/>
    </row>
    <row r="760" spans="10:15" ht="15.75" customHeight="1" x14ac:dyDescent="0.25">
      <c r="J760" s="95"/>
      <c r="K760" s="95"/>
      <c r="L760" s="80"/>
      <c r="M760" s="835"/>
      <c r="N760" s="835"/>
      <c r="O760" s="836"/>
    </row>
    <row r="761" spans="10:15" ht="15.75" customHeight="1" x14ac:dyDescent="0.25">
      <c r="J761" s="95"/>
      <c r="K761" s="95"/>
      <c r="L761" s="80"/>
      <c r="M761" s="835"/>
      <c r="N761" s="835"/>
      <c r="O761" s="836"/>
    </row>
    <row r="762" spans="10:15" ht="15.75" customHeight="1" x14ac:dyDescent="0.25">
      <c r="J762" s="95"/>
      <c r="K762" s="95"/>
      <c r="L762" s="80"/>
      <c r="M762" s="835"/>
      <c r="N762" s="835"/>
      <c r="O762" s="836"/>
    </row>
    <row r="763" spans="10:15" ht="15.75" customHeight="1" x14ac:dyDescent="0.25">
      <c r="J763" s="95"/>
      <c r="K763" s="95"/>
      <c r="L763" s="80"/>
      <c r="M763" s="835"/>
      <c r="N763" s="835"/>
      <c r="O763" s="836"/>
    </row>
    <row r="764" spans="10:15" ht="15.75" customHeight="1" x14ac:dyDescent="0.25">
      <c r="J764" s="95"/>
      <c r="K764" s="95"/>
      <c r="L764" s="80"/>
      <c r="M764" s="835"/>
      <c r="N764" s="835"/>
      <c r="O764" s="836"/>
    </row>
    <row r="765" spans="10:15" ht="15.75" customHeight="1" x14ac:dyDescent="0.25">
      <c r="J765" s="95"/>
      <c r="K765" s="95"/>
      <c r="L765" s="80"/>
      <c r="M765" s="835"/>
      <c r="N765" s="835"/>
      <c r="O765" s="836"/>
    </row>
    <row r="766" spans="10:15" ht="15.75" customHeight="1" x14ac:dyDescent="0.25">
      <c r="J766" s="95"/>
      <c r="K766" s="95"/>
      <c r="L766" s="80"/>
      <c r="M766" s="835"/>
      <c r="N766" s="835"/>
      <c r="O766" s="836"/>
    </row>
    <row r="767" spans="10:15" ht="15.75" customHeight="1" x14ac:dyDescent="0.25">
      <c r="J767" s="95"/>
      <c r="K767" s="95"/>
      <c r="L767" s="80"/>
      <c r="M767" s="835"/>
      <c r="N767" s="835"/>
      <c r="O767" s="836"/>
    </row>
    <row r="768" spans="10:15" ht="15.75" customHeight="1" x14ac:dyDescent="0.25">
      <c r="J768" s="95"/>
      <c r="K768" s="95"/>
      <c r="L768" s="80"/>
      <c r="M768" s="835"/>
      <c r="N768" s="835"/>
      <c r="O768" s="836"/>
    </row>
    <row r="769" spans="10:15" ht="15.75" customHeight="1" x14ac:dyDescent="0.25">
      <c r="J769" s="95"/>
      <c r="K769" s="95"/>
      <c r="L769" s="80"/>
      <c r="M769" s="835"/>
      <c r="N769" s="835"/>
      <c r="O769" s="836"/>
    </row>
    <row r="770" spans="10:15" ht="15.75" customHeight="1" x14ac:dyDescent="0.25">
      <c r="J770" s="95"/>
      <c r="K770" s="95"/>
      <c r="L770" s="80"/>
      <c r="M770" s="835"/>
      <c r="N770" s="835"/>
      <c r="O770" s="836"/>
    </row>
    <row r="771" spans="10:15" ht="15.75" customHeight="1" x14ac:dyDescent="0.25">
      <c r="J771" s="95"/>
      <c r="K771" s="95"/>
      <c r="L771" s="80"/>
      <c r="M771" s="835"/>
      <c r="N771" s="835"/>
      <c r="O771" s="836"/>
    </row>
    <row r="772" spans="10:15" ht="15.75" customHeight="1" x14ac:dyDescent="0.25">
      <c r="J772" s="95"/>
      <c r="K772" s="95"/>
      <c r="L772" s="80"/>
      <c r="M772" s="835"/>
      <c r="N772" s="835"/>
      <c r="O772" s="836"/>
    </row>
    <row r="773" spans="10:15" ht="15.75" customHeight="1" x14ac:dyDescent="0.25">
      <c r="J773" s="95"/>
      <c r="K773" s="95"/>
      <c r="L773" s="80"/>
      <c r="M773" s="835"/>
      <c r="N773" s="835"/>
      <c r="O773" s="836"/>
    </row>
    <row r="774" spans="10:15" ht="15.75" customHeight="1" x14ac:dyDescent="0.25">
      <c r="J774" s="95"/>
      <c r="K774" s="95"/>
      <c r="L774" s="80"/>
      <c r="M774" s="835"/>
      <c r="N774" s="835"/>
      <c r="O774" s="836"/>
    </row>
    <row r="775" spans="10:15" ht="15.75" customHeight="1" x14ac:dyDescent="0.25">
      <c r="J775" s="95"/>
      <c r="K775" s="95"/>
      <c r="L775" s="80"/>
      <c r="M775" s="835"/>
      <c r="N775" s="835"/>
      <c r="O775" s="836"/>
    </row>
    <row r="776" spans="10:15" ht="15.75" customHeight="1" x14ac:dyDescent="0.25">
      <c r="J776" s="95"/>
      <c r="K776" s="95"/>
      <c r="L776" s="80"/>
      <c r="M776" s="835"/>
      <c r="N776" s="835"/>
      <c r="O776" s="836"/>
    </row>
    <row r="777" spans="10:15" ht="15.75" customHeight="1" x14ac:dyDescent="0.25">
      <c r="J777" s="95"/>
      <c r="K777" s="95"/>
      <c r="L777" s="80"/>
      <c r="M777" s="835"/>
      <c r="N777" s="835"/>
      <c r="O777" s="836"/>
    </row>
    <row r="778" spans="10:15" ht="15.75" customHeight="1" x14ac:dyDescent="0.25">
      <c r="J778" s="95"/>
      <c r="K778" s="95"/>
      <c r="L778" s="80"/>
      <c r="M778" s="835"/>
      <c r="N778" s="835"/>
      <c r="O778" s="836"/>
    </row>
    <row r="779" spans="10:15" ht="15.75" customHeight="1" x14ac:dyDescent="0.25">
      <c r="J779" s="95"/>
      <c r="K779" s="95"/>
      <c r="L779" s="80"/>
      <c r="M779" s="835"/>
      <c r="N779" s="835"/>
      <c r="O779" s="836"/>
    </row>
    <row r="780" spans="10:15" ht="15.75" customHeight="1" x14ac:dyDescent="0.25">
      <c r="J780" s="95"/>
      <c r="K780" s="95"/>
      <c r="L780" s="80"/>
      <c r="M780" s="835"/>
      <c r="N780" s="835"/>
      <c r="O780" s="836"/>
    </row>
    <row r="781" spans="10:15" ht="15.75" customHeight="1" x14ac:dyDescent="0.25">
      <c r="J781" s="95"/>
      <c r="K781" s="95"/>
      <c r="L781" s="80"/>
      <c r="M781" s="835"/>
      <c r="N781" s="835"/>
      <c r="O781" s="836"/>
    </row>
    <row r="782" spans="10:15" ht="15.75" customHeight="1" x14ac:dyDescent="0.25">
      <c r="J782" s="95"/>
      <c r="K782" s="95"/>
      <c r="L782" s="80"/>
      <c r="M782" s="835"/>
      <c r="N782" s="835"/>
      <c r="O782" s="836"/>
    </row>
    <row r="783" spans="10:15" ht="15.75" customHeight="1" x14ac:dyDescent="0.25">
      <c r="J783" s="95"/>
      <c r="K783" s="95"/>
      <c r="L783" s="80"/>
      <c r="M783" s="835"/>
      <c r="N783" s="835"/>
      <c r="O783" s="836"/>
    </row>
    <row r="784" spans="10:15" ht="15.75" customHeight="1" x14ac:dyDescent="0.25">
      <c r="J784" s="95"/>
      <c r="K784" s="95"/>
      <c r="L784" s="80"/>
      <c r="M784" s="835"/>
      <c r="N784" s="835"/>
      <c r="O784" s="836"/>
    </row>
    <row r="785" spans="10:15" ht="15.75" customHeight="1" x14ac:dyDescent="0.25">
      <c r="J785" s="95"/>
      <c r="K785" s="95"/>
      <c r="L785" s="80"/>
      <c r="M785" s="835"/>
      <c r="N785" s="835"/>
      <c r="O785" s="836"/>
    </row>
    <row r="786" spans="10:15" ht="15.75" customHeight="1" x14ac:dyDescent="0.25">
      <c r="J786" s="95"/>
      <c r="K786" s="95"/>
      <c r="L786" s="80"/>
      <c r="M786" s="835"/>
      <c r="N786" s="835"/>
      <c r="O786" s="836"/>
    </row>
    <row r="787" spans="10:15" ht="15.75" customHeight="1" x14ac:dyDescent="0.25">
      <c r="J787" s="95"/>
      <c r="K787" s="95"/>
      <c r="L787" s="80"/>
      <c r="M787" s="835"/>
      <c r="N787" s="835"/>
      <c r="O787" s="836"/>
    </row>
    <row r="788" spans="10:15" ht="15.75" customHeight="1" x14ac:dyDescent="0.25">
      <c r="J788" s="95"/>
      <c r="K788" s="95"/>
      <c r="L788" s="80"/>
      <c r="M788" s="835"/>
      <c r="N788" s="835"/>
      <c r="O788" s="836"/>
    </row>
    <row r="789" spans="10:15" ht="15.75" customHeight="1" x14ac:dyDescent="0.25">
      <c r="J789" s="95"/>
      <c r="K789" s="95"/>
      <c r="L789" s="80"/>
      <c r="M789" s="835"/>
      <c r="N789" s="835"/>
      <c r="O789" s="836"/>
    </row>
    <row r="790" spans="10:15" ht="15.75" customHeight="1" x14ac:dyDescent="0.25">
      <c r="J790" s="95"/>
      <c r="K790" s="95"/>
      <c r="L790" s="80"/>
      <c r="M790" s="835"/>
      <c r="N790" s="835"/>
      <c r="O790" s="836"/>
    </row>
    <row r="791" spans="10:15" ht="15.75" customHeight="1" x14ac:dyDescent="0.25">
      <c r="J791" s="95"/>
      <c r="K791" s="95"/>
      <c r="L791" s="80"/>
      <c r="M791" s="835"/>
      <c r="N791" s="835"/>
      <c r="O791" s="836"/>
    </row>
    <row r="792" spans="10:15" ht="15.75" customHeight="1" x14ac:dyDescent="0.25">
      <c r="J792" s="95"/>
      <c r="K792" s="95"/>
      <c r="L792" s="80"/>
      <c r="M792" s="835"/>
      <c r="N792" s="835"/>
      <c r="O792" s="836"/>
    </row>
    <row r="793" spans="10:15" ht="15.75" customHeight="1" x14ac:dyDescent="0.25">
      <c r="J793" s="95"/>
      <c r="K793" s="95"/>
      <c r="L793" s="80"/>
      <c r="M793" s="835"/>
      <c r="N793" s="835"/>
      <c r="O793" s="836"/>
    </row>
    <row r="794" spans="10:15" ht="15.75" customHeight="1" x14ac:dyDescent="0.25">
      <c r="J794" s="95"/>
      <c r="K794" s="95"/>
      <c r="L794" s="80"/>
      <c r="M794" s="835"/>
      <c r="N794" s="835"/>
      <c r="O794" s="836"/>
    </row>
    <row r="795" spans="10:15" ht="15.75" customHeight="1" x14ac:dyDescent="0.25">
      <c r="J795" s="95"/>
      <c r="K795" s="95"/>
      <c r="L795" s="80"/>
      <c r="M795" s="835"/>
      <c r="N795" s="835"/>
      <c r="O795" s="836"/>
    </row>
    <row r="796" spans="10:15" ht="15.75" customHeight="1" x14ac:dyDescent="0.25">
      <c r="J796" s="95"/>
      <c r="K796" s="95"/>
      <c r="L796" s="80"/>
      <c r="M796" s="835"/>
      <c r="N796" s="835"/>
      <c r="O796" s="836"/>
    </row>
    <row r="797" spans="10:15" ht="15.75" customHeight="1" x14ac:dyDescent="0.25">
      <c r="J797" s="95"/>
      <c r="K797" s="95"/>
      <c r="L797" s="80"/>
      <c r="M797" s="835"/>
      <c r="N797" s="835"/>
      <c r="O797" s="836"/>
    </row>
    <row r="798" spans="10:15" ht="15.75" customHeight="1" x14ac:dyDescent="0.25">
      <c r="J798" s="95"/>
      <c r="K798" s="95"/>
      <c r="L798" s="80"/>
      <c r="M798" s="835"/>
      <c r="N798" s="835"/>
      <c r="O798" s="836"/>
    </row>
    <row r="799" spans="10:15" ht="15.75" customHeight="1" x14ac:dyDescent="0.25">
      <c r="J799" s="95"/>
      <c r="K799" s="95"/>
      <c r="L799" s="80"/>
      <c r="M799" s="835"/>
      <c r="N799" s="835"/>
      <c r="O799" s="836"/>
    </row>
    <row r="800" spans="10:15" ht="15.75" customHeight="1" x14ac:dyDescent="0.25">
      <c r="J800" s="95"/>
      <c r="K800" s="95"/>
      <c r="L800" s="80"/>
      <c r="M800" s="835"/>
      <c r="N800" s="835"/>
      <c r="O800" s="836"/>
    </row>
    <row r="801" spans="10:15" ht="15.75" customHeight="1" x14ac:dyDescent="0.25">
      <c r="J801" s="95"/>
      <c r="K801" s="95"/>
      <c r="L801" s="80"/>
      <c r="M801" s="835"/>
      <c r="N801" s="835"/>
      <c r="O801" s="836"/>
    </row>
    <row r="802" spans="10:15" ht="15.75" customHeight="1" x14ac:dyDescent="0.25">
      <c r="J802" s="95"/>
      <c r="K802" s="95"/>
      <c r="L802" s="80"/>
      <c r="M802" s="835"/>
      <c r="N802" s="835"/>
      <c r="O802" s="836"/>
    </row>
    <row r="803" spans="10:15" ht="15.75" customHeight="1" x14ac:dyDescent="0.25">
      <c r="J803" s="95"/>
      <c r="K803" s="95"/>
      <c r="L803" s="80"/>
      <c r="M803" s="835"/>
      <c r="N803" s="835"/>
      <c r="O803" s="836"/>
    </row>
    <row r="804" spans="10:15" ht="15.75" customHeight="1" x14ac:dyDescent="0.25">
      <c r="J804" s="95"/>
      <c r="K804" s="95"/>
      <c r="L804" s="80"/>
      <c r="M804" s="835"/>
      <c r="N804" s="835"/>
      <c r="O804" s="836"/>
    </row>
    <row r="805" spans="10:15" ht="15.75" customHeight="1" x14ac:dyDescent="0.25">
      <c r="J805" s="95"/>
      <c r="K805" s="95"/>
      <c r="L805" s="80"/>
      <c r="M805" s="835"/>
      <c r="N805" s="835"/>
      <c r="O805" s="836"/>
    </row>
    <row r="806" spans="10:15" ht="15.75" customHeight="1" x14ac:dyDescent="0.25">
      <c r="J806" s="95"/>
      <c r="K806" s="95"/>
      <c r="L806" s="80"/>
      <c r="M806" s="835"/>
      <c r="N806" s="835"/>
      <c r="O806" s="836"/>
    </row>
    <row r="807" spans="10:15" ht="15.75" customHeight="1" x14ac:dyDescent="0.25">
      <c r="J807" s="95"/>
      <c r="K807" s="95"/>
      <c r="L807" s="80"/>
      <c r="M807" s="835"/>
      <c r="N807" s="835"/>
      <c r="O807" s="836"/>
    </row>
    <row r="808" spans="10:15" ht="15.75" customHeight="1" x14ac:dyDescent="0.25">
      <c r="J808" s="95"/>
      <c r="K808" s="95"/>
      <c r="L808" s="80"/>
      <c r="M808" s="835"/>
      <c r="N808" s="835"/>
      <c r="O808" s="836"/>
    </row>
    <row r="809" spans="10:15" ht="15.75" customHeight="1" x14ac:dyDescent="0.25">
      <c r="J809" s="95"/>
      <c r="K809" s="95"/>
      <c r="L809" s="80"/>
      <c r="M809" s="835"/>
      <c r="N809" s="835"/>
      <c r="O809" s="836"/>
    </row>
    <row r="810" spans="10:15" ht="15.75" customHeight="1" x14ac:dyDescent="0.25">
      <c r="J810" s="95"/>
      <c r="K810" s="95"/>
      <c r="L810" s="80"/>
      <c r="M810" s="835"/>
      <c r="N810" s="835"/>
      <c r="O810" s="836"/>
    </row>
    <row r="811" spans="10:15" ht="15.75" customHeight="1" x14ac:dyDescent="0.25">
      <c r="J811" s="95"/>
      <c r="K811" s="95"/>
      <c r="L811" s="80"/>
      <c r="M811" s="835"/>
      <c r="N811" s="835"/>
      <c r="O811" s="836"/>
    </row>
    <row r="812" spans="10:15" ht="15.75" customHeight="1" x14ac:dyDescent="0.25">
      <c r="J812" s="95"/>
      <c r="K812" s="95"/>
      <c r="L812" s="80"/>
      <c r="M812" s="835"/>
      <c r="N812" s="835"/>
      <c r="O812" s="836"/>
    </row>
    <row r="813" spans="10:15" ht="15.75" customHeight="1" x14ac:dyDescent="0.25">
      <c r="J813" s="95"/>
      <c r="K813" s="95"/>
      <c r="L813" s="80"/>
      <c r="M813" s="835"/>
      <c r="N813" s="835"/>
      <c r="O813" s="836"/>
    </row>
    <row r="814" spans="10:15" ht="15.75" customHeight="1" x14ac:dyDescent="0.25">
      <c r="J814" s="95"/>
      <c r="K814" s="95"/>
      <c r="L814" s="80"/>
      <c r="M814" s="835"/>
      <c r="N814" s="835"/>
      <c r="O814" s="836"/>
    </row>
    <row r="815" spans="10:15" ht="15.75" customHeight="1" x14ac:dyDescent="0.25">
      <c r="J815" s="95"/>
      <c r="K815" s="95"/>
      <c r="L815" s="80"/>
      <c r="M815" s="835"/>
      <c r="N815" s="835"/>
      <c r="O815" s="836"/>
    </row>
    <row r="816" spans="10:15" ht="15.75" customHeight="1" x14ac:dyDescent="0.25">
      <c r="J816" s="95"/>
      <c r="K816" s="95"/>
      <c r="L816" s="80"/>
      <c r="M816" s="835"/>
      <c r="N816" s="835"/>
      <c r="O816" s="836"/>
    </row>
    <row r="817" spans="10:15" ht="15.75" customHeight="1" x14ac:dyDescent="0.25">
      <c r="J817" s="95"/>
      <c r="K817" s="95"/>
      <c r="L817" s="80"/>
      <c r="M817" s="835"/>
      <c r="N817" s="835"/>
      <c r="O817" s="836"/>
    </row>
    <row r="818" spans="10:15" ht="15.75" customHeight="1" x14ac:dyDescent="0.25">
      <c r="J818" s="95"/>
      <c r="K818" s="95"/>
      <c r="L818" s="80"/>
      <c r="M818" s="835"/>
      <c r="N818" s="835"/>
      <c r="O818" s="836"/>
    </row>
    <row r="819" spans="10:15" ht="15.75" customHeight="1" x14ac:dyDescent="0.25">
      <c r="J819" s="95"/>
      <c r="K819" s="95"/>
      <c r="L819" s="80"/>
      <c r="M819" s="835"/>
      <c r="N819" s="835"/>
      <c r="O819" s="836"/>
    </row>
    <row r="820" spans="10:15" ht="15.75" customHeight="1" x14ac:dyDescent="0.25">
      <c r="J820" s="95"/>
      <c r="K820" s="95"/>
      <c r="L820" s="80"/>
      <c r="M820" s="835"/>
      <c r="N820" s="835"/>
      <c r="O820" s="836"/>
    </row>
    <row r="821" spans="10:15" ht="15.75" customHeight="1" x14ac:dyDescent="0.25">
      <c r="J821" s="95"/>
      <c r="K821" s="95"/>
      <c r="L821" s="80"/>
      <c r="M821" s="835"/>
      <c r="N821" s="835"/>
      <c r="O821" s="836"/>
    </row>
    <row r="822" spans="10:15" ht="15.75" customHeight="1" x14ac:dyDescent="0.25">
      <c r="J822" s="95"/>
      <c r="K822" s="95"/>
      <c r="L822" s="80"/>
      <c r="M822" s="835"/>
      <c r="N822" s="835"/>
      <c r="O822" s="836"/>
    </row>
    <row r="823" spans="10:15" ht="15.75" customHeight="1" x14ac:dyDescent="0.25">
      <c r="J823" s="95"/>
      <c r="K823" s="95"/>
      <c r="L823" s="80"/>
      <c r="M823" s="835"/>
      <c r="N823" s="835"/>
      <c r="O823" s="836"/>
    </row>
    <row r="824" spans="10:15" ht="15.75" customHeight="1" x14ac:dyDescent="0.25">
      <c r="J824" s="95"/>
      <c r="K824" s="95"/>
      <c r="L824" s="80"/>
      <c r="M824" s="835"/>
      <c r="N824" s="835"/>
      <c r="O824" s="836"/>
    </row>
    <row r="825" spans="10:15" ht="15.75" customHeight="1" x14ac:dyDescent="0.25">
      <c r="J825" s="95"/>
      <c r="K825" s="95"/>
      <c r="L825" s="80"/>
      <c r="M825" s="835"/>
      <c r="N825" s="835"/>
      <c r="O825" s="836"/>
    </row>
    <row r="826" spans="10:15" ht="15.75" customHeight="1" x14ac:dyDescent="0.25">
      <c r="J826" s="95"/>
      <c r="K826" s="95"/>
      <c r="L826" s="80"/>
      <c r="M826" s="835"/>
      <c r="N826" s="835"/>
      <c r="O826" s="836"/>
    </row>
    <row r="827" spans="10:15" ht="15.75" customHeight="1" x14ac:dyDescent="0.25">
      <c r="J827" s="95"/>
      <c r="K827" s="95"/>
      <c r="L827" s="80"/>
      <c r="M827" s="835"/>
      <c r="N827" s="835"/>
      <c r="O827" s="836"/>
    </row>
    <row r="828" spans="10:15" ht="15.75" customHeight="1" x14ac:dyDescent="0.25">
      <c r="J828" s="95"/>
      <c r="K828" s="95"/>
      <c r="L828" s="80"/>
      <c r="M828" s="835"/>
      <c r="N828" s="835"/>
      <c r="O828" s="836"/>
    </row>
    <row r="829" spans="10:15" ht="15.75" customHeight="1" x14ac:dyDescent="0.25">
      <c r="J829" s="95"/>
      <c r="K829" s="95"/>
      <c r="L829" s="80"/>
      <c r="M829" s="835"/>
      <c r="N829" s="835"/>
      <c r="O829" s="836"/>
    </row>
    <row r="830" spans="10:15" ht="15.75" customHeight="1" x14ac:dyDescent="0.25">
      <c r="J830" s="95"/>
      <c r="K830" s="95"/>
      <c r="L830" s="80"/>
      <c r="M830" s="835"/>
      <c r="N830" s="835"/>
      <c r="O830" s="836"/>
    </row>
    <row r="831" spans="10:15" ht="15.75" customHeight="1" x14ac:dyDescent="0.25">
      <c r="J831" s="95"/>
      <c r="K831" s="95"/>
      <c r="L831" s="80"/>
      <c r="M831" s="835"/>
      <c r="N831" s="835"/>
      <c r="O831" s="836"/>
    </row>
    <row r="832" spans="10:15" ht="15.75" customHeight="1" x14ac:dyDescent="0.25">
      <c r="J832" s="95"/>
      <c r="K832" s="95"/>
      <c r="L832" s="80"/>
      <c r="M832" s="835"/>
      <c r="N832" s="835"/>
      <c r="O832" s="836"/>
    </row>
    <row r="833" spans="10:15" ht="15.75" customHeight="1" x14ac:dyDescent="0.25">
      <c r="J833" s="95"/>
      <c r="K833" s="95"/>
      <c r="L833" s="80"/>
      <c r="M833" s="835"/>
      <c r="N833" s="835"/>
      <c r="O833" s="836"/>
    </row>
    <row r="834" spans="10:15" ht="15.75" customHeight="1" x14ac:dyDescent="0.25">
      <c r="J834" s="95"/>
      <c r="K834" s="95"/>
      <c r="L834" s="80"/>
      <c r="M834" s="835"/>
      <c r="N834" s="835"/>
      <c r="O834" s="836"/>
    </row>
    <row r="835" spans="10:15" ht="15.75" customHeight="1" x14ac:dyDescent="0.25">
      <c r="J835" s="95"/>
      <c r="K835" s="95"/>
      <c r="L835" s="80"/>
      <c r="M835" s="835"/>
      <c r="N835" s="835"/>
      <c r="O835" s="836"/>
    </row>
    <row r="836" spans="10:15" ht="15.75" customHeight="1" x14ac:dyDescent="0.25">
      <c r="J836" s="95"/>
      <c r="K836" s="95"/>
      <c r="L836" s="80"/>
      <c r="M836" s="835"/>
      <c r="N836" s="835"/>
      <c r="O836" s="836"/>
    </row>
    <row r="837" spans="10:15" ht="15.75" customHeight="1" x14ac:dyDescent="0.25">
      <c r="J837" s="95"/>
      <c r="K837" s="95"/>
      <c r="L837" s="80"/>
      <c r="M837" s="835"/>
      <c r="N837" s="835"/>
      <c r="O837" s="836"/>
    </row>
    <row r="838" spans="10:15" ht="15.75" customHeight="1" x14ac:dyDescent="0.25">
      <c r="J838" s="95"/>
      <c r="K838" s="95"/>
      <c r="L838" s="80"/>
      <c r="M838" s="835"/>
      <c r="N838" s="835"/>
      <c r="O838" s="836"/>
    </row>
    <row r="839" spans="10:15" ht="15.75" customHeight="1" x14ac:dyDescent="0.25">
      <c r="J839" s="95"/>
      <c r="K839" s="95"/>
      <c r="L839" s="80"/>
      <c r="M839" s="835"/>
      <c r="N839" s="835"/>
      <c r="O839" s="836"/>
    </row>
    <row r="840" spans="10:15" ht="15.75" customHeight="1" x14ac:dyDescent="0.25">
      <c r="J840" s="95"/>
      <c r="K840" s="95"/>
      <c r="L840" s="80"/>
      <c r="M840" s="835"/>
      <c r="N840" s="835"/>
      <c r="O840" s="836"/>
    </row>
    <row r="841" spans="10:15" ht="15.75" customHeight="1" x14ac:dyDescent="0.25">
      <c r="J841" s="95"/>
      <c r="K841" s="95"/>
      <c r="L841" s="80"/>
      <c r="M841" s="835"/>
      <c r="N841" s="835"/>
      <c r="O841" s="836"/>
    </row>
    <row r="842" spans="10:15" ht="15.75" customHeight="1" x14ac:dyDescent="0.25">
      <c r="J842" s="95"/>
      <c r="K842" s="95"/>
      <c r="L842" s="80"/>
      <c r="M842" s="835"/>
      <c r="N842" s="835"/>
      <c r="O842" s="836"/>
    </row>
    <row r="843" spans="10:15" ht="15.75" customHeight="1" x14ac:dyDescent="0.25">
      <c r="J843" s="95"/>
      <c r="K843" s="95"/>
      <c r="L843" s="80"/>
      <c r="M843" s="835"/>
      <c r="N843" s="835"/>
      <c r="O843" s="836"/>
    </row>
    <row r="844" spans="10:15" ht="15.75" customHeight="1" x14ac:dyDescent="0.25">
      <c r="J844" s="95"/>
      <c r="K844" s="95"/>
      <c r="L844" s="80"/>
      <c r="M844" s="835"/>
      <c r="N844" s="835"/>
      <c r="O844" s="836"/>
    </row>
    <row r="845" spans="10:15" ht="15.75" customHeight="1" x14ac:dyDescent="0.25">
      <c r="J845" s="95"/>
      <c r="K845" s="95"/>
      <c r="L845" s="80"/>
      <c r="M845" s="835"/>
      <c r="N845" s="835"/>
      <c r="O845" s="836"/>
    </row>
    <row r="846" spans="10:15" ht="15.75" customHeight="1" x14ac:dyDescent="0.25">
      <c r="J846" s="95"/>
      <c r="K846" s="95"/>
      <c r="L846" s="80"/>
      <c r="M846" s="835"/>
      <c r="N846" s="835"/>
      <c r="O846" s="836"/>
    </row>
    <row r="847" spans="10:15" ht="15.75" customHeight="1" x14ac:dyDescent="0.25">
      <c r="J847" s="95"/>
      <c r="K847" s="95"/>
      <c r="L847" s="80"/>
      <c r="M847" s="835"/>
      <c r="N847" s="835"/>
      <c r="O847" s="836"/>
    </row>
    <row r="848" spans="10:15" ht="15.75" customHeight="1" x14ac:dyDescent="0.25">
      <c r="J848" s="95"/>
      <c r="K848" s="95"/>
      <c r="L848" s="80"/>
      <c r="M848" s="835"/>
      <c r="N848" s="835"/>
      <c r="O848" s="836"/>
    </row>
    <row r="849" spans="10:15" ht="15.75" customHeight="1" x14ac:dyDescent="0.25">
      <c r="J849" s="95"/>
      <c r="K849" s="95"/>
      <c r="L849" s="80"/>
      <c r="M849" s="835"/>
      <c r="N849" s="835"/>
      <c r="O849" s="836"/>
    </row>
    <row r="850" spans="10:15" ht="15.75" customHeight="1" x14ac:dyDescent="0.25">
      <c r="J850" s="95"/>
      <c r="K850" s="95"/>
      <c r="L850" s="80"/>
      <c r="M850" s="835"/>
      <c r="N850" s="835"/>
      <c r="O850" s="836"/>
    </row>
    <row r="851" spans="10:15" ht="15.75" customHeight="1" x14ac:dyDescent="0.25">
      <c r="J851" s="95"/>
      <c r="K851" s="95"/>
      <c r="L851" s="80"/>
      <c r="M851" s="835"/>
      <c r="N851" s="835"/>
      <c r="O851" s="836"/>
    </row>
    <row r="852" spans="10:15" ht="15.75" customHeight="1" x14ac:dyDescent="0.25">
      <c r="J852" s="95"/>
      <c r="K852" s="95"/>
      <c r="L852" s="80"/>
      <c r="M852" s="835"/>
      <c r="N852" s="835"/>
      <c r="O852" s="836"/>
    </row>
    <row r="853" spans="10:15" ht="15.75" customHeight="1" x14ac:dyDescent="0.25">
      <c r="J853" s="95"/>
      <c r="K853" s="95"/>
      <c r="L853" s="80"/>
      <c r="M853" s="835"/>
      <c r="N853" s="835"/>
      <c r="O853" s="836"/>
    </row>
    <row r="854" spans="10:15" ht="15.75" customHeight="1" x14ac:dyDescent="0.25">
      <c r="J854" s="95"/>
      <c r="K854" s="95"/>
      <c r="L854" s="80"/>
      <c r="M854" s="835"/>
      <c r="N854" s="835"/>
      <c r="O854" s="836"/>
    </row>
    <row r="855" spans="10:15" ht="15.75" customHeight="1" x14ac:dyDescent="0.25">
      <c r="J855" s="95"/>
      <c r="K855" s="95"/>
      <c r="L855" s="80"/>
      <c r="M855" s="835"/>
      <c r="N855" s="835"/>
      <c r="O855" s="836"/>
    </row>
    <row r="856" spans="10:15" ht="15.75" customHeight="1" x14ac:dyDescent="0.25">
      <c r="J856" s="95"/>
      <c r="K856" s="95"/>
      <c r="L856" s="80"/>
      <c r="M856" s="835"/>
      <c r="N856" s="835"/>
      <c r="O856" s="836"/>
    </row>
    <row r="857" spans="10:15" ht="15.75" customHeight="1" x14ac:dyDescent="0.25">
      <c r="J857" s="95"/>
      <c r="K857" s="95"/>
      <c r="L857" s="80"/>
      <c r="M857" s="835"/>
      <c r="N857" s="835"/>
      <c r="O857" s="836"/>
    </row>
    <row r="858" spans="10:15" ht="15.75" customHeight="1" x14ac:dyDescent="0.25">
      <c r="J858" s="95"/>
      <c r="K858" s="95"/>
      <c r="L858" s="80"/>
      <c r="M858" s="835"/>
      <c r="N858" s="835"/>
      <c r="O858" s="836"/>
    </row>
    <row r="859" spans="10:15" ht="15.75" customHeight="1" x14ac:dyDescent="0.25">
      <c r="J859" s="95"/>
      <c r="K859" s="95"/>
      <c r="L859" s="80"/>
      <c r="M859" s="835"/>
      <c r="N859" s="835"/>
      <c r="O859" s="836"/>
    </row>
    <row r="860" spans="10:15" ht="15.75" customHeight="1" x14ac:dyDescent="0.25">
      <c r="J860" s="95"/>
      <c r="K860" s="95"/>
      <c r="L860" s="80"/>
      <c r="M860" s="835"/>
      <c r="N860" s="835"/>
      <c r="O860" s="836"/>
    </row>
    <row r="861" spans="10:15" ht="15.75" customHeight="1" x14ac:dyDescent="0.25">
      <c r="J861" s="95"/>
      <c r="K861" s="95"/>
      <c r="L861" s="80"/>
      <c r="M861" s="835"/>
      <c r="N861" s="835"/>
      <c r="O861" s="836"/>
    </row>
    <row r="862" spans="10:15" ht="15.75" customHeight="1" x14ac:dyDescent="0.25">
      <c r="J862" s="95"/>
      <c r="K862" s="95"/>
      <c r="L862" s="80"/>
      <c r="M862" s="835"/>
      <c r="N862" s="835"/>
      <c r="O862" s="836"/>
    </row>
    <row r="863" spans="10:15" ht="15.75" customHeight="1" x14ac:dyDescent="0.25">
      <c r="J863" s="95"/>
      <c r="K863" s="95"/>
      <c r="L863" s="80"/>
      <c r="M863" s="835"/>
      <c r="N863" s="835"/>
      <c r="O863" s="836"/>
    </row>
    <row r="864" spans="10:15" ht="15.75" customHeight="1" x14ac:dyDescent="0.25">
      <c r="J864" s="95"/>
      <c r="K864" s="95"/>
      <c r="L864" s="80"/>
      <c r="M864" s="835"/>
      <c r="N864" s="835"/>
      <c r="O864" s="836"/>
    </row>
    <row r="865" spans="10:15" ht="15.75" customHeight="1" x14ac:dyDescent="0.25">
      <c r="J865" s="95"/>
      <c r="K865" s="95"/>
      <c r="L865" s="80"/>
      <c r="M865" s="835"/>
      <c r="N865" s="835"/>
      <c r="O865" s="836"/>
    </row>
    <row r="866" spans="10:15" ht="15.75" customHeight="1" x14ac:dyDescent="0.25">
      <c r="J866" s="95"/>
      <c r="K866" s="95"/>
      <c r="L866" s="80"/>
      <c r="M866" s="835"/>
      <c r="N866" s="835"/>
      <c r="O866" s="836"/>
    </row>
    <row r="867" spans="10:15" ht="15.75" customHeight="1" x14ac:dyDescent="0.25">
      <c r="J867" s="95"/>
      <c r="K867" s="95"/>
      <c r="L867" s="80"/>
      <c r="M867" s="835"/>
      <c r="N867" s="835"/>
      <c r="O867" s="836"/>
    </row>
    <row r="868" spans="10:15" ht="15.75" customHeight="1" x14ac:dyDescent="0.25">
      <c r="J868" s="95"/>
      <c r="K868" s="95"/>
      <c r="L868" s="80"/>
      <c r="M868" s="835"/>
      <c r="N868" s="835"/>
      <c r="O868" s="836"/>
    </row>
    <row r="869" spans="10:15" ht="15.75" customHeight="1" x14ac:dyDescent="0.25">
      <c r="J869" s="95"/>
      <c r="K869" s="95"/>
      <c r="L869" s="80"/>
      <c r="M869" s="835"/>
      <c r="N869" s="835"/>
      <c r="O869" s="836"/>
    </row>
    <row r="870" spans="10:15" ht="15.75" customHeight="1" x14ac:dyDescent="0.25">
      <c r="J870" s="95"/>
      <c r="K870" s="95"/>
      <c r="L870" s="80"/>
      <c r="M870" s="835"/>
      <c r="N870" s="835"/>
      <c r="O870" s="836"/>
    </row>
    <row r="871" spans="10:15" ht="15.75" customHeight="1" x14ac:dyDescent="0.25">
      <c r="J871" s="95"/>
      <c r="K871" s="95"/>
      <c r="L871" s="80"/>
      <c r="M871" s="835"/>
      <c r="N871" s="835"/>
      <c r="O871" s="836"/>
    </row>
    <row r="872" spans="10:15" ht="15.75" customHeight="1" x14ac:dyDescent="0.25">
      <c r="J872" s="95"/>
      <c r="K872" s="95"/>
      <c r="L872" s="80"/>
      <c r="M872" s="835"/>
      <c r="N872" s="835"/>
      <c r="O872" s="836"/>
    </row>
    <row r="873" spans="10:15" ht="15.75" customHeight="1" x14ac:dyDescent="0.25">
      <c r="J873" s="95"/>
      <c r="K873" s="95"/>
      <c r="L873" s="80"/>
      <c r="M873" s="835"/>
      <c r="N873" s="835"/>
      <c r="O873" s="836"/>
    </row>
    <row r="874" spans="10:15" ht="15.75" customHeight="1" x14ac:dyDescent="0.25">
      <c r="J874" s="95"/>
      <c r="K874" s="95"/>
      <c r="L874" s="80"/>
      <c r="M874" s="835"/>
      <c r="N874" s="835"/>
      <c r="O874" s="836"/>
    </row>
    <row r="875" spans="10:15" ht="15.75" customHeight="1" x14ac:dyDescent="0.25">
      <c r="J875" s="95"/>
      <c r="K875" s="95"/>
      <c r="L875" s="80"/>
      <c r="M875" s="835"/>
      <c r="N875" s="835"/>
      <c r="O875" s="836"/>
    </row>
    <row r="876" spans="10:15" ht="15.75" customHeight="1" x14ac:dyDescent="0.25">
      <c r="J876" s="95"/>
      <c r="K876" s="95"/>
      <c r="L876" s="80"/>
      <c r="M876" s="835"/>
      <c r="N876" s="835"/>
      <c r="O876" s="836"/>
    </row>
    <row r="877" spans="10:15" ht="15.75" customHeight="1" x14ac:dyDescent="0.25">
      <c r="J877" s="95"/>
      <c r="K877" s="95"/>
      <c r="L877" s="80"/>
      <c r="M877" s="835"/>
      <c r="N877" s="835"/>
      <c r="O877" s="836"/>
    </row>
    <row r="878" spans="10:15" ht="15.75" customHeight="1" x14ac:dyDescent="0.25">
      <c r="J878" s="95"/>
      <c r="K878" s="95"/>
      <c r="L878" s="80"/>
      <c r="M878" s="835"/>
      <c r="N878" s="835"/>
      <c r="O878" s="836"/>
    </row>
    <row r="879" spans="10:15" ht="15.75" customHeight="1" x14ac:dyDescent="0.25">
      <c r="J879" s="95"/>
      <c r="K879" s="95"/>
      <c r="L879" s="80"/>
      <c r="M879" s="835"/>
      <c r="N879" s="835"/>
      <c r="O879" s="836"/>
    </row>
    <row r="880" spans="10:15" ht="15.75" customHeight="1" x14ac:dyDescent="0.25">
      <c r="J880" s="95"/>
      <c r="K880" s="95"/>
      <c r="L880" s="80"/>
      <c r="M880" s="835"/>
      <c r="N880" s="835"/>
      <c r="O880" s="836"/>
    </row>
    <row r="881" spans="10:15" ht="15.75" customHeight="1" x14ac:dyDescent="0.25">
      <c r="J881" s="95"/>
      <c r="K881" s="95"/>
      <c r="L881" s="80"/>
      <c r="M881" s="835"/>
      <c r="N881" s="835"/>
      <c r="O881" s="836"/>
    </row>
    <row r="882" spans="10:15" ht="15.75" customHeight="1" x14ac:dyDescent="0.25">
      <c r="J882" s="95"/>
      <c r="K882" s="95"/>
      <c r="L882" s="80"/>
      <c r="M882" s="835"/>
      <c r="N882" s="835"/>
      <c r="O882" s="836"/>
    </row>
    <row r="883" spans="10:15" ht="15.75" customHeight="1" x14ac:dyDescent="0.25">
      <c r="J883" s="95"/>
      <c r="K883" s="95"/>
      <c r="L883" s="80"/>
      <c r="M883" s="835"/>
      <c r="N883" s="835"/>
      <c r="O883" s="836"/>
    </row>
    <row r="884" spans="10:15" ht="15.75" customHeight="1" x14ac:dyDescent="0.25">
      <c r="J884" s="95"/>
      <c r="K884" s="95"/>
      <c r="L884" s="80"/>
      <c r="M884" s="835"/>
      <c r="N884" s="835"/>
      <c r="O884" s="836"/>
    </row>
    <row r="885" spans="10:15" ht="15.75" customHeight="1" x14ac:dyDescent="0.25">
      <c r="J885" s="95"/>
      <c r="K885" s="95"/>
      <c r="L885" s="80"/>
      <c r="M885" s="835"/>
      <c r="N885" s="835"/>
      <c r="O885" s="836"/>
    </row>
    <row r="886" spans="10:15" ht="15.75" customHeight="1" x14ac:dyDescent="0.25">
      <c r="J886" s="95"/>
      <c r="K886" s="95"/>
      <c r="L886" s="80"/>
      <c r="M886" s="835"/>
      <c r="N886" s="835"/>
      <c r="O886" s="836"/>
    </row>
    <row r="887" spans="10:15" ht="15.75" customHeight="1" x14ac:dyDescent="0.25">
      <c r="J887" s="95"/>
      <c r="K887" s="95"/>
      <c r="L887" s="80"/>
      <c r="M887" s="835"/>
      <c r="N887" s="835"/>
      <c r="O887" s="836"/>
    </row>
    <row r="888" spans="10:15" ht="15.75" customHeight="1" x14ac:dyDescent="0.25">
      <c r="J888" s="95"/>
      <c r="K888" s="95"/>
      <c r="L888" s="80"/>
      <c r="M888" s="835"/>
      <c r="N888" s="835"/>
      <c r="O888" s="836"/>
    </row>
    <row r="889" spans="10:15" ht="15.75" customHeight="1" x14ac:dyDescent="0.25">
      <c r="J889" s="95"/>
      <c r="K889" s="95"/>
      <c r="L889" s="80"/>
      <c r="M889" s="835"/>
      <c r="N889" s="835"/>
      <c r="O889" s="836"/>
    </row>
    <row r="890" spans="10:15" ht="15.75" customHeight="1" x14ac:dyDescent="0.25">
      <c r="J890" s="95"/>
      <c r="K890" s="95"/>
      <c r="L890" s="80"/>
      <c r="M890" s="835"/>
      <c r="N890" s="835"/>
      <c r="O890" s="836"/>
    </row>
    <row r="891" spans="10:15" ht="15.75" customHeight="1" x14ac:dyDescent="0.25">
      <c r="J891" s="95"/>
      <c r="K891" s="95"/>
      <c r="L891" s="80"/>
      <c r="M891" s="835"/>
      <c r="N891" s="835"/>
      <c r="O891" s="836"/>
    </row>
    <row r="892" spans="10:15" ht="15.75" customHeight="1" x14ac:dyDescent="0.25">
      <c r="J892" s="95"/>
      <c r="K892" s="95"/>
      <c r="L892" s="80"/>
      <c r="M892" s="835"/>
      <c r="N892" s="835"/>
      <c r="O892" s="836"/>
    </row>
    <row r="893" spans="10:15" ht="15.75" customHeight="1" x14ac:dyDescent="0.25">
      <c r="J893" s="95"/>
      <c r="K893" s="95"/>
      <c r="L893" s="80"/>
      <c r="M893" s="835"/>
      <c r="N893" s="835"/>
      <c r="O893" s="836"/>
    </row>
    <row r="894" spans="10:15" ht="15.75" customHeight="1" x14ac:dyDescent="0.25">
      <c r="J894" s="95"/>
      <c r="K894" s="95"/>
      <c r="L894" s="80"/>
      <c r="M894" s="835"/>
      <c r="N894" s="835"/>
      <c r="O894" s="836"/>
    </row>
    <row r="895" spans="10:15" ht="15.75" customHeight="1" x14ac:dyDescent="0.25">
      <c r="J895" s="95"/>
      <c r="K895" s="95"/>
      <c r="L895" s="80"/>
      <c r="M895" s="835"/>
      <c r="N895" s="835"/>
      <c r="O895" s="836"/>
    </row>
    <row r="896" spans="10:15" ht="15.75" customHeight="1" x14ac:dyDescent="0.25">
      <c r="J896" s="95"/>
      <c r="K896" s="95"/>
      <c r="L896" s="80"/>
      <c r="M896" s="835"/>
      <c r="N896" s="835"/>
      <c r="O896" s="836"/>
    </row>
    <row r="897" spans="10:15" ht="15.75" customHeight="1" x14ac:dyDescent="0.25">
      <c r="J897" s="95"/>
      <c r="K897" s="95"/>
      <c r="L897" s="80"/>
      <c r="M897" s="835"/>
      <c r="N897" s="835"/>
      <c r="O897" s="836"/>
    </row>
    <row r="898" spans="10:15" ht="15.75" customHeight="1" x14ac:dyDescent="0.25">
      <c r="J898" s="95"/>
      <c r="K898" s="95"/>
      <c r="L898" s="80"/>
      <c r="M898" s="835"/>
      <c r="N898" s="835"/>
      <c r="O898" s="836"/>
    </row>
    <row r="899" spans="10:15" ht="15.75" customHeight="1" x14ac:dyDescent="0.25">
      <c r="J899" s="95"/>
      <c r="K899" s="95"/>
      <c r="L899" s="80"/>
      <c r="M899" s="835"/>
      <c r="N899" s="835"/>
      <c r="O899" s="836"/>
    </row>
    <row r="900" spans="10:15" ht="15.75" customHeight="1" x14ac:dyDescent="0.25">
      <c r="J900" s="95"/>
      <c r="K900" s="95"/>
      <c r="L900" s="80"/>
      <c r="M900" s="835"/>
      <c r="N900" s="835"/>
      <c r="O900" s="836"/>
    </row>
    <row r="901" spans="10:15" ht="15.75" customHeight="1" x14ac:dyDescent="0.25">
      <c r="J901" s="95"/>
      <c r="K901" s="95"/>
      <c r="L901" s="80"/>
      <c r="M901" s="835"/>
      <c r="N901" s="835"/>
      <c r="O901" s="836"/>
    </row>
    <row r="902" spans="10:15" ht="15.75" customHeight="1" x14ac:dyDescent="0.25">
      <c r="J902" s="95"/>
      <c r="K902" s="95"/>
      <c r="L902" s="80"/>
      <c r="M902" s="835"/>
      <c r="N902" s="835"/>
      <c r="O902" s="836"/>
    </row>
    <row r="903" spans="10:15" ht="15.75" customHeight="1" x14ac:dyDescent="0.25">
      <c r="J903" s="95"/>
      <c r="K903" s="95"/>
      <c r="L903" s="80"/>
      <c r="M903" s="835"/>
      <c r="N903" s="835"/>
      <c r="O903" s="836"/>
    </row>
    <row r="904" spans="10:15" ht="15.75" customHeight="1" x14ac:dyDescent="0.25">
      <c r="J904" s="95"/>
      <c r="K904" s="95"/>
      <c r="L904" s="80"/>
      <c r="M904" s="835"/>
      <c r="N904" s="835"/>
      <c r="O904" s="836"/>
    </row>
    <row r="905" spans="10:15" ht="15.75" customHeight="1" x14ac:dyDescent="0.25">
      <c r="J905" s="95"/>
      <c r="K905" s="95"/>
      <c r="L905" s="80"/>
      <c r="M905" s="835"/>
      <c r="N905" s="835"/>
      <c r="O905" s="836"/>
    </row>
    <row r="906" spans="10:15" ht="15.75" customHeight="1" x14ac:dyDescent="0.25">
      <c r="J906" s="95"/>
      <c r="K906" s="95"/>
      <c r="L906" s="80"/>
      <c r="M906" s="835"/>
      <c r="N906" s="835"/>
      <c r="O906" s="836"/>
    </row>
    <row r="907" spans="10:15" ht="15.75" customHeight="1" x14ac:dyDescent="0.25">
      <c r="J907" s="95"/>
      <c r="K907" s="95"/>
      <c r="L907" s="80"/>
      <c r="M907" s="835"/>
      <c r="N907" s="835"/>
      <c r="O907" s="836"/>
    </row>
    <row r="908" spans="10:15" ht="15.75" customHeight="1" x14ac:dyDescent="0.25">
      <c r="J908" s="95"/>
      <c r="K908" s="95"/>
      <c r="L908" s="80"/>
      <c r="M908" s="835"/>
      <c r="N908" s="835"/>
      <c r="O908" s="836"/>
    </row>
    <row r="909" spans="10:15" ht="15.75" customHeight="1" x14ac:dyDescent="0.25">
      <c r="J909" s="95"/>
      <c r="K909" s="95"/>
      <c r="L909" s="80"/>
      <c r="M909" s="835"/>
      <c r="N909" s="835"/>
      <c r="O909" s="836"/>
    </row>
    <row r="910" spans="10:15" ht="15.75" customHeight="1" x14ac:dyDescent="0.25">
      <c r="J910" s="95"/>
      <c r="K910" s="95"/>
      <c r="L910" s="80"/>
      <c r="M910" s="835"/>
      <c r="N910" s="835"/>
      <c r="O910" s="836"/>
    </row>
    <row r="911" spans="10:15" ht="15.75" customHeight="1" x14ac:dyDescent="0.25">
      <c r="J911" s="95"/>
      <c r="K911" s="95"/>
      <c r="L911" s="80"/>
      <c r="M911" s="835"/>
      <c r="N911" s="835"/>
      <c r="O911" s="836"/>
    </row>
    <row r="912" spans="10:15" ht="15.75" customHeight="1" x14ac:dyDescent="0.25">
      <c r="J912" s="95"/>
      <c r="K912" s="95"/>
      <c r="L912" s="80"/>
      <c r="M912" s="835"/>
      <c r="N912" s="835"/>
      <c r="O912" s="836"/>
    </row>
    <row r="913" spans="10:15" ht="15.75" customHeight="1" x14ac:dyDescent="0.25">
      <c r="J913" s="95"/>
      <c r="K913" s="95"/>
      <c r="L913" s="80"/>
      <c r="M913" s="835"/>
      <c r="N913" s="835"/>
      <c r="O913" s="836"/>
    </row>
    <row r="914" spans="10:15" ht="15.75" customHeight="1" x14ac:dyDescent="0.25">
      <c r="J914" s="95"/>
      <c r="K914" s="95"/>
      <c r="L914" s="80"/>
      <c r="M914" s="835"/>
      <c r="N914" s="835"/>
      <c r="O914" s="836"/>
    </row>
    <row r="915" spans="10:15" ht="15.75" customHeight="1" x14ac:dyDescent="0.25">
      <c r="J915" s="95"/>
      <c r="K915" s="95"/>
      <c r="L915" s="80"/>
      <c r="M915" s="835"/>
      <c r="N915" s="835"/>
      <c r="O915" s="836"/>
    </row>
    <row r="916" spans="10:15" ht="15.75" customHeight="1" x14ac:dyDescent="0.25">
      <c r="J916" s="95"/>
      <c r="K916" s="95"/>
      <c r="L916" s="80"/>
      <c r="M916" s="835"/>
      <c r="N916" s="835"/>
      <c r="O916" s="836"/>
    </row>
    <row r="917" spans="10:15" ht="15.75" customHeight="1" x14ac:dyDescent="0.25">
      <c r="J917" s="95"/>
      <c r="K917" s="95"/>
      <c r="L917" s="80"/>
      <c r="M917" s="835"/>
      <c r="N917" s="835"/>
      <c r="O917" s="836"/>
    </row>
    <row r="918" spans="10:15" ht="15.75" customHeight="1" x14ac:dyDescent="0.25">
      <c r="J918" s="95"/>
      <c r="K918" s="95"/>
      <c r="L918" s="80"/>
      <c r="M918" s="835"/>
      <c r="N918" s="835"/>
      <c r="O918" s="836"/>
    </row>
    <row r="919" spans="10:15" ht="15.75" customHeight="1" x14ac:dyDescent="0.25">
      <c r="J919" s="95"/>
      <c r="K919" s="95"/>
      <c r="L919" s="80"/>
      <c r="M919" s="835"/>
      <c r="N919" s="835"/>
      <c r="O919" s="836"/>
    </row>
    <row r="920" spans="10:15" ht="15.75" customHeight="1" x14ac:dyDescent="0.25">
      <c r="J920" s="95"/>
      <c r="K920" s="95"/>
      <c r="L920" s="80"/>
      <c r="M920" s="835"/>
      <c r="N920" s="835"/>
      <c r="O920" s="836"/>
    </row>
    <row r="921" spans="10:15" ht="15.75" customHeight="1" x14ac:dyDescent="0.25">
      <c r="J921" s="95"/>
      <c r="K921" s="95"/>
      <c r="L921" s="80"/>
      <c r="M921" s="835"/>
      <c r="N921" s="835"/>
      <c r="O921" s="836"/>
    </row>
    <row r="922" spans="10:15" ht="15.75" customHeight="1" x14ac:dyDescent="0.25">
      <c r="J922" s="95"/>
      <c r="K922" s="95"/>
      <c r="L922" s="80"/>
      <c r="M922" s="835"/>
      <c r="N922" s="835"/>
      <c r="O922" s="836"/>
    </row>
    <row r="923" spans="10:15" ht="15.75" customHeight="1" x14ac:dyDescent="0.25">
      <c r="J923" s="95"/>
      <c r="K923" s="95"/>
      <c r="L923" s="80"/>
      <c r="M923" s="835"/>
      <c r="N923" s="835"/>
      <c r="O923" s="836"/>
    </row>
    <row r="924" spans="10:15" ht="15.75" customHeight="1" x14ac:dyDescent="0.25">
      <c r="J924" s="95"/>
      <c r="K924" s="95"/>
      <c r="L924" s="80"/>
      <c r="M924" s="835"/>
      <c r="N924" s="835"/>
      <c r="O924" s="836"/>
    </row>
    <row r="925" spans="10:15" ht="15.75" customHeight="1" x14ac:dyDescent="0.25">
      <c r="J925" s="95"/>
      <c r="K925" s="95"/>
      <c r="L925" s="80"/>
      <c r="M925" s="835"/>
      <c r="N925" s="835"/>
      <c r="O925" s="836"/>
    </row>
    <row r="926" spans="10:15" ht="15.75" customHeight="1" x14ac:dyDescent="0.25">
      <c r="J926" s="95"/>
      <c r="K926" s="95"/>
      <c r="L926" s="80"/>
      <c r="M926" s="835"/>
      <c r="N926" s="835"/>
      <c r="O926" s="836"/>
    </row>
    <row r="927" spans="10:15" ht="15.75" customHeight="1" x14ac:dyDescent="0.25">
      <c r="J927" s="95"/>
      <c r="K927" s="95"/>
      <c r="L927" s="80"/>
      <c r="M927" s="835"/>
      <c r="N927" s="835"/>
      <c r="O927" s="836"/>
    </row>
    <row r="928" spans="10:15" ht="15.75" customHeight="1" x14ac:dyDescent="0.25">
      <c r="J928" s="95"/>
      <c r="K928" s="95"/>
      <c r="L928" s="80"/>
      <c r="M928" s="835"/>
      <c r="N928" s="835"/>
      <c r="O928" s="836"/>
    </row>
    <row r="929" spans="10:15" ht="15.75" customHeight="1" x14ac:dyDescent="0.25">
      <c r="J929" s="95"/>
      <c r="K929" s="95"/>
      <c r="L929" s="80"/>
      <c r="M929" s="835"/>
      <c r="N929" s="835"/>
      <c r="O929" s="836"/>
    </row>
    <row r="930" spans="10:15" ht="15.75" customHeight="1" x14ac:dyDescent="0.25">
      <c r="J930" s="95"/>
      <c r="K930" s="95"/>
      <c r="L930" s="80"/>
      <c r="M930" s="835"/>
      <c r="N930" s="835"/>
      <c r="O930" s="836"/>
    </row>
    <row r="931" spans="10:15" ht="15.75" customHeight="1" x14ac:dyDescent="0.25">
      <c r="J931" s="95"/>
      <c r="K931" s="95"/>
      <c r="L931" s="80"/>
      <c r="M931" s="835"/>
      <c r="N931" s="835"/>
      <c r="O931" s="836"/>
    </row>
    <row r="932" spans="10:15" ht="15.75" customHeight="1" x14ac:dyDescent="0.25">
      <c r="J932" s="95"/>
      <c r="K932" s="95"/>
      <c r="L932" s="80"/>
      <c r="M932" s="835"/>
      <c r="N932" s="835"/>
      <c r="O932" s="836"/>
    </row>
    <row r="933" spans="10:15" ht="15.75" customHeight="1" x14ac:dyDescent="0.25">
      <c r="J933" s="95"/>
      <c r="K933" s="95"/>
      <c r="L933" s="80"/>
      <c r="M933" s="835"/>
      <c r="N933" s="835"/>
      <c r="O933" s="836"/>
    </row>
    <row r="934" spans="10:15" ht="15.75" customHeight="1" x14ac:dyDescent="0.25">
      <c r="J934" s="95"/>
      <c r="K934" s="95"/>
      <c r="L934" s="80"/>
      <c r="M934" s="835"/>
      <c r="N934" s="835"/>
      <c r="O934" s="836"/>
    </row>
    <row r="935" spans="10:15" ht="15.75" customHeight="1" x14ac:dyDescent="0.25">
      <c r="J935" s="95"/>
      <c r="K935" s="95"/>
      <c r="L935" s="80"/>
      <c r="M935" s="835"/>
      <c r="N935" s="835"/>
      <c r="O935" s="836"/>
    </row>
    <row r="936" spans="10:15" ht="15.75" customHeight="1" x14ac:dyDescent="0.25">
      <c r="J936" s="95"/>
      <c r="K936" s="95"/>
      <c r="L936" s="80"/>
      <c r="M936" s="835"/>
      <c r="N936" s="835"/>
      <c r="O936" s="836"/>
    </row>
    <row r="937" spans="10:15" ht="15.75" customHeight="1" x14ac:dyDescent="0.25">
      <c r="J937" s="95"/>
      <c r="K937" s="95"/>
      <c r="L937" s="80"/>
      <c r="M937" s="835"/>
      <c r="N937" s="835"/>
      <c r="O937" s="836"/>
    </row>
    <row r="938" spans="10:15" ht="15.75" customHeight="1" x14ac:dyDescent="0.25">
      <c r="J938" s="95"/>
      <c r="K938" s="95"/>
      <c r="L938" s="80"/>
      <c r="M938" s="835"/>
      <c r="N938" s="835"/>
      <c r="O938" s="836"/>
    </row>
    <row r="939" spans="10:15" ht="15.75" customHeight="1" x14ac:dyDescent="0.25">
      <c r="J939" s="95"/>
      <c r="K939" s="95"/>
      <c r="L939" s="80"/>
      <c r="M939" s="835"/>
      <c r="N939" s="835"/>
      <c r="O939" s="836"/>
    </row>
    <row r="940" spans="10:15" ht="15.75" customHeight="1" x14ac:dyDescent="0.25">
      <c r="J940" s="95"/>
      <c r="K940" s="95"/>
      <c r="L940" s="80"/>
      <c r="M940" s="835"/>
      <c r="N940" s="835"/>
      <c r="O940" s="836"/>
    </row>
    <row r="941" spans="10:15" ht="15.75" customHeight="1" x14ac:dyDescent="0.25">
      <c r="J941" s="95"/>
      <c r="K941" s="95"/>
      <c r="L941" s="80"/>
      <c r="M941" s="835"/>
      <c r="N941" s="835"/>
      <c r="O941" s="836"/>
    </row>
    <row r="942" spans="10:15" ht="15.75" customHeight="1" x14ac:dyDescent="0.25">
      <c r="J942" s="95"/>
      <c r="K942" s="95"/>
      <c r="L942" s="80"/>
      <c r="M942" s="835"/>
      <c r="N942" s="835"/>
      <c r="O942" s="836"/>
    </row>
    <row r="943" spans="10:15" ht="15.75" customHeight="1" x14ac:dyDescent="0.25">
      <c r="J943" s="95"/>
      <c r="K943" s="95"/>
      <c r="L943" s="80"/>
      <c r="M943" s="835"/>
      <c r="N943" s="835"/>
      <c r="O943" s="836"/>
    </row>
    <row r="944" spans="10:15" ht="15.75" customHeight="1" x14ac:dyDescent="0.25">
      <c r="J944" s="95"/>
      <c r="K944" s="95"/>
      <c r="L944" s="80"/>
      <c r="M944" s="835"/>
      <c r="N944" s="835"/>
      <c r="O944" s="836"/>
    </row>
    <row r="945" spans="10:15" ht="15.75" customHeight="1" x14ac:dyDescent="0.25">
      <c r="J945" s="95"/>
      <c r="K945" s="95"/>
      <c r="L945" s="80"/>
      <c r="M945" s="835"/>
      <c r="N945" s="835"/>
      <c r="O945" s="836"/>
    </row>
    <row r="946" spans="10:15" ht="15.75" customHeight="1" x14ac:dyDescent="0.25">
      <c r="J946" s="95"/>
      <c r="K946" s="95"/>
      <c r="L946" s="80"/>
      <c r="M946" s="835"/>
      <c r="N946" s="835"/>
      <c r="O946" s="836"/>
    </row>
    <row r="947" spans="10:15" ht="15.75" customHeight="1" x14ac:dyDescent="0.25">
      <c r="J947" s="95"/>
      <c r="K947" s="95"/>
      <c r="L947" s="80"/>
      <c r="M947" s="835"/>
      <c r="N947" s="835"/>
      <c r="O947" s="836"/>
    </row>
    <row r="948" spans="10:15" ht="15.75" customHeight="1" x14ac:dyDescent="0.25">
      <c r="J948" s="95"/>
      <c r="K948" s="95"/>
      <c r="L948" s="80"/>
      <c r="M948" s="835"/>
      <c r="N948" s="835"/>
      <c r="O948" s="836"/>
    </row>
    <row r="949" spans="10:15" ht="15.75" customHeight="1" x14ac:dyDescent="0.25">
      <c r="J949" s="95"/>
      <c r="K949" s="95"/>
      <c r="L949" s="80"/>
      <c r="M949" s="835"/>
      <c r="N949" s="835"/>
      <c r="O949" s="836"/>
    </row>
    <row r="950" spans="10:15" ht="15.75" customHeight="1" x14ac:dyDescent="0.25">
      <c r="J950" s="95"/>
      <c r="K950" s="95"/>
      <c r="L950" s="80"/>
      <c r="M950" s="835"/>
      <c r="N950" s="835"/>
      <c r="O950" s="836"/>
    </row>
    <row r="951" spans="10:15" ht="15.75" customHeight="1" x14ac:dyDescent="0.25">
      <c r="J951" s="95"/>
      <c r="K951" s="95"/>
      <c r="L951" s="80"/>
      <c r="M951" s="835"/>
      <c r="N951" s="835"/>
      <c r="O951" s="836"/>
    </row>
    <row r="952" spans="10:15" ht="15.75" customHeight="1" x14ac:dyDescent="0.25">
      <c r="J952" s="95"/>
      <c r="K952" s="95"/>
      <c r="L952" s="80"/>
      <c r="M952" s="835"/>
      <c r="N952" s="835"/>
      <c r="O952" s="836"/>
    </row>
    <row r="953" spans="10:15" ht="15.75" customHeight="1" x14ac:dyDescent="0.25">
      <c r="J953" s="95"/>
      <c r="K953" s="95"/>
      <c r="L953" s="80"/>
      <c r="M953" s="835"/>
      <c r="N953" s="835"/>
      <c r="O953" s="836"/>
    </row>
    <row r="954" spans="10:15" ht="15.75" customHeight="1" x14ac:dyDescent="0.25">
      <c r="J954" s="95"/>
      <c r="K954" s="95"/>
      <c r="L954" s="80"/>
      <c r="M954" s="835"/>
      <c r="N954" s="835"/>
      <c r="O954" s="836"/>
    </row>
    <row r="955" spans="10:15" ht="15.75" customHeight="1" x14ac:dyDescent="0.25">
      <c r="J955" s="95"/>
      <c r="K955" s="95"/>
      <c r="L955" s="80"/>
      <c r="M955" s="835"/>
      <c r="N955" s="835"/>
      <c r="O955" s="836"/>
    </row>
    <row r="956" spans="10:15" ht="15.75" customHeight="1" x14ac:dyDescent="0.25">
      <c r="J956" s="95"/>
      <c r="K956" s="95"/>
      <c r="L956" s="80"/>
      <c r="M956" s="835"/>
      <c r="N956" s="835"/>
      <c r="O956" s="836"/>
    </row>
    <row r="957" spans="10:15" ht="15.75" customHeight="1" x14ac:dyDescent="0.25">
      <c r="J957" s="95"/>
      <c r="K957" s="95"/>
      <c r="L957" s="80"/>
      <c r="M957" s="835"/>
      <c r="N957" s="835"/>
      <c r="O957" s="836"/>
    </row>
    <row r="958" spans="10:15" ht="15.75" customHeight="1" x14ac:dyDescent="0.25">
      <c r="J958" s="95"/>
      <c r="K958" s="95"/>
      <c r="L958" s="80"/>
      <c r="M958" s="835"/>
      <c r="N958" s="835"/>
      <c r="O958" s="836"/>
    </row>
    <row r="959" spans="10:15" ht="15.75" customHeight="1" x14ac:dyDescent="0.25">
      <c r="J959" s="95"/>
      <c r="K959" s="95"/>
      <c r="L959" s="80"/>
      <c r="M959" s="835"/>
      <c r="N959" s="835"/>
      <c r="O959" s="836"/>
    </row>
    <row r="960" spans="10:15" ht="15.75" customHeight="1" x14ac:dyDescent="0.25">
      <c r="J960" s="95"/>
      <c r="K960" s="95"/>
      <c r="L960" s="80"/>
      <c r="M960" s="835"/>
      <c r="N960" s="835"/>
      <c r="O960" s="836"/>
    </row>
    <row r="961" spans="10:15" ht="15.75" customHeight="1" x14ac:dyDescent="0.25">
      <c r="J961" s="95"/>
      <c r="K961" s="95"/>
      <c r="L961" s="80"/>
      <c r="M961" s="835"/>
      <c r="N961" s="835"/>
      <c r="O961" s="836"/>
    </row>
    <row r="962" spans="10:15" ht="15.75" customHeight="1" x14ac:dyDescent="0.25">
      <c r="J962" s="95"/>
      <c r="K962" s="95"/>
      <c r="L962" s="80"/>
      <c r="M962" s="835"/>
      <c r="N962" s="835"/>
      <c r="O962" s="836"/>
    </row>
    <row r="963" spans="10:15" ht="15.75" customHeight="1" x14ac:dyDescent="0.25">
      <c r="J963" s="95"/>
      <c r="K963" s="95"/>
      <c r="L963" s="80"/>
      <c r="M963" s="835"/>
      <c r="N963" s="835"/>
      <c r="O963" s="836"/>
    </row>
    <row r="964" spans="10:15" ht="15.75" customHeight="1" x14ac:dyDescent="0.25">
      <c r="J964" s="95"/>
      <c r="K964" s="95"/>
      <c r="L964" s="80"/>
      <c r="M964" s="835"/>
      <c r="N964" s="835"/>
      <c r="O964" s="836"/>
    </row>
    <row r="965" spans="10:15" ht="15.75" customHeight="1" x14ac:dyDescent="0.25">
      <c r="J965" s="95"/>
      <c r="K965" s="95"/>
      <c r="L965" s="80"/>
      <c r="M965" s="835"/>
      <c r="N965" s="835"/>
      <c r="O965" s="836"/>
    </row>
    <row r="966" spans="10:15" ht="15.75" customHeight="1" x14ac:dyDescent="0.25">
      <c r="J966" s="95"/>
      <c r="K966" s="95"/>
      <c r="L966" s="80"/>
      <c r="M966" s="835"/>
      <c r="N966" s="835"/>
      <c r="O966" s="836"/>
    </row>
    <row r="967" spans="10:15" ht="15.75" customHeight="1" x14ac:dyDescent="0.25">
      <c r="J967" s="95"/>
      <c r="K967" s="95"/>
      <c r="L967" s="80"/>
      <c r="M967" s="835"/>
      <c r="N967" s="835"/>
      <c r="O967" s="836"/>
    </row>
    <row r="968" spans="10:15" ht="15.75" customHeight="1" x14ac:dyDescent="0.25">
      <c r="J968" s="95"/>
      <c r="K968" s="95"/>
      <c r="L968" s="80"/>
      <c r="M968" s="835"/>
      <c r="N968" s="835"/>
      <c r="O968" s="836"/>
    </row>
    <row r="969" spans="10:15" ht="15.75" customHeight="1" x14ac:dyDescent="0.25">
      <c r="J969" s="95"/>
      <c r="K969" s="95"/>
      <c r="L969" s="80"/>
      <c r="M969" s="835"/>
      <c r="N969" s="835"/>
      <c r="O969" s="836"/>
    </row>
    <row r="970" spans="10:15" ht="15.75" customHeight="1" x14ac:dyDescent="0.25">
      <c r="J970" s="95"/>
      <c r="K970" s="95"/>
      <c r="L970" s="80"/>
      <c r="M970" s="835"/>
      <c r="N970" s="835"/>
      <c r="O970" s="836"/>
    </row>
    <row r="971" spans="10:15" ht="15.75" customHeight="1" x14ac:dyDescent="0.25">
      <c r="J971" s="95"/>
      <c r="K971" s="95"/>
      <c r="L971" s="80"/>
      <c r="M971" s="835"/>
      <c r="N971" s="835"/>
      <c r="O971" s="836"/>
    </row>
    <row r="972" spans="10:15" ht="15.75" customHeight="1" x14ac:dyDescent="0.25">
      <c r="J972" s="95"/>
      <c r="K972" s="95"/>
      <c r="L972" s="80"/>
      <c r="M972" s="835"/>
      <c r="N972" s="835"/>
      <c r="O972" s="836"/>
    </row>
    <row r="973" spans="10:15" ht="15.75" customHeight="1" x14ac:dyDescent="0.25">
      <c r="J973" s="95"/>
      <c r="K973" s="95"/>
      <c r="L973" s="80"/>
      <c r="M973" s="835"/>
      <c r="N973" s="835"/>
      <c r="O973" s="836"/>
    </row>
    <row r="974" spans="10:15" ht="15.75" customHeight="1" x14ac:dyDescent="0.25">
      <c r="J974" s="95"/>
      <c r="K974" s="95"/>
      <c r="L974" s="80"/>
      <c r="M974" s="835"/>
      <c r="N974" s="835"/>
      <c r="O974" s="836"/>
    </row>
    <row r="975" spans="10:15" ht="15.75" customHeight="1" x14ac:dyDescent="0.25">
      <c r="J975" s="95"/>
      <c r="K975" s="95"/>
      <c r="L975" s="80"/>
      <c r="M975" s="835"/>
      <c r="N975" s="835"/>
      <c r="O975" s="836"/>
    </row>
    <row r="976" spans="10:15" ht="15.75" customHeight="1" x14ac:dyDescent="0.25">
      <c r="J976" s="95"/>
      <c r="K976" s="95"/>
      <c r="L976" s="80"/>
      <c r="M976" s="835"/>
      <c r="N976" s="835"/>
      <c r="O976" s="836"/>
    </row>
    <row r="977" spans="10:15" ht="15.75" customHeight="1" x14ac:dyDescent="0.25">
      <c r="J977" s="95"/>
      <c r="K977" s="95"/>
      <c r="L977" s="80"/>
      <c r="M977" s="835"/>
      <c r="N977" s="835"/>
      <c r="O977" s="836"/>
    </row>
    <row r="978" spans="10:15" ht="15.75" customHeight="1" x14ac:dyDescent="0.25">
      <c r="J978" s="95"/>
      <c r="K978" s="95"/>
      <c r="L978" s="80"/>
      <c r="M978" s="835"/>
      <c r="N978" s="835"/>
      <c r="O978" s="836"/>
    </row>
    <row r="979" spans="10:15" ht="15.75" customHeight="1" x14ac:dyDescent="0.25">
      <c r="J979" s="95"/>
      <c r="K979" s="95"/>
      <c r="L979" s="80"/>
      <c r="M979" s="835"/>
      <c r="N979" s="835"/>
      <c r="O979" s="836"/>
    </row>
    <row r="980" spans="10:15" ht="15.75" customHeight="1" x14ac:dyDescent="0.25">
      <c r="J980" s="95"/>
      <c r="K980" s="95"/>
      <c r="L980" s="80"/>
      <c r="M980" s="835"/>
      <c r="N980" s="835"/>
      <c r="O980" s="836"/>
    </row>
    <row r="981" spans="10:15" ht="15.75" customHeight="1" x14ac:dyDescent="0.25">
      <c r="J981" s="95"/>
      <c r="K981" s="95"/>
      <c r="L981" s="80"/>
      <c r="M981" s="835"/>
      <c r="N981" s="835"/>
      <c r="O981" s="836"/>
    </row>
    <row r="982" spans="10:15" ht="15.75" customHeight="1" x14ac:dyDescent="0.25">
      <c r="J982" s="95"/>
      <c r="K982" s="95"/>
      <c r="L982" s="80"/>
      <c r="M982" s="835"/>
      <c r="N982" s="835"/>
      <c r="O982" s="836"/>
    </row>
    <row r="983" spans="10:15" ht="15.75" customHeight="1" x14ac:dyDescent="0.25">
      <c r="J983" s="95"/>
      <c r="K983" s="95"/>
      <c r="L983" s="80"/>
      <c r="M983" s="835"/>
      <c r="N983" s="835"/>
      <c r="O983" s="836"/>
    </row>
    <row r="984" spans="10:15" ht="15.75" customHeight="1" x14ac:dyDescent="0.25">
      <c r="J984" s="95"/>
      <c r="K984" s="95"/>
      <c r="L984" s="80"/>
      <c r="M984" s="835"/>
      <c r="N984" s="835"/>
      <c r="O984" s="836"/>
    </row>
    <row r="985" spans="10:15" ht="15.75" customHeight="1" x14ac:dyDescent="0.25">
      <c r="J985" s="95"/>
      <c r="K985" s="95"/>
      <c r="L985" s="80"/>
      <c r="M985" s="835"/>
      <c r="N985" s="835"/>
      <c r="O985" s="836"/>
    </row>
    <row r="986" spans="10:15" ht="15.75" customHeight="1" x14ac:dyDescent="0.25">
      <c r="J986" s="95"/>
      <c r="K986" s="95"/>
      <c r="L986" s="80"/>
      <c r="M986" s="835"/>
      <c r="N986" s="835"/>
      <c r="O986" s="836"/>
    </row>
    <row r="987" spans="10:15" ht="15.75" customHeight="1" x14ac:dyDescent="0.25">
      <c r="J987" s="95"/>
      <c r="K987" s="95"/>
      <c r="L987" s="80"/>
      <c r="M987" s="835"/>
      <c r="N987" s="835"/>
      <c r="O987" s="836"/>
    </row>
    <row r="988" spans="10:15" ht="15.75" customHeight="1" x14ac:dyDescent="0.25">
      <c r="J988" s="95"/>
      <c r="K988" s="95"/>
      <c r="L988" s="80"/>
      <c r="M988" s="835"/>
      <c r="N988" s="835"/>
      <c r="O988" s="836"/>
    </row>
    <row r="989" spans="10:15" ht="15.75" customHeight="1" x14ac:dyDescent="0.25">
      <c r="J989" s="95"/>
      <c r="K989" s="95"/>
      <c r="L989" s="80"/>
      <c r="M989" s="835"/>
      <c r="N989" s="835"/>
      <c r="O989" s="836"/>
    </row>
    <row r="990" spans="10:15" ht="15.75" customHeight="1" x14ac:dyDescent="0.25">
      <c r="J990" s="95"/>
      <c r="K990" s="95"/>
      <c r="L990" s="80"/>
      <c r="M990" s="835"/>
      <c r="N990" s="835"/>
      <c r="O990" s="836"/>
    </row>
    <row r="991" spans="10:15" ht="15.75" customHeight="1" x14ac:dyDescent="0.25">
      <c r="J991" s="95"/>
      <c r="K991" s="95"/>
      <c r="L991" s="80"/>
      <c r="M991" s="835"/>
      <c r="N991" s="835"/>
      <c r="O991" s="836"/>
    </row>
    <row r="992" spans="10:15" ht="15.75" customHeight="1" x14ac:dyDescent="0.25">
      <c r="J992" s="95"/>
      <c r="K992" s="95"/>
      <c r="L992" s="80"/>
      <c r="M992" s="835"/>
      <c r="N992" s="835"/>
      <c r="O992" s="836"/>
    </row>
    <row r="993" spans="10:15" ht="15.75" customHeight="1" x14ac:dyDescent="0.25">
      <c r="J993" s="95"/>
      <c r="K993" s="95"/>
      <c r="L993" s="80"/>
      <c r="M993" s="835"/>
      <c r="N993" s="835"/>
      <c r="O993" s="836"/>
    </row>
    <row r="994" spans="10:15" ht="15.75" customHeight="1" x14ac:dyDescent="0.25">
      <c r="J994" s="95"/>
      <c r="K994" s="95"/>
      <c r="L994" s="80"/>
      <c r="M994" s="835"/>
      <c r="N994" s="835"/>
      <c r="O994" s="836"/>
    </row>
    <row r="995" spans="10:15" ht="15.75" customHeight="1" x14ac:dyDescent="0.25">
      <c r="J995" s="95"/>
      <c r="K995" s="95"/>
      <c r="L995" s="80"/>
      <c r="M995" s="835"/>
      <c r="N995" s="835"/>
      <c r="O995" s="836"/>
    </row>
    <row r="996" spans="10:15" ht="15.75" customHeight="1" x14ac:dyDescent="0.25">
      <c r="J996" s="95"/>
      <c r="K996" s="95"/>
      <c r="L996" s="80"/>
      <c r="M996" s="835"/>
      <c r="N996" s="835"/>
      <c r="O996" s="836"/>
    </row>
    <row r="997" spans="10:15" ht="15.75" customHeight="1" x14ac:dyDescent="0.25">
      <c r="J997" s="95"/>
      <c r="K997" s="95"/>
      <c r="L997" s="80"/>
      <c r="M997" s="835"/>
      <c r="N997" s="835"/>
      <c r="O997" s="836"/>
    </row>
    <row r="998" spans="10:15" ht="15.75" customHeight="1" x14ac:dyDescent="0.25">
      <c r="J998" s="95"/>
      <c r="K998" s="95"/>
      <c r="L998" s="80"/>
      <c r="M998" s="835"/>
      <c r="N998" s="835"/>
      <c r="O998" s="836"/>
    </row>
    <row r="999" spans="10:15" ht="15.75" customHeight="1" x14ac:dyDescent="0.25">
      <c r="J999" s="95"/>
      <c r="K999" s="95"/>
      <c r="L999" s="80"/>
      <c r="M999" s="835"/>
      <c r="N999" s="835"/>
      <c r="O999" s="836"/>
    </row>
    <row r="1000" spans="10:15" ht="15.75" customHeight="1" x14ac:dyDescent="0.25">
      <c r="J1000" s="95"/>
      <c r="K1000" s="95"/>
      <c r="L1000" s="80"/>
      <c r="M1000" s="835"/>
      <c r="N1000" s="835"/>
      <c r="O1000" s="836"/>
    </row>
    <row r="1001" spans="10:15" ht="15.75" customHeight="1" x14ac:dyDescent="0.25">
      <c r="J1001" s="95"/>
      <c r="K1001" s="95"/>
      <c r="L1001" s="80"/>
      <c r="M1001" s="835"/>
      <c r="N1001" s="835"/>
      <c r="O1001" s="836"/>
    </row>
    <row r="1002" spans="10:15" ht="15.75" customHeight="1" x14ac:dyDescent="0.25">
      <c r="J1002" s="95"/>
      <c r="K1002" s="95"/>
      <c r="L1002" s="80"/>
      <c r="M1002" s="835"/>
      <c r="N1002" s="835"/>
      <c r="O1002" s="836"/>
    </row>
    <row r="1003" spans="10:15" ht="15.75" customHeight="1" x14ac:dyDescent="0.25">
      <c r="J1003" s="95"/>
      <c r="K1003" s="95"/>
      <c r="L1003" s="80"/>
      <c r="M1003" s="835"/>
      <c r="N1003" s="835"/>
      <c r="O1003" s="836"/>
    </row>
    <row r="1004" spans="10:15" ht="15.75" customHeight="1" x14ac:dyDescent="0.25">
      <c r="J1004" s="95"/>
      <c r="K1004" s="95"/>
      <c r="L1004" s="80"/>
      <c r="M1004" s="835"/>
      <c r="N1004" s="835"/>
      <c r="O1004" s="836"/>
    </row>
    <row r="1005" spans="10:15" ht="15.75" customHeight="1" x14ac:dyDescent="0.25">
      <c r="J1005" s="95"/>
      <c r="K1005" s="95"/>
      <c r="L1005" s="80"/>
      <c r="M1005" s="835"/>
      <c r="N1005" s="835"/>
      <c r="O1005" s="836"/>
    </row>
    <row r="1006" spans="10:15" ht="15.75" customHeight="1" x14ac:dyDescent="0.25">
      <c r="J1006" s="95"/>
      <c r="K1006" s="95"/>
      <c r="L1006" s="80"/>
      <c r="M1006" s="835"/>
      <c r="N1006" s="835"/>
      <c r="O1006" s="836"/>
    </row>
    <row r="1007" spans="10:15" ht="15.75" customHeight="1" x14ac:dyDescent="0.25">
      <c r="J1007" s="95"/>
      <c r="K1007" s="95"/>
      <c r="L1007" s="80"/>
      <c r="M1007" s="835"/>
      <c r="N1007" s="835"/>
      <c r="O1007" s="836"/>
    </row>
    <row r="1008" spans="10:15" ht="15.75" customHeight="1" x14ac:dyDescent="0.25">
      <c r="J1008" s="95"/>
      <c r="K1008" s="95"/>
      <c r="L1008" s="80"/>
      <c r="M1008" s="835"/>
      <c r="N1008" s="835"/>
      <c r="O1008" s="836"/>
    </row>
    <row r="1009" spans="10:15" ht="15.75" customHeight="1" x14ac:dyDescent="0.25">
      <c r="J1009" s="95"/>
      <c r="K1009" s="95"/>
      <c r="L1009" s="80"/>
      <c r="M1009" s="835"/>
      <c r="N1009" s="835"/>
      <c r="O1009" s="836"/>
    </row>
    <row r="1010" spans="10:15" ht="15.75" customHeight="1" x14ac:dyDescent="0.25">
      <c r="J1010" s="95"/>
      <c r="K1010" s="95"/>
      <c r="L1010" s="80"/>
      <c r="M1010" s="835"/>
      <c r="N1010" s="835"/>
      <c r="O1010" s="836"/>
    </row>
    <row r="1011" spans="10:15" ht="15.75" customHeight="1" x14ac:dyDescent="0.25">
      <c r="J1011" s="95"/>
      <c r="K1011" s="95"/>
      <c r="L1011" s="80"/>
      <c r="M1011" s="835"/>
      <c r="N1011" s="835"/>
      <c r="O1011" s="836"/>
    </row>
    <row r="1012" spans="10:15" ht="15.75" customHeight="1" x14ac:dyDescent="0.25">
      <c r="J1012" s="95"/>
      <c r="K1012" s="95"/>
      <c r="L1012" s="80"/>
      <c r="M1012" s="835"/>
      <c r="N1012" s="835"/>
      <c r="O1012" s="836"/>
    </row>
    <row r="1013" spans="10:15" ht="15.75" customHeight="1" x14ac:dyDescent="0.25">
      <c r="J1013" s="95"/>
      <c r="K1013" s="95"/>
      <c r="L1013" s="80"/>
      <c r="M1013" s="835"/>
      <c r="N1013" s="835"/>
      <c r="O1013" s="836"/>
    </row>
    <row r="1014" spans="10:15" ht="15.75" customHeight="1" x14ac:dyDescent="0.25">
      <c r="J1014" s="95"/>
      <c r="K1014" s="95"/>
      <c r="L1014" s="80"/>
      <c r="M1014" s="835"/>
      <c r="N1014" s="835"/>
      <c r="O1014" s="836"/>
    </row>
    <row r="1015" spans="10:15" ht="15.75" customHeight="1" x14ac:dyDescent="0.25">
      <c r="J1015" s="95"/>
      <c r="K1015" s="95"/>
      <c r="L1015" s="80"/>
      <c r="M1015" s="835"/>
      <c r="N1015" s="835"/>
      <c r="O1015" s="836"/>
    </row>
    <row r="1016" spans="10:15" ht="15.75" customHeight="1" x14ac:dyDescent="0.25">
      <c r="J1016" s="95"/>
      <c r="K1016" s="95"/>
      <c r="L1016" s="80"/>
      <c r="M1016" s="835"/>
      <c r="N1016" s="835"/>
      <c r="O1016" s="836"/>
    </row>
    <row r="1017" spans="10:15" ht="15.75" customHeight="1" x14ac:dyDescent="0.25">
      <c r="J1017" s="95"/>
      <c r="K1017" s="95"/>
      <c r="L1017" s="80"/>
      <c r="M1017" s="835"/>
      <c r="N1017" s="835"/>
      <c r="O1017" s="836"/>
    </row>
    <row r="1018" spans="10:15" ht="15.75" customHeight="1" x14ac:dyDescent="0.25">
      <c r="J1018" s="95"/>
      <c r="K1018" s="95"/>
      <c r="L1018" s="80"/>
      <c r="M1018" s="835"/>
      <c r="N1018" s="835"/>
      <c r="O1018" s="836"/>
    </row>
    <row r="1019" spans="10:15" ht="15.75" customHeight="1" x14ac:dyDescent="0.25">
      <c r="J1019" s="95"/>
      <c r="K1019" s="95"/>
      <c r="L1019" s="80"/>
      <c r="M1019" s="835"/>
      <c r="N1019" s="835"/>
      <c r="O1019" s="836"/>
    </row>
    <row r="1020" spans="10:15" ht="15.75" customHeight="1" x14ac:dyDescent="0.25">
      <c r="J1020" s="95"/>
      <c r="K1020" s="95"/>
      <c r="L1020" s="80"/>
      <c r="M1020" s="835"/>
      <c r="N1020" s="835"/>
      <c r="O1020" s="836"/>
    </row>
    <row r="1021" spans="10:15" ht="15.75" customHeight="1" x14ac:dyDescent="0.25">
      <c r="J1021" s="95"/>
      <c r="K1021" s="95"/>
      <c r="L1021" s="80"/>
      <c r="M1021" s="835"/>
      <c r="N1021" s="835"/>
      <c r="O1021" s="836"/>
    </row>
    <row r="1022" spans="10:15" ht="15.75" customHeight="1" x14ac:dyDescent="0.25">
      <c r="J1022" s="95"/>
      <c r="K1022" s="95"/>
      <c r="L1022" s="80"/>
      <c r="M1022" s="835"/>
      <c r="N1022" s="835"/>
      <c r="O1022" s="836"/>
    </row>
    <row r="1023" spans="10:15" ht="15.75" customHeight="1" x14ac:dyDescent="0.25">
      <c r="J1023" s="95"/>
      <c r="K1023" s="95"/>
      <c r="L1023" s="80"/>
      <c r="M1023" s="835"/>
      <c r="N1023" s="835"/>
      <c r="O1023" s="836"/>
    </row>
    <row r="1024" spans="10:15" ht="15.75" customHeight="1" x14ac:dyDescent="0.25">
      <c r="J1024" s="95"/>
      <c r="K1024" s="95"/>
      <c r="L1024" s="80"/>
      <c r="M1024" s="835"/>
      <c r="N1024" s="835"/>
      <c r="O1024" s="836"/>
    </row>
  </sheetData>
  <mergeCells count="2">
    <mergeCell ref="D3:F3"/>
    <mergeCell ref="H2:I2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4E57-22F0-4724-A902-49A7CAFB81A0}">
  <sheetPr>
    <tabColor rgb="FFF4B083"/>
  </sheetPr>
  <dimension ref="A1:Z1035"/>
  <sheetViews>
    <sheetView topLeftCell="H1" workbookViewId="0">
      <pane xSplit="2" ySplit="16" topLeftCell="J17" activePane="bottomRight" state="frozen"/>
      <selection activeCell="H1" sqref="H1"/>
      <selection pane="topRight" activeCell="J1" sqref="J1"/>
      <selection pane="bottomLeft" activeCell="H5" sqref="H5"/>
      <selection pane="bottomRight" activeCell="R19" sqref="R19"/>
    </sheetView>
  </sheetViews>
  <sheetFormatPr defaultColWidth="14.42578125" defaultRowHeight="15" customHeight="1" x14ac:dyDescent="0.25"/>
  <cols>
    <col min="1" max="2" width="10" hidden="1" customWidth="1"/>
    <col min="3" max="3" width="44" hidden="1" customWidth="1"/>
    <col min="4" max="5" width="10.5703125" hidden="1" customWidth="1"/>
    <col min="6" max="6" width="8.7109375" hidden="1" customWidth="1"/>
    <col min="7" max="7" width="3" hidden="1" customWidth="1"/>
    <col min="8" max="8" width="10" customWidth="1"/>
    <col min="9" max="9" width="42" customWidth="1"/>
    <col min="10" max="10" width="10.28515625" customWidth="1"/>
    <col min="11" max="11" width="10.7109375" customWidth="1"/>
    <col min="12" max="12" width="12" customWidth="1"/>
    <col min="13" max="13" width="11.28515625" customWidth="1"/>
    <col min="14" max="14" width="10.85546875" customWidth="1"/>
    <col min="15" max="15" width="12" customWidth="1"/>
    <col min="16" max="16" width="3" customWidth="1"/>
    <col min="17" max="17" width="8" customWidth="1"/>
    <col min="18" max="18" width="8.7109375" bestFit="1" customWidth="1"/>
    <col min="19" max="26" width="8.7109375" customWidth="1"/>
  </cols>
  <sheetData>
    <row r="1" spans="1:15" ht="18.75" x14ac:dyDescent="0.3">
      <c r="A1" s="72" t="s">
        <v>45</v>
      </c>
      <c r="B1" s="72"/>
      <c r="C1" s="89"/>
      <c r="D1" s="90"/>
      <c r="E1" s="91" t="s">
        <v>37</v>
      </c>
      <c r="F1" s="92">
        <f>F45</f>
        <v>0</v>
      </c>
      <c r="G1" s="4"/>
      <c r="H1" s="93" t="s">
        <v>64</v>
      </c>
      <c r="I1" s="4"/>
      <c r="J1" s="94" t="s">
        <v>36</v>
      </c>
      <c r="K1" s="80"/>
      <c r="L1" s="80">
        <f>+L67</f>
        <v>0</v>
      </c>
      <c r="M1" s="112" t="s">
        <v>59</v>
      </c>
      <c r="N1" s="80"/>
      <c r="O1" s="136">
        <f>+O67</f>
        <v>0</v>
      </c>
    </row>
    <row r="2" spans="1:15" ht="18.75" x14ac:dyDescent="0.3">
      <c r="A2" s="72"/>
      <c r="B2" s="72"/>
      <c r="C2" s="89"/>
      <c r="D2" s="90"/>
      <c r="E2" s="91"/>
      <c r="F2" s="92"/>
      <c r="G2" s="4"/>
      <c r="H2" s="22" t="s">
        <v>62</v>
      </c>
      <c r="I2" s="4"/>
      <c r="J2" s="94">
        <f>+J3-L1</f>
        <v>0</v>
      </c>
      <c r="K2" s="80"/>
      <c r="L2" s="22" t="s">
        <v>62</v>
      </c>
      <c r="M2" s="1"/>
      <c r="N2" s="1"/>
      <c r="O2" s="153">
        <f>+O3-O67</f>
        <v>0</v>
      </c>
    </row>
    <row r="3" spans="1:15" ht="18.75" x14ac:dyDescent="0.3">
      <c r="A3" s="72"/>
      <c r="B3" s="72"/>
      <c r="C3" s="89"/>
      <c r="D3" s="90"/>
      <c r="E3" s="91"/>
      <c r="F3" s="92"/>
      <c r="G3" s="4"/>
      <c r="H3" s="151" t="s">
        <v>48</v>
      </c>
      <c r="I3" s="36"/>
      <c r="J3" s="97">
        <f>SUM(J5:J10)</f>
        <v>0</v>
      </c>
      <c r="K3" s="36"/>
      <c r="L3" s="152" t="s">
        <v>48</v>
      </c>
      <c r="M3" s="36"/>
      <c r="N3" s="36"/>
      <c r="O3" s="124">
        <f>SUM(O5:O10)</f>
        <v>0</v>
      </c>
    </row>
    <row r="4" spans="1:15" ht="18.75" x14ac:dyDescent="0.3">
      <c r="A4" s="72"/>
      <c r="B4" s="72"/>
      <c r="C4" s="89"/>
      <c r="D4" s="90"/>
      <c r="E4" s="91"/>
      <c r="F4" s="92"/>
      <c r="G4" s="4"/>
      <c r="H4" s="36"/>
      <c r="I4" s="36"/>
      <c r="J4" s="97"/>
      <c r="K4" s="36"/>
      <c r="L4" s="36"/>
      <c r="M4" s="36"/>
      <c r="N4" s="36"/>
      <c r="O4" s="97"/>
    </row>
    <row r="5" spans="1:15" ht="18.75" x14ac:dyDescent="0.3">
      <c r="A5" s="72"/>
      <c r="B5" s="72"/>
      <c r="C5" s="89"/>
      <c r="D5" s="90"/>
      <c r="E5" s="91"/>
      <c r="F5" s="92"/>
      <c r="G5" s="4"/>
      <c r="H5" s="36">
        <v>100</v>
      </c>
      <c r="I5" s="36">
        <v>0</v>
      </c>
      <c r="J5" s="97">
        <f t="shared" ref="J5:J10" si="0">+H5*I5</f>
        <v>0</v>
      </c>
      <c r="K5" s="36"/>
      <c r="L5" s="36">
        <v>1000</v>
      </c>
      <c r="M5" s="36"/>
      <c r="N5" s="36">
        <v>0</v>
      </c>
      <c r="O5" s="124">
        <f t="shared" ref="O5:O10" si="1">+L5*N5</f>
        <v>0</v>
      </c>
    </row>
    <row r="6" spans="1:15" ht="18.75" x14ac:dyDescent="0.3">
      <c r="A6" s="72"/>
      <c r="B6" s="72"/>
      <c r="C6" s="89"/>
      <c r="D6" s="90"/>
      <c r="E6" s="91"/>
      <c r="F6" s="92"/>
      <c r="G6" s="4"/>
      <c r="H6" s="36">
        <v>50</v>
      </c>
      <c r="I6" s="36">
        <v>0</v>
      </c>
      <c r="J6" s="97">
        <f t="shared" si="0"/>
        <v>0</v>
      </c>
      <c r="K6" s="36"/>
      <c r="L6" s="36">
        <v>500</v>
      </c>
      <c r="M6" s="36"/>
      <c r="N6" s="36">
        <v>0</v>
      </c>
      <c r="O6" s="124">
        <f t="shared" si="1"/>
        <v>0</v>
      </c>
    </row>
    <row r="7" spans="1:15" ht="18.75" x14ac:dyDescent="0.3">
      <c r="A7" s="72"/>
      <c r="B7" s="72"/>
      <c r="C7" s="89"/>
      <c r="D7" s="90"/>
      <c r="E7" s="91"/>
      <c r="F7" s="92"/>
      <c r="G7" s="4"/>
      <c r="H7" s="36">
        <v>20</v>
      </c>
      <c r="I7" s="36">
        <v>0</v>
      </c>
      <c r="J7" s="97">
        <f t="shared" si="0"/>
        <v>0</v>
      </c>
      <c r="K7" s="36"/>
      <c r="L7" s="36">
        <v>200</v>
      </c>
      <c r="M7" s="36"/>
      <c r="N7" s="36">
        <v>0</v>
      </c>
      <c r="O7" s="124">
        <f t="shared" si="1"/>
        <v>0</v>
      </c>
    </row>
    <row r="8" spans="1:15" ht="18.75" x14ac:dyDescent="0.3">
      <c r="A8" s="72"/>
      <c r="B8" s="72"/>
      <c r="C8" s="89"/>
      <c r="D8" s="90"/>
      <c r="E8" s="91"/>
      <c r="F8" s="92"/>
      <c r="G8" s="4"/>
      <c r="H8" s="36">
        <v>10</v>
      </c>
      <c r="I8" s="36">
        <v>0</v>
      </c>
      <c r="J8" s="97">
        <f t="shared" si="0"/>
        <v>0</v>
      </c>
      <c r="K8" s="36"/>
      <c r="L8" s="36">
        <v>100</v>
      </c>
      <c r="M8" s="36"/>
      <c r="N8" s="36">
        <v>0</v>
      </c>
      <c r="O8" s="124">
        <f t="shared" si="1"/>
        <v>0</v>
      </c>
    </row>
    <row r="9" spans="1:15" ht="18.75" x14ac:dyDescent="0.3">
      <c r="A9" s="72"/>
      <c r="B9" s="72"/>
      <c r="C9" s="89"/>
      <c r="D9" s="90"/>
      <c r="E9" s="91"/>
      <c r="F9" s="92"/>
      <c r="G9" s="4"/>
      <c r="H9" s="36">
        <v>5</v>
      </c>
      <c r="I9" s="36"/>
      <c r="J9" s="97">
        <f t="shared" si="0"/>
        <v>0</v>
      </c>
      <c r="K9" s="36"/>
      <c r="L9" s="36">
        <v>50</v>
      </c>
      <c r="M9" s="36"/>
      <c r="N9" s="36">
        <v>0</v>
      </c>
      <c r="O9" s="124">
        <f t="shared" si="1"/>
        <v>0</v>
      </c>
    </row>
    <row r="10" spans="1:15" ht="18.75" x14ac:dyDescent="0.3">
      <c r="A10" s="72"/>
      <c r="B10" s="72"/>
      <c r="C10" s="89"/>
      <c r="D10" s="90"/>
      <c r="E10" s="91"/>
      <c r="F10" s="92"/>
      <c r="G10" s="4"/>
      <c r="H10" s="44">
        <v>2</v>
      </c>
      <c r="I10" s="44">
        <v>0</v>
      </c>
      <c r="J10" s="97">
        <f t="shared" si="0"/>
        <v>0</v>
      </c>
      <c r="K10" s="44"/>
      <c r="L10" s="44">
        <v>2</v>
      </c>
      <c r="M10" s="44"/>
      <c r="N10" s="44">
        <v>0</v>
      </c>
      <c r="O10" s="124">
        <f t="shared" si="1"/>
        <v>0</v>
      </c>
    </row>
    <row r="11" spans="1:15" ht="18.75" x14ac:dyDescent="0.3">
      <c r="A11" s="72"/>
      <c r="B11" s="72"/>
      <c r="C11" s="89"/>
      <c r="D11" s="90"/>
      <c r="E11" s="91"/>
      <c r="F11" s="92"/>
      <c r="G11" s="4"/>
      <c r="H11" s="42">
        <v>1</v>
      </c>
      <c r="I11" s="42"/>
      <c r="J11" s="97"/>
      <c r="K11" s="42"/>
      <c r="L11" s="42">
        <v>1</v>
      </c>
      <c r="M11" s="42"/>
      <c r="N11" s="42"/>
      <c r="O11" s="97"/>
    </row>
    <row r="12" spans="1:15" ht="18.75" x14ac:dyDescent="0.3">
      <c r="A12" s="72"/>
      <c r="B12" s="72"/>
      <c r="C12" s="89"/>
      <c r="D12" s="90"/>
      <c r="E12" s="91"/>
      <c r="F12" s="92"/>
      <c r="G12" s="4"/>
      <c r="H12" s="93"/>
      <c r="I12" s="4"/>
      <c r="J12" s="94"/>
      <c r="K12" s="80"/>
    </row>
    <row r="13" spans="1:15" ht="18.75" x14ac:dyDescent="0.3">
      <c r="A13" s="72"/>
      <c r="B13" s="72"/>
      <c r="C13" s="89"/>
      <c r="D13" s="90"/>
      <c r="E13" s="91"/>
      <c r="F13" s="92"/>
      <c r="G13" s="4"/>
      <c r="H13" s="93"/>
      <c r="I13" s="4"/>
      <c r="J13" s="94"/>
      <c r="K13" s="80"/>
      <c r="O13" s="95"/>
    </row>
    <row r="14" spans="1:15" x14ac:dyDescent="0.25">
      <c r="J14" s="95"/>
      <c r="K14" s="95"/>
      <c r="L14" s="42"/>
      <c r="M14" s="42"/>
      <c r="N14" s="42"/>
      <c r="O14" s="97"/>
    </row>
    <row r="15" spans="1:15" x14ac:dyDescent="0.25">
      <c r="A15" s="5"/>
      <c r="B15" s="6"/>
      <c r="C15" s="7"/>
      <c r="D15" s="913" t="s">
        <v>0</v>
      </c>
      <c r="E15" s="914"/>
      <c r="F15" s="915"/>
      <c r="H15" s="5"/>
      <c r="I15" s="7"/>
      <c r="J15" s="147"/>
      <c r="K15" s="146" t="s">
        <v>38</v>
      </c>
      <c r="L15" s="148"/>
      <c r="M15" s="148"/>
      <c r="N15" s="148"/>
      <c r="O15" s="149"/>
    </row>
    <row r="16" spans="1:15" x14ac:dyDescent="0.25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8" t="s">
        <v>1</v>
      </c>
      <c r="I16" s="10" t="s">
        <v>3</v>
      </c>
      <c r="J16" s="83" t="s">
        <v>42</v>
      </c>
      <c r="K16" s="83" t="s">
        <v>41</v>
      </c>
      <c r="L16" s="84" t="s">
        <v>4</v>
      </c>
      <c r="M16" s="83" t="s">
        <v>42</v>
      </c>
      <c r="N16" s="83" t="s">
        <v>41</v>
      </c>
      <c r="O16" s="84" t="s">
        <v>4</v>
      </c>
    </row>
    <row r="17" spans="1:26" x14ac:dyDescent="0.25">
      <c r="A17" s="8"/>
      <c r="B17" s="9"/>
      <c r="C17" s="10"/>
      <c r="D17" s="10"/>
      <c r="E17" s="10"/>
      <c r="F17" s="11"/>
      <c r="H17" s="8"/>
      <c r="I17" s="10"/>
      <c r="J17" s="83"/>
      <c r="K17" s="83"/>
      <c r="L17" s="84"/>
      <c r="M17" s="83"/>
      <c r="N17" s="83"/>
      <c r="O17" s="84"/>
    </row>
    <row r="18" spans="1:26" x14ac:dyDescent="0.25">
      <c r="A18" s="14">
        <v>45488</v>
      </c>
      <c r="B18" s="96"/>
      <c r="C18" s="10" t="s">
        <v>47</v>
      </c>
      <c r="D18" s="67"/>
      <c r="E18" s="67"/>
      <c r="F18" s="66">
        <f>F17-D18+E18</f>
        <v>0</v>
      </c>
      <c r="H18" s="14">
        <v>45769</v>
      </c>
      <c r="I18" s="10" t="s">
        <v>47</v>
      </c>
      <c r="J18" s="83">
        <v>0</v>
      </c>
      <c r="K18" s="83"/>
      <c r="L18" s="84">
        <f>L17-K18+J18</f>
        <v>0</v>
      </c>
      <c r="M18" s="113"/>
      <c r="N18" s="113"/>
      <c r="O18" s="114">
        <f>O17-N18+M18</f>
        <v>0</v>
      </c>
    </row>
    <row r="19" spans="1:26" x14ac:dyDescent="0.25">
      <c r="A19" s="14"/>
      <c r="B19" s="150"/>
      <c r="C19" s="10"/>
      <c r="D19" s="67"/>
      <c r="E19" s="67"/>
      <c r="F19" s="66"/>
      <c r="H19" s="14">
        <v>45770</v>
      </c>
      <c r="I19" s="10" t="s">
        <v>65</v>
      </c>
      <c r="J19" s="83"/>
      <c r="K19" s="83"/>
      <c r="L19" s="84"/>
      <c r="M19" s="113"/>
      <c r="N19" s="113">
        <v>1000</v>
      </c>
      <c r="O19" s="114">
        <f>+O18+M19-N19</f>
        <v>-1000</v>
      </c>
    </row>
    <row r="20" spans="1:26" x14ac:dyDescent="0.25">
      <c r="A20" s="14"/>
      <c r="B20" s="150"/>
      <c r="C20" s="10"/>
      <c r="D20" s="67"/>
      <c r="E20" s="67"/>
      <c r="F20" s="66"/>
      <c r="H20" s="14">
        <v>45775</v>
      </c>
      <c r="I20" s="10" t="s">
        <v>66</v>
      </c>
      <c r="J20" s="83"/>
      <c r="K20" s="83"/>
      <c r="L20" s="84"/>
      <c r="M20" s="113">
        <v>1000</v>
      </c>
      <c r="N20" s="113"/>
      <c r="O20" s="114">
        <f>+O19+M20-N20</f>
        <v>0</v>
      </c>
    </row>
    <row r="21" spans="1:26" x14ac:dyDescent="0.25">
      <c r="A21" s="8"/>
      <c r="B21" s="9"/>
      <c r="C21" s="10"/>
      <c r="D21" s="67"/>
      <c r="E21" s="67"/>
      <c r="F21" s="66" t="e">
        <f>#REF!-D21+E21</f>
        <v>#REF!</v>
      </c>
      <c r="H21" s="14"/>
      <c r="I21" s="10"/>
      <c r="J21" s="83"/>
      <c r="K21" s="83"/>
      <c r="L21" s="84"/>
      <c r="M21" s="113"/>
      <c r="N21" s="113"/>
      <c r="O21" s="114"/>
    </row>
    <row r="22" spans="1:26" x14ac:dyDescent="0.25">
      <c r="A22" s="14"/>
      <c r="B22" s="96"/>
      <c r="C22" s="10"/>
      <c r="D22" s="67"/>
      <c r="E22" s="67"/>
      <c r="F22" s="66" t="e">
        <f>F21-D22+E22</f>
        <v>#REF!</v>
      </c>
      <c r="H22" s="14"/>
      <c r="I22" s="10"/>
      <c r="J22" s="83"/>
      <c r="K22" s="83"/>
      <c r="L22" s="84"/>
      <c r="M22" s="113"/>
      <c r="N22" s="113"/>
      <c r="O22" s="114">
        <f t="shared" ref="O22:O32" si="2">O21-N22+M22</f>
        <v>0</v>
      </c>
    </row>
    <row r="23" spans="1:26" x14ac:dyDescent="0.25">
      <c r="A23" s="14"/>
      <c r="B23" s="96"/>
      <c r="C23" s="10"/>
      <c r="D23" s="67"/>
      <c r="E23" s="67"/>
      <c r="F23" s="66" t="e">
        <f>#REF!-D23+E23</f>
        <v>#REF!</v>
      </c>
      <c r="H23" s="8"/>
      <c r="I23" s="10"/>
      <c r="J23" s="83"/>
      <c r="K23" s="83"/>
      <c r="L23" s="84"/>
      <c r="M23" s="113"/>
      <c r="N23" s="113"/>
      <c r="O23" s="114">
        <f t="shared" si="2"/>
        <v>0</v>
      </c>
    </row>
    <row r="24" spans="1:26" x14ac:dyDescent="0.25">
      <c r="A24" s="14">
        <v>45604</v>
      </c>
      <c r="B24" s="96"/>
      <c r="C24" s="10" t="s">
        <v>49</v>
      </c>
      <c r="D24" s="19"/>
      <c r="E24" s="19">
        <f>G24*K24</f>
        <v>0</v>
      </c>
      <c r="F24" s="66" t="e">
        <f t="shared" ref="F24:F32" si="3">F23-D24+E24</f>
        <v>#REF!</v>
      </c>
      <c r="G24" s="13">
        <v>63.25</v>
      </c>
      <c r="H24" s="14"/>
      <c r="I24" s="10"/>
      <c r="J24" s="83"/>
      <c r="K24" s="83"/>
      <c r="L24" s="84"/>
      <c r="M24" s="113"/>
      <c r="N24" s="113"/>
      <c r="O24" s="114">
        <f t="shared" si="2"/>
        <v>0</v>
      </c>
    </row>
    <row r="25" spans="1:26" x14ac:dyDescent="0.25">
      <c r="A25" s="14"/>
      <c r="B25" s="96"/>
      <c r="C25" s="10"/>
      <c r="D25" s="19"/>
      <c r="E25" s="67"/>
      <c r="F25" s="66" t="e">
        <f t="shared" si="3"/>
        <v>#REF!</v>
      </c>
      <c r="H25" s="14"/>
      <c r="I25" s="10"/>
      <c r="J25" s="83"/>
      <c r="K25" s="83"/>
      <c r="L25" s="84"/>
      <c r="M25" s="113"/>
      <c r="N25" s="113"/>
      <c r="O25" s="114">
        <f t="shared" si="2"/>
        <v>0</v>
      </c>
    </row>
    <row r="26" spans="1:26" x14ac:dyDescent="0.25">
      <c r="A26" s="14"/>
      <c r="B26" s="96"/>
      <c r="C26" s="98"/>
      <c r="D26" s="19"/>
      <c r="E26" s="67"/>
      <c r="F26" s="66" t="e">
        <f t="shared" si="3"/>
        <v>#REF!</v>
      </c>
      <c r="H26" s="14"/>
      <c r="I26" s="10"/>
      <c r="J26" s="83"/>
      <c r="K26" s="83"/>
      <c r="L26" s="84"/>
      <c r="M26" s="113"/>
      <c r="N26" s="113"/>
      <c r="O26" s="114">
        <f t="shared" si="2"/>
        <v>0</v>
      </c>
    </row>
    <row r="27" spans="1:26" x14ac:dyDescent="0.25">
      <c r="A27" s="14"/>
      <c r="B27" s="96"/>
      <c r="C27" s="98"/>
      <c r="D27" s="19"/>
      <c r="E27" s="19"/>
      <c r="F27" s="66" t="e">
        <f t="shared" si="3"/>
        <v>#REF!</v>
      </c>
      <c r="H27" s="14"/>
      <c r="I27" s="10"/>
      <c r="J27" s="83"/>
      <c r="K27" s="83"/>
      <c r="L27" s="84"/>
      <c r="M27" s="113"/>
      <c r="N27" s="113"/>
      <c r="O27" s="114">
        <f t="shared" si="2"/>
        <v>0</v>
      </c>
    </row>
    <row r="28" spans="1:26" x14ac:dyDescent="0.25">
      <c r="A28" s="14"/>
      <c r="B28" s="96"/>
      <c r="C28" s="98"/>
      <c r="D28" s="19"/>
      <c r="E28" s="67"/>
      <c r="F28" s="66" t="e">
        <f t="shared" si="3"/>
        <v>#REF!</v>
      </c>
      <c r="H28" s="14"/>
      <c r="I28" s="10"/>
      <c r="J28" s="83"/>
      <c r="K28" s="83"/>
      <c r="L28" s="84"/>
      <c r="M28" s="113"/>
      <c r="N28" s="113"/>
      <c r="O28" s="114">
        <f t="shared" si="2"/>
        <v>0</v>
      </c>
    </row>
    <row r="29" spans="1:26" x14ac:dyDescent="0.25">
      <c r="A29" s="14"/>
      <c r="B29" s="96"/>
      <c r="C29" s="98"/>
      <c r="D29" s="19"/>
      <c r="E29" s="67"/>
      <c r="F29" s="99" t="e">
        <f t="shared" si="3"/>
        <v>#REF!</v>
      </c>
      <c r="H29" s="14"/>
      <c r="I29" s="10"/>
      <c r="J29" s="83"/>
      <c r="K29" s="83"/>
      <c r="L29" s="84"/>
      <c r="M29" s="113"/>
      <c r="N29" s="113"/>
      <c r="O29" s="114">
        <f t="shared" si="2"/>
        <v>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x14ac:dyDescent="0.25">
      <c r="A30" s="14"/>
      <c r="B30" s="96"/>
      <c r="C30" s="98"/>
      <c r="D30" s="19"/>
      <c r="E30" s="67"/>
      <c r="F30" s="66" t="e">
        <f t="shared" si="3"/>
        <v>#REF!</v>
      </c>
      <c r="H30" s="14"/>
      <c r="I30" s="10"/>
      <c r="J30" s="83"/>
      <c r="K30" s="83"/>
      <c r="L30" s="84"/>
      <c r="M30" s="113"/>
      <c r="N30" s="113"/>
      <c r="O30" s="114">
        <f t="shared" si="2"/>
        <v>0</v>
      </c>
    </row>
    <row r="31" spans="1:26" x14ac:dyDescent="0.25">
      <c r="A31" s="14"/>
      <c r="B31" s="96"/>
      <c r="C31" s="98"/>
      <c r="D31" s="19"/>
      <c r="E31" s="67"/>
      <c r="F31" s="66" t="e">
        <f t="shared" si="3"/>
        <v>#REF!</v>
      </c>
      <c r="H31" s="14"/>
      <c r="I31" s="10"/>
      <c r="J31" s="83"/>
      <c r="K31" s="83"/>
      <c r="L31" s="84"/>
      <c r="M31" s="113"/>
      <c r="N31" s="113"/>
      <c r="O31" s="114">
        <f t="shared" si="2"/>
        <v>0</v>
      </c>
    </row>
    <row r="32" spans="1:26" x14ac:dyDescent="0.25">
      <c r="A32" s="14"/>
      <c r="B32" s="96"/>
      <c r="C32" s="98"/>
      <c r="D32" s="19"/>
      <c r="E32" s="67"/>
      <c r="F32" s="66" t="e">
        <f t="shared" si="3"/>
        <v>#REF!</v>
      </c>
      <c r="H32" s="14"/>
      <c r="I32" s="10"/>
      <c r="J32" s="83"/>
      <c r="K32" s="83"/>
      <c r="L32" s="84"/>
      <c r="M32" s="113"/>
      <c r="N32" s="113"/>
      <c r="O32" s="114">
        <f t="shared" si="2"/>
        <v>0</v>
      </c>
      <c r="Q32" s="75"/>
      <c r="R32" s="75"/>
    </row>
    <row r="33" spans="1:18" x14ac:dyDescent="0.25">
      <c r="A33" s="14"/>
      <c r="B33" s="96"/>
      <c r="C33" s="98"/>
      <c r="D33" s="19"/>
      <c r="E33" s="67"/>
      <c r="F33" s="66"/>
      <c r="H33" s="14"/>
      <c r="I33" s="10"/>
      <c r="J33" s="83"/>
      <c r="K33" s="83"/>
      <c r="L33" s="84"/>
      <c r="M33" s="113"/>
      <c r="N33" s="113"/>
      <c r="O33" s="114"/>
    </row>
    <row r="34" spans="1:18" x14ac:dyDescent="0.25">
      <c r="A34" s="14"/>
      <c r="B34" s="96"/>
      <c r="C34" s="10"/>
      <c r="D34" s="19"/>
      <c r="E34" s="67"/>
      <c r="F34" s="66"/>
      <c r="H34" s="14"/>
      <c r="I34" s="10"/>
      <c r="J34" s="83"/>
      <c r="K34" s="83"/>
      <c r="L34" s="84"/>
      <c r="M34" s="113"/>
      <c r="N34" s="113"/>
      <c r="O34" s="114"/>
    </row>
    <row r="35" spans="1:18" ht="15.75" customHeight="1" x14ac:dyDescent="0.25">
      <c r="A35" s="100"/>
      <c r="B35" s="101"/>
      <c r="C35" s="102"/>
      <c r="D35" s="102"/>
      <c r="E35" s="102"/>
      <c r="F35" s="103"/>
      <c r="H35" s="14"/>
      <c r="I35" s="10"/>
      <c r="J35" s="83"/>
      <c r="K35" s="83"/>
      <c r="L35" s="84"/>
      <c r="M35" s="113"/>
      <c r="N35" s="113"/>
      <c r="O35" s="114"/>
    </row>
    <row r="36" spans="1:18" ht="15.75" customHeight="1" x14ac:dyDescent="0.25">
      <c r="A36" s="62"/>
      <c r="D36" s="67"/>
      <c r="E36" s="67"/>
      <c r="F36" s="66"/>
      <c r="H36" s="14"/>
      <c r="I36" s="10"/>
      <c r="J36" s="83"/>
      <c r="K36" s="83"/>
      <c r="L36" s="84"/>
      <c r="M36" s="113"/>
      <c r="N36" s="113"/>
      <c r="O36" s="114"/>
      <c r="Q36" s="23"/>
      <c r="R36" s="23"/>
    </row>
    <row r="37" spans="1:18" ht="15.75" customHeight="1" x14ac:dyDescent="0.25">
      <c r="A37" s="14"/>
      <c r="B37" s="96"/>
      <c r="C37" s="10"/>
      <c r="D37" s="67"/>
      <c r="E37" s="67"/>
      <c r="F37" s="66"/>
      <c r="H37" s="14"/>
      <c r="I37" s="10"/>
      <c r="J37" s="83"/>
      <c r="K37" s="83"/>
      <c r="L37" s="84"/>
      <c r="M37" s="113"/>
      <c r="N37" s="113"/>
      <c r="O37" s="114"/>
    </row>
    <row r="38" spans="1:18" ht="15.75" customHeight="1" x14ac:dyDescent="0.25">
      <c r="A38" s="14"/>
      <c r="B38" s="96"/>
      <c r="C38" s="10"/>
      <c r="D38" s="67"/>
      <c r="E38" s="67"/>
      <c r="F38" s="66"/>
      <c r="H38" s="8"/>
      <c r="I38" s="10"/>
      <c r="J38" s="83"/>
      <c r="K38" s="83"/>
      <c r="L38" s="84"/>
      <c r="M38" s="113"/>
      <c r="N38" s="113"/>
      <c r="O38" s="114"/>
    </row>
    <row r="39" spans="1:18" ht="15.75" customHeight="1" x14ac:dyDescent="0.25">
      <c r="A39" s="14"/>
      <c r="B39" s="96"/>
      <c r="C39" s="10"/>
      <c r="D39" s="67"/>
      <c r="E39" s="67"/>
      <c r="F39" s="66"/>
      <c r="H39" s="14"/>
      <c r="I39" s="10"/>
      <c r="J39" s="83"/>
      <c r="K39" s="83"/>
      <c r="L39" s="84"/>
      <c r="M39" s="113"/>
      <c r="N39" s="113"/>
      <c r="O39" s="114"/>
    </row>
    <row r="40" spans="1:18" ht="15.75" customHeight="1" x14ac:dyDescent="0.25">
      <c r="A40" s="14"/>
      <c r="B40" s="96"/>
      <c r="C40" s="10"/>
      <c r="D40" s="67"/>
      <c r="E40" s="67"/>
      <c r="F40" s="66"/>
      <c r="H40" s="14"/>
      <c r="I40" s="10"/>
      <c r="J40" s="83"/>
      <c r="K40" s="83"/>
      <c r="L40" s="84"/>
      <c r="M40" s="113"/>
      <c r="N40" s="113"/>
      <c r="O40" s="114"/>
    </row>
    <row r="41" spans="1:18" ht="15.75" customHeight="1" x14ac:dyDescent="0.25">
      <c r="A41" s="14"/>
      <c r="B41" s="96"/>
      <c r="C41" s="10"/>
      <c r="D41" s="67"/>
      <c r="E41" s="67"/>
      <c r="F41" s="66"/>
      <c r="H41" s="14"/>
      <c r="I41" s="10"/>
      <c r="J41" s="83"/>
      <c r="K41" s="83"/>
      <c r="L41" s="84"/>
      <c r="M41" s="113"/>
      <c r="N41" s="113"/>
      <c r="O41" s="114"/>
    </row>
    <row r="42" spans="1:18" ht="15.75" customHeight="1" x14ac:dyDescent="0.25">
      <c r="A42" s="14"/>
      <c r="B42" s="96"/>
      <c r="C42" s="10"/>
      <c r="D42" s="67"/>
      <c r="E42" s="67"/>
      <c r="F42" s="66"/>
      <c r="H42" s="8"/>
      <c r="I42" s="10"/>
      <c r="J42" s="83"/>
      <c r="K42" s="83"/>
      <c r="L42" s="84"/>
      <c r="M42" s="113"/>
      <c r="N42" s="113"/>
      <c r="O42" s="114"/>
    </row>
    <row r="43" spans="1:18" ht="15.75" customHeight="1" x14ac:dyDescent="0.25">
      <c r="A43" s="14"/>
      <c r="B43" s="96"/>
      <c r="C43" s="10"/>
      <c r="D43" s="67"/>
      <c r="E43" s="67"/>
      <c r="F43" s="66"/>
      <c r="H43" s="14"/>
      <c r="I43" s="10"/>
      <c r="J43" s="83"/>
      <c r="K43" s="83"/>
      <c r="L43" s="84"/>
      <c r="M43" s="113"/>
      <c r="N43" s="113"/>
      <c r="O43" s="114"/>
    </row>
    <row r="44" spans="1:18" ht="15.75" customHeight="1" x14ac:dyDescent="0.25">
      <c r="A44" s="14"/>
      <c r="B44" s="96"/>
      <c r="C44" s="10"/>
      <c r="D44" s="67"/>
      <c r="E44" s="67"/>
      <c r="F44" s="66"/>
      <c r="H44" s="86"/>
      <c r="I44" s="10"/>
      <c r="J44" s="83"/>
      <c r="K44" s="83"/>
      <c r="L44" s="84"/>
      <c r="M44" s="113"/>
      <c r="N44" s="113"/>
      <c r="O44" s="114"/>
      <c r="Q44" s="121"/>
      <c r="R44" s="121"/>
    </row>
    <row r="45" spans="1:18" ht="15.75" customHeight="1" x14ac:dyDescent="0.25">
      <c r="A45" s="8"/>
      <c r="B45" s="9"/>
      <c r="C45" s="10"/>
      <c r="D45" s="67"/>
      <c r="E45" s="67"/>
      <c r="F45" s="66"/>
      <c r="H45" s="8"/>
      <c r="I45" s="122"/>
      <c r="J45" s="143"/>
      <c r="K45" s="143"/>
      <c r="L45" s="144"/>
      <c r="M45" s="113"/>
      <c r="N45" s="113"/>
      <c r="O45" s="115"/>
      <c r="Q45" s="23"/>
      <c r="R45" s="23"/>
    </row>
    <row r="46" spans="1:18" ht="15.75" customHeight="1" x14ac:dyDescent="0.25">
      <c r="A46" s="69"/>
      <c r="B46" s="104"/>
      <c r="C46" s="16"/>
      <c r="D46" s="78"/>
      <c r="E46" s="78"/>
      <c r="F46" s="105"/>
      <c r="H46" s="138"/>
      <c r="I46" s="120"/>
      <c r="J46" s="145"/>
      <c r="K46" s="145"/>
      <c r="L46" s="144"/>
      <c r="M46" s="128"/>
      <c r="N46" s="65"/>
      <c r="O46" s="115"/>
    </row>
    <row r="47" spans="1:18" ht="15.75" customHeight="1" x14ac:dyDescent="0.25">
      <c r="A47" s="109"/>
      <c r="B47" s="110"/>
      <c r="C47" s="12"/>
      <c r="D47" s="125"/>
      <c r="E47" s="125"/>
      <c r="F47" s="126"/>
      <c r="H47" s="86"/>
      <c r="I47" s="122"/>
      <c r="J47" s="143"/>
      <c r="K47" s="143"/>
      <c r="L47" s="144"/>
      <c r="M47" s="113"/>
      <c r="N47" s="133"/>
      <c r="O47" s="115"/>
      <c r="Q47" s="23"/>
      <c r="R47" s="23"/>
    </row>
    <row r="48" spans="1:18" ht="15.75" customHeight="1" x14ac:dyDescent="0.25">
      <c r="A48" s="109"/>
      <c r="B48" s="110"/>
      <c r="C48" s="12"/>
      <c r="D48" s="125"/>
      <c r="E48" s="125"/>
      <c r="F48" s="126"/>
      <c r="H48" s="138"/>
      <c r="I48" s="122"/>
      <c r="J48" s="145"/>
      <c r="K48" s="145"/>
      <c r="L48" s="144"/>
      <c r="M48" s="130"/>
      <c r="N48" s="130"/>
      <c r="O48" s="115"/>
      <c r="Q48" s="23"/>
      <c r="R48" s="23"/>
    </row>
    <row r="49" spans="1:18" ht="15.75" customHeight="1" x14ac:dyDescent="0.25">
      <c r="A49" s="109"/>
      <c r="B49" s="110"/>
      <c r="C49" s="12"/>
      <c r="D49" s="125"/>
      <c r="E49" s="125"/>
      <c r="F49" s="126"/>
      <c r="H49" s="138"/>
      <c r="I49" s="120"/>
      <c r="J49" s="145"/>
      <c r="K49" s="145"/>
      <c r="L49" s="144"/>
      <c r="M49" s="130"/>
      <c r="N49" s="130"/>
      <c r="O49" s="115"/>
      <c r="Q49" s="23"/>
      <c r="R49" s="23"/>
    </row>
    <row r="50" spans="1:18" ht="15.75" customHeight="1" x14ac:dyDescent="0.25">
      <c r="A50" s="109"/>
      <c r="B50" s="110"/>
      <c r="C50" s="12"/>
      <c r="D50" s="125"/>
      <c r="E50" s="125"/>
      <c r="F50" s="126"/>
      <c r="H50" s="138"/>
      <c r="I50" s="120"/>
      <c r="J50" s="145"/>
      <c r="K50" s="145"/>
      <c r="L50" s="144"/>
      <c r="M50" s="130"/>
      <c r="N50" s="130"/>
      <c r="O50" s="115"/>
      <c r="Q50" s="23"/>
      <c r="R50" s="23"/>
    </row>
    <row r="51" spans="1:18" ht="15.75" customHeight="1" x14ac:dyDescent="0.25">
      <c r="A51" s="109"/>
      <c r="B51" s="110"/>
      <c r="C51" s="12"/>
      <c r="D51" s="125"/>
      <c r="E51" s="125"/>
      <c r="F51" s="126"/>
      <c r="H51" s="138"/>
      <c r="I51" s="120"/>
      <c r="J51" s="128"/>
      <c r="K51" s="128"/>
      <c r="L51" s="144"/>
      <c r="M51" s="130"/>
      <c r="N51" s="130"/>
      <c r="O51" s="115"/>
      <c r="Q51" s="23"/>
      <c r="R51" s="23"/>
    </row>
    <row r="52" spans="1:18" ht="15.75" customHeight="1" x14ac:dyDescent="0.25">
      <c r="A52" s="109"/>
      <c r="B52" s="110"/>
      <c r="C52" s="12"/>
      <c r="D52" s="125"/>
      <c r="E52" s="125"/>
      <c r="F52" s="126"/>
      <c r="H52" s="138"/>
      <c r="I52" s="120"/>
      <c r="J52" s="128"/>
      <c r="K52" s="128"/>
      <c r="L52" s="144"/>
      <c r="M52" s="130"/>
      <c r="N52" s="130"/>
      <c r="O52" s="115"/>
      <c r="Q52" s="23"/>
      <c r="R52" s="23"/>
    </row>
    <row r="53" spans="1:18" ht="15.75" customHeight="1" x14ac:dyDescent="0.25">
      <c r="A53" s="109"/>
      <c r="B53" s="110"/>
      <c r="C53" s="12"/>
      <c r="D53" s="125"/>
      <c r="E53" s="125"/>
      <c r="F53" s="126"/>
      <c r="H53" s="138"/>
      <c r="I53" s="120"/>
      <c r="J53" s="128"/>
      <c r="K53" s="128"/>
      <c r="L53" s="144"/>
      <c r="M53" s="130"/>
      <c r="N53" s="130"/>
      <c r="O53" s="115"/>
      <c r="Q53" s="23"/>
      <c r="R53" s="23"/>
    </row>
    <row r="54" spans="1:18" ht="15.75" customHeight="1" x14ac:dyDescent="0.25">
      <c r="A54" s="109"/>
      <c r="B54" s="110"/>
      <c r="C54" s="12"/>
      <c r="D54" s="125"/>
      <c r="E54" s="125"/>
      <c r="F54" s="126"/>
      <c r="H54" s="138"/>
      <c r="I54" s="120"/>
      <c r="J54" s="128"/>
      <c r="K54" s="128"/>
      <c r="L54" s="144"/>
      <c r="M54" s="130"/>
      <c r="N54" s="130"/>
      <c r="O54" s="115"/>
      <c r="Q54" s="23"/>
      <c r="R54" s="23"/>
    </row>
    <row r="55" spans="1:18" ht="15.75" customHeight="1" x14ac:dyDescent="0.25">
      <c r="A55" s="109"/>
      <c r="B55" s="110"/>
      <c r="C55" s="12"/>
      <c r="D55" s="125"/>
      <c r="E55" s="125"/>
      <c r="F55" s="126"/>
      <c r="H55" s="138"/>
      <c r="I55" s="120"/>
      <c r="J55" s="128"/>
      <c r="K55" s="128"/>
      <c r="L55" s="144"/>
      <c r="M55" s="130"/>
      <c r="N55" s="130"/>
      <c r="O55" s="115"/>
      <c r="Q55" s="23"/>
      <c r="R55" s="23"/>
    </row>
    <row r="56" spans="1:18" ht="15.75" customHeight="1" x14ac:dyDescent="0.25">
      <c r="A56" s="109"/>
      <c r="B56" s="110"/>
      <c r="C56" s="12"/>
      <c r="D56" s="125"/>
      <c r="E56" s="125"/>
      <c r="F56" s="126"/>
      <c r="H56" s="109"/>
      <c r="I56" s="127"/>
      <c r="J56" s="128"/>
      <c r="K56" s="128"/>
      <c r="L56" s="129"/>
      <c r="M56" s="130"/>
      <c r="N56" s="130"/>
      <c r="O56" s="115"/>
      <c r="Q56" s="23"/>
      <c r="R56" s="23"/>
    </row>
    <row r="57" spans="1:18" ht="15.75" customHeight="1" x14ac:dyDescent="0.25">
      <c r="A57" s="109"/>
      <c r="B57" s="110"/>
      <c r="C57" s="12"/>
      <c r="D57" s="125"/>
      <c r="E57" s="125"/>
      <c r="F57" s="126"/>
      <c r="H57" s="109"/>
      <c r="I57" s="127"/>
      <c r="J57" s="128"/>
      <c r="K57" s="128"/>
      <c r="L57" s="129"/>
      <c r="M57" s="130"/>
      <c r="N57" s="130"/>
      <c r="O57" s="115"/>
      <c r="Q57" s="23"/>
      <c r="R57" s="23"/>
    </row>
    <row r="58" spans="1:18" ht="15.75" customHeight="1" x14ac:dyDescent="0.25">
      <c r="A58" s="109"/>
      <c r="B58" s="110"/>
      <c r="C58" s="12"/>
      <c r="D58" s="125"/>
      <c r="E58" s="125"/>
      <c r="F58" s="126"/>
      <c r="H58" s="109"/>
      <c r="I58" s="127"/>
      <c r="J58" s="128"/>
      <c r="K58" s="128"/>
      <c r="L58" s="129"/>
      <c r="M58" s="130"/>
      <c r="N58" s="130"/>
      <c r="O58" s="115"/>
      <c r="Q58" s="23"/>
      <c r="R58" s="23"/>
    </row>
    <row r="59" spans="1:18" ht="15.75" customHeight="1" x14ac:dyDescent="0.25">
      <c r="A59" s="109"/>
      <c r="B59" s="110"/>
      <c r="C59" s="12"/>
      <c r="D59" s="125"/>
      <c r="E59" s="125"/>
      <c r="F59" s="126"/>
      <c r="H59" s="109"/>
      <c r="I59" s="127"/>
      <c r="J59" s="128"/>
      <c r="K59" s="128"/>
      <c r="L59" s="129"/>
      <c r="M59" s="130"/>
      <c r="N59" s="130"/>
      <c r="O59" s="115"/>
      <c r="Q59" s="23"/>
      <c r="R59" s="23"/>
    </row>
    <row r="60" spans="1:18" ht="15.75" customHeight="1" x14ac:dyDescent="0.25">
      <c r="A60" s="109"/>
      <c r="B60" s="110"/>
      <c r="C60" s="12"/>
      <c r="D60" s="125"/>
      <c r="E60" s="125"/>
      <c r="F60" s="126"/>
      <c r="H60" s="109"/>
      <c r="I60" s="127"/>
      <c r="J60" s="128"/>
      <c r="K60" s="128"/>
      <c r="L60" s="129"/>
      <c r="M60" s="130"/>
      <c r="N60" s="130"/>
      <c r="O60" s="115"/>
      <c r="Q60" s="23"/>
      <c r="R60" s="23"/>
    </row>
    <row r="61" spans="1:18" ht="15.75" customHeight="1" x14ac:dyDescent="0.25">
      <c r="A61" s="109"/>
      <c r="B61" s="110"/>
      <c r="C61" s="12"/>
      <c r="D61" s="125"/>
      <c r="E61" s="125"/>
      <c r="F61" s="126"/>
      <c r="H61" s="109"/>
      <c r="I61" s="127"/>
      <c r="J61" s="128"/>
      <c r="K61" s="128"/>
      <c r="L61" s="129"/>
      <c r="M61" s="130"/>
      <c r="N61" s="130"/>
      <c r="O61" s="115"/>
      <c r="Q61" s="23"/>
      <c r="R61" s="23"/>
    </row>
    <row r="62" spans="1:18" ht="15.75" customHeight="1" x14ac:dyDescent="0.25">
      <c r="A62" s="109"/>
      <c r="B62" s="110"/>
      <c r="C62" s="12"/>
      <c r="D62" s="125"/>
      <c r="E62" s="125"/>
      <c r="F62" s="126"/>
      <c r="H62" s="109"/>
      <c r="I62" s="127"/>
      <c r="J62" s="128"/>
      <c r="K62" s="128"/>
      <c r="L62" s="129"/>
      <c r="M62" s="130"/>
      <c r="N62" s="130"/>
      <c r="O62" s="115"/>
      <c r="Q62" s="23"/>
      <c r="R62" s="23"/>
    </row>
    <row r="63" spans="1:18" ht="15.75" customHeight="1" x14ac:dyDescent="0.25">
      <c r="A63" s="109"/>
      <c r="B63" s="110"/>
      <c r="C63" s="12"/>
      <c r="D63" s="125"/>
      <c r="E63" s="125"/>
      <c r="F63" s="126"/>
      <c r="H63" s="109"/>
      <c r="I63" s="127"/>
      <c r="J63" s="128"/>
      <c r="K63" s="128"/>
      <c r="L63" s="129"/>
      <c r="M63" s="130"/>
      <c r="N63" s="130"/>
      <c r="O63" s="115"/>
      <c r="Q63" s="23"/>
      <c r="R63" s="23"/>
    </row>
    <row r="64" spans="1:18" ht="15.75" customHeight="1" x14ac:dyDescent="0.25">
      <c r="A64" s="109"/>
      <c r="B64" s="110"/>
      <c r="C64" s="12"/>
      <c r="D64" s="125"/>
      <c r="E64" s="125"/>
      <c r="F64" s="126"/>
      <c r="H64" s="109"/>
      <c r="I64" s="127"/>
      <c r="J64" s="128"/>
      <c r="K64" s="128"/>
      <c r="L64" s="129"/>
      <c r="M64" s="130"/>
      <c r="N64" s="130"/>
      <c r="O64" s="115"/>
      <c r="Q64" s="23"/>
      <c r="R64" s="23"/>
    </row>
    <row r="65" spans="1:18" ht="15.75" customHeight="1" x14ac:dyDescent="0.25">
      <c r="A65" s="109"/>
      <c r="B65" s="110"/>
      <c r="C65" s="12"/>
      <c r="D65" s="125"/>
      <c r="E65" s="125"/>
      <c r="F65" s="126"/>
      <c r="H65" s="109"/>
      <c r="I65" s="127"/>
      <c r="J65" s="128"/>
      <c r="K65" s="128"/>
      <c r="L65" s="129"/>
      <c r="M65" s="130"/>
      <c r="N65" s="130"/>
      <c r="O65" s="115"/>
      <c r="Q65" s="23"/>
      <c r="R65" s="23"/>
    </row>
    <row r="66" spans="1:18" ht="15.75" customHeight="1" x14ac:dyDescent="0.25">
      <c r="A66" s="109"/>
      <c r="B66" s="110"/>
      <c r="C66" s="12"/>
      <c r="D66" s="125"/>
      <c r="E66" s="125"/>
      <c r="F66" s="126"/>
      <c r="H66" s="109"/>
      <c r="I66" s="127"/>
      <c r="J66" s="128"/>
      <c r="K66" s="128"/>
      <c r="L66" s="129"/>
      <c r="M66" s="130"/>
      <c r="N66" s="130"/>
      <c r="O66" s="115"/>
      <c r="Q66" s="23"/>
      <c r="R66" s="23"/>
    </row>
    <row r="67" spans="1:18" ht="15.75" customHeight="1" x14ac:dyDescent="0.25">
      <c r="H67" s="119"/>
      <c r="I67" s="118"/>
      <c r="J67" s="131">
        <f>SUM(J17:J66)</f>
        <v>0</v>
      </c>
      <c r="K67" s="131">
        <f>SUM(K17:K66)</f>
        <v>0</v>
      </c>
      <c r="L67" s="132">
        <f>+J67-K67</f>
        <v>0</v>
      </c>
      <c r="M67" s="134">
        <f>SUM(M17:M66)</f>
        <v>1000</v>
      </c>
      <c r="N67" s="134">
        <f>SUM(N17:N66)</f>
        <v>1000</v>
      </c>
      <c r="O67" s="135">
        <f>+M67-N67</f>
        <v>0</v>
      </c>
    </row>
    <row r="68" spans="1:18" ht="15.75" customHeight="1" x14ac:dyDescent="0.25">
      <c r="E68" s="20">
        <f>D29+D31</f>
        <v>0</v>
      </c>
      <c r="J68" s="95"/>
      <c r="K68" s="95"/>
      <c r="L68" s="80"/>
      <c r="M68" s="95"/>
      <c r="N68" s="95"/>
      <c r="O68" s="80"/>
    </row>
    <row r="69" spans="1:18" ht="15.75" customHeight="1" x14ac:dyDescent="0.25">
      <c r="E69" s="20">
        <f>E68/65</f>
        <v>0</v>
      </c>
      <c r="J69" s="95"/>
      <c r="K69" s="95"/>
      <c r="L69" s="80"/>
      <c r="M69" s="95"/>
      <c r="N69" s="95"/>
      <c r="O69" s="80"/>
    </row>
    <row r="70" spans="1:18" ht="15.75" customHeight="1" x14ac:dyDescent="0.25">
      <c r="J70" s="95"/>
      <c r="K70" s="95"/>
      <c r="L70" s="80"/>
      <c r="M70" s="95"/>
      <c r="N70" s="95"/>
      <c r="O70" s="80"/>
    </row>
    <row r="71" spans="1:18" ht="15.75" customHeight="1" x14ac:dyDescent="0.25">
      <c r="J71" s="95"/>
      <c r="K71" s="95"/>
      <c r="L71" s="80"/>
      <c r="M71" s="95"/>
      <c r="N71" s="95"/>
      <c r="O71" s="80"/>
    </row>
    <row r="72" spans="1:18" ht="15.75" customHeight="1" x14ac:dyDescent="0.25">
      <c r="J72" s="95"/>
      <c r="K72" s="95"/>
      <c r="L72" s="80"/>
      <c r="M72" s="95"/>
      <c r="N72" s="95"/>
      <c r="O72" s="80"/>
    </row>
    <row r="73" spans="1:18" ht="15.75" customHeight="1" x14ac:dyDescent="0.25">
      <c r="J73" s="95"/>
      <c r="K73" s="95"/>
      <c r="L73" s="80"/>
      <c r="M73" s="95"/>
      <c r="N73" s="95"/>
      <c r="O73" s="80"/>
    </row>
    <row r="74" spans="1:18" ht="15.75" customHeight="1" x14ac:dyDescent="0.25">
      <c r="J74" s="95"/>
      <c r="K74" s="95"/>
      <c r="L74" s="80"/>
      <c r="M74" s="95"/>
      <c r="N74" s="95"/>
      <c r="O74" s="80"/>
    </row>
    <row r="75" spans="1:18" ht="15.75" customHeight="1" x14ac:dyDescent="0.25">
      <c r="J75" s="95"/>
      <c r="K75" s="95"/>
      <c r="L75" s="80"/>
      <c r="M75" s="95"/>
      <c r="N75" s="95"/>
      <c r="O75" s="80"/>
    </row>
    <row r="76" spans="1:18" ht="15.75" customHeight="1" x14ac:dyDescent="0.25">
      <c r="J76" s="95"/>
      <c r="K76" s="95"/>
      <c r="L76" s="80"/>
      <c r="M76" s="95"/>
      <c r="N76" s="95"/>
      <c r="O76" s="80"/>
    </row>
    <row r="77" spans="1:18" ht="15.75" customHeight="1" x14ac:dyDescent="0.25">
      <c r="J77" s="95"/>
      <c r="K77" s="95"/>
      <c r="L77" s="80"/>
      <c r="M77" s="95"/>
      <c r="N77" s="95"/>
      <c r="O77" s="80"/>
    </row>
    <row r="78" spans="1:18" ht="15.75" customHeight="1" x14ac:dyDescent="0.25">
      <c r="J78" s="95"/>
      <c r="K78" s="95"/>
      <c r="L78" s="80"/>
      <c r="M78" s="95"/>
      <c r="N78" s="95"/>
      <c r="O78" s="80"/>
    </row>
    <row r="79" spans="1:18" ht="15.75" customHeight="1" x14ac:dyDescent="0.25">
      <c r="J79" s="95"/>
      <c r="K79" s="95"/>
      <c r="L79" s="80"/>
      <c r="M79" s="95"/>
      <c r="N79" s="95"/>
      <c r="O79" s="80"/>
    </row>
    <row r="80" spans="1:18" ht="15.75" customHeight="1" x14ac:dyDescent="0.25">
      <c r="J80" s="95"/>
      <c r="K80" s="95"/>
      <c r="L80" s="80"/>
      <c r="M80" s="95"/>
      <c r="N80" s="95"/>
      <c r="O80" s="80"/>
    </row>
    <row r="81" spans="10:15" ht="15.75" customHeight="1" x14ac:dyDescent="0.25">
      <c r="J81" s="95"/>
      <c r="K81" s="95"/>
      <c r="L81" s="80"/>
      <c r="M81" s="95"/>
      <c r="N81" s="95"/>
      <c r="O81" s="80"/>
    </row>
    <row r="82" spans="10:15" ht="15.75" customHeight="1" x14ac:dyDescent="0.25">
      <c r="J82" s="95"/>
      <c r="K82" s="95"/>
      <c r="L82" s="80"/>
      <c r="M82" s="95"/>
      <c r="N82" s="95"/>
      <c r="O82" s="80"/>
    </row>
    <row r="83" spans="10:15" ht="15.75" customHeight="1" x14ac:dyDescent="0.25">
      <c r="J83" s="95"/>
      <c r="K83" s="95"/>
      <c r="L83" s="80"/>
      <c r="M83" s="95"/>
      <c r="N83" s="95"/>
      <c r="O83" s="80"/>
    </row>
    <row r="84" spans="10:15" ht="15.75" customHeight="1" x14ac:dyDescent="0.25">
      <c r="J84" s="95"/>
      <c r="K84" s="95"/>
      <c r="L84" s="80"/>
      <c r="M84" s="95"/>
      <c r="N84" s="95"/>
      <c r="O84" s="80"/>
    </row>
    <row r="85" spans="10:15" ht="15.75" customHeight="1" x14ac:dyDescent="0.25">
      <c r="J85" s="95"/>
      <c r="K85" s="95"/>
      <c r="L85" s="80"/>
      <c r="M85" s="95"/>
      <c r="N85" s="95"/>
      <c r="O85" s="80"/>
    </row>
    <row r="86" spans="10:15" ht="15.75" customHeight="1" x14ac:dyDescent="0.25">
      <c r="J86" s="95"/>
      <c r="K86" s="95"/>
      <c r="L86" s="80"/>
      <c r="M86" s="95"/>
      <c r="N86" s="95"/>
      <c r="O86" s="80"/>
    </row>
    <row r="87" spans="10:15" ht="15.75" customHeight="1" x14ac:dyDescent="0.25">
      <c r="J87" s="95"/>
      <c r="K87" s="95"/>
      <c r="L87" s="80"/>
      <c r="M87" s="95"/>
      <c r="N87" s="95"/>
      <c r="O87" s="80"/>
    </row>
    <row r="88" spans="10:15" ht="15.75" customHeight="1" x14ac:dyDescent="0.25">
      <c r="J88" s="95"/>
      <c r="K88" s="95"/>
      <c r="L88" s="80"/>
      <c r="M88" s="95"/>
      <c r="N88" s="95"/>
      <c r="O88" s="80"/>
    </row>
    <row r="89" spans="10:15" ht="15.75" customHeight="1" x14ac:dyDescent="0.25">
      <c r="J89" s="95"/>
      <c r="K89" s="95"/>
      <c r="L89" s="80"/>
      <c r="M89" s="95"/>
      <c r="N89" s="95"/>
      <c r="O89" s="80"/>
    </row>
    <row r="90" spans="10:15" ht="15.75" customHeight="1" x14ac:dyDescent="0.25">
      <c r="J90" s="95"/>
      <c r="K90" s="95"/>
      <c r="L90" s="80"/>
      <c r="M90" s="95"/>
      <c r="N90" s="95"/>
      <c r="O90" s="80"/>
    </row>
    <row r="91" spans="10:15" ht="15.75" customHeight="1" x14ac:dyDescent="0.25">
      <c r="J91" s="95"/>
      <c r="K91" s="95"/>
      <c r="L91" s="80"/>
      <c r="M91" s="95"/>
      <c r="N91" s="95"/>
      <c r="O91" s="80"/>
    </row>
    <row r="92" spans="10:15" ht="15.75" customHeight="1" x14ac:dyDescent="0.25">
      <c r="J92" s="95"/>
      <c r="K92" s="95"/>
      <c r="L92" s="80"/>
      <c r="M92" s="95"/>
      <c r="N92" s="95"/>
      <c r="O92" s="80"/>
    </row>
    <row r="93" spans="10:15" ht="15.75" customHeight="1" x14ac:dyDescent="0.25">
      <c r="J93" s="95"/>
      <c r="K93" s="95"/>
      <c r="L93" s="80"/>
      <c r="M93" s="95"/>
      <c r="N93" s="95"/>
      <c r="O93" s="80"/>
    </row>
    <row r="94" spans="10:15" ht="15.75" customHeight="1" x14ac:dyDescent="0.25">
      <c r="J94" s="95"/>
      <c r="K94" s="95"/>
      <c r="L94" s="80"/>
      <c r="M94" s="95"/>
      <c r="N94" s="95"/>
      <c r="O94" s="80"/>
    </row>
    <row r="95" spans="10:15" ht="15.75" customHeight="1" x14ac:dyDescent="0.25">
      <c r="J95" s="95"/>
      <c r="K95" s="95"/>
      <c r="L95" s="80"/>
      <c r="M95" s="95"/>
      <c r="N95" s="95"/>
      <c r="O95" s="80"/>
    </row>
    <row r="96" spans="10:15" ht="15.75" customHeight="1" x14ac:dyDescent="0.25">
      <c r="J96" s="95"/>
      <c r="K96" s="95"/>
      <c r="L96" s="80"/>
      <c r="M96" s="95"/>
      <c r="N96" s="95"/>
      <c r="O96" s="80"/>
    </row>
    <row r="97" spans="10:15" ht="15.75" customHeight="1" x14ac:dyDescent="0.25">
      <c r="J97" s="95"/>
      <c r="K97" s="95"/>
      <c r="L97" s="80"/>
      <c r="M97" s="95"/>
      <c r="N97" s="95"/>
      <c r="O97" s="80"/>
    </row>
    <row r="98" spans="10:15" ht="15.75" customHeight="1" x14ac:dyDescent="0.25">
      <c r="J98" s="95"/>
      <c r="K98" s="95"/>
      <c r="L98" s="80"/>
      <c r="M98" s="95"/>
      <c r="N98" s="95"/>
      <c r="O98" s="80"/>
    </row>
    <row r="99" spans="10:15" ht="15.75" customHeight="1" x14ac:dyDescent="0.25">
      <c r="J99" s="95"/>
      <c r="K99" s="95"/>
      <c r="L99" s="80"/>
      <c r="M99" s="95"/>
      <c r="N99" s="95"/>
      <c r="O99" s="80"/>
    </row>
    <row r="100" spans="10:15" ht="15.75" customHeight="1" x14ac:dyDescent="0.25">
      <c r="J100" s="95"/>
      <c r="K100" s="95"/>
      <c r="L100" s="80"/>
      <c r="M100" s="95"/>
      <c r="N100" s="95"/>
      <c r="O100" s="80"/>
    </row>
    <row r="101" spans="10:15" ht="15.75" customHeight="1" x14ac:dyDescent="0.25">
      <c r="J101" s="95"/>
      <c r="K101" s="95"/>
      <c r="L101" s="80"/>
      <c r="M101" s="95"/>
      <c r="N101" s="95"/>
      <c r="O101" s="80"/>
    </row>
    <row r="102" spans="10:15" ht="15.75" customHeight="1" x14ac:dyDescent="0.25">
      <c r="J102" s="95"/>
      <c r="K102" s="95"/>
      <c r="L102" s="80"/>
      <c r="M102" s="95"/>
      <c r="N102" s="95"/>
      <c r="O102" s="80"/>
    </row>
    <row r="103" spans="10:15" ht="15.75" customHeight="1" x14ac:dyDescent="0.25">
      <c r="J103" s="95"/>
      <c r="K103" s="95"/>
      <c r="L103" s="80"/>
      <c r="M103" s="95"/>
      <c r="N103" s="95"/>
      <c r="O103" s="80"/>
    </row>
    <row r="104" spans="10:15" ht="15.75" customHeight="1" x14ac:dyDescent="0.25">
      <c r="J104" s="95"/>
      <c r="K104" s="95"/>
      <c r="L104" s="80"/>
      <c r="M104" s="95"/>
      <c r="N104" s="95"/>
      <c r="O104" s="80"/>
    </row>
    <row r="105" spans="10:15" ht="15.75" customHeight="1" x14ac:dyDescent="0.25">
      <c r="J105" s="95"/>
      <c r="K105" s="95"/>
      <c r="L105" s="80"/>
      <c r="M105" s="95"/>
      <c r="N105" s="95"/>
      <c r="O105" s="80"/>
    </row>
    <row r="106" spans="10:15" ht="15.75" customHeight="1" x14ac:dyDescent="0.25">
      <c r="J106" s="95"/>
      <c r="K106" s="95"/>
      <c r="L106" s="80"/>
      <c r="M106" s="95"/>
      <c r="N106" s="95"/>
      <c r="O106" s="80"/>
    </row>
    <row r="107" spans="10:15" ht="15.75" customHeight="1" x14ac:dyDescent="0.25">
      <c r="J107" s="95"/>
      <c r="K107" s="95"/>
      <c r="L107" s="80"/>
      <c r="M107" s="95"/>
      <c r="N107" s="95"/>
      <c r="O107" s="80"/>
    </row>
    <row r="108" spans="10:15" ht="15.75" customHeight="1" x14ac:dyDescent="0.25">
      <c r="J108" s="95"/>
      <c r="K108" s="95"/>
      <c r="L108" s="80"/>
      <c r="M108" s="95"/>
      <c r="N108" s="95"/>
      <c r="O108" s="80"/>
    </row>
    <row r="109" spans="10:15" ht="15.75" customHeight="1" x14ac:dyDescent="0.25">
      <c r="J109" s="95"/>
      <c r="K109" s="95"/>
      <c r="L109" s="80"/>
      <c r="M109" s="95"/>
      <c r="N109" s="95"/>
      <c r="O109" s="80"/>
    </row>
    <row r="110" spans="10:15" ht="15.75" customHeight="1" x14ac:dyDescent="0.25">
      <c r="J110" s="95"/>
      <c r="K110" s="95"/>
      <c r="L110" s="80"/>
      <c r="M110" s="95"/>
      <c r="N110" s="95"/>
      <c r="O110" s="80"/>
    </row>
    <row r="111" spans="10:15" ht="15.75" customHeight="1" x14ac:dyDescent="0.25">
      <c r="J111" s="95"/>
      <c r="K111" s="95"/>
      <c r="L111" s="80"/>
      <c r="M111" s="95"/>
      <c r="N111" s="95"/>
      <c r="O111" s="80"/>
    </row>
    <row r="112" spans="10:15" ht="15.75" customHeight="1" x14ac:dyDescent="0.25">
      <c r="J112" s="95"/>
      <c r="K112" s="95"/>
      <c r="L112" s="80"/>
      <c r="M112" s="95"/>
      <c r="N112" s="95"/>
      <c r="O112" s="80"/>
    </row>
    <row r="113" spans="10:15" ht="15.75" customHeight="1" x14ac:dyDescent="0.25">
      <c r="J113" s="95"/>
      <c r="K113" s="95"/>
      <c r="L113" s="80"/>
      <c r="M113" s="95"/>
      <c r="N113" s="95"/>
      <c r="O113" s="80"/>
    </row>
    <row r="114" spans="10:15" ht="15.75" customHeight="1" x14ac:dyDescent="0.25">
      <c r="J114" s="95"/>
      <c r="K114" s="95"/>
      <c r="L114" s="80"/>
      <c r="M114" s="95"/>
      <c r="N114" s="95"/>
      <c r="O114" s="80"/>
    </row>
    <row r="115" spans="10:15" ht="15.75" customHeight="1" x14ac:dyDescent="0.25">
      <c r="J115" s="95"/>
      <c r="K115" s="95"/>
      <c r="L115" s="80"/>
      <c r="M115" s="95"/>
      <c r="N115" s="95"/>
      <c r="O115" s="80"/>
    </row>
    <row r="116" spans="10:15" ht="15.75" customHeight="1" x14ac:dyDescent="0.25">
      <c r="J116" s="95"/>
      <c r="K116" s="95"/>
      <c r="L116" s="80"/>
      <c r="M116" s="95"/>
      <c r="N116" s="95"/>
      <c r="O116" s="80"/>
    </row>
    <row r="117" spans="10:15" ht="15.75" customHeight="1" x14ac:dyDescent="0.25">
      <c r="J117" s="95"/>
      <c r="K117" s="95"/>
      <c r="L117" s="80"/>
      <c r="M117" s="95"/>
      <c r="N117" s="95"/>
      <c r="O117" s="80"/>
    </row>
    <row r="118" spans="10:15" ht="15.75" customHeight="1" x14ac:dyDescent="0.25">
      <c r="J118" s="95"/>
      <c r="K118" s="95"/>
      <c r="L118" s="80"/>
      <c r="M118" s="95"/>
      <c r="N118" s="95"/>
      <c r="O118" s="80"/>
    </row>
    <row r="119" spans="10:15" ht="15.75" customHeight="1" x14ac:dyDescent="0.25">
      <c r="J119" s="95"/>
      <c r="K119" s="95"/>
      <c r="L119" s="80"/>
      <c r="M119" s="95"/>
      <c r="N119" s="95"/>
      <c r="O119" s="80"/>
    </row>
    <row r="120" spans="10:15" ht="15.75" customHeight="1" x14ac:dyDescent="0.25">
      <c r="J120" s="95"/>
      <c r="K120" s="95"/>
      <c r="L120" s="80"/>
      <c r="M120" s="95"/>
      <c r="N120" s="95"/>
      <c r="O120" s="80"/>
    </row>
    <row r="121" spans="10:15" ht="15.75" customHeight="1" x14ac:dyDescent="0.25">
      <c r="J121" s="95"/>
      <c r="K121" s="95"/>
      <c r="L121" s="80"/>
      <c r="M121" s="95"/>
      <c r="N121" s="95"/>
      <c r="O121" s="80"/>
    </row>
    <row r="122" spans="10:15" ht="15.75" customHeight="1" x14ac:dyDescent="0.25">
      <c r="J122" s="95"/>
      <c r="K122" s="95"/>
      <c r="L122" s="80"/>
      <c r="M122" s="95"/>
      <c r="N122" s="95"/>
      <c r="O122" s="80"/>
    </row>
    <row r="123" spans="10:15" ht="15.75" customHeight="1" x14ac:dyDescent="0.25">
      <c r="J123" s="95"/>
      <c r="K123" s="95"/>
      <c r="L123" s="80"/>
      <c r="M123" s="95"/>
      <c r="N123" s="95"/>
      <c r="O123" s="80"/>
    </row>
    <row r="124" spans="10:15" ht="15.75" customHeight="1" x14ac:dyDescent="0.25">
      <c r="J124" s="95"/>
      <c r="K124" s="95"/>
      <c r="L124" s="80"/>
      <c r="M124" s="95"/>
      <c r="N124" s="95"/>
      <c r="O124" s="80"/>
    </row>
    <row r="125" spans="10:15" ht="15.75" customHeight="1" x14ac:dyDescent="0.25">
      <c r="J125" s="95"/>
      <c r="K125" s="95"/>
      <c r="L125" s="80"/>
      <c r="M125" s="95"/>
      <c r="N125" s="95"/>
      <c r="O125" s="80"/>
    </row>
    <row r="126" spans="10:15" ht="15.75" customHeight="1" x14ac:dyDescent="0.25">
      <c r="J126" s="95"/>
      <c r="K126" s="95"/>
      <c r="L126" s="80"/>
      <c r="M126" s="95"/>
      <c r="N126" s="95"/>
      <c r="O126" s="80"/>
    </row>
    <row r="127" spans="10:15" ht="15.75" customHeight="1" x14ac:dyDescent="0.25">
      <c r="J127" s="95"/>
      <c r="K127" s="95"/>
      <c r="L127" s="80"/>
      <c r="M127" s="95"/>
      <c r="N127" s="95"/>
      <c r="O127" s="80"/>
    </row>
    <row r="128" spans="10:15" ht="15.75" customHeight="1" x14ac:dyDescent="0.25">
      <c r="J128" s="95"/>
      <c r="K128" s="95"/>
      <c r="L128" s="80"/>
      <c r="M128" s="95"/>
      <c r="N128" s="95"/>
      <c r="O128" s="80"/>
    </row>
    <row r="129" spans="10:15" ht="15.75" customHeight="1" x14ac:dyDescent="0.25">
      <c r="J129" s="95"/>
      <c r="K129" s="95"/>
      <c r="L129" s="80"/>
      <c r="M129" s="95"/>
      <c r="N129" s="95"/>
      <c r="O129" s="80"/>
    </row>
    <row r="130" spans="10:15" ht="15.75" customHeight="1" x14ac:dyDescent="0.25">
      <c r="J130" s="95"/>
      <c r="K130" s="95"/>
      <c r="L130" s="80"/>
      <c r="M130" s="95"/>
      <c r="N130" s="95"/>
      <c r="O130" s="80"/>
    </row>
    <row r="131" spans="10:15" ht="15.75" customHeight="1" x14ac:dyDescent="0.25">
      <c r="J131" s="95"/>
      <c r="K131" s="95"/>
      <c r="L131" s="80"/>
      <c r="M131" s="95"/>
      <c r="N131" s="95"/>
      <c r="O131" s="80"/>
    </row>
    <row r="132" spans="10:15" ht="15.75" customHeight="1" x14ac:dyDescent="0.25">
      <c r="J132" s="95"/>
      <c r="K132" s="95"/>
      <c r="L132" s="80"/>
      <c r="M132" s="95"/>
      <c r="N132" s="95"/>
      <c r="O132" s="80"/>
    </row>
    <row r="133" spans="10:15" ht="15.75" customHeight="1" x14ac:dyDescent="0.25">
      <c r="J133" s="95"/>
      <c r="K133" s="95"/>
      <c r="L133" s="80"/>
      <c r="M133" s="95"/>
      <c r="N133" s="95"/>
      <c r="O133" s="80"/>
    </row>
    <row r="134" spans="10:15" ht="15.75" customHeight="1" x14ac:dyDescent="0.25">
      <c r="J134" s="95"/>
      <c r="K134" s="95"/>
      <c r="L134" s="80"/>
      <c r="M134" s="95"/>
      <c r="N134" s="95"/>
      <c r="O134" s="80"/>
    </row>
    <row r="135" spans="10:15" ht="15.75" customHeight="1" x14ac:dyDescent="0.25">
      <c r="J135" s="95"/>
      <c r="K135" s="95"/>
      <c r="L135" s="80"/>
      <c r="M135" s="95"/>
      <c r="N135" s="95"/>
      <c r="O135" s="80"/>
    </row>
    <row r="136" spans="10:15" ht="15.75" customHeight="1" x14ac:dyDescent="0.25">
      <c r="J136" s="95"/>
      <c r="K136" s="95"/>
      <c r="L136" s="80"/>
      <c r="M136" s="95"/>
      <c r="N136" s="95"/>
      <c r="O136" s="80"/>
    </row>
    <row r="137" spans="10:15" ht="15.75" customHeight="1" x14ac:dyDescent="0.25">
      <c r="J137" s="95"/>
      <c r="K137" s="95"/>
      <c r="L137" s="80"/>
      <c r="M137" s="95"/>
      <c r="N137" s="95"/>
      <c r="O137" s="80"/>
    </row>
    <row r="138" spans="10:15" ht="15.75" customHeight="1" x14ac:dyDescent="0.25">
      <c r="J138" s="95"/>
      <c r="K138" s="95"/>
      <c r="L138" s="80"/>
      <c r="M138" s="95"/>
      <c r="N138" s="95"/>
      <c r="O138" s="80"/>
    </row>
    <row r="139" spans="10:15" ht="15.75" customHeight="1" x14ac:dyDescent="0.25">
      <c r="J139" s="95"/>
      <c r="K139" s="95"/>
      <c r="L139" s="80"/>
      <c r="M139" s="95"/>
      <c r="N139" s="95"/>
      <c r="O139" s="80"/>
    </row>
    <row r="140" spans="10:15" ht="15.75" customHeight="1" x14ac:dyDescent="0.25">
      <c r="J140" s="95"/>
      <c r="K140" s="95"/>
      <c r="L140" s="80"/>
      <c r="M140" s="95"/>
      <c r="N140" s="95"/>
      <c r="O140" s="80"/>
    </row>
    <row r="141" spans="10:15" ht="15.75" customHeight="1" x14ac:dyDescent="0.25">
      <c r="J141" s="95"/>
      <c r="K141" s="95"/>
      <c r="L141" s="80"/>
      <c r="M141" s="95"/>
      <c r="N141" s="95"/>
      <c r="O141" s="80"/>
    </row>
    <row r="142" spans="10:15" ht="15.75" customHeight="1" x14ac:dyDescent="0.25">
      <c r="J142" s="95"/>
      <c r="K142" s="95"/>
      <c r="L142" s="80"/>
      <c r="M142" s="95"/>
      <c r="N142" s="95"/>
      <c r="O142" s="80"/>
    </row>
    <row r="143" spans="10:15" ht="15.75" customHeight="1" x14ac:dyDescent="0.25">
      <c r="J143" s="95"/>
      <c r="K143" s="95"/>
      <c r="L143" s="80"/>
      <c r="M143" s="95"/>
      <c r="N143" s="95"/>
      <c r="O143" s="80"/>
    </row>
    <row r="144" spans="10:15" ht="15.75" customHeight="1" x14ac:dyDescent="0.25">
      <c r="J144" s="95"/>
      <c r="K144" s="95"/>
      <c r="L144" s="80"/>
      <c r="M144" s="95"/>
      <c r="N144" s="95"/>
      <c r="O144" s="80"/>
    </row>
    <row r="145" spans="10:15" ht="15.75" customHeight="1" x14ac:dyDescent="0.25">
      <c r="J145" s="95"/>
      <c r="K145" s="95"/>
      <c r="L145" s="80"/>
      <c r="M145" s="95"/>
      <c r="N145" s="95"/>
      <c r="O145" s="80"/>
    </row>
    <row r="146" spans="10:15" ht="15.75" customHeight="1" x14ac:dyDescent="0.25">
      <c r="J146" s="95"/>
      <c r="K146" s="95"/>
      <c r="L146" s="80"/>
      <c r="M146" s="95"/>
      <c r="N146" s="95"/>
      <c r="O146" s="80"/>
    </row>
    <row r="147" spans="10:15" ht="15.75" customHeight="1" x14ac:dyDescent="0.25">
      <c r="J147" s="95"/>
      <c r="K147" s="95"/>
      <c r="L147" s="80"/>
      <c r="M147" s="95"/>
      <c r="N147" s="95"/>
      <c r="O147" s="80"/>
    </row>
    <row r="148" spans="10:15" ht="15.75" customHeight="1" x14ac:dyDescent="0.25">
      <c r="J148" s="95"/>
      <c r="K148" s="95"/>
      <c r="L148" s="80"/>
      <c r="M148" s="95"/>
      <c r="N148" s="95"/>
      <c r="O148" s="80"/>
    </row>
    <row r="149" spans="10:15" ht="15.75" customHeight="1" x14ac:dyDescent="0.25">
      <c r="J149" s="95"/>
      <c r="K149" s="95"/>
      <c r="L149" s="80"/>
      <c r="M149" s="95"/>
      <c r="N149" s="95"/>
      <c r="O149" s="80"/>
    </row>
    <row r="150" spans="10:15" ht="15.75" customHeight="1" x14ac:dyDescent="0.25">
      <c r="J150" s="95"/>
      <c r="K150" s="95"/>
      <c r="L150" s="80"/>
      <c r="M150" s="95"/>
      <c r="N150" s="95"/>
      <c r="O150" s="80"/>
    </row>
    <row r="151" spans="10:15" ht="15.75" customHeight="1" x14ac:dyDescent="0.25">
      <c r="J151" s="95"/>
      <c r="K151" s="95"/>
      <c r="L151" s="80"/>
      <c r="M151" s="95"/>
      <c r="N151" s="95"/>
      <c r="O151" s="80"/>
    </row>
    <row r="152" spans="10:15" ht="15.75" customHeight="1" x14ac:dyDescent="0.25">
      <c r="J152" s="95"/>
      <c r="K152" s="95"/>
      <c r="L152" s="80"/>
      <c r="M152" s="95"/>
      <c r="N152" s="95"/>
      <c r="O152" s="80"/>
    </row>
    <row r="153" spans="10:15" ht="15.75" customHeight="1" x14ac:dyDescent="0.25">
      <c r="J153" s="95"/>
      <c r="K153" s="95"/>
      <c r="L153" s="80"/>
      <c r="M153" s="95"/>
      <c r="N153" s="95"/>
      <c r="O153" s="80"/>
    </row>
    <row r="154" spans="10:15" ht="15.75" customHeight="1" x14ac:dyDescent="0.25">
      <c r="J154" s="95"/>
      <c r="K154" s="95"/>
      <c r="L154" s="80"/>
      <c r="M154" s="95"/>
      <c r="N154" s="95"/>
      <c r="O154" s="80"/>
    </row>
    <row r="155" spans="10:15" ht="15.75" customHeight="1" x14ac:dyDescent="0.25">
      <c r="J155" s="95"/>
      <c r="K155" s="95"/>
      <c r="L155" s="80"/>
      <c r="M155" s="95"/>
      <c r="N155" s="95"/>
      <c r="O155" s="80"/>
    </row>
    <row r="156" spans="10:15" ht="15.75" customHeight="1" x14ac:dyDescent="0.25">
      <c r="J156" s="95"/>
      <c r="K156" s="95"/>
      <c r="L156" s="80"/>
      <c r="M156" s="95"/>
      <c r="N156" s="95"/>
      <c r="O156" s="80"/>
    </row>
    <row r="157" spans="10:15" ht="15.75" customHeight="1" x14ac:dyDescent="0.25">
      <c r="J157" s="95"/>
      <c r="K157" s="95"/>
      <c r="L157" s="80"/>
      <c r="M157" s="95"/>
      <c r="N157" s="95"/>
      <c r="O157" s="80"/>
    </row>
    <row r="158" spans="10:15" ht="15.75" customHeight="1" x14ac:dyDescent="0.25">
      <c r="J158" s="95"/>
      <c r="K158" s="95"/>
      <c r="L158" s="80"/>
      <c r="M158" s="95"/>
      <c r="N158" s="95"/>
      <c r="O158" s="80"/>
    </row>
    <row r="159" spans="10:15" ht="15.75" customHeight="1" x14ac:dyDescent="0.25">
      <c r="J159" s="95"/>
      <c r="K159" s="95"/>
      <c r="L159" s="80"/>
      <c r="M159" s="95"/>
      <c r="N159" s="95"/>
      <c r="O159" s="80"/>
    </row>
    <row r="160" spans="10:15" ht="15.75" customHeight="1" x14ac:dyDescent="0.25">
      <c r="J160" s="95"/>
      <c r="K160" s="95"/>
      <c r="L160" s="80"/>
      <c r="M160" s="95"/>
      <c r="N160" s="95"/>
      <c r="O160" s="80"/>
    </row>
    <row r="161" spans="10:15" ht="15.75" customHeight="1" x14ac:dyDescent="0.25">
      <c r="J161" s="95"/>
      <c r="K161" s="95"/>
      <c r="L161" s="80"/>
      <c r="M161" s="95"/>
      <c r="N161" s="95"/>
      <c r="O161" s="80"/>
    </row>
    <row r="162" spans="10:15" ht="15.75" customHeight="1" x14ac:dyDescent="0.25">
      <c r="J162" s="95"/>
      <c r="K162" s="95"/>
      <c r="L162" s="80"/>
      <c r="M162" s="95"/>
      <c r="N162" s="95"/>
      <c r="O162" s="80"/>
    </row>
    <row r="163" spans="10:15" ht="15.75" customHeight="1" x14ac:dyDescent="0.25">
      <c r="J163" s="95"/>
      <c r="K163" s="95"/>
      <c r="L163" s="80"/>
      <c r="M163" s="95"/>
      <c r="N163" s="95"/>
      <c r="O163" s="80"/>
    </row>
    <row r="164" spans="10:15" ht="15.75" customHeight="1" x14ac:dyDescent="0.25">
      <c r="J164" s="95"/>
      <c r="K164" s="95"/>
      <c r="L164" s="80"/>
      <c r="M164" s="95"/>
      <c r="N164" s="95"/>
      <c r="O164" s="80"/>
    </row>
    <row r="165" spans="10:15" ht="15.75" customHeight="1" x14ac:dyDescent="0.25">
      <c r="J165" s="95"/>
      <c r="K165" s="95"/>
      <c r="L165" s="80"/>
      <c r="M165" s="95"/>
      <c r="N165" s="95"/>
      <c r="O165" s="80"/>
    </row>
    <row r="166" spans="10:15" ht="15.75" customHeight="1" x14ac:dyDescent="0.25">
      <c r="J166" s="95"/>
      <c r="K166" s="95"/>
      <c r="L166" s="80"/>
      <c r="M166" s="95"/>
      <c r="N166" s="95"/>
      <c r="O166" s="80"/>
    </row>
    <row r="167" spans="10:15" ht="15.75" customHeight="1" x14ac:dyDescent="0.25">
      <c r="J167" s="95"/>
      <c r="K167" s="95"/>
      <c r="L167" s="80"/>
      <c r="M167" s="95"/>
      <c r="N167" s="95"/>
      <c r="O167" s="80"/>
    </row>
    <row r="168" spans="10:15" ht="15.75" customHeight="1" x14ac:dyDescent="0.25">
      <c r="J168" s="95"/>
      <c r="K168" s="95"/>
      <c r="L168" s="80"/>
      <c r="M168" s="95"/>
      <c r="N168" s="95"/>
      <c r="O168" s="80"/>
    </row>
    <row r="169" spans="10:15" ht="15.75" customHeight="1" x14ac:dyDescent="0.25">
      <c r="J169" s="95"/>
      <c r="K169" s="95"/>
      <c r="L169" s="80"/>
      <c r="M169" s="95"/>
      <c r="N169" s="95"/>
      <c r="O169" s="80"/>
    </row>
    <row r="170" spans="10:15" ht="15.75" customHeight="1" x14ac:dyDescent="0.25">
      <c r="J170" s="95"/>
      <c r="K170" s="95"/>
      <c r="L170" s="80"/>
      <c r="M170" s="95"/>
      <c r="N170" s="95"/>
      <c r="O170" s="80"/>
    </row>
    <row r="171" spans="10:15" ht="15.75" customHeight="1" x14ac:dyDescent="0.25">
      <c r="J171" s="95"/>
      <c r="K171" s="95"/>
      <c r="L171" s="80"/>
      <c r="M171" s="95"/>
      <c r="N171" s="95"/>
      <c r="O171" s="80"/>
    </row>
    <row r="172" spans="10:15" ht="15.75" customHeight="1" x14ac:dyDescent="0.25">
      <c r="J172" s="95"/>
      <c r="K172" s="95"/>
      <c r="L172" s="80"/>
      <c r="M172" s="95"/>
      <c r="N172" s="95"/>
      <c r="O172" s="80"/>
    </row>
    <row r="173" spans="10:15" ht="15.75" customHeight="1" x14ac:dyDescent="0.25">
      <c r="J173" s="95"/>
      <c r="K173" s="95"/>
      <c r="L173" s="80"/>
      <c r="M173" s="95"/>
      <c r="N173" s="95"/>
      <c r="O173" s="80"/>
    </row>
    <row r="174" spans="10:15" ht="15.75" customHeight="1" x14ac:dyDescent="0.25">
      <c r="J174" s="95"/>
      <c r="K174" s="95"/>
      <c r="L174" s="80"/>
      <c r="M174" s="95"/>
      <c r="N174" s="95"/>
      <c r="O174" s="80"/>
    </row>
    <row r="175" spans="10:15" ht="15.75" customHeight="1" x14ac:dyDescent="0.25">
      <c r="J175" s="95"/>
      <c r="K175" s="95"/>
      <c r="L175" s="80"/>
      <c r="M175" s="95"/>
      <c r="N175" s="95"/>
      <c r="O175" s="80"/>
    </row>
    <row r="176" spans="10:15" ht="15.75" customHeight="1" x14ac:dyDescent="0.25">
      <c r="J176" s="95"/>
      <c r="K176" s="95"/>
      <c r="L176" s="80"/>
      <c r="M176" s="95"/>
      <c r="N176" s="95"/>
      <c r="O176" s="80"/>
    </row>
    <row r="177" spans="10:15" ht="15.75" customHeight="1" x14ac:dyDescent="0.25">
      <c r="J177" s="95"/>
      <c r="K177" s="95"/>
      <c r="L177" s="80"/>
      <c r="M177" s="95"/>
      <c r="N177" s="95"/>
      <c r="O177" s="80"/>
    </row>
    <row r="178" spans="10:15" ht="15.75" customHeight="1" x14ac:dyDescent="0.25">
      <c r="J178" s="95"/>
      <c r="K178" s="95"/>
      <c r="L178" s="80"/>
      <c r="M178" s="95"/>
      <c r="N178" s="95"/>
      <c r="O178" s="80"/>
    </row>
    <row r="179" spans="10:15" ht="15.75" customHeight="1" x14ac:dyDescent="0.25">
      <c r="J179" s="95"/>
      <c r="K179" s="95"/>
      <c r="L179" s="80"/>
      <c r="M179" s="95"/>
      <c r="N179" s="95"/>
      <c r="O179" s="80"/>
    </row>
    <row r="180" spans="10:15" ht="15.75" customHeight="1" x14ac:dyDescent="0.25">
      <c r="J180" s="95"/>
      <c r="K180" s="95"/>
      <c r="L180" s="80"/>
      <c r="M180" s="95"/>
      <c r="N180" s="95"/>
      <c r="O180" s="80"/>
    </row>
    <row r="181" spans="10:15" ht="15.75" customHeight="1" x14ac:dyDescent="0.25">
      <c r="J181" s="95"/>
      <c r="K181" s="95"/>
      <c r="L181" s="80"/>
      <c r="M181" s="95"/>
      <c r="N181" s="95"/>
      <c r="O181" s="80"/>
    </row>
    <row r="182" spans="10:15" ht="15.75" customHeight="1" x14ac:dyDescent="0.25">
      <c r="J182" s="95"/>
      <c r="K182" s="95"/>
      <c r="L182" s="80"/>
      <c r="M182" s="95"/>
      <c r="N182" s="95"/>
      <c r="O182" s="80"/>
    </row>
    <row r="183" spans="10:15" ht="15.75" customHeight="1" x14ac:dyDescent="0.25">
      <c r="J183" s="95"/>
      <c r="K183" s="95"/>
      <c r="L183" s="80"/>
      <c r="M183" s="95"/>
      <c r="N183" s="95"/>
      <c r="O183" s="80"/>
    </row>
    <row r="184" spans="10:15" ht="15.75" customHeight="1" x14ac:dyDescent="0.25">
      <c r="J184" s="95"/>
      <c r="K184" s="95"/>
      <c r="L184" s="80"/>
      <c r="M184" s="95"/>
      <c r="N184" s="95"/>
      <c r="O184" s="80"/>
    </row>
    <row r="185" spans="10:15" ht="15.75" customHeight="1" x14ac:dyDescent="0.25">
      <c r="J185" s="95"/>
      <c r="K185" s="95"/>
      <c r="L185" s="80"/>
      <c r="M185" s="95"/>
      <c r="N185" s="95"/>
      <c r="O185" s="80"/>
    </row>
    <row r="186" spans="10:15" ht="15.75" customHeight="1" x14ac:dyDescent="0.25">
      <c r="J186" s="95"/>
      <c r="K186" s="95"/>
      <c r="L186" s="80"/>
      <c r="M186" s="95"/>
      <c r="N186" s="95"/>
      <c r="O186" s="80"/>
    </row>
    <row r="187" spans="10:15" ht="15.75" customHeight="1" x14ac:dyDescent="0.25">
      <c r="J187" s="95"/>
      <c r="K187" s="95"/>
      <c r="L187" s="80"/>
      <c r="M187" s="95"/>
      <c r="N187" s="95"/>
      <c r="O187" s="80"/>
    </row>
    <row r="188" spans="10:15" ht="15.75" customHeight="1" x14ac:dyDescent="0.25">
      <c r="J188" s="95"/>
      <c r="K188" s="95"/>
      <c r="L188" s="80"/>
      <c r="M188" s="95"/>
      <c r="N188" s="95"/>
      <c r="O188" s="80"/>
    </row>
    <row r="189" spans="10:15" ht="15.75" customHeight="1" x14ac:dyDescent="0.25">
      <c r="J189" s="95"/>
      <c r="K189" s="95"/>
      <c r="L189" s="80"/>
      <c r="M189" s="95"/>
      <c r="N189" s="95"/>
      <c r="O189" s="80"/>
    </row>
    <row r="190" spans="10:15" ht="15.75" customHeight="1" x14ac:dyDescent="0.25">
      <c r="J190" s="95"/>
      <c r="K190" s="95"/>
      <c r="L190" s="80"/>
      <c r="M190" s="95"/>
      <c r="N190" s="95"/>
      <c r="O190" s="80"/>
    </row>
    <row r="191" spans="10:15" ht="15.75" customHeight="1" x14ac:dyDescent="0.25">
      <c r="J191" s="95"/>
      <c r="K191" s="95"/>
      <c r="L191" s="80"/>
      <c r="M191" s="95"/>
      <c r="N191" s="95"/>
      <c r="O191" s="80"/>
    </row>
    <row r="192" spans="10:15" ht="15.75" customHeight="1" x14ac:dyDescent="0.25">
      <c r="J192" s="95"/>
      <c r="K192" s="95"/>
      <c r="L192" s="80"/>
      <c r="M192" s="95"/>
      <c r="N192" s="95"/>
      <c r="O192" s="80"/>
    </row>
    <row r="193" spans="10:15" ht="15.75" customHeight="1" x14ac:dyDescent="0.25">
      <c r="J193" s="95"/>
      <c r="K193" s="95"/>
      <c r="L193" s="80"/>
      <c r="M193" s="95"/>
      <c r="N193" s="95"/>
      <c r="O193" s="80"/>
    </row>
    <row r="194" spans="10:15" ht="15.75" customHeight="1" x14ac:dyDescent="0.25">
      <c r="J194" s="95"/>
      <c r="K194" s="95"/>
      <c r="L194" s="80"/>
      <c r="M194" s="95"/>
      <c r="N194" s="95"/>
      <c r="O194" s="80"/>
    </row>
    <row r="195" spans="10:15" ht="15.75" customHeight="1" x14ac:dyDescent="0.25">
      <c r="J195" s="95"/>
      <c r="K195" s="95"/>
      <c r="L195" s="80"/>
      <c r="M195" s="95"/>
      <c r="N195" s="95"/>
      <c r="O195" s="80"/>
    </row>
    <row r="196" spans="10:15" ht="15.75" customHeight="1" x14ac:dyDescent="0.25">
      <c r="J196" s="95"/>
      <c r="K196" s="95"/>
      <c r="L196" s="80"/>
      <c r="M196" s="95"/>
      <c r="N196" s="95"/>
      <c r="O196" s="80"/>
    </row>
    <row r="197" spans="10:15" ht="15.75" customHeight="1" x14ac:dyDescent="0.25">
      <c r="J197" s="95"/>
      <c r="K197" s="95"/>
      <c r="L197" s="80"/>
      <c r="M197" s="95"/>
      <c r="N197" s="95"/>
      <c r="O197" s="80"/>
    </row>
    <row r="198" spans="10:15" ht="15.75" customHeight="1" x14ac:dyDescent="0.25">
      <c r="J198" s="95"/>
      <c r="K198" s="95"/>
      <c r="L198" s="80"/>
      <c r="M198" s="95"/>
      <c r="N198" s="95"/>
      <c r="O198" s="80"/>
    </row>
    <row r="199" spans="10:15" ht="15.75" customHeight="1" x14ac:dyDescent="0.25">
      <c r="J199" s="95"/>
      <c r="K199" s="95"/>
      <c r="L199" s="80"/>
      <c r="M199" s="95"/>
      <c r="N199" s="95"/>
      <c r="O199" s="80"/>
    </row>
    <row r="200" spans="10:15" ht="15.75" customHeight="1" x14ac:dyDescent="0.25">
      <c r="J200" s="95"/>
      <c r="K200" s="95"/>
      <c r="L200" s="80"/>
      <c r="M200" s="95"/>
      <c r="N200" s="95"/>
      <c r="O200" s="80"/>
    </row>
    <row r="201" spans="10:15" ht="15.75" customHeight="1" x14ac:dyDescent="0.25">
      <c r="J201" s="95"/>
      <c r="K201" s="95"/>
      <c r="L201" s="80"/>
      <c r="M201" s="95"/>
      <c r="N201" s="95"/>
      <c r="O201" s="80"/>
    </row>
    <row r="202" spans="10:15" ht="15.75" customHeight="1" x14ac:dyDescent="0.25">
      <c r="J202" s="95"/>
      <c r="K202" s="95"/>
      <c r="L202" s="80"/>
      <c r="M202" s="95"/>
      <c r="N202" s="95"/>
      <c r="O202" s="80"/>
    </row>
    <row r="203" spans="10:15" ht="15.75" customHeight="1" x14ac:dyDescent="0.25">
      <c r="J203" s="95"/>
      <c r="K203" s="95"/>
      <c r="L203" s="80"/>
      <c r="M203" s="95"/>
      <c r="N203" s="95"/>
      <c r="O203" s="80"/>
    </row>
    <row r="204" spans="10:15" ht="15.75" customHeight="1" x14ac:dyDescent="0.25">
      <c r="J204" s="95"/>
      <c r="K204" s="95"/>
      <c r="L204" s="80"/>
      <c r="M204" s="95"/>
      <c r="N204" s="95"/>
      <c r="O204" s="80"/>
    </row>
    <row r="205" spans="10:15" ht="15.75" customHeight="1" x14ac:dyDescent="0.25">
      <c r="J205" s="95"/>
      <c r="K205" s="95"/>
      <c r="L205" s="80"/>
      <c r="M205" s="95"/>
      <c r="N205" s="95"/>
      <c r="O205" s="80"/>
    </row>
    <row r="206" spans="10:15" ht="15.75" customHeight="1" x14ac:dyDescent="0.25">
      <c r="J206" s="95"/>
      <c r="K206" s="95"/>
      <c r="L206" s="80"/>
      <c r="M206" s="95"/>
      <c r="N206" s="95"/>
      <c r="O206" s="80"/>
    </row>
    <row r="207" spans="10:15" ht="15.75" customHeight="1" x14ac:dyDescent="0.25">
      <c r="J207" s="95"/>
      <c r="K207" s="95"/>
      <c r="L207" s="80"/>
      <c r="M207" s="95"/>
      <c r="N207" s="95"/>
      <c r="O207" s="80"/>
    </row>
    <row r="208" spans="10:15" ht="15.75" customHeight="1" x14ac:dyDescent="0.25">
      <c r="J208" s="95"/>
      <c r="K208" s="95"/>
      <c r="L208" s="80"/>
      <c r="M208" s="95"/>
      <c r="N208" s="95"/>
      <c r="O208" s="80"/>
    </row>
    <row r="209" spans="10:15" ht="15.75" customHeight="1" x14ac:dyDescent="0.25">
      <c r="J209" s="95"/>
      <c r="K209" s="95"/>
      <c r="L209" s="80"/>
      <c r="M209" s="95"/>
      <c r="N209" s="95"/>
      <c r="O209" s="80"/>
    </row>
    <row r="210" spans="10:15" ht="15.75" customHeight="1" x14ac:dyDescent="0.25">
      <c r="J210" s="95"/>
      <c r="K210" s="95"/>
      <c r="L210" s="80"/>
      <c r="M210" s="95"/>
      <c r="N210" s="95"/>
      <c r="O210" s="80"/>
    </row>
    <row r="211" spans="10:15" ht="15.75" customHeight="1" x14ac:dyDescent="0.25">
      <c r="J211" s="95"/>
      <c r="K211" s="95"/>
      <c r="L211" s="80"/>
      <c r="M211" s="95"/>
      <c r="N211" s="95"/>
      <c r="O211" s="80"/>
    </row>
    <row r="212" spans="10:15" ht="15.75" customHeight="1" x14ac:dyDescent="0.25">
      <c r="J212" s="95"/>
      <c r="K212" s="95"/>
      <c r="L212" s="80"/>
      <c r="M212" s="95"/>
      <c r="N212" s="95"/>
      <c r="O212" s="80"/>
    </row>
    <row r="213" spans="10:15" ht="15.75" customHeight="1" x14ac:dyDescent="0.25">
      <c r="J213" s="95"/>
      <c r="K213" s="95"/>
      <c r="L213" s="80"/>
      <c r="M213" s="95"/>
      <c r="N213" s="95"/>
      <c r="O213" s="80"/>
    </row>
    <row r="214" spans="10:15" ht="15.75" customHeight="1" x14ac:dyDescent="0.25">
      <c r="J214" s="95"/>
      <c r="K214" s="95"/>
      <c r="L214" s="80"/>
      <c r="M214" s="95"/>
      <c r="N214" s="95"/>
      <c r="O214" s="80"/>
    </row>
    <row r="215" spans="10:15" ht="15.75" customHeight="1" x14ac:dyDescent="0.25">
      <c r="J215" s="95"/>
      <c r="K215" s="95"/>
      <c r="L215" s="80"/>
      <c r="M215" s="95"/>
      <c r="N215" s="95"/>
      <c r="O215" s="80"/>
    </row>
    <row r="216" spans="10:15" ht="15.75" customHeight="1" x14ac:dyDescent="0.25">
      <c r="J216" s="95"/>
      <c r="K216" s="95"/>
      <c r="L216" s="80"/>
      <c r="M216" s="95"/>
      <c r="N216" s="95"/>
      <c r="O216" s="80"/>
    </row>
    <row r="217" spans="10:15" ht="15.75" customHeight="1" x14ac:dyDescent="0.25">
      <c r="J217" s="95"/>
      <c r="K217" s="95"/>
      <c r="L217" s="80"/>
      <c r="M217" s="95"/>
      <c r="N217" s="95"/>
      <c r="O217" s="80"/>
    </row>
    <row r="218" spans="10:15" ht="15.75" customHeight="1" x14ac:dyDescent="0.25">
      <c r="J218" s="95"/>
      <c r="K218" s="95"/>
      <c r="L218" s="80"/>
      <c r="M218" s="95"/>
      <c r="N218" s="95"/>
      <c r="O218" s="80"/>
    </row>
    <row r="219" spans="10:15" ht="15.75" customHeight="1" x14ac:dyDescent="0.25">
      <c r="J219" s="95"/>
      <c r="K219" s="95"/>
      <c r="L219" s="80"/>
      <c r="M219" s="95"/>
      <c r="N219" s="95"/>
      <c r="O219" s="80"/>
    </row>
    <row r="220" spans="10:15" ht="15.75" customHeight="1" x14ac:dyDescent="0.25">
      <c r="J220" s="95"/>
      <c r="K220" s="95"/>
      <c r="L220" s="80"/>
      <c r="M220" s="95"/>
      <c r="N220" s="95"/>
      <c r="O220" s="80"/>
    </row>
    <row r="221" spans="10:15" ht="15.75" customHeight="1" x14ac:dyDescent="0.25">
      <c r="J221" s="95"/>
      <c r="K221" s="95"/>
      <c r="L221" s="80"/>
      <c r="M221" s="95"/>
      <c r="N221" s="95"/>
      <c r="O221" s="80"/>
    </row>
    <row r="222" spans="10:15" ht="15.75" customHeight="1" x14ac:dyDescent="0.25">
      <c r="J222" s="95"/>
      <c r="K222" s="95"/>
      <c r="L222" s="80"/>
      <c r="M222" s="95"/>
      <c r="N222" s="95"/>
      <c r="O222" s="80"/>
    </row>
    <row r="223" spans="10:15" ht="15.75" customHeight="1" x14ac:dyDescent="0.25">
      <c r="J223" s="95"/>
      <c r="K223" s="95"/>
      <c r="L223" s="80"/>
      <c r="M223" s="95"/>
      <c r="N223" s="95"/>
      <c r="O223" s="80"/>
    </row>
    <row r="224" spans="10:15" ht="15.75" customHeight="1" x14ac:dyDescent="0.25">
      <c r="J224" s="95"/>
      <c r="K224" s="95"/>
      <c r="L224" s="80"/>
      <c r="M224" s="95"/>
      <c r="N224" s="95"/>
      <c r="O224" s="80"/>
    </row>
    <row r="225" spans="10:15" ht="15.75" customHeight="1" x14ac:dyDescent="0.25">
      <c r="J225" s="95"/>
      <c r="K225" s="95"/>
      <c r="L225" s="80"/>
      <c r="M225" s="95"/>
      <c r="N225" s="95"/>
      <c r="O225" s="80"/>
    </row>
    <row r="226" spans="10:15" ht="15.75" customHeight="1" x14ac:dyDescent="0.25">
      <c r="J226" s="95"/>
      <c r="K226" s="95"/>
      <c r="L226" s="80"/>
      <c r="M226" s="95"/>
      <c r="N226" s="95"/>
      <c r="O226" s="80"/>
    </row>
    <row r="227" spans="10:15" ht="15.75" customHeight="1" x14ac:dyDescent="0.25">
      <c r="J227" s="95"/>
      <c r="K227" s="95"/>
      <c r="L227" s="80"/>
      <c r="M227" s="95"/>
      <c r="N227" s="95"/>
      <c r="O227" s="80"/>
    </row>
    <row r="228" spans="10:15" ht="15.75" customHeight="1" x14ac:dyDescent="0.25">
      <c r="J228" s="95"/>
      <c r="K228" s="95"/>
      <c r="L228" s="80"/>
      <c r="M228" s="95"/>
      <c r="N228" s="95"/>
      <c r="O228" s="80"/>
    </row>
    <row r="229" spans="10:15" ht="15.75" customHeight="1" x14ac:dyDescent="0.25">
      <c r="J229" s="95"/>
      <c r="K229" s="95"/>
      <c r="L229" s="80"/>
      <c r="M229" s="95"/>
      <c r="N229" s="95"/>
      <c r="O229" s="80"/>
    </row>
    <row r="230" spans="10:15" ht="15.75" customHeight="1" x14ac:dyDescent="0.25">
      <c r="J230" s="95"/>
      <c r="K230" s="95"/>
      <c r="L230" s="80"/>
      <c r="M230" s="95"/>
      <c r="N230" s="95"/>
      <c r="O230" s="80"/>
    </row>
    <row r="231" spans="10:15" ht="15.75" customHeight="1" x14ac:dyDescent="0.25">
      <c r="J231" s="95"/>
      <c r="K231" s="95"/>
      <c r="L231" s="80"/>
      <c r="M231" s="95"/>
      <c r="N231" s="95"/>
      <c r="O231" s="80"/>
    </row>
    <row r="232" spans="10:15" ht="15.75" customHeight="1" x14ac:dyDescent="0.25">
      <c r="J232" s="95"/>
      <c r="K232" s="95"/>
      <c r="L232" s="80"/>
      <c r="M232" s="95"/>
      <c r="N232" s="95"/>
      <c r="O232" s="80"/>
    </row>
    <row r="233" spans="10:15" ht="15.75" customHeight="1" x14ac:dyDescent="0.25">
      <c r="J233" s="95"/>
      <c r="K233" s="95"/>
      <c r="L233" s="80"/>
      <c r="M233" s="95"/>
      <c r="N233" s="95"/>
      <c r="O233" s="80"/>
    </row>
    <row r="234" spans="10:15" ht="15.75" customHeight="1" x14ac:dyDescent="0.25">
      <c r="J234" s="95"/>
      <c r="K234" s="95"/>
      <c r="L234" s="80"/>
      <c r="M234" s="95"/>
      <c r="N234" s="95"/>
      <c r="O234" s="80"/>
    </row>
    <row r="235" spans="10:15" ht="15.75" customHeight="1" x14ac:dyDescent="0.25">
      <c r="J235" s="95"/>
      <c r="K235" s="95"/>
      <c r="L235" s="80"/>
      <c r="M235" s="95"/>
      <c r="N235" s="95"/>
      <c r="O235" s="80"/>
    </row>
    <row r="236" spans="10:15" ht="15.75" customHeight="1" x14ac:dyDescent="0.25">
      <c r="J236" s="95"/>
      <c r="K236" s="95"/>
      <c r="L236" s="80"/>
      <c r="M236" s="95"/>
      <c r="N236" s="95"/>
      <c r="O236" s="80"/>
    </row>
    <row r="237" spans="10:15" ht="15.75" customHeight="1" x14ac:dyDescent="0.25">
      <c r="J237" s="95"/>
      <c r="K237" s="95"/>
      <c r="L237" s="80"/>
      <c r="M237" s="95"/>
      <c r="N237" s="95"/>
      <c r="O237" s="80"/>
    </row>
    <row r="238" spans="10:15" ht="15.75" customHeight="1" x14ac:dyDescent="0.25">
      <c r="J238" s="95"/>
      <c r="K238" s="95"/>
      <c r="L238" s="80"/>
      <c r="M238" s="95"/>
      <c r="N238" s="95"/>
      <c r="O238" s="80"/>
    </row>
    <row r="239" spans="10:15" ht="15.75" customHeight="1" x14ac:dyDescent="0.25">
      <c r="J239" s="95"/>
      <c r="K239" s="95"/>
      <c r="L239" s="80"/>
      <c r="M239" s="95"/>
      <c r="N239" s="95"/>
      <c r="O239" s="80"/>
    </row>
    <row r="240" spans="10:15" ht="15.75" customHeight="1" x14ac:dyDescent="0.25">
      <c r="J240" s="95"/>
      <c r="K240" s="95"/>
      <c r="L240" s="80"/>
      <c r="M240" s="95"/>
      <c r="N240" s="95"/>
      <c r="O240" s="80"/>
    </row>
    <row r="241" spans="10:15" ht="15.75" customHeight="1" x14ac:dyDescent="0.25">
      <c r="J241" s="95"/>
      <c r="K241" s="95"/>
      <c r="L241" s="80"/>
      <c r="M241" s="95"/>
      <c r="N241" s="95"/>
      <c r="O241" s="80"/>
    </row>
    <row r="242" spans="10:15" ht="15.75" customHeight="1" x14ac:dyDescent="0.25">
      <c r="J242" s="95"/>
      <c r="K242" s="95"/>
      <c r="L242" s="80"/>
      <c r="M242" s="95"/>
      <c r="N242" s="95"/>
      <c r="O242" s="80"/>
    </row>
    <row r="243" spans="10:15" ht="15.75" customHeight="1" x14ac:dyDescent="0.25">
      <c r="J243" s="95"/>
      <c r="K243" s="95"/>
      <c r="L243" s="80"/>
      <c r="M243" s="95"/>
      <c r="N243" s="95"/>
      <c r="O243" s="80"/>
    </row>
    <row r="244" spans="10:15" ht="15.75" customHeight="1" x14ac:dyDescent="0.25">
      <c r="J244" s="95"/>
      <c r="K244" s="95"/>
      <c r="L244" s="80"/>
      <c r="M244" s="95"/>
      <c r="N244" s="95"/>
      <c r="O244" s="80"/>
    </row>
    <row r="245" spans="10:15" ht="15.75" customHeight="1" x14ac:dyDescent="0.25">
      <c r="J245" s="95"/>
      <c r="K245" s="95"/>
      <c r="L245" s="80"/>
      <c r="M245" s="95"/>
      <c r="N245" s="95"/>
      <c r="O245" s="80"/>
    </row>
    <row r="246" spans="10:15" ht="15.75" customHeight="1" x14ac:dyDescent="0.25">
      <c r="J246" s="95"/>
      <c r="K246" s="95"/>
      <c r="L246" s="80"/>
      <c r="M246" s="95"/>
      <c r="N246" s="95"/>
      <c r="O246" s="80"/>
    </row>
    <row r="247" spans="10:15" ht="15.75" customHeight="1" x14ac:dyDescent="0.25">
      <c r="J247" s="95"/>
      <c r="K247" s="95"/>
      <c r="L247" s="80"/>
      <c r="M247" s="95"/>
      <c r="N247" s="95"/>
      <c r="O247" s="80"/>
    </row>
    <row r="248" spans="10:15" ht="15.75" customHeight="1" x14ac:dyDescent="0.25">
      <c r="J248" s="95"/>
      <c r="K248" s="95"/>
      <c r="L248" s="80"/>
      <c r="M248" s="95"/>
      <c r="N248" s="95"/>
      <c r="O248" s="80"/>
    </row>
    <row r="249" spans="10:15" ht="15.75" customHeight="1" x14ac:dyDescent="0.25">
      <c r="J249" s="95"/>
      <c r="K249" s="95"/>
      <c r="L249" s="80"/>
      <c r="M249" s="95"/>
      <c r="N249" s="95"/>
      <c r="O249" s="80"/>
    </row>
    <row r="250" spans="10:15" ht="15.75" customHeight="1" x14ac:dyDescent="0.25">
      <c r="J250" s="95"/>
      <c r="K250" s="95"/>
      <c r="L250" s="80"/>
      <c r="M250" s="95"/>
      <c r="N250" s="95"/>
      <c r="O250" s="80"/>
    </row>
    <row r="251" spans="10:15" ht="15.75" customHeight="1" x14ac:dyDescent="0.25">
      <c r="J251" s="95"/>
      <c r="K251" s="95"/>
      <c r="L251" s="80"/>
      <c r="M251" s="95"/>
      <c r="N251" s="95"/>
      <c r="O251" s="80"/>
    </row>
    <row r="252" spans="10:15" ht="15.75" customHeight="1" x14ac:dyDescent="0.25">
      <c r="J252" s="95"/>
      <c r="K252" s="95"/>
      <c r="L252" s="80"/>
      <c r="M252" s="95"/>
      <c r="N252" s="95"/>
      <c r="O252" s="80"/>
    </row>
    <row r="253" spans="10:15" ht="15.75" customHeight="1" x14ac:dyDescent="0.25">
      <c r="J253" s="95"/>
      <c r="K253" s="95"/>
      <c r="L253" s="80"/>
      <c r="M253" s="95"/>
      <c r="N253" s="95"/>
      <c r="O253" s="80"/>
    </row>
    <row r="254" spans="10:15" ht="15.75" customHeight="1" x14ac:dyDescent="0.25">
      <c r="J254" s="95"/>
      <c r="K254" s="95"/>
      <c r="L254" s="80"/>
      <c r="M254" s="95"/>
      <c r="N254" s="95"/>
      <c r="O254" s="80"/>
    </row>
    <row r="255" spans="10:15" ht="15.75" customHeight="1" x14ac:dyDescent="0.25">
      <c r="J255" s="95"/>
      <c r="K255" s="95"/>
      <c r="L255" s="80"/>
      <c r="M255" s="95"/>
      <c r="N255" s="95"/>
      <c r="O255" s="80"/>
    </row>
    <row r="256" spans="10:15" ht="15.75" customHeight="1" x14ac:dyDescent="0.25">
      <c r="J256" s="95"/>
      <c r="K256" s="95"/>
      <c r="L256" s="80"/>
      <c r="M256" s="95"/>
      <c r="N256" s="95"/>
      <c r="O256" s="80"/>
    </row>
    <row r="257" spans="10:15" ht="15.75" customHeight="1" x14ac:dyDescent="0.25">
      <c r="J257" s="95"/>
      <c r="K257" s="95"/>
      <c r="L257" s="80"/>
      <c r="M257" s="95"/>
      <c r="N257" s="95"/>
      <c r="O257" s="80"/>
    </row>
    <row r="258" spans="10:15" ht="15.75" customHeight="1" x14ac:dyDescent="0.25">
      <c r="J258" s="95"/>
      <c r="K258" s="95"/>
      <c r="L258" s="80"/>
      <c r="M258" s="95"/>
      <c r="N258" s="95"/>
      <c r="O258" s="80"/>
    </row>
    <row r="259" spans="10:15" ht="15.75" customHeight="1" x14ac:dyDescent="0.25">
      <c r="J259" s="95"/>
      <c r="K259" s="95"/>
      <c r="L259" s="80"/>
      <c r="M259" s="95"/>
      <c r="N259" s="95"/>
      <c r="O259" s="80"/>
    </row>
    <row r="260" spans="10:15" ht="15.75" customHeight="1" x14ac:dyDescent="0.25">
      <c r="J260" s="95"/>
      <c r="K260" s="95"/>
      <c r="L260" s="80"/>
      <c r="M260" s="95"/>
      <c r="N260" s="95"/>
      <c r="O260" s="80"/>
    </row>
    <row r="261" spans="10:15" ht="15.75" customHeight="1" x14ac:dyDescent="0.25">
      <c r="J261" s="95"/>
      <c r="K261" s="95"/>
      <c r="L261" s="80"/>
      <c r="M261" s="95"/>
      <c r="N261" s="95"/>
      <c r="O261" s="80"/>
    </row>
    <row r="262" spans="10:15" ht="15.75" customHeight="1" x14ac:dyDescent="0.25">
      <c r="J262" s="95"/>
      <c r="K262" s="95"/>
      <c r="L262" s="80"/>
      <c r="M262" s="95"/>
      <c r="N262" s="95"/>
      <c r="O262" s="80"/>
    </row>
    <row r="263" spans="10:15" ht="15.75" customHeight="1" x14ac:dyDescent="0.25">
      <c r="J263" s="95"/>
      <c r="K263" s="95"/>
      <c r="L263" s="80"/>
      <c r="M263" s="95"/>
      <c r="N263" s="95"/>
      <c r="O263" s="80"/>
    </row>
    <row r="264" spans="10:15" ht="15.75" customHeight="1" x14ac:dyDescent="0.25">
      <c r="J264" s="95"/>
      <c r="K264" s="95"/>
      <c r="L264" s="80"/>
      <c r="M264" s="95"/>
      <c r="N264" s="95"/>
      <c r="O264" s="80"/>
    </row>
    <row r="265" spans="10:15" ht="15.75" customHeight="1" x14ac:dyDescent="0.25">
      <c r="J265" s="95"/>
      <c r="K265" s="95"/>
      <c r="L265" s="80"/>
      <c r="M265" s="95"/>
      <c r="N265" s="95"/>
      <c r="O265" s="80"/>
    </row>
    <row r="266" spans="10:15" ht="15.75" customHeight="1" x14ac:dyDescent="0.25">
      <c r="J266" s="95"/>
      <c r="K266" s="95"/>
      <c r="L266" s="80"/>
      <c r="M266" s="95"/>
      <c r="N266" s="95"/>
      <c r="O266" s="80"/>
    </row>
    <row r="267" spans="10:15" ht="15.75" customHeight="1" x14ac:dyDescent="0.25">
      <c r="J267" s="95"/>
      <c r="K267" s="95"/>
      <c r="L267" s="80"/>
      <c r="M267" s="95"/>
      <c r="N267" s="95"/>
      <c r="O267" s="80"/>
    </row>
    <row r="268" spans="10:15" ht="15.75" customHeight="1" x14ac:dyDescent="0.25">
      <c r="J268" s="95"/>
      <c r="K268" s="95"/>
      <c r="L268" s="80"/>
      <c r="M268" s="95"/>
      <c r="N268" s="95"/>
      <c r="O268" s="80"/>
    </row>
    <row r="269" spans="10:15" ht="15.75" customHeight="1" x14ac:dyDescent="0.25">
      <c r="J269" s="95"/>
      <c r="K269" s="95"/>
      <c r="L269" s="80"/>
      <c r="M269" s="95"/>
      <c r="N269" s="95"/>
      <c r="O269" s="80"/>
    </row>
    <row r="270" spans="10:15" ht="15.75" customHeight="1" x14ac:dyDescent="0.25">
      <c r="J270" s="95"/>
      <c r="K270" s="95"/>
      <c r="L270" s="80"/>
      <c r="M270" s="95"/>
      <c r="N270" s="95"/>
      <c r="O270" s="80"/>
    </row>
    <row r="271" spans="10:15" ht="15.75" customHeight="1" x14ac:dyDescent="0.25">
      <c r="J271" s="95"/>
      <c r="K271" s="95"/>
      <c r="L271" s="80"/>
      <c r="M271" s="95"/>
      <c r="N271" s="95"/>
      <c r="O271" s="80"/>
    </row>
    <row r="272" spans="10:15" ht="15.75" customHeight="1" x14ac:dyDescent="0.25">
      <c r="J272" s="95"/>
      <c r="K272" s="95"/>
      <c r="L272" s="80"/>
      <c r="M272" s="95"/>
      <c r="N272" s="95"/>
      <c r="O272" s="80"/>
    </row>
    <row r="273" spans="10:15" ht="15.75" customHeight="1" x14ac:dyDescent="0.25">
      <c r="J273" s="95"/>
      <c r="K273" s="95"/>
      <c r="L273" s="80"/>
      <c r="M273" s="95"/>
      <c r="N273" s="95"/>
      <c r="O273" s="80"/>
    </row>
    <row r="274" spans="10:15" ht="15.75" customHeight="1" x14ac:dyDescent="0.25">
      <c r="J274" s="95"/>
      <c r="K274" s="95"/>
      <c r="L274" s="80"/>
      <c r="M274" s="95"/>
      <c r="N274" s="95"/>
      <c r="O274" s="80"/>
    </row>
    <row r="275" spans="10:15" ht="15.75" customHeight="1" x14ac:dyDescent="0.25">
      <c r="J275" s="95"/>
      <c r="K275" s="95"/>
      <c r="L275" s="80"/>
      <c r="M275" s="95"/>
      <c r="N275" s="95"/>
      <c r="O275" s="80"/>
    </row>
    <row r="276" spans="10:15" ht="15.75" customHeight="1" x14ac:dyDescent="0.25">
      <c r="J276" s="95"/>
      <c r="K276" s="95"/>
      <c r="L276" s="80"/>
      <c r="M276" s="95"/>
      <c r="N276" s="95"/>
      <c r="O276" s="80"/>
    </row>
    <row r="277" spans="10:15" ht="15.75" customHeight="1" x14ac:dyDescent="0.25">
      <c r="J277" s="95"/>
      <c r="K277" s="95"/>
      <c r="L277" s="80"/>
      <c r="M277" s="95"/>
      <c r="N277" s="95"/>
      <c r="O277" s="80"/>
    </row>
    <row r="278" spans="10:15" ht="15.75" customHeight="1" x14ac:dyDescent="0.25">
      <c r="J278" s="95"/>
      <c r="K278" s="95"/>
      <c r="L278" s="80"/>
      <c r="M278" s="95"/>
      <c r="N278" s="95"/>
      <c r="O278" s="80"/>
    </row>
    <row r="279" spans="10:15" ht="15.75" customHeight="1" x14ac:dyDescent="0.25">
      <c r="J279" s="95"/>
      <c r="K279" s="95"/>
      <c r="L279" s="80"/>
      <c r="M279" s="95"/>
      <c r="N279" s="95"/>
      <c r="O279" s="80"/>
    </row>
    <row r="280" spans="10:15" ht="15.75" customHeight="1" x14ac:dyDescent="0.25">
      <c r="J280" s="95"/>
      <c r="K280" s="95"/>
      <c r="L280" s="80"/>
      <c r="M280" s="95"/>
      <c r="N280" s="95"/>
      <c r="O280" s="80"/>
    </row>
    <row r="281" spans="10:15" ht="15.75" customHeight="1" x14ac:dyDescent="0.25">
      <c r="J281" s="95"/>
      <c r="K281" s="95"/>
      <c r="L281" s="80"/>
      <c r="M281" s="95"/>
      <c r="N281" s="95"/>
      <c r="O281" s="80"/>
    </row>
    <row r="282" spans="10:15" ht="15.75" customHeight="1" x14ac:dyDescent="0.25">
      <c r="J282" s="95"/>
      <c r="K282" s="95"/>
      <c r="L282" s="80"/>
      <c r="M282" s="95"/>
      <c r="N282" s="95"/>
      <c r="O282" s="80"/>
    </row>
    <row r="283" spans="10:15" ht="15.75" customHeight="1" x14ac:dyDescent="0.25">
      <c r="J283" s="95"/>
      <c r="K283" s="95"/>
      <c r="L283" s="80"/>
      <c r="M283" s="95"/>
      <c r="N283" s="95"/>
      <c r="O283" s="80"/>
    </row>
    <row r="284" spans="10:15" ht="15.75" customHeight="1" x14ac:dyDescent="0.25">
      <c r="J284" s="95"/>
      <c r="K284" s="95"/>
      <c r="L284" s="80"/>
      <c r="M284" s="95"/>
      <c r="N284" s="95"/>
      <c r="O284" s="80"/>
    </row>
    <row r="285" spans="10:15" ht="15.75" customHeight="1" x14ac:dyDescent="0.25">
      <c r="J285" s="95"/>
      <c r="K285" s="95"/>
      <c r="L285" s="80"/>
      <c r="M285" s="95"/>
      <c r="N285" s="95"/>
      <c r="O285" s="80"/>
    </row>
    <row r="286" spans="10:15" ht="15.75" customHeight="1" x14ac:dyDescent="0.25">
      <c r="J286" s="95"/>
      <c r="K286" s="95"/>
      <c r="L286" s="80"/>
      <c r="M286" s="95"/>
      <c r="N286" s="95"/>
      <c r="O286" s="80"/>
    </row>
    <row r="287" spans="10:15" ht="15.75" customHeight="1" x14ac:dyDescent="0.25">
      <c r="J287" s="95"/>
      <c r="K287" s="95"/>
      <c r="L287" s="80"/>
      <c r="M287" s="95"/>
      <c r="N287" s="95"/>
      <c r="O287" s="80"/>
    </row>
    <row r="288" spans="10:15" ht="15.75" customHeight="1" x14ac:dyDescent="0.25">
      <c r="J288" s="95"/>
      <c r="K288" s="95"/>
      <c r="L288" s="80"/>
      <c r="M288" s="95"/>
      <c r="N288" s="95"/>
      <c r="O288" s="80"/>
    </row>
    <row r="289" spans="10:15" ht="15.75" customHeight="1" x14ac:dyDescent="0.25">
      <c r="J289" s="95"/>
      <c r="K289" s="95"/>
      <c r="L289" s="80"/>
      <c r="M289" s="95"/>
      <c r="N289" s="95"/>
      <c r="O289" s="80"/>
    </row>
    <row r="290" spans="10:15" ht="15.75" customHeight="1" x14ac:dyDescent="0.25">
      <c r="J290" s="95"/>
      <c r="K290" s="95"/>
      <c r="L290" s="80"/>
      <c r="M290" s="95"/>
      <c r="N290" s="95"/>
      <c r="O290" s="80"/>
    </row>
    <row r="291" spans="10:15" ht="15.75" customHeight="1" x14ac:dyDescent="0.25">
      <c r="J291" s="95"/>
      <c r="K291" s="95"/>
      <c r="L291" s="80"/>
      <c r="M291" s="95"/>
      <c r="N291" s="95"/>
      <c r="O291" s="80"/>
    </row>
    <row r="292" spans="10:15" ht="15.75" customHeight="1" x14ac:dyDescent="0.25">
      <c r="J292" s="95"/>
      <c r="K292" s="95"/>
      <c r="L292" s="80"/>
      <c r="M292" s="95"/>
      <c r="N292" s="95"/>
      <c r="O292" s="80"/>
    </row>
    <row r="293" spans="10:15" ht="15.75" customHeight="1" x14ac:dyDescent="0.25">
      <c r="J293" s="95"/>
      <c r="K293" s="95"/>
      <c r="L293" s="80"/>
      <c r="M293" s="95"/>
      <c r="N293" s="95"/>
      <c r="O293" s="80"/>
    </row>
    <row r="294" spans="10:15" ht="15.75" customHeight="1" x14ac:dyDescent="0.25">
      <c r="J294" s="95"/>
      <c r="K294" s="95"/>
      <c r="L294" s="80"/>
      <c r="M294" s="95"/>
      <c r="N294" s="95"/>
      <c r="O294" s="80"/>
    </row>
    <row r="295" spans="10:15" ht="15.75" customHeight="1" x14ac:dyDescent="0.25">
      <c r="J295" s="95"/>
      <c r="K295" s="95"/>
      <c r="L295" s="80"/>
      <c r="M295" s="95"/>
      <c r="N295" s="95"/>
      <c r="O295" s="80"/>
    </row>
    <row r="296" spans="10:15" ht="15.75" customHeight="1" x14ac:dyDescent="0.25">
      <c r="J296" s="95"/>
      <c r="K296" s="95"/>
      <c r="L296" s="80"/>
      <c r="M296" s="95"/>
      <c r="N296" s="95"/>
      <c r="O296" s="80"/>
    </row>
    <row r="297" spans="10:15" ht="15.75" customHeight="1" x14ac:dyDescent="0.25">
      <c r="J297" s="95"/>
      <c r="K297" s="95"/>
      <c r="L297" s="80"/>
      <c r="M297" s="95"/>
      <c r="N297" s="95"/>
      <c r="O297" s="80"/>
    </row>
    <row r="298" spans="10:15" ht="15.75" customHeight="1" x14ac:dyDescent="0.25">
      <c r="J298" s="95"/>
      <c r="K298" s="95"/>
      <c r="L298" s="80"/>
      <c r="M298" s="95"/>
      <c r="N298" s="95"/>
      <c r="O298" s="80"/>
    </row>
    <row r="299" spans="10:15" ht="15.75" customHeight="1" x14ac:dyDescent="0.25">
      <c r="J299" s="95"/>
      <c r="K299" s="95"/>
      <c r="L299" s="80"/>
      <c r="M299" s="95"/>
      <c r="N299" s="95"/>
      <c r="O299" s="80"/>
    </row>
    <row r="300" spans="10:15" ht="15.75" customHeight="1" x14ac:dyDescent="0.25">
      <c r="J300" s="95"/>
      <c r="K300" s="95"/>
      <c r="L300" s="80"/>
      <c r="M300" s="95"/>
      <c r="N300" s="95"/>
      <c r="O300" s="80"/>
    </row>
    <row r="301" spans="10:15" ht="15.75" customHeight="1" x14ac:dyDescent="0.25">
      <c r="J301" s="95"/>
      <c r="K301" s="95"/>
      <c r="L301" s="80"/>
      <c r="M301" s="95"/>
      <c r="N301" s="95"/>
      <c r="O301" s="80"/>
    </row>
    <row r="302" spans="10:15" ht="15.75" customHeight="1" x14ac:dyDescent="0.25">
      <c r="J302" s="95"/>
      <c r="K302" s="95"/>
      <c r="L302" s="80"/>
      <c r="M302" s="95"/>
      <c r="N302" s="95"/>
      <c r="O302" s="80"/>
    </row>
    <row r="303" spans="10:15" ht="15.75" customHeight="1" x14ac:dyDescent="0.25">
      <c r="J303" s="95"/>
      <c r="K303" s="95"/>
      <c r="L303" s="80"/>
      <c r="M303" s="95"/>
      <c r="N303" s="95"/>
      <c r="O303" s="80"/>
    </row>
    <row r="304" spans="10:15" ht="15.75" customHeight="1" x14ac:dyDescent="0.25">
      <c r="J304" s="95"/>
      <c r="K304" s="95"/>
      <c r="L304" s="80"/>
      <c r="M304" s="95"/>
      <c r="N304" s="95"/>
      <c r="O304" s="80"/>
    </row>
    <row r="305" spans="10:15" ht="15.75" customHeight="1" x14ac:dyDescent="0.25">
      <c r="J305" s="95"/>
      <c r="K305" s="95"/>
      <c r="L305" s="80"/>
      <c r="M305" s="95"/>
      <c r="N305" s="95"/>
      <c r="O305" s="80"/>
    </row>
    <row r="306" spans="10:15" ht="15.75" customHeight="1" x14ac:dyDescent="0.25">
      <c r="J306" s="95"/>
      <c r="K306" s="95"/>
      <c r="L306" s="80"/>
      <c r="M306" s="95"/>
      <c r="N306" s="95"/>
      <c r="O306" s="80"/>
    </row>
    <row r="307" spans="10:15" ht="15.75" customHeight="1" x14ac:dyDescent="0.25">
      <c r="J307" s="95"/>
      <c r="K307" s="95"/>
      <c r="L307" s="80"/>
      <c r="M307" s="95"/>
      <c r="N307" s="95"/>
      <c r="O307" s="80"/>
    </row>
    <row r="308" spans="10:15" ht="15.75" customHeight="1" x14ac:dyDescent="0.25">
      <c r="J308" s="95"/>
      <c r="K308" s="95"/>
      <c r="L308" s="80"/>
      <c r="M308" s="95"/>
      <c r="N308" s="95"/>
      <c r="O308" s="80"/>
    </row>
    <row r="309" spans="10:15" ht="15.75" customHeight="1" x14ac:dyDescent="0.25">
      <c r="J309" s="95"/>
      <c r="K309" s="95"/>
      <c r="L309" s="80"/>
      <c r="M309" s="95"/>
      <c r="N309" s="95"/>
      <c r="O309" s="80"/>
    </row>
    <row r="310" spans="10:15" ht="15.75" customHeight="1" x14ac:dyDescent="0.25">
      <c r="J310" s="95"/>
      <c r="K310" s="95"/>
      <c r="L310" s="80"/>
      <c r="M310" s="95"/>
      <c r="N310" s="95"/>
      <c r="O310" s="80"/>
    </row>
    <row r="311" spans="10:15" ht="15.75" customHeight="1" x14ac:dyDescent="0.25">
      <c r="J311" s="95"/>
      <c r="K311" s="95"/>
      <c r="L311" s="80"/>
      <c r="M311" s="95"/>
      <c r="N311" s="95"/>
      <c r="O311" s="80"/>
    </row>
    <row r="312" spans="10:15" ht="15.75" customHeight="1" x14ac:dyDescent="0.25">
      <c r="J312" s="95"/>
      <c r="K312" s="95"/>
      <c r="L312" s="80"/>
      <c r="M312" s="95"/>
      <c r="N312" s="95"/>
      <c r="O312" s="80"/>
    </row>
    <row r="313" spans="10:15" ht="15.75" customHeight="1" x14ac:dyDescent="0.25">
      <c r="J313" s="95"/>
      <c r="K313" s="95"/>
      <c r="L313" s="80"/>
      <c r="M313" s="95"/>
      <c r="N313" s="95"/>
      <c r="O313" s="80"/>
    </row>
    <row r="314" spans="10:15" ht="15.75" customHeight="1" x14ac:dyDescent="0.25">
      <c r="J314" s="95"/>
      <c r="K314" s="95"/>
      <c r="L314" s="80"/>
      <c r="M314" s="95"/>
      <c r="N314" s="95"/>
      <c r="O314" s="80"/>
    </row>
    <row r="315" spans="10:15" ht="15.75" customHeight="1" x14ac:dyDescent="0.25">
      <c r="J315" s="95"/>
      <c r="K315" s="95"/>
      <c r="L315" s="80"/>
      <c r="M315" s="95"/>
      <c r="N315" s="95"/>
      <c r="O315" s="80"/>
    </row>
    <row r="316" spans="10:15" ht="15.75" customHeight="1" x14ac:dyDescent="0.25">
      <c r="J316" s="95"/>
      <c r="K316" s="95"/>
      <c r="L316" s="80"/>
      <c r="M316" s="95"/>
      <c r="N316" s="95"/>
      <c r="O316" s="80"/>
    </row>
    <row r="317" spans="10:15" ht="15.75" customHeight="1" x14ac:dyDescent="0.25">
      <c r="J317" s="95"/>
      <c r="K317" s="95"/>
      <c r="L317" s="80"/>
      <c r="M317" s="95"/>
      <c r="N317" s="95"/>
      <c r="O317" s="80"/>
    </row>
    <row r="318" spans="10:15" ht="15.75" customHeight="1" x14ac:dyDescent="0.25">
      <c r="J318" s="95"/>
      <c r="K318" s="95"/>
      <c r="L318" s="80"/>
      <c r="M318" s="95"/>
      <c r="N318" s="95"/>
      <c r="O318" s="80"/>
    </row>
    <row r="319" spans="10:15" ht="15.75" customHeight="1" x14ac:dyDescent="0.25">
      <c r="J319" s="95"/>
      <c r="K319" s="95"/>
      <c r="L319" s="80"/>
      <c r="M319" s="95"/>
      <c r="N319" s="95"/>
      <c r="O319" s="80"/>
    </row>
    <row r="320" spans="10:15" ht="15.75" customHeight="1" x14ac:dyDescent="0.25">
      <c r="J320" s="95"/>
      <c r="K320" s="95"/>
      <c r="L320" s="80"/>
      <c r="M320" s="95"/>
      <c r="N320" s="95"/>
      <c r="O320" s="80"/>
    </row>
    <row r="321" spans="10:15" ht="15.75" customHeight="1" x14ac:dyDescent="0.25">
      <c r="J321" s="95"/>
      <c r="K321" s="95"/>
      <c r="L321" s="80"/>
      <c r="M321" s="95"/>
      <c r="N321" s="95"/>
      <c r="O321" s="80"/>
    </row>
    <row r="322" spans="10:15" ht="15.75" customHeight="1" x14ac:dyDescent="0.25">
      <c r="J322" s="95"/>
      <c r="K322" s="95"/>
      <c r="L322" s="80"/>
      <c r="M322" s="95"/>
      <c r="N322" s="95"/>
      <c r="O322" s="80"/>
    </row>
    <row r="323" spans="10:15" ht="15.75" customHeight="1" x14ac:dyDescent="0.25">
      <c r="J323" s="95"/>
      <c r="K323" s="95"/>
      <c r="L323" s="80"/>
      <c r="M323" s="95"/>
      <c r="N323" s="95"/>
      <c r="O323" s="80"/>
    </row>
    <row r="324" spans="10:15" ht="15.75" customHeight="1" x14ac:dyDescent="0.25">
      <c r="J324" s="95"/>
      <c r="K324" s="95"/>
      <c r="L324" s="80"/>
      <c r="M324" s="95"/>
      <c r="N324" s="95"/>
      <c r="O324" s="80"/>
    </row>
    <row r="325" spans="10:15" ht="15.75" customHeight="1" x14ac:dyDescent="0.25">
      <c r="J325" s="95"/>
      <c r="K325" s="95"/>
      <c r="L325" s="80"/>
      <c r="M325" s="95"/>
      <c r="N325" s="95"/>
      <c r="O325" s="80"/>
    </row>
    <row r="326" spans="10:15" ht="15.75" customHeight="1" x14ac:dyDescent="0.25">
      <c r="J326" s="95"/>
      <c r="K326" s="95"/>
      <c r="L326" s="80"/>
      <c r="M326" s="95"/>
      <c r="N326" s="95"/>
      <c r="O326" s="80"/>
    </row>
    <row r="327" spans="10:15" ht="15.75" customHeight="1" x14ac:dyDescent="0.25">
      <c r="J327" s="95"/>
      <c r="K327" s="95"/>
      <c r="L327" s="80"/>
      <c r="M327" s="95"/>
      <c r="N327" s="95"/>
      <c r="O327" s="80"/>
    </row>
    <row r="328" spans="10:15" ht="15.75" customHeight="1" x14ac:dyDescent="0.25">
      <c r="J328" s="95"/>
      <c r="K328" s="95"/>
      <c r="L328" s="80"/>
      <c r="M328" s="95"/>
      <c r="N328" s="95"/>
      <c r="O328" s="80"/>
    </row>
    <row r="329" spans="10:15" ht="15.75" customHeight="1" x14ac:dyDescent="0.25">
      <c r="J329" s="95"/>
      <c r="K329" s="95"/>
      <c r="L329" s="80"/>
      <c r="M329" s="95"/>
      <c r="N329" s="95"/>
      <c r="O329" s="80"/>
    </row>
    <row r="330" spans="10:15" ht="15.75" customHeight="1" x14ac:dyDescent="0.25">
      <c r="J330" s="95"/>
      <c r="K330" s="95"/>
      <c r="L330" s="80"/>
      <c r="M330" s="95"/>
      <c r="N330" s="95"/>
      <c r="O330" s="80"/>
    </row>
    <row r="331" spans="10:15" ht="15.75" customHeight="1" x14ac:dyDescent="0.25">
      <c r="J331" s="95"/>
      <c r="K331" s="95"/>
      <c r="L331" s="80"/>
      <c r="M331" s="95"/>
      <c r="N331" s="95"/>
      <c r="O331" s="80"/>
    </row>
    <row r="332" spans="10:15" ht="15.75" customHeight="1" x14ac:dyDescent="0.25">
      <c r="J332" s="95"/>
      <c r="K332" s="95"/>
      <c r="L332" s="80"/>
      <c r="M332" s="95"/>
      <c r="N332" s="95"/>
      <c r="O332" s="80"/>
    </row>
    <row r="333" spans="10:15" ht="15.75" customHeight="1" x14ac:dyDescent="0.25">
      <c r="J333" s="95"/>
      <c r="K333" s="95"/>
      <c r="L333" s="80"/>
      <c r="M333" s="95"/>
      <c r="N333" s="95"/>
      <c r="O333" s="80"/>
    </row>
    <row r="334" spans="10:15" ht="15.75" customHeight="1" x14ac:dyDescent="0.25">
      <c r="J334" s="95"/>
      <c r="K334" s="95"/>
      <c r="L334" s="80"/>
      <c r="M334" s="95"/>
      <c r="N334" s="95"/>
      <c r="O334" s="80"/>
    </row>
    <row r="335" spans="10:15" ht="15.75" customHeight="1" x14ac:dyDescent="0.25">
      <c r="J335" s="95"/>
      <c r="K335" s="95"/>
      <c r="L335" s="80"/>
      <c r="M335" s="95"/>
      <c r="N335" s="95"/>
      <c r="O335" s="80"/>
    </row>
    <row r="336" spans="10:15" ht="15.75" customHeight="1" x14ac:dyDescent="0.25">
      <c r="J336" s="95"/>
      <c r="K336" s="95"/>
      <c r="L336" s="80"/>
      <c r="M336" s="95"/>
      <c r="N336" s="95"/>
      <c r="O336" s="80"/>
    </row>
    <row r="337" spans="10:15" ht="15.75" customHeight="1" x14ac:dyDescent="0.25">
      <c r="J337" s="95"/>
      <c r="K337" s="95"/>
      <c r="L337" s="80"/>
      <c r="M337" s="95"/>
      <c r="N337" s="95"/>
      <c r="O337" s="80"/>
    </row>
    <row r="338" spans="10:15" ht="15.75" customHeight="1" x14ac:dyDescent="0.25">
      <c r="J338" s="95"/>
      <c r="K338" s="95"/>
      <c r="L338" s="80"/>
      <c r="M338" s="95"/>
      <c r="N338" s="95"/>
      <c r="O338" s="80"/>
    </row>
    <row r="339" spans="10:15" ht="15.75" customHeight="1" x14ac:dyDescent="0.25">
      <c r="J339" s="95"/>
      <c r="K339" s="95"/>
      <c r="L339" s="80"/>
      <c r="M339" s="95"/>
      <c r="N339" s="95"/>
      <c r="O339" s="80"/>
    </row>
    <row r="340" spans="10:15" ht="15.75" customHeight="1" x14ac:dyDescent="0.25">
      <c r="J340" s="95"/>
      <c r="K340" s="95"/>
      <c r="L340" s="80"/>
      <c r="M340" s="95"/>
      <c r="N340" s="95"/>
      <c r="O340" s="80"/>
    </row>
    <row r="341" spans="10:15" ht="15.75" customHeight="1" x14ac:dyDescent="0.25">
      <c r="J341" s="95"/>
      <c r="K341" s="95"/>
      <c r="L341" s="80"/>
      <c r="M341" s="95"/>
      <c r="N341" s="95"/>
      <c r="O341" s="80"/>
    </row>
    <row r="342" spans="10:15" ht="15.75" customHeight="1" x14ac:dyDescent="0.25">
      <c r="J342" s="95"/>
      <c r="K342" s="95"/>
      <c r="L342" s="80"/>
      <c r="M342" s="95"/>
      <c r="N342" s="95"/>
      <c r="O342" s="80"/>
    </row>
    <row r="343" spans="10:15" ht="15.75" customHeight="1" x14ac:dyDescent="0.25">
      <c r="J343" s="95"/>
      <c r="K343" s="95"/>
      <c r="L343" s="80"/>
      <c r="M343" s="95"/>
      <c r="N343" s="95"/>
      <c r="O343" s="80"/>
    </row>
    <row r="344" spans="10:15" ht="15.75" customHeight="1" x14ac:dyDescent="0.25">
      <c r="J344" s="95"/>
      <c r="K344" s="95"/>
      <c r="L344" s="80"/>
      <c r="M344" s="95"/>
      <c r="N344" s="95"/>
      <c r="O344" s="80"/>
    </row>
    <row r="345" spans="10:15" ht="15.75" customHeight="1" x14ac:dyDescent="0.25">
      <c r="J345" s="95"/>
      <c r="K345" s="95"/>
      <c r="L345" s="80"/>
      <c r="M345" s="95"/>
      <c r="N345" s="95"/>
      <c r="O345" s="80"/>
    </row>
    <row r="346" spans="10:15" ht="15.75" customHeight="1" x14ac:dyDescent="0.25">
      <c r="J346" s="95"/>
      <c r="K346" s="95"/>
      <c r="L346" s="80"/>
      <c r="M346" s="95"/>
      <c r="N346" s="95"/>
      <c r="O346" s="80"/>
    </row>
    <row r="347" spans="10:15" ht="15.75" customHeight="1" x14ac:dyDescent="0.25">
      <c r="J347" s="95"/>
      <c r="K347" s="95"/>
      <c r="L347" s="80"/>
      <c r="M347" s="95"/>
      <c r="N347" s="95"/>
      <c r="O347" s="80"/>
    </row>
    <row r="348" spans="10:15" ht="15.75" customHeight="1" x14ac:dyDescent="0.25">
      <c r="J348" s="95"/>
      <c r="K348" s="95"/>
      <c r="L348" s="80"/>
      <c r="M348" s="95"/>
      <c r="N348" s="95"/>
      <c r="O348" s="80"/>
    </row>
    <row r="349" spans="10:15" ht="15.75" customHeight="1" x14ac:dyDescent="0.25">
      <c r="J349" s="95"/>
      <c r="K349" s="95"/>
      <c r="L349" s="80"/>
      <c r="M349" s="95"/>
      <c r="N349" s="95"/>
      <c r="O349" s="80"/>
    </row>
    <row r="350" spans="10:15" ht="15.75" customHeight="1" x14ac:dyDescent="0.25">
      <c r="J350" s="95"/>
      <c r="K350" s="95"/>
      <c r="L350" s="80"/>
      <c r="M350" s="95"/>
      <c r="N350" s="95"/>
      <c r="O350" s="80"/>
    </row>
    <row r="351" spans="10:15" ht="15.75" customHeight="1" x14ac:dyDescent="0.25">
      <c r="J351" s="95"/>
      <c r="K351" s="95"/>
      <c r="L351" s="80"/>
      <c r="M351" s="95"/>
      <c r="N351" s="95"/>
      <c r="O351" s="80"/>
    </row>
    <row r="352" spans="10:15" ht="15.75" customHeight="1" x14ac:dyDescent="0.25">
      <c r="J352" s="95"/>
      <c r="K352" s="95"/>
      <c r="L352" s="80"/>
      <c r="M352" s="95"/>
      <c r="N352" s="95"/>
      <c r="O352" s="80"/>
    </row>
    <row r="353" spans="10:15" ht="15.75" customHeight="1" x14ac:dyDescent="0.25">
      <c r="J353" s="95"/>
      <c r="K353" s="95"/>
      <c r="L353" s="80"/>
      <c r="M353" s="95"/>
      <c r="N353" s="95"/>
      <c r="O353" s="80"/>
    </row>
    <row r="354" spans="10:15" ht="15.75" customHeight="1" x14ac:dyDescent="0.25">
      <c r="J354" s="95"/>
      <c r="K354" s="95"/>
      <c r="L354" s="80"/>
      <c r="M354" s="95"/>
      <c r="N354" s="95"/>
      <c r="O354" s="80"/>
    </row>
    <row r="355" spans="10:15" ht="15.75" customHeight="1" x14ac:dyDescent="0.25">
      <c r="J355" s="95"/>
      <c r="K355" s="95"/>
      <c r="L355" s="80"/>
      <c r="M355" s="95"/>
      <c r="N355" s="95"/>
      <c r="O355" s="80"/>
    </row>
    <row r="356" spans="10:15" ht="15.75" customHeight="1" x14ac:dyDescent="0.25">
      <c r="J356" s="95"/>
      <c r="K356" s="95"/>
      <c r="L356" s="80"/>
      <c r="M356" s="95"/>
      <c r="N356" s="95"/>
      <c r="O356" s="80"/>
    </row>
    <row r="357" spans="10:15" ht="15.75" customHeight="1" x14ac:dyDescent="0.25">
      <c r="J357" s="95"/>
      <c r="K357" s="95"/>
      <c r="L357" s="80"/>
      <c r="M357" s="95"/>
      <c r="N357" s="95"/>
      <c r="O357" s="80"/>
    </row>
    <row r="358" spans="10:15" ht="15.75" customHeight="1" x14ac:dyDescent="0.25">
      <c r="J358" s="95"/>
      <c r="K358" s="95"/>
      <c r="L358" s="80"/>
      <c r="M358" s="95"/>
      <c r="N358" s="95"/>
      <c r="O358" s="80"/>
    </row>
    <row r="359" spans="10:15" ht="15.75" customHeight="1" x14ac:dyDescent="0.25">
      <c r="J359" s="95"/>
      <c r="K359" s="95"/>
      <c r="L359" s="80"/>
      <c r="M359" s="95"/>
      <c r="N359" s="95"/>
      <c r="O359" s="80"/>
    </row>
    <row r="360" spans="10:15" ht="15.75" customHeight="1" x14ac:dyDescent="0.25">
      <c r="J360" s="95"/>
      <c r="K360" s="95"/>
      <c r="L360" s="80"/>
      <c r="M360" s="95"/>
      <c r="N360" s="95"/>
      <c r="O360" s="80"/>
    </row>
    <row r="361" spans="10:15" ht="15.75" customHeight="1" x14ac:dyDescent="0.25">
      <c r="J361" s="95"/>
      <c r="K361" s="95"/>
      <c r="L361" s="80"/>
      <c r="M361" s="95"/>
      <c r="N361" s="95"/>
      <c r="O361" s="80"/>
    </row>
    <row r="362" spans="10:15" ht="15.75" customHeight="1" x14ac:dyDescent="0.25">
      <c r="J362" s="95"/>
      <c r="K362" s="95"/>
      <c r="L362" s="80"/>
      <c r="M362" s="95"/>
      <c r="N362" s="95"/>
      <c r="O362" s="80"/>
    </row>
    <row r="363" spans="10:15" ht="15.75" customHeight="1" x14ac:dyDescent="0.25">
      <c r="J363" s="95"/>
      <c r="K363" s="95"/>
      <c r="L363" s="80"/>
      <c r="M363" s="95"/>
      <c r="N363" s="95"/>
      <c r="O363" s="80"/>
    </row>
    <row r="364" spans="10:15" ht="15.75" customHeight="1" x14ac:dyDescent="0.25">
      <c r="J364" s="95"/>
      <c r="K364" s="95"/>
      <c r="L364" s="80"/>
      <c r="M364" s="95"/>
      <c r="N364" s="95"/>
      <c r="O364" s="80"/>
    </row>
    <row r="365" spans="10:15" ht="15.75" customHeight="1" x14ac:dyDescent="0.25">
      <c r="J365" s="95"/>
      <c r="K365" s="95"/>
      <c r="L365" s="80"/>
      <c r="M365" s="95"/>
      <c r="N365" s="95"/>
      <c r="O365" s="80"/>
    </row>
    <row r="366" spans="10:15" ht="15.75" customHeight="1" x14ac:dyDescent="0.25">
      <c r="J366" s="95"/>
      <c r="K366" s="95"/>
      <c r="L366" s="80"/>
      <c r="M366" s="95"/>
      <c r="N366" s="95"/>
      <c r="O366" s="80"/>
    </row>
    <row r="367" spans="10:15" ht="15.75" customHeight="1" x14ac:dyDescent="0.25">
      <c r="J367" s="95"/>
      <c r="K367" s="95"/>
      <c r="L367" s="80"/>
      <c r="M367" s="95"/>
      <c r="N367" s="95"/>
      <c r="O367" s="80"/>
    </row>
    <row r="368" spans="10:15" ht="15.75" customHeight="1" x14ac:dyDescent="0.25">
      <c r="J368" s="95"/>
      <c r="K368" s="95"/>
      <c r="L368" s="80"/>
      <c r="M368" s="95"/>
      <c r="N368" s="95"/>
      <c r="O368" s="80"/>
    </row>
    <row r="369" spans="10:15" ht="15.75" customHeight="1" x14ac:dyDescent="0.25">
      <c r="J369" s="95"/>
      <c r="K369" s="95"/>
      <c r="L369" s="80"/>
      <c r="M369" s="95"/>
      <c r="N369" s="95"/>
      <c r="O369" s="80"/>
    </row>
    <row r="370" spans="10:15" ht="15.75" customHeight="1" x14ac:dyDescent="0.25">
      <c r="J370" s="95"/>
      <c r="K370" s="95"/>
      <c r="L370" s="80"/>
      <c r="M370" s="95"/>
      <c r="N370" s="95"/>
      <c r="O370" s="80"/>
    </row>
    <row r="371" spans="10:15" ht="15.75" customHeight="1" x14ac:dyDescent="0.25">
      <c r="J371" s="95"/>
      <c r="K371" s="95"/>
      <c r="L371" s="80"/>
      <c r="M371" s="95"/>
      <c r="N371" s="95"/>
      <c r="O371" s="80"/>
    </row>
    <row r="372" spans="10:15" ht="15.75" customHeight="1" x14ac:dyDescent="0.25">
      <c r="J372" s="95"/>
      <c r="K372" s="95"/>
      <c r="L372" s="80"/>
      <c r="M372" s="95"/>
      <c r="N372" s="95"/>
      <c r="O372" s="80"/>
    </row>
    <row r="373" spans="10:15" ht="15.75" customHeight="1" x14ac:dyDescent="0.25">
      <c r="J373" s="95"/>
      <c r="K373" s="95"/>
      <c r="L373" s="80"/>
      <c r="M373" s="95"/>
      <c r="N373" s="95"/>
      <c r="O373" s="80"/>
    </row>
    <row r="374" spans="10:15" ht="15.75" customHeight="1" x14ac:dyDescent="0.25">
      <c r="J374" s="95"/>
      <c r="K374" s="95"/>
      <c r="L374" s="80"/>
      <c r="M374" s="95"/>
      <c r="N374" s="95"/>
      <c r="O374" s="80"/>
    </row>
    <row r="375" spans="10:15" ht="15.75" customHeight="1" x14ac:dyDescent="0.25">
      <c r="J375" s="95"/>
      <c r="K375" s="95"/>
      <c r="L375" s="80"/>
      <c r="M375" s="95"/>
      <c r="N375" s="95"/>
      <c r="O375" s="80"/>
    </row>
    <row r="376" spans="10:15" ht="15.75" customHeight="1" x14ac:dyDescent="0.25">
      <c r="J376" s="95"/>
      <c r="K376" s="95"/>
      <c r="L376" s="80"/>
      <c r="M376" s="95"/>
      <c r="N376" s="95"/>
      <c r="O376" s="80"/>
    </row>
    <row r="377" spans="10:15" ht="15.75" customHeight="1" x14ac:dyDescent="0.25">
      <c r="J377" s="95"/>
      <c r="K377" s="95"/>
      <c r="L377" s="80"/>
      <c r="M377" s="95"/>
      <c r="N377" s="95"/>
      <c r="O377" s="80"/>
    </row>
    <row r="378" spans="10:15" ht="15.75" customHeight="1" x14ac:dyDescent="0.25">
      <c r="J378" s="95"/>
      <c r="K378" s="95"/>
      <c r="L378" s="80"/>
      <c r="M378" s="95"/>
      <c r="N378" s="95"/>
      <c r="O378" s="80"/>
    </row>
    <row r="379" spans="10:15" ht="15.75" customHeight="1" x14ac:dyDescent="0.25">
      <c r="J379" s="95"/>
      <c r="K379" s="95"/>
      <c r="L379" s="80"/>
      <c r="M379" s="95"/>
      <c r="N379" s="95"/>
      <c r="O379" s="80"/>
    </row>
    <row r="380" spans="10:15" ht="15.75" customHeight="1" x14ac:dyDescent="0.25">
      <c r="J380" s="95"/>
      <c r="K380" s="95"/>
      <c r="L380" s="80"/>
      <c r="M380" s="95"/>
      <c r="N380" s="95"/>
      <c r="O380" s="80"/>
    </row>
    <row r="381" spans="10:15" ht="15.75" customHeight="1" x14ac:dyDescent="0.25">
      <c r="J381" s="95"/>
      <c r="K381" s="95"/>
      <c r="L381" s="80"/>
      <c r="M381" s="95"/>
      <c r="N381" s="95"/>
      <c r="O381" s="80"/>
    </row>
    <row r="382" spans="10:15" ht="15.75" customHeight="1" x14ac:dyDescent="0.25">
      <c r="J382" s="95"/>
      <c r="K382" s="95"/>
      <c r="L382" s="80"/>
      <c r="M382" s="95"/>
      <c r="N382" s="95"/>
      <c r="O382" s="80"/>
    </row>
    <row r="383" spans="10:15" ht="15.75" customHeight="1" x14ac:dyDescent="0.25">
      <c r="J383" s="95"/>
      <c r="K383" s="95"/>
      <c r="L383" s="80"/>
      <c r="M383" s="95"/>
      <c r="N383" s="95"/>
      <c r="O383" s="80"/>
    </row>
    <row r="384" spans="10:15" ht="15.75" customHeight="1" x14ac:dyDescent="0.25">
      <c r="J384" s="95"/>
      <c r="K384" s="95"/>
      <c r="L384" s="80"/>
      <c r="M384" s="95"/>
      <c r="N384" s="95"/>
      <c r="O384" s="80"/>
    </row>
    <row r="385" spans="10:15" ht="15.75" customHeight="1" x14ac:dyDescent="0.25">
      <c r="J385" s="95"/>
      <c r="K385" s="95"/>
      <c r="L385" s="80"/>
      <c r="M385" s="95"/>
      <c r="N385" s="95"/>
      <c r="O385" s="80"/>
    </row>
    <row r="386" spans="10:15" ht="15.75" customHeight="1" x14ac:dyDescent="0.25">
      <c r="J386" s="95"/>
      <c r="K386" s="95"/>
      <c r="L386" s="80"/>
      <c r="M386" s="95"/>
      <c r="N386" s="95"/>
      <c r="O386" s="80"/>
    </row>
    <row r="387" spans="10:15" ht="15.75" customHeight="1" x14ac:dyDescent="0.25">
      <c r="J387" s="95"/>
      <c r="K387" s="95"/>
      <c r="L387" s="80"/>
      <c r="M387" s="95"/>
      <c r="N387" s="95"/>
      <c r="O387" s="80"/>
    </row>
    <row r="388" spans="10:15" ht="15.75" customHeight="1" x14ac:dyDescent="0.25">
      <c r="J388" s="95"/>
      <c r="K388" s="95"/>
      <c r="L388" s="80"/>
      <c r="M388" s="95"/>
      <c r="N388" s="95"/>
      <c r="O388" s="80"/>
    </row>
    <row r="389" spans="10:15" ht="15.75" customHeight="1" x14ac:dyDescent="0.25">
      <c r="J389" s="95"/>
      <c r="K389" s="95"/>
      <c r="L389" s="80"/>
      <c r="M389" s="95"/>
      <c r="N389" s="95"/>
      <c r="O389" s="80"/>
    </row>
    <row r="390" spans="10:15" ht="15.75" customHeight="1" x14ac:dyDescent="0.25">
      <c r="J390" s="95"/>
      <c r="K390" s="95"/>
      <c r="L390" s="80"/>
      <c r="M390" s="95"/>
      <c r="N390" s="95"/>
      <c r="O390" s="80"/>
    </row>
    <row r="391" spans="10:15" ht="15.75" customHeight="1" x14ac:dyDescent="0.25">
      <c r="J391" s="95"/>
      <c r="K391" s="95"/>
      <c r="L391" s="80"/>
      <c r="M391" s="95"/>
      <c r="N391" s="95"/>
      <c r="O391" s="80"/>
    </row>
    <row r="392" spans="10:15" ht="15.75" customHeight="1" x14ac:dyDescent="0.25">
      <c r="J392" s="95"/>
      <c r="K392" s="95"/>
      <c r="L392" s="80"/>
      <c r="M392" s="95"/>
      <c r="N392" s="95"/>
      <c r="O392" s="80"/>
    </row>
    <row r="393" spans="10:15" ht="15.75" customHeight="1" x14ac:dyDescent="0.25">
      <c r="J393" s="95"/>
      <c r="K393" s="95"/>
      <c r="L393" s="80"/>
      <c r="M393" s="95"/>
      <c r="N393" s="95"/>
      <c r="O393" s="80"/>
    </row>
    <row r="394" spans="10:15" ht="15.75" customHeight="1" x14ac:dyDescent="0.25">
      <c r="J394" s="95"/>
      <c r="K394" s="95"/>
      <c r="L394" s="80"/>
      <c r="M394" s="95"/>
      <c r="N394" s="95"/>
      <c r="O394" s="80"/>
    </row>
    <row r="395" spans="10:15" ht="15.75" customHeight="1" x14ac:dyDescent="0.25">
      <c r="J395" s="95"/>
      <c r="K395" s="95"/>
      <c r="L395" s="80"/>
      <c r="M395" s="95"/>
      <c r="N395" s="95"/>
      <c r="O395" s="80"/>
    </row>
    <row r="396" spans="10:15" ht="15.75" customHeight="1" x14ac:dyDescent="0.25">
      <c r="J396" s="95"/>
      <c r="K396" s="95"/>
      <c r="L396" s="80"/>
      <c r="M396" s="95"/>
      <c r="N396" s="95"/>
      <c r="O396" s="80"/>
    </row>
    <row r="397" spans="10:15" ht="15.75" customHeight="1" x14ac:dyDescent="0.25">
      <c r="J397" s="95"/>
      <c r="K397" s="95"/>
      <c r="L397" s="80"/>
      <c r="M397" s="95"/>
      <c r="N397" s="95"/>
      <c r="O397" s="80"/>
    </row>
    <row r="398" spans="10:15" ht="15.75" customHeight="1" x14ac:dyDescent="0.25">
      <c r="J398" s="95"/>
      <c r="K398" s="95"/>
      <c r="L398" s="80"/>
      <c r="M398" s="95"/>
      <c r="N398" s="95"/>
      <c r="O398" s="80"/>
    </row>
    <row r="399" spans="10:15" ht="15.75" customHeight="1" x14ac:dyDescent="0.25">
      <c r="J399" s="95"/>
      <c r="K399" s="95"/>
      <c r="L399" s="80"/>
      <c r="M399" s="95"/>
      <c r="N399" s="95"/>
      <c r="O399" s="80"/>
    </row>
    <row r="400" spans="10:15" ht="15.75" customHeight="1" x14ac:dyDescent="0.25">
      <c r="J400" s="95"/>
      <c r="K400" s="95"/>
      <c r="L400" s="80"/>
      <c r="M400" s="95"/>
      <c r="N400" s="95"/>
      <c r="O400" s="80"/>
    </row>
    <row r="401" spans="10:15" ht="15.75" customHeight="1" x14ac:dyDescent="0.25">
      <c r="J401" s="95"/>
      <c r="K401" s="95"/>
      <c r="L401" s="80"/>
      <c r="M401" s="95"/>
      <c r="N401" s="95"/>
      <c r="O401" s="80"/>
    </row>
    <row r="402" spans="10:15" ht="15.75" customHeight="1" x14ac:dyDescent="0.25">
      <c r="J402" s="95"/>
      <c r="K402" s="95"/>
      <c r="L402" s="80"/>
      <c r="M402" s="95"/>
      <c r="N402" s="95"/>
      <c r="O402" s="80"/>
    </row>
    <row r="403" spans="10:15" ht="15.75" customHeight="1" x14ac:dyDescent="0.25">
      <c r="J403" s="95"/>
      <c r="K403" s="95"/>
      <c r="L403" s="80"/>
      <c r="M403" s="95"/>
      <c r="N403" s="95"/>
      <c r="O403" s="80"/>
    </row>
    <row r="404" spans="10:15" ht="15.75" customHeight="1" x14ac:dyDescent="0.25">
      <c r="J404" s="95"/>
      <c r="K404" s="95"/>
      <c r="L404" s="80"/>
      <c r="M404" s="95"/>
      <c r="N404" s="95"/>
      <c r="O404" s="80"/>
    </row>
    <row r="405" spans="10:15" ht="15.75" customHeight="1" x14ac:dyDescent="0.25">
      <c r="J405" s="95"/>
      <c r="K405" s="95"/>
      <c r="L405" s="80"/>
      <c r="M405" s="95"/>
      <c r="N405" s="95"/>
      <c r="O405" s="80"/>
    </row>
    <row r="406" spans="10:15" ht="15.75" customHeight="1" x14ac:dyDescent="0.25">
      <c r="J406" s="95"/>
      <c r="K406" s="95"/>
      <c r="L406" s="80"/>
      <c r="M406" s="95"/>
      <c r="N406" s="95"/>
      <c r="O406" s="80"/>
    </row>
    <row r="407" spans="10:15" ht="15.75" customHeight="1" x14ac:dyDescent="0.25">
      <c r="J407" s="95"/>
      <c r="K407" s="95"/>
      <c r="L407" s="80"/>
      <c r="M407" s="95"/>
      <c r="N407" s="95"/>
      <c r="O407" s="80"/>
    </row>
    <row r="408" spans="10:15" ht="15.75" customHeight="1" x14ac:dyDescent="0.25">
      <c r="J408" s="95"/>
      <c r="K408" s="95"/>
      <c r="L408" s="80"/>
      <c r="M408" s="95"/>
      <c r="N408" s="95"/>
      <c r="O408" s="80"/>
    </row>
    <row r="409" spans="10:15" ht="15.75" customHeight="1" x14ac:dyDescent="0.25">
      <c r="J409" s="95"/>
      <c r="K409" s="95"/>
      <c r="L409" s="80"/>
      <c r="M409" s="95"/>
      <c r="N409" s="95"/>
      <c r="O409" s="80"/>
    </row>
    <row r="410" spans="10:15" ht="15.75" customHeight="1" x14ac:dyDescent="0.25">
      <c r="J410" s="95"/>
      <c r="K410" s="95"/>
      <c r="L410" s="80"/>
      <c r="M410" s="95"/>
      <c r="N410" s="95"/>
      <c r="O410" s="80"/>
    </row>
    <row r="411" spans="10:15" ht="15.75" customHeight="1" x14ac:dyDescent="0.25">
      <c r="J411" s="95"/>
      <c r="K411" s="95"/>
      <c r="L411" s="80"/>
      <c r="M411" s="95"/>
      <c r="N411" s="95"/>
      <c r="O411" s="80"/>
    </row>
    <row r="412" spans="10:15" ht="15.75" customHeight="1" x14ac:dyDescent="0.25">
      <c r="J412" s="95"/>
      <c r="K412" s="95"/>
      <c r="L412" s="80"/>
      <c r="M412" s="95"/>
      <c r="N412" s="95"/>
      <c r="O412" s="80"/>
    </row>
    <row r="413" spans="10:15" ht="15.75" customHeight="1" x14ac:dyDescent="0.25">
      <c r="J413" s="95"/>
      <c r="K413" s="95"/>
      <c r="L413" s="80"/>
      <c r="M413" s="95"/>
      <c r="N413" s="95"/>
      <c r="O413" s="80"/>
    </row>
    <row r="414" spans="10:15" ht="15.75" customHeight="1" x14ac:dyDescent="0.25">
      <c r="J414" s="95"/>
      <c r="K414" s="95"/>
      <c r="L414" s="80"/>
      <c r="M414" s="95"/>
      <c r="N414" s="95"/>
      <c r="O414" s="80"/>
    </row>
    <row r="415" spans="10:15" ht="15.75" customHeight="1" x14ac:dyDescent="0.25">
      <c r="J415" s="95"/>
      <c r="K415" s="95"/>
      <c r="L415" s="80"/>
      <c r="M415" s="95"/>
      <c r="N415" s="95"/>
      <c r="O415" s="80"/>
    </row>
    <row r="416" spans="10:15" ht="15.75" customHeight="1" x14ac:dyDescent="0.25">
      <c r="J416" s="95"/>
      <c r="K416" s="95"/>
      <c r="L416" s="80"/>
      <c r="M416" s="95"/>
      <c r="N416" s="95"/>
      <c r="O416" s="80"/>
    </row>
    <row r="417" spans="10:15" ht="15.75" customHeight="1" x14ac:dyDescent="0.25">
      <c r="J417" s="95"/>
      <c r="K417" s="95"/>
      <c r="L417" s="80"/>
      <c r="M417" s="95"/>
      <c r="N417" s="95"/>
      <c r="O417" s="80"/>
    </row>
    <row r="418" spans="10:15" ht="15.75" customHeight="1" x14ac:dyDescent="0.25">
      <c r="J418" s="95"/>
      <c r="K418" s="95"/>
      <c r="L418" s="80"/>
      <c r="M418" s="95"/>
      <c r="N418" s="95"/>
      <c r="O418" s="80"/>
    </row>
    <row r="419" spans="10:15" ht="15.75" customHeight="1" x14ac:dyDescent="0.25">
      <c r="J419" s="95"/>
      <c r="K419" s="95"/>
      <c r="L419" s="80"/>
      <c r="M419" s="95"/>
      <c r="N419" s="95"/>
      <c r="O419" s="80"/>
    </row>
    <row r="420" spans="10:15" ht="15.75" customHeight="1" x14ac:dyDescent="0.25">
      <c r="J420" s="95"/>
      <c r="K420" s="95"/>
      <c r="L420" s="80"/>
      <c r="M420" s="95"/>
      <c r="N420" s="95"/>
      <c r="O420" s="80"/>
    </row>
    <row r="421" spans="10:15" ht="15.75" customHeight="1" x14ac:dyDescent="0.25">
      <c r="J421" s="95"/>
      <c r="K421" s="95"/>
      <c r="L421" s="80"/>
      <c r="M421" s="95"/>
      <c r="N421" s="95"/>
      <c r="O421" s="80"/>
    </row>
    <row r="422" spans="10:15" ht="15.75" customHeight="1" x14ac:dyDescent="0.25">
      <c r="J422" s="95"/>
      <c r="K422" s="95"/>
      <c r="L422" s="80"/>
      <c r="M422" s="95"/>
      <c r="N422" s="95"/>
      <c r="O422" s="80"/>
    </row>
    <row r="423" spans="10:15" ht="15.75" customHeight="1" x14ac:dyDescent="0.25">
      <c r="J423" s="95"/>
      <c r="K423" s="95"/>
      <c r="L423" s="80"/>
      <c r="M423" s="95"/>
      <c r="N423" s="95"/>
      <c r="O423" s="80"/>
    </row>
    <row r="424" spans="10:15" ht="15.75" customHeight="1" x14ac:dyDescent="0.25">
      <c r="J424" s="95"/>
      <c r="K424" s="95"/>
      <c r="L424" s="80"/>
      <c r="M424" s="95"/>
      <c r="N424" s="95"/>
      <c r="O424" s="80"/>
    </row>
    <row r="425" spans="10:15" ht="15.75" customHeight="1" x14ac:dyDescent="0.25">
      <c r="J425" s="95"/>
      <c r="K425" s="95"/>
      <c r="L425" s="80"/>
      <c r="M425" s="95"/>
      <c r="N425" s="95"/>
      <c r="O425" s="80"/>
    </row>
    <row r="426" spans="10:15" ht="15.75" customHeight="1" x14ac:dyDescent="0.25">
      <c r="J426" s="95"/>
      <c r="K426" s="95"/>
      <c r="L426" s="80"/>
      <c r="M426" s="95"/>
      <c r="N426" s="95"/>
      <c r="O426" s="80"/>
    </row>
    <row r="427" spans="10:15" ht="15.75" customHeight="1" x14ac:dyDescent="0.25">
      <c r="J427" s="95"/>
      <c r="K427" s="95"/>
      <c r="L427" s="80"/>
      <c r="M427" s="95"/>
      <c r="N427" s="95"/>
      <c r="O427" s="80"/>
    </row>
    <row r="428" spans="10:15" ht="15.75" customHeight="1" x14ac:dyDescent="0.25">
      <c r="J428" s="95"/>
      <c r="K428" s="95"/>
      <c r="L428" s="80"/>
      <c r="M428" s="95"/>
      <c r="N428" s="95"/>
      <c r="O428" s="80"/>
    </row>
    <row r="429" spans="10:15" ht="15.75" customHeight="1" x14ac:dyDescent="0.25">
      <c r="J429" s="95"/>
      <c r="K429" s="95"/>
      <c r="L429" s="80"/>
      <c r="M429" s="95"/>
      <c r="N429" s="95"/>
      <c r="O429" s="80"/>
    </row>
    <row r="430" spans="10:15" ht="15.75" customHeight="1" x14ac:dyDescent="0.25">
      <c r="J430" s="95"/>
      <c r="K430" s="95"/>
      <c r="L430" s="80"/>
      <c r="M430" s="95"/>
      <c r="N430" s="95"/>
      <c r="O430" s="80"/>
    </row>
    <row r="431" spans="10:15" ht="15.75" customHeight="1" x14ac:dyDescent="0.25">
      <c r="J431" s="95"/>
      <c r="K431" s="95"/>
      <c r="L431" s="80"/>
      <c r="M431" s="95"/>
      <c r="N431" s="95"/>
      <c r="O431" s="80"/>
    </row>
    <row r="432" spans="10:15" ht="15.75" customHeight="1" x14ac:dyDescent="0.25">
      <c r="J432" s="95"/>
      <c r="K432" s="95"/>
      <c r="L432" s="80"/>
      <c r="M432" s="95"/>
      <c r="N432" s="95"/>
      <c r="O432" s="80"/>
    </row>
    <row r="433" spans="10:15" ht="15.75" customHeight="1" x14ac:dyDescent="0.25">
      <c r="J433" s="95"/>
      <c r="K433" s="95"/>
      <c r="L433" s="80"/>
      <c r="M433" s="95"/>
      <c r="N433" s="95"/>
      <c r="O433" s="80"/>
    </row>
    <row r="434" spans="10:15" ht="15.75" customHeight="1" x14ac:dyDescent="0.25">
      <c r="J434" s="95"/>
      <c r="K434" s="95"/>
      <c r="L434" s="80"/>
      <c r="M434" s="95"/>
      <c r="N434" s="95"/>
      <c r="O434" s="80"/>
    </row>
    <row r="435" spans="10:15" ht="15.75" customHeight="1" x14ac:dyDescent="0.25">
      <c r="J435" s="95"/>
      <c r="K435" s="95"/>
      <c r="L435" s="80"/>
      <c r="M435" s="95"/>
      <c r="N435" s="95"/>
      <c r="O435" s="80"/>
    </row>
    <row r="436" spans="10:15" ht="15.75" customHeight="1" x14ac:dyDescent="0.25">
      <c r="J436" s="95"/>
      <c r="K436" s="95"/>
      <c r="L436" s="80"/>
      <c r="M436" s="95"/>
      <c r="N436" s="95"/>
      <c r="O436" s="80"/>
    </row>
    <row r="437" spans="10:15" ht="15.75" customHeight="1" x14ac:dyDescent="0.25">
      <c r="J437" s="95"/>
      <c r="K437" s="95"/>
      <c r="L437" s="80"/>
      <c r="M437" s="95"/>
      <c r="N437" s="95"/>
      <c r="O437" s="80"/>
    </row>
    <row r="438" spans="10:15" ht="15.75" customHeight="1" x14ac:dyDescent="0.25">
      <c r="J438" s="95"/>
      <c r="K438" s="95"/>
      <c r="L438" s="80"/>
      <c r="M438" s="95"/>
      <c r="N438" s="95"/>
      <c r="O438" s="80"/>
    </row>
    <row r="439" spans="10:15" ht="15.75" customHeight="1" x14ac:dyDescent="0.25">
      <c r="J439" s="95"/>
      <c r="K439" s="95"/>
      <c r="L439" s="80"/>
      <c r="M439" s="95"/>
      <c r="N439" s="95"/>
      <c r="O439" s="80"/>
    </row>
    <row r="440" spans="10:15" ht="15.75" customHeight="1" x14ac:dyDescent="0.25">
      <c r="J440" s="95"/>
      <c r="K440" s="95"/>
      <c r="L440" s="80"/>
      <c r="M440" s="95"/>
      <c r="N440" s="95"/>
      <c r="O440" s="80"/>
    </row>
    <row r="441" spans="10:15" ht="15.75" customHeight="1" x14ac:dyDescent="0.25">
      <c r="J441" s="95"/>
      <c r="K441" s="95"/>
      <c r="L441" s="80"/>
      <c r="M441" s="95"/>
      <c r="N441" s="95"/>
      <c r="O441" s="80"/>
    </row>
    <row r="442" spans="10:15" ht="15.75" customHeight="1" x14ac:dyDescent="0.25">
      <c r="J442" s="95"/>
      <c r="K442" s="95"/>
      <c r="L442" s="80"/>
      <c r="M442" s="95"/>
      <c r="N442" s="95"/>
      <c r="O442" s="80"/>
    </row>
    <row r="443" spans="10:15" ht="15.75" customHeight="1" x14ac:dyDescent="0.25">
      <c r="J443" s="95"/>
      <c r="K443" s="95"/>
      <c r="L443" s="80"/>
      <c r="M443" s="95"/>
      <c r="N443" s="95"/>
      <c r="O443" s="80"/>
    </row>
    <row r="444" spans="10:15" ht="15.75" customHeight="1" x14ac:dyDescent="0.25">
      <c r="J444" s="95"/>
      <c r="K444" s="95"/>
      <c r="L444" s="80"/>
      <c r="M444" s="95"/>
      <c r="N444" s="95"/>
      <c r="O444" s="80"/>
    </row>
    <row r="445" spans="10:15" ht="15.75" customHeight="1" x14ac:dyDescent="0.25">
      <c r="J445" s="95"/>
      <c r="K445" s="95"/>
      <c r="L445" s="80"/>
      <c r="M445" s="95"/>
      <c r="N445" s="95"/>
      <c r="O445" s="80"/>
    </row>
    <row r="446" spans="10:15" ht="15.75" customHeight="1" x14ac:dyDescent="0.25">
      <c r="J446" s="95"/>
      <c r="K446" s="95"/>
      <c r="L446" s="80"/>
      <c r="M446" s="95"/>
      <c r="N446" s="95"/>
      <c r="O446" s="80"/>
    </row>
    <row r="447" spans="10:15" ht="15.75" customHeight="1" x14ac:dyDescent="0.25">
      <c r="J447" s="95"/>
      <c r="K447" s="95"/>
      <c r="L447" s="80"/>
      <c r="M447" s="95"/>
      <c r="N447" s="95"/>
      <c r="O447" s="80"/>
    </row>
    <row r="448" spans="10:15" ht="15.75" customHeight="1" x14ac:dyDescent="0.25">
      <c r="J448" s="95"/>
      <c r="K448" s="95"/>
      <c r="L448" s="80"/>
      <c r="M448" s="95"/>
      <c r="N448" s="95"/>
      <c r="O448" s="80"/>
    </row>
    <row r="449" spans="10:15" ht="15.75" customHeight="1" x14ac:dyDescent="0.25">
      <c r="J449" s="95"/>
      <c r="K449" s="95"/>
      <c r="L449" s="80"/>
      <c r="M449" s="95"/>
      <c r="N449" s="95"/>
      <c r="O449" s="80"/>
    </row>
    <row r="450" spans="10:15" ht="15.75" customHeight="1" x14ac:dyDescent="0.25">
      <c r="J450" s="95"/>
      <c r="K450" s="95"/>
      <c r="L450" s="80"/>
      <c r="M450" s="95"/>
      <c r="N450" s="95"/>
      <c r="O450" s="80"/>
    </row>
    <row r="451" spans="10:15" ht="15.75" customHeight="1" x14ac:dyDescent="0.25">
      <c r="J451" s="95"/>
      <c r="K451" s="95"/>
      <c r="L451" s="80"/>
      <c r="M451" s="95"/>
      <c r="N451" s="95"/>
      <c r="O451" s="80"/>
    </row>
    <row r="452" spans="10:15" ht="15.75" customHeight="1" x14ac:dyDescent="0.25">
      <c r="J452" s="95"/>
      <c r="K452" s="95"/>
      <c r="L452" s="80"/>
      <c r="M452" s="95"/>
      <c r="N452" s="95"/>
      <c r="O452" s="80"/>
    </row>
    <row r="453" spans="10:15" ht="15.75" customHeight="1" x14ac:dyDescent="0.25">
      <c r="J453" s="95"/>
      <c r="K453" s="95"/>
      <c r="L453" s="80"/>
      <c r="M453" s="95"/>
      <c r="N453" s="95"/>
      <c r="O453" s="80"/>
    </row>
    <row r="454" spans="10:15" ht="15.75" customHeight="1" x14ac:dyDescent="0.25">
      <c r="J454" s="95"/>
      <c r="K454" s="95"/>
      <c r="L454" s="80"/>
      <c r="M454" s="95"/>
      <c r="N454" s="95"/>
      <c r="O454" s="80"/>
    </row>
    <row r="455" spans="10:15" ht="15.75" customHeight="1" x14ac:dyDescent="0.25">
      <c r="J455" s="95"/>
      <c r="K455" s="95"/>
      <c r="L455" s="80"/>
      <c r="M455" s="95"/>
      <c r="N455" s="95"/>
      <c r="O455" s="80"/>
    </row>
    <row r="456" spans="10:15" ht="15.75" customHeight="1" x14ac:dyDescent="0.25">
      <c r="J456" s="95"/>
      <c r="K456" s="95"/>
      <c r="L456" s="80"/>
      <c r="M456" s="95"/>
      <c r="N456" s="95"/>
      <c r="O456" s="80"/>
    </row>
    <row r="457" spans="10:15" ht="15.75" customHeight="1" x14ac:dyDescent="0.25">
      <c r="J457" s="95"/>
      <c r="K457" s="95"/>
      <c r="L457" s="80"/>
      <c r="M457" s="95"/>
      <c r="N457" s="95"/>
      <c r="O457" s="80"/>
    </row>
    <row r="458" spans="10:15" ht="15.75" customHeight="1" x14ac:dyDescent="0.25">
      <c r="J458" s="95"/>
      <c r="K458" s="95"/>
      <c r="L458" s="80"/>
      <c r="M458" s="95"/>
      <c r="N458" s="95"/>
      <c r="O458" s="80"/>
    </row>
    <row r="459" spans="10:15" ht="15.75" customHeight="1" x14ac:dyDescent="0.25">
      <c r="J459" s="95"/>
      <c r="K459" s="95"/>
      <c r="L459" s="80"/>
      <c r="M459" s="95"/>
      <c r="N459" s="95"/>
      <c r="O459" s="80"/>
    </row>
    <row r="460" spans="10:15" ht="15.75" customHeight="1" x14ac:dyDescent="0.25">
      <c r="J460" s="95"/>
      <c r="K460" s="95"/>
      <c r="L460" s="80"/>
      <c r="M460" s="95"/>
      <c r="N460" s="95"/>
      <c r="O460" s="80"/>
    </row>
    <row r="461" spans="10:15" ht="15.75" customHeight="1" x14ac:dyDescent="0.25">
      <c r="J461" s="95"/>
      <c r="K461" s="95"/>
      <c r="L461" s="80"/>
      <c r="M461" s="95"/>
      <c r="N461" s="95"/>
      <c r="O461" s="80"/>
    </row>
    <row r="462" spans="10:15" ht="15.75" customHeight="1" x14ac:dyDescent="0.25">
      <c r="J462" s="95"/>
      <c r="K462" s="95"/>
      <c r="L462" s="80"/>
      <c r="M462" s="95"/>
      <c r="N462" s="95"/>
      <c r="O462" s="80"/>
    </row>
    <row r="463" spans="10:15" ht="15.75" customHeight="1" x14ac:dyDescent="0.25">
      <c r="J463" s="95"/>
      <c r="K463" s="95"/>
      <c r="L463" s="80"/>
      <c r="M463" s="95"/>
      <c r="N463" s="95"/>
      <c r="O463" s="80"/>
    </row>
    <row r="464" spans="10:15" ht="15.75" customHeight="1" x14ac:dyDescent="0.25">
      <c r="J464" s="95"/>
      <c r="K464" s="95"/>
      <c r="L464" s="80"/>
      <c r="M464" s="95"/>
      <c r="N464" s="95"/>
      <c r="O464" s="80"/>
    </row>
    <row r="465" spans="10:15" ht="15.75" customHeight="1" x14ac:dyDescent="0.25">
      <c r="J465" s="95"/>
      <c r="K465" s="95"/>
      <c r="L465" s="80"/>
      <c r="M465" s="95"/>
      <c r="N465" s="95"/>
      <c r="O465" s="80"/>
    </row>
    <row r="466" spans="10:15" ht="15.75" customHeight="1" x14ac:dyDescent="0.25">
      <c r="J466" s="95"/>
      <c r="K466" s="95"/>
      <c r="L466" s="80"/>
      <c r="M466" s="95"/>
      <c r="N466" s="95"/>
      <c r="O466" s="80"/>
    </row>
    <row r="467" spans="10:15" ht="15.75" customHeight="1" x14ac:dyDescent="0.25">
      <c r="J467" s="95"/>
      <c r="K467" s="95"/>
      <c r="L467" s="80"/>
      <c r="M467" s="95"/>
      <c r="N467" s="95"/>
      <c r="O467" s="80"/>
    </row>
    <row r="468" spans="10:15" ht="15.75" customHeight="1" x14ac:dyDescent="0.25">
      <c r="J468" s="95"/>
      <c r="K468" s="95"/>
      <c r="L468" s="80"/>
      <c r="M468" s="95"/>
      <c r="N468" s="95"/>
      <c r="O468" s="80"/>
    </row>
    <row r="469" spans="10:15" ht="15.75" customHeight="1" x14ac:dyDescent="0.25">
      <c r="J469" s="95"/>
      <c r="K469" s="95"/>
      <c r="L469" s="80"/>
      <c r="M469" s="95"/>
      <c r="N469" s="95"/>
      <c r="O469" s="80"/>
    </row>
    <row r="470" spans="10:15" ht="15.75" customHeight="1" x14ac:dyDescent="0.25">
      <c r="J470" s="95"/>
      <c r="K470" s="95"/>
      <c r="L470" s="80"/>
      <c r="M470" s="95"/>
      <c r="N470" s="95"/>
      <c r="O470" s="80"/>
    </row>
    <row r="471" spans="10:15" ht="15.75" customHeight="1" x14ac:dyDescent="0.25">
      <c r="J471" s="95"/>
      <c r="K471" s="95"/>
      <c r="L471" s="80"/>
      <c r="M471" s="95"/>
      <c r="N471" s="95"/>
      <c r="O471" s="80"/>
    </row>
    <row r="472" spans="10:15" ht="15.75" customHeight="1" x14ac:dyDescent="0.25">
      <c r="J472" s="95"/>
      <c r="K472" s="95"/>
      <c r="L472" s="80"/>
      <c r="M472" s="95"/>
      <c r="N472" s="95"/>
      <c r="O472" s="80"/>
    </row>
    <row r="473" spans="10:15" ht="15.75" customHeight="1" x14ac:dyDescent="0.25">
      <c r="J473" s="95"/>
      <c r="K473" s="95"/>
      <c r="L473" s="80"/>
      <c r="M473" s="95"/>
      <c r="N473" s="95"/>
      <c r="O473" s="80"/>
    </row>
    <row r="474" spans="10:15" ht="15.75" customHeight="1" x14ac:dyDescent="0.25">
      <c r="J474" s="95"/>
      <c r="K474" s="95"/>
      <c r="L474" s="80"/>
      <c r="M474" s="95"/>
      <c r="N474" s="95"/>
      <c r="O474" s="80"/>
    </row>
    <row r="475" spans="10:15" ht="15.75" customHeight="1" x14ac:dyDescent="0.25">
      <c r="J475" s="95"/>
      <c r="K475" s="95"/>
      <c r="L475" s="80"/>
      <c r="M475" s="95"/>
      <c r="N475" s="95"/>
      <c r="O475" s="80"/>
    </row>
    <row r="476" spans="10:15" ht="15.75" customHeight="1" x14ac:dyDescent="0.25">
      <c r="J476" s="95"/>
      <c r="K476" s="95"/>
      <c r="L476" s="80"/>
      <c r="M476" s="95"/>
      <c r="N476" s="95"/>
      <c r="O476" s="80"/>
    </row>
    <row r="477" spans="10:15" ht="15.75" customHeight="1" x14ac:dyDescent="0.25">
      <c r="J477" s="95"/>
      <c r="K477" s="95"/>
      <c r="L477" s="80"/>
      <c r="M477" s="95"/>
      <c r="N477" s="95"/>
      <c r="O477" s="80"/>
    </row>
    <row r="478" spans="10:15" ht="15.75" customHeight="1" x14ac:dyDescent="0.25">
      <c r="J478" s="95"/>
      <c r="K478" s="95"/>
      <c r="L478" s="80"/>
      <c r="M478" s="95"/>
      <c r="N478" s="95"/>
      <c r="O478" s="80"/>
    </row>
    <row r="479" spans="10:15" ht="15.75" customHeight="1" x14ac:dyDescent="0.25">
      <c r="J479" s="95"/>
      <c r="K479" s="95"/>
      <c r="L479" s="80"/>
      <c r="M479" s="95"/>
      <c r="N479" s="95"/>
      <c r="O479" s="80"/>
    </row>
    <row r="480" spans="10:15" ht="15.75" customHeight="1" x14ac:dyDescent="0.25">
      <c r="J480" s="95"/>
      <c r="K480" s="95"/>
      <c r="L480" s="80"/>
      <c r="M480" s="95"/>
      <c r="N480" s="95"/>
      <c r="O480" s="80"/>
    </row>
    <row r="481" spans="10:15" ht="15.75" customHeight="1" x14ac:dyDescent="0.25">
      <c r="J481" s="95"/>
      <c r="K481" s="95"/>
      <c r="L481" s="80"/>
      <c r="M481" s="95"/>
      <c r="N481" s="95"/>
      <c r="O481" s="80"/>
    </row>
    <row r="482" spans="10:15" ht="15.75" customHeight="1" x14ac:dyDescent="0.25">
      <c r="J482" s="95"/>
      <c r="K482" s="95"/>
      <c r="L482" s="80"/>
      <c r="M482" s="95"/>
      <c r="N482" s="95"/>
      <c r="O482" s="80"/>
    </row>
    <row r="483" spans="10:15" ht="15.75" customHeight="1" x14ac:dyDescent="0.25">
      <c r="J483" s="95"/>
      <c r="K483" s="95"/>
      <c r="L483" s="80"/>
      <c r="M483" s="95"/>
      <c r="N483" s="95"/>
      <c r="O483" s="80"/>
    </row>
    <row r="484" spans="10:15" ht="15.75" customHeight="1" x14ac:dyDescent="0.25">
      <c r="J484" s="95"/>
      <c r="K484" s="95"/>
      <c r="L484" s="80"/>
      <c r="M484" s="95"/>
      <c r="N484" s="95"/>
      <c r="O484" s="80"/>
    </row>
    <row r="485" spans="10:15" ht="15.75" customHeight="1" x14ac:dyDescent="0.25">
      <c r="J485" s="95"/>
      <c r="K485" s="95"/>
      <c r="L485" s="80"/>
      <c r="M485" s="95"/>
      <c r="N485" s="95"/>
      <c r="O485" s="80"/>
    </row>
    <row r="486" spans="10:15" ht="15.75" customHeight="1" x14ac:dyDescent="0.25">
      <c r="J486" s="95"/>
      <c r="K486" s="95"/>
      <c r="L486" s="80"/>
      <c r="M486" s="95"/>
      <c r="N486" s="95"/>
      <c r="O486" s="80"/>
    </row>
    <row r="487" spans="10:15" ht="15.75" customHeight="1" x14ac:dyDescent="0.25">
      <c r="J487" s="95"/>
      <c r="K487" s="95"/>
      <c r="L487" s="80"/>
      <c r="M487" s="95"/>
      <c r="N487" s="95"/>
      <c r="O487" s="80"/>
    </row>
    <row r="488" spans="10:15" ht="15.75" customHeight="1" x14ac:dyDescent="0.25">
      <c r="J488" s="95"/>
      <c r="K488" s="95"/>
      <c r="L488" s="80"/>
      <c r="M488" s="95"/>
      <c r="N488" s="95"/>
      <c r="O488" s="80"/>
    </row>
    <row r="489" spans="10:15" ht="15.75" customHeight="1" x14ac:dyDescent="0.25">
      <c r="J489" s="95"/>
      <c r="K489" s="95"/>
      <c r="L489" s="80"/>
      <c r="M489" s="95"/>
      <c r="N489" s="95"/>
      <c r="O489" s="80"/>
    </row>
    <row r="490" spans="10:15" ht="15.75" customHeight="1" x14ac:dyDescent="0.25">
      <c r="J490" s="95"/>
      <c r="K490" s="95"/>
      <c r="L490" s="80"/>
      <c r="M490" s="95"/>
      <c r="N490" s="95"/>
      <c r="O490" s="80"/>
    </row>
    <row r="491" spans="10:15" ht="15.75" customHeight="1" x14ac:dyDescent="0.25">
      <c r="J491" s="95"/>
      <c r="K491" s="95"/>
      <c r="L491" s="80"/>
      <c r="M491" s="95"/>
      <c r="N491" s="95"/>
      <c r="O491" s="80"/>
    </row>
    <row r="492" spans="10:15" ht="15.75" customHeight="1" x14ac:dyDescent="0.25">
      <c r="J492" s="95"/>
      <c r="K492" s="95"/>
      <c r="L492" s="80"/>
      <c r="M492" s="95"/>
      <c r="N492" s="95"/>
      <c r="O492" s="80"/>
    </row>
    <row r="493" spans="10:15" ht="15.75" customHeight="1" x14ac:dyDescent="0.25">
      <c r="J493" s="95"/>
      <c r="K493" s="95"/>
      <c r="L493" s="80"/>
      <c r="M493" s="95"/>
      <c r="N493" s="95"/>
      <c r="O493" s="80"/>
    </row>
    <row r="494" spans="10:15" ht="15.75" customHeight="1" x14ac:dyDescent="0.25">
      <c r="J494" s="95"/>
      <c r="K494" s="95"/>
      <c r="L494" s="80"/>
      <c r="M494" s="95"/>
      <c r="N494" s="95"/>
      <c r="O494" s="80"/>
    </row>
    <row r="495" spans="10:15" ht="15.75" customHeight="1" x14ac:dyDescent="0.25">
      <c r="J495" s="95"/>
      <c r="K495" s="95"/>
      <c r="L495" s="80"/>
      <c r="M495" s="95"/>
      <c r="N495" s="95"/>
      <c r="O495" s="80"/>
    </row>
    <row r="496" spans="10:15" ht="15.75" customHeight="1" x14ac:dyDescent="0.25">
      <c r="J496" s="95"/>
      <c r="K496" s="95"/>
      <c r="L496" s="80"/>
      <c r="M496" s="95"/>
      <c r="N496" s="95"/>
      <c r="O496" s="80"/>
    </row>
    <row r="497" spans="10:15" ht="15.75" customHeight="1" x14ac:dyDescent="0.25">
      <c r="J497" s="95"/>
      <c r="K497" s="95"/>
      <c r="L497" s="80"/>
      <c r="M497" s="95"/>
      <c r="N497" s="95"/>
      <c r="O497" s="80"/>
    </row>
    <row r="498" spans="10:15" ht="15.75" customHeight="1" x14ac:dyDescent="0.25">
      <c r="J498" s="95"/>
      <c r="K498" s="95"/>
      <c r="L498" s="80"/>
      <c r="M498" s="95"/>
      <c r="N498" s="95"/>
      <c r="O498" s="80"/>
    </row>
    <row r="499" spans="10:15" ht="15.75" customHeight="1" x14ac:dyDescent="0.25">
      <c r="J499" s="95"/>
      <c r="K499" s="95"/>
      <c r="L499" s="80"/>
      <c r="M499" s="95"/>
      <c r="N499" s="95"/>
      <c r="O499" s="80"/>
    </row>
    <row r="500" spans="10:15" ht="15.75" customHeight="1" x14ac:dyDescent="0.25">
      <c r="J500" s="95"/>
      <c r="K500" s="95"/>
      <c r="L500" s="80"/>
      <c r="M500" s="95"/>
      <c r="N500" s="95"/>
      <c r="O500" s="80"/>
    </row>
    <row r="501" spans="10:15" ht="15.75" customHeight="1" x14ac:dyDescent="0.25">
      <c r="J501" s="95"/>
      <c r="K501" s="95"/>
      <c r="L501" s="80"/>
      <c r="M501" s="95"/>
      <c r="N501" s="95"/>
      <c r="O501" s="80"/>
    </row>
    <row r="502" spans="10:15" ht="15.75" customHeight="1" x14ac:dyDescent="0.25">
      <c r="J502" s="95"/>
      <c r="K502" s="95"/>
      <c r="L502" s="80"/>
      <c r="M502" s="95"/>
      <c r="N502" s="95"/>
      <c r="O502" s="80"/>
    </row>
    <row r="503" spans="10:15" ht="15.75" customHeight="1" x14ac:dyDescent="0.25">
      <c r="J503" s="95"/>
      <c r="K503" s="95"/>
      <c r="L503" s="80"/>
      <c r="M503" s="95"/>
      <c r="N503" s="95"/>
      <c r="O503" s="80"/>
    </row>
    <row r="504" spans="10:15" ht="15.75" customHeight="1" x14ac:dyDescent="0.25">
      <c r="J504" s="95"/>
      <c r="K504" s="95"/>
      <c r="L504" s="80"/>
      <c r="M504" s="95"/>
      <c r="N504" s="95"/>
      <c r="O504" s="80"/>
    </row>
    <row r="505" spans="10:15" ht="15.75" customHeight="1" x14ac:dyDescent="0.25">
      <c r="J505" s="95"/>
      <c r="K505" s="95"/>
      <c r="L505" s="80"/>
      <c r="M505" s="95"/>
      <c r="N505" s="95"/>
      <c r="O505" s="80"/>
    </row>
    <row r="506" spans="10:15" ht="15.75" customHeight="1" x14ac:dyDescent="0.25">
      <c r="J506" s="95"/>
      <c r="K506" s="95"/>
      <c r="L506" s="80"/>
      <c r="M506" s="95"/>
      <c r="N506" s="95"/>
      <c r="O506" s="80"/>
    </row>
    <row r="507" spans="10:15" ht="15.75" customHeight="1" x14ac:dyDescent="0.25">
      <c r="J507" s="95"/>
      <c r="K507" s="95"/>
      <c r="L507" s="80"/>
      <c r="M507" s="95"/>
      <c r="N507" s="95"/>
      <c r="O507" s="80"/>
    </row>
    <row r="508" spans="10:15" ht="15.75" customHeight="1" x14ac:dyDescent="0.25">
      <c r="J508" s="95"/>
      <c r="K508" s="95"/>
      <c r="L508" s="80"/>
      <c r="M508" s="95"/>
      <c r="N508" s="95"/>
      <c r="O508" s="80"/>
    </row>
    <row r="509" spans="10:15" ht="15.75" customHeight="1" x14ac:dyDescent="0.25">
      <c r="J509" s="95"/>
      <c r="K509" s="95"/>
      <c r="L509" s="80"/>
      <c r="M509" s="95"/>
      <c r="N509" s="95"/>
      <c r="O509" s="80"/>
    </row>
    <row r="510" spans="10:15" ht="15.75" customHeight="1" x14ac:dyDescent="0.25">
      <c r="J510" s="95"/>
      <c r="K510" s="95"/>
      <c r="L510" s="80"/>
      <c r="M510" s="95"/>
      <c r="N510" s="95"/>
      <c r="O510" s="80"/>
    </row>
    <row r="511" spans="10:15" ht="15.75" customHeight="1" x14ac:dyDescent="0.25">
      <c r="J511" s="95"/>
      <c r="K511" s="95"/>
      <c r="L511" s="80"/>
      <c r="M511" s="95"/>
      <c r="N511" s="95"/>
      <c r="O511" s="80"/>
    </row>
    <row r="512" spans="10:15" ht="15.75" customHeight="1" x14ac:dyDescent="0.25">
      <c r="J512" s="95"/>
      <c r="K512" s="95"/>
      <c r="L512" s="80"/>
      <c r="M512" s="95"/>
      <c r="N512" s="95"/>
      <c r="O512" s="80"/>
    </row>
    <row r="513" spans="10:15" ht="15.75" customHeight="1" x14ac:dyDescent="0.25">
      <c r="J513" s="95"/>
      <c r="K513" s="95"/>
      <c r="L513" s="80"/>
      <c r="M513" s="95"/>
      <c r="N513" s="95"/>
      <c r="O513" s="80"/>
    </row>
    <row r="514" spans="10:15" ht="15.75" customHeight="1" x14ac:dyDescent="0.25">
      <c r="J514" s="95"/>
      <c r="K514" s="95"/>
      <c r="L514" s="80"/>
      <c r="M514" s="95"/>
      <c r="N514" s="95"/>
      <c r="O514" s="80"/>
    </row>
    <row r="515" spans="10:15" ht="15.75" customHeight="1" x14ac:dyDescent="0.25">
      <c r="J515" s="95"/>
      <c r="K515" s="95"/>
      <c r="L515" s="80"/>
      <c r="M515" s="95"/>
      <c r="N515" s="95"/>
      <c r="O515" s="80"/>
    </row>
    <row r="516" spans="10:15" ht="15.75" customHeight="1" x14ac:dyDescent="0.25">
      <c r="J516" s="95"/>
      <c r="K516" s="95"/>
      <c r="L516" s="80"/>
      <c r="M516" s="95"/>
      <c r="N516" s="95"/>
      <c r="O516" s="80"/>
    </row>
    <row r="517" spans="10:15" ht="15.75" customHeight="1" x14ac:dyDescent="0.25">
      <c r="J517" s="95"/>
      <c r="K517" s="95"/>
      <c r="L517" s="80"/>
      <c r="M517" s="95"/>
      <c r="N517" s="95"/>
      <c r="O517" s="80"/>
    </row>
    <row r="518" spans="10:15" ht="15.75" customHeight="1" x14ac:dyDescent="0.25">
      <c r="J518" s="95"/>
      <c r="K518" s="95"/>
      <c r="L518" s="80"/>
      <c r="M518" s="95"/>
      <c r="N518" s="95"/>
      <c r="O518" s="80"/>
    </row>
    <row r="519" spans="10:15" ht="15.75" customHeight="1" x14ac:dyDescent="0.25">
      <c r="J519" s="95"/>
      <c r="K519" s="95"/>
      <c r="L519" s="80"/>
      <c r="M519" s="95"/>
      <c r="N519" s="95"/>
      <c r="O519" s="80"/>
    </row>
    <row r="520" spans="10:15" ht="15.75" customHeight="1" x14ac:dyDescent="0.25">
      <c r="J520" s="95"/>
      <c r="K520" s="95"/>
      <c r="L520" s="80"/>
      <c r="M520" s="95"/>
      <c r="N520" s="95"/>
      <c r="O520" s="80"/>
    </row>
    <row r="521" spans="10:15" ht="15.75" customHeight="1" x14ac:dyDescent="0.25">
      <c r="J521" s="95"/>
      <c r="K521" s="95"/>
      <c r="L521" s="80"/>
      <c r="M521" s="95"/>
      <c r="N521" s="95"/>
      <c r="O521" s="80"/>
    </row>
    <row r="522" spans="10:15" ht="15.75" customHeight="1" x14ac:dyDescent="0.25">
      <c r="J522" s="95"/>
      <c r="K522" s="95"/>
      <c r="L522" s="80"/>
      <c r="M522" s="95"/>
      <c r="N522" s="95"/>
      <c r="O522" s="80"/>
    </row>
    <row r="523" spans="10:15" ht="15.75" customHeight="1" x14ac:dyDescent="0.25">
      <c r="J523" s="95"/>
      <c r="K523" s="95"/>
      <c r="L523" s="80"/>
      <c r="M523" s="95"/>
      <c r="N523" s="95"/>
      <c r="O523" s="80"/>
    </row>
    <row r="524" spans="10:15" ht="15.75" customHeight="1" x14ac:dyDescent="0.25">
      <c r="J524" s="95"/>
      <c r="K524" s="95"/>
      <c r="L524" s="80"/>
      <c r="M524" s="95"/>
      <c r="N524" s="95"/>
      <c r="O524" s="80"/>
    </row>
    <row r="525" spans="10:15" ht="15.75" customHeight="1" x14ac:dyDescent="0.25">
      <c r="J525" s="95"/>
      <c r="K525" s="95"/>
      <c r="L525" s="80"/>
      <c r="M525" s="95"/>
      <c r="N525" s="95"/>
      <c r="O525" s="80"/>
    </row>
    <row r="526" spans="10:15" ht="15.75" customHeight="1" x14ac:dyDescent="0.25">
      <c r="J526" s="95"/>
      <c r="K526" s="95"/>
      <c r="L526" s="80"/>
      <c r="M526" s="95"/>
      <c r="N526" s="95"/>
      <c r="O526" s="80"/>
    </row>
    <row r="527" spans="10:15" ht="15.75" customHeight="1" x14ac:dyDescent="0.25">
      <c r="J527" s="95"/>
      <c r="K527" s="95"/>
      <c r="L527" s="80"/>
      <c r="M527" s="95"/>
      <c r="N527" s="95"/>
      <c r="O527" s="80"/>
    </row>
    <row r="528" spans="10:15" ht="15.75" customHeight="1" x14ac:dyDescent="0.25">
      <c r="J528" s="95"/>
      <c r="K528" s="95"/>
      <c r="L528" s="80"/>
      <c r="M528" s="95"/>
      <c r="N528" s="95"/>
      <c r="O528" s="80"/>
    </row>
    <row r="529" spans="10:15" ht="15.75" customHeight="1" x14ac:dyDescent="0.25">
      <c r="J529" s="95"/>
      <c r="K529" s="95"/>
      <c r="L529" s="80"/>
      <c r="M529" s="95"/>
      <c r="N529" s="95"/>
      <c r="O529" s="80"/>
    </row>
    <row r="530" spans="10:15" ht="15.75" customHeight="1" x14ac:dyDescent="0.25">
      <c r="J530" s="95"/>
      <c r="K530" s="95"/>
      <c r="L530" s="80"/>
      <c r="M530" s="95"/>
      <c r="N530" s="95"/>
      <c r="O530" s="80"/>
    </row>
    <row r="531" spans="10:15" ht="15.75" customHeight="1" x14ac:dyDescent="0.25">
      <c r="J531" s="95"/>
      <c r="K531" s="95"/>
      <c r="L531" s="80"/>
      <c r="M531" s="95"/>
      <c r="N531" s="95"/>
      <c r="O531" s="80"/>
    </row>
    <row r="532" spans="10:15" ht="15.75" customHeight="1" x14ac:dyDescent="0.25">
      <c r="J532" s="95"/>
      <c r="K532" s="95"/>
      <c r="L532" s="80"/>
      <c r="M532" s="95"/>
      <c r="N532" s="95"/>
      <c r="O532" s="80"/>
    </row>
    <row r="533" spans="10:15" ht="15.75" customHeight="1" x14ac:dyDescent="0.25">
      <c r="J533" s="95"/>
      <c r="K533" s="95"/>
      <c r="L533" s="80"/>
      <c r="M533" s="95"/>
      <c r="N533" s="95"/>
      <c r="O533" s="80"/>
    </row>
    <row r="534" spans="10:15" ht="15.75" customHeight="1" x14ac:dyDescent="0.25">
      <c r="J534" s="95"/>
      <c r="K534" s="95"/>
      <c r="L534" s="80"/>
      <c r="M534" s="95"/>
      <c r="N534" s="95"/>
      <c r="O534" s="80"/>
    </row>
    <row r="535" spans="10:15" ht="15.75" customHeight="1" x14ac:dyDescent="0.25">
      <c r="J535" s="95"/>
      <c r="K535" s="95"/>
      <c r="L535" s="80"/>
      <c r="M535" s="95"/>
      <c r="N535" s="95"/>
      <c r="O535" s="80"/>
    </row>
    <row r="536" spans="10:15" ht="15.75" customHeight="1" x14ac:dyDescent="0.25">
      <c r="J536" s="95"/>
      <c r="K536" s="95"/>
      <c r="L536" s="80"/>
      <c r="M536" s="95"/>
      <c r="N536" s="95"/>
      <c r="O536" s="80"/>
    </row>
    <row r="537" spans="10:15" ht="15.75" customHeight="1" x14ac:dyDescent="0.25">
      <c r="J537" s="95"/>
      <c r="K537" s="95"/>
      <c r="L537" s="80"/>
      <c r="M537" s="95"/>
      <c r="N537" s="95"/>
      <c r="O537" s="80"/>
    </row>
    <row r="538" spans="10:15" ht="15.75" customHeight="1" x14ac:dyDescent="0.25">
      <c r="J538" s="95"/>
      <c r="K538" s="95"/>
      <c r="L538" s="80"/>
      <c r="M538" s="95"/>
      <c r="N538" s="95"/>
      <c r="O538" s="80"/>
    </row>
    <row r="539" spans="10:15" ht="15.75" customHeight="1" x14ac:dyDescent="0.25">
      <c r="J539" s="95"/>
      <c r="K539" s="95"/>
      <c r="L539" s="80"/>
      <c r="M539" s="95"/>
      <c r="N539" s="95"/>
      <c r="O539" s="80"/>
    </row>
    <row r="540" spans="10:15" ht="15.75" customHeight="1" x14ac:dyDescent="0.25">
      <c r="J540" s="95"/>
      <c r="K540" s="95"/>
      <c r="L540" s="80"/>
      <c r="M540" s="95"/>
      <c r="N540" s="95"/>
      <c r="O540" s="80"/>
    </row>
    <row r="541" spans="10:15" ht="15.75" customHeight="1" x14ac:dyDescent="0.25">
      <c r="J541" s="95"/>
      <c r="K541" s="95"/>
      <c r="L541" s="80"/>
      <c r="M541" s="95"/>
      <c r="N541" s="95"/>
      <c r="O541" s="80"/>
    </row>
    <row r="542" spans="10:15" ht="15.75" customHeight="1" x14ac:dyDescent="0.25">
      <c r="J542" s="95"/>
      <c r="K542" s="95"/>
      <c r="L542" s="80"/>
      <c r="M542" s="95"/>
      <c r="N542" s="95"/>
      <c r="O542" s="80"/>
    </row>
    <row r="543" spans="10:15" ht="15.75" customHeight="1" x14ac:dyDescent="0.25">
      <c r="J543" s="95"/>
      <c r="K543" s="95"/>
      <c r="L543" s="80"/>
      <c r="M543" s="95"/>
      <c r="N543" s="95"/>
      <c r="O543" s="80"/>
    </row>
    <row r="544" spans="10:15" ht="15.75" customHeight="1" x14ac:dyDescent="0.25">
      <c r="J544" s="95"/>
      <c r="K544" s="95"/>
      <c r="L544" s="80"/>
      <c r="M544" s="95"/>
      <c r="N544" s="95"/>
      <c r="O544" s="80"/>
    </row>
    <row r="545" spans="10:15" ht="15.75" customHeight="1" x14ac:dyDescent="0.25">
      <c r="J545" s="95"/>
      <c r="K545" s="95"/>
      <c r="L545" s="80"/>
      <c r="M545" s="95"/>
      <c r="N545" s="95"/>
      <c r="O545" s="80"/>
    </row>
    <row r="546" spans="10:15" ht="15.75" customHeight="1" x14ac:dyDescent="0.25">
      <c r="J546" s="95"/>
      <c r="K546" s="95"/>
      <c r="L546" s="80"/>
      <c r="M546" s="95"/>
      <c r="N546" s="95"/>
      <c r="O546" s="80"/>
    </row>
    <row r="547" spans="10:15" ht="15.75" customHeight="1" x14ac:dyDescent="0.25">
      <c r="J547" s="95"/>
      <c r="K547" s="95"/>
      <c r="L547" s="80"/>
      <c r="M547" s="95"/>
      <c r="N547" s="95"/>
      <c r="O547" s="80"/>
    </row>
    <row r="548" spans="10:15" ht="15.75" customHeight="1" x14ac:dyDescent="0.25">
      <c r="J548" s="95"/>
      <c r="K548" s="95"/>
      <c r="L548" s="80"/>
      <c r="M548" s="95"/>
      <c r="N548" s="95"/>
      <c r="O548" s="80"/>
    </row>
    <row r="549" spans="10:15" ht="15.75" customHeight="1" x14ac:dyDescent="0.25">
      <c r="J549" s="95"/>
      <c r="K549" s="95"/>
      <c r="L549" s="80"/>
      <c r="M549" s="95"/>
      <c r="N549" s="95"/>
      <c r="O549" s="80"/>
    </row>
    <row r="550" spans="10:15" ht="15.75" customHeight="1" x14ac:dyDescent="0.25">
      <c r="J550" s="95"/>
      <c r="K550" s="95"/>
      <c r="L550" s="80"/>
      <c r="M550" s="95"/>
      <c r="N550" s="95"/>
      <c r="O550" s="80"/>
    </row>
    <row r="551" spans="10:15" ht="15.75" customHeight="1" x14ac:dyDescent="0.25">
      <c r="J551" s="95"/>
      <c r="K551" s="95"/>
      <c r="L551" s="80"/>
      <c r="M551" s="95"/>
      <c r="N551" s="95"/>
      <c r="O551" s="80"/>
    </row>
    <row r="552" spans="10:15" ht="15.75" customHeight="1" x14ac:dyDescent="0.25">
      <c r="J552" s="95"/>
      <c r="K552" s="95"/>
      <c r="L552" s="80"/>
      <c r="M552" s="95"/>
      <c r="N552" s="95"/>
      <c r="O552" s="80"/>
    </row>
    <row r="553" spans="10:15" ht="15.75" customHeight="1" x14ac:dyDescent="0.25">
      <c r="J553" s="95"/>
      <c r="K553" s="95"/>
      <c r="L553" s="80"/>
      <c r="M553" s="95"/>
      <c r="N553" s="95"/>
      <c r="O553" s="80"/>
    </row>
    <row r="554" spans="10:15" ht="15.75" customHeight="1" x14ac:dyDescent="0.25">
      <c r="J554" s="95"/>
      <c r="K554" s="95"/>
      <c r="L554" s="80"/>
      <c r="M554" s="95"/>
      <c r="N554" s="95"/>
      <c r="O554" s="80"/>
    </row>
    <row r="555" spans="10:15" ht="15.75" customHeight="1" x14ac:dyDescent="0.25">
      <c r="J555" s="95"/>
      <c r="K555" s="95"/>
      <c r="L555" s="80"/>
      <c r="M555" s="95"/>
      <c r="N555" s="95"/>
      <c r="O555" s="80"/>
    </row>
    <row r="556" spans="10:15" ht="15.75" customHeight="1" x14ac:dyDescent="0.25">
      <c r="J556" s="95"/>
      <c r="K556" s="95"/>
      <c r="L556" s="80"/>
      <c r="M556" s="95"/>
      <c r="N556" s="95"/>
      <c r="O556" s="80"/>
    </row>
    <row r="557" spans="10:15" ht="15.75" customHeight="1" x14ac:dyDescent="0.25">
      <c r="J557" s="95"/>
      <c r="K557" s="95"/>
      <c r="L557" s="80"/>
      <c r="M557" s="95"/>
      <c r="N557" s="95"/>
      <c r="O557" s="80"/>
    </row>
    <row r="558" spans="10:15" ht="15.75" customHeight="1" x14ac:dyDescent="0.25">
      <c r="J558" s="95"/>
      <c r="K558" s="95"/>
      <c r="L558" s="80"/>
      <c r="M558" s="95"/>
      <c r="N558" s="95"/>
      <c r="O558" s="80"/>
    </row>
    <row r="559" spans="10:15" ht="15.75" customHeight="1" x14ac:dyDescent="0.25">
      <c r="J559" s="95"/>
      <c r="K559" s="95"/>
      <c r="L559" s="80"/>
      <c r="M559" s="95"/>
      <c r="N559" s="95"/>
      <c r="O559" s="80"/>
    </row>
    <row r="560" spans="10:15" ht="15.75" customHeight="1" x14ac:dyDescent="0.25">
      <c r="J560" s="95"/>
      <c r="K560" s="95"/>
      <c r="L560" s="80"/>
      <c r="M560" s="95"/>
      <c r="N560" s="95"/>
      <c r="O560" s="80"/>
    </row>
    <row r="561" spans="10:15" ht="15.75" customHeight="1" x14ac:dyDescent="0.25">
      <c r="J561" s="95"/>
      <c r="K561" s="95"/>
      <c r="L561" s="80"/>
      <c r="M561" s="95"/>
      <c r="N561" s="95"/>
      <c r="O561" s="80"/>
    </row>
    <row r="562" spans="10:15" ht="15.75" customHeight="1" x14ac:dyDescent="0.25">
      <c r="J562" s="95"/>
      <c r="K562" s="95"/>
      <c r="L562" s="80"/>
      <c r="M562" s="95"/>
      <c r="N562" s="95"/>
      <c r="O562" s="80"/>
    </row>
    <row r="563" spans="10:15" ht="15.75" customHeight="1" x14ac:dyDescent="0.25">
      <c r="J563" s="95"/>
      <c r="K563" s="95"/>
      <c r="L563" s="80"/>
      <c r="M563" s="95"/>
      <c r="N563" s="95"/>
      <c r="O563" s="80"/>
    </row>
    <row r="564" spans="10:15" ht="15.75" customHeight="1" x14ac:dyDescent="0.25">
      <c r="J564" s="95"/>
      <c r="K564" s="95"/>
      <c r="L564" s="80"/>
      <c r="M564" s="95"/>
      <c r="N564" s="95"/>
      <c r="O564" s="80"/>
    </row>
    <row r="565" spans="10:15" ht="15.75" customHeight="1" x14ac:dyDescent="0.25">
      <c r="J565" s="95"/>
      <c r="K565" s="95"/>
      <c r="L565" s="80"/>
      <c r="M565" s="95"/>
      <c r="N565" s="95"/>
      <c r="O565" s="80"/>
    </row>
    <row r="566" spans="10:15" ht="15.75" customHeight="1" x14ac:dyDescent="0.25">
      <c r="J566" s="95"/>
      <c r="K566" s="95"/>
      <c r="L566" s="80"/>
      <c r="M566" s="95"/>
      <c r="N566" s="95"/>
      <c r="O566" s="80"/>
    </row>
    <row r="567" spans="10:15" ht="15.75" customHeight="1" x14ac:dyDescent="0.25">
      <c r="J567" s="95"/>
      <c r="K567" s="95"/>
      <c r="L567" s="80"/>
      <c r="M567" s="95"/>
      <c r="N567" s="95"/>
      <c r="O567" s="80"/>
    </row>
    <row r="568" spans="10:15" ht="15.75" customHeight="1" x14ac:dyDescent="0.25">
      <c r="J568" s="95"/>
      <c r="K568" s="95"/>
      <c r="L568" s="80"/>
      <c r="M568" s="95"/>
      <c r="N568" s="95"/>
      <c r="O568" s="80"/>
    </row>
    <row r="569" spans="10:15" ht="15.75" customHeight="1" x14ac:dyDescent="0.25">
      <c r="J569" s="95"/>
      <c r="K569" s="95"/>
      <c r="L569" s="80"/>
      <c r="M569" s="95"/>
      <c r="N569" s="95"/>
      <c r="O569" s="80"/>
    </row>
    <row r="570" spans="10:15" ht="15.75" customHeight="1" x14ac:dyDescent="0.25">
      <c r="J570" s="95"/>
      <c r="K570" s="95"/>
      <c r="L570" s="80"/>
      <c r="M570" s="95"/>
      <c r="N570" s="95"/>
      <c r="O570" s="80"/>
    </row>
    <row r="571" spans="10:15" ht="15.75" customHeight="1" x14ac:dyDescent="0.25">
      <c r="J571" s="95"/>
      <c r="K571" s="95"/>
      <c r="L571" s="80"/>
      <c r="M571" s="95"/>
      <c r="N571" s="95"/>
      <c r="O571" s="80"/>
    </row>
    <row r="572" spans="10:15" ht="15.75" customHeight="1" x14ac:dyDescent="0.25">
      <c r="J572" s="95"/>
      <c r="K572" s="95"/>
      <c r="L572" s="80"/>
      <c r="M572" s="95"/>
      <c r="N572" s="95"/>
      <c r="O572" s="80"/>
    </row>
    <row r="573" spans="10:15" ht="15.75" customHeight="1" x14ac:dyDescent="0.25">
      <c r="J573" s="95"/>
      <c r="K573" s="95"/>
      <c r="L573" s="80"/>
      <c r="M573" s="95"/>
      <c r="N573" s="95"/>
      <c r="O573" s="80"/>
    </row>
    <row r="574" spans="10:15" ht="15.75" customHeight="1" x14ac:dyDescent="0.25">
      <c r="J574" s="95"/>
      <c r="K574" s="95"/>
      <c r="L574" s="80"/>
      <c r="M574" s="95"/>
      <c r="N574" s="95"/>
      <c r="O574" s="80"/>
    </row>
    <row r="575" spans="10:15" ht="15.75" customHeight="1" x14ac:dyDescent="0.25">
      <c r="J575" s="95"/>
      <c r="K575" s="95"/>
      <c r="L575" s="80"/>
      <c r="M575" s="95"/>
      <c r="N575" s="95"/>
      <c r="O575" s="80"/>
    </row>
    <row r="576" spans="10:15" ht="15.75" customHeight="1" x14ac:dyDescent="0.25">
      <c r="J576" s="95"/>
      <c r="K576" s="95"/>
      <c r="L576" s="80"/>
      <c r="M576" s="95"/>
      <c r="N576" s="95"/>
      <c r="O576" s="80"/>
    </row>
    <row r="577" spans="10:15" ht="15.75" customHeight="1" x14ac:dyDescent="0.25">
      <c r="J577" s="95"/>
      <c r="K577" s="95"/>
      <c r="L577" s="80"/>
      <c r="M577" s="95"/>
      <c r="N577" s="95"/>
      <c r="O577" s="80"/>
    </row>
    <row r="578" spans="10:15" ht="15.75" customHeight="1" x14ac:dyDescent="0.25">
      <c r="J578" s="95"/>
      <c r="K578" s="95"/>
      <c r="L578" s="80"/>
      <c r="M578" s="95"/>
      <c r="N578" s="95"/>
      <c r="O578" s="80"/>
    </row>
    <row r="579" spans="10:15" ht="15.75" customHeight="1" x14ac:dyDescent="0.25">
      <c r="J579" s="95"/>
      <c r="K579" s="95"/>
      <c r="L579" s="80"/>
      <c r="M579" s="95"/>
      <c r="N579" s="95"/>
      <c r="O579" s="80"/>
    </row>
    <row r="580" spans="10:15" ht="15.75" customHeight="1" x14ac:dyDescent="0.25">
      <c r="J580" s="95"/>
      <c r="K580" s="95"/>
      <c r="L580" s="80"/>
      <c r="M580" s="95"/>
      <c r="N580" s="95"/>
      <c r="O580" s="80"/>
    </row>
    <row r="581" spans="10:15" ht="15.75" customHeight="1" x14ac:dyDescent="0.25">
      <c r="J581" s="95"/>
      <c r="K581" s="95"/>
      <c r="L581" s="80"/>
      <c r="M581" s="95"/>
      <c r="N581" s="95"/>
      <c r="O581" s="80"/>
    </row>
    <row r="582" spans="10:15" ht="15.75" customHeight="1" x14ac:dyDescent="0.25">
      <c r="J582" s="95"/>
      <c r="K582" s="95"/>
      <c r="L582" s="80"/>
      <c r="M582" s="95"/>
      <c r="N582" s="95"/>
      <c r="O582" s="80"/>
    </row>
    <row r="583" spans="10:15" ht="15.75" customHeight="1" x14ac:dyDescent="0.25">
      <c r="J583" s="95"/>
      <c r="K583" s="95"/>
      <c r="L583" s="80"/>
      <c r="M583" s="95"/>
      <c r="N583" s="95"/>
      <c r="O583" s="80"/>
    </row>
    <row r="584" spans="10:15" ht="15.75" customHeight="1" x14ac:dyDescent="0.25">
      <c r="J584" s="95"/>
      <c r="K584" s="95"/>
      <c r="L584" s="80"/>
      <c r="M584" s="95"/>
      <c r="N584" s="95"/>
      <c r="O584" s="80"/>
    </row>
    <row r="585" spans="10:15" ht="15.75" customHeight="1" x14ac:dyDescent="0.25">
      <c r="J585" s="95"/>
      <c r="K585" s="95"/>
      <c r="L585" s="80"/>
      <c r="M585" s="95"/>
      <c r="N585" s="95"/>
      <c r="O585" s="80"/>
    </row>
    <row r="586" spans="10:15" ht="15.75" customHeight="1" x14ac:dyDescent="0.25">
      <c r="J586" s="95"/>
      <c r="K586" s="95"/>
      <c r="L586" s="80"/>
      <c r="M586" s="95"/>
      <c r="N586" s="95"/>
      <c r="O586" s="80"/>
    </row>
    <row r="587" spans="10:15" ht="15.75" customHeight="1" x14ac:dyDescent="0.25">
      <c r="J587" s="95"/>
      <c r="K587" s="95"/>
      <c r="L587" s="80"/>
      <c r="M587" s="95"/>
      <c r="N587" s="95"/>
      <c r="O587" s="80"/>
    </row>
    <row r="588" spans="10:15" ht="15.75" customHeight="1" x14ac:dyDescent="0.25">
      <c r="J588" s="95"/>
      <c r="K588" s="95"/>
      <c r="L588" s="80"/>
      <c r="M588" s="95"/>
      <c r="N588" s="95"/>
      <c r="O588" s="80"/>
    </row>
    <row r="589" spans="10:15" ht="15.75" customHeight="1" x14ac:dyDescent="0.25">
      <c r="J589" s="95"/>
      <c r="K589" s="95"/>
      <c r="L589" s="80"/>
      <c r="M589" s="95"/>
      <c r="N589" s="95"/>
      <c r="O589" s="80"/>
    </row>
    <row r="590" spans="10:15" ht="15.75" customHeight="1" x14ac:dyDescent="0.25">
      <c r="J590" s="95"/>
      <c r="K590" s="95"/>
      <c r="L590" s="80"/>
      <c r="M590" s="95"/>
      <c r="N590" s="95"/>
      <c r="O590" s="80"/>
    </row>
    <row r="591" spans="10:15" ht="15.75" customHeight="1" x14ac:dyDescent="0.25">
      <c r="J591" s="95"/>
      <c r="K591" s="95"/>
      <c r="L591" s="80"/>
      <c r="M591" s="95"/>
      <c r="N591" s="95"/>
      <c r="O591" s="80"/>
    </row>
    <row r="592" spans="10:15" ht="15.75" customHeight="1" x14ac:dyDescent="0.25">
      <c r="J592" s="95"/>
      <c r="K592" s="95"/>
      <c r="L592" s="80"/>
      <c r="M592" s="95"/>
      <c r="N592" s="95"/>
      <c r="O592" s="80"/>
    </row>
    <row r="593" spans="10:15" ht="15.75" customHeight="1" x14ac:dyDescent="0.25">
      <c r="J593" s="95"/>
      <c r="K593" s="95"/>
      <c r="L593" s="80"/>
      <c r="M593" s="95"/>
      <c r="N593" s="95"/>
      <c r="O593" s="80"/>
    </row>
    <row r="594" spans="10:15" ht="15.75" customHeight="1" x14ac:dyDescent="0.25">
      <c r="J594" s="95"/>
      <c r="K594" s="95"/>
      <c r="L594" s="80"/>
      <c r="M594" s="95"/>
      <c r="N594" s="95"/>
      <c r="O594" s="80"/>
    </row>
    <row r="595" spans="10:15" ht="15.75" customHeight="1" x14ac:dyDescent="0.25">
      <c r="J595" s="95"/>
      <c r="K595" s="95"/>
      <c r="L595" s="80"/>
      <c r="M595" s="95"/>
      <c r="N595" s="95"/>
      <c r="O595" s="80"/>
    </row>
    <row r="596" spans="10:15" ht="15.75" customHeight="1" x14ac:dyDescent="0.25">
      <c r="J596" s="95"/>
      <c r="K596" s="95"/>
      <c r="L596" s="80"/>
      <c r="M596" s="95"/>
      <c r="N596" s="95"/>
      <c r="O596" s="80"/>
    </row>
    <row r="597" spans="10:15" ht="15.75" customHeight="1" x14ac:dyDescent="0.25">
      <c r="J597" s="95"/>
      <c r="K597" s="95"/>
      <c r="L597" s="80"/>
      <c r="M597" s="95"/>
      <c r="N597" s="95"/>
      <c r="O597" s="80"/>
    </row>
    <row r="598" spans="10:15" ht="15.75" customHeight="1" x14ac:dyDescent="0.25">
      <c r="J598" s="95"/>
      <c r="K598" s="95"/>
      <c r="L598" s="80"/>
      <c r="M598" s="95"/>
      <c r="N598" s="95"/>
      <c r="O598" s="80"/>
    </row>
    <row r="599" spans="10:15" ht="15.75" customHeight="1" x14ac:dyDescent="0.25">
      <c r="J599" s="95"/>
      <c r="K599" s="95"/>
      <c r="L599" s="80"/>
      <c r="M599" s="95"/>
      <c r="N599" s="95"/>
      <c r="O599" s="80"/>
    </row>
    <row r="600" spans="10:15" ht="15.75" customHeight="1" x14ac:dyDescent="0.25">
      <c r="J600" s="95"/>
      <c r="K600" s="95"/>
      <c r="L600" s="80"/>
      <c r="M600" s="95"/>
      <c r="N600" s="95"/>
      <c r="O600" s="80"/>
    </row>
    <row r="601" spans="10:15" ht="15.75" customHeight="1" x14ac:dyDescent="0.25">
      <c r="J601" s="95"/>
      <c r="K601" s="95"/>
      <c r="L601" s="80"/>
      <c r="M601" s="95"/>
      <c r="N601" s="95"/>
      <c r="O601" s="80"/>
    </row>
    <row r="602" spans="10:15" ht="15.75" customHeight="1" x14ac:dyDescent="0.25">
      <c r="J602" s="95"/>
      <c r="K602" s="95"/>
      <c r="L602" s="80"/>
      <c r="M602" s="95"/>
      <c r="N602" s="95"/>
      <c r="O602" s="80"/>
    </row>
    <row r="603" spans="10:15" ht="15.75" customHeight="1" x14ac:dyDescent="0.25">
      <c r="J603" s="95"/>
      <c r="K603" s="95"/>
      <c r="L603" s="80"/>
      <c r="M603" s="95"/>
      <c r="N603" s="95"/>
      <c r="O603" s="80"/>
    </row>
    <row r="604" spans="10:15" ht="15.75" customHeight="1" x14ac:dyDescent="0.25">
      <c r="J604" s="95"/>
      <c r="K604" s="95"/>
      <c r="L604" s="80"/>
      <c r="M604" s="95"/>
      <c r="N604" s="95"/>
      <c r="O604" s="80"/>
    </row>
    <row r="605" spans="10:15" ht="15.75" customHeight="1" x14ac:dyDescent="0.25">
      <c r="J605" s="95"/>
      <c r="K605" s="95"/>
      <c r="L605" s="80"/>
      <c r="M605" s="95"/>
      <c r="N605" s="95"/>
      <c r="O605" s="80"/>
    </row>
    <row r="606" spans="10:15" ht="15.75" customHeight="1" x14ac:dyDescent="0.25">
      <c r="J606" s="95"/>
      <c r="K606" s="95"/>
      <c r="L606" s="80"/>
      <c r="M606" s="95"/>
      <c r="N606" s="95"/>
      <c r="O606" s="80"/>
    </row>
    <row r="607" spans="10:15" ht="15.75" customHeight="1" x14ac:dyDescent="0.25">
      <c r="J607" s="95"/>
      <c r="K607" s="95"/>
      <c r="L607" s="80"/>
      <c r="M607" s="95"/>
      <c r="N607" s="95"/>
      <c r="O607" s="80"/>
    </row>
    <row r="608" spans="10:15" ht="15.75" customHeight="1" x14ac:dyDescent="0.25">
      <c r="J608" s="95"/>
      <c r="K608" s="95"/>
      <c r="L608" s="80"/>
      <c r="M608" s="95"/>
      <c r="N608" s="95"/>
      <c r="O608" s="80"/>
    </row>
    <row r="609" spans="10:15" ht="15.75" customHeight="1" x14ac:dyDescent="0.25">
      <c r="J609" s="95"/>
      <c r="K609" s="95"/>
      <c r="L609" s="80"/>
      <c r="M609" s="95"/>
      <c r="N609" s="95"/>
      <c r="O609" s="80"/>
    </row>
    <row r="610" spans="10:15" ht="15.75" customHeight="1" x14ac:dyDescent="0.25">
      <c r="J610" s="95"/>
      <c r="K610" s="95"/>
      <c r="L610" s="80"/>
      <c r="M610" s="95"/>
      <c r="N610" s="95"/>
      <c r="O610" s="80"/>
    </row>
    <row r="611" spans="10:15" ht="15.75" customHeight="1" x14ac:dyDescent="0.25">
      <c r="J611" s="95"/>
      <c r="K611" s="95"/>
      <c r="L611" s="80"/>
      <c r="M611" s="95"/>
      <c r="N611" s="95"/>
      <c r="O611" s="80"/>
    </row>
    <row r="612" spans="10:15" ht="15.75" customHeight="1" x14ac:dyDescent="0.25">
      <c r="J612" s="95"/>
      <c r="K612" s="95"/>
      <c r="L612" s="80"/>
      <c r="M612" s="95"/>
      <c r="N612" s="95"/>
      <c r="O612" s="80"/>
    </row>
    <row r="613" spans="10:15" ht="15.75" customHeight="1" x14ac:dyDescent="0.25">
      <c r="J613" s="95"/>
      <c r="K613" s="95"/>
      <c r="L613" s="80"/>
      <c r="M613" s="95"/>
      <c r="N613" s="95"/>
      <c r="O613" s="80"/>
    </row>
    <row r="614" spans="10:15" ht="15.75" customHeight="1" x14ac:dyDescent="0.25">
      <c r="J614" s="95"/>
      <c r="K614" s="95"/>
      <c r="L614" s="80"/>
      <c r="M614" s="95"/>
      <c r="N614" s="95"/>
      <c r="O614" s="80"/>
    </row>
    <row r="615" spans="10:15" ht="15.75" customHeight="1" x14ac:dyDescent="0.25">
      <c r="J615" s="95"/>
      <c r="K615" s="95"/>
      <c r="L615" s="80"/>
      <c r="M615" s="95"/>
      <c r="N615" s="95"/>
      <c r="O615" s="80"/>
    </row>
    <row r="616" spans="10:15" ht="15.75" customHeight="1" x14ac:dyDescent="0.25">
      <c r="J616" s="95"/>
      <c r="K616" s="95"/>
      <c r="L616" s="80"/>
      <c r="M616" s="95"/>
      <c r="N616" s="95"/>
      <c r="O616" s="80"/>
    </row>
    <row r="617" spans="10:15" ht="15.75" customHeight="1" x14ac:dyDescent="0.25">
      <c r="J617" s="95"/>
      <c r="K617" s="95"/>
      <c r="L617" s="80"/>
      <c r="M617" s="95"/>
      <c r="N617" s="95"/>
      <c r="O617" s="80"/>
    </row>
    <row r="618" spans="10:15" ht="15.75" customHeight="1" x14ac:dyDescent="0.25">
      <c r="J618" s="95"/>
      <c r="K618" s="95"/>
      <c r="L618" s="80"/>
      <c r="M618" s="95"/>
      <c r="N618" s="95"/>
      <c r="O618" s="80"/>
    </row>
    <row r="619" spans="10:15" ht="15.75" customHeight="1" x14ac:dyDescent="0.25">
      <c r="J619" s="95"/>
      <c r="K619" s="95"/>
      <c r="L619" s="80"/>
      <c r="M619" s="95"/>
      <c r="N619" s="95"/>
      <c r="O619" s="80"/>
    </row>
    <row r="620" spans="10:15" ht="15.75" customHeight="1" x14ac:dyDescent="0.25">
      <c r="J620" s="95"/>
      <c r="K620" s="95"/>
      <c r="L620" s="80"/>
      <c r="M620" s="95"/>
      <c r="N620" s="95"/>
      <c r="O620" s="80"/>
    </row>
    <row r="621" spans="10:15" ht="15.75" customHeight="1" x14ac:dyDescent="0.25">
      <c r="J621" s="95"/>
      <c r="K621" s="95"/>
      <c r="L621" s="80"/>
      <c r="M621" s="95"/>
      <c r="N621" s="95"/>
      <c r="O621" s="80"/>
    </row>
    <row r="622" spans="10:15" ht="15.75" customHeight="1" x14ac:dyDescent="0.25">
      <c r="J622" s="95"/>
      <c r="K622" s="95"/>
      <c r="L622" s="80"/>
      <c r="M622" s="95"/>
      <c r="N622" s="95"/>
      <c r="O622" s="80"/>
    </row>
    <row r="623" spans="10:15" ht="15.75" customHeight="1" x14ac:dyDescent="0.25">
      <c r="J623" s="95"/>
      <c r="K623" s="95"/>
      <c r="L623" s="80"/>
      <c r="M623" s="95"/>
      <c r="N623" s="95"/>
      <c r="O623" s="80"/>
    </row>
    <row r="624" spans="10:15" ht="15.75" customHeight="1" x14ac:dyDescent="0.25">
      <c r="J624" s="95"/>
      <c r="K624" s="95"/>
      <c r="L624" s="80"/>
      <c r="M624" s="95"/>
      <c r="N624" s="95"/>
      <c r="O624" s="80"/>
    </row>
    <row r="625" spans="10:15" ht="15.75" customHeight="1" x14ac:dyDescent="0.25">
      <c r="J625" s="95"/>
      <c r="K625" s="95"/>
      <c r="L625" s="80"/>
      <c r="M625" s="95"/>
      <c r="N625" s="95"/>
      <c r="O625" s="80"/>
    </row>
    <row r="626" spans="10:15" ht="15.75" customHeight="1" x14ac:dyDescent="0.25">
      <c r="J626" s="95"/>
      <c r="K626" s="95"/>
      <c r="L626" s="80"/>
      <c r="M626" s="95"/>
      <c r="N626" s="95"/>
      <c r="O626" s="80"/>
    </row>
    <row r="627" spans="10:15" ht="15.75" customHeight="1" x14ac:dyDescent="0.25">
      <c r="J627" s="95"/>
      <c r="K627" s="95"/>
      <c r="L627" s="80"/>
      <c r="M627" s="95"/>
      <c r="N627" s="95"/>
      <c r="O627" s="80"/>
    </row>
    <row r="628" spans="10:15" ht="15.75" customHeight="1" x14ac:dyDescent="0.25">
      <c r="J628" s="95"/>
      <c r="K628" s="95"/>
      <c r="L628" s="80"/>
      <c r="M628" s="95"/>
      <c r="N628" s="95"/>
      <c r="O628" s="80"/>
    </row>
    <row r="629" spans="10:15" ht="15.75" customHeight="1" x14ac:dyDescent="0.25">
      <c r="J629" s="95"/>
      <c r="K629" s="95"/>
      <c r="L629" s="80"/>
      <c r="M629" s="95"/>
      <c r="N629" s="95"/>
      <c r="O629" s="80"/>
    </row>
    <row r="630" spans="10:15" ht="15.75" customHeight="1" x14ac:dyDescent="0.25">
      <c r="J630" s="95"/>
      <c r="K630" s="95"/>
      <c r="L630" s="80"/>
      <c r="M630" s="95"/>
      <c r="N630" s="95"/>
      <c r="O630" s="80"/>
    </row>
    <row r="631" spans="10:15" ht="15.75" customHeight="1" x14ac:dyDescent="0.25">
      <c r="J631" s="95"/>
      <c r="K631" s="95"/>
      <c r="L631" s="80"/>
      <c r="M631" s="95"/>
      <c r="N631" s="95"/>
      <c r="O631" s="80"/>
    </row>
    <row r="632" spans="10:15" ht="15.75" customHeight="1" x14ac:dyDescent="0.25">
      <c r="J632" s="95"/>
      <c r="K632" s="95"/>
      <c r="L632" s="80"/>
      <c r="M632" s="95"/>
      <c r="N632" s="95"/>
      <c r="O632" s="80"/>
    </row>
    <row r="633" spans="10:15" ht="15.75" customHeight="1" x14ac:dyDescent="0.25">
      <c r="J633" s="95"/>
      <c r="K633" s="95"/>
      <c r="L633" s="80"/>
      <c r="M633" s="95"/>
      <c r="N633" s="95"/>
      <c r="O633" s="80"/>
    </row>
    <row r="634" spans="10:15" ht="15.75" customHeight="1" x14ac:dyDescent="0.25">
      <c r="J634" s="95"/>
      <c r="K634" s="95"/>
      <c r="L634" s="80"/>
      <c r="M634" s="95"/>
      <c r="N634" s="95"/>
      <c r="O634" s="80"/>
    </row>
    <row r="635" spans="10:15" ht="15.75" customHeight="1" x14ac:dyDescent="0.25">
      <c r="J635" s="95"/>
      <c r="K635" s="95"/>
      <c r="L635" s="80"/>
      <c r="M635" s="95"/>
      <c r="N635" s="95"/>
      <c r="O635" s="80"/>
    </row>
    <row r="636" spans="10:15" ht="15.75" customHeight="1" x14ac:dyDescent="0.25">
      <c r="J636" s="95"/>
      <c r="K636" s="95"/>
      <c r="L636" s="80"/>
      <c r="M636" s="95"/>
      <c r="N636" s="95"/>
      <c r="O636" s="80"/>
    </row>
    <row r="637" spans="10:15" ht="15.75" customHeight="1" x14ac:dyDescent="0.25">
      <c r="J637" s="95"/>
      <c r="K637" s="95"/>
      <c r="L637" s="80"/>
      <c r="M637" s="95"/>
      <c r="N637" s="95"/>
      <c r="O637" s="80"/>
    </row>
    <row r="638" spans="10:15" ht="15.75" customHeight="1" x14ac:dyDescent="0.25">
      <c r="J638" s="95"/>
      <c r="K638" s="95"/>
      <c r="L638" s="80"/>
      <c r="M638" s="95"/>
      <c r="N638" s="95"/>
      <c r="O638" s="80"/>
    </row>
    <row r="639" spans="10:15" ht="15.75" customHeight="1" x14ac:dyDescent="0.25">
      <c r="J639" s="95"/>
      <c r="K639" s="95"/>
      <c r="L639" s="80"/>
      <c r="M639" s="95"/>
      <c r="N639" s="95"/>
      <c r="O639" s="80"/>
    </row>
    <row r="640" spans="10:15" ht="15.75" customHeight="1" x14ac:dyDescent="0.25">
      <c r="J640" s="95"/>
      <c r="K640" s="95"/>
      <c r="L640" s="80"/>
      <c r="M640" s="95"/>
      <c r="N640" s="95"/>
      <c r="O640" s="80"/>
    </row>
    <row r="641" spans="10:15" ht="15.75" customHeight="1" x14ac:dyDescent="0.25">
      <c r="J641" s="95"/>
      <c r="K641" s="95"/>
      <c r="L641" s="80"/>
      <c r="M641" s="95"/>
      <c r="N641" s="95"/>
      <c r="O641" s="80"/>
    </row>
    <row r="642" spans="10:15" ht="15.75" customHeight="1" x14ac:dyDescent="0.25">
      <c r="J642" s="95"/>
      <c r="K642" s="95"/>
      <c r="L642" s="80"/>
      <c r="M642" s="95"/>
      <c r="N642" s="95"/>
      <c r="O642" s="80"/>
    </row>
    <row r="643" spans="10:15" ht="15.75" customHeight="1" x14ac:dyDescent="0.25">
      <c r="J643" s="95"/>
      <c r="K643" s="95"/>
      <c r="L643" s="80"/>
      <c r="M643" s="95"/>
      <c r="N643" s="95"/>
      <c r="O643" s="80"/>
    </row>
    <row r="644" spans="10:15" ht="15.75" customHeight="1" x14ac:dyDescent="0.25">
      <c r="J644" s="95"/>
      <c r="K644" s="95"/>
      <c r="L644" s="80"/>
      <c r="M644" s="95"/>
      <c r="N644" s="95"/>
      <c r="O644" s="80"/>
    </row>
    <row r="645" spans="10:15" ht="15.75" customHeight="1" x14ac:dyDescent="0.25">
      <c r="J645" s="95"/>
      <c r="K645" s="95"/>
      <c r="L645" s="80"/>
      <c r="M645" s="95"/>
      <c r="N645" s="95"/>
      <c r="O645" s="80"/>
    </row>
    <row r="646" spans="10:15" ht="15.75" customHeight="1" x14ac:dyDescent="0.25">
      <c r="J646" s="95"/>
      <c r="K646" s="95"/>
      <c r="L646" s="80"/>
      <c r="M646" s="95"/>
      <c r="N646" s="95"/>
      <c r="O646" s="80"/>
    </row>
    <row r="647" spans="10:15" ht="15.75" customHeight="1" x14ac:dyDescent="0.25">
      <c r="J647" s="95"/>
      <c r="K647" s="95"/>
      <c r="L647" s="80"/>
      <c r="M647" s="95"/>
      <c r="N647" s="95"/>
      <c r="O647" s="80"/>
    </row>
    <row r="648" spans="10:15" ht="15.75" customHeight="1" x14ac:dyDescent="0.25">
      <c r="J648" s="95"/>
      <c r="K648" s="95"/>
      <c r="L648" s="80"/>
      <c r="M648" s="95"/>
      <c r="N648" s="95"/>
      <c r="O648" s="80"/>
    </row>
    <row r="649" spans="10:15" ht="15.75" customHeight="1" x14ac:dyDescent="0.25">
      <c r="J649" s="95"/>
      <c r="K649" s="95"/>
      <c r="L649" s="80"/>
      <c r="M649" s="95"/>
      <c r="N649" s="95"/>
      <c r="O649" s="80"/>
    </row>
    <row r="650" spans="10:15" ht="15.75" customHeight="1" x14ac:dyDescent="0.25">
      <c r="J650" s="95"/>
      <c r="K650" s="95"/>
      <c r="L650" s="80"/>
      <c r="M650" s="95"/>
      <c r="N650" s="95"/>
      <c r="O650" s="80"/>
    </row>
    <row r="651" spans="10:15" ht="15.75" customHeight="1" x14ac:dyDescent="0.25">
      <c r="J651" s="95"/>
      <c r="K651" s="95"/>
      <c r="L651" s="80"/>
      <c r="M651" s="95"/>
      <c r="N651" s="95"/>
      <c r="O651" s="80"/>
    </row>
    <row r="652" spans="10:15" ht="15.75" customHeight="1" x14ac:dyDescent="0.25">
      <c r="J652" s="95"/>
      <c r="K652" s="95"/>
      <c r="L652" s="80"/>
      <c r="M652" s="95"/>
      <c r="N652" s="95"/>
      <c r="O652" s="80"/>
    </row>
    <row r="653" spans="10:15" ht="15.75" customHeight="1" x14ac:dyDescent="0.25">
      <c r="J653" s="95"/>
      <c r="K653" s="95"/>
      <c r="L653" s="80"/>
      <c r="M653" s="95"/>
      <c r="N653" s="95"/>
      <c r="O653" s="80"/>
    </row>
    <row r="654" spans="10:15" ht="15.75" customHeight="1" x14ac:dyDescent="0.25">
      <c r="J654" s="95"/>
      <c r="K654" s="95"/>
      <c r="L654" s="80"/>
      <c r="M654" s="95"/>
      <c r="N654" s="95"/>
      <c r="O654" s="80"/>
    </row>
    <row r="655" spans="10:15" ht="15.75" customHeight="1" x14ac:dyDescent="0.25">
      <c r="J655" s="95"/>
      <c r="K655" s="95"/>
      <c r="L655" s="80"/>
      <c r="M655" s="95"/>
      <c r="N655" s="95"/>
      <c r="O655" s="80"/>
    </row>
    <row r="656" spans="10:15" ht="15.75" customHeight="1" x14ac:dyDescent="0.25">
      <c r="J656" s="95"/>
      <c r="K656" s="95"/>
      <c r="L656" s="80"/>
      <c r="M656" s="95"/>
      <c r="N656" s="95"/>
      <c r="O656" s="80"/>
    </row>
    <row r="657" spans="10:15" ht="15.75" customHeight="1" x14ac:dyDescent="0.25">
      <c r="J657" s="95"/>
      <c r="K657" s="95"/>
      <c r="L657" s="80"/>
      <c r="M657" s="95"/>
      <c r="N657" s="95"/>
      <c r="O657" s="80"/>
    </row>
    <row r="658" spans="10:15" ht="15.75" customHeight="1" x14ac:dyDescent="0.25">
      <c r="J658" s="95"/>
      <c r="K658" s="95"/>
      <c r="L658" s="80"/>
      <c r="M658" s="95"/>
      <c r="N658" s="95"/>
      <c r="O658" s="80"/>
    </row>
    <row r="659" spans="10:15" ht="15.75" customHeight="1" x14ac:dyDescent="0.25">
      <c r="J659" s="95"/>
      <c r="K659" s="95"/>
      <c r="L659" s="80"/>
      <c r="M659" s="95"/>
      <c r="N659" s="95"/>
      <c r="O659" s="80"/>
    </row>
    <row r="660" spans="10:15" ht="15.75" customHeight="1" x14ac:dyDescent="0.25">
      <c r="J660" s="95"/>
      <c r="K660" s="95"/>
      <c r="L660" s="80"/>
      <c r="M660" s="95"/>
      <c r="N660" s="95"/>
      <c r="O660" s="80"/>
    </row>
    <row r="661" spans="10:15" ht="15.75" customHeight="1" x14ac:dyDescent="0.25">
      <c r="J661" s="95"/>
      <c r="K661" s="95"/>
      <c r="L661" s="80"/>
      <c r="M661" s="95"/>
      <c r="N661" s="95"/>
      <c r="O661" s="80"/>
    </row>
    <row r="662" spans="10:15" ht="15.75" customHeight="1" x14ac:dyDescent="0.25">
      <c r="J662" s="95"/>
      <c r="K662" s="95"/>
      <c r="L662" s="80"/>
      <c r="M662" s="95"/>
      <c r="N662" s="95"/>
      <c r="O662" s="80"/>
    </row>
    <row r="663" spans="10:15" ht="15.75" customHeight="1" x14ac:dyDescent="0.25">
      <c r="J663" s="95"/>
      <c r="K663" s="95"/>
      <c r="L663" s="80"/>
      <c r="M663" s="95"/>
      <c r="N663" s="95"/>
      <c r="O663" s="80"/>
    </row>
    <row r="664" spans="10:15" ht="15.75" customHeight="1" x14ac:dyDescent="0.25">
      <c r="J664" s="95"/>
      <c r="K664" s="95"/>
      <c r="L664" s="80"/>
      <c r="M664" s="95"/>
      <c r="N664" s="95"/>
      <c r="O664" s="80"/>
    </row>
    <row r="665" spans="10:15" ht="15.75" customHeight="1" x14ac:dyDescent="0.25">
      <c r="J665" s="95"/>
      <c r="K665" s="95"/>
      <c r="L665" s="80"/>
      <c r="M665" s="95"/>
      <c r="N665" s="95"/>
      <c r="O665" s="80"/>
    </row>
    <row r="666" spans="10:15" ht="15.75" customHeight="1" x14ac:dyDescent="0.25">
      <c r="J666" s="95"/>
      <c r="K666" s="95"/>
      <c r="L666" s="80"/>
      <c r="M666" s="95"/>
      <c r="N666" s="95"/>
      <c r="O666" s="80"/>
    </row>
    <row r="667" spans="10:15" ht="15.75" customHeight="1" x14ac:dyDescent="0.25">
      <c r="J667" s="95"/>
      <c r="K667" s="95"/>
      <c r="L667" s="80"/>
      <c r="M667" s="95"/>
      <c r="N667" s="95"/>
      <c r="O667" s="80"/>
    </row>
    <row r="668" spans="10:15" ht="15.75" customHeight="1" x14ac:dyDescent="0.25">
      <c r="J668" s="95"/>
      <c r="K668" s="95"/>
      <c r="L668" s="80"/>
      <c r="M668" s="95"/>
      <c r="N668" s="95"/>
      <c r="O668" s="80"/>
    </row>
    <row r="669" spans="10:15" ht="15.75" customHeight="1" x14ac:dyDescent="0.25">
      <c r="J669" s="95"/>
      <c r="K669" s="95"/>
      <c r="L669" s="80"/>
      <c r="M669" s="95"/>
      <c r="N669" s="95"/>
      <c r="O669" s="80"/>
    </row>
    <row r="670" spans="10:15" ht="15.75" customHeight="1" x14ac:dyDescent="0.25">
      <c r="J670" s="95"/>
      <c r="K670" s="95"/>
      <c r="L670" s="80"/>
      <c r="M670" s="95"/>
      <c r="N670" s="95"/>
      <c r="O670" s="80"/>
    </row>
    <row r="671" spans="10:15" ht="15.75" customHeight="1" x14ac:dyDescent="0.25">
      <c r="J671" s="95"/>
      <c r="K671" s="95"/>
      <c r="L671" s="80"/>
      <c r="M671" s="95"/>
      <c r="N671" s="95"/>
      <c r="O671" s="80"/>
    </row>
    <row r="672" spans="10:15" ht="15.75" customHeight="1" x14ac:dyDescent="0.25">
      <c r="J672" s="95"/>
      <c r="K672" s="95"/>
      <c r="L672" s="80"/>
      <c r="M672" s="95"/>
      <c r="N672" s="95"/>
      <c r="O672" s="80"/>
    </row>
    <row r="673" spans="10:15" ht="15.75" customHeight="1" x14ac:dyDescent="0.25">
      <c r="J673" s="95"/>
      <c r="K673" s="95"/>
      <c r="L673" s="80"/>
      <c r="M673" s="95"/>
      <c r="N673" s="95"/>
      <c r="O673" s="80"/>
    </row>
    <row r="674" spans="10:15" ht="15.75" customHeight="1" x14ac:dyDescent="0.25">
      <c r="J674" s="95"/>
      <c r="K674" s="95"/>
      <c r="L674" s="80"/>
      <c r="M674" s="95"/>
      <c r="N674" s="95"/>
      <c r="O674" s="80"/>
    </row>
    <row r="675" spans="10:15" ht="15.75" customHeight="1" x14ac:dyDescent="0.25">
      <c r="J675" s="95"/>
      <c r="K675" s="95"/>
      <c r="L675" s="80"/>
      <c r="M675" s="95"/>
      <c r="N675" s="95"/>
      <c r="O675" s="80"/>
    </row>
    <row r="676" spans="10:15" ht="15.75" customHeight="1" x14ac:dyDescent="0.25">
      <c r="J676" s="95"/>
      <c r="K676" s="95"/>
      <c r="L676" s="80"/>
      <c r="M676" s="95"/>
      <c r="N676" s="95"/>
      <c r="O676" s="80"/>
    </row>
    <row r="677" spans="10:15" ht="15.75" customHeight="1" x14ac:dyDescent="0.25">
      <c r="J677" s="95"/>
      <c r="K677" s="95"/>
      <c r="L677" s="80"/>
      <c r="M677" s="95"/>
      <c r="N677" s="95"/>
      <c r="O677" s="80"/>
    </row>
    <row r="678" spans="10:15" ht="15.75" customHeight="1" x14ac:dyDescent="0.25">
      <c r="J678" s="95"/>
      <c r="K678" s="95"/>
      <c r="L678" s="80"/>
      <c r="M678" s="95"/>
      <c r="N678" s="95"/>
      <c r="O678" s="80"/>
    </row>
    <row r="679" spans="10:15" ht="15.75" customHeight="1" x14ac:dyDescent="0.25">
      <c r="J679" s="95"/>
      <c r="K679" s="95"/>
      <c r="L679" s="80"/>
      <c r="M679" s="95"/>
      <c r="N679" s="95"/>
      <c r="O679" s="80"/>
    </row>
    <row r="680" spans="10:15" ht="15.75" customHeight="1" x14ac:dyDescent="0.25">
      <c r="J680" s="95"/>
      <c r="K680" s="95"/>
      <c r="L680" s="80"/>
      <c r="M680" s="95"/>
      <c r="N680" s="95"/>
      <c r="O680" s="80"/>
    </row>
    <row r="681" spans="10:15" ht="15.75" customHeight="1" x14ac:dyDescent="0.25">
      <c r="J681" s="95"/>
      <c r="K681" s="95"/>
      <c r="L681" s="80"/>
      <c r="M681" s="95"/>
      <c r="N681" s="95"/>
      <c r="O681" s="80"/>
    </row>
    <row r="682" spans="10:15" ht="15.75" customHeight="1" x14ac:dyDescent="0.25">
      <c r="J682" s="95"/>
      <c r="K682" s="95"/>
      <c r="L682" s="80"/>
      <c r="M682" s="95"/>
      <c r="N682" s="95"/>
      <c r="O682" s="80"/>
    </row>
    <row r="683" spans="10:15" ht="15.75" customHeight="1" x14ac:dyDescent="0.25">
      <c r="J683" s="95"/>
      <c r="K683" s="95"/>
      <c r="L683" s="80"/>
      <c r="M683" s="95"/>
      <c r="N683" s="95"/>
      <c r="O683" s="80"/>
    </row>
    <row r="684" spans="10:15" ht="15.75" customHeight="1" x14ac:dyDescent="0.25">
      <c r="J684" s="95"/>
      <c r="K684" s="95"/>
      <c r="L684" s="80"/>
      <c r="M684" s="95"/>
      <c r="N684" s="95"/>
      <c r="O684" s="80"/>
    </row>
    <row r="685" spans="10:15" ht="15.75" customHeight="1" x14ac:dyDescent="0.25">
      <c r="J685" s="95"/>
      <c r="K685" s="95"/>
      <c r="L685" s="80"/>
      <c r="M685" s="95"/>
      <c r="N685" s="95"/>
      <c r="O685" s="80"/>
    </row>
    <row r="686" spans="10:15" ht="15.75" customHeight="1" x14ac:dyDescent="0.25">
      <c r="J686" s="95"/>
      <c r="K686" s="95"/>
      <c r="L686" s="80"/>
      <c r="M686" s="95"/>
      <c r="N686" s="95"/>
      <c r="O686" s="80"/>
    </row>
    <row r="687" spans="10:15" ht="15.75" customHeight="1" x14ac:dyDescent="0.25">
      <c r="J687" s="95"/>
      <c r="K687" s="95"/>
      <c r="L687" s="80"/>
      <c r="M687" s="95"/>
      <c r="N687" s="95"/>
      <c r="O687" s="80"/>
    </row>
    <row r="688" spans="10:15" ht="15.75" customHeight="1" x14ac:dyDescent="0.25">
      <c r="J688" s="95"/>
      <c r="K688" s="95"/>
      <c r="L688" s="80"/>
      <c r="M688" s="95"/>
      <c r="N688" s="95"/>
      <c r="O688" s="80"/>
    </row>
    <row r="689" spans="10:15" ht="15.75" customHeight="1" x14ac:dyDescent="0.25">
      <c r="J689" s="95"/>
      <c r="K689" s="95"/>
      <c r="L689" s="80"/>
      <c r="M689" s="95"/>
      <c r="N689" s="95"/>
      <c r="O689" s="80"/>
    </row>
    <row r="690" spans="10:15" ht="15.75" customHeight="1" x14ac:dyDescent="0.25">
      <c r="J690" s="95"/>
      <c r="K690" s="95"/>
      <c r="L690" s="80"/>
      <c r="M690" s="95"/>
      <c r="N690" s="95"/>
      <c r="O690" s="80"/>
    </row>
    <row r="691" spans="10:15" ht="15.75" customHeight="1" x14ac:dyDescent="0.25">
      <c r="J691" s="95"/>
      <c r="K691" s="95"/>
      <c r="L691" s="80"/>
      <c r="M691" s="95"/>
      <c r="N691" s="95"/>
      <c r="O691" s="80"/>
    </row>
    <row r="692" spans="10:15" ht="15.75" customHeight="1" x14ac:dyDescent="0.25">
      <c r="J692" s="95"/>
      <c r="K692" s="95"/>
      <c r="L692" s="80"/>
      <c r="M692" s="95"/>
      <c r="N692" s="95"/>
      <c r="O692" s="80"/>
    </row>
    <row r="693" spans="10:15" ht="15.75" customHeight="1" x14ac:dyDescent="0.25">
      <c r="J693" s="95"/>
      <c r="K693" s="95"/>
      <c r="L693" s="80"/>
      <c r="M693" s="95"/>
      <c r="N693" s="95"/>
      <c r="O693" s="80"/>
    </row>
    <row r="694" spans="10:15" ht="15.75" customHeight="1" x14ac:dyDescent="0.25">
      <c r="J694" s="95"/>
      <c r="K694" s="95"/>
      <c r="L694" s="80"/>
      <c r="M694" s="95"/>
      <c r="N694" s="95"/>
      <c r="O694" s="80"/>
    </row>
    <row r="695" spans="10:15" ht="15.75" customHeight="1" x14ac:dyDescent="0.25">
      <c r="J695" s="95"/>
      <c r="K695" s="95"/>
      <c r="L695" s="80"/>
      <c r="M695" s="95"/>
      <c r="N695" s="95"/>
      <c r="O695" s="80"/>
    </row>
    <row r="696" spans="10:15" ht="15.75" customHeight="1" x14ac:dyDescent="0.25">
      <c r="J696" s="95"/>
      <c r="K696" s="95"/>
      <c r="L696" s="80"/>
      <c r="M696" s="95"/>
      <c r="N696" s="95"/>
      <c r="O696" s="80"/>
    </row>
    <row r="697" spans="10:15" ht="15.75" customHeight="1" x14ac:dyDescent="0.25">
      <c r="J697" s="95"/>
      <c r="K697" s="95"/>
      <c r="L697" s="80"/>
      <c r="M697" s="95"/>
      <c r="N697" s="95"/>
      <c r="O697" s="80"/>
    </row>
    <row r="698" spans="10:15" ht="15.75" customHeight="1" x14ac:dyDescent="0.25">
      <c r="J698" s="95"/>
      <c r="K698" s="95"/>
      <c r="L698" s="80"/>
      <c r="M698" s="95"/>
      <c r="N698" s="95"/>
      <c r="O698" s="80"/>
    </row>
    <row r="699" spans="10:15" ht="15.75" customHeight="1" x14ac:dyDescent="0.25">
      <c r="J699" s="95"/>
      <c r="K699" s="95"/>
      <c r="L699" s="80"/>
      <c r="M699" s="95"/>
      <c r="N699" s="95"/>
      <c r="O699" s="80"/>
    </row>
    <row r="700" spans="10:15" ht="15.75" customHeight="1" x14ac:dyDescent="0.25">
      <c r="J700" s="95"/>
      <c r="K700" s="95"/>
      <c r="L700" s="80"/>
      <c r="M700" s="95"/>
      <c r="N700" s="95"/>
      <c r="O700" s="80"/>
    </row>
    <row r="701" spans="10:15" ht="15.75" customHeight="1" x14ac:dyDescent="0.25">
      <c r="J701" s="95"/>
      <c r="K701" s="95"/>
      <c r="L701" s="80"/>
      <c r="M701" s="95"/>
      <c r="N701" s="95"/>
      <c r="O701" s="80"/>
    </row>
    <row r="702" spans="10:15" ht="15.75" customHeight="1" x14ac:dyDescent="0.25">
      <c r="J702" s="95"/>
      <c r="K702" s="95"/>
      <c r="L702" s="80"/>
      <c r="M702" s="95"/>
      <c r="N702" s="95"/>
      <c r="O702" s="80"/>
    </row>
    <row r="703" spans="10:15" ht="15.75" customHeight="1" x14ac:dyDescent="0.25">
      <c r="J703" s="95"/>
      <c r="K703" s="95"/>
      <c r="L703" s="80"/>
      <c r="M703" s="95"/>
      <c r="N703" s="95"/>
      <c r="O703" s="80"/>
    </row>
    <row r="704" spans="10:15" ht="15.75" customHeight="1" x14ac:dyDescent="0.25">
      <c r="J704" s="95"/>
      <c r="K704" s="95"/>
      <c r="L704" s="80"/>
      <c r="M704" s="95"/>
      <c r="N704" s="95"/>
      <c r="O704" s="80"/>
    </row>
    <row r="705" spans="10:15" ht="15.75" customHeight="1" x14ac:dyDescent="0.25">
      <c r="J705" s="95"/>
      <c r="K705" s="95"/>
      <c r="L705" s="80"/>
      <c r="M705" s="95"/>
      <c r="N705" s="95"/>
      <c r="O705" s="80"/>
    </row>
    <row r="706" spans="10:15" ht="15.75" customHeight="1" x14ac:dyDescent="0.25">
      <c r="J706" s="95"/>
      <c r="K706" s="95"/>
      <c r="L706" s="80"/>
      <c r="M706" s="95"/>
      <c r="N706" s="95"/>
      <c r="O706" s="80"/>
    </row>
    <row r="707" spans="10:15" ht="15.75" customHeight="1" x14ac:dyDescent="0.25">
      <c r="J707" s="95"/>
      <c r="K707" s="95"/>
      <c r="L707" s="80"/>
      <c r="M707" s="95"/>
      <c r="N707" s="95"/>
      <c r="O707" s="80"/>
    </row>
    <row r="708" spans="10:15" ht="15.75" customHeight="1" x14ac:dyDescent="0.25">
      <c r="J708" s="95"/>
      <c r="K708" s="95"/>
      <c r="L708" s="80"/>
      <c r="M708" s="95"/>
      <c r="N708" s="95"/>
      <c r="O708" s="80"/>
    </row>
    <row r="709" spans="10:15" ht="15.75" customHeight="1" x14ac:dyDescent="0.25">
      <c r="J709" s="95"/>
      <c r="K709" s="95"/>
      <c r="L709" s="80"/>
      <c r="M709" s="95"/>
      <c r="N709" s="95"/>
      <c r="O709" s="80"/>
    </row>
    <row r="710" spans="10:15" ht="15.75" customHeight="1" x14ac:dyDescent="0.25">
      <c r="J710" s="95"/>
      <c r="K710" s="95"/>
      <c r="L710" s="80"/>
      <c r="M710" s="95"/>
      <c r="N710" s="95"/>
      <c r="O710" s="80"/>
    </row>
    <row r="711" spans="10:15" ht="15.75" customHeight="1" x14ac:dyDescent="0.25">
      <c r="J711" s="95"/>
      <c r="K711" s="95"/>
      <c r="L711" s="80"/>
      <c r="M711" s="95"/>
      <c r="N711" s="95"/>
      <c r="O711" s="80"/>
    </row>
    <row r="712" spans="10:15" ht="15.75" customHeight="1" x14ac:dyDescent="0.25">
      <c r="J712" s="95"/>
      <c r="K712" s="95"/>
      <c r="L712" s="80"/>
      <c r="M712" s="95"/>
      <c r="N712" s="95"/>
      <c r="O712" s="80"/>
    </row>
    <row r="713" spans="10:15" ht="15.75" customHeight="1" x14ac:dyDescent="0.25">
      <c r="J713" s="95"/>
      <c r="K713" s="95"/>
      <c r="L713" s="80"/>
      <c r="M713" s="95"/>
      <c r="N713" s="95"/>
      <c r="O713" s="80"/>
    </row>
    <row r="714" spans="10:15" ht="15.75" customHeight="1" x14ac:dyDescent="0.25">
      <c r="J714" s="95"/>
      <c r="K714" s="95"/>
      <c r="L714" s="80"/>
      <c r="M714" s="95"/>
      <c r="N714" s="95"/>
      <c r="O714" s="80"/>
    </row>
    <row r="715" spans="10:15" ht="15.75" customHeight="1" x14ac:dyDescent="0.25">
      <c r="J715" s="95"/>
      <c r="K715" s="95"/>
      <c r="L715" s="80"/>
      <c r="M715" s="95"/>
      <c r="N715" s="95"/>
      <c r="O715" s="80"/>
    </row>
    <row r="716" spans="10:15" ht="15.75" customHeight="1" x14ac:dyDescent="0.25">
      <c r="J716" s="95"/>
      <c r="K716" s="95"/>
      <c r="L716" s="80"/>
      <c r="M716" s="95"/>
      <c r="N716" s="95"/>
      <c r="O716" s="80"/>
    </row>
    <row r="717" spans="10:15" ht="15.75" customHeight="1" x14ac:dyDescent="0.25">
      <c r="J717" s="95"/>
      <c r="K717" s="95"/>
      <c r="L717" s="80"/>
      <c r="M717" s="95"/>
      <c r="N717" s="95"/>
      <c r="O717" s="80"/>
    </row>
    <row r="718" spans="10:15" ht="15.75" customHeight="1" x14ac:dyDescent="0.25">
      <c r="J718" s="95"/>
      <c r="K718" s="95"/>
      <c r="L718" s="80"/>
      <c r="M718" s="95"/>
      <c r="N718" s="95"/>
      <c r="O718" s="80"/>
    </row>
    <row r="719" spans="10:15" ht="15.75" customHeight="1" x14ac:dyDescent="0.25">
      <c r="J719" s="95"/>
      <c r="K719" s="95"/>
      <c r="L719" s="80"/>
      <c r="M719" s="95"/>
      <c r="N719" s="95"/>
      <c r="O719" s="80"/>
    </row>
    <row r="720" spans="10:15" ht="15.75" customHeight="1" x14ac:dyDescent="0.25">
      <c r="J720" s="95"/>
      <c r="K720" s="95"/>
      <c r="L720" s="80"/>
      <c r="M720" s="95"/>
      <c r="N720" s="95"/>
      <c r="O720" s="80"/>
    </row>
    <row r="721" spans="10:15" ht="15.75" customHeight="1" x14ac:dyDescent="0.25">
      <c r="J721" s="95"/>
      <c r="K721" s="95"/>
      <c r="L721" s="80"/>
      <c r="M721" s="95"/>
      <c r="N721" s="95"/>
      <c r="O721" s="80"/>
    </row>
    <row r="722" spans="10:15" ht="15.75" customHeight="1" x14ac:dyDescent="0.25">
      <c r="J722" s="95"/>
      <c r="K722" s="95"/>
      <c r="L722" s="80"/>
      <c r="M722" s="95"/>
      <c r="N722" s="95"/>
      <c r="O722" s="80"/>
    </row>
    <row r="723" spans="10:15" ht="15.75" customHeight="1" x14ac:dyDescent="0.25">
      <c r="J723" s="95"/>
      <c r="K723" s="95"/>
      <c r="L723" s="80"/>
      <c r="M723" s="95"/>
      <c r="N723" s="95"/>
      <c r="O723" s="80"/>
    </row>
    <row r="724" spans="10:15" ht="15.75" customHeight="1" x14ac:dyDescent="0.25">
      <c r="J724" s="95"/>
      <c r="K724" s="95"/>
      <c r="L724" s="80"/>
      <c r="M724" s="95"/>
      <c r="N724" s="95"/>
      <c r="O724" s="80"/>
    </row>
    <row r="725" spans="10:15" ht="15.75" customHeight="1" x14ac:dyDescent="0.25">
      <c r="J725" s="95"/>
      <c r="K725" s="95"/>
      <c r="L725" s="80"/>
      <c r="M725" s="95"/>
      <c r="N725" s="95"/>
      <c r="O725" s="80"/>
    </row>
    <row r="726" spans="10:15" ht="15.75" customHeight="1" x14ac:dyDescent="0.25">
      <c r="J726" s="95"/>
      <c r="K726" s="95"/>
      <c r="L726" s="80"/>
      <c r="M726" s="95"/>
      <c r="N726" s="95"/>
      <c r="O726" s="80"/>
    </row>
    <row r="727" spans="10:15" ht="15.75" customHeight="1" x14ac:dyDescent="0.25">
      <c r="J727" s="95"/>
      <c r="K727" s="95"/>
      <c r="L727" s="80"/>
      <c r="M727" s="95"/>
      <c r="N727" s="95"/>
      <c r="O727" s="80"/>
    </row>
    <row r="728" spans="10:15" ht="15.75" customHeight="1" x14ac:dyDescent="0.25">
      <c r="J728" s="95"/>
      <c r="K728" s="95"/>
      <c r="L728" s="80"/>
      <c r="M728" s="95"/>
      <c r="N728" s="95"/>
      <c r="O728" s="80"/>
    </row>
    <row r="729" spans="10:15" ht="15.75" customHeight="1" x14ac:dyDescent="0.25">
      <c r="J729" s="95"/>
      <c r="K729" s="95"/>
      <c r="L729" s="80"/>
      <c r="M729" s="95"/>
      <c r="N729" s="95"/>
      <c r="O729" s="80"/>
    </row>
    <row r="730" spans="10:15" ht="15.75" customHeight="1" x14ac:dyDescent="0.25">
      <c r="J730" s="95"/>
      <c r="K730" s="95"/>
      <c r="L730" s="80"/>
      <c r="M730" s="95"/>
      <c r="N730" s="95"/>
      <c r="O730" s="80"/>
    </row>
    <row r="731" spans="10:15" ht="15.75" customHeight="1" x14ac:dyDescent="0.25">
      <c r="J731" s="95"/>
      <c r="K731" s="95"/>
      <c r="L731" s="80"/>
      <c r="M731" s="95"/>
      <c r="N731" s="95"/>
      <c r="O731" s="80"/>
    </row>
    <row r="732" spans="10:15" ht="15.75" customHeight="1" x14ac:dyDescent="0.25">
      <c r="J732" s="95"/>
      <c r="K732" s="95"/>
      <c r="L732" s="80"/>
      <c r="M732" s="95"/>
      <c r="N732" s="95"/>
      <c r="O732" s="80"/>
    </row>
    <row r="733" spans="10:15" ht="15.75" customHeight="1" x14ac:dyDescent="0.25">
      <c r="J733" s="95"/>
      <c r="K733" s="95"/>
      <c r="L733" s="80"/>
      <c r="M733" s="95"/>
      <c r="N733" s="95"/>
      <c r="O733" s="80"/>
    </row>
    <row r="734" spans="10:15" ht="15.75" customHeight="1" x14ac:dyDescent="0.25">
      <c r="J734" s="95"/>
      <c r="K734" s="95"/>
      <c r="L734" s="80"/>
      <c r="M734" s="95"/>
      <c r="N734" s="95"/>
      <c r="O734" s="80"/>
    </row>
    <row r="735" spans="10:15" ht="15.75" customHeight="1" x14ac:dyDescent="0.25">
      <c r="J735" s="95"/>
      <c r="K735" s="95"/>
      <c r="L735" s="80"/>
      <c r="M735" s="95"/>
      <c r="N735" s="95"/>
      <c r="O735" s="80"/>
    </row>
    <row r="736" spans="10:15" ht="15.75" customHeight="1" x14ac:dyDescent="0.25">
      <c r="J736" s="95"/>
      <c r="K736" s="95"/>
      <c r="L736" s="80"/>
      <c r="M736" s="95"/>
      <c r="N736" s="95"/>
      <c r="O736" s="80"/>
    </row>
    <row r="737" spans="10:15" ht="15.75" customHeight="1" x14ac:dyDescent="0.25">
      <c r="J737" s="95"/>
      <c r="K737" s="95"/>
      <c r="L737" s="80"/>
      <c r="M737" s="95"/>
      <c r="N737" s="95"/>
      <c r="O737" s="80"/>
    </row>
    <row r="738" spans="10:15" ht="15.75" customHeight="1" x14ac:dyDescent="0.25">
      <c r="J738" s="95"/>
      <c r="K738" s="95"/>
      <c r="L738" s="80"/>
      <c r="M738" s="95"/>
      <c r="N738" s="95"/>
      <c r="O738" s="80"/>
    </row>
    <row r="739" spans="10:15" ht="15.75" customHeight="1" x14ac:dyDescent="0.25">
      <c r="J739" s="95"/>
      <c r="K739" s="95"/>
      <c r="L739" s="80"/>
      <c r="M739" s="95"/>
      <c r="N739" s="95"/>
      <c r="O739" s="80"/>
    </row>
    <row r="740" spans="10:15" ht="15.75" customHeight="1" x14ac:dyDescent="0.25">
      <c r="J740" s="95"/>
      <c r="K740" s="95"/>
      <c r="L740" s="80"/>
      <c r="M740" s="95"/>
      <c r="N740" s="95"/>
      <c r="O740" s="80"/>
    </row>
    <row r="741" spans="10:15" ht="15.75" customHeight="1" x14ac:dyDescent="0.25">
      <c r="J741" s="95"/>
      <c r="K741" s="95"/>
      <c r="L741" s="80"/>
      <c r="M741" s="95"/>
      <c r="N741" s="95"/>
      <c r="O741" s="80"/>
    </row>
    <row r="742" spans="10:15" ht="15.75" customHeight="1" x14ac:dyDescent="0.25">
      <c r="J742" s="95"/>
      <c r="K742" s="95"/>
      <c r="L742" s="80"/>
      <c r="M742" s="95"/>
      <c r="N742" s="95"/>
      <c r="O742" s="80"/>
    </row>
    <row r="743" spans="10:15" ht="15.75" customHeight="1" x14ac:dyDescent="0.25">
      <c r="J743" s="95"/>
      <c r="K743" s="95"/>
      <c r="L743" s="80"/>
      <c r="M743" s="95"/>
      <c r="N743" s="95"/>
      <c r="O743" s="80"/>
    </row>
    <row r="744" spans="10:15" ht="15.75" customHeight="1" x14ac:dyDescent="0.25">
      <c r="J744" s="95"/>
      <c r="K744" s="95"/>
      <c r="L744" s="80"/>
      <c r="M744" s="95"/>
      <c r="N744" s="95"/>
      <c r="O744" s="80"/>
    </row>
    <row r="745" spans="10:15" ht="15.75" customHeight="1" x14ac:dyDescent="0.25">
      <c r="J745" s="95"/>
      <c r="K745" s="95"/>
      <c r="L745" s="80"/>
      <c r="M745" s="95"/>
      <c r="N745" s="95"/>
      <c r="O745" s="80"/>
    </row>
    <row r="746" spans="10:15" ht="15.75" customHeight="1" x14ac:dyDescent="0.25">
      <c r="J746" s="95"/>
      <c r="K746" s="95"/>
      <c r="L746" s="80"/>
      <c r="M746" s="95"/>
      <c r="N746" s="95"/>
      <c r="O746" s="80"/>
    </row>
    <row r="747" spans="10:15" ht="15.75" customHeight="1" x14ac:dyDescent="0.25">
      <c r="J747" s="95"/>
      <c r="K747" s="95"/>
      <c r="L747" s="80"/>
      <c r="M747" s="95"/>
      <c r="N747" s="95"/>
      <c r="O747" s="80"/>
    </row>
    <row r="748" spans="10:15" ht="15.75" customHeight="1" x14ac:dyDescent="0.25">
      <c r="J748" s="95"/>
      <c r="K748" s="95"/>
      <c r="L748" s="80"/>
      <c r="M748" s="95"/>
      <c r="N748" s="95"/>
      <c r="O748" s="80"/>
    </row>
    <row r="749" spans="10:15" ht="15.75" customHeight="1" x14ac:dyDescent="0.25">
      <c r="J749" s="95"/>
      <c r="K749" s="95"/>
      <c r="L749" s="80"/>
      <c r="M749" s="95"/>
      <c r="N749" s="95"/>
      <c r="O749" s="80"/>
    </row>
    <row r="750" spans="10:15" ht="15.75" customHeight="1" x14ac:dyDescent="0.25">
      <c r="J750" s="95"/>
      <c r="K750" s="95"/>
      <c r="L750" s="80"/>
      <c r="M750" s="95"/>
      <c r="N750" s="95"/>
      <c r="O750" s="80"/>
    </row>
    <row r="751" spans="10:15" ht="15.75" customHeight="1" x14ac:dyDescent="0.25">
      <c r="J751" s="95"/>
      <c r="K751" s="95"/>
      <c r="L751" s="80"/>
      <c r="M751" s="95"/>
      <c r="N751" s="95"/>
      <c r="O751" s="80"/>
    </row>
    <row r="752" spans="10:15" ht="15.75" customHeight="1" x14ac:dyDescent="0.25">
      <c r="J752" s="95"/>
      <c r="K752" s="95"/>
      <c r="L752" s="80"/>
      <c r="M752" s="95"/>
      <c r="N752" s="95"/>
      <c r="O752" s="80"/>
    </row>
    <row r="753" spans="10:15" ht="15.75" customHeight="1" x14ac:dyDescent="0.25">
      <c r="J753" s="95"/>
      <c r="K753" s="95"/>
      <c r="L753" s="80"/>
      <c r="M753" s="95"/>
      <c r="N753" s="95"/>
      <c r="O753" s="80"/>
    </row>
    <row r="754" spans="10:15" ht="15.75" customHeight="1" x14ac:dyDescent="0.25">
      <c r="J754" s="95"/>
      <c r="K754" s="95"/>
      <c r="L754" s="80"/>
      <c r="M754" s="95"/>
      <c r="N754" s="95"/>
      <c r="O754" s="80"/>
    </row>
    <row r="755" spans="10:15" ht="15.75" customHeight="1" x14ac:dyDescent="0.25">
      <c r="J755" s="95"/>
      <c r="K755" s="95"/>
      <c r="L755" s="80"/>
      <c r="M755" s="95"/>
      <c r="N755" s="95"/>
      <c r="O755" s="80"/>
    </row>
    <row r="756" spans="10:15" ht="15.75" customHeight="1" x14ac:dyDescent="0.25">
      <c r="J756" s="95"/>
      <c r="K756" s="95"/>
      <c r="L756" s="80"/>
      <c r="M756" s="95"/>
      <c r="N756" s="95"/>
      <c r="O756" s="80"/>
    </row>
    <row r="757" spans="10:15" ht="15.75" customHeight="1" x14ac:dyDescent="0.25">
      <c r="J757" s="95"/>
      <c r="K757" s="95"/>
      <c r="L757" s="80"/>
      <c r="M757" s="95"/>
      <c r="N757" s="95"/>
      <c r="O757" s="80"/>
    </row>
    <row r="758" spans="10:15" ht="15.75" customHeight="1" x14ac:dyDescent="0.25">
      <c r="J758" s="95"/>
      <c r="K758" s="95"/>
      <c r="L758" s="80"/>
      <c r="M758" s="95"/>
      <c r="N758" s="95"/>
      <c r="O758" s="80"/>
    </row>
    <row r="759" spans="10:15" ht="15.75" customHeight="1" x14ac:dyDescent="0.25">
      <c r="J759" s="95"/>
      <c r="K759" s="95"/>
      <c r="L759" s="80"/>
      <c r="M759" s="95"/>
      <c r="N759" s="95"/>
      <c r="O759" s="80"/>
    </row>
    <row r="760" spans="10:15" ht="15.75" customHeight="1" x14ac:dyDescent="0.25">
      <c r="J760" s="95"/>
      <c r="K760" s="95"/>
      <c r="L760" s="80"/>
      <c r="M760" s="95"/>
      <c r="N760" s="95"/>
      <c r="O760" s="80"/>
    </row>
    <row r="761" spans="10:15" ht="15.75" customHeight="1" x14ac:dyDescent="0.25">
      <c r="J761" s="95"/>
      <c r="K761" s="95"/>
      <c r="L761" s="80"/>
      <c r="M761" s="95"/>
      <c r="N761" s="95"/>
      <c r="O761" s="80"/>
    </row>
    <row r="762" spans="10:15" ht="15.75" customHeight="1" x14ac:dyDescent="0.25">
      <c r="J762" s="95"/>
      <c r="K762" s="95"/>
      <c r="L762" s="80"/>
      <c r="M762" s="95"/>
      <c r="N762" s="95"/>
      <c r="O762" s="80"/>
    </row>
    <row r="763" spans="10:15" ht="15.75" customHeight="1" x14ac:dyDescent="0.25">
      <c r="J763" s="95"/>
      <c r="K763" s="95"/>
      <c r="L763" s="80"/>
      <c r="M763" s="95"/>
      <c r="N763" s="95"/>
      <c r="O763" s="80"/>
    </row>
    <row r="764" spans="10:15" ht="15.75" customHeight="1" x14ac:dyDescent="0.25">
      <c r="J764" s="95"/>
      <c r="K764" s="95"/>
      <c r="L764" s="80"/>
      <c r="M764" s="95"/>
      <c r="N764" s="95"/>
      <c r="O764" s="80"/>
    </row>
    <row r="765" spans="10:15" ht="15.75" customHeight="1" x14ac:dyDescent="0.25">
      <c r="J765" s="95"/>
      <c r="K765" s="95"/>
      <c r="L765" s="80"/>
      <c r="M765" s="95"/>
      <c r="N765" s="95"/>
      <c r="O765" s="80"/>
    </row>
    <row r="766" spans="10:15" ht="15.75" customHeight="1" x14ac:dyDescent="0.25">
      <c r="J766" s="95"/>
      <c r="K766" s="95"/>
      <c r="L766" s="80"/>
      <c r="M766" s="95"/>
      <c r="N766" s="95"/>
      <c r="O766" s="80"/>
    </row>
    <row r="767" spans="10:15" ht="15.75" customHeight="1" x14ac:dyDescent="0.25">
      <c r="J767" s="95"/>
      <c r="K767" s="95"/>
      <c r="L767" s="80"/>
      <c r="M767" s="95"/>
      <c r="N767" s="95"/>
      <c r="O767" s="80"/>
    </row>
    <row r="768" spans="10:15" ht="15.75" customHeight="1" x14ac:dyDescent="0.25">
      <c r="J768" s="95"/>
      <c r="K768" s="95"/>
      <c r="L768" s="80"/>
      <c r="M768" s="95"/>
      <c r="N768" s="95"/>
      <c r="O768" s="80"/>
    </row>
    <row r="769" spans="10:15" ht="15.75" customHeight="1" x14ac:dyDescent="0.25">
      <c r="J769" s="95"/>
      <c r="K769" s="95"/>
      <c r="L769" s="80"/>
      <c r="M769" s="95"/>
      <c r="N769" s="95"/>
      <c r="O769" s="80"/>
    </row>
    <row r="770" spans="10:15" ht="15.75" customHeight="1" x14ac:dyDescent="0.25">
      <c r="J770" s="95"/>
      <c r="K770" s="95"/>
      <c r="L770" s="80"/>
      <c r="M770" s="95"/>
      <c r="N770" s="95"/>
      <c r="O770" s="80"/>
    </row>
    <row r="771" spans="10:15" ht="15.75" customHeight="1" x14ac:dyDescent="0.25">
      <c r="J771" s="95"/>
      <c r="K771" s="95"/>
      <c r="L771" s="80"/>
      <c r="M771" s="95"/>
      <c r="N771" s="95"/>
      <c r="O771" s="80"/>
    </row>
    <row r="772" spans="10:15" ht="15.75" customHeight="1" x14ac:dyDescent="0.25">
      <c r="J772" s="95"/>
      <c r="K772" s="95"/>
      <c r="L772" s="80"/>
      <c r="M772" s="95"/>
      <c r="N772" s="95"/>
      <c r="O772" s="80"/>
    </row>
    <row r="773" spans="10:15" ht="15.75" customHeight="1" x14ac:dyDescent="0.25">
      <c r="J773" s="95"/>
      <c r="K773" s="95"/>
      <c r="L773" s="80"/>
      <c r="M773" s="95"/>
      <c r="N773" s="95"/>
      <c r="O773" s="80"/>
    </row>
    <row r="774" spans="10:15" ht="15.75" customHeight="1" x14ac:dyDescent="0.25">
      <c r="J774" s="95"/>
      <c r="K774" s="95"/>
      <c r="L774" s="80"/>
      <c r="M774" s="95"/>
      <c r="N774" s="95"/>
      <c r="O774" s="80"/>
    </row>
    <row r="775" spans="10:15" ht="15.75" customHeight="1" x14ac:dyDescent="0.25">
      <c r="J775" s="95"/>
      <c r="K775" s="95"/>
      <c r="L775" s="80"/>
      <c r="M775" s="95"/>
      <c r="N775" s="95"/>
      <c r="O775" s="80"/>
    </row>
    <row r="776" spans="10:15" ht="15.75" customHeight="1" x14ac:dyDescent="0.25">
      <c r="J776" s="95"/>
      <c r="K776" s="95"/>
      <c r="L776" s="80"/>
      <c r="M776" s="95"/>
      <c r="N776" s="95"/>
      <c r="O776" s="80"/>
    </row>
    <row r="777" spans="10:15" ht="15.75" customHeight="1" x14ac:dyDescent="0.25">
      <c r="J777" s="95"/>
      <c r="K777" s="95"/>
      <c r="L777" s="80"/>
      <c r="M777" s="95"/>
      <c r="N777" s="95"/>
      <c r="O777" s="80"/>
    </row>
    <row r="778" spans="10:15" ht="15.75" customHeight="1" x14ac:dyDescent="0.25">
      <c r="J778" s="95"/>
      <c r="K778" s="95"/>
      <c r="L778" s="80"/>
      <c r="M778" s="95"/>
      <c r="N778" s="95"/>
      <c r="O778" s="80"/>
    </row>
    <row r="779" spans="10:15" ht="15.75" customHeight="1" x14ac:dyDescent="0.25">
      <c r="J779" s="95"/>
      <c r="K779" s="95"/>
      <c r="L779" s="80"/>
      <c r="M779" s="95"/>
      <c r="N779" s="95"/>
      <c r="O779" s="80"/>
    </row>
    <row r="780" spans="10:15" ht="15.75" customHeight="1" x14ac:dyDescent="0.25">
      <c r="J780" s="95"/>
      <c r="K780" s="95"/>
      <c r="L780" s="80"/>
      <c r="M780" s="95"/>
      <c r="N780" s="95"/>
      <c r="O780" s="80"/>
    </row>
    <row r="781" spans="10:15" ht="15.75" customHeight="1" x14ac:dyDescent="0.25">
      <c r="J781" s="95"/>
      <c r="K781" s="95"/>
      <c r="L781" s="80"/>
      <c r="M781" s="95"/>
      <c r="N781" s="95"/>
      <c r="O781" s="80"/>
    </row>
    <row r="782" spans="10:15" ht="15.75" customHeight="1" x14ac:dyDescent="0.25">
      <c r="J782" s="95"/>
      <c r="K782" s="95"/>
      <c r="L782" s="80"/>
      <c r="M782" s="95"/>
      <c r="N782" s="95"/>
      <c r="O782" s="80"/>
    </row>
    <row r="783" spans="10:15" ht="15.75" customHeight="1" x14ac:dyDescent="0.25">
      <c r="J783" s="95"/>
      <c r="K783" s="95"/>
      <c r="L783" s="80"/>
      <c r="M783" s="95"/>
      <c r="N783" s="95"/>
      <c r="O783" s="80"/>
    </row>
    <row r="784" spans="10:15" ht="15.75" customHeight="1" x14ac:dyDescent="0.25">
      <c r="J784" s="95"/>
      <c r="K784" s="95"/>
      <c r="L784" s="80"/>
      <c r="M784" s="95"/>
      <c r="N784" s="95"/>
      <c r="O784" s="80"/>
    </row>
    <row r="785" spans="10:15" ht="15.75" customHeight="1" x14ac:dyDescent="0.25">
      <c r="J785" s="95"/>
      <c r="K785" s="95"/>
      <c r="L785" s="80"/>
      <c r="M785" s="95"/>
      <c r="N785" s="95"/>
      <c r="O785" s="80"/>
    </row>
    <row r="786" spans="10:15" ht="15.75" customHeight="1" x14ac:dyDescent="0.25">
      <c r="J786" s="95"/>
      <c r="K786" s="95"/>
      <c r="L786" s="80"/>
      <c r="M786" s="95"/>
      <c r="N786" s="95"/>
      <c r="O786" s="80"/>
    </row>
    <row r="787" spans="10:15" ht="15.75" customHeight="1" x14ac:dyDescent="0.25">
      <c r="J787" s="95"/>
      <c r="K787" s="95"/>
      <c r="L787" s="80"/>
      <c r="M787" s="95"/>
      <c r="N787" s="95"/>
      <c r="O787" s="80"/>
    </row>
    <row r="788" spans="10:15" ht="15.75" customHeight="1" x14ac:dyDescent="0.25">
      <c r="J788" s="95"/>
      <c r="K788" s="95"/>
      <c r="L788" s="80"/>
      <c r="M788" s="95"/>
      <c r="N788" s="95"/>
      <c r="O788" s="80"/>
    </row>
    <row r="789" spans="10:15" ht="15.75" customHeight="1" x14ac:dyDescent="0.25">
      <c r="J789" s="95"/>
      <c r="K789" s="95"/>
      <c r="L789" s="80"/>
      <c r="M789" s="95"/>
      <c r="N789" s="95"/>
      <c r="O789" s="80"/>
    </row>
    <row r="790" spans="10:15" ht="15.75" customHeight="1" x14ac:dyDescent="0.25">
      <c r="J790" s="95"/>
      <c r="K790" s="95"/>
      <c r="L790" s="80"/>
      <c r="M790" s="95"/>
      <c r="N790" s="95"/>
      <c r="O790" s="80"/>
    </row>
    <row r="791" spans="10:15" ht="15.75" customHeight="1" x14ac:dyDescent="0.25">
      <c r="J791" s="95"/>
      <c r="K791" s="95"/>
      <c r="L791" s="80"/>
      <c r="M791" s="95"/>
      <c r="N791" s="95"/>
      <c r="O791" s="80"/>
    </row>
    <row r="792" spans="10:15" ht="15.75" customHeight="1" x14ac:dyDescent="0.25">
      <c r="J792" s="95"/>
      <c r="K792" s="95"/>
      <c r="L792" s="80"/>
      <c r="M792" s="95"/>
      <c r="N792" s="95"/>
      <c r="O792" s="80"/>
    </row>
    <row r="793" spans="10:15" ht="15.75" customHeight="1" x14ac:dyDescent="0.25">
      <c r="J793" s="95"/>
      <c r="K793" s="95"/>
      <c r="L793" s="80"/>
      <c r="M793" s="95"/>
      <c r="N793" s="95"/>
      <c r="O793" s="80"/>
    </row>
    <row r="794" spans="10:15" ht="15.75" customHeight="1" x14ac:dyDescent="0.25">
      <c r="J794" s="95"/>
      <c r="K794" s="95"/>
      <c r="L794" s="80"/>
      <c r="M794" s="95"/>
      <c r="N794" s="95"/>
      <c r="O794" s="80"/>
    </row>
    <row r="795" spans="10:15" ht="15.75" customHeight="1" x14ac:dyDescent="0.25">
      <c r="J795" s="95"/>
      <c r="K795" s="95"/>
      <c r="L795" s="80"/>
      <c r="M795" s="95"/>
      <c r="N795" s="95"/>
      <c r="O795" s="80"/>
    </row>
    <row r="796" spans="10:15" ht="15.75" customHeight="1" x14ac:dyDescent="0.25">
      <c r="J796" s="95"/>
      <c r="K796" s="95"/>
      <c r="L796" s="80"/>
      <c r="M796" s="95"/>
      <c r="N796" s="95"/>
      <c r="O796" s="80"/>
    </row>
    <row r="797" spans="10:15" ht="15.75" customHeight="1" x14ac:dyDescent="0.25">
      <c r="J797" s="95"/>
      <c r="K797" s="95"/>
      <c r="L797" s="80"/>
      <c r="M797" s="95"/>
      <c r="N797" s="95"/>
      <c r="O797" s="80"/>
    </row>
    <row r="798" spans="10:15" ht="15.75" customHeight="1" x14ac:dyDescent="0.25">
      <c r="J798" s="95"/>
      <c r="K798" s="95"/>
      <c r="L798" s="80"/>
      <c r="M798" s="95"/>
      <c r="N798" s="95"/>
      <c r="O798" s="80"/>
    </row>
    <row r="799" spans="10:15" ht="15.75" customHeight="1" x14ac:dyDescent="0.25">
      <c r="J799" s="95"/>
      <c r="K799" s="95"/>
      <c r="L799" s="80"/>
      <c r="M799" s="95"/>
      <c r="N799" s="95"/>
      <c r="O799" s="80"/>
    </row>
    <row r="800" spans="10:15" ht="15.75" customHeight="1" x14ac:dyDescent="0.25">
      <c r="J800" s="95"/>
      <c r="K800" s="95"/>
      <c r="L800" s="80"/>
      <c r="M800" s="95"/>
      <c r="N800" s="95"/>
      <c r="O800" s="80"/>
    </row>
    <row r="801" spans="10:15" ht="15.75" customHeight="1" x14ac:dyDescent="0.25">
      <c r="J801" s="95"/>
      <c r="K801" s="95"/>
      <c r="L801" s="80"/>
      <c r="M801" s="95"/>
      <c r="N801" s="95"/>
      <c r="O801" s="80"/>
    </row>
    <row r="802" spans="10:15" ht="15.75" customHeight="1" x14ac:dyDescent="0.25">
      <c r="J802" s="95"/>
      <c r="K802" s="95"/>
      <c r="L802" s="80"/>
      <c r="M802" s="95"/>
      <c r="N802" s="95"/>
      <c r="O802" s="80"/>
    </row>
    <row r="803" spans="10:15" ht="15.75" customHeight="1" x14ac:dyDescent="0.25">
      <c r="J803" s="95"/>
      <c r="K803" s="95"/>
      <c r="L803" s="80"/>
      <c r="M803" s="95"/>
      <c r="N803" s="95"/>
      <c r="O803" s="80"/>
    </row>
    <row r="804" spans="10:15" ht="15.75" customHeight="1" x14ac:dyDescent="0.25">
      <c r="J804" s="95"/>
      <c r="K804" s="95"/>
      <c r="L804" s="80"/>
      <c r="M804" s="95"/>
      <c r="N804" s="95"/>
      <c r="O804" s="80"/>
    </row>
    <row r="805" spans="10:15" ht="15.75" customHeight="1" x14ac:dyDescent="0.25">
      <c r="J805" s="95"/>
      <c r="K805" s="95"/>
      <c r="L805" s="80"/>
      <c r="M805" s="95"/>
      <c r="N805" s="95"/>
      <c r="O805" s="80"/>
    </row>
    <row r="806" spans="10:15" ht="15.75" customHeight="1" x14ac:dyDescent="0.25">
      <c r="J806" s="95"/>
      <c r="K806" s="95"/>
      <c r="L806" s="80"/>
      <c r="M806" s="95"/>
      <c r="N806" s="95"/>
      <c r="O806" s="80"/>
    </row>
    <row r="807" spans="10:15" ht="15.75" customHeight="1" x14ac:dyDescent="0.25">
      <c r="J807" s="95"/>
      <c r="K807" s="95"/>
      <c r="L807" s="80"/>
      <c r="M807" s="95"/>
      <c r="N807" s="95"/>
      <c r="O807" s="80"/>
    </row>
    <row r="808" spans="10:15" ht="15.75" customHeight="1" x14ac:dyDescent="0.25">
      <c r="J808" s="95"/>
      <c r="K808" s="95"/>
      <c r="L808" s="80"/>
      <c r="M808" s="95"/>
      <c r="N808" s="95"/>
      <c r="O808" s="80"/>
    </row>
    <row r="809" spans="10:15" ht="15.75" customHeight="1" x14ac:dyDescent="0.25">
      <c r="J809" s="95"/>
      <c r="K809" s="95"/>
      <c r="L809" s="80"/>
      <c r="M809" s="95"/>
      <c r="N809" s="95"/>
      <c r="O809" s="80"/>
    </row>
    <row r="810" spans="10:15" ht="15.75" customHeight="1" x14ac:dyDescent="0.25">
      <c r="J810" s="95"/>
      <c r="K810" s="95"/>
      <c r="L810" s="80"/>
      <c r="M810" s="95"/>
      <c r="N810" s="95"/>
      <c r="O810" s="80"/>
    </row>
    <row r="811" spans="10:15" ht="15.75" customHeight="1" x14ac:dyDescent="0.25">
      <c r="J811" s="95"/>
      <c r="K811" s="95"/>
      <c r="L811" s="80"/>
      <c r="M811" s="95"/>
      <c r="N811" s="95"/>
      <c r="O811" s="80"/>
    </row>
    <row r="812" spans="10:15" ht="15.75" customHeight="1" x14ac:dyDescent="0.25">
      <c r="J812" s="95"/>
      <c r="K812" s="95"/>
      <c r="L812" s="80"/>
      <c r="M812" s="95"/>
      <c r="N812" s="95"/>
      <c r="O812" s="80"/>
    </row>
    <row r="813" spans="10:15" ht="15.75" customHeight="1" x14ac:dyDescent="0.25">
      <c r="J813" s="95"/>
      <c r="K813" s="95"/>
      <c r="L813" s="80"/>
      <c r="M813" s="95"/>
      <c r="N813" s="95"/>
      <c r="O813" s="80"/>
    </row>
    <row r="814" spans="10:15" ht="15.75" customHeight="1" x14ac:dyDescent="0.25">
      <c r="J814" s="95"/>
      <c r="K814" s="95"/>
      <c r="L814" s="80"/>
      <c r="M814" s="95"/>
      <c r="N814" s="95"/>
      <c r="O814" s="80"/>
    </row>
    <row r="815" spans="10:15" ht="15.75" customHeight="1" x14ac:dyDescent="0.25">
      <c r="J815" s="95"/>
      <c r="K815" s="95"/>
      <c r="L815" s="80"/>
      <c r="M815" s="95"/>
      <c r="N815" s="95"/>
      <c r="O815" s="80"/>
    </row>
    <row r="816" spans="10:15" ht="15.75" customHeight="1" x14ac:dyDescent="0.25">
      <c r="J816" s="95"/>
      <c r="K816" s="95"/>
      <c r="L816" s="80"/>
      <c r="M816" s="95"/>
      <c r="N816" s="95"/>
      <c r="O816" s="80"/>
    </row>
    <row r="817" spans="10:15" ht="15.75" customHeight="1" x14ac:dyDescent="0.25">
      <c r="J817" s="95"/>
      <c r="K817" s="95"/>
      <c r="L817" s="80"/>
      <c r="M817" s="95"/>
      <c r="N817" s="95"/>
      <c r="O817" s="80"/>
    </row>
    <row r="818" spans="10:15" ht="15.75" customHeight="1" x14ac:dyDescent="0.25">
      <c r="J818" s="95"/>
      <c r="K818" s="95"/>
      <c r="L818" s="80"/>
      <c r="M818" s="95"/>
      <c r="N818" s="95"/>
      <c r="O818" s="80"/>
    </row>
    <row r="819" spans="10:15" ht="15.75" customHeight="1" x14ac:dyDescent="0.25">
      <c r="J819" s="95"/>
      <c r="K819" s="95"/>
      <c r="L819" s="80"/>
      <c r="M819" s="95"/>
      <c r="N819" s="95"/>
      <c r="O819" s="80"/>
    </row>
    <row r="820" spans="10:15" ht="15.75" customHeight="1" x14ac:dyDescent="0.25">
      <c r="J820" s="95"/>
      <c r="K820" s="95"/>
      <c r="L820" s="80"/>
      <c r="M820" s="95"/>
      <c r="N820" s="95"/>
      <c r="O820" s="80"/>
    </row>
    <row r="821" spans="10:15" ht="15.75" customHeight="1" x14ac:dyDescent="0.25">
      <c r="J821" s="95"/>
      <c r="K821" s="95"/>
      <c r="L821" s="80"/>
      <c r="M821" s="95"/>
      <c r="N821" s="95"/>
      <c r="O821" s="80"/>
    </row>
    <row r="822" spans="10:15" ht="15.75" customHeight="1" x14ac:dyDescent="0.25">
      <c r="J822" s="95"/>
      <c r="K822" s="95"/>
      <c r="L822" s="80"/>
      <c r="M822" s="95"/>
      <c r="N822" s="95"/>
      <c r="O822" s="80"/>
    </row>
    <row r="823" spans="10:15" ht="15.75" customHeight="1" x14ac:dyDescent="0.25">
      <c r="J823" s="95"/>
      <c r="K823" s="95"/>
      <c r="L823" s="80"/>
      <c r="M823" s="95"/>
      <c r="N823" s="95"/>
      <c r="O823" s="80"/>
    </row>
    <row r="824" spans="10:15" ht="15.75" customHeight="1" x14ac:dyDescent="0.25">
      <c r="J824" s="95"/>
      <c r="K824" s="95"/>
      <c r="L824" s="80"/>
      <c r="M824" s="95"/>
      <c r="N824" s="95"/>
      <c r="O824" s="80"/>
    </row>
    <row r="825" spans="10:15" ht="15.75" customHeight="1" x14ac:dyDescent="0.25">
      <c r="J825" s="95"/>
      <c r="K825" s="95"/>
      <c r="L825" s="80"/>
      <c r="M825" s="95"/>
      <c r="N825" s="95"/>
      <c r="O825" s="80"/>
    </row>
    <row r="826" spans="10:15" ht="15.75" customHeight="1" x14ac:dyDescent="0.25">
      <c r="J826" s="95"/>
      <c r="K826" s="95"/>
      <c r="L826" s="80"/>
      <c r="M826" s="95"/>
      <c r="N826" s="95"/>
      <c r="O826" s="80"/>
    </row>
    <row r="827" spans="10:15" ht="15.75" customHeight="1" x14ac:dyDescent="0.25">
      <c r="J827" s="95"/>
      <c r="K827" s="95"/>
      <c r="L827" s="80"/>
      <c r="M827" s="95"/>
      <c r="N827" s="95"/>
      <c r="O827" s="80"/>
    </row>
    <row r="828" spans="10:15" ht="15.75" customHeight="1" x14ac:dyDescent="0.25">
      <c r="J828" s="95"/>
      <c r="K828" s="95"/>
      <c r="L828" s="80"/>
      <c r="M828" s="95"/>
      <c r="N828" s="95"/>
      <c r="O828" s="80"/>
    </row>
    <row r="829" spans="10:15" ht="15.75" customHeight="1" x14ac:dyDescent="0.25">
      <c r="J829" s="95"/>
      <c r="K829" s="95"/>
      <c r="L829" s="80"/>
      <c r="M829" s="95"/>
      <c r="N829" s="95"/>
      <c r="O829" s="80"/>
    </row>
    <row r="830" spans="10:15" ht="15.75" customHeight="1" x14ac:dyDescent="0.25">
      <c r="J830" s="95"/>
      <c r="K830" s="95"/>
      <c r="L830" s="80"/>
      <c r="M830" s="95"/>
      <c r="N830" s="95"/>
      <c r="O830" s="80"/>
    </row>
    <row r="831" spans="10:15" ht="15.75" customHeight="1" x14ac:dyDescent="0.25">
      <c r="J831" s="95"/>
      <c r="K831" s="95"/>
      <c r="L831" s="80"/>
      <c r="M831" s="95"/>
      <c r="N831" s="95"/>
      <c r="O831" s="80"/>
    </row>
    <row r="832" spans="10:15" ht="15.75" customHeight="1" x14ac:dyDescent="0.25">
      <c r="J832" s="95"/>
      <c r="K832" s="95"/>
      <c r="L832" s="80"/>
      <c r="M832" s="95"/>
      <c r="N832" s="95"/>
      <c r="O832" s="80"/>
    </row>
    <row r="833" spans="10:15" ht="15.75" customHeight="1" x14ac:dyDescent="0.25">
      <c r="J833" s="95"/>
      <c r="K833" s="95"/>
      <c r="L833" s="80"/>
      <c r="M833" s="95"/>
      <c r="N833" s="95"/>
      <c r="O833" s="80"/>
    </row>
    <row r="834" spans="10:15" ht="15.75" customHeight="1" x14ac:dyDescent="0.25">
      <c r="J834" s="95"/>
      <c r="K834" s="95"/>
      <c r="L834" s="80"/>
      <c r="M834" s="95"/>
      <c r="N834" s="95"/>
      <c r="O834" s="80"/>
    </row>
    <row r="835" spans="10:15" ht="15.75" customHeight="1" x14ac:dyDescent="0.25">
      <c r="J835" s="95"/>
      <c r="K835" s="95"/>
      <c r="L835" s="80"/>
      <c r="M835" s="95"/>
      <c r="N835" s="95"/>
      <c r="O835" s="80"/>
    </row>
    <row r="836" spans="10:15" ht="15.75" customHeight="1" x14ac:dyDescent="0.25">
      <c r="J836" s="95"/>
      <c r="K836" s="95"/>
      <c r="L836" s="80"/>
      <c r="M836" s="95"/>
      <c r="N836" s="95"/>
      <c r="O836" s="80"/>
    </row>
    <row r="837" spans="10:15" ht="15.75" customHeight="1" x14ac:dyDescent="0.25">
      <c r="J837" s="95"/>
      <c r="K837" s="95"/>
      <c r="L837" s="80"/>
      <c r="M837" s="95"/>
      <c r="N837" s="95"/>
      <c r="O837" s="80"/>
    </row>
    <row r="838" spans="10:15" ht="15.75" customHeight="1" x14ac:dyDescent="0.25">
      <c r="J838" s="95"/>
      <c r="K838" s="95"/>
      <c r="L838" s="80"/>
      <c r="M838" s="95"/>
      <c r="N838" s="95"/>
      <c r="O838" s="80"/>
    </row>
    <row r="839" spans="10:15" ht="15.75" customHeight="1" x14ac:dyDescent="0.25">
      <c r="J839" s="95"/>
      <c r="K839" s="95"/>
      <c r="L839" s="80"/>
      <c r="M839" s="95"/>
      <c r="N839" s="95"/>
      <c r="O839" s="80"/>
    </row>
    <row r="840" spans="10:15" ht="15.75" customHeight="1" x14ac:dyDescent="0.25">
      <c r="J840" s="95"/>
      <c r="K840" s="95"/>
      <c r="L840" s="80"/>
      <c r="M840" s="95"/>
      <c r="N840" s="95"/>
      <c r="O840" s="80"/>
    </row>
    <row r="841" spans="10:15" ht="15.75" customHeight="1" x14ac:dyDescent="0.25">
      <c r="J841" s="95"/>
      <c r="K841" s="95"/>
      <c r="L841" s="80"/>
      <c r="M841" s="95"/>
      <c r="N841" s="95"/>
      <c r="O841" s="80"/>
    </row>
    <row r="842" spans="10:15" ht="15.75" customHeight="1" x14ac:dyDescent="0.25">
      <c r="J842" s="95"/>
      <c r="K842" s="95"/>
      <c r="L842" s="80"/>
      <c r="M842" s="95"/>
      <c r="N842" s="95"/>
      <c r="O842" s="80"/>
    </row>
    <row r="843" spans="10:15" ht="15.75" customHeight="1" x14ac:dyDescent="0.25">
      <c r="J843" s="95"/>
      <c r="K843" s="95"/>
      <c r="L843" s="80"/>
      <c r="M843" s="95"/>
      <c r="N843" s="95"/>
      <c r="O843" s="80"/>
    </row>
    <row r="844" spans="10:15" ht="15.75" customHeight="1" x14ac:dyDescent="0.25">
      <c r="J844" s="95"/>
      <c r="K844" s="95"/>
      <c r="L844" s="80"/>
      <c r="M844" s="95"/>
      <c r="N844" s="95"/>
      <c r="O844" s="80"/>
    </row>
    <row r="845" spans="10:15" ht="15.75" customHeight="1" x14ac:dyDescent="0.25">
      <c r="J845" s="95"/>
      <c r="K845" s="95"/>
      <c r="L845" s="80"/>
      <c r="M845" s="95"/>
      <c r="N845" s="95"/>
      <c r="O845" s="80"/>
    </row>
    <row r="846" spans="10:15" ht="15.75" customHeight="1" x14ac:dyDescent="0.25">
      <c r="J846" s="95"/>
      <c r="K846" s="95"/>
      <c r="L846" s="80"/>
      <c r="M846" s="95"/>
      <c r="N846" s="95"/>
      <c r="O846" s="80"/>
    </row>
    <row r="847" spans="10:15" ht="15.75" customHeight="1" x14ac:dyDescent="0.25">
      <c r="J847" s="95"/>
      <c r="K847" s="95"/>
      <c r="L847" s="80"/>
      <c r="M847" s="95"/>
      <c r="N847" s="95"/>
      <c r="O847" s="80"/>
    </row>
    <row r="848" spans="10:15" ht="15.75" customHeight="1" x14ac:dyDescent="0.25">
      <c r="J848" s="95"/>
      <c r="K848" s="95"/>
      <c r="L848" s="80"/>
      <c r="M848" s="95"/>
      <c r="N848" s="95"/>
      <c r="O848" s="80"/>
    </row>
    <row r="849" spans="10:15" ht="15.75" customHeight="1" x14ac:dyDescent="0.25">
      <c r="J849" s="95"/>
      <c r="K849" s="95"/>
      <c r="L849" s="80"/>
      <c r="M849" s="95"/>
      <c r="N849" s="95"/>
      <c r="O849" s="80"/>
    </row>
    <row r="850" spans="10:15" ht="15.75" customHeight="1" x14ac:dyDescent="0.25">
      <c r="J850" s="95"/>
      <c r="K850" s="95"/>
      <c r="L850" s="80"/>
      <c r="M850" s="95"/>
      <c r="N850" s="95"/>
      <c r="O850" s="80"/>
    </row>
    <row r="851" spans="10:15" ht="15.75" customHeight="1" x14ac:dyDescent="0.25">
      <c r="J851" s="95"/>
      <c r="K851" s="95"/>
      <c r="L851" s="80"/>
      <c r="M851" s="95"/>
      <c r="N851" s="95"/>
      <c r="O851" s="80"/>
    </row>
    <row r="852" spans="10:15" ht="15.75" customHeight="1" x14ac:dyDescent="0.25">
      <c r="J852" s="95"/>
      <c r="K852" s="95"/>
      <c r="L852" s="80"/>
      <c r="M852" s="95"/>
      <c r="N852" s="95"/>
      <c r="O852" s="80"/>
    </row>
    <row r="853" spans="10:15" ht="15.75" customHeight="1" x14ac:dyDescent="0.25">
      <c r="J853" s="95"/>
      <c r="K853" s="95"/>
      <c r="L853" s="80"/>
      <c r="M853" s="95"/>
      <c r="N853" s="95"/>
      <c r="O853" s="80"/>
    </row>
    <row r="854" spans="10:15" ht="15.75" customHeight="1" x14ac:dyDescent="0.25">
      <c r="J854" s="95"/>
      <c r="K854" s="95"/>
      <c r="L854" s="80"/>
      <c r="M854" s="95"/>
      <c r="N854" s="95"/>
      <c r="O854" s="80"/>
    </row>
    <row r="855" spans="10:15" ht="15.75" customHeight="1" x14ac:dyDescent="0.25">
      <c r="J855" s="95"/>
      <c r="K855" s="95"/>
      <c r="L855" s="80"/>
      <c r="M855" s="95"/>
      <c r="N855" s="95"/>
      <c r="O855" s="80"/>
    </row>
    <row r="856" spans="10:15" ht="15.75" customHeight="1" x14ac:dyDescent="0.25">
      <c r="J856" s="95"/>
      <c r="K856" s="95"/>
      <c r="L856" s="80"/>
      <c r="M856" s="95"/>
      <c r="N856" s="95"/>
      <c r="O856" s="80"/>
    </row>
    <row r="857" spans="10:15" ht="15.75" customHeight="1" x14ac:dyDescent="0.25">
      <c r="J857" s="95"/>
      <c r="K857" s="95"/>
      <c r="L857" s="80"/>
      <c r="M857" s="95"/>
      <c r="N857" s="95"/>
      <c r="O857" s="80"/>
    </row>
    <row r="858" spans="10:15" ht="15.75" customHeight="1" x14ac:dyDescent="0.25">
      <c r="J858" s="95"/>
      <c r="K858" s="95"/>
      <c r="L858" s="80"/>
      <c r="M858" s="95"/>
      <c r="N858" s="95"/>
      <c r="O858" s="80"/>
    </row>
    <row r="859" spans="10:15" ht="15.75" customHeight="1" x14ac:dyDescent="0.25">
      <c r="J859" s="95"/>
      <c r="K859" s="95"/>
      <c r="L859" s="80"/>
      <c r="M859" s="95"/>
      <c r="N859" s="95"/>
      <c r="O859" s="80"/>
    </row>
    <row r="860" spans="10:15" ht="15.75" customHeight="1" x14ac:dyDescent="0.25">
      <c r="J860" s="95"/>
      <c r="K860" s="95"/>
      <c r="L860" s="80"/>
      <c r="M860" s="95"/>
      <c r="N860" s="95"/>
      <c r="O860" s="80"/>
    </row>
    <row r="861" spans="10:15" ht="15.75" customHeight="1" x14ac:dyDescent="0.25">
      <c r="J861" s="95"/>
      <c r="K861" s="95"/>
      <c r="L861" s="80"/>
      <c r="M861" s="95"/>
      <c r="N861" s="95"/>
      <c r="O861" s="80"/>
    </row>
    <row r="862" spans="10:15" ht="15.75" customHeight="1" x14ac:dyDescent="0.25">
      <c r="J862" s="95"/>
      <c r="K862" s="95"/>
      <c r="L862" s="80"/>
      <c r="M862" s="95"/>
      <c r="N862" s="95"/>
      <c r="O862" s="80"/>
    </row>
    <row r="863" spans="10:15" ht="15.75" customHeight="1" x14ac:dyDescent="0.25">
      <c r="J863" s="95"/>
      <c r="K863" s="95"/>
      <c r="L863" s="80"/>
      <c r="M863" s="95"/>
      <c r="N863" s="95"/>
      <c r="O863" s="80"/>
    </row>
    <row r="864" spans="10:15" ht="15.75" customHeight="1" x14ac:dyDescent="0.25">
      <c r="J864" s="95"/>
      <c r="K864" s="95"/>
      <c r="L864" s="80"/>
      <c r="M864" s="95"/>
      <c r="N864" s="95"/>
      <c r="O864" s="80"/>
    </row>
    <row r="865" spans="10:15" ht="15.75" customHeight="1" x14ac:dyDescent="0.25">
      <c r="J865" s="95"/>
      <c r="K865" s="95"/>
      <c r="L865" s="80"/>
      <c r="M865" s="95"/>
      <c r="N865" s="95"/>
      <c r="O865" s="80"/>
    </row>
    <row r="866" spans="10:15" ht="15.75" customHeight="1" x14ac:dyDescent="0.25">
      <c r="J866" s="95"/>
      <c r="K866" s="95"/>
      <c r="L866" s="80"/>
      <c r="M866" s="95"/>
      <c r="N866" s="95"/>
      <c r="O866" s="80"/>
    </row>
    <row r="867" spans="10:15" ht="15.75" customHeight="1" x14ac:dyDescent="0.25">
      <c r="J867" s="95"/>
      <c r="K867" s="95"/>
      <c r="L867" s="80"/>
      <c r="M867" s="95"/>
      <c r="N867" s="95"/>
      <c r="O867" s="80"/>
    </row>
    <row r="868" spans="10:15" ht="15.75" customHeight="1" x14ac:dyDescent="0.25">
      <c r="J868" s="95"/>
      <c r="K868" s="95"/>
      <c r="L868" s="80"/>
      <c r="M868" s="95"/>
      <c r="N868" s="95"/>
      <c r="O868" s="80"/>
    </row>
    <row r="869" spans="10:15" ht="15.75" customHeight="1" x14ac:dyDescent="0.25">
      <c r="J869" s="95"/>
      <c r="K869" s="95"/>
      <c r="L869" s="80"/>
      <c r="M869" s="95"/>
      <c r="N869" s="95"/>
      <c r="O869" s="80"/>
    </row>
    <row r="870" spans="10:15" ht="15.75" customHeight="1" x14ac:dyDescent="0.25">
      <c r="J870" s="95"/>
      <c r="K870" s="95"/>
      <c r="L870" s="80"/>
      <c r="M870" s="95"/>
      <c r="N870" s="95"/>
      <c r="O870" s="80"/>
    </row>
    <row r="871" spans="10:15" ht="15.75" customHeight="1" x14ac:dyDescent="0.25">
      <c r="J871" s="95"/>
      <c r="K871" s="95"/>
      <c r="L871" s="80"/>
      <c r="M871" s="95"/>
      <c r="N871" s="95"/>
      <c r="O871" s="80"/>
    </row>
    <row r="872" spans="10:15" ht="15.75" customHeight="1" x14ac:dyDescent="0.25">
      <c r="J872" s="95"/>
      <c r="K872" s="95"/>
      <c r="L872" s="80"/>
      <c r="M872" s="95"/>
      <c r="N872" s="95"/>
      <c r="O872" s="80"/>
    </row>
    <row r="873" spans="10:15" ht="15.75" customHeight="1" x14ac:dyDescent="0.25">
      <c r="J873" s="95"/>
      <c r="K873" s="95"/>
      <c r="L873" s="80"/>
      <c r="M873" s="95"/>
      <c r="N873" s="95"/>
      <c r="O873" s="80"/>
    </row>
    <row r="874" spans="10:15" ht="15.75" customHeight="1" x14ac:dyDescent="0.25">
      <c r="J874" s="95"/>
      <c r="K874" s="95"/>
      <c r="L874" s="80"/>
      <c r="M874" s="95"/>
      <c r="N874" s="95"/>
      <c r="O874" s="80"/>
    </row>
    <row r="875" spans="10:15" ht="15.75" customHeight="1" x14ac:dyDescent="0.25">
      <c r="J875" s="95"/>
      <c r="K875" s="95"/>
      <c r="L875" s="80"/>
      <c r="M875" s="95"/>
      <c r="N875" s="95"/>
      <c r="O875" s="80"/>
    </row>
    <row r="876" spans="10:15" ht="15.75" customHeight="1" x14ac:dyDescent="0.25">
      <c r="J876" s="95"/>
      <c r="K876" s="95"/>
      <c r="L876" s="80"/>
      <c r="M876" s="95"/>
      <c r="N876" s="95"/>
      <c r="O876" s="80"/>
    </row>
    <row r="877" spans="10:15" ht="15.75" customHeight="1" x14ac:dyDescent="0.25">
      <c r="J877" s="95"/>
      <c r="K877" s="95"/>
      <c r="L877" s="80"/>
      <c r="M877" s="95"/>
      <c r="N877" s="95"/>
      <c r="O877" s="80"/>
    </row>
    <row r="878" spans="10:15" ht="15.75" customHeight="1" x14ac:dyDescent="0.25">
      <c r="J878" s="95"/>
      <c r="K878" s="95"/>
      <c r="L878" s="80"/>
      <c r="M878" s="95"/>
      <c r="N878" s="95"/>
      <c r="O878" s="80"/>
    </row>
    <row r="879" spans="10:15" ht="15.75" customHeight="1" x14ac:dyDescent="0.25">
      <c r="J879" s="95"/>
      <c r="K879" s="95"/>
      <c r="L879" s="80"/>
      <c r="M879" s="95"/>
      <c r="N879" s="95"/>
      <c r="O879" s="80"/>
    </row>
    <row r="880" spans="10:15" ht="15.75" customHeight="1" x14ac:dyDescent="0.25">
      <c r="J880" s="95"/>
      <c r="K880" s="95"/>
      <c r="L880" s="80"/>
      <c r="M880" s="95"/>
      <c r="N880" s="95"/>
      <c r="O880" s="80"/>
    </row>
    <row r="881" spans="10:15" ht="15.75" customHeight="1" x14ac:dyDescent="0.25">
      <c r="J881" s="95"/>
      <c r="K881" s="95"/>
      <c r="L881" s="80"/>
      <c r="M881" s="95"/>
      <c r="N881" s="95"/>
      <c r="O881" s="80"/>
    </row>
    <row r="882" spans="10:15" ht="15.75" customHeight="1" x14ac:dyDescent="0.25">
      <c r="J882" s="95"/>
      <c r="K882" s="95"/>
      <c r="L882" s="80"/>
      <c r="M882" s="95"/>
      <c r="N882" s="95"/>
      <c r="O882" s="80"/>
    </row>
    <row r="883" spans="10:15" ht="15.75" customHeight="1" x14ac:dyDescent="0.25">
      <c r="J883" s="95"/>
      <c r="K883" s="95"/>
      <c r="L883" s="80"/>
      <c r="M883" s="95"/>
      <c r="N883" s="95"/>
      <c r="O883" s="80"/>
    </row>
    <row r="884" spans="10:15" ht="15.75" customHeight="1" x14ac:dyDescent="0.25">
      <c r="J884" s="95"/>
      <c r="K884" s="95"/>
      <c r="L884" s="80"/>
      <c r="M884" s="95"/>
      <c r="N884" s="95"/>
      <c r="O884" s="80"/>
    </row>
    <row r="885" spans="10:15" ht="15.75" customHeight="1" x14ac:dyDescent="0.25">
      <c r="J885" s="95"/>
      <c r="K885" s="95"/>
      <c r="L885" s="80"/>
      <c r="M885" s="95"/>
      <c r="N885" s="95"/>
      <c r="O885" s="80"/>
    </row>
    <row r="886" spans="10:15" ht="15.75" customHeight="1" x14ac:dyDescent="0.25">
      <c r="J886" s="95"/>
      <c r="K886" s="95"/>
      <c r="L886" s="80"/>
      <c r="M886" s="95"/>
      <c r="N886" s="95"/>
      <c r="O886" s="80"/>
    </row>
    <row r="887" spans="10:15" ht="15.75" customHeight="1" x14ac:dyDescent="0.25">
      <c r="J887" s="95"/>
      <c r="K887" s="95"/>
      <c r="L887" s="80"/>
      <c r="M887" s="95"/>
      <c r="N887" s="95"/>
      <c r="O887" s="80"/>
    </row>
    <row r="888" spans="10:15" ht="15.75" customHeight="1" x14ac:dyDescent="0.25">
      <c r="J888" s="95"/>
      <c r="K888" s="95"/>
      <c r="L888" s="80"/>
      <c r="M888" s="95"/>
      <c r="N888" s="95"/>
      <c r="O888" s="80"/>
    </row>
    <row r="889" spans="10:15" ht="15.75" customHeight="1" x14ac:dyDescent="0.25">
      <c r="J889" s="95"/>
      <c r="K889" s="95"/>
      <c r="L889" s="80"/>
      <c r="M889" s="95"/>
      <c r="N889" s="95"/>
      <c r="O889" s="80"/>
    </row>
    <row r="890" spans="10:15" ht="15.75" customHeight="1" x14ac:dyDescent="0.25">
      <c r="J890" s="95"/>
      <c r="K890" s="95"/>
      <c r="L890" s="80"/>
      <c r="M890" s="95"/>
      <c r="N890" s="95"/>
      <c r="O890" s="80"/>
    </row>
    <row r="891" spans="10:15" ht="15.75" customHeight="1" x14ac:dyDescent="0.25">
      <c r="J891" s="95"/>
      <c r="K891" s="95"/>
      <c r="L891" s="80"/>
      <c r="M891" s="95"/>
      <c r="N891" s="95"/>
      <c r="O891" s="80"/>
    </row>
    <row r="892" spans="10:15" ht="15.75" customHeight="1" x14ac:dyDescent="0.25">
      <c r="J892" s="95"/>
      <c r="K892" s="95"/>
      <c r="L892" s="80"/>
      <c r="M892" s="95"/>
      <c r="N892" s="95"/>
      <c r="O892" s="80"/>
    </row>
    <row r="893" spans="10:15" ht="15.75" customHeight="1" x14ac:dyDescent="0.25">
      <c r="J893" s="95"/>
      <c r="K893" s="95"/>
      <c r="L893" s="80"/>
      <c r="M893" s="95"/>
      <c r="N893" s="95"/>
      <c r="O893" s="80"/>
    </row>
    <row r="894" spans="10:15" ht="15.75" customHeight="1" x14ac:dyDescent="0.25">
      <c r="J894" s="95"/>
      <c r="K894" s="95"/>
      <c r="L894" s="80"/>
      <c r="M894" s="95"/>
      <c r="N894" s="95"/>
      <c r="O894" s="80"/>
    </row>
    <row r="895" spans="10:15" ht="15.75" customHeight="1" x14ac:dyDescent="0.25">
      <c r="J895" s="95"/>
      <c r="K895" s="95"/>
      <c r="L895" s="80"/>
      <c r="M895" s="95"/>
      <c r="N895" s="95"/>
      <c r="O895" s="80"/>
    </row>
    <row r="896" spans="10:15" ht="15.75" customHeight="1" x14ac:dyDescent="0.25">
      <c r="J896" s="95"/>
      <c r="K896" s="95"/>
      <c r="L896" s="80"/>
      <c r="M896" s="95"/>
      <c r="N896" s="95"/>
      <c r="O896" s="80"/>
    </row>
    <row r="897" spans="10:15" ht="15.75" customHeight="1" x14ac:dyDescent="0.25">
      <c r="J897" s="95"/>
      <c r="K897" s="95"/>
      <c r="L897" s="80"/>
      <c r="M897" s="95"/>
      <c r="N897" s="95"/>
      <c r="O897" s="80"/>
    </row>
    <row r="898" spans="10:15" ht="15.75" customHeight="1" x14ac:dyDescent="0.25">
      <c r="J898" s="95"/>
      <c r="K898" s="95"/>
      <c r="L898" s="80"/>
      <c r="M898" s="95"/>
      <c r="N898" s="95"/>
      <c r="O898" s="80"/>
    </row>
    <row r="899" spans="10:15" ht="15.75" customHeight="1" x14ac:dyDescent="0.25">
      <c r="J899" s="95"/>
      <c r="K899" s="95"/>
      <c r="L899" s="80"/>
      <c r="M899" s="95"/>
      <c r="N899" s="95"/>
      <c r="O899" s="80"/>
    </row>
    <row r="900" spans="10:15" ht="15.75" customHeight="1" x14ac:dyDescent="0.25">
      <c r="J900" s="95"/>
      <c r="K900" s="95"/>
      <c r="L900" s="80"/>
      <c r="M900" s="95"/>
      <c r="N900" s="95"/>
      <c r="O900" s="80"/>
    </row>
    <row r="901" spans="10:15" ht="15.75" customHeight="1" x14ac:dyDescent="0.25">
      <c r="J901" s="95"/>
      <c r="K901" s="95"/>
      <c r="L901" s="80"/>
      <c r="M901" s="95"/>
      <c r="N901" s="95"/>
      <c r="O901" s="80"/>
    </row>
    <row r="902" spans="10:15" ht="15.75" customHeight="1" x14ac:dyDescent="0.25">
      <c r="J902" s="95"/>
      <c r="K902" s="95"/>
      <c r="L902" s="80"/>
      <c r="M902" s="95"/>
      <c r="N902" s="95"/>
      <c r="O902" s="80"/>
    </row>
    <row r="903" spans="10:15" ht="15.75" customHeight="1" x14ac:dyDescent="0.25">
      <c r="J903" s="95"/>
      <c r="K903" s="95"/>
      <c r="L903" s="80"/>
      <c r="M903" s="95"/>
      <c r="N903" s="95"/>
      <c r="O903" s="80"/>
    </row>
    <row r="904" spans="10:15" ht="15.75" customHeight="1" x14ac:dyDescent="0.25">
      <c r="J904" s="95"/>
      <c r="K904" s="95"/>
      <c r="L904" s="80"/>
      <c r="M904" s="95"/>
      <c r="N904" s="95"/>
      <c r="O904" s="80"/>
    </row>
    <row r="905" spans="10:15" ht="15.75" customHeight="1" x14ac:dyDescent="0.25">
      <c r="J905" s="95"/>
      <c r="K905" s="95"/>
      <c r="L905" s="80"/>
      <c r="M905" s="95"/>
      <c r="N905" s="95"/>
      <c r="O905" s="80"/>
    </row>
    <row r="906" spans="10:15" ht="15.75" customHeight="1" x14ac:dyDescent="0.25">
      <c r="J906" s="95"/>
      <c r="K906" s="95"/>
      <c r="L906" s="80"/>
      <c r="M906" s="95"/>
      <c r="N906" s="95"/>
      <c r="O906" s="80"/>
    </row>
    <row r="907" spans="10:15" ht="15.75" customHeight="1" x14ac:dyDescent="0.25">
      <c r="J907" s="95"/>
      <c r="K907" s="95"/>
      <c r="L907" s="80"/>
      <c r="M907" s="95"/>
      <c r="N907" s="95"/>
      <c r="O907" s="80"/>
    </row>
    <row r="908" spans="10:15" ht="15.75" customHeight="1" x14ac:dyDescent="0.25">
      <c r="J908" s="95"/>
      <c r="K908" s="95"/>
      <c r="L908" s="80"/>
      <c r="M908" s="95"/>
      <c r="N908" s="95"/>
      <c r="O908" s="80"/>
    </row>
    <row r="909" spans="10:15" ht="15.75" customHeight="1" x14ac:dyDescent="0.25">
      <c r="J909" s="95"/>
      <c r="K909" s="95"/>
      <c r="L909" s="80"/>
      <c r="M909" s="95"/>
      <c r="N909" s="95"/>
      <c r="O909" s="80"/>
    </row>
    <row r="910" spans="10:15" ht="15.75" customHeight="1" x14ac:dyDescent="0.25">
      <c r="J910" s="95"/>
      <c r="K910" s="95"/>
      <c r="L910" s="80"/>
      <c r="M910" s="95"/>
      <c r="N910" s="95"/>
      <c r="O910" s="80"/>
    </row>
    <row r="911" spans="10:15" ht="15.75" customHeight="1" x14ac:dyDescent="0.25">
      <c r="J911" s="95"/>
      <c r="K911" s="95"/>
      <c r="L911" s="80"/>
      <c r="M911" s="95"/>
      <c r="N911" s="95"/>
      <c r="O911" s="80"/>
    </row>
    <row r="912" spans="10:15" ht="15.75" customHeight="1" x14ac:dyDescent="0.25">
      <c r="J912" s="95"/>
      <c r="K912" s="95"/>
      <c r="L912" s="80"/>
      <c r="M912" s="95"/>
      <c r="N912" s="95"/>
      <c r="O912" s="80"/>
    </row>
    <row r="913" spans="10:15" ht="15.75" customHeight="1" x14ac:dyDescent="0.25">
      <c r="J913" s="95"/>
      <c r="K913" s="95"/>
      <c r="L913" s="80"/>
      <c r="M913" s="95"/>
      <c r="N913" s="95"/>
      <c r="O913" s="80"/>
    </row>
    <row r="914" spans="10:15" ht="15.75" customHeight="1" x14ac:dyDescent="0.25">
      <c r="J914" s="95"/>
      <c r="K914" s="95"/>
      <c r="L914" s="80"/>
      <c r="M914" s="95"/>
      <c r="N914" s="95"/>
      <c r="O914" s="80"/>
    </row>
    <row r="915" spans="10:15" ht="15.75" customHeight="1" x14ac:dyDescent="0.25">
      <c r="J915" s="95"/>
      <c r="K915" s="95"/>
      <c r="L915" s="80"/>
      <c r="M915" s="95"/>
      <c r="N915" s="95"/>
      <c r="O915" s="80"/>
    </row>
    <row r="916" spans="10:15" ht="15.75" customHeight="1" x14ac:dyDescent="0.25">
      <c r="J916" s="95"/>
      <c r="K916" s="95"/>
      <c r="L916" s="80"/>
      <c r="M916" s="95"/>
      <c r="N916" s="95"/>
      <c r="O916" s="80"/>
    </row>
    <row r="917" spans="10:15" ht="15.75" customHeight="1" x14ac:dyDescent="0.25">
      <c r="J917" s="95"/>
      <c r="K917" s="95"/>
      <c r="L917" s="80"/>
      <c r="M917" s="95"/>
      <c r="N917" s="95"/>
      <c r="O917" s="80"/>
    </row>
    <row r="918" spans="10:15" ht="15.75" customHeight="1" x14ac:dyDescent="0.25">
      <c r="J918" s="95"/>
      <c r="K918" s="95"/>
      <c r="L918" s="80"/>
      <c r="M918" s="95"/>
      <c r="N918" s="95"/>
      <c r="O918" s="80"/>
    </row>
    <row r="919" spans="10:15" ht="15.75" customHeight="1" x14ac:dyDescent="0.25">
      <c r="J919" s="95"/>
      <c r="K919" s="95"/>
      <c r="L919" s="80"/>
      <c r="M919" s="95"/>
      <c r="N919" s="95"/>
      <c r="O919" s="80"/>
    </row>
    <row r="920" spans="10:15" ht="15.75" customHeight="1" x14ac:dyDescent="0.25">
      <c r="J920" s="95"/>
      <c r="K920" s="95"/>
      <c r="L920" s="80"/>
      <c r="M920" s="95"/>
      <c r="N920" s="95"/>
      <c r="O920" s="80"/>
    </row>
    <row r="921" spans="10:15" ht="15.75" customHeight="1" x14ac:dyDescent="0.25">
      <c r="J921" s="95"/>
      <c r="K921" s="95"/>
      <c r="L921" s="80"/>
      <c r="M921" s="95"/>
      <c r="N921" s="95"/>
      <c r="O921" s="80"/>
    </row>
    <row r="922" spans="10:15" ht="15.75" customHeight="1" x14ac:dyDescent="0.25">
      <c r="J922" s="95"/>
      <c r="K922" s="95"/>
      <c r="L922" s="80"/>
      <c r="M922" s="95"/>
      <c r="N922" s="95"/>
      <c r="O922" s="80"/>
    </row>
    <row r="923" spans="10:15" ht="15.75" customHeight="1" x14ac:dyDescent="0.25">
      <c r="J923" s="95"/>
      <c r="K923" s="95"/>
      <c r="L923" s="80"/>
      <c r="M923" s="95"/>
      <c r="N923" s="95"/>
      <c r="O923" s="80"/>
    </row>
    <row r="924" spans="10:15" ht="15.75" customHeight="1" x14ac:dyDescent="0.25">
      <c r="J924" s="95"/>
      <c r="K924" s="95"/>
      <c r="L924" s="80"/>
      <c r="M924" s="95"/>
      <c r="N924" s="95"/>
      <c r="O924" s="80"/>
    </row>
    <row r="925" spans="10:15" ht="15.75" customHeight="1" x14ac:dyDescent="0.25">
      <c r="J925" s="95"/>
      <c r="K925" s="95"/>
      <c r="L925" s="80"/>
      <c r="M925" s="95"/>
      <c r="N925" s="95"/>
      <c r="O925" s="80"/>
    </row>
    <row r="926" spans="10:15" ht="15.75" customHeight="1" x14ac:dyDescent="0.25">
      <c r="J926" s="95"/>
      <c r="K926" s="95"/>
      <c r="L926" s="80"/>
      <c r="M926" s="95"/>
      <c r="N926" s="95"/>
      <c r="O926" s="80"/>
    </row>
    <row r="927" spans="10:15" ht="15.75" customHeight="1" x14ac:dyDescent="0.25">
      <c r="J927" s="95"/>
      <c r="K927" s="95"/>
      <c r="L927" s="80"/>
      <c r="M927" s="95"/>
      <c r="N927" s="95"/>
      <c r="O927" s="80"/>
    </row>
    <row r="928" spans="10:15" ht="15.75" customHeight="1" x14ac:dyDescent="0.25">
      <c r="J928" s="95"/>
      <c r="K928" s="95"/>
      <c r="L928" s="80"/>
      <c r="M928" s="95"/>
      <c r="N928" s="95"/>
      <c r="O928" s="80"/>
    </row>
    <row r="929" spans="10:15" ht="15.75" customHeight="1" x14ac:dyDescent="0.25">
      <c r="J929" s="95"/>
      <c r="K929" s="95"/>
      <c r="L929" s="80"/>
      <c r="M929" s="95"/>
      <c r="N929" s="95"/>
      <c r="O929" s="80"/>
    </row>
    <row r="930" spans="10:15" ht="15.75" customHeight="1" x14ac:dyDescent="0.25">
      <c r="J930" s="95"/>
      <c r="K930" s="95"/>
      <c r="L930" s="80"/>
      <c r="M930" s="95"/>
      <c r="N930" s="95"/>
      <c r="O930" s="80"/>
    </row>
    <row r="931" spans="10:15" ht="15.75" customHeight="1" x14ac:dyDescent="0.25">
      <c r="J931" s="95"/>
      <c r="K931" s="95"/>
      <c r="L931" s="80"/>
      <c r="M931" s="95"/>
      <c r="N931" s="95"/>
      <c r="O931" s="80"/>
    </row>
    <row r="932" spans="10:15" ht="15.75" customHeight="1" x14ac:dyDescent="0.25">
      <c r="J932" s="95"/>
      <c r="K932" s="95"/>
      <c r="L932" s="80"/>
      <c r="M932" s="95"/>
      <c r="N932" s="95"/>
      <c r="O932" s="80"/>
    </row>
    <row r="933" spans="10:15" ht="15.75" customHeight="1" x14ac:dyDescent="0.25">
      <c r="J933" s="95"/>
      <c r="K933" s="95"/>
      <c r="L933" s="80"/>
      <c r="M933" s="95"/>
      <c r="N933" s="95"/>
      <c r="O933" s="80"/>
    </row>
    <row r="934" spans="10:15" ht="15.75" customHeight="1" x14ac:dyDescent="0.25">
      <c r="J934" s="95"/>
      <c r="K934" s="95"/>
      <c r="L934" s="80"/>
      <c r="M934" s="95"/>
      <c r="N934" s="95"/>
      <c r="O934" s="80"/>
    </row>
    <row r="935" spans="10:15" ht="15.75" customHeight="1" x14ac:dyDescent="0.25">
      <c r="J935" s="95"/>
      <c r="K935" s="95"/>
      <c r="L935" s="80"/>
      <c r="M935" s="95"/>
      <c r="N935" s="95"/>
      <c r="O935" s="80"/>
    </row>
    <row r="936" spans="10:15" ht="15.75" customHeight="1" x14ac:dyDescent="0.25">
      <c r="J936" s="95"/>
      <c r="K936" s="95"/>
      <c r="L936" s="80"/>
      <c r="M936" s="95"/>
      <c r="N936" s="95"/>
      <c r="O936" s="80"/>
    </row>
    <row r="937" spans="10:15" ht="15.75" customHeight="1" x14ac:dyDescent="0.25">
      <c r="J937" s="95"/>
      <c r="K937" s="95"/>
      <c r="L937" s="80"/>
      <c r="M937" s="95"/>
      <c r="N937" s="95"/>
      <c r="O937" s="80"/>
    </row>
    <row r="938" spans="10:15" ht="15.75" customHeight="1" x14ac:dyDescent="0.25">
      <c r="J938" s="95"/>
      <c r="K938" s="95"/>
      <c r="L938" s="80"/>
      <c r="M938" s="95"/>
      <c r="N938" s="95"/>
      <c r="O938" s="80"/>
    </row>
    <row r="939" spans="10:15" ht="15.75" customHeight="1" x14ac:dyDescent="0.25">
      <c r="J939" s="95"/>
      <c r="K939" s="95"/>
      <c r="L939" s="80"/>
      <c r="M939" s="95"/>
      <c r="N939" s="95"/>
      <c r="O939" s="80"/>
    </row>
    <row r="940" spans="10:15" ht="15.75" customHeight="1" x14ac:dyDescent="0.25">
      <c r="J940" s="95"/>
      <c r="K940" s="95"/>
      <c r="L940" s="80"/>
      <c r="M940" s="95"/>
      <c r="N940" s="95"/>
      <c r="O940" s="80"/>
    </row>
    <row r="941" spans="10:15" ht="15.75" customHeight="1" x14ac:dyDescent="0.25">
      <c r="J941" s="95"/>
      <c r="K941" s="95"/>
      <c r="L941" s="80"/>
      <c r="M941" s="95"/>
      <c r="N941" s="95"/>
      <c r="O941" s="80"/>
    </row>
    <row r="942" spans="10:15" ht="15.75" customHeight="1" x14ac:dyDescent="0.25">
      <c r="J942" s="95"/>
      <c r="K942" s="95"/>
      <c r="L942" s="80"/>
      <c r="M942" s="95"/>
      <c r="N942" s="95"/>
      <c r="O942" s="80"/>
    </row>
    <row r="943" spans="10:15" ht="15.75" customHeight="1" x14ac:dyDescent="0.25">
      <c r="J943" s="95"/>
      <c r="K943" s="95"/>
      <c r="L943" s="80"/>
      <c r="M943" s="95"/>
      <c r="N943" s="95"/>
      <c r="O943" s="80"/>
    </row>
    <row r="944" spans="10:15" ht="15.75" customHeight="1" x14ac:dyDescent="0.25">
      <c r="J944" s="95"/>
      <c r="K944" s="95"/>
      <c r="L944" s="80"/>
      <c r="M944" s="95"/>
      <c r="N944" s="95"/>
      <c r="O944" s="80"/>
    </row>
    <row r="945" spans="10:15" ht="15.75" customHeight="1" x14ac:dyDescent="0.25">
      <c r="J945" s="95"/>
      <c r="K945" s="95"/>
      <c r="L945" s="80"/>
      <c r="M945" s="95"/>
      <c r="N945" s="95"/>
      <c r="O945" s="80"/>
    </row>
    <row r="946" spans="10:15" ht="15.75" customHeight="1" x14ac:dyDescent="0.25">
      <c r="J946" s="95"/>
      <c r="K946" s="95"/>
      <c r="L946" s="80"/>
      <c r="M946" s="95"/>
      <c r="N946" s="95"/>
      <c r="O946" s="80"/>
    </row>
    <row r="947" spans="10:15" ht="15.75" customHeight="1" x14ac:dyDescent="0.25">
      <c r="J947" s="95"/>
      <c r="K947" s="95"/>
      <c r="L947" s="80"/>
      <c r="M947" s="95"/>
      <c r="N947" s="95"/>
      <c r="O947" s="80"/>
    </row>
    <row r="948" spans="10:15" ht="15.75" customHeight="1" x14ac:dyDescent="0.25">
      <c r="J948" s="95"/>
      <c r="K948" s="95"/>
      <c r="L948" s="80"/>
      <c r="M948" s="95"/>
      <c r="N948" s="95"/>
      <c r="O948" s="80"/>
    </row>
    <row r="949" spans="10:15" ht="15.75" customHeight="1" x14ac:dyDescent="0.25">
      <c r="J949" s="95"/>
      <c r="K949" s="95"/>
      <c r="L949" s="80"/>
      <c r="M949" s="95"/>
      <c r="N949" s="95"/>
      <c r="O949" s="80"/>
    </row>
    <row r="950" spans="10:15" ht="15.75" customHeight="1" x14ac:dyDescent="0.25">
      <c r="J950" s="95"/>
      <c r="K950" s="95"/>
      <c r="L950" s="80"/>
      <c r="M950" s="95"/>
      <c r="N950" s="95"/>
      <c r="O950" s="80"/>
    </row>
    <row r="951" spans="10:15" ht="15.75" customHeight="1" x14ac:dyDescent="0.25">
      <c r="J951" s="95"/>
      <c r="K951" s="95"/>
      <c r="L951" s="80"/>
      <c r="M951" s="95"/>
      <c r="N951" s="95"/>
      <c r="O951" s="80"/>
    </row>
    <row r="952" spans="10:15" ht="15.75" customHeight="1" x14ac:dyDescent="0.25">
      <c r="J952" s="95"/>
      <c r="K952" s="95"/>
      <c r="L952" s="80"/>
      <c r="M952" s="95"/>
      <c r="N952" s="95"/>
      <c r="O952" s="80"/>
    </row>
    <row r="953" spans="10:15" ht="15.75" customHeight="1" x14ac:dyDescent="0.25">
      <c r="J953" s="95"/>
      <c r="K953" s="95"/>
      <c r="L953" s="80"/>
      <c r="M953" s="95"/>
      <c r="N953" s="95"/>
      <c r="O953" s="80"/>
    </row>
    <row r="954" spans="10:15" ht="15.75" customHeight="1" x14ac:dyDescent="0.25">
      <c r="J954" s="95"/>
      <c r="K954" s="95"/>
      <c r="L954" s="80"/>
      <c r="M954" s="95"/>
      <c r="N954" s="95"/>
      <c r="O954" s="80"/>
    </row>
    <row r="955" spans="10:15" ht="15.75" customHeight="1" x14ac:dyDescent="0.25">
      <c r="J955" s="95"/>
      <c r="K955" s="95"/>
      <c r="L955" s="80"/>
      <c r="M955" s="95"/>
      <c r="N955" s="95"/>
      <c r="O955" s="80"/>
    </row>
    <row r="956" spans="10:15" ht="15.75" customHeight="1" x14ac:dyDescent="0.25">
      <c r="J956" s="95"/>
      <c r="K956" s="95"/>
      <c r="L956" s="80"/>
      <c r="M956" s="95"/>
      <c r="N956" s="95"/>
      <c r="O956" s="80"/>
    </row>
    <row r="957" spans="10:15" ht="15.75" customHeight="1" x14ac:dyDescent="0.25">
      <c r="J957" s="95"/>
      <c r="K957" s="95"/>
      <c r="L957" s="80"/>
      <c r="M957" s="95"/>
      <c r="N957" s="95"/>
      <c r="O957" s="80"/>
    </row>
    <row r="958" spans="10:15" ht="15.75" customHeight="1" x14ac:dyDescent="0.25">
      <c r="J958" s="95"/>
      <c r="K958" s="95"/>
      <c r="L958" s="80"/>
      <c r="M958" s="95"/>
      <c r="N958" s="95"/>
      <c r="O958" s="80"/>
    </row>
    <row r="959" spans="10:15" ht="15.75" customHeight="1" x14ac:dyDescent="0.25">
      <c r="J959" s="95"/>
      <c r="K959" s="95"/>
      <c r="L959" s="80"/>
      <c r="M959" s="95"/>
      <c r="N959" s="95"/>
      <c r="O959" s="80"/>
    </row>
    <row r="960" spans="10:15" ht="15.75" customHeight="1" x14ac:dyDescent="0.25">
      <c r="J960" s="95"/>
      <c r="K960" s="95"/>
      <c r="L960" s="80"/>
      <c r="M960" s="95"/>
      <c r="N960" s="95"/>
      <c r="O960" s="80"/>
    </row>
    <row r="961" spans="10:15" ht="15.75" customHeight="1" x14ac:dyDescent="0.25">
      <c r="J961" s="95"/>
      <c r="K961" s="95"/>
      <c r="L961" s="80"/>
      <c r="M961" s="95"/>
      <c r="N961" s="95"/>
      <c r="O961" s="80"/>
    </row>
    <row r="962" spans="10:15" ht="15.75" customHeight="1" x14ac:dyDescent="0.25">
      <c r="J962" s="95"/>
      <c r="K962" s="95"/>
      <c r="L962" s="80"/>
      <c r="M962" s="95"/>
      <c r="N962" s="95"/>
      <c r="O962" s="80"/>
    </row>
    <row r="963" spans="10:15" ht="15.75" customHeight="1" x14ac:dyDescent="0.25">
      <c r="J963" s="95"/>
      <c r="K963" s="95"/>
      <c r="L963" s="80"/>
      <c r="M963" s="95"/>
      <c r="N963" s="95"/>
      <c r="O963" s="80"/>
    </row>
    <row r="964" spans="10:15" ht="15.75" customHeight="1" x14ac:dyDescent="0.25">
      <c r="J964" s="95"/>
      <c r="K964" s="95"/>
      <c r="L964" s="80"/>
      <c r="M964" s="95"/>
      <c r="N964" s="95"/>
      <c r="O964" s="80"/>
    </row>
    <row r="965" spans="10:15" ht="15.75" customHeight="1" x14ac:dyDescent="0.25">
      <c r="J965" s="95"/>
      <c r="K965" s="95"/>
      <c r="L965" s="80"/>
      <c r="M965" s="95"/>
      <c r="N965" s="95"/>
      <c r="O965" s="80"/>
    </row>
    <row r="966" spans="10:15" ht="15.75" customHeight="1" x14ac:dyDescent="0.25">
      <c r="J966" s="95"/>
      <c r="K966" s="95"/>
      <c r="L966" s="80"/>
      <c r="M966" s="95"/>
      <c r="N966" s="95"/>
      <c r="O966" s="80"/>
    </row>
    <row r="967" spans="10:15" ht="15.75" customHeight="1" x14ac:dyDescent="0.25">
      <c r="J967" s="95"/>
      <c r="K967" s="95"/>
      <c r="L967" s="80"/>
      <c r="M967" s="95"/>
      <c r="N967" s="95"/>
      <c r="O967" s="80"/>
    </row>
    <row r="968" spans="10:15" ht="15.75" customHeight="1" x14ac:dyDescent="0.25">
      <c r="J968" s="95"/>
      <c r="K968" s="95"/>
      <c r="L968" s="80"/>
      <c r="M968" s="95"/>
      <c r="N968" s="95"/>
      <c r="O968" s="80"/>
    </row>
    <row r="969" spans="10:15" ht="15.75" customHeight="1" x14ac:dyDescent="0.25">
      <c r="J969" s="95"/>
      <c r="K969" s="95"/>
      <c r="L969" s="80"/>
      <c r="M969" s="95"/>
      <c r="N969" s="95"/>
      <c r="O969" s="80"/>
    </row>
    <row r="970" spans="10:15" ht="15.75" customHeight="1" x14ac:dyDescent="0.25">
      <c r="J970" s="95"/>
      <c r="K970" s="95"/>
      <c r="L970" s="80"/>
      <c r="M970" s="95"/>
      <c r="N970" s="95"/>
      <c r="O970" s="80"/>
    </row>
    <row r="971" spans="10:15" ht="15.75" customHeight="1" x14ac:dyDescent="0.25">
      <c r="J971" s="95"/>
      <c r="K971" s="95"/>
      <c r="L971" s="80"/>
      <c r="M971" s="95"/>
      <c r="N971" s="95"/>
      <c r="O971" s="80"/>
    </row>
    <row r="972" spans="10:15" ht="15.75" customHeight="1" x14ac:dyDescent="0.25">
      <c r="J972" s="95"/>
      <c r="K972" s="95"/>
      <c r="L972" s="80"/>
      <c r="M972" s="95"/>
      <c r="N972" s="95"/>
      <c r="O972" s="80"/>
    </row>
    <row r="973" spans="10:15" ht="15.75" customHeight="1" x14ac:dyDescent="0.25">
      <c r="J973" s="95"/>
      <c r="K973" s="95"/>
      <c r="L973" s="80"/>
      <c r="M973" s="95"/>
      <c r="N973" s="95"/>
      <c r="O973" s="80"/>
    </row>
    <row r="974" spans="10:15" ht="15.75" customHeight="1" x14ac:dyDescent="0.25">
      <c r="J974" s="95"/>
      <c r="K974" s="95"/>
      <c r="L974" s="80"/>
      <c r="M974" s="95"/>
      <c r="N974" s="95"/>
      <c r="O974" s="80"/>
    </row>
    <row r="975" spans="10:15" ht="15.75" customHeight="1" x14ac:dyDescent="0.25">
      <c r="J975" s="95"/>
      <c r="K975" s="95"/>
      <c r="L975" s="80"/>
      <c r="M975" s="95"/>
      <c r="N975" s="95"/>
      <c r="O975" s="80"/>
    </row>
    <row r="976" spans="10:15" ht="15.75" customHeight="1" x14ac:dyDescent="0.25">
      <c r="J976" s="95"/>
      <c r="K976" s="95"/>
      <c r="L976" s="80"/>
      <c r="M976" s="95"/>
      <c r="N976" s="95"/>
      <c r="O976" s="80"/>
    </row>
    <row r="977" spans="10:15" ht="15.75" customHeight="1" x14ac:dyDescent="0.25">
      <c r="J977" s="95"/>
      <c r="K977" s="95"/>
      <c r="L977" s="80"/>
      <c r="M977" s="95"/>
      <c r="N977" s="95"/>
      <c r="O977" s="80"/>
    </row>
    <row r="978" spans="10:15" ht="15.75" customHeight="1" x14ac:dyDescent="0.25">
      <c r="J978" s="95"/>
      <c r="K978" s="95"/>
      <c r="L978" s="80"/>
      <c r="M978" s="95"/>
      <c r="N978" s="95"/>
      <c r="O978" s="80"/>
    </row>
    <row r="979" spans="10:15" ht="15.75" customHeight="1" x14ac:dyDescent="0.25">
      <c r="J979" s="95"/>
      <c r="K979" s="95"/>
      <c r="L979" s="80"/>
      <c r="M979" s="95"/>
      <c r="N979" s="95"/>
      <c r="O979" s="80"/>
    </row>
    <row r="980" spans="10:15" ht="15.75" customHeight="1" x14ac:dyDescent="0.25">
      <c r="J980" s="95"/>
      <c r="K980" s="95"/>
      <c r="L980" s="80"/>
      <c r="M980" s="95"/>
      <c r="N980" s="95"/>
      <c r="O980" s="80"/>
    </row>
    <row r="981" spans="10:15" ht="15.75" customHeight="1" x14ac:dyDescent="0.25">
      <c r="J981" s="95"/>
      <c r="K981" s="95"/>
      <c r="L981" s="80"/>
      <c r="M981" s="95"/>
      <c r="N981" s="95"/>
      <c r="O981" s="80"/>
    </row>
    <row r="982" spans="10:15" ht="15.75" customHeight="1" x14ac:dyDescent="0.25">
      <c r="J982" s="95"/>
      <c r="K982" s="95"/>
      <c r="L982" s="80"/>
      <c r="M982" s="95"/>
      <c r="N982" s="95"/>
      <c r="O982" s="80"/>
    </row>
    <row r="983" spans="10:15" ht="15.75" customHeight="1" x14ac:dyDescent="0.25">
      <c r="J983" s="95"/>
      <c r="K983" s="95"/>
      <c r="L983" s="80"/>
      <c r="M983" s="95"/>
      <c r="N983" s="95"/>
      <c r="O983" s="80"/>
    </row>
    <row r="984" spans="10:15" ht="15.75" customHeight="1" x14ac:dyDescent="0.25">
      <c r="J984" s="95"/>
      <c r="K984" s="95"/>
      <c r="L984" s="80"/>
      <c r="M984" s="95"/>
      <c r="N984" s="95"/>
      <c r="O984" s="80"/>
    </row>
    <row r="985" spans="10:15" ht="15.75" customHeight="1" x14ac:dyDescent="0.25">
      <c r="J985" s="95"/>
      <c r="K985" s="95"/>
      <c r="L985" s="80"/>
      <c r="M985" s="95"/>
      <c r="N985" s="95"/>
      <c r="O985" s="80"/>
    </row>
    <row r="986" spans="10:15" ht="15.75" customHeight="1" x14ac:dyDescent="0.25">
      <c r="J986" s="95"/>
      <c r="K986" s="95"/>
      <c r="L986" s="80"/>
      <c r="M986" s="95"/>
      <c r="N986" s="95"/>
      <c r="O986" s="80"/>
    </row>
    <row r="987" spans="10:15" ht="15.75" customHeight="1" x14ac:dyDescent="0.25">
      <c r="J987" s="95"/>
      <c r="K987" s="95"/>
      <c r="L987" s="80"/>
      <c r="M987" s="95"/>
      <c r="N987" s="95"/>
      <c r="O987" s="80"/>
    </row>
    <row r="988" spans="10:15" ht="15.75" customHeight="1" x14ac:dyDescent="0.25">
      <c r="J988" s="95"/>
      <c r="K988" s="95"/>
      <c r="L988" s="80"/>
      <c r="M988" s="95"/>
      <c r="N988" s="95"/>
      <c r="O988" s="80"/>
    </row>
    <row r="989" spans="10:15" ht="15.75" customHeight="1" x14ac:dyDescent="0.25">
      <c r="J989" s="95"/>
      <c r="K989" s="95"/>
      <c r="L989" s="80"/>
      <c r="M989" s="95"/>
      <c r="N989" s="95"/>
      <c r="O989" s="80"/>
    </row>
    <row r="990" spans="10:15" ht="15.75" customHeight="1" x14ac:dyDescent="0.25">
      <c r="J990" s="95"/>
      <c r="K990" s="95"/>
      <c r="L990" s="80"/>
      <c r="M990" s="95"/>
      <c r="N990" s="95"/>
      <c r="O990" s="80"/>
    </row>
    <row r="991" spans="10:15" ht="15.75" customHeight="1" x14ac:dyDescent="0.25">
      <c r="J991" s="95"/>
      <c r="K991" s="95"/>
      <c r="L991" s="80"/>
      <c r="M991" s="95"/>
      <c r="N991" s="95"/>
      <c r="O991" s="80"/>
    </row>
    <row r="992" spans="10:15" ht="15.75" customHeight="1" x14ac:dyDescent="0.25">
      <c r="J992" s="95"/>
      <c r="K992" s="95"/>
      <c r="L992" s="80"/>
      <c r="M992" s="95"/>
      <c r="N992" s="95"/>
      <c r="O992" s="80"/>
    </row>
    <row r="993" spans="10:15" ht="15.75" customHeight="1" x14ac:dyDescent="0.25">
      <c r="J993" s="95"/>
      <c r="K993" s="95"/>
      <c r="L993" s="80"/>
      <c r="M993" s="95"/>
      <c r="N993" s="95"/>
      <c r="O993" s="80"/>
    </row>
    <row r="994" spans="10:15" ht="15.75" customHeight="1" x14ac:dyDescent="0.25">
      <c r="J994" s="95"/>
      <c r="K994" s="95"/>
      <c r="L994" s="80"/>
      <c r="M994" s="95"/>
      <c r="N994" s="95"/>
      <c r="O994" s="80"/>
    </row>
    <row r="995" spans="10:15" ht="15.75" customHeight="1" x14ac:dyDescent="0.25">
      <c r="J995" s="95"/>
      <c r="K995" s="95"/>
      <c r="L995" s="80"/>
      <c r="M995" s="95"/>
      <c r="N995" s="95"/>
      <c r="O995" s="80"/>
    </row>
    <row r="996" spans="10:15" ht="15.75" customHeight="1" x14ac:dyDescent="0.25">
      <c r="J996" s="95"/>
      <c r="K996" s="95"/>
      <c r="L996" s="80"/>
      <c r="M996" s="95"/>
      <c r="N996" s="95"/>
      <c r="O996" s="80"/>
    </row>
    <row r="997" spans="10:15" ht="15.75" customHeight="1" x14ac:dyDescent="0.25">
      <c r="J997" s="95"/>
      <c r="K997" s="95"/>
      <c r="L997" s="80"/>
      <c r="M997" s="95"/>
      <c r="N997" s="95"/>
      <c r="O997" s="80"/>
    </row>
    <row r="998" spans="10:15" ht="15.75" customHeight="1" x14ac:dyDescent="0.25">
      <c r="J998" s="95"/>
      <c r="K998" s="95"/>
      <c r="L998" s="80"/>
      <c r="M998" s="95"/>
      <c r="N998" s="95"/>
      <c r="O998" s="80"/>
    </row>
    <row r="999" spans="10:15" ht="15.75" customHeight="1" x14ac:dyDescent="0.25">
      <c r="J999" s="95"/>
      <c r="K999" s="95"/>
      <c r="L999" s="80"/>
      <c r="M999" s="95"/>
      <c r="N999" s="95"/>
      <c r="O999" s="80"/>
    </row>
    <row r="1000" spans="10:15" ht="15.75" customHeight="1" x14ac:dyDescent="0.25">
      <c r="J1000" s="95"/>
      <c r="K1000" s="95"/>
      <c r="L1000" s="80"/>
      <c r="M1000" s="95"/>
      <c r="N1000" s="95"/>
      <c r="O1000" s="80"/>
    </row>
    <row r="1001" spans="10:15" ht="15.75" customHeight="1" x14ac:dyDescent="0.25">
      <c r="J1001" s="95"/>
      <c r="K1001" s="95"/>
      <c r="L1001" s="80"/>
      <c r="M1001" s="95"/>
      <c r="N1001" s="95"/>
      <c r="O1001" s="80"/>
    </row>
    <row r="1002" spans="10:15" ht="15.75" customHeight="1" x14ac:dyDescent="0.25">
      <c r="J1002" s="95"/>
      <c r="K1002" s="95"/>
      <c r="L1002" s="80"/>
      <c r="M1002" s="95"/>
      <c r="N1002" s="95"/>
      <c r="O1002" s="80"/>
    </row>
    <row r="1003" spans="10:15" ht="15.75" customHeight="1" x14ac:dyDescent="0.25">
      <c r="J1003" s="95"/>
      <c r="K1003" s="95"/>
      <c r="L1003" s="80"/>
      <c r="M1003" s="95"/>
      <c r="N1003" s="95"/>
      <c r="O1003" s="80"/>
    </row>
    <row r="1004" spans="10:15" ht="15.75" customHeight="1" x14ac:dyDescent="0.25">
      <c r="J1004" s="95"/>
      <c r="K1004" s="95"/>
      <c r="L1004" s="80"/>
      <c r="M1004" s="95"/>
      <c r="N1004" s="95"/>
      <c r="O1004" s="80"/>
    </row>
    <row r="1005" spans="10:15" ht="15.75" customHeight="1" x14ac:dyDescent="0.25">
      <c r="J1005" s="95"/>
      <c r="K1005" s="95"/>
      <c r="L1005" s="80"/>
      <c r="M1005" s="95"/>
      <c r="N1005" s="95"/>
      <c r="O1005" s="80"/>
    </row>
    <row r="1006" spans="10:15" ht="15.75" customHeight="1" x14ac:dyDescent="0.25">
      <c r="J1006" s="95"/>
      <c r="K1006" s="95"/>
      <c r="L1006" s="80"/>
      <c r="M1006" s="95"/>
      <c r="N1006" s="95"/>
      <c r="O1006" s="80"/>
    </row>
    <row r="1007" spans="10:15" ht="15.75" customHeight="1" x14ac:dyDescent="0.25">
      <c r="J1007" s="95"/>
      <c r="K1007" s="95"/>
      <c r="L1007" s="80"/>
      <c r="M1007" s="95"/>
      <c r="N1007" s="95"/>
      <c r="O1007" s="80"/>
    </row>
    <row r="1008" spans="10:15" ht="15.75" customHeight="1" x14ac:dyDescent="0.25">
      <c r="J1008" s="95"/>
      <c r="K1008" s="95"/>
      <c r="L1008" s="80"/>
      <c r="M1008" s="95"/>
      <c r="N1008" s="95"/>
      <c r="O1008" s="80"/>
    </row>
    <row r="1009" spans="10:15" ht="15.75" customHeight="1" x14ac:dyDescent="0.25">
      <c r="J1009" s="95"/>
      <c r="K1009" s="95"/>
      <c r="L1009" s="80"/>
      <c r="M1009" s="95"/>
      <c r="N1009" s="95"/>
      <c r="O1009" s="80"/>
    </row>
    <row r="1010" spans="10:15" ht="15.75" customHeight="1" x14ac:dyDescent="0.25">
      <c r="J1010" s="95"/>
      <c r="K1010" s="95"/>
      <c r="L1010" s="80"/>
      <c r="M1010" s="95"/>
      <c r="N1010" s="95"/>
      <c r="O1010" s="80"/>
    </row>
    <row r="1011" spans="10:15" ht="15.75" customHeight="1" x14ac:dyDescent="0.25">
      <c r="J1011" s="95"/>
      <c r="K1011" s="95"/>
      <c r="L1011" s="80"/>
      <c r="M1011" s="95"/>
      <c r="N1011" s="95"/>
      <c r="O1011" s="80"/>
    </row>
    <row r="1012" spans="10:15" ht="15.75" customHeight="1" x14ac:dyDescent="0.25">
      <c r="J1012" s="95"/>
      <c r="K1012" s="95"/>
      <c r="L1012" s="80"/>
      <c r="M1012" s="95"/>
      <c r="N1012" s="95"/>
      <c r="O1012" s="80"/>
    </row>
    <row r="1013" spans="10:15" ht="15.75" customHeight="1" x14ac:dyDescent="0.25">
      <c r="J1013" s="95"/>
      <c r="K1013" s="95"/>
      <c r="L1013" s="80"/>
      <c r="M1013" s="95"/>
      <c r="N1013" s="95"/>
      <c r="O1013" s="80"/>
    </row>
    <row r="1014" spans="10:15" ht="15.75" customHeight="1" x14ac:dyDescent="0.25">
      <c r="J1014" s="95"/>
      <c r="K1014" s="95"/>
      <c r="L1014" s="80"/>
      <c r="M1014" s="95"/>
      <c r="N1014" s="95"/>
      <c r="O1014" s="80"/>
    </row>
    <row r="1015" spans="10:15" ht="15.75" customHeight="1" x14ac:dyDescent="0.25">
      <c r="J1015" s="95"/>
      <c r="K1015" s="95"/>
      <c r="L1015" s="80"/>
      <c r="M1015" s="95"/>
      <c r="N1015" s="95"/>
      <c r="O1015" s="80"/>
    </row>
    <row r="1016" spans="10:15" ht="15.75" customHeight="1" x14ac:dyDescent="0.25">
      <c r="J1016" s="95"/>
      <c r="K1016" s="95"/>
      <c r="L1016" s="80"/>
      <c r="M1016" s="95"/>
      <c r="N1016" s="95"/>
      <c r="O1016" s="80"/>
    </row>
    <row r="1017" spans="10:15" ht="15.75" customHeight="1" x14ac:dyDescent="0.25">
      <c r="J1017" s="95"/>
      <c r="K1017" s="95"/>
      <c r="L1017" s="80"/>
      <c r="M1017" s="95"/>
      <c r="N1017" s="95"/>
      <c r="O1017" s="80"/>
    </row>
    <row r="1018" spans="10:15" ht="15.75" customHeight="1" x14ac:dyDescent="0.25">
      <c r="J1018" s="95"/>
      <c r="K1018" s="95"/>
      <c r="L1018" s="80"/>
      <c r="M1018" s="95"/>
      <c r="N1018" s="95"/>
      <c r="O1018" s="80"/>
    </row>
    <row r="1019" spans="10:15" ht="15.75" customHeight="1" x14ac:dyDescent="0.25">
      <c r="J1019" s="95"/>
      <c r="K1019" s="95"/>
      <c r="L1019" s="80"/>
      <c r="M1019" s="95"/>
      <c r="N1019" s="95"/>
      <c r="O1019" s="80"/>
    </row>
    <row r="1020" spans="10:15" ht="15.75" customHeight="1" x14ac:dyDescent="0.25">
      <c r="J1020" s="95"/>
      <c r="K1020" s="95"/>
      <c r="L1020" s="80"/>
      <c r="M1020" s="95"/>
      <c r="N1020" s="95"/>
      <c r="O1020" s="80"/>
    </row>
    <row r="1021" spans="10:15" ht="15.75" customHeight="1" x14ac:dyDescent="0.25">
      <c r="J1021" s="95"/>
      <c r="K1021" s="95"/>
      <c r="L1021" s="80"/>
      <c r="M1021" s="95"/>
      <c r="N1021" s="95"/>
      <c r="O1021" s="80"/>
    </row>
    <row r="1022" spans="10:15" ht="15.75" customHeight="1" x14ac:dyDescent="0.25">
      <c r="J1022" s="95"/>
      <c r="K1022" s="95"/>
      <c r="L1022" s="80"/>
      <c r="M1022" s="95"/>
      <c r="N1022" s="95"/>
      <c r="O1022" s="80"/>
    </row>
    <row r="1023" spans="10:15" ht="15.75" customHeight="1" x14ac:dyDescent="0.25">
      <c r="J1023" s="95"/>
      <c r="K1023" s="95"/>
      <c r="L1023" s="80"/>
      <c r="M1023" s="95"/>
      <c r="N1023" s="95"/>
      <c r="O1023" s="80"/>
    </row>
    <row r="1024" spans="10:15" ht="15.75" customHeight="1" x14ac:dyDescent="0.25">
      <c r="J1024" s="95"/>
      <c r="K1024" s="95"/>
      <c r="L1024" s="80"/>
      <c r="M1024" s="95"/>
      <c r="N1024" s="95"/>
      <c r="O1024" s="80"/>
    </row>
    <row r="1025" spans="10:15" ht="15.75" customHeight="1" x14ac:dyDescent="0.25">
      <c r="J1025" s="95"/>
      <c r="K1025" s="95"/>
      <c r="L1025" s="80"/>
      <c r="M1025" s="95"/>
      <c r="N1025" s="95"/>
      <c r="O1025" s="80"/>
    </row>
    <row r="1026" spans="10:15" ht="15.75" customHeight="1" x14ac:dyDescent="0.25">
      <c r="J1026" s="95"/>
      <c r="K1026" s="95"/>
      <c r="L1026" s="80"/>
      <c r="M1026" s="95"/>
      <c r="N1026" s="95"/>
      <c r="O1026" s="80"/>
    </row>
    <row r="1027" spans="10:15" ht="15.75" customHeight="1" x14ac:dyDescent="0.25">
      <c r="J1027" s="95"/>
      <c r="K1027" s="95"/>
      <c r="L1027" s="80"/>
      <c r="M1027" s="95"/>
      <c r="N1027" s="95"/>
      <c r="O1027" s="80"/>
    </row>
    <row r="1028" spans="10:15" ht="15.75" customHeight="1" x14ac:dyDescent="0.25">
      <c r="J1028" s="95"/>
      <c r="K1028" s="95"/>
      <c r="L1028" s="80"/>
      <c r="M1028" s="95"/>
      <c r="N1028" s="95"/>
      <c r="O1028" s="80"/>
    </row>
    <row r="1029" spans="10:15" ht="15.75" customHeight="1" x14ac:dyDescent="0.25">
      <c r="J1029" s="95"/>
      <c r="K1029" s="95"/>
      <c r="L1029" s="80"/>
      <c r="M1029" s="95"/>
      <c r="N1029" s="95"/>
      <c r="O1029" s="80"/>
    </row>
    <row r="1030" spans="10:15" ht="15.75" customHeight="1" x14ac:dyDescent="0.25">
      <c r="J1030" s="95"/>
      <c r="K1030" s="95"/>
      <c r="L1030" s="80"/>
      <c r="M1030" s="95"/>
      <c r="N1030" s="95"/>
      <c r="O1030" s="80"/>
    </row>
    <row r="1031" spans="10:15" ht="15.75" customHeight="1" x14ac:dyDescent="0.25">
      <c r="J1031" s="95"/>
      <c r="K1031" s="95"/>
      <c r="L1031" s="80"/>
      <c r="M1031" s="95"/>
      <c r="N1031" s="95"/>
      <c r="O1031" s="80"/>
    </row>
    <row r="1032" spans="10:15" ht="15.75" customHeight="1" x14ac:dyDescent="0.25">
      <c r="J1032" s="95"/>
      <c r="K1032" s="95"/>
      <c r="L1032" s="80"/>
      <c r="M1032" s="95"/>
      <c r="N1032" s="95"/>
      <c r="O1032" s="80"/>
    </row>
    <row r="1033" spans="10:15" ht="15.75" customHeight="1" x14ac:dyDescent="0.25">
      <c r="J1033" s="95"/>
      <c r="K1033" s="95"/>
      <c r="L1033" s="80"/>
      <c r="M1033" s="95"/>
      <c r="N1033" s="95"/>
      <c r="O1033" s="80"/>
    </row>
    <row r="1034" spans="10:15" ht="15.75" customHeight="1" x14ac:dyDescent="0.25">
      <c r="J1034" s="95"/>
      <c r="K1034" s="95"/>
      <c r="L1034" s="80"/>
      <c r="M1034" s="95"/>
      <c r="N1034" s="95"/>
      <c r="O1034" s="80"/>
    </row>
    <row r="1035" spans="10:15" ht="15.75" customHeight="1" x14ac:dyDescent="0.25">
      <c r="J1035" s="95"/>
      <c r="K1035" s="95"/>
      <c r="L1035" s="80"/>
      <c r="M1035" s="95"/>
      <c r="N1035" s="95"/>
      <c r="O1035" s="80"/>
    </row>
  </sheetData>
  <mergeCells count="1">
    <mergeCell ref="D15:F15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8106-F40F-4D7D-93BD-B863A3C48C41}">
  <sheetPr>
    <tabColor rgb="FFF4B083"/>
  </sheetPr>
  <dimension ref="A1:Z1012"/>
  <sheetViews>
    <sheetView workbookViewId="0">
      <pane xSplit="3" ySplit="16" topLeftCell="D17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M1" sqref="M1"/>
    </sheetView>
  </sheetViews>
  <sheetFormatPr defaultColWidth="14.42578125" defaultRowHeight="15" customHeight="1" x14ac:dyDescent="0.25"/>
  <cols>
    <col min="1" max="2" width="10" hidden="1" customWidth="1"/>
    <col min="3" max="3" width="44" hidden="1" customWidth="1"/>
    <col min="4" max="5" width="10.5703125" hidden="1" customWidth="1"/>
    <col min="6" max="6" width="8.7109375" hidden="1" customWidth="1"/>
    <col min="7" max="7" width="3" hidden="1" customWidth="1"/>
    <col min="8" max="8" width="12.7109375" style="166" customWidth="1"/>
    <col min="9" max="9" width="39.28515625" customWidth="1"/>
    <col min="10" max="10" width="9.28515625" customWidth="1"/>
    <col min="11" max="11" width="9.5703125" customWidth="1"/>
    <col min="12" max="12" width="9.140625" customWidth="1"/>
    <col min="13" max="13" width="10.5703125" customWidth="1"/>
    <col min="14" max="14" width="9.7109375" customWidth="1"/>
    <col min="15" max="15" width="6.7109375" customWidth="1"/>
    <col min="16" max="16" width="33.140625" customWidth="1"/>
    <col min="17" max="18" width="6.5703125" customWidth="1"/>
    <col min="19" max="19" width="10.42578125" customWidth="1"/>
    <col min="20" max="20" width="8" customWidth="1"/>
    <col min="21" max="26" width="8.7109375" customWidth="1"/>
  </cols>
  <sheetData>
    <row r="1" spans="1:12" ht="15" customHeight="1" x14ac:dyDescent="0.3">
      <c r="H1" s="165" t="s">
        <v>60</v>
      </c>
    </row>
    <row r="3" spans="1:12" ht="15" customHeight="1" x14ac:dyDescent="0.25">
      <c r="H3" s="918" t="s">
        <v>36</v>
      </c>
      <c r="I3" s="919"/>
      <c r="J3" s="112">
        <f>+L47</f>
        <v>0</v>
      </c>
    </row>
    <row r="4" spans="1:12" ht="15" customHeight="1" x14ac:dyDescent="0.25">
      <c r="H4" s="170" t="s">
        <v>48</v>
      </c>
      <c r="I4" s="151"/>
      <c r="J4" s="173">
        <f>SUM(J6:J11)</f>
        <v>4500</v>
      </c>
    </row>
    <row r="5" spans="1:12" ht="15" customHeight="1" x14ac:dyDescent="0.25">
      <c r="H5" s="174" t="s">
        <v>62</v>
      </c>
      <c r="I5" s="151"/>
      <c r="J5" s="175">
        <f>+J4-J3</f>
        <v>4500</v>
      </c>
    </row>
    <row r="6" spans="1:12" ht="15" customHeight="1" x14ac:dyDescent="0.25">
      <c r="H6" s="151">
        <v>100</v>
      </c>
      <c r="I6" s="151">
        <v>45</v>
      </c>
      <c r="J6" s="173">
        <f t="shared" ref="J6:J11" si="0">+H6*I6</f>
        <v>4500</v>
      </c>
    </row>
    <row r="7" spans="1:12" ht="15" customHeight="1" x14ac:dyDescent="0.25">
      <c r="H7" s="151">
        <v>50</v>
      </c>
      <c r="I7" s="151">
        <v>0</v>
      </c>
      <c r="J7" s="173">
        <f t="shared" si="0"/>
        <v>0</v>
      </c>
    </row>
    <row r="8" spans="1:12" ht="15" customHeight="1" x14ac:dyDescent="0.25">
      <c r="H8" s="151">
        <v>20</v>
      </c>
      <c r="I8" s="151">
        <v>0</v>
      </c>
      <c r="J8" s="173">
        <f t="shared" si="0"/>
        <v>0</v>
      </c>
    </row>
    <row r="9" spans="1:12" ht="15" customHeight="1" x14ac:dyDescent="0.25">
      <c r="H9" s="151">
        <v>10</v>
      </c>
      <c r="I9" s="151">
        <v>0</v>
      </c>
      <c r="J9" s="173">
        <f t="shared" si="0"/>
        <v>0</v>
      </c>
    </row>
    <row r="10" spans="1:12" ht="15" customHeight="1" x14ac:dyDescent="0.25">
      <c r="H10" s="151">
        <v>5</v>
      </c>
      <c r="I10" s="151"/>
      <c r="J10" s="173">
        <f t="shared" si="0"/>
        <v>0</v>
      </c>
    </row>
    <row r="11" spans="1:12" ht="15" customHeight="1" x14ac:dyDescent="0.25">
      <c r="H11" s="171">
        <v>2</v>
      </c>
      <c r="I11" s="171">
        <v>0</v>
      </c>
      <c r="J11" s="173">
        <f t="shared" si="0"/>
        <v>0</v>
      </c>
    </row>
    <row r="13" spans="1:12" ht="18.75" x14ac:dyDescent="0.3">
      <c r="A13" s="72" t="s">
        <v>45</v>
      </c>
      <c r="B13" s="72"/>
      <c r="C13" s="89"/>
      <c r="D13" s="90"/>
      <c r="E13" s="91" t="s">
        <v>37</v>
      </c>
      <c r="F13" s="92" t="e">
        <f>F47</f>
        <v>#REF!</v>
      </c>
      <c r="G13" s="4"/>
      <c r="I13" s="4"/>
      <c r="J13" s="2" t="s">
        <v>36</v>
      </c>
      <c r="K13" s="4"/>
      <c r="L13" s="3">
        <f>L47</f>
        <v>0</v>
      </c>
    </row>
    <row r="14" spans="1:12" x14ac:dyDescent="0.25">
      <c r="L14" s="4"/>
    </row>
    <row r="15" spans="1:12" x14ac:dyDescent="0.25">
      <c r="A15" s="5"/>
      <c r="B15" s="6"/>
      <c r="C15" s="7"/>
      <c r="D15" s="913" t="s">
        <v>0</v>
      </c>
      <c r="E15" s="914"/>
      <c r="F15" s="915"/>
      <c r="H15" s="167"/>
      <c r="I15" s="7"/>
      <c r="J15" s="155"/>
      <c r="K15" s="164" t="s">
        <v>38</v>
      </c>
      <c r="L15" s="156"/>
    </row>
    <row r="16" spans="1:12" x14ac:dyDescent="0.25">
      <c r="A16" s="8" t="s">
        <v>1</v>
      </c>
      <c r="B16" s="9"/>
      <c r="C16" s="10" t="s">
        <v>3</v>
      </c>
      <c r="D16" s="10" t="s">
        <v>41</v>
      </c>
      <c r="E16" s="10" t="s">
        <v>42</v>
      </c>
      <c r="F16" s="11" t="s">
        <v>4</v>
      </c>
      <c r="H16" s="168" t="s">
        <v>1</v>
      </c>
      <c r="I16" s="10" t="s">
        <v>3</v>
      </c>
      <c r="J16" s="10" t="s">
        <v>42</v>
      </c>
      <c r="K16" s="10" t="s">
        <v>41</v>
      </c>
      <c r="L16" s="21" t="s">
        <v>4</v>
      </c>
    </row>
    <row r="17" spans="1:26" x14ac:dyDescent="0.25">
      <c r="A17" s="14">
        <v>45488</v>
      </c>
      <c r="B17" s="96"/>
      <c r="C17" s="10" t="s">
        <v>47</v>
      </c>
      <c r="D17" s="67"/>
      <c r="E17" s="67"/>
      <c r="F17" s="66" t="e">
        <f>#REF!-D17+E17</f>
        <v>#REF!</v>
      </c>
      <c r="H17" s="168">
        <v>45648</v>
      </c>
      <c r="I17" s="10" t="s">
        <v>61</v>
      </c>
      <c r="J17" s="67">
        <v>3000</v>
      </c>
      <c r="K17" s="67"/>
      <c r="L17" s="74">
        <f>+J17-K17</f>
        <v>3000</v>
      </c>
    </row>
    <row r="18" spans="1:26" x14ac:dyDescent="0.25">
      <c r="A18" s="8"/>
      <c r="B18" s="9"/>
      <c r="C18" s="10"/>
      <c r="D18" s="67"/>
      <c r="E18" s="67"/>
      <c r="F18" s="66" t="e">
        <f>#REF!-D18+E18</f>
        <v>#REF!</v>
      </c>
      <c r="H18" s="168">
        <v>45776</v>
      </c>
      <c r="I18" s="10" t="s">
        <v>61</v>
      </c>
      <c r="J18" s="67">
        <v>6000</v>
      </c>
      <c r="K18" s="67"/>
      <c r="L18" s="74">
        <f t="shared" ref="L18:L46" si="1">L17-K18+J18</f>
        <v>9000</v>
      </c>
    </row>
    <row r="19" spans="1:26" x14ac:dyDescent="0.25">
      <c r="A19" s="8"/>
      <c r="B19" s="108"/>
      <c r="C19" s="10"/>
      <c r="D19" s="67"/>
      <c r="E19" s="67"/>
      <c r="F19" s="66"/>
      <c r="H19" s="168">
        <v>45781</v>
      </c>
      <c r="I19" s="10" t="s">
        <v>68</v>
      </c>
      <c r="J19" s="67"/>
      <c r="K19" s="67">
        <v>2050</v>
      </c>
      <c r="L19" s="74">
        <f t="shared" si="1"/>
        <v>6950</v>
      </c>
    </row>
    <row r="20" spans="1:26" x14ac:dyDescent="0.25">
      <c r="A20" s="14"/>
      <c r="B20" s="96"/>
      <c r="C20" s="10"/>
      <c r="D20" s="67"/>
      <c r="E20" s="67"/>
      <c r="F20" s="66" t="e">
        <f>F18-D20+E20</f>
        <v>#REF!</v>
      </c>
      <c r="H20" s="168">
        <v>45781</v>
      </c>
      <c r="I20" s="10" t="s">
        <v>69</v>
      </c>
      <c r="J20" s="67"/>
      <c r="K20" s="67">
        <v>6950</v>
      </c>
      <c r="L20" s="74">
        <f t="shared" si="1"/>
        <v>0</v>
      </c>
    </row>
    <row r="21" spans="1:26" x14ac:dyDescent="0.25">
      <c r="A21" s="14">
        <v>45593</v>
      </c>
      <c r="B21" s="96"/>
      <c r="C21" s="10" t="s">
        <v>54</v>
      </c>
      <c r="D21" s="67">
        <v>22000</v>
      </c>
      <c r="E21" s="67"/>
      <c r="F21" s="66" t="e">
        <f>#REF!-D21+E21</f>
        <v>#REF!</v>
      </c>
      <c r="H21" s="168"/>
      <c r="I21" s="10" t="s">
        <v>67</v>
      </c>
      <c r="J21" s="67"/>
      <c r="K21" s="67"/>
      <c r="L21" s="74">
        <f t="shared" si="1"/>
        <v>0</v>
      </c>
    </row>
    <row r="22" spans="1:26" x14ac:dyDescent="0.25">
      <c r="A22" s="14">
        <v>45600</v>
      </c>
      <c r="B22" s="96"/>
      <c r="C22" s="10" t="s">
        <v>55</v>
      </c>
      <c r="D22" s="67">
        <v>42320</v>
      </c>
      <c r="E22" s="67"/>
      <c r="F22" s="66" t="e">
        <f t="shared" ref="F22:F42" si="2">F21-D22+E22</f>
        <v>#REF!</v>
      </c>
      <c r="H22" s="168"/>
      <c r="I22" s="10"/>
      <c r="J22" s="67"/>
      <c r="K22" s="67"/>
      <c r="L22" s="74">
        <f t="shared" si="1"/>
        <v>0</v>
      </c>
    </row>
    <row r="23" spans="1:26" x14ac:dyDescent="0.25">
      <c r="A23" s="14">
        <v>45600</v>
      </c>
      <c r="B23" s="96"/>
      <c r="C23" s="10" t="s">
        <v>56</v>
      </c>
      <c r="D23" s="67">
        <f>14400+1200+2000</f>
        <v>17600</v>
      </c>
      <c r="E23" s="67"/>
      <c r="F23" s="66" t="e">
        <f t="shared" si="2"/>
        <v>#REF!</v>
      </c>
      <c r="H23" s="168"/>
      <c r="I23" s="10"/>
      <c r="J23" s="67"/>
      <c r="K23" s="67"/>
      <c r="L23" s="74">
        <f t="shared" si="1"/>
        <v>0</v>
      </c>
    </row>
    <row r="24" spans="1:26" x14ac:dyDescent="0.25">
      <c r="A24" s="14">
        <v>45600</v>
      </c>
      <c r="B24" s="96"/>
      <c r="C24" s="10" t="s">
        <v>57</v>
      </c>
      <c r="D24" s="67">
        <v>2500</v>
      </c>
      <c r="E24" s="67"/>
      <c r="F24" s="66" t="e">
        <f t="shared" si="2"/>
        <v>#REF!</v>
      </c>
      <c r="H24" s="168"/>
      <c r="I24" s="10"/>
      <c r="J24" s="67"/>
      <c r="K24" s="67"/>
      <c r="L24" s="74">
        <f t="shared" si="1"/>
        <v>0</v>
      </c>
      <c r="M24" s="75"/>
    </row>
    <row r="25" spans="1:26" x14ac:dyDescent="0.25">
      <c r="A25" s="14">
        <v>45600</v>
      </c>
      <c r="B25" s="96"/>
      <c r="C25" s="10" t="s">
        <v>58</v>
      </c>
      <c r="D25" s="67">
        <v>2350</v>
      </c>
      <c r="E25" s="67"/>
      <c r="F25" s="66" t="e">
        <f t="shared" si="2"/>
        <v>#REF!</v>
      </c>
      <c r="H25" s="168"/>
      <c r="I25" s="10"/>
      <c r="J25" s="67"/>
      <c r="K25" s="67"/>
      <c r="L25" s="74">
        <f t="shared" si="1"/>
        <v>0</v>
      </c>
    </row>
    <row r="26" spans="1:26" x14ac:dyDescent="0.25">
      <c r="A26" s="14"/>
      <c r="B26" s="96"/>
      <c r="C26" s="10"/>
      <c r="D26" s="67"/>
      <c r="E26" s="67"/>
      <c r="F26" s="66" t="e">
        <f t="shared" si="2"/>
        <v>#REF!</v>
      </c>
      <c r="H26" s="168"/>
      <c r="I26" s="10"/>
      <c r="J26" s="67"/>
      <c r="K26" s="67"/>
      <c r="L26" s="74">
        <f t="shared" si="1"/>
        <v>0</v>
      </c>
      <c r="M26" s="20"/>
    </row>
    <row r="27" spans="1:26" x14ac:dyDescent="0.25">
      <c r="A27" s="14">
        <v>45604</v>
      </c>
      <c r="B27" s="96"/>
      <c r="C27" s="10" t="s">
        <v>49</v>
      </c>
      <c r="D27" s="19"/>
      <c r="E27" s="19">
        <f>G27*K27</f>
        <v>0</v>
      </c>
      <c r="F27" s="66" t="e">
        <f t="shared" si="2"/>
        <v>#REF!</v>
      </c>
      <c r="G27" s="13">
        <v>63.25</v>
      </c>
      <c r="H27" s="168"/>
      <c r="I27" s="10"/>
      <c r="J27" s="67"/>
      <c r="K27" s="67"/>
      <c r="L27" s="74">
        <f t="shared" si="1"/>
        <v>0</v>
      </c>
      <c r="M27" s="20"/>
    </row>
    <row r="28" spans="1:26" ht="15.75" x14ac:dyDescent="0.25">
      <c r="A28" s="14"/>
      <c r="B28" s="96"/>
      <c r="C28" s="10"/>
      <c r="D28" s="19"/>
      <c r="E28" s="67"/>
      <c r="F28" s="66" t="e">
        <f t="shared" si="2"/>
        <v>#REF!</v>
      </c>
      <c r="H28" s="168"/>
      <c r="I28" s="10"/>
      <c r="J28" s="67"/>
      <c r="K28" s="67"/>
      <c r="L28" s="74">
        <f t="shared" si="1"/>
        <v>0</v>
      </c>
      <c r="M28" s="23">
        <v>3000</v>
      </c>
      <c r="N28" s="22">
        <v>45727</v>
      </c>
      <c r="O28" s="1" t="s">
        <v>9</v>
      </c>
    </row>
    <row r="29" spans="1:26" x14ac:dyDescent="0.25">
      <c r="A29" s="14"/>
      <c r="B29" s="96"/>
      <c r="C29" s="98"/>
      <c r="D29" s="19"/>
      <c r="E29" s="67"/>
      <c r="F29" s="66" t="e">
        <f t="shared" si="2"/>
        <v>#REF!</v>
      </c>
      <c r="H29" s="168"/>
      <c r="I29" s="10"/>
      <c r="J29" s="67"/>
      <c r="K29" s="67"/>
      <c r="L29" s="74">
        <f t="shared" si="1"/>
        <v>0</v>
      </c>
      <c r="M29" s="20"/>
    </row>
    <row r="30" spans="1:26" x14ac:dyDescent="0.25">
      <c r="A30" s="14"/>
      <c r="B30" s="96"/>
      <c r="C30" s="98"/>
      <c r="D30" s="19"/>
      <c r="E30" s="19"/>
      <c r="F30" s="66" t="e">
        <f t="shared" si="2"/>
        <v>#REF!</v>
      </c>
      <c r="H30" s="168"/>
      <c r="I30" s="10"/>
      <c r="J30" s="67"/>
      <c r="K30" s="67"/>
      <c r="L30" s="74">
        <f t="shared" si="1"/>
        <v>0</v>
      </c>
      <c r="M30" s="20"/>
    </row>
    <row r="31" spans="1:26" x14ac:dyDescent="0.25">
      <c r="A31" s="14"/>
      <c r="B31" s="96"/>
      <c r="C31" s="98"/>
      <c r="D31" s="19"/>
      <c r="E31" s="67"/>
      <c r="F31" s="66" t="e">
        <f t="shared" si="2"/>
        <v>#REF!</v>
      </c>
      <c r="H31" s="168"/>
      <c r="I31" s="10"/>
      <c r="J31" s="67"/>
      <c r="K31" s="67"/>
      <c r="L31" s="74">
        <f t="shared" si="1"/>
        <v>0</v>
      </c>
      <c r="M31" s="20"/>
    </row>
    <row r="32" spans="1:26" x14ac:dyDescent="0.25">
      <c r="A32" s="14"/>
      <c r="B32" s="96"/>
      <c r="C32" s="98"/>
      <c r="D32" s="19"/>
      <c r="E32" s="67"/>
      <c r="F32" s="99" t="e">
        <f t="shared" si="2"/>
        <v>#REF!</v>
      </c>
      <c r="H32" s="168"/>
      <c r="I32" s="10"/>
      <c r="J32" s="67"/>
      <c r="K32" s="19"/>
      <c r="L32" s="74">
        <f t="shared" si="1"/>
        <v>0</v>
      </c>
      <c r="M32" s="85"/>
      <c r="V32" s="18"/>
      <c r="W32" s="18"/>
      <c r="X32" s="18"/>
      <c r="Y32" s="18"/>
      <c r="Z32" s="18"/>
    </row>
    <row r="33" spans="1:14" ht="15.75" customHeight="1" x14ac:dyDescent="0.25">
      <c r="A33" s="14"/>
      <c r="B33" s="96"/>
      <c r="C33" s="98"/>
      <c r="D33" s="19"/>
      <c r="E33" s="67"/>
      <c r="F33" s="66" t="e">
        <f t="shared" si="2"/>
        <v>#REF!</v>
      </c>
      <c r="H33" s="168"/>
      <c r="I33" s="10"/>
      <c r="J33" s="19"/>
      <c r="K33" s="19"/>
      <c r="L33" s="74">
        <f t="shared" si="1"/>
        <v>0</v>
      </c>
      <c r="M33" s="20"/>
    </row>
    <row r="34" spans="1:14" ht="15.75" customHeight="1" x14ac:dyDescent="0.3">
      <c r="A34" s="14"/>
      <c r="B34" s="96"/>
      <c r="C34" s="98"/>
      <c r="D34" s="19"/>
      <c r="E34" s="67"/>
      <c r="F34" s="66" t="e">
        <f t="shared" si="2"/>
        <v>#REF!</v>
      </c>
      <c r="H34" s="168"/>
      <c r="I34" s="10"/>
      <c r="J34" s="106"/>
      <c r="K34" s="67"/>
      <c r="L34" s="74">
        <f t="shared" si="1"/>
        <v>0</v>
      </c>
      <c r="M34" s="107"/>
    </row>
    <row r="35" spans="1:14" ht="15.75" customHeight="1" x14ac:dyDescent="0.25">
      <c r="A35" s="14"/>
      <c r="B35" s="96"/>
      <c r="C35" s="98"/>
      <c r="D35" s="19"/>
      <c r="E35" s="67"/>
      <c r="F35" s="66" t="e">
        <f t="shared" si="2"/>
        <v>#REF!</v>
      </c>
      <c r="H35" s="168"/>
      <c r="I35" s="10"/>
      <c r="J35" s="67"/>
      <c r="K35" s="67"/>
      <c r="L35" s="74">
        <f t="shared" si="1"/>
        <v>0</v>
      </c>
      <c r="M35" s="20"/>
    </row>
    <row r="36" spans="1:14" ht="15.75" customHeight="1" x14ac:dyDescent="0.25">
      <c r="A36" s="14"/>
      <c r="B36" s="96"/>
      <c r="C36" s="98"/>
      <c r="D36" s="19"/>
      <c r="E36" s="67"/>
      <c r="F36" s="66" t="e">
        <f t="shared" si="2"/>
        <v>#REF!</v>
      </c>
      <c r="H36" s="168"/>
      <c r="I36" s="10"/>
      <c r="J36" s="10"/>
      <c r="K36" s="67"/>
      <c r="L36" s="74">
        <f t="shared" si="1"/>
        <v>0</v>
      </c>
    </row>
    <row r="37" spans="1:14" ht="15.75" customHeight="1" x14ac:dyDescent="0.25">
      <c r="A37" s="14"/>
      <c r="B37" s="96"/>
      <c r="C37" s="10"/>
      <c r="D37" s="19"/>
      <c r="E37" s="67"/>
      <c r="F37" s="66" t="e">
        <f t="shared" si="2"/>
        <v>#REF!</v>
      </c>
      <c r="H37" s="168"/>
      <c r="I37" s="10"/>
      <c r="J37" s="67"/>
      <c r="K37" s="67"/>
      <c r="L37" s="74">
        <f t="shared" si="1"/>
        <v>0</v>
      </c>
    </row>
    <row r="38" spans="1:14" ht="15.75" customHeight="1" x14ac:dyDescent="0.25">
      <c r="A38" s="100">
        <v>45604</v>
      </c>
      <c r="B38" s="101" t="s">
        <v>50</v>
      </c>
      <c r="C38" s="102" t="s">
        <v>51</v>
      </c>
      <c r="D38" s="102"/>
      <c r="E38" s="102"/>
      <c r="F38" s="103" t="e">
        <f t="shared" si="2"/>
        <v>#REF!</v>
      </c>
      <c r="H38" s="168"/>
      <c r="I38" s="10"/>
      <c r="J38" s="67"/>
      <c r="K38" s="67"/>
      <c r="L38" s="74">
        <f t="shared" si="1"/>
        <v>0</v>
      </c>
    </row>
    <row r="39" spans="1:14" ht="15.75" customHeight="1" x14ac:dyDescent="0.25">
      <c r="A39" s="14"/>
      <c r="B39" s="96"/>
      <c r="C39" s="10"/>
      <c r="D39" s="67"/>
      <c r="E39" s="67"/>
      <c r="F39" s="66" t="e">
        <f t="shared" si="2"/>
        <v>#REF!</v>
      </c>
      <c r="H39" s="168"/>
      <c r="I39" s="10"/>
      <c r="J39" s="67"/>
      <c r="K39" s="67"/>
      <c r="L39" s="74">
        <f t="shared" si="1"/>
        <v>0</v>
      </c>
    </row>
    <row r="40" spans="1:14" ht="15.75" customHeight="1" x14ac:dyDescent="0.25">
      <c r="A40" s="62"/>
      <c r="D40" s="67"/>
      <c r="E40" s="67"/>
      <c r="F40" s="66" t="e">
        <f t="shared" si="2"/>
        <v>#REF!</v>
      </c>
      <c r="H40" s="168"/>
      <c r="I40" s="10"/>
      <c r="J40" s="67"/>
      <c r="K40" s="67"/>
      <c r="L40" s="74">
        <f t="shared" si="1"/>
        <v>0</v>
      </c>
    </row>
    <row r="41" spans="1:14" ht="15.75" customHeight="1" x14ac:dyDescent="0.25">
      <c r="A41" s="14"/>
      <c r="B41" s="96"/>
      <c r="C41" s="10"/>
      <c r="D41" s="67"/>
      <c r="E41" s="67"/>
      <c r="F41" s="66" t="e">
        <f t="shared" si="2"/>
        <v>#REF!</v>
      </c>
      <c r="H41" s="168"/>
      <c r="I41" s="10"/>
      <c r="J41" s="67"/>
      <c r="K41" s="67"/>
      <c r="L41" s="74">
        <f t="shared" si="1"/>
        <v>0</v>
      </c>
    </row>
    <row r="42" spans="1:14" ht="15.75" customHeight="1" x14ac:dyDescent="0.25">
      <c r="A42" s="14"/>
      <c r="B42" s="96"/>
      <c r="C42" s="10"/>
      <c r="D42" s="67"/>
      <c r="E42" s="67"/>
      <c r="F42" s="66" t="e">
        <f t="shared" si="2"/>
        <v>#REF!</v>
      </c>
      <c r="H42" s="168"/>
      <c r="I42" s="10"/>
      <c r="J42" s="67"/>
      <c r="K42" s="67"/>
      <c r="L42" s="74">
        <f t="shared" si="1"/>
        <v>0</v>
      </c>
    </row>
    <row r="43" spans="1:14" ht="15.75" customHeight="1" x14ac:dyDescent="0.25">
      <c r="A43" s="14"/>
      <c r="B43" s="96"/>
      <c r="C43" s="10"/>
      <c r="D43" s="67"/>
      <c r="E43" s="67"/>
      <c r="F43" s="66"/>
      <c r="H43" s="168"/>
      <c r="I43" s="10"/>
      <c r="J43" s="67"/>
      <c r="K43" s="67"/>
      <c r="L43" s="74">
        <f t="shared" si="1"/>
        <v>0</v>
      </c>
    </row>
    <row r="44" spans="1:14" ht="15.75" customHeight="1" x14ac:dyDescent="0.25">
      <c r="A44" s="14"/>
      <c r="B44" s="96"/>
      <c r="C44" s="10"/>
      <c r="D44" s="67"/>
      <c r="E44" s="67"/>
      <c r="F44" s="66"/>
      <c r="H44" s="168"/>
      <c r="I44" s="10"/>
      <c r="J44" s="67"/>
      <c r="K44" s="67"/>
      <c r="L44" s="74">
        <f t="shared" si="1"/>
        <v>0</v>
      </c>
    </row>
    <row r="45" spans="1:14" ht="15.75" customHeight="1" x14ac:dyDescent="0.25">
      <c r="A45" s="14"/>
      <c r="B45" s="96"/>
      <c r="C45" s="10"/>
      <c r="D45" s="67"/>
      <c r="E45" s="67"/>
      <c r="F45" s="66"/>
      <c r="H45" s="168"/>
      <c r="I45" s="10"/>
      <c r="J45" s="67"/>
      <c r="K45" s="67"/>
      <c r="L45" s="74">
        <f t="shared" si="1"/>
        <v>0</v>
      </c>
      <c r="M45" s="75"/>
    </row>
    <row r="46" spans="1:14" ht="15.75" customHeight="1" x14ac:dyDescent="0.25">
      <c r="A46" s="14"/>
      <c r="B46" s="96"/>
      <c r="C46" s="10"/>
      <c r="D46" s="67"/>
      <c r="E46" s="67"/>
      <c r="F46" s="66"/>
      <c r="H46" s="168"/>
      <c r="I46" s="10"/>
      <c r="J46" s="67"/>
      <c r="K46" s="67"/>
      <c r="L46" s="74">
        <f t="shared" si="1"/>
        <v>0</v>
      </c>
    </row>
    <row r="47" spans="1:14" ht="15.75" customHeight="1" x14ac:dyDescent="0.25">
      <c r="A47" s="8"/>
      <c r="B47" s="9"/>
      <c r="C47" s="10"/>
      <c r="D47" s="67"/>
      <c r="E47" s="67"/>
      <c r="F47" s="66" t="e">
        <f>F42-D47+E47</f>
        <v>#REF!</v>
      </c>
      <c r="H47" s="168"/>
      <c r="I47" s="76" t="s">
        <v>52</v>
      </c>
      <c r="J47" s="67"/>
      <c r="K47" s="67"/>
      <c r="L47" s="77">
        <f>L46</f>
        <v>0</v>
      </c>
      <c r="M47" s="1"/>
    </row>
    <row r="48" spans="1:14" ht="15.75" customHeight="1" x14ac:dyDescent="0.25">
      <c r="A48" s="69"/>
      <c r="B48" s="104"/>
      <c r="C48" s="16"/>
      <c r="D48" s="78"/>
      <c r="E48" s="78"/>
      <c r="F48" s="105"/>
      <c r="H48" s="169"/>
      <c r="I48" s="16"/>
      <c r="J48" s="78"/>
      <c r="K48" s="78"/>
      <c r="L48" s="79"/>
      <c r="N48" s="75"/>
    </row>
    <row r="49" spans="5:12" ht="15.75" customHeight="1" x14ac:dyDescent="0.25">
      <c r="L49" s="4"/>
    </row>
    <row r="50" spans="5:12" ht="15.75" customHeight="1" x14ac:dyDescent="0.25">
      <c r="E50" s="20">
        <f>D32+D34</f>
        <v>0</v>
      </c>
      <c r="L50" s="4"/>
    </row>
    <row r="51" spans="5:12" ht="15.75" customHeight="1" x14ac:dyDescent="0.25">
      <c r="E51" s="20">
        <f>E50/65</f>
        <v>0</v>
      </c>
      <c r="L51" s="4"/>
    </row>
    <row r="52" spans="5:12" ht="15.75" customHeight="1" x14ac:dyDescent="0.25">
      <c r="L52" s="4"/>
    </row>
    <row r="53" spans="5:12" ht="15.75" customHeight="1" x14ac:dyDescent="0.25">
      <c r="L53" s="4"/>
    </row>
    <row r="54" spans="5:12" ht="15.75" customHeight="1" x14ac:dyDescent="0.25">
      <c r="L54" s="4"/>
    </row>
    <row r="55" spans="5:12" ht="15.75" customHeight="1" x14ac:dyDescent="0.25">
      <c r="L55" s="4"/>
    </row>
    <row r="56" spans="5:12" ht="15.75" customHeight="1" x14ac:dyDescent="0.25">
      <c r="L56" s="4"/>
    </row>
    <row r="57" spans="5:12" ht="15.75" customHeight="1" x14ac:dyDescent="0.25">
      <c r="L57" s="4"/>
    </row>
    <row r="58" spans="5:12" ht="15.75" customHeight="1" x14ac:dyDescent="0.25">
      <c r="L58" s="4"/>
    </row>
    <row r="59" spans="5:12" ht="15.75" customHeight="1" x14ac:dyDescent="0.25">
      <c r="L59" s="4"/>
    </row>
    <row r="60" spans="5:12" ht="15.75" customHeight="1" x14ac:dyDescent="0.25">
      <c r="L60" s="4"/>
    </row>
    <row r="61" spans="5:12" ht="15.75" customHeight="1" x14ac:dyDescent="0.25">
      <c r="L61" s="4"/>
    </row>
    <row r="62" spans="5:12" ht="15.75" customHeight="1" x14ac:dyDescent="0.25">
      <c r="L62" s="4"/>
    </row>
    <row r="63" spans="5:12" ht="15.75" customHeight="1" x14ac:dyDescent="0.25">
      <c r="L63" s="4"/>
    </row>
    <row r="64" spans="5:12" ht="15.75" customHeight="1" x14ac:dyDescent="0.25">
      <c r="L64" s="4"/>
    </row>
    <row r="65" spans="12:12" ht="15.75" customHeight="1" x14ac:dyDescent="0.25">
      <c r="L65" s="4"/>
    </row>
    <row r="66" spans="12:12" ht="15.75" customHeight="1" x14ac:dyDescent="0.25">
      <c r="L66" s="4"/>
    </row>
    <row r="67" spans="12:12" ht="15.75" customHeight="1" x14ac:dyDescent="0.25">
      <c r="L67" s="4"/>
    </row>
    <row r="68" spans="12:12" ht="15.75" customHeight="1" x14ac:dyDescent="0.25">
      <c r="L68" s="4"/>
    </row>
    <row r="69" spans="12:12" ht="15.75" customHeight="1" x14ac:dyDescent="0.25">
      <c r="L69" s="4"/>
    </row>
    <row r="70" spans="12:12" ht="15.75" customHeight="1" x14ac:dyDescent="0.25">
      <c r="L70" s="4"/>
    </row>
    <row r="71" spans="12:12" ht="15.75" customHeight="1" x14ac:dyDescent="0.25">
      <c r="L71" s="4"/>
    </row>
    <row r="72" spans="12:12" ht="15.75" customHeight="1" x14ac:dyDescent="0.25">
      <c r="L72" s="4"/>
    </row>
    <row r="73" spans="12:12" ht="15.75" customHeight="1" x14ac:dyDescent="0.25">
      <c r="L73" s="4"/>
    </row>
    <row r="74" spans="12:12" ht="15.75" customHeight="1" x14ac:dyDescent="0.25">
      <c r="L74" s="4"/>
    </row>
    <row r="75" spans="12:12" ht="15.75" customHeight="1" x14ac:dyDescent="0.25">
      <c r="L75" s="4"/>
    </row>
    <row r="76" spans="12:12" ht="15.75" customHeight="1" x14ac:dyDescent="0.25">
      <c r="L76" s="4"/>
    </row>
    <row r="77" spans="12:12" ht="15.75" customHeight="1" x14ac:dyDescent="0.25">
      <c r="L77" s="4"/>
    </row>
    <row r="78" spans="12:12" ht="15.75" customHeight="1" x14ac:dyDescent="0.25">
      <c r="L78" s="4"/>
    </row>
    <row r="79" spans="12:12" ht="15.75" customHeight="1" x14ac:dyDescent="0.25">
      <c r="L79" s="4"/>
    </row>
    <row r="80" spans="12:12" ht="15.75" customHeight="1" x14ac:dyDescent="0.25">
      <c r="L80" s="4"/>
    </row>
    <row r="81" spans="12:12" ht="15.75" customHeight="1" x14ac:dyDescent="0.25">
      <c r="L81" s="4"/>
    </row>
    <row r="82" spans="12:12" ht="15.75" customHeight="1" x14ac:dyDescent="0.25">
      <c r="L82" s="4"/>
    </row>
    <row r="83" spans="12:12" ht="15.75" customHeight="1" x14ac:dyDescent="0.25">
      <c r="L83" s="4"/>
    </row>
    <row r="84" spans="12:12" ht="15.75" customHeight="1" x14ac:dyDescent="0.25">
      <c r="L84" s="4"/>
    </row>
    <row r="85" spans="12:12" ht="15.75" customHeight="1" x14ac:dyDescent="0.25">
      <c r="L85" s="4"/>
    </row>
    <row r="86" spans="12:12" ht="15.75" customHeight="1" x14ac:dyDescent="0.25">
      <c r="L86" s="4"/>
    </row>
    <row r="87" spans="12:12" ht="15.75" customHeight="1" x14ac:dyDescent="0.25">
      <c r="L87" s="4"/>
    </row>
    <row r="88" spans="12:12" ht="15.75" customHeight="1" x14ac:dyDescent="0.25">
      <c r="L88" s="4"/>
    </row>
    <row r="89" spans="12:12" ht="15.75" customHeight="1" x14ac:dyDescent="0.25">
      <c r="L89" s="4"/>
    </row>
    <row r="90" spans="12:12" ht="15.75" customHeight="1" x14ac:dyDescent="0.25">
      <c r="L90" s="4"/>
    </row>
    <row r="91" spans="12:12" ht="15.75" customHeight="1" x14ac:dyDescent="0.25">
      <c r="L91" s="4"/>
    </row>
    <row r="92" spans="12:12" ht="15.75" customHeight="1" x14ac:dyDescent="0.25">
      <c r="L92" s="4"/>
    </row>
    <row r="93" spans="12:12" ht="15.75" customHeight="1" x14ac:dyDescent="0.25">
      <c r="L93" s="4"/>
    </row>
    <row r="94" spans="12:12" ht="15.75" customHeight="1" x14ac:dyDescent="0.25">
      <c r="L94" s="4"/>
    </row>
    <row r="95" spans="12:12" ht="15.75" customHeight="1" x14ac:dyDescent="0.25">
      <c r="L95" s="4"/>
    </row>
    <row r="96" spans="12:12" ht="15.75" customHeight="1" x14ac:dyDescent="0.25">
      <c r="L96" s="4"/>
    </row>
    <row r="97" spans="12:12" ht="15.75" customHeight="1" x14ac:dyDescent="0.25">
      <c r="L97" s="4"/>
    </row>
    <row r="98" spans="12:12" ht="15.75" customHeight="1" x14ac:dyDescent="0.25">
      <c r="L98" s="4"/>
    </row>
    <row r="99" spans="12:12" ht="15.75" customHeight="1" x14ac:dyDescent="0.25">
      <c r="L99" s="4"/>
    </row>
    <row r="100" spans="12:12" ht="15.75" customHeight="1" x14ac:dyDescent="0.25">
      <c r="L100" s="4"/>
    </row>
    <row r="101" spans="12:12" ht="15.75" customHeight="1" x14ac:dyDescent="0.25">
      <c r="L101" s="4"/>
    </row>
    <row r="102" spans="12:12" ht="15.75" customHeight="1" x14ac:dyDescent="0.25">
      <c r="L102" s="4"/>
    </row>
    <row r="103" spans="12:12" ht="15.75" customHeight="1" x14ac:dyDescent="0.25">
      <c r="L103" s="4"/>
    </row>
    <row r="104" spans="12:12" ht="15.75" customHeight="1" x14ac:dyDescent="0.25">
      <c r="L104" s="4"/>
    </row>
    <row r="105" spans="12:12" ht="15.75" customHeight="1" x14ac:dyDescent="0.25">
      <c r="L105" s="4"/>
    </row>
    <row r="106" spans="12:12" ht="15.75" customHeight="1" x14ac:dyDescent="0.25">
      <c r="L106" s="4"/>
    </row>
    <row r="107" spans="12:12" ht="15.75" customHeight="1" x14ac:dyDescent="0.25">
      <c r="L107" s="4"/>
    </row>
    <row r="108" spans="12:12" ht="15.75" customHeight="1" x14ac:dyDescent="0.25">
      <c r="L108" s="4"/>
    </row>
    <row r="109" spans="12:12" ht="15.75" customHeight="1" x14ac:dyDescent="0.25">
      <c r="L109" s="4"/>
    </row>
    <row r="110" spans="12:12" ht="15.75" customHeight="1" x14ac:dyDescent="0.25">
      <c r="L110" s="4"/>
    </row>
    <row r="111" spans="12:12" ht="15.75" customHeight="1" x14ac:dyDescent="0.25">
      <c r="L111" s="4"/>
    </row>
    <row r="112" spans="12:12" ht="15.75" customHeight="1" x14ac:dyDescent="0.25">
      <c r="L112" s="4"/>
    </row>
    <row r="113" spans="12:12" ht="15.75" customHeight="1" x14ac:dyDescent="0.25">
      <c r="L113" s="4"/>
    </row>
    <row r="114" spans="12:12" ht="15.75" customHeight="1" x14ac:dyDescent="0.25">
      <c r="L114" s="4"/>
    </row>
    <row r="115" spans="12:12" ht="15.75" customHeight="1" x14ac:dyDescent="0.25">
      <c r="L115" s="4"/>
    </row>
    <row r="116" spans="12:12" ht="15.75" customHeight="1" x14ac:dyDescent="0.25">
      <c r="L116" s="4"/>
    </row>
    <row r="117" spans="12:12" ht="15.75" customHeight="1" x14ac:dyDescent="0.25">
      <c r="L117" s="4"/>
    </row>
    <row r="118" spans="12:12" ht="15.75" customHeight="1" x14ac:dyDescent="0.25">
      <c r="L118" s="4"/>
    </row>
    <row r="119" spans="12:12" ht="15.75" customHeight="1" x14ac:dyDescent="0.25">
      <c r="L119" s="4"/>
    </row>
    <row r="120" spans="12:12" ht="15.75" customHeight="1" x14ac:dyDescent="0.25">
      <c r="L120" s="4"/>
    </row>
    <row r="121" spans="12:12" ht="15.75" customHeight="1" x14ac:dyDescent="0.25">
      <c r="L121" s="4"/>
    </row>
    <row r="122" spans="12:12" ht="15.75" customHeight="1" x14ac:dyDescent="0.25">
      <c r="L122" s="4"/>
    </row>
    <row r="123" spans="12:12" ht="15.75" customHeight="1" x14ac:dyDescent="0.25">
      <c r="L123" s="4"/>
    </row>
    <row r="124" spans="12:12" ht="15.75" customHeight="1" x14ac:dyDescent="0.25">
      <c r="L124" s="4"/>
    </row>
    <row r="125" spans="12:12" ht="15.75" customHeight="1" x14ac:dyDescent="0.25">
      <c r="L125" s="4"/>
    </row>
    <row r="126" spans="12:12" ht="15.75" customHeight="1" x14ac:dyDescent="0.25">
      <c r="L126" s="4"/>
    </row>
    <row r="127" spans="12:12" ht="15.75" customHeight="1" x14ac:dyDescent="0.25">
      <c r="L127" s="4"/>
    </row>
    <row r="128" spans="12:12" ht="15.75" customHeight="1" x14ac:dyDescent="0.25">
      <c r="L128" s="4"/>
    </row>
    <row r="129" spans="12:12" ht="15.75" customHeight="1" x14ac:dyDescent="0.25">
      <c r="L129" s="4"/>
    </row>
    <row r="130" spans="12:12" ht="15.75" customHeight="1" x14ac:dyDescent="0.25">
      <c r="L130" s="4"/>
    </row>
    <row r="131" spans="12:12" ht="15.75" customHeight="1" x14ac:dyDescent="0.25">
      <c r="L131" s="4"/>
    </row>
    <row r="132" spans="12:12" ht="15.75" customHeight="1" x14ac:dyDescent="0.25">
      <c r="L132" s="4"/>
    </row>
    <row r="133" spans="12:12" ht="15.75" customHeight="1" x14ac:dyDescent="0.25">
      <c r="L133" s="4"/>
    </row>
    <row r="134" spans="12:12" ht="15.75" customHeight="1" x14ac:dyDescent="0.25">
      <c r="L134" s="4"/>
    </row>
    <row r="135" spans="12:12" ht="15.75" customHeight="1" x14ac:dyDescent="0.25">
      <c r="L135" s="4"/>
    </row>
    <row r="136" spans="12:12" ht="15.75" customHeight="1" x14ac:dyDescent="0.25">
      <c r="L136" s="4"/>
    </row>
    <row r="137" spans="12:12" ht="15.75" customHeight="1" x14ac:dyDescent="0.25">
      <c r="L137" s="4"/>
    </row>
    <row r="138" spans="12:12" ht="15.75" customHeight="1" x14ac:dyDescent="0.25">
      <c r="L138" s="4"/>
    </row>
    <row r="139" spans="12:12" ht="15.75" customHeight="1" x14ac:dyDescent="0.25">
      <c r="L139" s="4"/>
    </row>
    <row r="140" spans="12:12" ht="15.75" customHeight="1" x14ac:dyDescent="0.25">
      <c r="L140" s="4"/>
    </row>
    <row r="141" spans="12:12" ht="15.75" customHeight="1" x14ac:dyDescent="0.25">
      <c r="L141" s="4"/>
    </row>
    <row r="142" spans="12:12" ht="15.75" customHeight="1" x14ac:dyDescent="0.25">
      <c r="L142" s="4"/>
    </row>
    <row r="143" spans="12:12" ht="15.75" customHeight="1" x14ac:dyDescent="0.25">
      <c r="L143" s="4"/>
    </row>
    <row r="144" spans="12:12" ht="15.75" customHeight="1" x14ac:dyDescent="0.25">
      <c r="L144" s="4"/>
    </row>
    <row r="145" spans="12:12" ht="15.75" customHeight="1" x14ac:dyDescent="0.25">
      <c r="L145" s="4"/>
    </row>
    <row r="146" spans="12:12" ht="15.75" customHeight="1" x14ac:dyDescent="0.25">
      <c r="L146" s="4"/>
    </row>
    <row r="147" spans="12:12" ht="15.75" customHeight="1" x14ac:dyDescent="0.25">
      <c r="L147" s="4"/>
    </row>
    <row r="148" spans="12:12" ht="15.75" customHeight="1" x14ac:dyDescent="0.25">
      <c r="L148" s="4"/>
    </row>
    <row r="149" spans="12:12" ht="15.75" customHeight="1" x14ac:dyDescent="0.25">
      <c r="L149" s="4"/>
    </row>
    <row r="150" spans="12:12" ht="15.75" customHeight="1" x14ac:dyDescent="0.25">
      <c r="L150" s="4"/>
    </row>
    <row r="151" spans="12:12" ht="15.75" customHeight="1" x14ac:dyDescent="0.25">
      <c r="L151" s="4"/>
    </row>
    <row r="152" spans="12:12" ht="15.75" customHeight="1" x14ac:dyDescent="0.25">
      <c r="L152" s="4"/>
    </row>
    <row r="153" spans="12:12" ht="15.75" customHeight="1" x14ac:dyDescent="0.25">
      <c r="L153" s="4"/>
    </row>
    <row r="154" spans="12:12" ht="15.75" customHeight="1" x14ac:dyDescent="0.25">
      <c r="L154" s="4"/>
    </row>
    <row r="155" spans="12:12" ht="15.75" customHeight="1" x14ac:dyDescent="0.25">
      <c r="L155" s="4"/>
    </row>
    <row r="156" spans="12:12" ht="15.75" customHeight="1" x14ac:dyDescent="0.25">
      <c r="L156" s="4"/>
    </row>
    <row r="157" spans="12:12" ht="15.75" customHeight="1" x14ac:dyDescent="0.25">
      <c r="L157" s="4"/>
    </row>
    <row r="158" spans="12:12" ht="15.75" customHeight="1" x14ac:dyDescent="0.25">
      <c r="L158" s="4"/>
    </row>
    <row r="159" spans="12:12" ht="15.75" customHeight="1" x14ac:dyDescent="0.25">
      <c r="L159" s="4"/>
    </row>
    <row r="160" spans="12:12" ht="15.75" customHeight="1" x14ac:dyDescent="0.25">
      <c r="L160" s="4"/>
    </row>
    <row r="161" spans="12:12" ht="15.75" customHeight="1" x14ac:dyDescent="0.25">
      <c r="L161" s="4"/>
    </row>
    <row r="162" spans="12:12" ht="15.75" customHeight="1" x14ac:dyDescent="0.25">
      <c r="L162" s="4"/>
    </row>
    <row r="163" spans="12:12" ht="15.75" customHeight="1" x14ac:dyDescent="0.25">
      <c r="L163" s="4"/>
    </row>
    <row r="164" spans="12:12" ht="15.75" customHeight="1" x14ac:dyDescent="0.25">
      <c r="L164" s="4"/>
    </row>
    <row r="165" spans="12:12" ht="15.75" customHeight="1" x14ac:dyDescent="0.25">
      <c r="L165" s="4"/>
    </row>
    <row r="166" spans="12:12" ht="15.75" customHeight="1" x14ac:dyDescent="0.25">
      <c r="L166" s="4"/>
    </row>
    <row r="167" spans="12:12" ht="15.75" customHeight="1" x14ac:dyDescent="0.25">
      <c r="L167" s="4"/>
    </row>
    <row r="168" spans="12:12" ht="15.75" customHeight="1" x14ac:dyDescent="0.25">
      <c r="L168" s="4"/>
    </row>
    <row r="169" spans="12:12" ht="15.75" customHeight="1" x14ac:dyDescent="0.25">
      <c r="L169" s="4"/>
    </row>
    <row r="170" spans="12:12" ht="15.75" customHeight="1" x14ac:dyDescent="0.25">
      <c r="L170" s="4"/>
    </row>
    <row r="171" spans="12:12" ht="15.75" customHeight="1" x14ac:dyDescent="0.25">
      <c r="L171" s="4"/>
    </row>
    <row r="172" spans="12:12" ht="15.75" customHeight="1" x14ac:dyDescent="0.25">
      <c r="L172" s="4"/>
    </row>
    <row r="173" spans="12:12" ht="15.75" customHeight="1" x14ac:dyDescent="0.25">
      <c r="L173" s="4"/>
    </row>
    <row r="174" spans="12:12" ht="15.75" customHeight="1" x14ac:dyDescent="0.25">
      <c r="L174" s="4"/>
    </row>
    <row r="175" spans="12:12" ht="15.75" customHeight="1" x14ac:dyDescent="0.25">
      <c r="L175" s="4"/>
    </row>
    <row r="176" spans="12:12" ht="15.75" customHeight="1" x14ac:dyDescent="0.25">
      <c r="L176" s="4"/>
    </row>
    <row r="177" spans="12:12" ht="15.75" customHeight="1" x14ac:dyDescent="0.25">
      <c r="L177" s="4"/>
    </row>
    <row r="178" spans="12:12" ht="15.75" customHeight="1" x14ac:dyDescent="0.25">
      <c r="L178" s="4"/>
    </row>
    <row r="179" spans="12:12" ht="15.75" customHeight="1" x14ac:dyDescent="0.25">
      <c r="L179" s="4"/>
    </row>
    <row r="180" spans="12:12" ht="15.75" customHeight="1" x14ac:dyDescent="0.25">
      <c r="L180" s="4"/>
    </row>
    <row r="181" spans="12:12" ht="15.75" customHeight="1" x14ac:dyDescent="0.25">
      <c r="L181" s="4"/>
    </row>
    <row r="182" spans="12:12" ht="15.75" customHeight="1" x14ac:dyDescent="0.25">
      <c r="L182" s="4"/>
    </row>
    <row r="183" spans="12:12" ht="15.75" customHeight="1" x14ac:dyDescent="0.25">
      <c r="L183" s="4"/>
    </row>
    <row r="184" spans="12:12" ht="15.75" customHeight="1" x14ac:dyDescent="0.25">
      <c r="L184" s="4"/>
    </row>
    <row r="185" spans="12:12" ht="15.75" customHeight="1" x14ac:dyDescent="0.25">
      <c r="L185" s="4"/>
    </row>
    <row r="186" spans="12:12" ht="15.75" customHeight="1" x14ac:dyDescent="0.25">
      <c r="L186" s="4"/>
    </row>
    <row r="187" spans="12:12" ht="15.75" customHeight="1" x14ac:dyDescent="0.25">
      <c r="L187" s="4"/>
    </row>
    <row r="188" spans="12:12" ht="15.75" customHeight="1" x14ac:dyDescent="0.25">
      <c r="L188" s="4"/>
    </row>
    <row r="189" spans="12:12" ht="15.75" customHeight="1" x14ac:dyDescent="0.25">
      <c r="L189" s="4"/>
    </row>
    <row r="190" spans="12:12" ht="15.75" customHeight="1" x14ac:dyDescent="0.25">
      <c r="L190" s="4"/>
    </row>
    <row r="191" spans="12:12" ht="15.75" customHeight="1" x14ac:dyDescent="0.25">
      <c r="L191" s="4"/>
    </row>
    <row r="192" spans="12:12" ht="15.75" customHeight="1" x14ac:dyDescent="0.25">
      <c r="L192" s="4"/>
    </row>
    <row r="193" spans="12:12" ht="15.75" customHeight="1" x14ac:dyDescent="0.25">
      <c r="L193" s="4"/>
    </row>
    <row r="194" spans="12:12" ht="15.75" customHeight="1" x14ac:dyDescent="0.25">
      <c r="L194" s="4"/>
    </row>
    <row r="195" spans="12:12" ht="15.75" customHeight="1" x14ac:dyDescent="0.25">
      <c r="L195" s="4"/>
    </row>
    <row r="196" spans="12:12" ht="15.75" customHeight="1" x14ac:dyDescent="0.25">
      <c r="L196" s="4"/>
    </row>
    <row r="197" spans="12:12" ht="15.75" customHeight="1" x14ac:dyDescent="0.25">
      <c r="L197" s="4"/>
    </row>
    <row r="198" spans="12:12" ht="15.75" customHeight="1" x14ac:dyDescent="0.25">
      <c r="L198" s="4"/>
    </row>
    <row r="199" spans="12:12" ht="15.75" customHeight="1" x14ac:dyDescent="0.25">
      <c r="L199" s="4"/>
    </row>
    <row r="200" spans="12:12" ht="15.75" customHeight="1" x14ac:dyDescent="0.25">
      <c r="L200" s="4"/>
    </row>
    <row r="201" spans="12:12" ht="15.75" customHeight="1" x14ac:dyDescent="0.25">
      <c r="L201" s="4"/>
    </row>
    <row r="202" spans="12:12" ht="15.75" customHeight="1" x14ac:dyDescent="0.25">
      <c r="L202" s="4"/>
    </row>
    <row r="203" spans="12:12" ht="15.75" customHeight="1" x14ac:dyDescent="0.25">
      <c r="L203" s="4"/>
    </row>
    <row r="204" spans="12:12" ht="15.75" customHeight="1" x14ac:dyDescent="0.25">
      <c r="L204" s="4"/>
    </row>
    <row r="205" spans="12:12" ht="15.75" customHeight="1" x14ac:dyDescent="0.25">
      <c r="L205" s="4"/>
    </row>
    <row r="206" spans="12:12" ht="15.75" customHeight="1" x14ac:dyDescent="0.25">
      <c r="L206" s="4"/>
    </row>
    <row r="207" spans="12:12" ht="15.75" customHeight="1" x14ac:dyDescent="0.25">
      <c r="L207" s="4"/>
    </row>
    <row r="208" spans="12:12" ht="15.75" customHeight="1" x14ac:dyDescent="0.25">
      <c r="L208" s="4"/>
    </row>
    <row r="209" spans="12:12" ht="15.75" customHeight="1" x14ac:dyDescent="0.25">
      <c r="L209" s="4"/>
    </row>
    <row r="210" spans="12:12" ht="15.75" customHeight="1" x14ac:dyDescent="0.25">
      <c r="L210" s="4"/>
    </row>
    <row r="211" spans="12:12" ht="15.75" customHeight="1" x14ac:dyDescent="0.25">
      <c r="L211" s="4"/>
    </row>
    <row r="212" spans="12:12" ht="15.75" customHeight="1" x14ac:dyDescent="0.25">
      <c r="L212" s="4"/>
    </row>
    <row r="213" spans="12:12" ht="15.75" customHeight="1" x14ac:dyDescent="0.25">
      <c r="L213" s="4"/>
    </row>
    <row r="214" spans="12:12" ht="15.75" customHeight="1" x14ac:dyDescent="0.25">
      <c r="L214" s="4"/>
    </row>
    <row r="215" spans="12:12" ht="15.75" customHeight="1" x14ac:dyDescent="0.25">
      <c r="L215" s="4"/>
    </row>
    <row r="216" spans="12:12" ht="15.75" customHeight="1" x14ac:dyDescent="0.25">
      <c r="L216" s="4"/>
    </row>
    <row r="217" spans="12:12" ht="15.75" customHeight="1" x14ac:dyDescent="0.25">
      <c r="L217" s="4"/>
    </row>
    <row r="218" spans="12:12" ht="15.75" customHeight="1" x14ac:dyDescent="0.25">
      <c r="L218" s="4"/>
    </row>
    <row r="219" spans="12:12" ht="15.75" customHeight="1" x14ac:dyDescent="0.25">
      <c r="L219" s="4"/>
    </row>
    <row r="220" spans="12:12" ht="15.75" customHeight="1" x14ac:dyDescent="0.25">
      <c r="L220" s="4"/>
    </row>
    <row r="221" spans="12:12" ht="15.75" customHeight="1" x14ac:dyDescent="0.25">
      <c r="L221" s="4"/>
    </row>
    <row r="222" spans="12:12" ht="15.75" customHeight="1" x14ac:dyDescent="0.25">
      <c r="L222" s="4"/>
    </row>
    <row r="223" spans="12:12" ht="15.75" customHeight="1" x14ac:dyDescent="0.25">
      <c r="L223" s="4"/>
    </row>
    <row r="224" spans="12:12" ht="15.75" customHeight="1" x14ac:dyDescent="0.25">
      <c r="L224" s="4"/>
    </row>
    <row r="225" spans="12:12" ht="15.75" customHeight="1" x14ac:dyDescent="0.25">
      <c r="L225" s="4"/>
    </row>
    <row r="226" spans="12:12" ht="15.75" customHeight="1" x14ac:dyDescent="0.25">
      <c r="L226" s="4"/>
    </row>
    <row r="227" spans="12:12" ht="15.75" customHeight="1" x14ac:dyDescent="0.25">
      <c r="L227" s="4"/>
    </row>
    <row r="228" spans="12:12" ht="15.75" customHeight="1" x14ac:dyDescent="0.25">
      <c r="L228" s="4"/>
    </row>
    <row r="229" spans="12:12" ht="15.75" customHeight="1" x14ac:dyDescent="0.25">
      <c r="L229" s="4"/>
    </row>
    <row r="230" spans="12:12" ht="15.75" customHeight="1" x14ac:dyDescent="0.25">
      <c r="L230" s="4"/>
    </row>
    <row r="231" spans="12:12" ht="15.75" customHeight="1" x14ac:dyDescent="0.25">
      <c r="L231" s="4"/>
    </row>
    <row r="232" spans="12:12" ht="15.75" customHeight="1" x14ac:dyDescent="0.25">
      <c r="L232" s="4"/>
    </row>
    <row r="233" spans="12:12" ht="15.75" customHeight="1" x14ac:dyDescent="0.25">
      <c r="L233" s="4"/>
    </row>
    <row r="234" spans="12:12" ht="15.75" customHeight="1" x14ac:dyDescent="0.25">
      <c r="L234" s="4"/>
    </row>
    <row r="235" spans="12:12" ht="15.75" customHeight="1" x14ac:dyDescent="0.25">
      <c r="L235" s="4"/>
    </row>
    <row r="236" spans="12:12" ht="15.75" customHeight="1" x14ac:dyDescent="0.25">
      <c r="L236" s="4"/>
    </row>
    <row r="237" spans="12:12" ht="15.75" customHeight="1" x14ac:dyDescent="0.25">
      <c r="L237" s="4"/>
    </row>
    <row r="238" spans="12:12" ht="15.75" customHeight="1" x14ac:dyDescent="0.25">
      <c r="L238" s="4"/>
    </row>
    <row r="239" spans="12:12" ht="15.75" customHeight="1" x14ac:dyDescent="0.25">
      <c r="L239" s="4"/>
    </row>
    <row r="240" spans="12:12" ht="15.75" customHeight="1" x14ac:dyDescent="0.25">
      <c r="L240" s="4"/>
    </row>
    <row r="241" spans="12:12" ht="15.75" customHeight="1" x14ac:dyDescent="0.25">
      <c r="L241" s="4"/>
    </row>
    <row r="242" spans="12:12" ht="15.75" customHeight="1" x14ac:dyDescent="0.25">
      <c r="L242" s="4"/>
    </row>
    <row r="243" spans="12:12" ht="15.75" customHeight="1" x14ac:dyDescent="0.25">
      <c r="L243" s="4"/>
    </row>
    <row r="244" spans="12:12" ht="15.75" customHeight="1" x14ac:dyDescent="0.25">
      <c r="L244" s="4"/>
    </row>
    <row r="245" spans="12:12" ht="15.75" customHeight="1" x14ac:dyDescent="0.25">
      <c r="L245" s="4"/>
    </row>
    <row r="246" spans="12:12" ht="15.75" customHeight="1" x14ac:dyDescent="0.25">
      <c r="L246" s="4"/>
    </row>
    <row r="247" spans="12:12" ht="15.75" customHeight="1" x14ac:dyDescent="0.25">
      <c r="L247" s="4"/>
    </row>
    <row r="248" spans="12:12" ht="15.75" customHeight="1" x14ac:dyDescent="0.25">
      <c r="L248" s="4"/>
    </row>
    <row r="249" spans="12:12" ht="15.75" customHeight="1" x14ac:dyDescent="0.25">
      <c r="L249" s="4"/>
    </row>
    <row r="250" spans="12:12" ht="15.75" customHeight="1" x14ac:dyDescent="0.25">
      <c r="L250" s="4"/>
    </row>
    <row r="251" spans="12:12" ht="15.75" customHeight="1" x14ac:dyDescent="0.25">
      <c r="L251" s="4"/>
    </row>
    <row r="252" spans="12:12" ht="15.75" customHeight="1" x14ac:dyDescent="0.25">
      <c r="L252" s="4"/>
    </row>
    <row r="253" spans="12:12" ht="15.75" customHeight="1" x14ac:dyDescent="0.25">
      <c r="L253" s="4"/>
    </row>
    <row r="254" spans="12:12" ht="15.75" customHeight="1" x14ac:dyDescent="0.25">
      <c r="L254" s="4"/>
    </row>
    <row r="255" spans="12:12" ht="15.75" customHeight="1" x14ac:dyDescent="0.25">
      <c r="L255" s="4"/>
    </row>
    <row r="256" spans="12:12" ht="15.75" customHeight="1" x14ac:dyDescent="0.25">
      <c r="L256" s="4"/>
    </row>
    <row r="257" spans="12:12" ht="15.75" customHeight="1" x14ac:dyDescent="0.25">
      <c r="L257" s="4"/>
    </row>
    <row r="258" spans="12:12" ht="15.75" customHeight="1" x14ac:dyDescent="0.25">
      <c r="L258" s="4"/>
    </row>
    <row r="259" spans="12:12" ht="15.75" customHeight="1" x14ac:dyDescent="0.25">
      <c r="L259" s="4"/>
    </row>
    <row r="260" spans="12:12" ht="15.75" customHeight="1" x14ac:dyDescent="0.25">
      <c r="L260" s="4"/>
    </row>
    <row r="261" spans="12:12" ht="15.75" customHeight="1" x14ac:dyDescent="0.25">
      <c r="L261" s="4"/>
    </row>
    <row r="262" spans="12:12" ht="15.75" customHeight="1" x14ac:dyDescent="0.25">
      <c r="L262" s="4"/>
    </row>
    <row r="263" spans="12:12" ht="15.75" customHeight="1" x14ac:dyDescent="0.25">
      <c r="L263" s="4"/>
    </row>
    <row r="264" spans="12:12" ht="15.75" customHeight="1" x14ac:dyDescent="0.25">
      <c r="L264" s="4"/>
    </row>
    <row r="265" spans="12:12" ht="15.75" customHeight="1" x14ac:dyDescent="0.25">
      <c r="L265" s="4"/>
    </row>
    <row r="266" spans="12:12" ht="15.75" customHeight="1" x14ac:dyDescent="0.25">
      <c r="L266" s="4"/>
    </row>
    <row r="267" spans="12:12" ht="15.75" customHeight="1" x14ac:dyDescent="0.25">
      <c r="L267" s="4"/>
    </row>
    <row r="268" spans="12:12" ht="15.75" customHeight="1" x14ac:dyDescent="0.25">
      <c r="L268" s="4"/>
    </row>
    <row r="269" spans="12:12" ht="15.75" customHeight="1" x14ac:dyDescent="0.25">
      <c r="L269" s="4"/>
    </row>
    <row r="270" spans="12:12" ht="15.75" customHeight="1" x14ac:dyDescent="0.25">
      <c r="L270" s="4"/>
    </row>
    <row r="271" spans="12:12" ht="15.75" customHeight="1" x14ac:dyDescent="0.25">
      <c r="L271" s="4"/>
    </row>
    <row r="272" spans="12:12" ht="15.75" customHeight="1" x14ac:dyDescent="0.25">
      <c r="L272" s="4"/>
    </row>
    <row r="273" spans="12:12" ht="15.75" customHeight="1" x14ac:dyDescent="0.25">
      <c r="L273" s="4"/>
    </row>
    <row r="274" spans="12:12" ht="15.75" customHeight="1" x14ac:dyDescent="0.25">
      <c r="L274" s="4"/>
    </row>
    <row r="275" spans="12:12" ht="15.75" customHeight="1" x14ac:dyDescent="0.25">
      <c r="L275" s="4"/>
    </row>
    <row r="276" spans="12:12" ht="15.75" customHeight="1" x14ac:dyDescent="0.25">
      <c r="L276" s="4"/>
    </row>
    <row r="277" spans="12:12" ht="15.75" customHeight="1" x14ac:dyDescent="0.25">
      <c r="L277" s="4"/>
    </row>
    <row r="278" spans="12:12" ht="15.75" customHeight="1" x14ac:dyDescent="0.25">
      <c r="L278" s="4"/>
    </row>
    <row r="279" spans="12:12" ht="15.75" customHeight="1" x14ac:dyDescent="0.25">
      <c r="L279" s="4"/>
    </row>
    <row r="280" spans="12:12" ht="15.75" customHeight="1" x14ac:dyDescent="0.25">
      <c r="L280" s="4"/>
    </row>
    <row r="281" spans="12:12" ht="15.75" customHeight="1" x14ac:dyDescent="0.25">
      <c r="L281" s="4"/>
    </row>
    <row r="282" spans="12:12" ht="15.75" customHeight="1" x14ac:dyDescent="0.25">
      <c r="L282" s="4"/>
    </row>
    <row r="283" spans="12:12" ht="15.75" customHeight="1" x14ac:dyDescent="0.25">
      <c r="L283" s="4"/>
    </row>
    <row r="284" spans="12:12" ht="15.75" customHeight="1" x14ac:dyDescent="0.25">
      <c r="L284" s="4"/>
    </row>
    <row r="285" spans="12:12" ht="15.75" customHeight="1" x14ac:dyDescent="0.25">
      <c r="L285" s="4"/>
    </row>
    <row r="286" spans="12:12" ht="15.75" customHeight="1" x14ac:dyDescent="0.25">
      <c r="L286" s="4"/>
    </row>
    <row r="287" spans="12:12" ht="15.75" customHeight="1" x14ac:dyDescent="0.25">
      <c r="L287" s="4"/>
    </row>
    <row r="288" spans="12:12" ht="15.75" customHeight="1" x14ac:dyDescent="0.25">
      <c r="L288" s="4"/>
    </row>
    <row r="289" spans="12:12" ht="15.75" customHeight="1" x14ac:dyDescent="0.25">
      <c r="L289" s="4"/>
    </row>
    <row r="290" spans="12:12" ht="15.75" customHeight="1" x14ac:dyDescent="0.25">
      <c r="L290" s="4"/>
    </row>
    <row r="291" spans="12:12" ht="15.75" customHeight="1" x14ac:dyDescent="0.25">
      <c r="L291" s="4"/>
    </row>
    <row r="292" spans="12:12" ht="15.75" customHeight="1" x14ac:dyDescent="0.25">
      <c r="L292" s="4"/>
    </row>
    <row r="293" spans="12:12" ht="15.75" customHeight="1" x14ac:dyDescent="0.25">
      <c r="L293" s="4"/>
    </row>
    <row r="294" spans="12:12" ht="15.75" customHeight="1" x14ac:dyDescent="0.25">
      <c r="L294" s="4"/>
    </row>
    <row r="295" spans="12:12" ht="15.75" customHeight="1" x14ac:dyDescent="0.25">
      <c r="L295" s="4"/>
    </row>
    <row r="296" spans="12:12" ht="15.75" customHeight="1" x14ac:dyDescent="0.25">
      <c r="L296" s="4"/>
    </row>
    <row r="297" spans="12:12" ht="15.75" customHeight="1" x14ac:dyDescent="0.25">
      <c r="L297" s="4"/>
    </row>
    <row r="298" spans="12:12" ht="15.75" customHeight="1" x14ac:dyDescent="0.25">
      <c r="L298" s="4"/>
    </row>
    <row r="299" spans="12:12" ht="15.75" customHeight="1" x14ac:dyDescent="0.25">
      <c r="L299" s="4"/>
    </row>
    <row r="300" spans="12:12" ht="15.75" customHeight="1" x14ac:dyDescent="0.25">
      <c r="L300" s="4"/>
    </row>
    <row r="301" spans="12:12" ht="15.75" customHeight="1" x14ac:dyDescent="0.25">
      <c r="L301" s="4"/>
    </row>
    <row r="302" spans="12:12" ht="15.75" customHeight="1" x14ac:dyDescent="0.25">
      <c r="L302" s="4"/>
    </row>
    <row r="303" spans="12:12" ht="15.75" customHeight="1" x14ac:dyDescent="0.25">
      <c r="L303" s="4"/>
    </row>
    <row r="304" spans="12:12" ht="15.75" customHeight="1" x14ac:dyDescent="0.25">
      <c r="L304" s="4"/>
    </row>
    <row r="305" spans="12:12" ht="15.75" customHeight="1" x14ac:dyDescent="0.25">
      <c r="L305" s="4"/>
    </row>
    <row r="306" spans="12:12" ht="15.75" customHeight="1" x14ac:dyDescent="0.25">
      <c r="L306" s="4"/>
    </row>
    <row r="307" spans="12:12" ht="15.75" customHeight="1" x14ac:dyDescent="0.25">
      <c r="L307" s="4"/>
    </row>
    <row r="308" spans="12:12" ht="15.75" customHeight="1" x14ac:dyDescent="0.25">
      <c r="L308" s="4"/>
    </row>
    <row r="309" spans="12:12" ht="15.75" customHeight="1" x14ac:dyDescent="0.25">
      <c r="L309" s="4"/>
    </row>
    <row r="310" spans="12:12" ht="15.75" customHeight="1" x14ac:dyDescent="0.25">
      <c r="L310" s="4"/>
    </row>
    <row r="311" spans="12:12" ht="15.75" customHeight="1" x14ac:dyDescent="0.25">
      <c r="L311" s="4"/>
    </row>
    <row r="312" spans="12:12" ht="15.75" customHeight="1" x14ac:dyDescent="0.25">
      <c r="L312" s="4"/>
    </row>
    <row r="313" spans="12:12" ht="15.75" customHeight="1" x14ac:dyDescent="0.25">
      <c r="L313" s="4"/>
    </row>
    <row r="314" spans="12:12" ht="15.75" customHeight="1" x14ac:dyDescent="0.25">
      <c r="L314" s="4"/>
    </row>
    <row r="315" spans="12:12" ht="15.75" customHeight="1" x14ac:dyDescent="0.25">
      <c r="L315" s="4"/>
    </row>
    <row r="316" spans="12:12" ht="15.75" customHeight="1" x14ac:dyDescent="0.25">
      <c r="L316" s="4"/>
    </row>
    <row r="317" spans="12:12" ht="15.75" customHeight="1" x14ac:dyDescent="0.25">
      <c r="L317" s="4"/>
    </row>
    <row r="318" spans="12:12" ht="15.75" customHeight="1" x14ac:dyDescent="0.25">
      <c r="L318" s="4"/>
    </row>
    <row r="319" spans="12:12" ht="15.75" customHeight="1" x14ac:dyDescent="0.25">
      <c r="L319" s="4"/>
    </row>
    <row r="320" spans="12:12" ht="15.75" customHeight="1" x14ac:dyDescent="0.25">
      <c r="L320" s="4"/>
    </row>
    <row r="321" spans="12:12" ht="15.75" customHeight="1" x14ac:dyDescent="0.25">
      <c r="L321" s="4"/>
    </row>
    <row r="322" spans="12:12" ht="15.75" customHeight="1" x14ac:dyDescent="0.25">
      <c r="L322" s="4"/>
    </row>
    <row r="323" spans="12:12" ht="15.75" customHeight="1" x14ac:dyDescent="0.25">
      <c r="L323" s="4"/>
    </row>
    <row r="324" spans="12:12" ht="15.75" customHeight="1" x14ac:dyDescent="0.25">
      <c r="L324" s="4"/>
    </row>
    <row r="325" spans="12:12" ht="15.75" customHeight="1" x14ac:dyDescent="0.25">
      <c r="L325" s="4"/>
    </row>
    <row r="326" spans="12:12" ht="15.75" customHeight="1" x14ac:dyDescent="0.25">
      <c r="L326" s="4"/>
    </row>
    <row r="327" spans="12:12" ht="15.75" customHeight="1" x14ac:dyDescent="0.25">
      <c r="L327" s="4"/>
    </row>
    <row r="328" spans="12:12" ht="15.75" customHeight="1" x14ac:dyDescent="0.25">
      <c r="L328" s="4"/>
    </row>
    <row r="329" spans="12:12" ht="15.75" customHeight="1" x14ac:dyDescent="0.25">
      <c r="L329" s="4"/>
    </row>
    <row r="330" spans="12:12" ht="15.75" customHeight="1" x14ac:dyDescent="0.25">
      <c r="L330" s="4"/>
    </row>
    <row r="331" spans="12:12" ht="15.75" customHeight="1" x14ac:dyDescent="0.25">
      <c r="L331" s="4"/>
    </row>
    <row r="332" spans="12:12" ht="15.75" customHeight="1" x14ac:dyDescent="0.25">
      <c r="L332" s="4"/>
    </row>
    <row r="333" spans="12:12" ht="15.75" customHeight="1" x14ac:dyDescent="0.25">
      <c r="L333" s="4"/>
    </row>
    <row r="334" spans="12:12" ht="15.75" customHeight="1" x14ac:dyDescent="0.25">
      <c r="L334" s="4"/>
    </row>
    <row r="335" spans="12:12" ht="15.75" customHeight="1" x14ac:dyDescent="0.25">
      <c r="L335" s="4"/>
    </row>
    <row r="336" spans="12:12" ht="15.75" customHeight="1" x14ac:dyDescent="0.25">
      <c r="L336" s="4"/>
    </row>
    <row r="337" spans="12:12" ht="15.75" customHeight="1" x14ac:dyDescent="0.25">
      <c r="L337" s="4"/>
    </row>
    <row r="338" spans="12:12" ht="15.75" customHeight="1" x14ac:dyDescent="0.25">
      <c r="L338" s="4"/>
    </row>
    <row r="339" spans="12:12" ht="15.75" customHeight="1" x14ac:dyDescent="0.25">
      <c r="L339" s="4"/>
    </row>
    <row r="340" spans="12:12" ht="15.75" customHeight="1" x14ac:dyDescent="0.25">
      <c r="L340" s="4"/>
    </row>
    <row r="341" spans="12:12" ht="15.75" customHeight="1" x14ac:dyDescent="0.25">
      <c r="L341" s="4"/>
    </row>
    <row r="342" spans="12:12" ht="15.75" customHeight="1" x14ac:dyDescent="0.25">
      <c r="L342" s="4"/>
    </row>
    <row r="343" spans="12:12" ht="15.75" customHeight="1" x14ac:dyDescent="0.25">
      <c r="L343" s="4"/>
    </row>
    <row r="344" spans="12:12" ht="15.75" customHeight="1" x14ac:dyDescent="0.25">
      <c r="L344" s="4"/>
    </row>
    <row r="345" spans="12:12" ht="15.75" customHeight="1" x14ac:dyDescent="0.25">
      <c r="L345" s="4"/>
    </row>
    <row r="346" spans="12:12" ht="15.75" customHeight="1" x14ac:dyDescent="0.25">
      <c r="L346" s="4"/>
    </row>
    <row r="347" spans="12:12" ht="15.75" customHeight="1" x14ac:dyDescent="0.25">
      <c r="L347" s="4"/>
    </row>
    <row r="348" spans="12:12" ht="15.75" customHeight="1" x14ac:dyDescent="0.25">
      <c r="L348" s="4"/>
    </row>
    <row r="349" spans="12:12" ht="15.75" customHeight="1" x14ac:dyDescent="0.25">
      <c r="L349" s="4"/>
    </row>
    <row r="350" spans="12:12" ht="15.75" customHeight="1" x14ac:dyDescent="0.25">
      <c r="L350" s="4"/>
    </row>
    <row r="351" spans="12:12" ht="15.75" customHeight="1" x14ac:dyDescent="0.25">
      <c r="L351" s="4"/>
    </row>
    <row r="352" spans="12:12" ht="15.75" customHeight="1" x14ac:dyDescent="0.25">
      <c r="L352" s="4"/>
    </row>
    <row r="353" spans="12:12" ht="15.75" customHeight="1" x14ac:dyDescent="0.25">
      <c r="L353" s="4"/>
    </row>
    <row r="354" spans="12:12" ht="15.75" customHeight="1" x14ac:dyDescent="0.25">
      <c r="L354" s="4"/>
    </row>
    <row r="355" spans="12:12" ht="15.75" customHeight="1" x14ac:dyDescent="0.25">
      <c r="L355" s="4"/>
    </row>
    <row r="356" spans="12:12" ht="15.75" customHeight="1" x14ac:dyDescent="0.25">
      <c r="L356" s="4"/>
    </row>
    <row r="357" spans="12:12" ht="15.75" customHeight="1" x14ac:dyDescent="0.25">
      <c r="L357" s="4"/>
    </row>
    <row r="358" spans="12:12" ht="15.75" customHeight="1" x14ac:dyDescent="0.25">
      <c r="L358" s="4"/>
    </row>
    <row r="359" spans="12:12" ht="15.75" customHeight="1" x14ac:dyDescent="0.25">
      <c r="L359" s="4"/>
    </row>
    <row r="360" spans="12:12" ht="15.75" customHeight="1" x14ac:dyDescent="0.25">
      <c r="L360" s="4"/>
    </row>
    <row r="361" spans="12:12" ht="15.75" customHeight="1" x14ac:dyDescent="0.25">
      <c r="L361" s="4"/>
    </row>
    <row r="362" spans="12:12" ht="15.75" customHeight="1" x14ac:dyDescent="0.25">
      <c r="L362" s="4"/>
    </row>
    <row r="363" spans="12:12" ht="15.75" customHeight="1" x14ac:dyDescent="0.25">
      <c r="L363" s="4"/>
    </row>
    <row r="364" spans="12:12" ht="15.75" customHeight="1" x14ac:dyDescent="0.25">
      <c r="L364" s="4"/>
    </row>
    <row r="365" spans="12:12" ht="15.75" customHeight="1" x14ac:dyDescent="0.25">
      <c r="L365" s="4"/>
    </row>
    <row r="366" spans="12:12" ht="15.75" customHeight="1" x14ac:dyDescent="0.25">
      <c r="L366" s="4"/>
    </row>
    <row r="367" spans="12:12" ht="15.75" customHeight="1" x14ac:dyDescent="0.25">
      <c r="L367" s="4"/>
    </row>
    <row r="368" spans="12:12" ht="15.75" customHeight="1" x14ac:dyDescent="0.25">
      <c r="L368" s="4"/>
    </row>
    <row r="369" spans="12:12" ht="15.75" customHeight="1" x14ac:dyDescent="0.25">
      <c r="L369" s="4"/>
    </row>
    <row r="370" spans="12:12" ht="15.75" customHeight="1" x14ac:dyDescent="0.25">
      <c r="L370" s="4"/>
    </row>
    <row r="371" spans="12:12" ht="15.75" customHeight="1" x14ac:dyDescent="0.25">
      <c r="L371" s="4"/>
    </row>
    <row r="372" spans="12:12" ht="15.75" customHeight="1" x14ac:dyDescent="0.25">
      <c r="L372" s="4"/>
    </row>
    <row r="373" spans="12:12" ht="15.75" customHeight="1" x14ac:dyDescent="0.25">
      <c r="L373" s="4"/>
    </row>
    <row r="374" spans="12:12" ht="15.75" customHeight="1" x14ac:dyDescent="0.25">
      <c r="L374" s="4"/>
    </row>
    <row r="375" spans="12:12" ht="15.75" customHeight="1" x14ac:dyDescent="0.25">
      <c r="L375" s="4"/>
    </row>
    <row r="376" spans="12:12" ht="15.75" customHeight="1" x14ac:dyDescent="0.25">
      <c r="L376" s="4"/>
    </row>
    <row r="377" spans="12:12" ht="15.75" customHeight="1" x14ac:dyDescent="0.25">
      <c r="L377" s="4"/>
    </row>
    <row r="378" spans="12:12" ht="15.75" customHeight="1" x14ac:dyDescent="0.25">
      <c r="L378" s="4"/>
    </row>
    <row r="379" spans="12:12" ht="15.75" customHeight="1" x14ac:dyDescent="0.25">
      <c r="L379" s="4"/>
    </row>
    <row r="380" spans="12:12" ht="15.75" customHeight="1" x14ac:dyDescent="0.25">
      <c r="L380" s="4"/>
    </row>
    <row r="381" spans="12:12" ht="15.75" customHeight="1" x14ac:dyDescent="0.25">
      <c r="L381" s="4"/>
    </row>
    <row r="382" spans="12:12" ht="15.75" customHeight="1" x14ac:dyDescent="0.25">
      <c r="L382" s="4"/>
    </row>
    <row r="383" spans="12:12" ht="15.75" customHeight="1" x14ac:dyDescent="0.25">
      <c r="L383" s="4"/>
    </row>
    <row r="384" spans="12:12" ht="15.75" customHeight="1" x14ac:dyDescent="0.25">
      <c r="L384" s="4"/>
    </row>
    <row r="385" spans="12:12" ht="15.75" customHeight="1" x14ac:dyDescent="0.25">
      <c r="L385" s="4"/>
    </row>
    <row r="386" spans="12:12" ht="15.75" customHeight="1" x14ac:dyDescent="0.25">
      <c r="L386" s="4"/>
    </row>
    <row r="387" spans="12:12" ht="15.75" customHeight="1" x14ac:dyDescent="0.25">
      <c r="L387" s="4"/>
    </row>
    <row r="388" spans="12:12" ht="15.75" customHeight="1" x14ac:dyDescent="0.25">
      <c r="L388" s="4"/>
    </row>
    <row r="389" spans="12:12" ht="15.75" customHeight="1" x14ac:dyDescent="0.25">
      <c r="L389" s="4"/>
    </row>
    <row r="390" spans="12:12" ht="15.75" customHeight="1" x14ac:dyDescent="0.25">
      <c r="L390" s="4"/>
    </row>
    <row r="391" spans="12:12" ht="15.75" customHeight="1" x14ac:dyDescent="0.25">
      <c r="L391" s="4"/>
    </row>
    <row r="392" spans="12:12" ht="15.75" customHeight="1" x14ac:dyDescent="0.25">
      <c r="L392" s="4"/>
    </row>
    <row r="393" spans="12:12" ht="15.75" customHeight="1" x14ac:dyDescent="0.25">
      <c r="L393" s="4"/>
    </row>
    <row r="394" spans="12:12" ht="15.75" customHeight="1" x14ac:dyDescent="0.25">
      <c r="L394" s="4"/>
    </row>
    <row r="395" spans="12:12" ht="15.75" customHeight="1" x14ac:dyDescent="0.25">
      <c r="L395" s="4"/>
    </row>
    <row r="396" spans="12:12" ht="15.75" customHeight="1" x14ac:dyDescent="0.25">
      <c r="L396" s="4"/>
    </row>
    <row r="397" spans="12:12" ht="15.75" customHeight="1" x14ac:dyDescent="0.25">
      <c r="L397" s="4"/>
    </row>
    <row r="398" spans="12:12" ht="15.75" customHeight="1" x14ac:dyDescent="0.25">
      <c r="L398" s="4"/>
    </row>
    <row r="399" spans="12:12" ht="15.75" customHeight="1" x14ac:dyDescent="0.25">
      <c r="L399" s="4"/>
    </row>
    <row r="400" spans="12:12" ht="15.75" customHeight="1" x14ac:dyDescent="0.25">
      <c r="L400" s="4"/>
    </row>
    <row r="401" spans="12:12" ht="15.75" customHeight="1" x14ac:dyDescent="0.25">
      <c r="L401" s="4"/>
    </row>
    <row r="402" spans="12:12" ht="15.75" customHeight="1" x14ac:dyDescent="0.25">
      <c r="L402" s="4"/>
    </row>
    <row r="403" spans="12:12" ht="15.75" customHeight="1" x14ac:dyDescent="0.25">
      <c r="L403" s="4"/>
    </row>
    <row r="404" spans="12:12" ht="15.75" customHeight="1" x14ac:dyDescent="0.25">
      <c r="L404" s="4"/>
    </row>
    <row r="405" spans="12:12" ht="15.75" customHeight="1" x14ac:dyDescent="0.25">
      <c r="L405" s="4"/>
    </row>
    <row r="406" spans="12:12" ht="15.75" customHeight="1" x14ac:dyDescent="0.25">
      <c r="L406" s="4"/>
    </row>
    <row r="407" spans="12:12" ht="15.75" customHeight="1" x14ac:dyDescent="0.25">
      <c r="L407" s="4"/>
    </row>
    <row r="408" spans="12:12" ht="15.75" customHeight="1" x14ac:dyDescent="0.25">
      <c r="L408" s="4"/>
    </row>
    <row r="409" spans="12:12" ht="15.75" customHeight="1" x14ac:dyDescent="0.25">
      <c r="L409" s="4"/>
    </row>
    <row r="410" spans="12:12" ht="15.75" customHeight="1" x14ac:dyDescent="0.25">
      <c r="L410" s="4"/>
    </row>
    <row r="411" spans="12:12" ht="15.75" customHeight="1" x14ac:dyDescent="0.25">
      <c r="L411" s="4"/>
    </row>
    <row r="412" spans="12:12" ht="15.75" customHeight="1" x14ac:dyDescent="0.25">
      <c r="L412" s="4"/>
    </row>
    <row r="413" spans="12:12" ht="15.75" customHeight="1" x14ac:dyDescent="0.25">
      <c r="L413" s="4"/>
    </row>
    <row r="414" spans="12:12" ht="15.75" customHeight="1" x14ac:dyDescent="0.25">
      <c r="L414" s="4"/>
    </row>
    <row r="415" spans="12:12" ht="15.75" customHeight="1" x14ac:dyDescent="0.25">
      <c r="L415" s="4"/>
    </row>
    <row r="416" spans="12:12" ht="15.75" customHeight="1" x14ac:dyDescent="0.25">
      <c r="L416" s="4"/>
    </row>
    <row r="417" spans="12:12" ht="15.75" customHeight="1" x14ac:dyDescent="0.25">
      <c r="L417" s="4"/>
    </row>
    <row r="418" spans="12:12" ht="15.75" customHeight="1" x14ac:dyDescent="0.25">
      <c r="L418" s="4"/>
    </row>
    <row r="419" spans="12:12" ht="15.75" customHeight="1" x14ac:dyDescent="0.25">
      <c r="L419" s="4"/>
    </row>
    <row r="420" spans="12:12" ht="15.75" customHeight="1" x14ac:dyDescent="0.25">
      <c r="L420" s="4"/>
    </row>
    <row r="421" spans="12:12" ht="15.75" customHeight="1" x14ac:dyDescent="0.25">
      <c r="L421" s="4"/>
    </row>
    <row r="422" spans="12:12" ht="15.75" customHeight="1" x14ac:dyDescent="0.25">
      <c r="L422" s="4"/>
    </row>
    <row r="423" spans="12:12" ht="15.75" customHeight="1" x14ac:dyDescent="0.25">
      <c r="L423" s="4"/>
    </row>
    <row r="424" spans="12:12" ht="15.75" customHeight="1" x14ac:dyDescent="0.25">
      <c r="L424" s="4"/>
    </row>
    <row r="425" spans="12:12" ht="15.75" customHeight="1" x14ac:dyDescent="0.25">
      <c r="L425" s="4"/>
    </row>
    <row r="426" spans="12:12" ht="15.75" customHeight="1" x14ac:dyDescent="0.25">
      <c r="L426" s="4"/>
    </row>
    <row r="427" spans="12:12" ht="15.75" customHeight="1" x14ac:dyDescent="0.25">
      <c r="L427" s="4"/>
    </row>
    <row r="428" spans="12:12" ht="15.75" customHeight="1" x14ac:dyDescent="0.25">
      <c r="L428" s="4"/>
    </row>
    <row r="429" spans="12:12" ht="15.75" customHeight="1" x14ac:dyDescent="0.25">
      <c r="L429" s="4"/>
    </row>
    <row r="430" spans="12:12" ht="15.75" customHeight="1" x14ac:dyDescent="0.25">
      <c r="L430" s="4"/>
    </row>
    <row r="431" spans="12:12" ht="15.75" customHeight="1" x14ac:dyDescent="0.25">
      <c r="L431" s="4"/>
    </row>
    <row r="432" spans="12:12" ht="15.75" customHeight="1" x14ac:dyDescent="0.25">
      <c r="L432" s="4"/>
    </row>
    <row r="433" spans="12:12" ht="15.75" customHeight="1" x14ac:dyDescent="0.25">
      <c r="L433" s="4"/>
    </row>
    <row r="434" spans="12:12" ht="15.75" customHeight="1" x14ac:dyDescent="0.25">
      <c r="L434" s="4"/>
    </row>
    <row r="435" spans="12:12" ht="15.75" customHeight="1" x14ac:dyDescent="0.25">
      <c r="L435" s="4"/>
    </row>
    <row r="436" spans="12:12" ht="15.75" customHeight="1" x14ac:dyDescent="0.25">
      <c r="L436" s="4"/>
    </row>
    <row r="437" spans="12:12" ht="15.75" customHeight="1" x14ac:dyDescent="0.25">
      <c r="L437" s="4"/>
    </row>
    <row r="438" spans="12:12" ht="15.75" customHeight="1" x14ac:dyDescent="0.25">
      <c r="L438" s="4"/>
    </row>
    <row r="439" spans="12:12" ht="15.75" customHeight="1" x14ac:dyDescent="0.25">
      <c r="L439" s="4"/>
    </row>
    <row r="440" spans="12:12" ht="15.75" customHeight="1" x14ac:dyDescent="0.25">
      <c r="L440" s="4"/>
    </row>
    <row r="441" spans="12:12" ht="15.75" customHeight="1" x14ac:dyDescent="0.25">
      <c r="L441" s="4"/>
    </row>
    <row r="442" spans="12:12" ht="15.75" customHeight="1" x14ac:dyDescent="0.25">
      <c r="L442" s="4"/>
    </row>
    <row r="443" spans="12:12" ht="15.75" customHeight="1" x14ac:dyDescent="0.25">
      <c r="L443" s="4"/>
    </row>
    <row r="444" spans="12:12" ht="15.75" customHeight="1" x14ac:dyDescent="0.25">
      <c r="L444" s="4"/>
    </row>
    <row r="445" spans="12:12" ht="15.75" customHeight="1" x14ac:dyDescent="0.25">
      <c r="L445" s="4"/>
    </row>
    <row r="446" spans="12:12" ht="15.75" customHeight="1" x14ac:dyDescent="0.25">
      <c r="L446" s="4"/>
    </row>
    <row r="447" spans="12:12" ht="15.75" customHeight="1" x14ac:dyDescent="0.25">
      <c r="L447" s="4"/>
    </row>
    <row r="448" spans="12:12" ht="15.75" customHeight="1" x14ac:dyDescent="0.25">
      <c r="L448" s="4"/>
    </row>
    <row r="449" spans="12:12" ht="15.75" customHeight="1" x14ac:dyDescent="0.25">
      <c r="L449" s="4"/>
    </row>
    <row r="450" spans="12:12" ht="15.75" customHeight="1" x14ac:dyDescent="0.25">
      <c r="L450" s="4"/>
    </row>
    <row r="451" spans="12:12" ht="15.75" customHeight="1" x14ac:dyDescent="0.25">
      <c r="L451" s="4"/>
    </row>
    <row r="452" spans="12:12" ht="15.75" customHeight="1" x14ac:dyDescent="0.25">
      <c r="L452" s="4"/>
    </row>
    <row r="453" spans="12:12" ht="15.75" customHeight="1" x14ac:dyDescent="0.25">
      <c r="L453" s="4"/>
    </row>
    <row r="454" spans="12:12" ht="15.75" customHeight="1" x14ac:dyDescent="0.25">
      <c r="L454" s="4"/>
    </row>
    <row r="455" spans="12:12" ht="15.75" customHeight="1" x14ac:dyDescent="0.25">
      <c r="L455" s="4"/>
    </row>
    <row r="456" spans="12:12" ht="15.75" customHeight="1" x14ac:dyDescent="0.25">
      <c r="L456" s="4"/>
    </row>
    <row r="457" spans="12:12" ht="15.75" customHeight="1" x14ac:dyDescent="0.25">
      <c r="L457" s="4"/>
    </row>
    <row r="458" spans="12:12" ht="15.75" customHeight="1" x14ac:dyDescent="0.25">
      <c r="L458" s="4"/>
    </row>
    <row r="459" spans="12:12" ht="15.75" customHeight="1" x14ac:dyDescent="0.25">
      <c r="L459" s="4"/>
    </row>
    <row r="460" spans="12:12" ht="15.75" customHeight="1" x14ac:dyDescent="0.25">
      <c r="L460" s="4"/>
    </row>
    <row r="461" spans="12:12" ht="15.75" customHeight="1" x14ac:dyDescent="0.25">
      <c r="L461" s="4"/>
    </row>
    <row r="462" spans="12:12" ht="15.75" customHeight="1" x14ac:dyDescent="0.25">
      <c r="L462" s="4"/>
    </row>
    <row r="463" spans="12:12" ht="15.75" customHeight="1" x14ac:dyDescent="0.25">
      <c r="L463" s="4"/>
    </row>
    <row r="464" spans="12:12" ht="15.75" customHeight="1" x14ac:dyDescent="0.25">
      <c r="L464" s="4"/>
    </row>
    <row r="465" spans="12:12" ht="15.75" customHeight="1" x14ac:dyDescent="0.25">
      <c r="L465" s="4"/>
    </row>
    <row r="466" spans="12:12" ht="15.75" customHeight="1" x14ac:dyDescent="0.25">
      <c r="L466" s="4"/>
    </row>
    <row r="467" spans="12:12" ht="15.75" customHeight="1" x14ac:dyDescent="0.25">
      <c r="L467" s="4"/>
    </row>
    <row r="468" spans="12:12" ht="15.75" customHeight="1" x14ac:dyDescent="0.25">
      <c r="L468" s="4"/>
    </row>
    <row r="469" spans="12:12" ht="15.75" customHeight="1" x14ac:dyDescent="0.25">
      <c r="L469" s="4"/>
    </row>
    <row r="470" spans="12:12" ht="15.75" customHeight="1" x14ac:dyDescent="0.25">
      <c r="L470" s="4"/>
    </row>
    <row r="471" spans="12:12" ht="15.75" customHeight="1" x14ac:dyDescent="0.25">
      <c r="L471" s="4"/>
    </row>
    <row r="472" spans="12:12" ht="15.75" customHeight="1" x14ac:dyDescent="0.25">
      <c r="L472" s="4"/>
    </row>
    <row r="473" spans="12:12" ht="15.75" customHeight="1" x14ac:dyDescent="0.25">
      <c r="L473" s="4"/>
    </row>
    <row r="474" spans="12:12" ht="15.75" customHeight="1" x14ac:dyDescent="0.25">
      <c r="L474" s="4"/>
    </row>
    <row r="475" spans="12:12" ht="15.75" customHeight="1" x14ac:dyDescent="0.25">
      <c r="L475" s="4"/>
    </row>
    <row r="476" spans="12:12" ht="15.75" customHeight="1" x14ac:dyDescent="0.25">
      <c r="L476" s="4"/>
    </row>
    <row r="477" spans="12:12" ht="15.75" customHeight="1" x14ac:dyDescent="0.25">
      <c r="L477" s="4"/>
    </row>
    <row r="478" spans="12:12" ht="15.75" customHeight="1" x14ac:dyDescent="0.25">
      <c r="L478" s="4"/>
    </row>
    <row r="479" spans="12:12" ht="15.75" customHeight="1" x14ac:dyDescent="0.25">
      <c r="L479" s="4"/>
    </row>
    <row r="480" spans="12:12" ht="15.75" customHeight="1" x14ac:dyDescent="0.25">
      <c r="L480" s="4"/>
    </row>
    <row r="481" spans="12:12" ht="15.75" customHeight="1" x14ac:dyDescent="0.25">
      <c r="L481" s="4"/>
    </row>
    <row r="482" spans="12:12" ht="15.75" customHeight="1" x14ac:dyDescent="0.25">
      <c r="L482" s="4"/>
    </row>
    <row r="483" spans="12:12" ht="15.75" customHeight="1" x14ac:dyDescent="0.25">
      <c r="L483" s="4"/>
    </row>
    <row r="484" spans="12:12" ht="15.75" customHeight="1" x14ac:dyDescent="0.25">
      <c r="L484" s="4"/>
    </row>
    <row r="485" spans="12:12" ht="15.75" customHeight="1" x14ac:dyDescent="0.25">
      <c r="L485" s="4"/>
    </row>
    <row r="486" spans="12:12" ht="15.75" customHeight="1" x14ac:dyDescent="0.25">
      <c r="L486" s="4"/>
    </row>
    <row r="487" spans="12:12" ht="15.75" customHeight="1" x14ac:dyDescent="0.25">
      <c r="L487" s="4"/>
    </row>
    <row r="488" spans="12:12" ht="15.75" customHeight="1" x14ac:dyDescent="0.25">
      <c r="L488" s="4"/>
    </row>
    <row r="489" spans="12:12" ht="15.75" customHeight="1" x14ac:dyDescent="0.25">
      <c r="L489" s="4"/>
    </row>
    <row r="490" spans="12:12" ht="15.75" customHeight="1" x14ac:dyDescent="0.25">
      <c r="L490" s="4"/>
    </row>
    <row r="491" spans="12:12" ht="15.75" customHeight="1" x14ac:dyDescent="0.25">
      <c r="L491" s="4"/>
    </row>
    <row r="492" spans="12:12" ht="15.75" customHeight="1" x14ac:dyDescent="0.25">
      <c r="L492" s="4"/>
    </row>
    <row r="493" spans="12:12" ht="15.75" customHeight="1" x14ac:dyDescent="0.25">
      <c r="L493" s="4"/>
    </row>
    <row r="494" spans="12:12" ht="15.75" customHeight="1" x14ac:dyDescent="0.25">
      <c r="L494" s="4"/>
    </row>
    <row r="495" spans="12:12" ht="15.75" customHeight="1" x14ac:dyDescent="0.25">
      <c r="L495" s="4"/>
    </row>
    <row r="496" spans="12:12" ht="15.75" customHeight="1" x14ac:dyDescent="0.25">
      <c r="L496" s="4"/>
    </row>
    <row r="497" spans="12:12" ht="15.75" customHeight="1" x14ac:dyDescent="0.25">
      <c r="L497" s="4"/>
    </row>
    <row r="498" spans="12:12" ht="15.75" customHeight="1" x14ac:dyDescent="0.25">
      <c r="L498" s="4"/>
    </row>
    <row r="499" spans="12:12" ht="15.75" customHeight="1" x14ac:dyDescent="0.25">
      <c r="L499" s="4"/>
    </row>
    <row r="500" spans="12:12" ht="15.75" customHeight="1" x14ac:dyDescent="0.25">
      <c r="L500" s="4"/>
    </row>
    <row r="501" spans="12:12" ht="15.75" customHeight="1" x14ac:dyDescent="0.25">
      <c r="L501" s="4"/>
    </row>
    <row r="502" spans="12:12" ht="15.75" customHeight="1" x14ac:dyDescent="0.25">
      <c r="L502" s="4"/>
    </row>
    <row r="503" spans="12:12" ht="15.75" customHeight="1" x14ac:dyDescent="0.25">
      <c r="L503" s="4"/>
    </row>
    <row r="504" spans="12:12" ht="15.75" customHeight="1" x14ac:dyDescent="0.25">
      <c r="L504" s="4"/>
    </row>
    <row r="505" spans="12:12" ht="15.75" customHeight="1" x14ac:dyDescent="0.25">
      <c r="L505" s="4"/>
    </row>
    <row r="506" spans="12:12" ht="15.75" customHeight="1" x14ac:dyDescent="0.25">
      <c r="L506" s="4"/>
    </row>
    <row r="507" spans="12:12" ht="15.75" customHeight="1" x14ac:dyDescent="0.25">
      <c r="L507" s="4"/>
    </row>
    <row r="508" spans="12:12" ht="15.75" customHeight="1" x14ac:dyDescent="0.25">
      <c r="L508" s="4"/>
    </row>
    <row r="509" spans="12:12" ht="15.75" customHeight="1" x14ac:dyDescent="0.25">
      <c r="L509" s="4"/>
    </row>
    <row r="510" spans="12:12" ht="15.75" customHeight="1" x14ac:dyDescent="0.25">
      <c r="L510" s="4"/>
    </row>
    <row r="511" spans="12:12" ht="15.75" customHeight="1" x14ac:dyDescent="0.25">
      <c r="L511" s="4"/>
    </row>
    <row r="512" spans="12:12" ht="15.75" customHeight="1" x14ac:dyDescent="0.25">
      <c r="L512" s="4"/>
    </row>
    <row r="513" spans="12:12" ht="15.75" customHeight="1" x14ac:dyDescent="0.25">
      <c r="L513" s="4"/>
    </row>
    <row r="514" spans="12:12" ht="15.75" customHeight="1" x14ac:dyDescent="0.25">
      <c r="L514" s="4"/>
    </row>
    <row r="515" spans="12:12" ht="15.75" customHeight="1" x14ac:dyDescent="0.25">
      <c r="L515" s="4"/>
    </row>
    <row r="516" spans="12:12" ht="15.75" customHeight="1" x14ac:dyDescent="0.25">
      <c r="L516" s="4"/>
    </row>
    <row r="517" spans="12:12" ht="15.75" customHeight="1" x14ac:dyDescent="0.25">
      <c r="L517" s="4"/>
    </row>
    <row r="518" spans="12:12" ht="15.75" customHeight="1" x14ac:dyDescent="0.25">
      <c r="L518" s="4"/>
    </row>
    <row r="519" spans="12:12" ht="15.75" customHeight="1" x14ac:dyDescent="0.25">
      <c r="L519" s="4"/>
    </row>
    <row r="520" spans="12:12" ht="15.75" customHeight="1" x14ac:dyDescent="0.25">
      <c r="L520" s="4"/>
    </row>
    <row r="521" spans="12:12" ht="15.75" customHeight="1" x14ac:dyDescent="0.25">
      <c r="L521" s="4"/>
    </row>
    <row r="522" spans="12:12" ht="15.75" customHeight="1" x14ac:dyDescent="0.25">
      <c r="L522" s="4"/>
    </row>
    <row r="523" spans="12:12" ht="15.75" customHeight="1" x14ac:dyDescent="0.25">
      <c r="L523" s="4"/>
    </row>
    <row r="524" spans="12:12" ht="15.75" customHeight="1" x14ac:dyDescent="0.25">
      <c r="L524" s="4"/>
    </row>
    <row r="525" spans="12:12" ht="15.75" customHeight="1" x14ac:dyDescent="0.25">
      <c r="L525" s="4"/>
    </row>
    <row r="526" spans="12:12" ht="15.75" customHeight="1" x14ac:dyDescent="0.25">
      <c r="L526" s="4"/>
    </row>
    <row r="527" spans="12:12" ht="15.75" customHeight="1" x14ac:dyDescent="0.25">
      <c r="L527" s="4"/>
    </row>
    <row r="528" spans="12:12" ht="15.75" customHeight="1" x14ac:dyDescent="0.25">
      <c r="L528" s="4"/>
    </row>
    <row r="529" spans="12:12" ht="15.75" customHeight="1" x14ac:dyDescent="0.25">
      <c r="L529" s="4"/>
    </row>
    <row r="530" spans="12:12" ht="15.75" customHeight="1" x14ac:dyDescent="0.25">
      <c r="L530" s="4"/>
    </row>
    <row r="531" spans="12:12" ht="15.75" customHeight="1" x14ac:dyDescent="0.25">
      <c r="L531" s="4"/>
    </row>
    <row r="532" spans="12:12" ht="15.75" customHeight="1" x14ac:dyDescent="0.25">
      <c r="L532" s="4"/>
    </row>
    <row r="533" spans="12:12" ht="15.75" customHeight="1" x14ac:dyDescent="0.25">
      <c r="L533" s="4"/>
    </row>
    <row r="534" spans="12:12" ht="15.75" customHeight="1" x14ac:dyDescent="0.25">
      <c r="L534" s="4"/>
    </row>
    <row r="535" spans="12:12" ht="15.75" customHeight="1" x14ac:dyDescent="0.25">
      <c r="L535" s="4"/>
    </row>
    <row r="536" spans="12:12" ht="15.75" customHeight="1" x14ac:dyDescent="0.25">
      <c r="L536" s="4"/>
    </row>
    <row r="537" spans="12:12" ht="15.75" customHeight="1" x14ac:dyDescent="0.25">
      <c r="L537" s="4"/>
    </row>
    <row r="538" spans="12:12" ht="15.75" customHeight="1" x14ac:dyDescent="0.25">
      <c r="L538" s="4"/>
    </row>
    <row r="539" spans="12:12" ht="15.75" customHeight="1" x14ac:dyDescent="0.25">
      <c r="L539" s="4"/>
    </row>
    <row r="540" spans="12:12" ht="15.75" customHeight="1" x14ac:dyDescent="0.25">
      <c r="L540" s="4"/>
    </row>
    <row r="541" spans="12:12" ht="15.75" customHeight="1" x14ac:dyDescent="0.25">
      <c r="L541" s="4"/>
    </row>
    <row r="542" spans="12:12" ht="15.75" customHeight="1" x14ac:dyDescent="0.25">
      <c r="L542" s="4"/>
    </row>
    <row r="543" spans="12:12" ht="15.75" customHeight="1" x14ac:dyDescent="0.25">
      <c r="L543" s="4"/>
    </row>
    <row r="544" spans="12:12" ht="15.75" customHeight="1" x14ac:dyDescent="0.25">
      <c r="L544" s="4"/>
    </row>
    <row r="545" spans="12:12" ht="15.75" customHeight="1" x14ac:dyDescent="0.25">
      <c r="L545" s="4"/>
    </row>
    <row r="546" spans="12:12" ht="15.75" customHeight="1" x14ac:dyDescent="0.25">
      <c r="L546" s="4"/>
    </row>
    <row r="547" spans="12:12" ht="15.75" customHeight="1" x14ac:dyDescent="0.25">
      <c r="L547" s="4"/>
    </row>
    <row r="548" spans="12:12" ht="15.75" customHeight="1" x14ac:dyDescent="0.25">
      <c r="L548" s="4"/>
    </row>
    <row r="549" spans="12:12" ht="15.75" customHeight="1" x14ac:dyDescent="0.25">
      <c r="L549" s="4"/>
    </row>
    <row r="550" spans="12:12" ht="15.75" customHeight="1" x14ac:dyDescent="0.25">
      <c r="L550" s="4"/>
    </row>
    <row r="551" spans="12:12" ht="15.75" customHeight="1" x14ac:dyDescent="0.25">
      <c r="L551" s="4"/>
    </row>
    <row r="552" spans="12:12" ht="15.75" customHeight="1" x14ac:dyDescent="0.25">
      <c r="L552" s="4"/>
    </row>
    <row r="553" spans="12:12" ht="15.75" customHeight="1" x14ac:dyDescent="0.25">
      <c r="L553" s="4"/>
    </row>
    <row r="554" spans="12:12" ht="15.75" customHeight="1" x14ac:dyDescent="0.25">
      <c r="L554" s="4"/>
    </row>
    <row r="555" spans="12:12" ht="15.75" customHeight="1" x14ac:dyDescent="0.25">
      <c r="L555" s="4"/>
    </row>
    <row r="556" spans="12:12" ht="15.75" customHeight="1" x14ac:dyDescent="0.25">
      <c r="L556" s="4"/>
    </row>
    <row r="557" spans="12:12" ht="15.75" customHeight="1" x14ac:dyDescent="0.25">
      <c r="L557" s="4"/>
    </row>
    <row r="558" spans="12:12" ht="15.75" customHeight="1" x14ac:dyDescent="0.25">
      <c r="L558" s="4"/>
    </row>
    <row r="559" spans="12:12" ht="15.75" customHeight="1" x14ac:dyDescent="0.25">
      <c r="L559" s="4"/>
    </row>
    <row r="560" spans="12:12" ht="15.75" customHeight="1" x14ac:dyDescent="0.25">
      <c r="L560" s="4"/>
    </row>
    <row r="561" spans="12:12" ht="15.75" customHeight="1" x14ac:dyDescent="0.25">
      <c r="L561" s="4"/>
    </row>
    <row r="562" spans="12:12" ht="15.75" customHeight="1" x14ac:dyDescent="0.25">
      <c r="L562" s="4"/>
    </row>
    <row r="563" spans="12:12" ht="15.75" customHeight="1" x14ac:dyDescent="0.25">
      <c r="L563" s="4"/>
    </row>
    <row r="564" spans="12:12" ht="15.75" customHeight="1" x14ac:dyDescent="0.25">
      <c r="L564" s="4"/>
    </row>
    <row r="565" spans="12:12" ht="15.75" customHeight="1" x14ac:dyDescent="0.25">
      <c r="L565" s="4"/>
    </row>
    <row r="566" spans="12:12" ht="15.75" customHeight="1" x14ac:dyDescent="0.25">
      <c r="L566" s="4"/>
    </row>
    <row r="567" spans="12:12" ht="15.75" customHeight="1" x14ac:dyDescent="0.25">
      <c r="L567" s="4"/>
    </row>
    <row r="568" spans="12:12" ht="15.75" customHeight="1" x14ac:dyDescent="0.25">
      <c r="L568" s="4"/>
    </row>
    <row r="569" spans="12:12" ht="15.75" customHeight="1" x14ac:dyDescent="0.25">
      <c r="L569" s="4"/>
    </row>
    <row r="570" spans="12:12" ht="15.75" customHeight="1" x14ac:dyDescent="0.25">
      <c r="L570" s="4"/>
    </row>
    <row r="571" spans="12:12" ht="15.75" customHeight="1" x14ac:dyDescent="0.25">
      <c r="L571" s="4"/>
    </row>
    <row r="572" spans="12:12" ht="15.75" customHeight="1" x14ac:dyDescent="0.25">
      <c r="L572" s="4"/>
    </row>
    <row r="573" spans="12:12" ht="15.75" customHeight="1" x14ac:dyDescent="0.25">
      <c r="L573" s="4"/>
    </row>
    <row r="574" spans="12:12" ht="15.75" customHeight="1" x14ac:dyDescent="0.25">
      <c r="L574" s="4"/>
    </row>
    <row r="575" spans="12:12" ht="15.75" customHeight="1" x14ac:dyDescent="0.25">
      <c r="L575" s="4"/>
    </row>
    <row r="576" spans="12:12" ht="15.75" customHeight="1" x14ac:dyDescent="0.25">
      <c r="L576" s="4"/>
    </row>
    <row r="577" spans="12:12" ht="15.75" customHeight="1" x14ac:dyDescent="0.25">
      <c r="L577" s="4"/>
    </row>
    <row r="578" spans="12:12" ht="15.75" customHeight="1" x14ac:dyDescent="0.25">
      <c r="L578" s="4"/>
    </row>
    <row r="579" spans="12:12" ht="15.75" customHeight="1" x14ac:dyDescent="0.25">
      <c r="L579" s="4"/>
    </row>
    <row r="580" spans="12:12" ht="15.75" customHeight="1" x14ac:dyDescent="0.25">
      <c r="L580" s="4"/>
    </row>
    <row r="581" spans="12:12" ht="15.75" customHeight="1" x14ac:dyDescent="0.25">
      <c r="L581" s="4"/>
    </row>
    <row r="582" spans="12:12" ht="15.75" customHeight="1" x14ac:dyDescent="0.25">
      <c r="L582" s="4"/>
    </row>
    <row r="583" spans="12:12" ht="15.75" customHeight="1" x14ac:dyDescent="0.25">
      <c r="L583" s="4"/>
    </row>
    <row r="584" spans="12:12" ht="15.75" customHeight="1" x14ac:dyDescent="0.25">
      <c r="L584" s="4"/>
    </row>
    <row r="585" spans="12:12" ht="15.75" customHeight="1" x14ac:dyDescent="0.25">
      <c r="L585" s="4"/>
    </row>
    <row r="586" spans="12:12" ht="15.75" customHeight="1" x14ac:dyDescent="0.25">
      <c r="L586" s="4"/>
    </row>
    <row r="587" spans="12:12" ht="15.75" customHeight="1" x14ac:dyDescent="0.25">
      <c r="L587" s="4"/>
    </row>
    <row r="588" spans="12:12" ht="15.75" customHeight="1" x14ac:dyDescent="0.25">
      <c r="L588" s="4"/>
    </row>
    <row r="589" spans="12:12" ht="15.75" customHeight="1" x14ac:dyDescent="0.25">
      <c r="L589" s="4"/>
    </row>
    <row r="590" spans="12:12" ht="15.75" customHeight="1" x14ac:dyDescent="0.25">
      <c r="L590" s="4"/>
    </row>
    <row r="591" spans="12:12" ht="15.75" customHeight="1" x14ac:dyDescent="0.25">
      <c r="L591" s="4"/>
    </row>
    <row r="592" spans="12:12" ht="15.75" customHeight="1" x14ac:dyDescent="0.25">
      <c r="L592" s="4"/>
    </row>
    <row r="593" spans="12:12" ht="15.75" customHeight="1" x14ac:dyDescent="0.25">
      <c r="L593" s="4"/>
    </row>
    <row r="594" spans="12:12" ht="15.75" customHeight="1" x14ac:dyDescent="0.25">
      <c r="L594" s="4"/>
    </row>
    <row r="595" spans="12:12" ht="15.75" customHeight="1" x14ac:dyDescent="0.25">
      <c r="L595" s="4"/>
    </row>
    <row r="596" spans="12:12" ht="15.75" customHeight="1" x14ac:dyDescent="0.25">
      <c r="L596" s="4"/>
    </row>
    <row r="597" spans="12:12" ht="15.75" customHeight="1" x14ac:dyDescent="0.25">
      <c r="L597" s="4"/>
    </row>
    <row r="598" spans="12:12" ht="15.75" customHeight="1" x14ac:dyDescent="0.25">
      <c r="L598" s="4"/>
    </row>
    <row r="599" spans="12:12" ht="15.75" customHeight="1" x14ac:dyDescent="0.25">
      <c r="L599" s="4"/>
    </row>
    <row r="600" spans="12:12" ht="15.75" customHeight="1" x14ac:dyDescent="0.25">
      <c r="L600" s="4"/>
    </row>
    <row r="601" spans="12:12" ht="15.75" customHeight="1" x14ac:dyDescent="0.25">
      <c r="L601" s="4"/>
    </row>
    <row r="602" spans="12:12" ht="15.75" customHeight="1" x14ac:dyDescent="0.25">
      <c r="L602" s="4"/>
    </row>
    <row r="603" spans="12:12" ht="15.75" customHeight="1" x14ac:dyDescent="0.25">
      <c r="L603" s="4"/>
    </row>
    <row r="604" spans="12:12" ht="15.75" customHeight="1" x14ac:dyDescent="0.25">
      <c r="L604" s="4"/>
    </row>
    <row r="605" spans="12:12" ht="15.75" customHeight="1" x14ac:dyDescent="0.25">
      <c r="L605" s="4"/>
    </row>
    <row r="606" spans="12:12" ht="15.75" customHeight="1" x14ac:dyDescent="0.25">
      <c r="L606" s="4"/>
    </row>
    <row r="607" spans="12:12" ht="15.75" customHeight="1" x14ac:dyDescent="0.25">
      <c r="L607" s="4"/>
    </row>
    <row r="608" spans="12:12" ht="15.75" customHeight="1" x14ac:dyDescent="0.25">
      <c r="L608" s="4"/>
    </row>
    <row r="609" spans="12:12" ht="15.75" customHeight="1" x14ac:dyDescent="0.25">
      <c r="L609" s="4"/>
    </row>
    <row r="610" spans="12:12" ht="15.75" customHeight="1" x14ac:dyDescent="0.25">
      <c r="L610" s="4"/>
    </row>
    <row r="611" spans="12:12" ht="15.75" customHeight="1" x14ac:dyDescent="0.25">
      <c r="L611" s="4"/>
    </row>
    <row r="612" spans="12:12" ht="15.75" customHeight="1" x14ac:dyDescent="0.25">
      <c r="L612" s="4"/>
    </row>
    <row r="613" spans="12:12" ht="15.75" customHeight="1" x14ac:dyDescent="0.25">
      <c r="L613" s="4"/>
    </row>
    <row r="614" spans="12:12" ht="15.75" customHeight="1" x14ac:dyDescent="0.25">
      <c r="L614" s="4"/>
    </row>
    <row r="615" spans="12:12" ht="15.75" customHeight="1" x14ac:dyDescent="0.25">
      <c r="L615" s="4"/>
    </row>
    <row r="616" spans="12:12" ht="15.75" customHeight="1" x14ac:dyDescent="0.25">
      <c r="L616" s="4"/>
    </row>
    <row r="617" spans="12:12" ht="15.75" customHeight="1" x14ac:dyDescent="0.25">
      <c r="L617" s="4"/>
    </row>
    <row r="618" spans="12:12" ht="15.75" customHeight="1" x14ac:dyDescent="0.25">
      <c r="L618" s="4"/>
    </row>
    <row r="619" spans="12:12" ht="15.75" customHeight="1" x14ac:dyDescent="0.25">
      <c r="L619" s="4"/>
    </row>
    <row r="620" spans="12:12" ht="15.75" customHeight="1" x14ac:dyDescent="0.25">
      <c r="L620" s="4"/>
    </row>
    <row r="621" spans="12:12" ht="15.75" customHeight="1" x14ac:dyDescent="0.25">
      <c r="L621" s="4"/>
    </row>
    <row r="622" spans="12:12" ht="15.75" customHeight="1" x14ac:dyDescent="0.25">
      <c r="L622" s="4"/>
    </row>
    <row r="623" spans="12:12" ht="15.75" customHeight="1" x14ac:dyDescent="0.25">
      <c r="L623" s="4"/>
    </row>
    <row r="624" spans="12:12" ht="15.75" customHeight="1" x14ac:dyDescent="0.25">
      <c r="L624" s="4"/>
    </row>
    <row r="625" spans="12:12" ht="15.75" customHeight="1" x14ac:dyDescent="0.25">
      <c r="L625" s="4"/>
    </row>
    <row r="626" spans="12:12" ht="15.75" customHeight="1" x14ac:dyDescent="0.25">
      <c r="L626" s="4"/>
    </row>
    <row r="627" spans="12:12" ht="15.75" customHeight="1" x14ac:dyDescent="0.25">
      <c r="L627" s="4"/>
    </row>
    <row r="628" spans="12:12" ht="15.75" customHeight="1" x14ac:dyDescent="0.25">
      <c r="L628" s="4"/>
    </row>
    <row r="629" spans="12:12" ht="15.75" customHeight="1" x14ac:dyDescent="0.25">
      <c r="L629" s="4"/>
    </row>
    <row r="630" spans="12:12" ht="15.75" customHeight="1" x14ac:dyDescent="0.25">
      <c r="L630" s="4"/>
    </row>
    <row r="631" spans="12:12" ht="15.75" customHeight="1" x14ac:dyDescent="0.25">
      <c r="L631" s="4"/>
    </row>
    <row r="632" spans="12:12" ht="15.75" customHeight="1" x14ac:dyDescent="0.25">
      <c r="L632" s="4"/>
    </row>
    <row r="633" spans="12:12" ht="15.75" customHeight="1" x14ac:dyDescent="0.25">
      <c r="L633" s="4"/>
    </row>
    <row r="634" spans="12:12" ht="15.75" customHeight="1" x14ac:dyDescent="0.25">
      <c r="L634" s="4"/>
    </row>
    <row r="635" spans="12:12" ht="15.75" customHeight="1" x14ac:dyDescent="0.25">
      <c r="L635" s="4"/>
    </row>
    <row r="636" spans="12:12" ht="15.75" customHeight="1" x14ac:dyDescent="0.25">
      <c r="L636" s="4"/>
    </row>
    <row r="637" spans="12:12" ht="15.75" customHeight="1" x14ac:dyDescent="0.25">
      <c r="L637" s="4"/>
    </row>
    <row r="638" spans="12:12" ht="15.75" customHeight="1" x14ac:dyDescent="0.25">
      <c r="L638" s="4"/>
    </row>
    <row r="639" spans="12:12" ht="15.75" customHeight="1" x14ac:dyDescent="0.25">
      <c r="L639" s="4"/>
    </row>
    <row r="640" spans="12:12" ht="15.75" customHeight="1" x14ac:dyDescent="0.25">
      <c r="L640" s="4"/>
    </row>
    <row r="641" spans="12:12" ht="15.75" customHeight="1" x14ac:dyDescent="0.25">
      <c r="L641" s="4"/>
    </row>
    <row r="642" spans="12:12" ht="15.75" customHeight="1" x14ac:dyDescent="0.25">
      <c r="L642" s="4"/>
    </row>
    <row r="643" spans="12:12" ht="15.75" customHeight="1" x14ac:dyDescent="0.25">
      <c r="L643" s="4"/>
    </row>
    <row r="644" spans="12:12" ht="15.75" customHeight="1" x14ac:dyDescent="0.25">
      <c r="L644" s="4"/>
    </row>
    <row r="645" spans="12:12" ht="15.75" customHeight="1" x14ac:dyDescent="0.25">
      <c r="L645" s="4"/>
    </row>
    <row r="646" spans="12:12" ht="15.75" customHeight="1" x14ac:dyDescent="0.25">
      <c r="L646" s="4"/>
    </row>
    <row r="647" spans="12:12" ht="15.75" customHeight="1" x14ac:dyDescent="0.25">
      <c r="L647" s="4"/>
    </row>
    <row r="648" spans="12:12" ht="15.75" customHeight="1" x14ac:dyDescent="0.25">
      <c r="L648" s="4"/>
    </row>
    <row r="649" spans="12:12" ht="15.75" customHeight="1" x14ac:dyDescent="0.25">
      <c r="L649" s="4"/>
    </row>
    <row r="650" spans="12:12" ht="15.75" customHeight="1" x14ac:dyDescent="0.25">
      <c r="L650" s="4"/>
    </row>
    <row r="651" spans="12:12" ht="15.75" customHeight="1" x14ac:dyDescent="0.25">
      <c r="L651" s="4"/>
    </row>
    <row r="652" spans="12:12" ht="15.75" customHeight="1" x14ac:dyDescent="0.25">
      <c r="L652" s="4"/>
    </row>
    <row r="653" spans="12:12" ht="15.75" customHeight="1" x14ac:dyDescent="0.25">
      <c r="L653" s="4"/>
    </row>
    <row r="654" spans="12:12" ht="15.75" customHeight="1" x14ac:dyDescent="0.25">
      <c r="L654" s="4"/>
    </row>
    <row r="655" spans="12:12" ht="15.75" customHeight="1" x14ac:dyDescent="0.25">
      <c r="L655" s="4"/>
    </row>
    <row r="656" spans="12:12" ht="15.75" customHeight="1" x14ac:dyDescent="0.25">
      <c r="L656" s="4"/>
    </row>
    <row r="657" spans="12:12" ht="15.75" customHeight="1" x14ac:dyDescent="0.25">
      <c r="L657" s="4"/>
    </row>
    <row r="658" spans="12:12" ht="15.75" customHeight="1" x14ac:dyDescent="0.25">
      <c r="L658" s="4"/>
    </row>
    <row r="659" spans="12:12" ht="15.75" customHeight="1" x14ac:dyDescent="0.25">
      <c r="L659" s="4"/>
    </row>
    <row r="660" spans="12:12" ht="15.75" customHeight="1" x14ac:dyDescent="0.25">
      <c r="L660" s="4"/>
    </row>
    <row r="661" spans="12:12" ht="15.75" customHeight="1" x14ac:dyDescent="0.25">
      <c r="L661" s="4"/>
    </row>
    <row r="662" spans="12:12" ht="15.75" customHeight="1" x14ac:dyDescent="0.25">
      <c r="L662" s="4"/>
    </row>
    <row r="663" spans="12:12" ht="15.75" customHeight="1" x14ac:dyDescent="0.25">
      <c r="L663" s="4"/>
    </row>
    <row r="664" spans="12:12" ht="15.75" customHeight="1" x14ac:dyDescent="0.25">
      <c r="L664" s="4"/>
    </row>
    <row r="665" spans="12:12" ht="15.75" customHeight="1" x14ac:dyDescent="0.25">
      <c r="L665" s="4"/>
    </row>
    <row r="666" spans="12:12" ht="15.75" customHeight="1" x14ac:dyDescent="0.25">
      <c r="L666" s="4"/>
    </row>
    <row r="667" spans="12:12" ht="15.75" customHeight="1" x14ac:dyDescent="0.25">
      <c r="L667" s="4"/>
    </row>
    <row r="668" spans="12:12" ht="15.75" customHeight="1" x14ac:dyDescent="0.25">
      <c r="L668" s="4"/>
    </row>
    <row r="669" spans="12:12" ht="15.75" customHeight="1" x14ac:dyDescent="0.25">
      <c r="L669" s="4"/>
    </row>
    <row r="670" spans="12:12" ht="15.75" customHeight="1" x14ac:dyDescent="0.25">
      <c r="L670" s="4"/>
    </row>
    <row r="671" spans="12:12" ht="15.75" customHeight="1" x14ac:dyDescent="0.25">
      <c r="L671" s="4"/>
    </row>
    <row r="672" spans="12:12" ht="15.75" customHeight="1" x14ac:dyDescent="0.25">
      <c r="L672" s="4"/>
    </row>
    <row r="673" spans="12:12" ht="15.75" customHeight="1" x14ac:dyDescent="0.25">
      <c r="L673" s="4"/>
    </row>
    <row r="674" spans="12:12" ht="15.75" customHeight="1" x14ac:dyDescent="0.25">
      <c r="L674" s="4"/>
    </row>
    <row r="675" spans="12:12" ht="15.75" customHeight="1" x14ac:dyDescent="0.25">
      <c r="L675" s="4"/>
    </row>
    <row r="676" spans="12:12" ht="15.75" customHeight="1" x14ac:dyDescent="0.25">
      <c r="L676" s="4"/>
    </row>
    <row r="677" spans="12:12" ht="15.75" customHeight="1" x14ac:dyDescent="0.25">
      <c r="L677" s="4"/>
    </row>
    <row r="678" spans="12:12" ht="15.75" customHeight="1" x14ac:dyDescent="0.25">
      <c r="L678" s="4"/>
    </row>
    <row r="679" spans="12:12" ht="15.75" customHeight="1" x14ac:dyDescent="0.25">
      <c r="L679" s="4"/>
    </row>
    <row r="680" spans="12:12" ht="15.75" customHeight="1" x14ac:dyDescent="0.25">
      <c r="L680" s="4"/>
    </row>
    <row r="681" spans="12:12" ht="15.75" customHeight="1" x14ac:dyDescent="0.25">
      <c r="L681" s="4"/>
    </row>
    <row r="682" spans="12:12" ht="15.75" customHeight="1" x14ac:dyDescent="0.25">
      <c r="L682" s="4"/>
    </row>
    <row r="683" spans="12:12" ht="15.75" customHeight="1" x14ac:dyDescent="0.25">
      <c r="L683" s="4"/>
    </row>
    <row r="684" spans="12:12" ht="15.75" customHeight="1" x14ac:dyDescent="0.25">
      <c r="L684" s="4"/>
    </row>
    <row r="685" spans="12:12" ht="15.75" customHeight="1" x14ac:dyDescent="0.25">
      <c r="L685" s="4"/>
    </row>
    <row r="686" spans="12:12" ht="15.75" customHeight="1" x14ac:dyDescent="0.25">
      <c r="L686" s="4"/>
    </row>
    <row r="687" spans="12:12" ht="15.75" customHeight="1" x14ac:dyDescent="0.25">
      <c r="L687" s="4"/>
    </row>
    <row r="688" spans="12:12" ht="15.75" customHeight="1" x14ac:dyDescent="0.25">
      <c r="L688" s="4"/>
    </row>
    <row r="689" spans="12:12" ht="15.75" customHeight="1" x14ac:dyDescent="0.25">
      <c r="L689" s="4"/>
    </row>
    <row r="690" spans="12:12" ht="15.75" customHeight="1" x14ac:dyDescent="0.25">
      <c r="L690" s="4"/>
    </row>
    <row r="691" spans="12:12" ht="15.75" customHeight="1" x14ac:dyDescent="0.25">
      <c r="L691" s="4"/>
    </row>
    <row r="692" spans="12:12" ht="15.75" customHeight="1" x14ac:dyDescent="0.25">
      <c r="L692" s="4"/>
    </row>
    <row r="693" spans="12:12" ht="15.75" customHeight="1" x14ac:dyDescent="0.25">
      <c r="L693" s="4"/>
    </row>
    <row r="694" spans="12:12" ht="15.75" customHeight="1" x14ac:dyDescent="0.25">
      <c r="L694" s="4"/>
    </row>
    <row r="695" spans="12:12" ht="15.75" customHeight="1" x14ac:dyDescent="0.25">
      <c r="L695" s="4"/>
    </row>
    <row r="696" spans="12:12" ht="15.75" customHeight="1" x14ac:dyDescent="0.25">
      <c r="L696" s="4"/>
    </row>
    <row r="697" spans="12:12" ht="15.75" customHeight="1" x14ac:dyDescent="0.25">
      <c r="L697" s="4"/>
    </row>
    <row r="698" spans="12:12" ht="15.75" customHeight="1" x14ac:dyDescent="0.25">
      <c r="L698" s="4"/>
    </row>
    <row r="699" spans="12:12" ht="15.75" customHeight="1" x14ac:dyDescent="0.25">
      <c r="L699" s="4"/>
    </row>
    <row r="700" spans="12:12" ht="15.75" customHeight="1" x14ac:dyDescent="0.25">
      <c r="L700" s="4"/>
    </row>
    <row r="701" spans="12:12" ht="15.75" customHeight="1" x14ac:dyDescent="0.25">
      <c r="L701" s="4"/>
    </row>
    <row r="702" spans="12:12" ht="15.75" customHeight="1" x14ac:dyDescent="0.25">
      <c r="L702" s="4"/>
    </row>
    <row r="703" spans="12:12" ht="15.75" customHeight="1" x14ac:dyDescent="0.25">
      <c r="L703" s="4"/>
    </row>
    <row r="704" spans="12:12" ht="15.75" customHeight="1" x14ac:dyDescent="0.25">
      <c r="L704" s="4"/>
    </row>
    <row r="705" spans="12:12" ht="15.75" customHeight="1" x14ac:dyDescent="0.25">
      <c r="L705" s="4"/>
    </row>
    <row r="706" spans="12:12" ht="15.75" customHeight="1" x14ac:dyDescent="0.25">
      <c r="L706" s="4"/>
    </row>
    <row r="707" spans="12:12" ht="15.75" customHeight="1" x14ac:dyDescent="0.25">
      <c r="L707" s="4"/>
    </row>
    <row r="708" spans="12:12" ht="15.75" customHeight="1" x14ac:dyDescent="0.25">
      <c r="L708" s="4"/>
    </row>
    <row r="709" spans="12:12" ht="15.75" customHeight="1" x14ac:dyDescent="0.25">
      <c r="L709" s="4"/>
    </row>
    <row r="710" spans="12:12" ht="15.75" customHeight="1" x14ac:dyDescent="0.25">
      <c r="L710" s="4"/>
    </row>
    <row r="711" spans="12:12" ht="15.75" customHeight="1" x14ac:dyDescent="0.25">
      <c r="L711" s="4"/>
    </row>
    <row r="712" spans="12:12" ht="15.75" customHeight="1" x14ac:dyDescent="0.25">
      <c r="L712" s="4"/>
    </row>
    <row r="713" spans="12:12" ht="15.75" customHeight="1" x14ac:dyDescent="0.25">
      <c r="L713" s="4"/>
    </row>
    <row r="714" spans="12:12" ht="15.75" customHeight="1" x14ac:dyDescent="0.25">
      <c r="L714" s="4"/>
    </row>
    <row r="715" spans="12:12" ht="15.75" customHeight="1" x14ac:dyDescent="0.25">
      <c r="L715" s="4"/>
    </row>
    <row r="716" spans="12:12" ht="15.75" customHeight="1" x14ac:dyDescent="0.25">
      <c r="L716" s="4"/>
    </row>
    <row r="717" spans="12:12" ht="15.75" customHeight="1" x14ac:dyDescent="0.25">
      <c r="L717" s="4"/>
    </row>
    <row r="718" spans="12:12" ht="15.75" customHeight="1" x14ac:dyDescent="0.25">
      <c r="L718" s="4"/>
    </row>
    <row r="719" spans="12:12" ht="15.75" customHeight="1" x14ac:dyDescent="0.25">
      <c r="L719" s="4"/>
    </row>
    <row r="720" spans="12:12" ht="15.75" customHeight="1" x14ac:dyDescent="0.25">
      <c r="L720" s="4"/>
    </row>
    <row r="721" spans="12:12" ht="15.75" customHeight="1" x14ac:dyDescent="0.25">
      <c r="L721" s="4"/>
    </row>
    <row r="722" spans="12:12" ht="15.75" customHeight="1" x14ac:dyDescent="0.25">
      <c r="L722" s="4"/>
    </row>
    <row r="723" spans="12:12" ht="15.75" customHeight="1" x14ac:dyDescent="0.25">
      <c r="L723" s="4"/>
    </row>
    <row r="724" spans="12:12" ht="15.75" customHeight="1" x14ac:dyDescent="0.25">
      <c r="L724" s="4"/>
    </row>
    <row r="725" spans="12:12" ht="15.75" customHeight="1" x14ac:dyDescent="0.25">
      <c r="L725" s="4"/>
    </row>
    <row r="726" spans="12:12" ht="15.75" customHeight="1" x14ac:dyDescent="0.25">
      <c r="L726" s="4"/>
    </row>
    <row r="727" spans="12:12" ht="15.75" customHeight="1" x14ac:dyDescent="0.25">
      <c r="L727" s="4"/>
    </row>
    <row r="728" spans="12:12" ht="15.75" customHeight="1" x14ac:dyDescent="0.25">
      <c r="L728" s="4"/>
    </row>
    <row r="729" spans="12:12" ht="15.75" customHeight="1" x14ac:dyDescent="0.25">
      <c r="L729" s="4"/>
    </row>
    <row r="730" spans="12:12" ht="15.75" customHeight="1" x14ac:dyDescent="0.25">
      <c r="L730" s="4"/>
    </row>
    <row r="731" spans="12:12" ht="15.75" customHeight="1" x14ac:dyDescent="0.25">
      <c r="L731" s="4"/>
    </row>
    <row r="732" spans="12:12" ht="15.75" customHeight="1" x14ac:dyDescent="0.25">
      <c r="L732" s="4"/>
    </row>
    <row r="733" spans="12:12" ht="15.75" customHeight="1" x14ac:dyDescent="0.25">
      <c r="L733" s="4"/>
    </row>
    <row r="734" spans="12:12" ht="15.75" customHeight="1" x14ac:dyDescent="0.25">
      <c r="L734" s="4"/>
    </row>
    <row r="735" spans="12:12" ht="15.75" customHeight="1" x14ac:dyDescent="0.25">
      <c r="L735" s="4"/>
    </row>
    <row r="736" spans="12:12" ht="15.75" customHeight="1" x14ac:dyDescent="0.25">
      <c r="L736" s="4"/>
    </row>
    <row r="737" spans="12:12" ht="15.75" customHeight="1" x14ac:dyDescent="0.25">
      <c r="L737" s="4"/>
    </row>
    <row r="738" spans="12:12" ht="15.75" customHeight="1" x14ac:dyDescent="0.25">
      <c r="L738" s="4"/>
    </row>
    <row r="739" spans="12:12" ht="15.75" customHeight="1" x14ac:dyDescent="0.25">
      <c r="L739" s="4"/>
    </row>
    <row r="740" spans="12:12" ht="15.75" customHeight="1" x14ac:dyDescent="0.25">
      <c r="L740" s="4"/>
    </row>
    <row r="741" spans="12:12" ht="15.75" customHeight="1" x14ac:dyDescent="0.25">
      <c r="L741" s="4"/>
    </row>
    <row r="742" spans="12:12" ht="15.75" customHeight="1" x14ac:dyDescent="0.25">
      <c r="L742" s="4"/>
    </row>
    <row r="743" spans="12:12" ht="15.75" customHeight="1" x14ac:dyDescent="0.25">
      <c r="L743" s="4"/>
    </row>
    <row r="744" spans="12:12" ht="15.75" customHeight="1" x14ac:dyDescent="0.25">
      <c r="L744" s="4"/>
    </row>
    <row r="745" spans="12:12" ht="15.75" customHeight="1" x14ac:dyDescent="0.25">
      <c r="L745" s="4"/>
    </row>
    <row r="746" spans="12:12" ht="15.75" customHeight="1" x14ac:dyDescent="0.25">
      <c r="L746" s="4"/>
    </row>
    <row r="747" spans="12:12" ht="15.75" customHeight="1" x14ac:dyDescent="0.25">
      <c r="L747" s="4"/>
    </row>
    <row r="748" spans="12:12" ht="15.75" customHeight="1" x14ac:dyDescent="0.25">
      <c r="L748" s="4"/>
    </row>
    <row r="749" spans="12:12" ht="15.75" customHeight="1" x14ac:dyDescent="0.25">
      <c r="L749" s="4"/>
    </row>
    <row r="750" spans="12:12" ht="15.75" customHeight="1" x14ac:dyDescent="0.25">
      <c r="L750" s="4"/>
    </row>
    <row r="751" spans="12:12" ht="15.75" customHeight="1" x14ac:dyDescent="0.25">
      <c r="L751" s="4"/>
    </row>
    <row r="752" spans="12:12" ht="15.75" customHeight="1" x14ac:dyDescent="0.25">
      <c r="L752" s="4"/>
    </row>
    <row r="753" spans="12:12" ht="15.75" customHeight="1" x14ac:dyDescent="0.25">
      <c r="L753" s="4"/>
    </row>
    <row r="754" spans="12:12" ht="15.75" customHeight="1" x14ac:dyDescent="0.25">
      <c r="L754" s="4"/>
    </row>
    <row r="755" spans="12:12" ht="15.75" customHeight="1" x14ac:dyDescent="0.25">
      <c r="L755" s="4"/>
    </row>
    <row r="756" spans="12:12" ht="15.75" customHeight="1" x14ac:dyDescent="0.25">
      <c r="L756" s="4"/>
    </row>
    <row r="757" spans="12:12" ht="15.75" customHeight="1" x14ac:dyDescent="0.25">
      <c r="L757" s="4"/>
    </row>
    <row r="758" spans="12:12" ht="15.75" customHeight="1" x14ac:dyDescent="0.25">
      <c r="L758" s="4"/>
    </row>
    <row r="759" spans="12:12" ht="15.75" customHeight="1" x14ac:dyDescent="0.25">
      <c r="L759" s="4"/>
    </row>
    <row r="760" spans="12:12" ht="15.75" customHeight="1" x14ac:dyDescent="0.25">
      <c r="L760" s="4"/>
    </row>
    <row r="761" spans="12:12" ht="15.75" customHeight="1" x14ac:dyDescent="0.25">
      <c r="L761" s="4"/>
    </row>
    <row r="762" spans="12:12" ht="15.75" customHeight="1" x14ac:dyDescent="0.25">
      <c r="L762" s="4"/>
    </row>
    <row r="763" spans="12:12" ht="15.75" customHeight="1" x14ac:dyDescent="0.25">
      <c r="L763" s="4"/>
    </row>
    <row r="764" spans="12:12" ht="15.75" customHeight="1" x14ac:dyDescent="0.25">
      <c r="L764" s="4"/>
    </row>
    <row r="765" spans="12:12" ht="15.75" customHeight="1" x14ac:dyDescent="0.25">
      <c r="L765" s="4"/>
    </row>
    <row r="766" spans="12:12" ht="15.75" customHeight="1" x14ac:dyDescent="0.25">
      <c r="L766" s="4"/>
    </row>
    <row r="767" spans="12:12" ht="15.75" customHeight="1" x14ac:dyDescent="0.25">
      <c r="L767" s="4"/>
    </row>
    <row r="768" spans="12:12" ht="15.75" customHeight="1" x14ac:dyDescent="0.25">
      <c r="L768" s="4"/>
    </row>
    <row r="769" spans="12:12" ht="15.75" customHeight="1" x14ac:dyDescent="0.25">
      <c r="L769" s="4"/>
    </row>
    <row r="770" spans="12:12" ht="15.75" customHeight="1" x14ac:dyDescent="0.25">
      <c r="L770" s="4"/>
    </row>
    <row r="771" spans="12:12" ht="15.75" customHeight="1" x14ac:dyDescent="0.25">
      <c r="L771" s="4"/>
    </row>
    <row r="772" spans="12:12" ht="15.75" customHeight="1" x14ac:dyDescent="0.25">
      <c r="L772" s="4"/>
    </row>
    <row r="773" spans="12:12" ht="15.75" customHeight="1" x14ac:dyDescent="0.25">
      <c r="L773" s="4"/>
    </row>
    <row r="774" spans="12:12" ht="15.75" customHeight="1" x14ac:dyDescent="0.25">
      <c r="L774" s="4"/>
    </row>
    <row r="775" spans="12:12" ht="15.75" customHeight="1" x14ac:dyDescent="0.25">
      <c r="L775" s="4"/>
    </row>
    <row r="776" spans="12:12" ht="15.75" customHeight="1" x14ac:dyDescent="0.25">
      <c r="L776" s="4"/>
    </row>
    <row r="777" spans="12:12" ht="15.75" customHeight="1" x14ac:dyDescent="0.25">
      <c r="L777" s="4"/>
    </row>
    <row r="778" spans="12:12" ht="15.75" customHeight="1" x14ac:dyDescent="0.25">
      <c r="L778" s="4"/>
    </row>
    <row r="779" spans="12:12" ht="15.75" customHeight="1" x14ac:dyDescent="0.25">
      <c r="L779" s="4"/>
    </row>
    <row r="780" spans="12:12" ht="15.75" customHeight="1" x14ac:dyDescent="0.25">
      <c r="L780" s="4"/>
    </row>
    <row r="781" spans="12:12" ht="15.75" customHeight="1" x14ac:dyDescent="0.25">
      <c r="L781" s="4"/>
    </row>
    <row r="782" spans="12:12" ht="15.75" customHeight="1" x14ac:dyDescent="0.25">
      <c r="L782" s="4"/>
    </row>
    <row r="783" spans="12:12" ht="15.75" customHeight="1" x14ac:dyDescent="0.25">
      <c r="L783" s="4"/>
    </row>
    <row r="784" spans="12:12" ht="15.75" customHeight="1" x14ac:dyDescent="0.25">
      <c r="L784" s="4"/>
    </row>
    <row r="785" spans="12:12" ht="15.75" customHeight="1" x14ac:dyDescent="0.25">
      <c r="L785" s="4"/>
    </row>
    <row r="786" spans="12:12" ht="15.75" customHeight="1" x14ac:dyDescent="0.25">
      <c r="L786" s="4"/>
    </row>
    <row r="787" spans="12:12" ht="15.75" customHeight="1" x14ac:dyDescent="0.25">
      <c r="L787" s="4"/>
    </row>
    <row r="788" spans="12:12" ht="15.75" customHeight="1" x14ac:dyDescent="0.25">
      <c r="L788" s="4"/>
    </row>
    <row r="789" spans="12:12" ht="15.75" customHeight="1" x14ac:dyDescent="0.25">
      <c r="L789" s="4"/>
    </row>
    <row r="790" spans="12:12" ht="15.75" customHeight="1" x14ac:dyDescent="0.25">
      <c r="L790" s="4"/>
    </row>
    <row r="791" spans="12:12" ht="15.75" customHeight="1" x14ac:dyDescent="0.25">
      <c r="L791" s="4"/>
    </row>
    <row r="792" spans="12:12" ht="15.75" customHeight="1" x14ac:dyDescent="0.25">
      <c r="L792" s="4"/>
    </row>
    <row r="793" spans="12:12" ht="15.75" customHeight="1" x14ac:dyDescent="0.25">
      <c r="L793" s="4"/>
    </row>
    <row r="794" spans="12:12" ht="15.75" customHeight="1" x14ac:dyDescent="0.25">
      <c r="L794" s="4"/>
    </row>
    <row r="795" spans="12:12" ht="15.75" customHeight="1" x14ac:dyDescent="0.25">
      <c r="L795" s="4"/>
    </row>
    <row r="796" spans="12:12" ht="15.75" customHeight="1" x14ac:dyDescent="0.25">
      <c r="L796" s="4"/>
    </row>
    <row r="797" spans="12:12" ht="15.75" customHeight="1" x14ac:dyDescent="0.25">
      <c r="L797" s="4"/>
    </row>
    <row r="798" spans="12:12" ht="15.75" customHeight="1" x14ac:dyDescent="0.25">
      <c r="L798" s="4"/>
    </row>
    <row r="799" spans="12:12" ht="15.75" customHeight="1" x14ac:dyDescent="0.25">
      <c r="L799" s="4"/>
    </row>
    <row r="800" spans="12:12" ht="15.75" customHeight="1" x14ac:dyDescent="0.25">
      <c r="L800" s="4"/>
    </row>
    <row r="801" spans="12:12" ht="15.75" customHeight="1" x14ac:dyDescent="0.25">
      <c r="L801" s="4"/>
    </row>
    <row r="802" spans="12:12" ht="15.75" customHeight="1" x14ac:dyDescent="0.25">
      <c r="L802" s="4"/>
    </row>
    <row r="803" spans="12:12" ht="15.75" customHeight="1" x14ac:dyDescent="0.25">
      <c r="L803" s="4"/>
    </row>
    <row r="804" spans="12:12" ht="15.75" customHeight="1" x14ac:dyDescent="0.25">
      <c r="L804" s="4"/>
    </row>
    <row r="805" spans="12:12" ht="15.75" customHeight="1" x14ac:dyDescent="0.25">
      <c r="L805" s="4"/>
    </row>
    <row r="806" spans="12:12" ht="15.75" customHeight="1" x14ac:dyDescent="0.25">
      <c r="L806" s="4"/>
    </row>
    <row r="807" spans="12:12" ht="15.75" customHeight="1" x14ac:dyDescent="0.25">
      <c r="L807" s="4"/>
    </row>
    <row r="808" spans="12:12" ht="15.75" customHeight="1" x14ac:dyDescent="0.25">
      <c r="L808" s="4"/>
    </row>
    <row r="809" spans="12:12" ht="15.75" customHeight="1" x14ac:dyDescent="0.25">
      <c r="L809" s="4"/>
    </row>
    <row r="810" spans="12:12" ht="15.75" customHeight="1" x14ac:dyDescent="0.25">
      <c r="L810" s="4"/>
    </row>
    <row r="811" spans="12:12" ht="15.75" customHeight="1" x14ac:dyDescent="0.25">
      <c r="L811" s="4"/>
    </row>
    <row r="812" spans="12:12" ht="15.75" customHeight="1" x14ac:dyDescent="0.25">
      <c r="L812" s="4"/>
    </row>
    <row r="813" spans="12:12" ht="15.75" customHeight="1" x14ac:dyDescent="0.25">
      <c r="L813" s="4"/>
    </row>
    <row r="814" spans="12:12" ht="15.75" customHeight="1" x14ac:dyDescent="0.25">
      <c r="L814" s="4"/>
    </row>
    <row r="815" spans="12:12" ht="15.75" customHeight="1" x14ac:dyDescent="0.25">
      <c r="L815" s="4"/>
    </row>
    <row r="816" spans="12:12" ht="15.75" customHeight="1" x14ac:dyDescent="0.25">
      <c r="L816" s="4"/>
    </row>
    <row r="817" spans="12:12" ht="15.75" customHeight="1" x14ac:dyDescent="0.25">
      <c r="L817" s="4"/>
    </row>
    <row r="818" spans="12:12" ht="15.75" customHeight="1" x14ac:dyDescent="0.25">
      <c r="L818" s="4"/>
    </row>
    <row r="819" spans="12:12" ht="15.75" customHeight="1" x14ac:dyDescent="0.25">
      <c r="L819" s="4"/>
    </row>
    <row r="820" spans="12:12" ht="15.75" customHeight="1" x14ac:dyDescent="0.25">
      <c r="L820" s="4"/>
    </row>
    <row r="821" spans="12:12" ht="15.75" customHeight="1" x14ac:dyDescent="0.25">
      <c r="L821" s="4"/>
    </row>
    <row r="822" spans="12:12" ht="15.75" customHeight="1" x14ac:dyDescent="0.25">
      <c r="L822" s="4"/>
    </row>
    <row r="823" spans="12:12" ht="15.75" customHeight="1" x14ac:dyDescent="0.25">
      <c r="L823" s="4"/>
    </row>
    <row r="824" spans="12:12" ht="15.75" customHeight="1" x14ac:dyDescent="0.25">
      <c r="L824" s="4"/>
    </row>
    <row r="825" spans="12:12" ht="15.75" customHeight="1" x14ac:dyDescent="0.25">
      <c r="L825" s="4"/>
    </row>
    <row r="826" spans="12:12" ht="15.75" customHeight="1" x14ac:dyDescent="0.25">
      <c r="L826" s="4"/>
    </row>
    <row r="827" spans="12:12" ht="15.75" customHeight="1" x14ac:dyDescent="0.25">
      <c r="L827" s="4"/>
    </row>
    <row r="828" spans="12:12" ht="15.75" customHeight="1" x14ac:dyDescent="0.25">
      <c r="L828" s="4"/>
    </row>
    <row r="829" spans="12:12" ht="15.75" customHeight="1" x14ac:dyDescent="0.25">
      <c r="L829" s="4"/>
    </row>
    <row r="830" spans="12:12" ht="15.75" customHeight="1" x14ac:dyDescent="0.25">
      <c r="L830" s="4"/>
    </row>
    <row r="831" spans="12:12" ht="15.75" customHeight="1" x14ac:dyDescent="0.25">
      <c r="L831" s="4"/>
    </row>
    <row r="832" spans="12:12" ht="15.75" customHeight="1" x14ac:dyDescent="0.25">
      <c r="L832" s="4"/>
    </row>
    <row r="833" spans="12:12" ht="15.75" customHeight="1" x14ac:dyDescent="0.25">
      <c r="L833" s="4"/>
    </row>
    <row r="834" spans="12:12" ht="15.75" customHeight="1" x14ac:dyDescent="0.25">
      <c r="L834" s="4"/>
    </row>
    <row r="835" spans="12:12" ht="15.75" customHeight="1" x14ac:dyDescent="0.25">
      <c r="L835" s="4"/>
    </row>
    <row r="836" spans="12:12" ht="15.75" customHeight="1" x14ac:dyDescent="0.25">
      <c r="L836" s="4"/>
    </row>
    <row r="837" spans="12:12" ht="15.75" customHeight="1" x14ac:dyDescent="0.25">
      <c r="L837" s="4"/>
    </row>
    <row r="838" spans="12:12" ht="15.75" customHeight="1" x14ac:dyDescent="0.25">
      <c r="L838" s="4"/>
    </row>
    <row r="839" spans="12:12" ht="15.75" customHeight="1" x14ac:dyDescent="0.25">
      <c r="L839" s="4"/>
    </row>
    <row r="840" spans="12:12" ht="15.75" customHeight="1" x14ac:dyDescent="0.25">
      <c r="L840" s="4"/>
    </row>
    <row r="841" spans="12:12" ht="15.75" customHeight="1" x14ac:dyDescent="0.25">
      <c r="L841" s="4"/>
    </row>
    <row r="842" spans="12:12" ht="15.75" customHeight="1" x14ac:dyDescent="0.25">
      <c r="L842" s="4"/>
    </row>
    <row r="843" spans="12:12" ht="15.75" customHeight="1" x14ac:dyDescent="0.25">
      <c r="L843" s="4"/>
    </row>
    <row r="844" spans="12:12" ht="15.75" customHeight="1" x14ac:dyDescent="0.25">
      <c r="L844" s="4"/>
    </row>
    <row r="845" spans="12:12" ht="15.75" customHeight="1" x14ac:dyDescent="0.25">
      <c r="L845" s="4"/>
    </row>
    <row r="846" spans="12:12" ht="15.75" customHeight="1" x14ac:dyDescent="0.25">
      <c r="L846" s="4"/>
    </row>
    <row r="847" spans="12:12" ht="15.75" customHeight="1" x14ac:dyDescent="0.25">
      <c r="L847" s="4"/>
    </row>
    <row r="848" spans="12:12" ht="15.75" customHeight="1" x14ac:dyDescent="0.25">
      <c r="L848" s="4"/>
    </row>
    <row r="849" spans="12:12" ht="15.75" customHeight="1" x14ac:dyDescent="0.25">
      <c r="L849" s="4"/>
    </row>
    <row r="850" spans="12:12" ht="15.75" customHeight="1" x14ac:dyDescent="0.25">
      <c r="L850" s="4"/>
    </row>
    <row r="851" spans="12:12" ht="15.75" customHeight="1" x14ac:dyDescent="0.25">
      <c r="L851" s="4"/>
    </row>
    <row r="852" spans="12:12" ht="15.75" customHeight="1" x14ac:dyDescent="0.25">
      <c r="L852" s="4"/>
    </row>
    <row r="853" spans="12:12" ht="15.75" customHeight="1" x14ac:dyDescent="0.25">
      <c r="L853" s="4"/>
    </row>
    <row r="854" spans="12:12" ht="15.75" customHeight="1" x14ac:dyDescent="0.25">
      <c r="L854" s="4"/>
    </row>
    <row r="855" spans="12:12" ht="15.75" customHeight="1" x14ac:dyDescent="0.25">
      <c r="L855" s="4"/>
    </row>
    <row r="856" spans="12:12" ht="15.75" customHeight="1" x14ac:dyDescent="0.25">
      <c r="L856" s="4"/>
    </row>
    <row r="857" spans="12:12" ht="15.75" customHeight="1" x14ac:dyDescent="0.25">
      <c r="L857" s="4"/>
    </row>
    <row r="858" spans="12:12" ht="15.75" customHeight="1" x14ac:dyDescent="0.25">
      <c r="L858" s="4"/>
    </row>
    <row r="859" spans="12:12" ht="15.75" customHeight="1" x14ac:dyDescent="0.25">
      <c r="L859" s="4"/>
    </row>
    <row r="860" spans="12:12" ht="15.75" customHeight="1" x14ac:dyDescent="0.25">
      <c r="L860" s="4"/>
    </row>
    <row r="861" spans="12:12" ht="15.75" customHeight="1" x14ac:dyDescent="0.25">
      <c r="L861" s="4"/>
    </row>
    <row r="862" spans="12:12" ht="15.75" customHeight="1" x14ac:dyDescent="0.25">
      <c r="L862" s="4"/>
    </row>
    <row r="863" spans="12:12" ht="15.75" customHeight="1" x14ac:dyDescent="0.25">
      <c r="L863" s="4"/>
    </row>
    <row r="864" spans="12:12" ht="15.75" customHeight="1" x14ac:dyDescent="0.25">
      <c r="L864" s="4"/>
    </row>
    <row r="865" spans="12:12" ht="15.75" customHeight="1" x14ac:dyDescent="0.25">
      <c r="L865" s="4"/>
    </row>
    <row r="866" spans="12:12" ht="15.75" customHeight="1" x14ac:dyDescent="0.25">
      <c r="L866" s="4"/>
    </row>
    <row r="867" spans="12:12" ht="15.75" customHeight="1" x14ac:dyDescent="0.25">
      <c r="L867" s="4"/>
    </row>
    <row r="868" spans="12:12" ht="15.75" customHeight="1" x14ac:dyDescent="0.25">
      <c r="L868" s="4"/>
    </row>
    <row r="869" spans="12:12" ht="15.75" customHeight="1" x14ac:dyDescent="0.25">
      <c r="L869" s="4"/>
    </row>
    <row r="870" spans="12:12" ht="15.75" customHeight="1" x14ac:dyDescent="0.25">
      <c r="L870" s="4"/>
    </row>
    <row r="871" spans="12:12" ht="15.75" customHeight="1" x14ac:dyDescent="0.25">
      <c r="L871" s="4"/>
    </row>
    <row r="872" spans="12:12" ht="15.75" customHeight="1" x14ac:dyDescent="0.25">
      <c r="L872" s="4"/>
    </row>
    <row r="873" spans="12:12" ht="15.75" customHeight="1" x14ac:dyDescent="0.25">
      <c r="L873" s="4"/>
    </row>
    <row r="874" spans="12:12" ht="15.75" customHeight="1" x14ac:dyDescent="0.25">
      <c r="L874" s="4"/>
    </row>
    <row r="875" spans="12:12" ht="15.75" customHeight="1" x14ac:dyDescent="0.25">
      <c r="L875" s="4"/>
    </row>
    <row r="876" spans="12:12" ht="15.75" customHeight="1" x14ac:dyDescent="0.25">
      <c r="L876" s="4"/>
    </row>
    <row r="877" spans="12:12" ht="15.75" customHeight="1" x14ac:dyDescent="0.25">
      <c r="L877" s="4"/>
    </row>
    <row r="878" spans="12:12" ht="15.75" customHeight="1" x14ac:dyDescent="0.25">
      <c r="L878" s="4"/>
    </row>
    <row r="879" spans="12:12" ht="15.75" customHeight="1" x14ac:dyDescent="0.25">
      <c r="L879" s="4"/>
    </row>
    <row r="880" spans="12:12" ht="15.75" customHeight="1" x14ac:dyDescent="0.25">
      <c r="L880" s="4"/>
    </row>
    <row r="881" spans="12:12" ht="15.75" customHeight="1" x14ac:dyDescent="0.25">
      <c r="L881" s="4"/>
    </row>
    <row r="882" spans="12:12" ht="15.75" customHeight="1" x14ac:dyDescent="0.25">
      <c r="L882" s="4"/>
    </row>
    <row r="883" spans="12:12" ht="15.75" customHeight="1" x14ac:dyDescent="0.25">
      <c r="L883" s="4"/>
    </row>
    <row r="884" spans="12:12" ht="15.75" customHeight="1" x14ac:dyDescent="0.25">
      <c r="L884" s="4"/>
    </row>
    <row r="885" spans="12:12" ht="15.75" customHeight="1" x14ac:dyDescent="0.25">
      <c r="L885" s="4"/>
    </row>
    <row r="886" spans="12:12" ht="15.75" customHeight="1" x14ac:dyDescent="0.25">
      <c r="L886" s="4"/>
    </row>
    <row r="887" spans="12:12" ht="15.75" customHeight="1" x14ac:dyDescent="0.25">
      <c r="L887" s="4"/>
    </row>
    <row r="888" spans="12:12" ht="15.75" customHeight="1" x14ac:dyDescent="0.25">
      <c r="L888" s="4"/>
    </row>
    <row r="889" spans="12:12" ht="15.75" customHeight="1" x14ac:dyDescent="0.25">
      <c r="L889" s="4"/>
    </row>
    <row r="890" spans="12:12" ht="15.75" customHeight="1" x14ac:dyDescent="0.25">
      <c r="L890" s="4"/>
    </row>
    <row r="891" spans="12:12" ht="15.75" customHeight="1" x14ac:dyDescent="0.25">
      <c r="L891" s="4"/>
    </row>
    <row r="892" spans="12:12" ht="15.75" customHeight="1" x14ac:dyDescent="0.25">
      <c r="L892" s="4"/>
    </row>
    <row r="893" spans="12:12" ht="15.75" customHeight="1" x14ac:dyDescent="0.25">
      <c r="L893" s="4"/>
    </row>
    <row r="894" spans="12:12" ht="15.75" customHeight="1" x14ac:dyDescent="0.25">
      <c r="L894" s="4"/>
    </row>
    <row r="895" spans="12:12" ht="15.75" customHeight="1" x14ac:dyDescent="0.25">
      <c r="L895" s="4"/>
    </row>
    <row r="896" spans="12:12" ht="15.75" customHeight="1" x14ac:dyDescent="0.25">
      <c r="L896" s="4"/>
    </row>
    <row r="897" spans="12:12" ht="15.75" customHeight="1" x14ac:dyDescent="0.25">
      <c r="L897" s="4"/>
    </row>
    <row r="898" spans="12:12" ht="15.75" customHeight="1" x14ac:dyDescent="0.25">
      <c r="L898" s="4"/>
    </row>
    <row r="899" spans="12:12" ht="15.75" customHeight="1" x14ac:dyDescent="0.25">
      <c r="L899" s="4"/>
    </row>
    <row r="900" spans="12:12" ht="15.75" customHeight="1" x14ac:dyDescent="0.25">
      <c r="L900" s="4"/>
    </row>
    <row r="901" spans="12:12" ht="15.75" customHeight="1" x14ac:dyDescent="0.25">
      <c r="L901" s="4"/>
    </row>
    <row r="902" spans="12:12" ht="15.75" customHeight="1" x14ac:dyDescent="0.25">
      <c r="L902" s="4"/>
    </row>
    <row r="903" spans="12:12" ht="15.75" customHeight="1" x14ac:dyDescent="0.25">
      <c r="L903" s="4"/>
    </row>
    <row r="904" spans="12:12" ht="15.75" customHeight="1" x14ac:dyDescent="0.25">
      <c r="L904" s="4"/>
    </row>
    <row r="905" spans="12:12" ht="15.75" customHeight="1" x14ac:dyDescent="0.25">
      <c r="L905" s="4"/>
    </row>
    <row r="906" spans="12:12" ht="15.75" customHeight="1" x14ac:dyDescent="0.25">
      <c r="L906" s="4"/>
    </row>
    <row r="907" spans="12:12" ht="15.75" customHeight="1" x14ac:dyDescent="0.25">
      <c r="L907" s="4"/>
    </row>
    <row r="908" spans="12:12" ht="15.75" customHeight="1" x14ac:dyDescent="0.25">
      <c r="L908" s="4"/>
    </row>
    <row r="909" spans="12:12" ht="15.75" customHeight="1" x14ac:dyDescent="0.25">
      <c r="L909" s="4"/>
    </row>
    <row r="910" spans="12:12" ht="15.75" customHeight="1" x14ac:dyDescent="0.25">
      <c r="L910" s="4"/>
    </row>
    <row r="911" spans="12:12" ht="15.75" customHeight="1" x14ac:dyDescent="0.25">
      <c r="L911" s="4"/>
    </row>
    <row r="912" spans="12:12" ht="15.75" customHeight="1" x14ac:dyDescent="0.25">
      <c r="L912" s="4"/>
    </row>
    <row r="913" spans="12:12" ht="15.75" customHeight="1" x14ac:dyDescent="0.25">
      <c r="L913" s="4"/>
    </row>
    <row r="914" spans="12:12" ht="15.75" customHeight="1" x14ac:dyDescent="0.25">
      <c r="L914" s="4"/>
    </row>
    <row r="915" spans="12:12" ht="15.75" customHeight="1" x14ac:dyDescent="0.25">
      <c r="L915" s="4"/>
    </row>
    <row r="916" spans="12:12" ht="15.75" customHeight="1" x14ac:dyDescent="0.25">
      <c r="L916" s="4"/>
    </row>
    <row r="917" spans="12:12" ht="15.75" customHeight="1" x14ac:dyDescent="0.25">
      <c r="L917" s="4"/>
    </row>
    <row r="918" spans="12:12" ht="15.75" customHeight="1" x14ac:dyDescent="0.25">
      <c r="L918" s="4"/>
    </row>
    <row r="919" spans="12:12" ht="15.75" customHeight="1" x14ac:dyDescent="0.25">
      <c r="L919" s="4"/>
    </row>
    <row r="920" spans="12:12" ht="15.75" customHeight="1" x14ac:dyDescent="0.25">
      <c r="L920" s="4"/>
    </row>
    <row r="921" spans="12:12" ht="15.75" customHeight="1" x14ac:dyDescent="0.25">
      <c r="L921" s="4"/>
    </row>
    <row r="922" spans="12:12" ht="15.75" customHeight="1" x14ac:dyDescent="0.25">
      <c r="L922" s="4"/>
    </row>
    <row r="923" spans="12:12" ht="15.75" customHeight="1" x14ac:dyDescent="0.25">
      <c r="L923" s="4"/>
    </row>
    <row r="924" spans="12:12" ht="15.75" customHeight="1" x14ac:dyDescent="0.25">
      <c r="L924" s="4"/>
    </row>
    <row r="925" spans="12:12" ht="15.75" customHeight="1" x14ac:dyDescent="0.25">
      <c r="L925" s="4"/>
    </row>
    <row r="926" spans="12:12" ht="15.75" customHeight="1" x14ac:dyDescent="0.25">
      <c r="L926" s="4"/>
    </row>
    <row r="927" spans="12:12" ht="15.75" customHeight="1" x14ac:dyDescent="0.25">
      <c r="L927" s="4"/>
    </row>
    <row r="928" spans="12:12" ht="15.75" customHeight="1" x14ac:dyDescent="0.25">
      <c r="L928" s="4"/>
    </row>
    <row r="929" spans="12:12" ht="15.75" customHeight="1" x14ac:dyDescent="0.25">
      <c r="L929" s="4"/>
    </row>
    <row r="930" spans="12:12" ht="15.75" customHeight="1" x14ac:dyDescent="0.25">
      <c r="L930" s="4"/>
    </row>
    <row r="931" spans="12:12" ht="15.75" customHeight="1" x14ac:dyDescent="0.25">
      <c r="L931" s="4"/>
    </row>
    <row r="932" spans="12:12" ht="15.75" customHeight="1" x14ac:dyDescent="0.25">
      <c r="L932" s="4"/>
    </row>
    <row r="933" spans="12:12" ht="15.75" customHeight="1" x14ac:dyDescent="0.25">
      <c r="L933" s="4"/>
    </row>
    <row r="934" spans="12:12" ht="15.75" customHeight="1" x14ac:dyDescent="0.25">
      <c r="L934" s="4"/>
    </row>
    <row r="935" spans="12:12" ht="15.75" customHeight="1" x14ac:dyDescent="0.25">
      <c r="L935" s="4"/>
    </row>
    <row r="936" spans="12:12" ht="15.75" customHeight="1" x14ac:dyDescent="0.25">
      <c r="L936" s="4"/>
    </row>
    <row r="937" spans="12:12" ht="15.75" customHeight="1" x14ac:dyDescent="0.25">
      <c r="L937" s="4"/>
    </row>
    <row r="938" spans="12:12" ht="15.75" customHeight="1" x14ac:dyDescent="0.25">
      <c r="L938" s="4"/>
    </row>
    <row r="939" spans="12:12" ht="15.75" customHeight="1" x14ac:dyDescent="0.25">
      <c r="L939" s="4"/>
    </row>
    <row r="940" spans="12:12" ht="15.75" customHeight="1" x14ac:dyDescent="0.25">
      <c r="L940" s="4"/>
    </row>
    <row r="941" spans="12:12" ht="15.75" customHeight="1" x14ac:dyDescent="0.25">
      <c r="L941" s="4"/>
    </row>
    <row r="942" spans="12:12" ht="15.75" customHeight="1" x14ac:dyDescent="0.25">
      <c r="L942" s="4"/>
    </row>
    <row r="943" spans="12:12" ht="15.75" customHeight="1" x14ac:dyDescent="0.25">
      <c r="L943" s="4"/>
    </row>
    <row r="944" spans="12:12" ht="15.75" customHeight="1" x14ac:dyDescent="0.25">
      <c r="L944" s="4"/>
    </row>
    <row r="945" spans="12:12" ht="15.75" customHeight="1" x14ac:dyDescent="0.25">
      <c r="L945" s="4"/>
    </row>
    <row r="946" spans="12:12" ht="15.75" customHeight="1" x14ac:dyDescent="0.25">
      <c r="L946" s="4"/>
    </row>
    <row r="947" spans="12:12" ht="15.75" customHeight="1" x14ac:dyDescent="0.25">
      <c r="L947" s="4"/>
    </row>
    <row r="948" spans="12:12" ht="15.75" customHeight="1" x14ac:dyDescent="0.25">
      <c r="L948" s="4"/>
    </row>
    <row r="949" spans="12:12" ht="15.75" customHeight="1" x14ac:dyDescent="0.25">
      <c r="L949" s="4"/>
    </row>
    <row r="950" spans="12:12" ht="15.75" customHeight="1" x14ac:dyDescent="0.25">
      <c r="L950" s="4"/>
    </row>
    <row r="951" spans="12:12" ht="15.75" customHeight="1" x14ac:dyDescent="0.25">
      <c r="L951" s="4"/>
    </row>
    <row r="952" spans="12:12" ht="15.75" customHeight="1" x14ac:dyDescent="0.25">
      <c r="L952" s="4"/>
    </row>
    <row r="953" spans="12:12" ht="15.75" customHeight="1" x14ac:dyDescent="0.25">
      <c r="L953" s="4"/>
    </row>
    <row r="954" spans="12:12" ht="15.75" customHeight="1" x14ac:dyDescent="0.25">
      <c r="L954" s="4"/>
    </row>
    <row r="955" spans="12:12" ht="15.75" customHeight="1" x14ac:dyDescent="0.25">
      <c r="L955" s="4"/>
    </row>
    <row r="956" spans="12:12" ht="15.75" customHeight="1" x14ac:dyDescent="0.25">
      <c r="L956" s="4"/>
    </row>
    <row r="957" spans="12:12" ht="15.75" customHeight="1" x14ac:dyDescent="0.25">
      <c r="L957" s="4"/>
    </row>
    <row r="958" spans="12:12" ht="15.75" customHeight="1" x14ac:dyDescent="0.25">
      <c r="L958" s="4"/>
    </row>
    <row r="959" spans="12:12" ht="15.75" customHeight="1" x14ac:dyDescent="0.25">
      <c r="L959" s="4"/>
    </row>
    <row r="960" spans="12:12" ht="15.75" customHeight="1" x14ac:dyDescent="0.25">
      <c r="L960" s="4"/>
    </row>
    <row r="961" spans="12:12" ht="15.75" customHeight="1" x14ac:dyDescent="0.25">
      <c r="L961" s="4"/>
    </row>
    <row r="962" spans="12:12" ht="15.75" customHeight="1" x14ac:dyDescent="0.25">
      <c r="L962" s="4"/>
    </row>
    <row r="963" spans="12:12" ht="15.75" customHeight="1" x14ac:dyDescent="0.25">
      <c r="L963" s="4"/>
    </row>
    <row r="964" spans="12:12" ht="15.75" customHeight="1" x14ac:dyDescent="0.25">
      <c r="L964" s="4"/>
    </row>
    <row r="965" spans="12:12" ht="15.75" customHeight="1" x14ac:dyDescent="0.25">
      <c r="L965" s="4"/>
    </row>
    <row r="966" spans="12:12" ht="15.75" customHeight="1" x14ac:dyDescent="0.25">
      <c r="L966" s="4"/>
    </row>
    <row r="967" spans="12:12" ht="15.75" customHeight="1" x14ac:dyDescent="0.25">
      <c r="L967" s="4"/>
    </row>
    <row r="968" spans="12:12" ht="15.75" customHeight="1" x14ac:dyDescent="0.25">
      <c r="L968" s="4"/>
    </row>
    <row r="969" spans="12:12" ht="15.75" customHeight="1" x14ac:dyDescent="0.25">
      <c r="L969" s="4"/>
    </row>
    <row r="970" spans="12:12" ht="15.75" customHeight="1" x14ac:dyDescent="0.25">
      <c r="L970" s="4"/>
    </row>
    <row r="971" spans="12:12" ht="15.75" customHeight="1" x14ac:dyDescent="0.25">
      <c r="L971" s="4"/>
    </row>
    <row r="972" spans="12:12" ht="15.75" customHeight="1" x14ac:dyDescent="0.25">
      <c r="L972" s="4"/>
    </row>
    <row r="973" spans="12:12" ht="15.75" customHeight="1" x14ac:dyDescent="0.25">
      <c r="L973" s="4"/>
    </row>
    <row r="974" spans="12:12" ht="15.75" customHeight="1" x14ac:dyDescent="0.25">
      <c r="L974" s="4"/>
    </row>
    <row r="975" spans="12:12" ht="15.75" customHeight="1" x14ac:dyDescent="0.25">
      <c r="L975" s="4"/>
    </row>
    <row r="976" spans="12:12" ht="15.75" customHeight="1" x14ac:dyDescent="0.25">
      <c r="L976" s="4"/>
    </row>
    <row r="977" spans="12:12" ht="15.75" customHeight="1" x14ac:dyDescent="0.25">
      <c r="L977" s="4"/>
    </row>
    <row r="978" spans="12:12" ht="15.75" customHeight="1" x14ac:dyDescent="0.25">
      <c r="L978" s="4"/>
    </row>
    <row r="979" spans="12:12" ht="15.75" customHeight="1" x14ac:dyDescent="0.25">
      <c r="L979" s="4"/>
    </row>
    <row r="980" spans="12:12" ht="15.75" customHeight="1" x14ac:dyDescent="0.25">
      <c r="L980" s="4"/>
    </row>
    <row r="981" spans="12:12" ht="15.75" customHeight="1" x14ac:dyDescent="0.25">
      <c r="L981" s="4"/>
    </row>
    <row r="982" spans="12:12" ht="15.75" customHeight="1" x14ac:dyDescent="0.25">
      <c r="L982" s="4"/>
    </row>
    <row r="983" spans="12:12" ht="15.75" customHeight="1" x14ac:dyDescent="0.25">
      <c r="L983" s="4"/>
    </row>
    <row r="984" spans="12:12" ht="15.75" customHeight="1" x14ac:dyDescent="0.25">
      <c r="L984" s="4"/>
    </row>
    <row r="985" spans="12:12" ht="15.75" customHeight="1" x14ac:dyDescent="0.25">
      <c r="L985" s="4"/>
    </row>
    <row r="986" spans="12:12" ht="15.75" customHeight="1" x14ac:dyDescent="0.25">
      <c r="L986" s="4"/>
    </row>
    <row r="987" spans="12:12" ht="15.75" customHeight="1" x14ac:dyDescent="0.25">
      <c r="L987" s="4"/>
    </row>
    <row r="988" spans="12:12" ht="15.75" customHeight="1" x14ac:dyDescent="0.25">
      <c r="L988" s="4"/>
    </row>
    <row r="989" spans="12:12" ht="15.75" customHeight="1" x14ac:dyDescent="0.25">
      <c r="L989" s="4"/>
    </row>
    <row r="990" spans="12:12" ht="15.75" customHeight="1" x14ac:dyDescent="0.25">
      <c r="L990" s="4"/>
    </row>
    <row r="991" spans="12:12" ht="15.75" customHeight="1" x14ac:dyDescent="0.25">
      <c r="L991" s="4"/>
    </row>
    <row r="992" spans="12:12" ht="15.75" customHeight="1" x14ac:dyDescent="0.25">
      <c r="L992" s="4"/>
    </row>
    <row r="993" spans="12:12" ht="15.75" customHeight="1" x14ac:dyDescent="0.25">
      <c r="L993" s="4"/>
    </row>
    <row r="994" spans="12:12" ht="15.75" customHeight="1" x14ac:dyDescent="0.25">
      <c r="L994" s="4"/>
    </row>
    <row r="995" spans="12:12" ht="15.75" customHeight="1" x14ac:dyDescent="0.25">
      <c r="L995" s="4"/>
    </row>
    <row r="996" spans="12:12" ht="15.75" customHeight="1" x14ac:dyDescent="0.25">
      <c r="L996" s="4"/>
    </row>
    <row r="997" spans="12:12" ht="15.75" customHeight="1" x14ac:dyDescent="0.25">
      <c r="L997" s="4"/>
    </row>
    <row r="998" spans="12:12" ht="15.75" customHeight="1" x14ac:dyDescent="0.25">
      <c r="L998" s="4"/>
    </row>
    <row r="999" spans="12:12" ht="15.75" customHeight="1" x14ac:dyDescent="0.25">
      <c r="L999" s="4"/>
    </row>
    <row r="1000" spans="12:12" ht="15.75" customHeight="1" x14ac:dyDescent="0.25">
      <c r="L1000" s="4"/>
    </row>
    <row r="1001" spans="12:12" ht="15.75" customHeight="1" x14ac:dyDescent="0.25">
      <c r="L1001" s="4"/>
    </row>
    <row r="1002" spans="12:12" ht="15.75" customHeight="1" x14ac:dyDescent="0.25">
      <c r="L1002" s="4"/>
    </row>
    <row r="1003" spans="12:12" ht="15.75" customHeight="1" x14ac:dyDescent="0.25">
      <c r="L1003" s="4"/>
    </row>
    <row r="1004" spans="12:12" ht="15.75" customHeight="1" x14ac:dyDescent="0.25">
      <c r="L1004" s="4"/>
    </row>
    <row r="1005" spans="12:12" ht="15.75" customHeight="1" x14ac:dyDescent="0.25">
      <c r="L1005" s="4"/>
    </row>
    <row r="1006" spans="12:12" ht="15.75" customHeight="1" x14ac:dyDescent="0.25">
      <c r="L1006" s="4"/>
    </row>
    <row r="1007" spans="12:12" ht="15.75" customHeight="1" x14ac:dyDescent="0.25">
      <c r="L1007" s="4"/>
    </row>
    <row r="1008" spans="12:12" ht="15.75" customHeight="1" x14ac:dyDescent="0.25">
      <c r="L1008" s="4"/>
    </row>
    <row r="1009" spans="12:12" ht="15.75" customHeight="1" x14ac:dyDescent="0.25">
      <c r="L1009" s="4"/>
    </row>
    <row r="1010" spans="12:12" ht="15.75" customHeight="1" x14ac:dyDescent="0.25">
      <c r="L1010" s="4"/>
    </row>
    <row r="1011" spans="12:12" ht="15.75" customHeight="1" x14ac:dyDescent="0.25">
      <c r="L1011" s="4"/>
    </row>
    <row r="1012" spans="12:12" ht="15.75" customHeight="1" x14ac:dyDescent="0.25">
      <c r="L1012" s="4"/>
    </row>
  </sheetData>
  <mergeCells count="2">
    <mergeCell ref="D15:F15"/>
    <mergeCell ref="H3:I3"/>
  </mergeCells>
  <printOptions horizontalCentered="1"/>
  <pageMargins left="0.51181102362204722" right="0.31496062992125984" top="0.35433070866141736" bottom="0.35433070866141736" header="0" footer="0"/>
  <pageSetup paperSize="9" scale="1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0933-ACF9-4CAE-8A44-EE20EB4710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RSDFuel (2)</vt:lpstr>
      <vt:lpstr>PARKS FEES</vt:lpstr>
      <vt:lpstr>LANDCO US$ CASH</vt:lpstr>
      <vt:lpstr>LANDCO MET CASH</vt:lpstr>
      <vt:lpstr>BEBE PC</vt:lpstr>
      <vt:lpstr>NEGU &amp; TACKLE</vt:lpstr>
      <vt:lpstr>Warren Cohen </vt:lpstr>
      <vt:lpstr>Alex &amp; Kevin</vt:lpstr>
      <vt:lpstr>Ablution</vt:lpstr>
      <vt:lpstr>Alex Room</vt:lpstr>
      <vt:lpstr>KrakenFuel</vt:lpstr>
      <vt:lpstr>RSDFuel</vt:lpstr>
      <vt:lpstr>Money received</vt:lpstr>
      <vt:lpstr>Warren Stead</vt:lpstr>
      <vt:lpstr>Brendon</vt:lpstr>
      <vt:lpstr>Robin Bouckaert</vt:lpstr>
      <vt:lpstr>Sheet1</vt:lpstr>
      <vt:lpstr>Ablution!Print_Area</vt:lpstr>
      <vt:lpstr>'Alex &amp; Kevin'!Print_Area</vt:lpstr>
      <vt:lpstr>'Alex Room'!Print_Area</vt:lpstr>
      <vt:lpstr>'BEBE PC'!Print_Area</vt:lpstr>
      <vt:lpstr>KrakenFuel!Print_Area</vt:lpstr>
      <vt:lpstr>'LANDCO MET CASH'!Print_Area</vt:lpstr>
      <vt:lpstr>'Money received'!Print_Area</vt:lpstr>
      <vt:lpstr>'NEGU &amp; TACKLE'!Print_Area</vt:lpstr>
      <vt:lpstr>RSDFuel!Print_Area</vt:lpstr>
      <vt:lpstr>'RSDFuel (2)'!Print_Area</vt:lpstr>
      <vt:lpstr>'Warren Cohen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2026-01-09T14:19:35Z</cp:lastPrinted>
  <dcterms:created xsi:type="dcterms:W3CDTF">2022-01-28T13:29:15Z</dcterms:created>
  <dcterms:modified xsi:type="dcterms:W3CDTF">2026-03-26T12:57:45Z</dcterms:modified>
</cp:coreProperties>
</file>