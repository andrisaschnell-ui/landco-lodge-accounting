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ndco\Accounts 2026\Landco Accounts 2026\02 FEB ACCOUNTS\"/>
    </mc:Choice>
  </mc:AlternateContent>
  <xr:revisionPtr revIDLastSave="0" documentId="13_ncr:1_{1C27FB42-FDC7-4037-B50F-8955D411A707}" xr6:coauthVersionLast="47" xr6:coauthVersionMax="47" xr10:uidLastSave="{00000000-0000-0000-0000-000000000000}"/>
  <bookViews>
    <workbookView xWindow="-120" yWindow="-120" windowWidth="20730" windowHeight="11040" tabRatio="500" activeTab="2" xr2:uid="{00000000-000D-0000-FFFF-FFFF00000000}"/>
  </bookViews>
  <sheets>
    <sheet name="INCOME" sheetId="28" r:id="rId1"/>
    <sheet name="RECON" sheetId="22" r:id="rId2"/>
    <sheet name=" EXPENSES" sheetId="26" r:id="rId3"/>
    <sheet name=" EXPENSES HOUSE" sheetId="27" r:id="rId4"/>
    <sheet name="MONTHLY FOR THE YEAR" sheetId="24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Print_Area" localSheetId="2">' EXPENSES'!#REF!</definedName>
    <definedName name="_xlnm.Print_Area" localSheetId="3">' EXPENSES HOUSE'!#REF!</definedName>
    <definedName name="_xlnm.Print_Area" localSheetId="0">INCOME!#REF!</definedName>
    <definedName name="_xlnm.Print_Area" localSheetId="4">'MONTHLY FOR THE YEAR'!#REF!</definedName>
    <definedName name="_xlnm.Print_Area" localSheetId="1">RECON!$B$1:$J$29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" i="22" l="1"/>
  <c r="C22" i="22" l="1"/>
  <c r="C24" i="22" l="1"/>
  <c r="C21" i="22" l="1"/>
  <c r="J17" i="22" l="1"/>
  <c r="J16" i="22"/>
  <c r="G21" i="22" l="1"/>
  <c r="G23" i="22"/>
  <c r="H4" i="27" l="1"/>
  <c r="G6" i="27"/>
  <c r="G5" i="27"/>
  <c r="O19" i="27"/>
  <c r="Q31" i="26"/>
  <c r="AA14" i="26"/>
  <c r="AC14" i="26" s="1"/>
  <c r="H39" i="26"/>
  <c r="H40" i="26"/>
  <c r="AA40" i="26" s="1"/>
  <c r="AC40" i="26" s="1"/>
  <c r="E39" i="26" l="1"/>
  <c r="E2" i="26" s="1"/>
  <c r="Y34" i="26"/>
  <c r="X34" i="26"/>
  <c r="W34" i="26"/>
  <c r="V34" i="26"/>
  <c r="F34" i="26"/>
  <c r="F39" i="26" s="1"/>
  <c r="Y39" i="26" l="1"/>
  <c r="D7" i="27"/>
  <c r="X39" i="26"/>
  <c r="D6" i="27" s="1"/>
  <c r="V39" i="26"/>
  <c r="D4" i="27" s="1"/>
  <c r="W39" i="26"/>
  <c r="D5" i="27" s="1"/>
  <c r="F56" i="26"/>
  <c r="I49" i="26"/>
  <c r="S48" i="26"/>
  <c r="Q47" i="26"/>
  <c r="Q46" i="26"/>
  <c r="S43" i="26"/>
  <c r="S44" i="26"/>
  <c r="Y42" i="26"/>
  <c r="I41" i="26"/>
  <c r="L38" i="26"/>
  <c r="L37" i="26"/>
  <c r="S36" i="26"/>
  <c r="I35" i="26"/>
  <c r="L32" i="26"/>
  <c r="Y29" i="26"/>
  <c r="K27" i="26"/>
  <c r="J25" i="26"/>
  <c r="J23" i="26"/>
  <c r="H21" i="26"/>
  <c r="R20" i="26"/>
  <c r="K18" i="26"/>
  <c r="H16" i="26"/>
  <c r="M10" i="26"/>
  <c r="M9" i="26"/>
  <c r="I24" i="26"/>
  <c r="I22" i="26"/>
  <c r="I19" i="26"/>
  <c r="I17" i="26"/>
  <c r="I15" i="26"/>
  <c r="AA15" i="26" s="1"/>
  <c r="AC15" i="26" s="1"/>
  <c r="I13" i="26"/>
  <c r="I11" i="26"/>
  <c r="I8" i="26"/>
  <c r="H12" i="26"/>
  <c r="H7" i="26"/>
  <c r="E54" i="26"/>
  <c r="F54" i="26" l="1"/>
  <c r="G54" i="26" s="1"/>
  <c r="E3" i="26"/>
  <c r="I7" i="27"/>
  <c r="AA39" i="26"/>
  <c r="AC39" i="26" s="1"/>
  <c r="C12" i="22"/>
  <c r="G13" i="22"/>
  <c r="D4" i="22"/>
  <c r="D8" i="28"/>
  <c r="E8" i="28" s="1"/>
  <c r="K24" i="22"/>
  <c r="K23" i="22"/>
  <c r="K22" i="22"/>
  <c r="K27" i="22" s="1"/>
  <c r="K31" i="22" s="1"/>
  <c r="J22" i="22"/>
  <c r="J31" i="22" s="1"/>
  <c r="C23" i="22" l="1"/>
  <c r="AA41" i="26" l="1"/>
  <c r="AC41" i="26" s="1"/>
  <c r="AA42" i="26"/>
  <c r="AC42" i="26" s="1"/>
  <c r="AA43" i="26"/>
  <c r="AC43" i="26" s="1"/>
  <c r="H6" i="27" l="1"/>
  <c r="AA38" i="26" l="1"/>
  <c r="AC38" i="26" s="1"/>
  <c r="I18" i="22" l="1"/>
  <c r="J18" i="22"/>
  <c r="I5" i="27" l="1"/>
  <c r="O13" i="27" l="1"/>
  <c r="K5" i="27" l="1"/>
  <c r="N25" i="27"/>
  <c r="O25" i="27" s="1"/>
  <c r="K4" i="27" l="1"/>
  <c r="N24" i="27"/>
  <c r="AA59" i="26"/>
  <c r="AC59" i="26" s="1"/>
  <c r="O24" i="27" l="1"/>
  <c r="N19" i="27" l="1"/>
  <c r="O12" i="27" l="1"/>
  <c r="J6" i="27"/>
  <c r="N26" i="27"/>
  <c r="K7" i="27" l="1"/>
  <c r="O26" i="27"/>
  <c r="K14" i="22"/>
  <c r="K15" i="22"/>
  <c r="N30" i="27" l="1"/>
  <c r="C4" i="24"/>
  <c r="K6" i="27"/>
  <c r="N27" i="27" l="1"/>
  <c r="AA13" i="26"/>
  <c r="AC13" i="26" s="1"/>
  <c r="AA26" i="26"/>
  <c r="AC26" i="26" s="1"/>
  <c r="AA45" i="26"/>
  <c r="AC45" i="26" s="1"/>
  <c r="AA46" i="26"/>
  <c r="AC46" i="26" s="1"/>
  <c r="AA47" i="26"/>
  <c r="AC47" i="26" s="1"/>
  <c r="AA48" i="26"/>
  <c r="AC48" i="26" s="1"/>
  <c r="AA49" i="26"/>
  <c r="AC49" i="26" s="1"/>
  <c r="AA50" i="26"/>
  <c r="AC50" i="26" s="1"/>
  <c r="AA51" i="26"/>
  <c r="AC51" i="26" s="1"/>
  <c r="AA52" i="26"/>
  <c r="AC52" i="26" s="1"/>
  <c r="AA53" i="26"/>
  <c r="AC53" i="26" s="1"/>
  <c r="AA54" i="26"/>
  <c r="AC54" i="26" s="1"/>
  <c r="AA55" i="26"/>
  <c r="AC55" i="26" s="1"/>
  <c r="AA56" i="26"/>
  <c r="AC56" i="26" s="1"/>
  <c r="AA57" i="26"/>
  <c r="AC57" i="26" s="1"/>
  <c r="AA58" i="26"/>
  <c r="AC58" i="26" s="1"/>
  <c r="AA44" i="26"/>
  <c r="AC44" i="26" s="1"/>
  <c r="AA37" i="26"/>
  <c r="AC37" i="26" s="1"/>
  <c r="AA33" i="26"/>
  <c r="AC33" i="26" s="1"/>
  <c r="AA31" i="26"/>
  <c r="AC31" i="26" s="1"/>
  <c r="AA30" i="26"/>
  <c r="AC30" i="26" s="1"/>
  <c r="AA29" i="26"/>
  <c r="AC29" i="26" s="1"/>
  <c r="AA25" i="26"/>
  <c r="AC25" i="26" s="1"/>
  <c r="AA24" i="26"/>
  <c r="AC24" i="26" s="1"/>
  <c r="AA22" i="26"/>
  <c r="AC22" i="26" s="1"/>
  <c r="AA21" i="26"/>
  <c r="AC21" i="26" s="1"/>
  <c r="AA19" i="26"/>
  <c r="AC19" i="26" s="1"/>
  <c r="AA17" i="26"/>
  <c r="AC17" i="26" s="1"/>
  <c r="AA36" i="26"/>
  <c r="AC36" i="26" s="1"/>
  <c r="AA34" i="26"/>
  <c r="AC34" i="26" s="1"/>
  <c r="AA32" i="26"/>
  <c r="AC32" i="26" s="1"/>
  <c r="AA28" i="26"/>
  <c r="AC28" i="26" s="1"/>
  <c r="AA23" i="26"/>
  <c r="AC23" i="26" s="1"/>
  <c r="AA20" i="26"/>
  <c r="AC20" i="26" s="1"/>
  <c r="AA18" i="26"/>
  <c r="AC18" i="26" s="1"/>
  <c r="AA16" i="26"/>
  <c r="AC16" i="26" s="1"/>
  <c r="AA10" i="26"/>
  <c r="AC10" i="26" s="1"/>
  <c r="AA9" i="26"/>
  <c r="AC9" i="26" s="1"/>
  <c r="O27" i="27" l="1"/>
  <c r="N28" i="27"/>
  <c r="AA35" i="26"/>
  <c r="AC35" i="26" s="1"/>
  <c r="AA12" i="26"/>
  <c r="AC12" i="26" s="1"/>
  <c r="AA7" i="26"/>
  <c r="AA27" i="26"/>
  <c r="AC27" i="26" s="1"/>
  <c r="AA11" i="26"/>
  <c r="AC11" i="26" s="1"/>
  <c r="AA8" i="26"/>
  <c r="AC8" i="26" s="1"/>
  <c r="O5" i="27" l="1"/>
  <c r="O6" i="27"/>
  <c r="O7" i="27"/>
  <c r="O8" i="27"/>
  <c r="O9" i="27"/>
  <c r="O10" i="27"/>
  <c r="O11" i="27"/>
  <c r="O14" i="27"/>
  <c r="O15" i="27"/>
  <c r="O16" i="27"/>
  <c r="O17" i="27"/>
  <c r="O18" i="27"/>
  <c r="O4" i="27"/>
  <c r="C4" i="27" l="1"/>
  <c r="L4" i="27" s="1"/>
  <c r="E4" i="22" l="1"/>
  <c r="C5" i="27"/>
  <c r="L5" i="27" s="1"/>
  <c r="E5" i="22" s="1"/>
  <c r="C6" i="27" l="1"/>
  <c r="L6" i="27" s="1"/>
  <c r="E6" i="22" s="1"/>
  <c r="C7" i="27" l="1"/>
  <c r="L7" i="27" s="1"/>
  <c r="E7" i="22" s="1"/>
  <c r="L8" i="27" l="1"/>
  <c r="E3" i="28" l="1"/>
  <c r="F3" i="28" s="1"/>
  <c r="E2" i="28"/>
  <c r="F2" i="28" s="1"/>
  <c r="E4" i="28"/>
  <c r="F4" i="28" s="1"/>
  <c r="E1" i="28" l="1"/>
  <c r="F1" i="28"/>
  <c r="G5" i="28" s="1"/>
  <c r="E5" i="28"/>
  <c r="F5" i="28" s="1"/>
  <c r="F8" i="22" l="1"/>
  <c r="D25" i="22" l="1"/>
  <c r="D21" i="22" l="1"/>
  <c r="AC7" i="26" l="1"/>
  <c r="E4" i="26" l="1"/>
  <c r="G4" i="26" l="1"/>
  <c r="H4" i="26" s="1"/>
  <c r="L9" i="27"/>
  <c r="L12" i="27" s="1"/>
  <c r="F5" i="22" l="1"/>
  <c r="F7" i="22"/>
  <c r="F6" i="22"/>
  <c r="D5" i="24" l="1"/>
  <c r="D6" i="24"/>
  <c r="D7" i="24"/>
  <c r="D8" i="24"/>
  <c r="D9" i="24"/>
  <c r="D10" i="24"/>
  <c r="D12" i="24"/>
  <c r="D13" i="24"/>
  <c r="D14" i="24"/>
  <c r="D15" i="24"/>
  <c r="D4" i="24"/>
  <c r="D9" i="22" l="1"/>
  <c r="C13" i="22" s="1"/>
  <c r="K13" i="22" s="1"/>
  <c r="C18" i="22" l="1"/>
  <c r="E18" i="22" l="1"/>
  <c r="D18" i="22"/>
  <c r="J19" i="22" l="1"/>
  <c r="C16" i="24" l="1"/>
  <c r="C18" i="24" s="1"/>
  <c r="D11" i="24"/>
  <c r="D16" i="24" s="1"/>
  <c r="D18" i="24" s="1"/>
  <c r="W3" i="26" l="1"/>
  <c r="D22" i="22" l="1"/>
  <c r="H5" i="22"/>
  <c r="D23" i="22" l="1"/>
  <c r="H6" i="22"/>
  <c r="L10" i="27" l="1"/>
  <c r="N31" i="27"/>
  <c r="E9" i="22" l="1"/>
  <c r="B16" i="22" s="1"/>
  <c r="F4" i="22" l="1"/>
  <c r="H4" i="22" s="1"/>
  <c r="F9" i="22" l="1"/>
  <c r="B17" i="22" l="1"/>
  <c r="B18" i="22" l="1"/>
  <c r="C19" i="22" s="1"/>
  <c r="K12" i="22" l="1"/>
  <c r="G18" i="22"/>
  <c r="H16" i="22" l="1"/>
  <c r="K16" i="22" l="1"/>
  <c r="H7" i="22" l="1"/>
  <c r="D24" i="22"/>
  <c r="D26" i="22" s="1"/>
  <c r="C26" i="22"/>
  <c r="G22" i="22" l="1"/>
  <c r="H17" i="22"/>
  <c r="K17" i="22" l="1"/>
  <c r="K19" i="22" s="1"/>
  <c r="H18" i="22"/>
  <c r="H19" i="22" s="1"/>
  <c r="H22" i="22"/>
  <c r="G26" i="22"/>
  <c r="G29" i="22" s="1"/>
</calcChain>
</file>

<file path=xl/sharedStrings.xml><?xml version="1.0" encoding="utf-8"?>
<sst xmlns="http://schemas.openxmlformats.org/spreadsheetml/2006/main" count="289" uniqueCount="155">
  <si>
    <t>LANDCO INCOME</t>
  </si>
  <si>
    <t>DATE</t>
  </si>
  <si>
    <t>NAME</t>
  </si>
  <si>
    <t>ACCOMODATION</t>
  </si>
  <si>
    <t>BANK</t>
  </si>
  <si>
    <t>WARREN STEAD</t>
  </si>
  <si>
    <t>H1</t>
  </si>
  <si>
    <t>H2</t>
  </si>
  <si>
    <t>H3</t>
  </si>
  <si>
    <t>H4</t>
  </si>
  <si>
    <t>Total</t>
  </si>
  <si>
    <t>NEGU</t>
  </si>
  <si>
    <t>PAYMENTS</t>
  </si>
  <si>
    <t>BALANCE</t>
  </si>
  <si>
    <t>CASH</t>
  </si>
  <si>
    <t>HOUSE</t>
  </si>
  <si>
    <t>DOLLARS</t>
  </si>
  <si>
    <t>TOTAL MTS</t>
  </si>
  <si>
    <t>TOTAL PER MONTH</t>
  </si>
  <si>
    <t>ADD INCOME</t>
  </si>
  <si>
    <t>SHAREHOLDERS</t>
  </si>
  <si>
    <t>PETTY CASH</t>
  </si>
  <si>
    <t>OPEN BALANCE</t>
  </si>
  <si>
    <t>INCOME</t>
  </si>
  <si>
    <t>MONTH</t>
  </si>
  <si>
    <t>EXPENSES</t>
  </si>
  <si>
    <t>AVERAGE</t>
  </si>
  <si>
    <t>CASA LUZ</t>
  </si>
  <si>
    <t>CASA CAJU</t>
  </si>
  <si>
    <t>CASA COCO</t>
  </si>
  <si>
    <t>CASA AURORA</t>
  </si>
  <si>
    <t>NEGO</t>
  </si>
  <si>
    <t>LANDCO EXPENSES</t>
  </si>
  <si>
    <t>LANDCO BANK EXPENSES</t>
  </si>
  <si>
    <t>BANK PAYMENTS</t>
  </si>
  <si>
    <t>CASH PAYMENTS</t>
  </si>
  <si>
    <t>TOTAL</t>
  </si>
  <si>
    <t>SHARED EXPENSES</t>
  </si>
  <si>
    <t>SUPPLER</t>
  </si>
  <si>
    <t>DISCRIPTION</t>
  </si>
  <si>
    <t>LC SALARIES &amp; WAGES</t>
  </si>
  <si>
    <t>CASUAL WORKERS AND FOOD ALLOWANCE</t>
  </si>
  <si>
    <t>ADVANCE SALARIES INCLUDED IN TOTAL SALRIES</t>
  </si>
  <si>
    <t>OFFICE AND BANK CHARGES</t>
  </si>
  <si>
    <t>ADMIN CHARGES (BDO &amp; ANDRISA )</t>
  </si>
  <si>
    <t>GAS AND ELECTRISITY</t>
  </si>
  <si>
    <t>MAINTENANCE GENERAL</t>
  </si>
  <si>
    <t>MAINTENANCE GARDEN &amp; POOL</t>
  </si>
  <si>
    <t>SMALL TOOLS</t>
  </si>
  <si>
    <t>MAINTENANCE VEHICLES</t>
  </si>
  <si>
    <t>INSURANCE &amp; LICENSE</t>
  </si>
  <si>
    <t>DIESEL AND PETROL</t>
  </si>
  <si>
    <t>HOUSE KEEPING</t>
  </si>
  <si>
    <t>MARINTINE &amp; MUNICIPAL TAXES IPRA &amp;TAE</t>
  </si>
  <si>
    <t>EXPENSES LUZ</t>
  </si>
  <si>
    <t>EXPENSES AURORA</t>
  </si>
  <si>
    <t>EXPENSES CAJU</t>
  </si>
  <si>
    <t>EXPENSES COCO</t>
  </si>
  <si>
    <t>SUSPENCE</t>
  </si>
  <si>
    <t>SALARIES &amp; WAGES</t>
  </si>
  <si>
    <t>ADMIN CHARGES (BDO &amp; ANDRISA ENS )</t>
  </si>
  <si>
    <t>LANDCO BANK EXPENSES PER HOUSE</t>
  </si>
  <si>
    <t>SHARED</t>
  </si>
  <si>
    <t>CASUAL WORKERS AND ALLOWANCE</t>
  </si>
  <si>
    <t xml:space="preserve">SALARIES </t>
  </si>
  <si>
    <t>HOUSEHOLD EQUIPMENT</t>
  </si>
  <si>
    <t>TAFY</t>
  </si>
  <si>
    <t>BANK/PRE-PAID &amp; $</t>
  </si>
  <si>
    <t>EQUIPMENT</t>
  </si>
  <si>
    <t>IRPS</t>
  </si>
  <si>
    <t>INSS</t>
  </si>
  <si>
    <t>OFFICE &amp; BANK CHARGES</t>
  </si>
  <si>
    <t xml:space="preserve">EQUIPMENT PRESSURE PUMP X 2 </t>
  </si>
  <si>
    <t>TOTAL PERSONAL</t>
  </si>
  <si>
    <t>PETROL  &amp; BATTERY</t>
  </si>
  <si>
    <t>EXPENSES BY GUESTS</t>
  </si>
  <si>
    <t>PETTY CAH</t>
  </si>
  <si>
    <t>DOCUMENTS TO MAPUTO</t>
  </si>
  <si>
    <t>FOOD FOR WORKERS</t>
  </si>
  <si>
    <t>COMMUNITY</t>
  </si>
  <si>
    <t>COMMUNITY DONATION</t>
  </si>
  <si>
    <t xml:space="preserve">TAFY </t>
  </si>
  <si>
    <t xml:space="preserve">received Jan </t>
  </si>
  <si>
    <t xml:space="preserve">ALEX </t>
  </si>
  <si>
    <t>WARREN COHEN</t>
  </si>
  <si>
    <t>RECEIVED IN METS</t>
  </si>
  <si>
    <t>ANDRISA CASH</t>
  </si>
  <si>
    <t xml:space="preserve">NEGU </t>
  </si>
  <si>
    <t>RECEIVED TO REPLAY BURGARY</t>
  </si>
  <si>
    <t>BALANCE END JAN</t>
  </si>
  <si>
    <t>INCOME FEB</t>
  </si>
  <si>
    <t>EXPENSES FEB</t>
  </si>
  <si>
    <t>TOTAL END FEB</t>
  </si>
  <si>
    <t>Leave</t>
  </si>
  <si>
    <t>Salaries &amp; Wages</t>
  </si>
  <si>
    <t>Bank Charges</t>
  </si>
  <si>
    <t>Office expenses</t>
  </si>
  <si>
    <t>Quimical swimming pools</t>
  </si>
  <si>
    <t>Pool Maintenance</t>
  </si>
  <si>
    <t>Advance</t>
  </si>
  <si>
    <t>Union Fee</t>
  </si>
  <si>
    <t>Electrisity</t>
  </si>
  <si>
    <t>Gas&amp; Eletrisity</t>
  </si>
  <si>
    <t>Diesel Generator</t>
  </si>
  <si>
    <t>General Maintenance</t>
  </si>
  <si>
    <t>Accounting</t>
  </si>
  <si>
    <t>Accounting fee Feb</t>
  </si>
  <si>
    <t>Admin Fee</t>
  </si>
  <si>
    <t>Admin Cost</t>
  </si>
  <si>
    <t>Gas Jan</t>
  </si>
  <si>
    <t>House Kepping Towel Duck</t>
  </si>
  <si>
    <t>House Keping</t>
  </si>
  <si>
    <t>SIM R SEG</t>
  </si>
  <si>
    <t>INSURANCE JET SKI AND TRAILER</t>
  </si>
  <si>
    <t>Revisao de Extintores</t>
  </si>
  <si>
    <t>MAINTENANCE</t>
  </si>
  <si>
    <t>SALARIES FEB</t>
  </si>
  <si>
    <t>Cleaning supplies</t>
  </si>
  <si>
    <t>Eletrical material</t>
  </si>
  <si>
    <t>Lampadas</t>
  </si>
  <si>
    <t>FISH  BODYBOARD</t>
  </si>
  <si>
    <t xml:space="preserve">HOUSE 4 </t>
  </si>
  <si>
    <t>WINDO CLEAN</t>
  </si>
  <si>
    <t>SUNLIGHT</t>
  </si>
  <si>
    <t>SOAP</t>
  </si>
  <si>
    <t>HOUSE KEEPING HOUSE 1</t>
  </si>
  <si>
    <t>IMPOSTOS VEICULOS</t>
  </si>
  <si>
    <t>TAX  LICENSE</t>
  </si>
  <si>
    <t>TAX RADIO LICENSE</t>
  </si>
  <si>
    <t>TECNO 40 X 2</t>
  </si>
  <si>
    <t>CELL FOR GUARDS SECURITY</t>
  </si>
  <si>
    <t>STARLINK FOR FEB</t>
  </si>
  <si>
    <t>INACIO AND PEDRO CLEANING BOAT</t>
  </si>
  <si>
    <t>BEFORE CYCLONE INACIO, ZITO AND PEDRO</t>
  </si>
  <si>
    <t>PETROL ALLOWANS JAN AND FEB</t>
  </si>
  <si>
    <t>ANDRISA HALF OF EXPENSES DIRE</t>
  </si>
  <si>
    <t>SEAPORT CLEANING MATERIAL BOATS</t>
  </si>
  <si>
    <t>CHRIS MONTHLY FEE</t>
  </si>
  <si>
    <t>Salaries &amp; Wages Feb</t>
  </si>
  <si>
    <t>BOAT CLEANING MATERIAL</t>
  </si>
  <si>
    <t>END FEB</t>
  </si>
  <si>
    <t>SHAREHOLDERS ACCOUNTS END  FEB</t>
  </si>
  <si>
    <t>DOLLAR CASH</t>
  </si>
  <si>
    <t>BANK MTS &amp; $</t>
  </si>
  <si>
    <t>BOAT SKIPPERS CLEANING</t>
  </si>
  <si>
    <t>BANK SOURCE</t>
  </si>
  <si>
    <t>Finances</t>
  </si>
  <si>
    <t>Salarios</t>
  </si>
  <si>
    <t>Alex</t>
  </si>
  <si>
    <t>Inacio</t>
  </si>
  <si>
    <t>Pedro</t>
  </si>
  <si>
    <t>Petrol advances</t>
  </si>
  <si>
    <t>Andrisa Imigration</t>
  </si>
  <si>
    <t>Chris</t>
  </si>
  <si>
    <t>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</si>
</sst>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5" formatCode="_(* #,##0.00_);_(* \(#,##0.00\);_(* \-??_);_(@_)"/>
    <numFmt numFmtId="166" formatCode="_ * #,##0.00_ ;_ * \-#,##0.00_ ;_ * \-??_ ;_ @_ "/>
    <numFmt numFmtId="167" formatCode="_-* #,##0.00\ _€_-;\-* #,##0.00\ _€_-;_-* \-??\ _€_-;_-@_-"/>
    <numFmt numFmtId="168" formatCode="_-* #,##0.00_-;\-* #,##0.00_-;_-* \-??_-;_-@_-"/>
    <numFmt numFmtId="169" formatCode="_-* #,##0.00_-;\-* #,##0.00_-;_-* \-??_-;_-@"/>
    <numFmt numFmtId="170" formatCode="[$-3009]dd\-mmm\-yy"/>
    <numFmt numFmtId="172" formatCode="[$MZN]\ #,##0.00"/>
    <numFmt numFmtId="173" formatCode="&quot;$&quot;#,##0.00"/>
    <numFmt numFmtId="174" formatCode="[$-409]mmm\-yy;@"/>
    <numFmt numFmtId="175" formatCode="[$-409]dd\-mmm\-yy;@"/>
    <numFmt numFmtId="178" formatCode="_-* #,##0.00_-;\-* #,##0.00_-;_-* &quot;-&quot;??_-;_-@"/>
    <numFmt numFmtId="180" formatCode="[$$-409]#,##0.00"/>
    <numFmt numFmtId="182" formatCode="yyyy\-mm\-dd;@"/>
  </numFmts>
  <fonts count="74" x14ac:knownFonts="1">
    <font>
      <sz val="11"/>
      <color rgb="FF000000"/>
      <name val="Calibri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Gill Sans MT"/>
      <family val="2"/>
      <charset val="1"/>
    </font>
    <font>
      <b/>
      <u/>
      <sz val="24"/>
      <name val="Gill Sans MT"/>
      <family val="2"/>
      <charset val="1"/>
    </font>
    <font>
      <b/>
      <u/>
      <sz val="10"/>
      <name val="Gill Sans MT"/>
      <family val="2"/>
      <charset val="1"/>
    </font>
    <font>
      <b/>
      <sz val="10"/>
      <name val="Gill Sans MT"/>
      <family val="2"/>
      <charset val="1"/>
    </font>
    <font>
      <sz val="11"/>
      <color rgb="FF000000"/>
      <name val="Gill Sans MT"/>
      <family val="2"/>
      <charset val="1"/>
    </font>
    <font>
      <b/>
      <u/>
      <sz val="18"/>
      <color rgb="FF000000"/>
      <name val="Arial"/>
      <family val="2"/>
      <charset val="1"/>
    </font>
    <font>
      <sz val="10"/>
      <color rgb="FF000000"/>
      <name val="Gill Sans MT"/>
      <family val="2"/>
      <charset val="1"/>
    </font>
    <font>
      <b/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name val="Calibri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Gill Sans MT"/>
      <family val="2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sz val="11"/>
      <color theme="8" tint="0.3999755851924192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3" tint="0.3999755851924192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Gill Sans MT"/>
      <family val="2"/>
      <charset val="1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color rgb="FF000000"/>
      <name val="Calibri"/>
      <family val="2"/>
      <charset val="1"/>
    </font>
    <font>
      <sz val="10"/>
      <color rgb="FF000000"/>
      <name val="Aptos Display"/>
      <family val="2"/>
    </font>
    <font>
      <b/>
      <sz val="10"/>
      <color rgb="FF000000"/>
      <name val="Aptos Display"/>
      <family val="2"/>
    </font>
    <font>
      <sz val="10"/>
      <name val="Aptos Display"/>
      <family val="2"/>
    </font>
    <font>
      <sz val="10"/>
      <color rgb="FF000000"/>
      <name val="Calibri"/>
      <family val="2"/>
    </font>
    <font>
      <sz val="10"/>
      <name val="Aptos"/>
      <family val="2"/>
    </font>
    <font>
      <sz val="11"/>
      <name val="Aptos"/>
      <family val="2"/>
    </font>
    <font>
      <sz val="11"/>
      <name val="Calibri"/>
      <family val="2"/>
    </font>
    <font>
      <sz val="10"/>
      <color theme="1"/>
      <name val="Aptos Display"/>
      <family val="2"/>
      <scheme val="major"/>
    </font>
    <font>
      <sz val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rgb="FF000000"/>
      <name val="Calibri"/>
      <family val="2"/>
      <charset val="1"/>
    </font>
    <font>
      <sz val="10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8"/>
      <color rgb="FF000000"/>
      <name val="Arial"/>
      <family val="2"/>
      <charset val="1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FFFFCC"/>
      </patternFill>
    </fill>
    <fill>
      <patternFill patternType="solid">
        <fgColor theme="7" tint="0.59999389629810485"/>
        <bgColor indexed="64"/>
      </patternFill>
    </fill>
  </fills>
  <borders count="31">
    <border>
      <left/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theme="8" tint="-0.24994659260841701"/>
      </left>
      <right/>
      <top style="medium">
        <color theme="8" tint="-0.24994659260841701"/>
      </top>
      <bottom/>
      <diagonal/>
    </border>
    <border>
      <left/>
      <right style="medium">
        <color theme="8" tint="-0.24994659260841701"/>
      </right>
      <top style="medium">
        <color theme="8" tint="-0.24994659260841701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theme="8" tint="-0.24994659260841701"/>
      </left>
      <right/>
      <top/>
      <bottom/>
      <diagonal/>
    </border>
    <border>
      <left/>
      <right style="medium">
        <color theme="8" tint="-0.24994659260841701"/>
      </right>
      <top/>
      <bottom/>
      <diagonal/>
    </border>
    <border>
      <left style="medium">
        <color rgb="FFFF0000"/>
      </left>
      <right/>
      <top/>
      <bottom style="dotted">
        <color rgb="FF000000"/>
      </bottom>
      <diagonal/>
    </border>
    <border>
      <left/>
      <right style="medium">
        <color theme="8" tint="-0.24994659260841701"/>
      </right>
      <top/>
      <bottom style="dotted">
        <color rgb="FF000000"/>
      </bottom>
      <diagonal/>
    </border>
    <border>
      <left style="medium">
        <color theme="8" tint="-0.24994659260841701"/>
      </left>
      <right/>
      <top/>
      <bottom style="thin">
        <color indexed="64"/>
      </bottom>
      <diagonal/>
    </border>
    <border>
      <left/>
      <right style="medium">
        <color theme="8" tint="-0.24994659260841701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rgb="FFFF0000"/>
      </right>
      <top style="thin">
        <color indexed="64"/>
      </top>
      <bottom style="medium">
        <color indexed="64"/>
      </bottom>
      <diagonal/>
    </border>
    <border>
      <left style="medium">
        <color theme="8" tint="-0.24994659260841701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thin">
        <color auto="1"/>
      </bottom>
      <diagonal/>
    </border>
  </borders>
  <cellStyleXfs count="47">
    <xf numFmtId="0" fontId="0" fillId="0" borderId="0"/>
    <xf numFmtId="165" fontId="27" fillId="0" borderId="0" applyBorder="0" applyProtection="0"/>
    <xf numFmtId="166" fontId="27" fillId="0" borderId="0" applyBorder="0" applyProtection="0"/>
    <xf numFmtId="167" fontId="27" fillId="0" borderId="0" applyBorder="0" applyProtection="0"/>
    <xf numFmtId="165" fontId="27" fillId="0" borderId="0" applyBorder="0" applyProtection="0"/>
    <xf numFmtId="167" fontId="27" fillId="0" borderId="0" applyBorder="0" applyProtection="0"/>
    <xf numFmtId="168" fontId="27" fillId="0" borderId="0" applyBorder="0" applyProtection="0"/>
    <xf numFmtId="167" fontId="27" fillId="0" borderId="0" applyBorder="0" applyProtection="0"/>
    <xf numFmtId="167" fontId="27" fillId="0" borderId="0" applyBorder="0" applyProtection="0"/>
    <xf numFmtId="165" fontId="27" fillId="0" borderId="0" applyBorder="0" applyProtection="0"/>
    <xf numFmtId="165" fontId="27" fillId="0" borderId="0" applyBorder="0" applyProtection="0"/>
    <xf numFmtId="0" fontId="16" fillId="0" borderId="0"/>
    <xf numFmtId="0" fontId="16" fillId="0" borderId="0"/>
    <xf numFmtId="0" fontId="27" fillId="0" borderId="0"/>
    <xf numFmtId="0" fontId="16" fillId="0" borderId="0"/>
    <xf numFmtId="0" fontId="27" fillId="0" borderId="0"/>
    <xf numFmtId="0" fontId="17" fillId="0" borderId="0"/>
    <xf numFmtId="0" fontId="16" fillId="0" borderId="0"/>
    <xf numFmtId="0" fontId="16" fillId="0" borderId="0"/>
    <xf numFmtId="0" fontId="17" fillId="0" borderId="0"/>
    <xf numFmtId="0" fontId="18" fillId="0" borderId="0"/>
    <xf numFmtId="0" fontId="17" fillId="0" borderId="0"/>
    <xf numFmtId="9" fontId="27" fillId="0" borderId="0" applyBorder="0" applyProtection="0"/>
    <xf numFmtId="0" fontId="29" fillId="0" borderId="0"/>
    <xf numFmtId="0" fontId="15" fillId="0" borderId="0"/>
    <xf numFmtId="0" fontId="34" fillId="0" borderId="0"/>
    <xf numFmtId="0" fontId="14" fillId="0" borderId="0"/>
    <xf numFmtId="0" fontId="33" fillId="0" borderId="0"/>
    <xf numFmtId="165" fontId="33" fillId="0" borderId="0" applyBorder="0" applyAlignment="0" applyProtection="0"/>
    <xf numFmtId="165" fontId="33" fillId="0" borderId="0" applyBorder="0" applyAlignment="0" applyProtection="0"/>
    <xf numFmtId="0" fontId="33" fillId="0" borderId="0"/>
    <xf numFmtId="0" fontId="35" fillId="0" borderId="0"/>
    <xf numFmtId="0" fontId="36" fillId="0" borderId="0"/>
    <xf numFmtId="0" fontId="13" fillId="0" borderId="0"/>
    <xf numFmtId="0" fontId="37" fillId="0" borderId="0"/>
    <xf numFmtId="168" fontId="33" fillId="0" borderId="0" applyBorder="0" applyAlignment="0" applyProtection="0"/>
    <xf numFmtId="0" fontId="12" fillId="0" borderId="0"/>
    <xf numFmtId="0" fontId="39" fillId="0" borderId="0"/>
    <xf numFmtId="0" fontId="11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" fillId="0" borderId="0"/>
    <xf numFmtId="0" fontId="3" fillId="0" borderId="0"/>
  </cellStyleXfs>
  <cellXfs count="239">
    <xf numFmtId="0" fontId="0" fillId="0" borderId="0" xfId="0"/>
    <xf numFmtId="0" fontId="19" fillId="0" borderId="0" xfId="0" applyFont="1"/>
    <xf numFmtId="4" fontId="19" fillId="0" borderId="0" xfId="0" applyNumberFormat="1" applyFont="1"/>
    <xf numFmtId="0" fontId="20" fillId="0" borderId="0" xfId="0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4" fontId="21" fillId="0" borderId="0" xfId="0" applyNumberFormat="1" applyFont="1"/>
    <xf numFmtId="0" fontId="21" fillId="2" borderId="0" xfId="0" applyFont="1" applyFill="1"/>
    <xf numFmtId="0" fontId="19" fillId="2" borderId="0" xfId="0" applyFont="1" applyFill="1"/>
    <xf numFmtId="0" fontId="22" fillId="2" borderId="0" xfId="0" applyFont="1" applyFill="1" applyAlignment="1">
      <alignment horizontal="left"/>
    </xf>
    <xf numFmtId="0" fontId="22" fillId="2" borderId="0" xfId="0" applyFont="1" applyFill="1"/>
    <xf numFmtId="0" fontId="22" fillId="0" borderId="0" xfId="0" applyFont="1" applyAlignment="1">
      <alignment horizontal="left"/>
    </xf>
    <xf numFmtId="0" fontId="22" fillId="2" borderId="0" xfId="0" applyFont="1" applyFill="1" applyAlignment="1">
      <alignment horizontal="center"/>
    </xf>
    <xf numFmtId="4" fontId="22" fillId="0" borderId="0" xfId="0" applyNumberFormat="1" applyFont="1"/>
    <xf numFmtId="4" fontId="22" fillId="0" borderId="1" xfId="0" applyNumberFormat="1" applyFont="1" applyBorder="1"/>
    <xf numFmtId="169" fontId="22" fillId="2" borderId="0" xfId="0" applyNumberFormat="1" applyFont="1" applyFill="1"/>
    <xf numFmtId="0" fontId="22" fillId="3" borderId="2" xfId="0" applyFont="1" applyFill="1" applyBorder="1" applyAlignment="1">
      <alignment horizontal="center"/>
    </xf>
    <xf numFmtId="0" fontId="22" fillId="3" borderId="2" xfId="0" applyFont="1" applyFill="1" applyBorder="1"/>
    <xf numFmtId="170" fontId="19" fillId="2" borderId="2" xfId="0" applyNumberFormat="1" applyFont="1" applyFill="1" applyBorder="1" applyAlignment="1">
      <alignment horizontal="center"/>
    </xf>
    <xf numFmtId="0" fontId="19" fillId="0" borderId="2" xfId="0" applyFont="1" applyBorder="1"/>
    <xf numFmtId="4" fontId="19" fillId="0" borderId="2" xfId="0" applyNumberFormat="1" applyFont="1" applyBorder="1"/>
    <xf numFmtId="0" fontId="22" fillId="0" borderId="0" xfId="0" applyFont="1"/>
    <xf numFmtId="172" fontId="0" fillId="0" borderId="0" xfId="0" applyNumberFormat="1"/>
    <xf numFmtId="0" fontId="23" fillId="0" borderId="0" xfId="0" applyFont="1"/>
    <xf numFmtId="169" fontId="17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4" fontId="0" fillId="0" borderId="0" xfId="0" applyNumberFormat="1"/>
    <xf numFmtId="0" fontId="25" fillId="0" borderId="0" xfId="0" applyFont="1" applyAlignment="1">
      <alignment horizontal="center"/>
    </xf>
    <xf numFmtId="1" fontId="20" fillId="0" borderId="0" xfId="0" applyNumberFormat="1" applyFont="1"/>
    <xf numFmtId="1" fontId="19" fillId="0" borderId="0" xfId="0" applyNumberFormat="1" applyFont="1" applyAlignment="1">
      <alignment horizontal="left"/>
    </xf>
    <xf numFmtId="1" fontId="19" fillId="2" borderId="0" xfId="0" applyNumberFormat="1" applyFont="1" applyFill="1"/>
    <xf numFmtId="1" fontId="22" fillId="0" borderId="0" xfId="0" applyNumberFormat="1" applyFont="1" applyAlignment="1">
      <alignment horizontal="left"/>
    </xf>
    <xf numFmtId="1" fontId="22" fillId="3" borderId="2" xfId="0" applyNumberFormat="1" applyFont="1" applyFill="1" applyBorder="1" applyAlignment="1">
      <alignment horizontal="center"/>
    </xf>
    <xf numFmtId="1" fontId="19" fillId="0" borderId="0" xfId="0" applyNumberFormat="1" applyFont="1"/>
    <xf numFmtId="170" fontId="19" fillId="6" borderId="2" xfId="0" applyNumberFormat="1" applyFont="1" applyFill="1" applyBorder="1" applyAlignment="1">
      <alignment horizontal="center"/>
    </xf>
    <xf numFmtId="4" fontId="19" fillId="5" borderId="2" xfId="0" applyNumberFormat="1" applyFont="1" applyFill="1" applyBorder="1"/>
    <xf numFmtId="1" fontId="19" fillId="6" borderId="2" xfId="0" applyNumberFormat="1" applyFont="1" applyFill="1" applyBorder="1" applyAlignment="1">
      <alignment horizontal="center"/>
    </xf>
    <xf numFmtId="0" fontId="32" fillId="5" borderId="2" xfId="0" applyFont="1" applyFill="1" applyBorder="1"/>
    <xf numFmtId="0" fontId="24" fillId="0" borderId="0" xfId="0" applyFont="1"/>
    <xf numFmtId="173" fontId="19" fillId="0" borderId="0" xfId="0" applyNumberFormat="1" applyFont="1"/>
    <xf numFmtId="173" fontId="22" fillId="3" borderId="3" xfId="0" applyNumberFormat="1" applyFont="1" applyFill="1" applyBorder="1"/>
    <xf numFmtId="173" fontId="19" fillId="0" borderId="2" xfId="0" applyNumberFormat="1" applyFont="1" applyBorder="1"/>
    <xf numFmtId="173" fontId="19" fillId="5" borderId="2" xfId="0" applyNumberFormat="1" applyFont="1" applyFill="1" applyBorder="1"/>
    <xf numFmtId="0" fontId="38" fillId="5" borderId="0" xfId="0" applyFont="1" applyFill="1"/>
    <xf numFmtId="0" fontId="9" fillId="0" borderId="0" xfId="41"/>
    <xf numFmtId="0" fontId="9" fillId="4" borderId="0" xfId="41" applyFill="1"/>
    <xf numFmtId="0" fontId="40" fillId="0" borderId="0" xfId="41" applyFont="1"/>
    <xf numFmtId="4" fontId="9" fillId="0" borderId="0" xfId="41" applyNumberFormat="1"/>
    <xf numFmtId="0" fontId="9" fillId="4" borderId="6" xfId="41" applyFill="1" applyBorder="1" applyAlignment="1">
      <alignment horizontal="center"/>
    </xf>
    <xf numFmtId="0" fontId="9" fillId="4" borderId="7" xfId="41" applyFill="1" applyBorder="1" applyAlignment="1">
      <alignment horizontal="center"/>
    </xf>
    <xf numFmtId="0" fontId="9" fillId="4" borderId="0" xfId="41" applyFill="1" applyAlignment="1">
      <alignment horizontal="center"/>
    </xf>
    <xf numFmtId="4" fontId="9" fillId="0" borderId="10" xfId="41" applyNumberFormat="1" applyBorder="1"/>
    <xf numFmtId="4" fontId="41" fillId="0" borderId="0" xfId="41" applyNumberFormat="1" applyFont="1"/>
    <xf numFmtId="4" fontId="9" fillId="0" borderId="11" xfId="41" applyNumberFormat="1" applyBorder="1"/>
    <xf numFmtId="4" fontId="41" fillId="0" borderId="12" xfId="41" applyNumberFormat="1" applyFont="1" applyBorder="1"/>
    <xf numFmtId="4" fontId="9" fillId="0" borderId="13" xfId="41" applyNumberFormat="1" applyBorder="1"/>
    <xf numFmtId="4" fontId="42" fillId="4" borderId="10" xfId="41" applyNumberFormat="1" applyFont="1" applyFill="1" applyBorder="1"/>
    <xf numFmtId="4" fontId="43" fillId="4" borderId="0" xfId="41" applyNumberFormat="1" applyFont="1" applyFill="1"/>
    <xf numFmtId="4" fontId="9" fillId="4" borderId="0" xfId="41" applyNumberFormat="1" applyFill="1"/>
    <xf numFmtId="4" fontId="9" fillId="4" borderId="11" xfId="41" applyNumberFormat="1" applyFill="1" applyBorder="1"/>
    <xf numFmtId="4" fontId="43" fillId="0" borderId="13" xfId="41" applyNumberFormat="1" applyFont="1" applyBorder="1"/>
    <xf numFmtId="4" fontId="43" fillId="0" borderId="12" xfId="41" applyNumberFormat="1" applyFont="1" applyBorder="1"/>
    <xf numFmtId="4" fontId="9" fillId="4" borderId="10" xfId="41" applyNumberFormat="1" applyFill="1" applyBorder="1"/>
    <xf numFmtId="4" fontId="44" fillId="0" borderId="12" xfId="41" applyNumberFormat="1" applyFont="1" applyBorder="1"/>
    <xf numFmtId="4" fontId="9" fillId="0" borderId="12" xfId="41" applyNumberFormat="1" applyBorder="1"/>
    <xf numFmtId="4" fontId="45" fillId="0" borderId="12" xfId="41" applyNumberFormat="1" applyFont="1" applyBorder="1"/>
    <xf numFmtId="4" fontId="46" fillId="0" borderId="12" xfId="41" applyNumberFormat="1" applyFont="1" applyBorder="1"/>
    <xf numFmtId="4" fontId="31" fillId="7" borderId="14" xfId="41" applyNumberFormat="1" applyFont="1" applyFill="1" applyBorder="1" applyAlignment="1">
      <alignment horizontal="right" vertical="center"/>
    </xf>
    <xf numFmtId="4" fontId="31" fillId="7" borderId="15" xfId="41" applyNumberFormat="1" applyFont="1" applyFill="1" applyBorder="1" applyAlignment="1">
      <alignment horizontal="right" vertical="center"/>
    </xf>
    <xf numFmtId="4" fontId="9" fillId="8" borderId="13" xfId="41" applyNumberFormat="1" applyFill="1" applyBorder="1"/>
    <xf numFmtId="4" fontId="9" fillId="0" borderId="16" xfId="41" applyNumberFormat="1" applyBorder="1"/>
    <xf numFmtId="4" fontId="9" fillId="4" borderId="18" xfId="41" applyNumberFormat="1" applyFill="1" applyBorder="1"/>
    <xf numFmtId="4" fontId="9" fillId="4" borderId="19" xfId="41" applyNumberFormat="1" applyFill="1" applyBorder="1"/>
    <xf numFmtId="4" fontId="45" fillId="4" borderId="20" xfId="41" applyNumberFormat="1" applyFont="1" applyFill="1" applyBorder="1"/>
    <xf numFmtId="4" fontId="45" fillId="4" borderId="19" xfId="41" applyNumberFormat="1" applyFont="1" applyFill="1" applyBorder="1"/>
    <xf numFmtId="4" fontId="9" fillId="4" borderId="21" xfId="41" applyNumberFormat="1" applyFill="1" applyBorder="1"/>
    <xf numFmtId="0" fontId="40" fillId="0" borderId="0" xfId="41" applyFont="1" applyAlignment="1">
      <alignment wrapText="1"/>
    </xf>
    <xf numFmtId="4" fontId="43" fillId="4" borderId="12" xfId="41" applyNumberFormat="1" applyFont="1" applyFill="1" applyBorder="1"/>
    <xf numFmtId="4" fontId="0" fillId="0" borderId="2" xfId="0" applyNumberFormat="1" applyBorder="1" applyAlignment="1">
      <alignment horizontal="center"/>
    </xf>
    <xf numFmtId="4" fontId="9" fillId="10" borderId="10" xfId="41" applyNumberFormat="1" applyFill="1" applyBorder="1"/>
    <xf numFmtId="4" fontId="9" fillId="10" borderId="17" xfId="41" applyNumberFormat="1" applyFill="1" applyBorder="1"/>
    <xf numFmtId="0" fontId="7" fillId="0" borderId="0" xfId="41" applyFont="1"/>
    <xf numFmtId="4" fontId="9" fillId="0" borderId="22" xfId="41" applyNumberFormat="1" applyBorder="1"/>
    <xf numFmtId="173" fontId="9" fillId="0" borderId="0" xfId="41" applyNumberFormat="1"/>
    <xf numFmtId="173" fontId="9" fillId="0" borderId="22" xfId="41" applyNumberFormat="1" applyBorder="1"/>
    <xf numFmtId="174" fontId="24" fillId="0" borderId="0" xfId="0" applyNumberFormat="1" applyFont="1" applyAlignment="1">
      <alignment horizontal="center"/>
    </xf>
    <xf numFmtId="174" fontId="17" fillId="0" borderId="2" xfId="0" applyNumberFormat="1" applyFont="1" applyBorder="1" applyAlignment="1">
      <alignment horizontal="center"/>
    </xf>
    <xf numFmtId="174" fontId="28" fillId="0" borderId="2" xfId="0" applyNumberFormat="1" applyFont="1" applyBorder="1" applyAlignment="1">
      <alignment horizontal="center" vertical="center"/>
    </xf>
    <xf numFmtId="174" fontId="0" fillId="0" borderId="2" xfId="0" applyNumberFormat="1" applyBorder="1" applyAlignment="1">
      <alignment horizontal="center"/>
    </xf>
    <xf numFmtId="174" fontId="25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72" fontId="17" fillId="0" borderId="0" xfId="0" applyNumberFormat="1" applyFont="1" applyAlignment="1">
      <alignment horizontal="right"/>
    </xf>
    <xf numFmtId="172" fontId="26" fillId="0" borderId="2" xfId="0" applyNumberFormat="1" applyFont="1" applyBorder="1" applyAlignment="1">
      <alignment horizontal="right"/>
    </xf>
    <xf numFmtId="172" fontId="28" fillId="4" borderId="2" xfId="0" applyNumberFormat="1" applyFont="1" applyFill="1" applyBorder="1" applyAlignment="1">
      <alignment horizontal="right"/>
    </xf>
    <xf numFmtId="172" fontId="28" fillId="2" borderId="2" xfId="0" applyNumberFormat="1" applyFont="1" applyFill="1" applyBorder="1" applyAlignment="1">
      <alignment horizontal="right"/>
    </xf>
    <xf numFmtId="172" fontId="28" fillId="0" borderId="2" xfId="0" applyNumberFormat="1" applyFont="1" applyBorder="1" applyAlignment="1">
      <alignment horizontal="right"/>
    </xf>
    <xf numFmtId="172" fontId="28" fillId="9" borderId="2" xfId="0" applyNumberFormat="1" applyFont="1" applyFill="1" applyBorder="1" applyAlignment="1">
      <alignment horizontal="right"/>
    </xf>
    <xf numFmtId="172" fontId="30" fillId="0" borderId="4" xfId="43" applyNumberFormat="1" applyFont="1" applyBorder="1" applyAlignment="1">
      <alignment horizontal="center"/>
    </xf>
    <xf numFmtId="172" fontId="30" fillId="0" borderId="23" xfId="43" applyNumberFormat="1" applyFont="1" applyBorder="1" applyAlignment="1">
      <alignment horizontal="center"/>
    </xf>
    <xf numFmtId="172" fontId="0" fillId="0" borderId="2" xfId="0" applyNumberFormat="1" applyBorder="1" applyAlignment="1">
      <alignment horizontal="right"/>
    </xf>
    <xf numFmtId="172" fontId="25" fillId="0" borderId="0" xfId="0" applyNumberFormat="1" applyFont="1" applyAlignment="1">
      <alignment horizontal="right"/>
    </xf>
    <xf numFmtId="172" fontId="23" fillId="0" borderId="0" xfId="0" applyNumberFormat="1" applyFont="1" applyAlignment="1">
      <alignment horizontal="right"/>
    </xf>
    <xf numFmtId="173" fontId="23" fillId="0" borderId="2" xfId="0" applyNumberFormat="1" applyFont="1" applyBorder="1"/>
    <xf numFmtId="173" fontId="23" fillId="0" borderId="24" xfId="0" applyNumberFormat="1" applyFont="1" applyBorder="1"/>
    <xf numFmtId="173" fontId="0" fillId="0" borderId="2" xfId="0" applyNumberFormat="1" applyBorder="1"/>
    <xf numFmtId="0" fontId="6" fillId="0" borderId="0" xfId="41" applyFont="1"/>
    <xf numFmtId="0" fontId="4" fillId="0" borderId="0" xfId="41" applyFont="1"/>
    <xf numFmtId="0" fontId="32" fillId="0" borderId="0" xfId="41" applyFont="1"/>
    <xf numFmtId="0" fontId="47" fillId="0" borderId="0" xfId="41" applyFont="1"/>
    <xf numFmtId="0" fontId="16" fillId="0" borderId="0" xfId="0" applyFont="1"/>
    <xf numFmtId="4" fontId="17" fillId="0" borderId="0" xfId="0" applyNumberFormat="1" applyFont="1" applyAlignment="1">
      <alignment horizontal="right"/>
    </xf>
    <xf numFmtId="4" fontId="25" fillId="0" borderId="0" xfId="0" applyNumberFormat="1" applyFont="1"/>
    <xf numFmtId="4" fontId="23" fillId="0" borderId="0" xfId="0" applyNumberFormat="1" applyFont="1"/>
    <xf numFmtId="4" fontId="3" fillId="0" borderId="0" xfId="45" applyNumberFormat="1"/>
    <xf numFmtId="0" fontId="17" fillId="0" borderId="0" xfId="0" applyFont="1" applyAlignment="1">
      <alignment horizontal="center"/>
    </xf>
    <xf numFmtId="4" fontId="48" fillId="0" borderId="0" xfId="0" applyNumberFormat="1" applyFont="1" applyAlignment="1">
      <alignment horizontal="right"/>
    </xf>
    <xf numFmtId="0" fontId="26" fillId="2" borderId="2" xfId="0" applyFont="1" applyFill="1" applyBorder="1" applyAlignment="1">
      <alignment horizontal="center"/>
    </xf>
    <xf numFmtId="4" fontId="26" fillId="0" borderId="2" xfId="0" applyNumberFormat="1" applyFont="1" applyBorder="1" applyAlignment="1">
      <alignment horizontal="right"/>
    </xf>
    <xf numFmtId="4" fontId="25" fillId="0" borderId="2" xfId="0" applyNumberFormat="1" applyFont="1" applyBorder="1" applyAlignment="1">
      <alignment wrapText="1"/>
    </xf>
    <xf numFmtId="0" fontId="0" fillId="2" borderId="2" xfId="0" applyFill="1" applyBorder="1" applyAlignment="1">
      <alignment wrapText="1"/>
    </xf>
    <xf numFmtId="0" fontId="50" fillId="0" borderId="2" xfId="0" applyFont="1" applyBorder="1" applyAlignment="1">
      <alignment horizontal="center" wrapText="1"/>
    </xf>
    <xf numFmtId="4" fontId="51" fillId="0" borderId="2" xfId="0" applyNumberFormat="1" applyFont="1" applyBorder="1" applyAlignment="1">
      <alignment wrapText="1"/>
    </xf>
    <xf numFmtId="4" fontId="0" fillId="0" borderId="2" xfId="0" applyNumberFormat="1" applyBorder="1" applyAlignment="1">
      <alignment horizontal="left" wrapText="1"/>
    </xf>
    <xf numFmtId="4" fontId="23" fillId="0" borderId="2" xfId="0" applyNumberFormat="1" applyFont="1" applyBorder="1" applyAlignment="1">
      <alignment wrapText="1"/>
    </xf>
    <xf numFmtId="0" fontId="26" fillId="0" borderId="2" xfId="0" applyFont="1" applyBorder="1" applyAlignment="1">
      <alignment horizontal="center" wrapText="1"/>
    </xf>
    <xf numFmtId="4" fontId="23" fillId="0" borderId="2" xfId="0" applyNumberFormat="1" applyFont="1" applyBorder="1"/>
    <xf numFmtId="175" fontId="25" fillId="0" borderId="0" xfId="0" applyNumberFormat="1" applyFont="1" applyAlignment="1">
      <alignment horizontal="center"/>
    </xf>
    <xf numFmtId="0" fontId="25" fillId="2" borderId="0" xfId="0" applyFont="1" applyFill="1"/>
    <xf numFmtId="4" fontId="25" fillId="0" borderId="0" xfId="0" applyNumberFormat="1" applyFont="1" applyAlignment="1">
      <alignment horizontal="right"/>
    </xf>
    <xf numFmtId="175" fontId="23" fillId="0" borderId="0" xfId="0" applyNumberFormat="1" applyFont="1" applyAlignment="1">
      <alignment horizontal="center"/>
    </xf>
    <xf numFmtId="4" fontId="23" fillId="0" borderId="0" xfId="0" applyNumberFormat="1" applyFont="1" applyAlignment="1">
      <alignment horizontal="right"/>
    </xf>
    <xf numFmtId="0" fontId="23" fillId="0" borderId="0" xfId="0" applyFont="1" applyAlignment="1">
      <alignment horizontal="center"/>
    </xf>
    <xf numFmtId="4" fontId="25" fillId="0" borderId="0" xfId="0" applyNumberFormat="1" applyFont="1" applyAlignment="1">
      <alignment horizontal="center"/>
    </xf>
    <xf numFmtId="4" fontId="23" fillId="0" borderId="0" xfId="0" applyNumberFormat="1" applyFont="1" applyAlignment="1">
      <alignment horizontal="center"/>
    </xf>
    <xf numFmtId="180" fontId="19" fillId="0" borderId="0" xfId="0" applyNumberFormat="1" applyFont="1"/>
    <xf numFmtId="1" fontId="19" fillId="0" borderId="2" xfId="0" applyNumberFormat="1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52" fillId="2" borderId="2" xfId="0" applyFont="1" applyFill="1" applyBorder="1"/>
    <xf numFmtId="4" fontId="0" fillId="0" borderId="2" xfId="0" applyNumberFormat="1" applyBorder="1" applyAlignment="1">
      <alignment horizontal="right"/>
    </xf>
    <xf numFmtId="4" fontId="23" fillId="0" borderId="0" xfId="0" applyNumberFormat="1" applyFont="1" applyAlignment="1">
      <alignment wrapText="1"/>
    </xf>
    <xf numFmtId="0" fontId="53" fillId="0" borderId="0" xfId="41" applyFont="1"/>
    <xf numFmtId="0" fontId="54" fillId="0" borderId="0" xfId="0" applyFont="1"/>
    <xf numFmtId="0" fontId="56" fillId="2" borderId="2" xfId="0" applyFont="1" applyFill="1" applyBorder="1" applyAlignment="1">
      <alignment horizontal="center"/>
    </xf>
    <xf numFmtId="4" fontId="55" fillId="0" borderId="2" xfId="0" applyNumberFormat="1" applyFont="1" applyBorder="1" applyAlignment="1">
      <alignment vertical="center"/>
    </xf>
    <xf numFmtId="4" fontId="55" fillId="4" borderId="2" xfId="0" applyNumberFormat="1" applyFont="1" applyFill="1" applyBorder="1" applyAlignment="1">
      <alignment vertical="center"/>
    </xf>
    <xf numFmtId="4" fontId="57" fillId="9" borderId="2" xfId="0" applyNumberFormat="1" applyFont="1" applyFill="1" applyBorder="1" applyAlignment="1">
      <alignment horizontal="right"/>
    </xf>
    <xf numFmtId="0" fontId="55" fillId="0" borderId="0" xfId="0" applyFont="1" applyAlignment="1">
      <alignment horizontal="center"/>
    </xf>
    <xf numFmtId="0" fontId="55" fillId="2" borderId="0" xfId="0" applyFont="1" applyFill="1"/>
    <xf numFmtId="4" fontId="55" fillId="0" borderId="0" xfId="0" applyNumberFormat="1" applyFont="1" applyAlignment="1">
      <alignment horizontal="right"/>
    </xf>
    <xf numFmtId="4" fontId="55" fillId="0" borderId="0" xfId="0" applyNumberFormat="1" applyFont="1"/>
    <xf numFmtId="0" fontId="55" fillId="2" borderId="2" xfId="0" applyFont="1" applyFill="1" applyBorder="1" applyAlignment="1">
      <alignment wrapText="1"/>
    </xf>
    <xf numFmtId="4" fontId="55" fillId="0" borderId="2" xfId="0" applyNumberFormat="1" applyFont="1" applyBorder="1" applyAlignment="1">
      <alignment horizontal="left" wrapText="1"/>
    </xf>
    <xf numFmtId="0" fontId="55" fillId="0" borderId="0" xfId="0" applyFont="1"/>
    <xf numFmtId="4" fontId="55" fillId="4" borderId="2" xfId="0" applyNumberFormat="1" applyFont="1" applyFill="1" applyBorder="1" applyAlignment="1">
      <alignment wrapText="1"/>
    </xf>
    <xf numFmtId="4" fontId="55" fillId="9" borderId="2" xfId="0" applyNumberFormat="1" applyFont="1" applyFill="1" applyBorder="1" applyAlignment="1">
      <alignment wrapText="1"/>
    </xf>
    <xf numFmtId="4" fontId="55" fillId="4" borderId="2" xfId="0" applyNumberFormat="1" applyFont="1" applyFill="1" applyBorder="1" applyAlignment="1">
      <alignment horizontal="left" wrapText="1"/>
    </xf>
    <xf numFmtId="0" fontId="55" fillId="9" borderId="2" xfId="0" applyFont="1" applyFill="1" applyBorder="1" applyAlignment="1">
      <alignment wrapText="1"/>
    </xf>
    <xf numFmtId="0" fontId="55" fillId="4" borderId="2" xfId="0" applyFont="1" applyFill="1" applyBorder="1" applyAlignment="1">
      <alignment horizontal="center" wrapText="1"/>
    </xf>
    <xf numFmtId="4" fontId="55" fillId="4" borderId="2" xfId="0" applyNumberFormat="1" applyFont="1" applyFill="1" applyBorder="1" applyAlignment="1">
      <alignment horizontal="center" wrapText="1"/>
    </xf>
    <xf numFmtId="4" fontId="55" fillId="0" borderId="2" xfId="0" applyNumberFormat="1" applyFont="1" applyBorder="1"/>
    <xf numFmtId="169" fontId="55" fillId="2" borderId="2" xfId="0" applyNumberFormat="1" applyFont="1" applyFill="1" applyBorder="1" applyAlignment="1">
      <alignment horizontal="center"/>
    </xf>
    <xf numFmtId="4" fontId="55" fillId="4" borderId="2" xfId="29" applyNumberFormat="1" applyFont="1" applyFill="1" applyBorder="1" applyAlignment="1" applyProtection="1">
      <alignment horizontal="right"/>
    </xf>
    <xf numFmtId="4" fontId="55" fillId="4" borderId="2" xfId="0" applyNumberFormat="1" applyFont="1" applyFill="1" applyBorder="1"/>
    <xf numFmtId="4" fontId="55" fillId="4" borderId="0" xfId="0" applyNumberFormat="1" applyFont="1" applyFill="1"/>
    <xf numFmtId="0" fontId="55" fillId="4" borderId="0" xfId="0" applyFont="1" applyFill="1"/>
    <xf numFmtId="0" fontId="55" fillId="2" borderId="2" xfId="0" applyFont="1" applyFill="1" applyBorder="1"/>
    <xf numFmtId="4" fontId="55" fillId="0" borderId="2" xfId="0" applyNumberFormat="1" applyFont="1" applyBorder="1" applyAlignment="1">
      <alignment horizontal="right"/>
    </xf>
    <xf numFmtId="0" fontId="55" fillId="2" borderId="2" xfId="0" applyFont="1" applyFill="1" applyBorder="1" applyAlignment="1">
      <alignment horizontal="left" vertical="center" wrapText="1"/>
    </xf>
    <xf numFmtId="0" fontId="28" fillId="0" borderId="2" xfId="0" applyFont="1" applyBorder="1" applyAlignment="1">
      <alignment vertical="center"/>
    </xf>
    <xf numFmtId="4" fontId="58" fillId="0" borderId="2" xfId="0" applyNumberFormat="1" applyFont="1" applyBorder="1" applyAlignment="1">
      <alignment vertical="center"/>
    </xf>
    <xf numFmtId="4" fontId="58" fillId="4" borderId="2" xfId="0" applyNumberFormat="1" applyFont="1" applyFill="1" applyBorder="1" applyAlignment="1">
      <alignment vertical="center"/>
    </xf>
    <xf numFmtId="4" fontId="28" fillId="2" borderId="2" xfId="0" applyNumberFormat="1" applyFont="1" applyFill="1" applyBorder="1" applyAlignment="1">
      <alignment vertical="center"/>
    </xf>
    <xf numFmtId="0" fontId="60" fillId="0" borderId="2" xfId="0" applyFont="1" applyBorder="1"/>
    <xf numFmtId="0" fontId="59" fillId="0" borderId="2" xfId="0" applyFont="1" applyBorder="1"/>
    <xf numFmtId="0" fontId="60" fillId="0" borderId="2" xfId="0" applyFont="1" applyBorder="1" applyAlignment="1">
      <alignment horizontal="left" vertical="center"/>
    </xf>
    <xf numFmtId="4" fontId="59" fillId="4" borderId="3" xfId="0" applyNumberFormat="1" applyFont="1" applyFill="1" applyBorder="1" applyAlignment="1">
      <alignment horizontal="right" vertical="center"/>
    </xf>
    <xf numFmtId="168" fontId="60" fillId="4" borderId="2" xfId="35" applyFont="1" applyFill="1" applyBorder="1" applyAlignment="1" applyProtection="1">
      <alignment horizontal="center"/>
    </xf>
    <xf numFmtId="4" fontId="28" fillId="4" borderId="2" xfId="0" applyNumberFormat="1" applyFont="1" applyFill="1" applyBorder="1" applyAlignment="1">
      <alignment horizontal="right"/>
    </xf>
    <xf numFmtId="4" fontId="28" fillId="2" borderId="2" xfId="0" applyNumberFormat="1" applyFont="1" applyFill="1" applyBorder="1" applyAlignment="1">
      <alignment horizontal="right"/>
    </xf>
    <xf numFmtId="4" fontId="28" fillId="9" borderId="2" xfId="0" applyNumberFormat="1" applyFont="1" applyFill="1" applyBorder="1" applyAlignment="1">
      <alignment horizontal="right"/>
    </xf>
    <xf numFmtId="4" fontId="58" fillId="4" borderId="2" xfId="0" applyNumberFormat="1" applyFont="1" applyFill="1" applyBorder="1" applyAlignment="1">
      <alignment horizontal="right"/>
    </xf>
    <xf numFmtId="4" fontId="58" fillId="0" borderId="2" xfId="0" applyNumberFormat="1" applyFont="1" applyBorder="1" applyAlignment="1">
      <alignment horizontal="right"/>
    </xf>
    <xf numFmtId="4" fontId="28" fillId="2" borderId="3" xfId="0" applyNumberFormat="1" applyFont="1" applyFill="1" applyBorder="1" applyAlignment="1">
      <alignment horizontal="right"/>
    </xf>
    <xf numFmtId="4" fontId="61" fillId="0" borderId="2" xfId="0" applyNumberFormat="1" applyFont="1" applyBorder="1" applyAlignment="1">
      <alignment horizontal="right"/>
    </xf>
    <xf numFmtId="4" fontId="55" fillId="4" borderId="2" xfId="0" applyNumberFormat="1" applyFont="1" applyFill="1" applyBorder="1" applyAlignment="1">
      <alignment horizontal="right" wrapText="1"/>
    </xf>
    <xf numFmtId="0" fontId="31" fillId="0" borderId="29" xfId="19" applyFont="1" applyBorder="1" applyAlignment="1">
      <alignment horizontal="left" vertical="center"/>
    </xf>
    <xf numFmtId="0" fontId="31" fillId="0" borderId="2" xfId="19" applyFont="1" applyBorder="1" applyAlignment="1">
      <alignment horizontal="left" vertical="center"/>
    </xf>
    <xf numFmtId="4" fontId="58" fillId="0" borderId="27" xfId="0" applyNumberFormat="1" applyFont="1" applyBorder="1" applyAlignment="1">
      <alignment vertical="center"/>
    </xf>
    <xf numFmtId="43" fontId="55" fillId="0" borderId="0" xfId="0" applyNumberFormat="1" applyFont="1"/>
    <xf numFmtId="4" fontId="66" fillId="0" borderId="0" xfId="0" applyNumberFormat="1" applyFont="1"/>
    <xf numFmtId="172" fontId="66" fillId="0" borderId="0" xfId="0" applyNumberFormat="1" applyFont="1"/>
    <xf numFmtId="180" fontId="66" fillId="0" borderId="0" xfId="0" applyNumberFormat="1" applyFont="1"/>
    <xf numFmtId="172" fontId="67" fillId="0" borderId="0" xfId="0" applyNumberFormat="1" applyFont="1"/>
    <xf numFmtId="172" fontId="67" fillId="0" borderId="0" xfId="0" applyNumberFormat="1" applyFont="1" applyAlignment="1">
      <alignment wrapText="1"/>
    </xf>
    <xf numFmtId="4" fontId="68" fillId="0" borderId="0" xfId="0" applyNumberFormat="1" applyFont="1"/>
    <xf numFmtId="4" fontId="69" fillId="0" borderId="0" xfId="0" applyNumberFormat="1" applyFont="1"/>
    <xf numFmtId="180" fontId="68" fillId="0" borderId="0" xfId="0" applyNumberFormat="1" applyFont="1"/>
    <xf numFmtId="168" fontId="60" fillId="0" borderId="2" xfId="35" applyFont="1" applyBorder="1" applyAlignment="1" applyProtection="1">
      <alignment horizontal="center"/>
    </xf>
    <xf numFmtId="4" fontId="62" fillId="0" borderId="30" xfId="0" applyNumberFormat="1" applyFont="1" applyBorder="1" applyAlignment="1">
      <alignment horizontal="right"/>
    </xf>
    <xf numFmtId="178" fontId="53" fillId="4" borderId="30" xfId="0" applyNumberFormat="1" applyFont="1" applyFill="1" applyBorder="1" applyAlignment="1">
      <alignment horizontal="center"/>
    </xf>
    <xf numFmtId="178" fontId="53" fillId="0" borderId="30" xfId="0" applyNumberFormat="1" applyFont="1" applyBorder="1" applyAlignment="1">
      <alignment horizontal="center"/>
    </xf>
    <xf numFmtId="178" fontId="63" fillId="0" borderId="30" xfId="0" applyNumberFormat="1" applyFont="1" applyBorder="1" applyAlignment="1">
      <alignment horizontal="center"/>
    </xf>
    <xf numFmtId="0" fontId="1" fillId="0" borderId="0" xfId="41" applyFont="1"/>
    <xf numFmtId="4" fontId="49" fillId="0" borderId="25" xfId="0" applyNumberFormat="1" applyFont="1" applyBorder="1" applyAlignment="1">
      <alignment horizontal="center"/>
    </xf>
    <xf numFmtId="0" fontId="0" fillId="0" borderId="26" xfId="0" applyBorder="1"/>
    <xf numFmtId="17" fontId="64" fillId="0" borderId="0" xfId="41" applyNumberFormat="1" applyFont="1" applyAlignment="1">
      <alignment horizontal="center"/>
    </xf>
    <xf numFmtId="17" fontId="65" fillId="0" borderId="0" xfId="0" applyNumberFormat="1" applyFont="1" applyAlignment="1">
      <alignment horizontal="center"/>
    </xf>
    <xf numFmtId="4" fontId="68" fillId="0" borderId="0" xfId="0" applyNumberFormat="1" applyFont="1"/>
    <xf numFmtId="0" fontId="0" fillId="0" borderId="0" xfId="0"/>
    <xf numFmtId="0" fontId="5" fillId="0" borderId="0" xfId="41" applyFont="1"/>
    <xf numFmtId="0" fontId="9" fillId="4" borderId="5" xfId="4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9" fillId="0" borderId="8" xfId="41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8" xfId="41" applyFont="1" applyBorder="1" applyAlignment="1">
      <alignment horizontal="center"/>
    </xf>
    <xf numFmtId="1" fontId="24" fillId="0" borderId="0" xfId="0" applyNumberFormat="1" applyFont="1"/>
    <xf numFmtId="182" fontId="70" fillId="0" borderId="0" xfId="0" applyNumberFormat="1" applyFont="1" applyAlignment="1">
      <alignment horizontal="left"/>
    </xf>
    <xf numFmtId="182" fontId="17" fillId="0" borderId="0" xfId="0" applyNumberFormat="1" applyFont="1" applyAlignment="1">
      <alignment horizontal="left"/>
    </xf>
    <xf numFmtId="182" fontId="17" fillId="0" borderId="2" xfId="0" applyNumberFormat="1" applyFont="1" applyBorder="1" applyAlignment="1">
      <alignment horizontal="left"/>
    </xf>
    <xf numFmtId="182" fontId="28" fillId="0" borderId="2" xfId="0" applyNumberFormat="1" applyFont="1" applyBorder="1" applyAlignment="1">
      <alignment horizontal="left" vertical="center"/>
    </xf>
    <xf numFmtId="182" fontId="59" fillId="0" borderId="3" xfId="0" applyNumberFormat="1" applyFont="1" applyBorder="1" applyAlignment="1">
      <alignment horizontal="left" vertical="center"/>
    </xf>
    <xf numFmtId="182" fontId="60" fillId="0" borderId="2" xfId="0" applyNumberFormat="1" applyFont="1" applyBorder="1" applyAlignment="1">
      <alignment horizontal="left"/>
    </xf>
    <xf numFmtId="182" fontId="28" fillId="2" borderId="2" xfId="0" applyNumberFormat="1" applyFont="1" applyFill="1" applyBorder="1" applyAlignment="1">
      <alignment horizontal="left" vertical="center"/>
    </xf>
    <xf numFmtId="182" fontId="55" fillId="0" borderId="0" xfId="0" applyNumberFormat="1" applyFont="1" applyAlignment="1">
      <alignment horizontal="left"/>
    </xf>
    <xf numFmtId="182" fontId="25" fillId="0" borderId="0" xfId="0" applyNumberFormat="1" applyFont="1" applyAlignment="1">
      <alignment horizontal="left"/>
    </xf>
    <xf numFmtId="182" fontId="23" fillId="0" borderId="0" xfId="0" applyNumberFormat="1" applyFont="1" applyAlignment="1">
      <alignment horizontal="left"/>
    </xf>
    <xf numFmtId="0" fontId="33" fillId="0" borderId="0" xfId="0" applyFont="1"/>
    <xf numFmtId="0" fontId="48" fillId="2" borderId="2" xfId="0" applyFont="1" applyFill="1" applyBorder="1" applyAlignment="1">
      <alignment horizontal="center"/>
    </xf>
    <xf numFmtId="4" fontId="71" fillId="0" borderId="2" xfId="0" applyNumberFormat="1" applyFont="1" applyBorder="1" applyAlignment="1">
      <alignment vertical="center"/>
    </xf>
    <xf numFmtId="4" fontId="33" fillId="0" borderId="2" xfId="0" applyNumberFormat="1" applyFont="1" applyBorder="1" applyAlignment="1">
      <alignment vertical="center"/>
    </xf>
    <xf numFmtId="0" fontId="72" fillId="0" borderId="2" xfId="0" applyFont="1" applyBorder="1" applyAlignment="1">
      <alignment horizontal="left" vertical="center"/>
    </xf>
    <xf numFmtId="0" fontId="73" fillId="0" borderId="0" xfId="0" applyFont="1" applyAlignment="1">
      <alignment horizontal="left" vertical="center"/>
    </xf>
    <xf numFmtId="0" fontId="31" fillId="0" borderId="2" xfId="0" applyFont="1" applyBorder="1" applyAlignment="1">
      <alignment horizontal="left"/>
    </xf>
    <xf numFmtId="0" fontId="31" fillId="0" borderId="2" xfId="0" applyFont="1" applyBorder="1"/>
    <xf numFmtId="0" fontId="31" fillId="0" borderId="2" xfId="0" applyFont="1" applyBorder="1" applyAlignment="1">
      <alignment horizontal="left" wrapText="1"/>
    </xf>
    <xf numFmtId="0" fontId="31" fillId="0" borderId="28" xfId="0" applyFont="1" applyBorder="1" applyAlignment="1">
      <alignment horizontal="left" wrapText="1"/>
    </xf>
    <xf numFmtId="4" fontId="33" fillId="2" borderId="2" xfId="0" applyNumberFormat="1" applyFont="1" applyFill="1" applyBorder="1" applyAlignment="1">
      <alignment vertical="center"/>
    </xf>
    <xf numFmtId="0" fontId="71" fillId="2" borderId="0" xfId="0" applyFont="1" applyFill="1"/>
    <xf numFmtId="0" fontId="73" fillId="0" borderId="0" xfId="0" applyFont="1"/>
  </cellXfs>
  <cellStyles count="47">
    <cellStyle name="Comma 2" xfId="1" xr:uid="{00000000-0005-0000-0000-000006000000}"/>
    <cellStyle name="Comma 2 2" xfId="2" xr:uid="{00000000-0005-0000-0000-000007000000}"/>
    <cellStyle name="Comma 2 3" xfId="3" xr:uid="{00000000-0005-0000-0000-000008000000}"/>
    <cellStyle name="Comma 2 4" xfId="29" xr:uid="{07EF113F-07A7-48BC-ADB3-104F4A83C521}"/>
    <cellStyle name="Comma 3" xfId="4" xr:uid="{00000000-0005-0000-0000-000009000000}"/>
    <cellStyle name="Comma 3 2" xfId="5" xr:uid="{00000000-0005-0000-0000-00000A000000}"/>
    <cellStyle name="Comma 4" xfId="6" xr:uid="{00000000-0005-0000-0000-00000B000000}"/>
    <cellStyle name="Comma 4 2" xfId="7" xr:uid="{00000000-0005-0000-0000-00000C000000}"/>
    <cellStyle name="Comma 5" xfId="8" xr:uid="{00000000-0005-0000-0000-00000D000000}"/>
    <cellStyle name="Comma 5 2" xfId="35" xr:uid="{866CE058-B6B7-4938-B602-B3BF5FA73F82}"/>
    <cellStyle name="Comma 6" xfId="9" xr:uid="{00000000-0005-0000-0000-00000E000000}"/>
    <cellStyle name="Comma 7" xfId="10" xr:uid="{00000000-0005-0000-0000-00000F000000}"/>
    <cellStyle name="Comma 8" xfId="28" xr:uid="{3538516B-3834-4A1C-8299-5D771E1AD3C0}"/>
    <cellStyle name="Normal" xfId="0" builtinId="0"/>
    <cellStyle name="Normal 10" xfId="11" xr:uid="{00000000-0005-0000-0000-000010000000}"/>
    <cellStyle name="Normal 11" xfId="12" xr:uid="{00000000-0005-0000-0000-000011000000}"/>
    <cellStyle name="Normal 12" xfId="13" xr:uid="{00000000-0005-0000-0000-000012000000}"/>
    <cellStyle name="Normal 13" xfId="23" xr:uid="{E50A081D-5049-4415-887B-C17EC3413B64}"/>
    <cellStyle name="Normal 13 2" xfId="36" xr:uid="{87F7F1FD-E6F9-4F8D-807A-E72CC09B162C}"/>
    <cellStyle name="Normal 13 3" xfId="42" xr:uid="{C6309EB8-06E7-4920-AD43-0635017193AA}"/>
    <cellStyle name="Normal 14" xfId="24" xr:uid="{381B2477-9F4B-44A4-A742-FA65687BBD7B}"/>
    <cellStyle name="Normal 14 2" xfId="26" xr:uid="{4ECF812A-84C9-45F8-8B60-7BE8C4841EF4}"/>
    <cellStyle name="Normal 14 3" xfId="38" xr:uid="{B8A59692-5254-4F0E-B470-F333F46EAD0E}"/>
    <cellStyle name="Normal 15" xfId="25" xr:uid="{D2BEBD13-C178-41E0-94AD-3CAE325521F1}"/>
    <cellStyle name="Normal 16" xfId="27" xr:uid="{45D0E471-E6E6-4DD9-898F-CC22C8DF1D51}"/>
    <cellStyle name="Normal 17" xfId="31" xr:uid="{4AAE57D5-27EC-499D-ADDB-F4C34DB7994D}"/>
    <cellStyle name="Normal 18" xfId="34" xr:uid="{9D52FAE8-1404-4BD6-A3E9-48A8B76D5DCB}"/>
    <cellStyle name="Normal 19" xfId="37" xr:uid="{44E7E691-E3F7-4861-83CA-10849FEFAA0D}"/>
    <cellStyle name="Normal 2" xfId="14" xr:uid="{00000000-0005-0000-0000-000013000000}"/>
    <cellStyle name="Normal 2 2" xfId="30" xr:uid="{FDAFA270-CB00-42EA-9A7E-E6E555B0CB86}"/>
    <cellStyle name="Normal 2 3" xfId="32" xr:uid="{803B524A-4E64-42D9-9276-0DEB68E2E206}"/>
    <cellStyle name="Normal 2 3 2" xfId="33" xr:uid="{01D58E1E-2EA9-4F1E-8609-13954A3DDB6D}"/>
    <cellStyle name="Normal 2 3 2 2" xfId="44" xr:uid="{D483A482-E7F8-4632-9AA5-8347AD88EE74}"/>
    <cellStyle name="Normal 2 3 3" xfId="43" xr:uid="{3DFD120F-18EA-416F-A65E-36DD1198DE39}"/>
    <cellStyle name="Normal 2 3 3 2" xfId="46" xr:uid="{0DA256B4-7742-4892-A288-A8D3E8DCABBD}"/>
    <cellStyle name="Normal 2 4" xfId="40" xr:uid="{4A3B0F94-D93F-48AF-9542-34C99B0DAEA7}"/>
    <cellStyle name="Normal 20" xfId="39" xr:uid="{81860F1A-2172-4E0C-AB93-851569FB38AD}"/>
    <cellStyle name="Normal 20 2" xfId="41" xr:uid="{3148B996-8867-48F8-BDC5-4CCE4A8523E2}"/>
    <cellStyle name="Normal 20 2 2" xfId="45" xr:uid="{567FC6EC-AA8A-4C4C-9406-859BFBC37AD9}"/>
    <cellStyle name="Normal 3" xfId="15" xr:uid="{00000000-0005-0000-0000-000014000000}"/>
    <cellStyle name="Normal 4" xfId="16" xr:uid="{00000000-0005-0000-0000-000015000000}"/>
    <cellStyle name="Normal 5" xfId="17" xr:uid="{00000000-0005-0000-0000-000016000000}"/>
    <cellStyle name="Normal 6" xfId="18" xr:uid="{00000000-0005-0000-0000-000017000000}"/>
    <cellStyle name="Normal 7" xfId="19" xr:uid="{00000000-0005-0000-0000-000018000000}"/>
    <cellStyle name="Normal 8" xfId="20" xr:uid="{00000000-0005-0000-0000-000019000000}"/>
    <cellStyle name="Normal 9" xfId="21" xr:uid="{00000000-0005-0000-0000-00001A000000}"/>
    <cellStyle name="Percent 2" xfId="22" xr:uid="{00000000-0005-0000-0000-00001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7CAA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2D050"/>
      <rgbColor rgb="FFFFCC00"/>
      <rgbColor rgb="FFF7964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alaries%20Landco%202026\Landco%20Salaries%202026\02%20Salary%20sheet%20for%20Landco.xlsx" TargetMode="External"/><Relationship Id="rId1" Type="http://schemas.openxmlformats.org/officeDocument/2006/relationships/externalLinkPath" Target="file:///C:\Users\Andrisa\Dropbox\Andrisa\Landco\Accounts%202026\Salaries%20Landco%202026\Landco%20Salaries%202026\02%20Salary%20sheet%20for%20Landc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Landco%20Accounts%202026\02%20FEB%20ACCOUNTS\02%20Petty%20Cash%20PETTY%20CASH%202026.xlsx" TargetMode="External"/><Relationship Id="rId1" Type="http://schemas.openxmlformats.org/officeDocument/2006/relationships/externalLinkPath" Target="02%20Petty%20Cash%20PETTY%20CASH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BDO%20Accounts%202026\02%20BDO%20Bank%20Control%202026.xlsx" TargetMode="External"/><Relationship Id="rId1" Type="http://schemas.openxmlformats.org/officeDocument/2006/relationships/externalLinkPath" Target="file:///C:\Users\Andrisa\Dropbox\Andrisa\Landco\Accounts%202026\BDO%20Accounts%202026\02%20BDO%20Bank%20Control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2%20Shareholders\02%20LUZ%20TAFY%202026.xlsx" TargetMode="External"/><Relationship Id="rId1" Type="http://schemas.openxmlformats.org/officeDocument/2006/relationships/externalLinkPath" Target="file:///C:\Users\Andrisa\Dropbox\Andrisa\Landco\Accounts%202026\Shareholders%202026\02%20Shareholders\02%20LUZ%20TAFY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2%20Shareholders\02%20AURORA%20STEAD%202026.xlsx" TargetMode="External"/><Relationship Id="rId1" Type="http://schemas.openxmlformats.org/officeDocument/2006/relationships/externalLinkPath" Target="file:///C:\Users\Andrisa\Dropbox\Andrisa\Landco\Accounts%202026\Shareholders%202026\02%20Shareholders\02%20AURORA%20STEAD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2%20CAJU%20KEVIN%202026.xlsx" TargetMode="External"/><Relationship Id="rId1" Type="http://schemas.openxmlformats.org/officeDocument/2006/relationships/externalLinkPath" Target="file:///C:\Users\Andrisa\Dropbox\Andrisa\Landco\Accounts%202026\Shareholders%202026\02%20CAJU%20KEVIN%202026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2%20Shareholders\02%20COCO%20COHEN2026.xlsx" TargetMode="External"/><Relationship Id="rId1" Type="http://schemas.openxmlformats.org/officeDocument/2006/relationships/externalLinkPath" Target="file:///C:\Users\Andrisa\Dropbox\Andrisa\Landco\Accounts%202026\Shareholders%202026\02%20Shareholders\02%20COCO%20COHEN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lha de salarios"/>
      <sheetName val="Sindicate"/>
      <sheetName val="PaySlip"/>
    </sheetNames>
    <sheetDataSet>
      <sheetData sheetId="0">
        <row r="10">
          <cell r="AH10">
            <v>169068.41666666669</v>
          </cell>
        </row>
        <row r="18">
          <cell r="AH18">
            <v>35109.333333333336</v>
          </cell>
        </row>
        <row r="21">
          <cell r="AH21">
            <v>65199.916666666672</v>
          </cell>
        </row>
        <row r="25">
          <cell r="AH25">
            <v>38723.333333333328</v>
          </cell>
        </row>
        <row r="28">
          <cell r="AH28">
            <v>43125</v>
          </cell>
        </row>
        <row r="31">
          <cell r="AC31">
            <v>10536.78</v>
          </cell>
        </row>
        <row r="32">
          <cell r="AC32">
            <v>24585.820000000007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DFuel (2)"/>
      <sheetName val="PARKS FEES"/>
      <sheetName val="LANDCO US$ CASH"/>
      <sheetName val="LANDCO MET CASH"/>
      <sheetName val="BEBE PC"/>
      <sheetName val="NEGU &amp; TACKLE"/>
      <sheetName val="Warren Cohen "/>
      <sheetName val="Alex &amp; Kevin"/>
      <sheetName val="Ablution"/>
      <sheetName val="Alex Room"/>
      <sheetName val="KrakenFuel"/>
      <sheetName val="RSDFuel"/>
      <sheetName val="Money received"/>
      <sheetName val="Warren Stead"/>
      <sheetName val="Brendon"/>
      <sheetName val="Robin Bouckaert"/>
      <sheetName val="Sheet1"/>
    </sheetNames>
    <sheetDataSet>
      <sheetData sheetId="0"/>
      <sheetData sheetId="1"/>
      <sheetData sheetId="2">
        <row r="11">
          <cell r="F11">
            <v>335000</v>
          </cell>
        </row>
      </sheetData>
      <sheetData sheetId="3">
        <row r="8">
          <cell r="F8">
            <v>212720</v>
          </cell>
        </row>
        <row r="9">
          <cell r="F9">
            <v>344944.46250000014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Creditors"/>
      <sheetName val="Shareholders investment"/>
      <sheetName val="Invoices "/>
      <sheetName val="BIM Bank Control USD"/>
      <sheetName val="BIM Bank Control Mtn"/>
      <sheetName val="Petty cash "/>
      <sheetName val="Pre-paid"/>
      <sheetName val="Folha de salarios"/>
      <sheetName val="Original Inv Outstanding"/>
    </sheetNames>
    <sheetDataSet>
      <sheetData sheetId="0">
        <row r="34">
          <cell r="I34">
            <v>-895798.415862069</v>
          </cell>
        </row>
      </sheetData>
      <sheetData sheetId="1"/>
      <sheetData sheetId="2"/>
      <sheetData sheetId="3"/>
      <sheetData sheetId="4">
        <row r="7">
          <cell r="I7">
            <v>227192.10250000001</v>
          </cell>
        </row>
      </sheetData>
      <sheetData sheetId="5">
        <row r="5">
          <cell r="J5">
            <v>670125.74999999988</v>
          </cell>
        </row>
        <row r="6">
          <cell r="J6">
            <v>258025.81000000017</v>
          </cell>
        </row>
      </sheetData>
      <sheetData sheetId="6">
        <row r="7">
          <cell r="G7">
            <v>27289.8</v>
          </cell>
        </row>
        <row r="8">
          <cell r="G8">
            <v>-18889.39</v>
          </cell>
        </row>
      </sheetData>
      <sheetData sheetId="7">
        <row r="7">
          <cell r="G7">
            <v>0</v>
          </cell>
        </row>
        <row r="8">
          <cell r="G8">
            <v>32537.27</v>
          </cell>
        </row>
      </sheetData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ERY"/>
      <sheetName val="Breakdown of Income"/>
      <sheetName val="INCOME VS EXPENSES"/>
      <sheetName val=" Expenses "/>
      <sheetName val="Sheet1"/>
    </sheetNames>
    <sheetDataSet>
      <sheetData sheetId="0">
        <row r="19">
          <cell r="E19">
            <v>307122.14580000041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 SUMMERY "/>
      <sheetName val="INCOME "/>
      <sheetName val=" Expenses "/>
      <sheetName val="INCOME VS EXPENSES"/>
    </sheetNames>
    <sheetDataSet>
      <sheetData sheetId="0">
        <row r="19">
          <cell r="F19">
            <v>488315.50249999994</v>
          </cell>
        </row>
      </sheetData>
      <sheetData sheetId="1"/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ERY"/>
      <sheetName val="Breakdown of Income"/>
      <sheetName val="INCOME VS EXPENSES"/>
      <sheetName val=" Expenses "/>
    </sheetNames>
    <sheetDataSet>
      <sheetData sheetId="0">
        <row r="19">
          <cell r="F19">
            <v>307359.51249999995</v>
          </cell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ERY "/>
      <sheetName val=" INCOME"/>
      <sheetName val=" Expenses "/>
      <sheetName val="INCOME VS EXPENSES"/>
    </sheetNames>
    <sheetDataSet>
      <sheetData sheetId="0">
        <row r="19">
          <cell r="F19">
            <v>-86324.15750000003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D7DE253-0017-4D4B-8945-6D83F59A95A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7ca9b4c-8940-40a2-9800-4f481bf09ca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18FA2-4315-4C64-836B-01A381D91B9E}">
  <sheetPr>
    <pageSetUpPr fitToPage="1"/>
  </sheetPr>
  <dimension ref="A1:M752"/>
  <sheetViews>
    <sheetView zoomScale="80" zoomScaleNormal="80" workbookViewId="0">
      <pane xSplit="4" ySplit="6" topLeftCell="E7" activePane="bottomRight" state="frozen"/>
      <selection pane="topRight" activeCell="E1" sqref="E1"/>
      <selection pane="bottomLeft" activeCell="A7" sqref="A7"/>
      <selection pane="bottomRight" activeCell="A7" sqref="A7:XFD51"/>
    </sheetView>
  </sheetViews>
  <sheetFormatPr defaultColWidth="14.42578125" defaultRowHeight="15" x14ac:dyDescent="0.3"/>
  <cols>
    <col min="1" max="1" width="11" style="1" customWidth="1"/>
    <col min="2" max="2" width="11" style="33" customWidth="1"/>
    <col min="3" max="3" width="51.5703125" style="1" customWidth="1"/>
    <col min="4" max="4" width="20.7109375" style="2" customWidth="1"/>
    <col min="5" max="6" width="15.7109375" style="1" customWidth="1"/>
    <col min="7" max="7" width="15.7109375" style="2" customWidth="1"/>
    <col min="8" max="9" width="15.7109375" style="1" customWidth="1"/>
    <col min="10" max="10" width="15.7109375" style="39" customWidth="1"/>
    <col min="11" max="11" width="15.7109375" style="1" customWidth="1"/>
    <col min="12" max="12" width="14.42578125" style="2"/>
    <col min="13" max="13" width="17" style="2" customWidth="1"/>
    <col min="14" max="16384" width="14.42578125" style="1"/>
  </cols>
  <sheetData>
    <row r="1" spans="1:11" ht="39" customHeight="1" x14ac:dyDescent="0.7">
      <c r="A1" s="3" t="s">
        <v>0</v>
      </c>
      <c r="B1" s="28"/>
      <c r="C1" s="4"/>
      <c r="D1" s="4" t="s">
        <v>6</v>
      </c>
      <c r="E1" s="2" t="e">
        <f>+#REF!</f>
        <v>#REF!</v>
      </c>
      <c r="F1" s="134" t="e">
        <f>+E1/63.25</f>
        <v>#REF!</v>
      </c>
    </row>
    <row r="2" spans="1:11" ht="15.75" customHeight="1" x14ac:dyDescent="0.3">
      <c r="A2" s="5"/>
      <c r="B2" s="29"/>
      <c r="D2" s="4" t="s">
        <v>7</v>
      </c>
      <c r="E2" s="2" t="e">
        <f>+#REF!</f>
        <v>#REF!</v>
      </c>
      <c r="F2" s="134" t="e">
        <f t="shared" ref="F2:F4" si="0">+E2/63.25</f>
        <v>#REF!</v>
      </c>
      <c r="G2" s="6"/>
      <c r="H2" s="7"/>
      <c r="I2" s="7"/>
    </row>
    <row r="3" spans="1:11" x14ac:dyDescent="0.3">
      <c r="A3" s="8"/>
      <c r="B3" s="30"/>
      <c r="C3" s="9"/>
      <c r="D3" s="4" t="s">
        <v>8</v>
      </c>
      <c r="E3" s="2" t="e">
        <f>+#REF!</f>
        <v>#REF!</v>
      </c>
      <c r="F3" s="134" t="e">
        <f t="shared" si="0"/>
        <v>#REF!</v>
      </c>
      <c r="G3" s="6"/>
      <c r="H3" s="10"/>
      <c r="I3" s="10"/>
    </row>
    <row r="4" spans="1:11" x14ac:dyDescent="0.3">
      <c r="A4" s="8"/>
      <c r="B4" s="30"/>
      <c r="C4" s="9"/>
      <c r="D4" s="4" t="s">
        <v>9</v>
      </c>
      <c r="E4" s="2" t="e">
        <f>+#REF!</f>
        <v>#REF!</v>
      </c>
      <c r="F4" s="134" t="e">
        <f t="shared" si="0"/>
        <v>#REF!</v>
      </c>
      <c r="G4" s="6"/>
      <c r="H4" s="10"/>
      <c r="I4" s="10"/>
    </row>
    <row r="5" spans="1:11" x14ac:dyDescent="0.3">
      <c r="A5" s="11"/>
      <c r="B5" s="31"/>
      <c r="C5" s="12"/>
      <c r="D5" s="4"/>
      <c r="E5" s="13" t="e">
        <f>SUM(E1:E4)</f>
        <v>#REF!</v>
      </c>
      <c r="F5" s="134" t="e">
        <f>+E5/63.25</f>
        <v>#REF!</v>
      </c>
      <c r="G5" s="14" t="e">
        <f>SUM(F1:F4)</f>
        <v>#REF!</v>
      </c>
      <c r="H5" s="15"/>
      <c r="I5" s="15"/>
    </row>
    <row r="6" spans="1:11" ht="17.25" customHeight="1" x14ac:dyDescent="0.3">
      <c r="A6" s="16" t="s">
        <v>1</v>
      </c>
      <c r="B6" s="32" t="s">
        <v>15</v>
      </c>
      <c r="C6" s="16" t="s">
        <v>2</v>
      </c>
      <c r="D6" s="17" t="s">
        <v>3</v>
      </c>
      <c r="E6" s="16" t="s">
        <v>6</v>
      </c>
      <c r="F6" s="17" t="s">
        <v>7</v>
      </c>
      <c r="G6" s="17" t="s">
        <v>8</v>
      </c>
      <c r="H6" s="17" t="s">
        <v>9</v>
      </c>
      <c r="I6" s="17" t="s">
        <v>17</v>
      </c>
      <c r="J6" s="40" t="s">
        <v>16</v>
      </c>
      <c r="K6" s="43" t="s">
        <v>18</v>
      </c>
    </row>
    <row r="7" spans="1:11" ht="17.25" customHeight="1" x14ac:dyDescent="0.3">
      <c r="A7" s="34"/>
      <c r="B7" s="36"/>
      <c r="C7" s="37"/>
      <c r="D7" s="35"/>
      <c r="E7" s="35"/>
      <c r="F7" s="35"/>
      <c r="G7" s="35"/>
      <c r="H7" s="35"/>
      <c r="I7" s="35"/>
      <c r="J7" s="42"/>
      <c r="K7" s="35"/>
    </row>
    <row r="8" spans="1:11" ht="15.75" customHeight="1" x14ac:dyDescent="0.3">
      <c r="A8" s="18">
        <v>46069</v>
      </c>
      <c r="B8" s="135">
        <v>1</v>
      </c>
      <c r="C8" s="136" t="s">
        <v>81</v>
      </c>
      <c r="D8" s="20">
        <f>+J8*67</f>
        <v>335000</v>
      </c>
      <c r="E8" s="20">
        <f>+D8</f>
        <v>335000</v>
      </c>
      <c r="F8" s="20"/>
      <c r="G8" s="20"/>
      <c r="H8" s="19"/>
      <c r="I8" s="19"/>
      <c r="J8" s="41">
        <v>5000</v>
      </c>
      <c r="K8" s="20"/>
    </row>
    <row r="9" spans="1:11" ht="15.75" customHeight="1" x14ac:dyDescent="0.3"/>
    <row r="10" spans="1:11" ht="15.75" customHeight="1" x14ac:dyDescent="0.3"/>
    <row r="11" spans="1:11" ht="15.75" customHeight="1" x14ac:dyDescent="0.3"/>
    <row r="12" spans="1:11" ht="15.75" customHeight="1" x14ac:dyDescent="0.3"/>
    <row r="13" spans="1:11" ht="15.75" customHeight="1" x14ac:dyDescent="0.3"/>
    <row r="14" spans="1:11" ht="15.75" customHeight="1" x14ac:dyDescent="0.3"/>
    <row r="15" spans="1:11" ht="15.75" customHeight="1" x14ac:dyDescent="0.3"/>
    <row r="16" spans="1:11" ht="15.75" customHeight="1" x14ac:dyDescent="0.3"/>
    <row r="17" spans="1:9" ht="15.75" customHeight="1" x14ac:dyDescent="0.3"/>
    <row r="18" spans="1:9" ht="15.75" customHeight="1" x14ac:dyDescent="0.3"/>
    <row r="19" spans="1:9" ht="15.75" customHeight="1" x14ac:dyDescent="0.3"/>
    <row r="20" spans="1:9" ht="15.75" customHeight="1" x14ac:dyDescent="0.3"/>
    <row r="21" spans="1:9" ht="15.75" customHeight="1" x14ac:dyDescent="0.3"/>
    <row r="22" spans="1:9" ht="15.75" customHeight="1" x14ac:dyDescent="0.3"/>
    <row r="23" spans="1:9" ht="15.75" customHeight="1" x14ac:dyDescent="0.3"/>
    <row r="24" spans="1:9" ht="15.75" customHeight="1" x14ac:dyDescent="0.3">
      <c r="A24" s="5"/>
      <c r="B24" s="29"/>
      <c r="C24" s="4"/>
      <c r="I24" s="21"/>
    </row>
    <row r="25" spans="1:9" ht="15.75" customHeight="1" x14ac:dyDescent="0.3">
      <c r="A25" s="5"/>
      <c r="B25" s="29"/>
      <c r="C25" s="4"/>
      <c r="I25" s="21"/>
    </row>
    <row r="26" spans="1:9" ht="15.75" customHeight="1" x14ac:dyDescent="0.3">
      <c r="A26" s="5"/>
      <c r="B26" s="29"/>
      <c r="C26" s="4"/>
      <c r="I26" s="21"/>
    </row>
    <row r="27" spans="1:9" ht="15.75" customHeight="1" x14ac:dyDescent="0.3">
      <c r="A27" s="5"/>
      <c r="B27" s="29"/>
      <c r="C27" s="4"/>
      <c r="I27" s="21"/>
    </row>
    <row r="28" spans="1:9" ht="15.75" customHeight="1" x14ac:dyDescent="0.3">
      <c r="A28" s="5"/>
      <c r="B28" s="29"/>
      <c r="C28" s="4"/>
      <c r="I28" s="21"/>
    </row>
    <row r="29" spans="1:9" ht="15.75" customHeight="1" x14ac:dyDescent="0.3">
      <c r="A29" s="5"/>
      <c r="B29" s="29"/>
      <c r="C29" s="4"/>
      <c r="I29" s="21"/>
    </row>
    <row r="30" spans="1:9" ht="15.75" customHeight="1" x14ac:dyDescent="0.3">
      <c r="A30" s="5"/>
      <c r="B30" s="29"/>
      <c r="C30" s="4"/>
      <c r="I30" s="21"/>
    </row>
    <row r="31" spans="1:9" ht="15.75" customHeight="1" x14ac:dyDescent="0.3">
      <c r="A31" s="5"/>
      <c r="B31" s="29"/>
      <c r="C31" s="4"/>
      <c r="I31" s="21"/>
    </row>
    <row r="32" spans="1:9" ht="15.75" customHeight="1" x14ac:dyDescent="0.3">
      <c r="A32" s="5"/>
      <c r="B32" s="29"/>
      <c r="C32" s="4"/>
      <c r="I32" s="21"/>
    </row>
    <row r="33" spans="1:9" ht="15.75" customHeight="1" x14ac:dyDescent="0.3">
      <c r="A33" s="5"/>
      <c r="B33" s="29"/>
      <c r="C33" s="4"/>
      <c r="I33" s="21"/>
    </row>
    <row r="34" spans="1:9" ht="15.75" customHeight="1" x14ac:dyDescent="0.3">
      <c r="A34" s="5"/>
      <c r="B34" s="29"/>
      <c r="C34" s="4"/>
      <c r="I34" s="21"/>
    </row>
    <row r="35" spans="1:9" ht="15.75" customHeight="1" x14ac:dyDescent="0.3">
      <c r="A35" s="5"/>
      <c r="B35" s="29"/>
      <c r="C35" s="4"/>
      <c r="I35" s="21"/>
    </row>
    <row r="36" spans="1:9" ht="15.75" customHeight="1" x14ac:dyDescent="0.3">
      <c r="A36" s="5"/>
      <c r="B36" s="29"/>
      <c r="C36" s="4"/>
      <c r="I36" s="21"/>
    </row>
    <row r="37" spans="1:9" ht="15.75" customHeight="1" x14ac:dyDescent="0.3">
      <c r="A37" s="5"/>
      <c r="B37" s="29"/>
      <c r="C37" s="4"/>
      <c r="I37" s="21"/>
    </row>
    <row r="38" spans="1:9" ht="15.75" customHeight="1" x14ac:dyDescent="0.3">
      <c r="A38" s="5"/>
      <c r="B38" s="29"/>
      <c r="C38" s="4"/>
      <c r="I38" s="21"/>
    </row>
    <row r="39" spans="1:9" ht="15.75" customHeight="1" x14ac:dyDescent="0.3">
      <c r="A39" s="5"/>
      <c r="B39" s="29"/>
      <c r="C39" s="4"/>
      <c r="I39" s="21"/>
    </row>
    <row r="40" spans="1:9" ht="15.75" customHeight="1" x14ac:dyDescent="0.3">
      <c r="A40" s="5"/>
      <c r="B40" s="29"/>
      <c r="C40" s="4"/>
      <c r="I40" s="21"/>
    </row>
    <row r="41" spans="1:9" ht="15.75" customHeight="1" x14ac:dyDescent="0.3">
      <c r="A41" s="5"/>
      <c r="B41" s="29"/>
      <c r="C41" s="4"/>
      <c r="I41" s="21"/>
    </row>
    <row r="42" spans="1:9" ht="15.75" customHeight="1" x14ac:dyDescent="0.3">
      <c r="A42" s="5"/>
      <c r="B42" s="29"/>
      <c r="C42" s="4"/>
      <c r="I42" s="21"/>
    </row>
    <row r="43" spans="1:9" ht="15.75" customHeight="1" x14ac:dyDescent="0.3">
      <c r="A43" s="5"/>
      <c r="B43" s="29"/>
      <c r="C43" s="4"/>
      <c r="I43" s="21"/>
    </row>
    <row r="44" spans="1:9" ht="15.75" customHeight="1" x14ac:dyDescent="0.3">
      <c r="A44" s="5"/>
      <c r="B44" s="29"/>
      <c r="C44" s="4"/>
      <c r="I44" s="21"/>
    </row>
    <row r="45" spans="1:9" ht="15.75" customHeight="1" x14ac:dyDescent="0.3">
      <c r="A45" s="5"/>
      <c r="B45" s="29"/>
      <c r="C45" s="4"/>
      <c r="I45" s="21"/>
    </row>
    <row r="46" spans="1:9" ht="15.75" customHeight="1" x14ac:dyDescent="0.3">
      <c r="A46" s="5"/>
      <c r="B46" s="29"/>
      <c r="C46" s="4"/>
      <c r="I46" s="21"/>
    </row>
    <row r="47" spans="1:9" ht="15.75" customHeight="1" x14ac:dyDescent="0.3">
      <c r="A47" s="5"/>
      <c r="B47" s="29"/>
      <c r="C47" s="4"/>
      <c r="I47" s="21"/>
    </row>
    <row r="48" spans="1:9" ht="15.75" customHeight="1" x14ac:dyDescent="0.3">
      <c r="A48" s="5"/>
      <c r="B48" s="29"/>
      <c r="C48" s="4"/>
      <c r="I48" s="21"/>
    </row>
    <row r="49" spans="1:9" ht="15.75" customHeight="1" x14ac:dyDescent="0.3">
      <c r="A49" s="5"/>
      <c r="B49" s="29"/>
      <c r="C49" s="4"/>
      <c r="I49" s="21"/>
    </row>
    <row r="50" spans="1:9" ht="15.75" customHeight="1" x14ac:dyDescent="0.3">
      <c r="A50" s="5"/>
      <c r="B50" s="29"/>
      <c r="C50" s="4"/>
      <c r="I50" s="21"/>
    </row>
    <row r="51" spans="1:9" ht="15.75" customHeight="1" x14ac:dyDescent="0.3">
      <c r="A51" s="5"/>
      <c r="B51" s="29"/>
      <c r="C51" s="4"/>
      <c r="I51" s="21"/>
    </row>
    <row r="52" spans="1:9" ht="15.75" customHeight="1" x14ac:dyDescent="0.3">
      <c r="A52" s="5"/>
      <c r="B52" s="29"/>
      <c r="C52" s="4"/>
      <c r="I52" s="21"/>
    </row>
    <row r="53" spans="1:9" ht="15.75" customHeight="1" x14ac:dyDescent="0.3">
      <c r="A53" s="5"/>
      <c r="B53" s="29"/>
      <c r="C53" s="4"/>
      <c r="I53" s="21"/>
    </row>
    <row r="54" spans="1:9" ht="15.75" customHeight="1" x14ac:dyDescent="0.3">
      <c r="A54" s="5"/>
      <c r="B54" s="29"/>
      <c r="C54" s="4"/>
      <c r="I54" s="21"/>
    </row>
    <row r="55" spans="1:9" ht="15.75" customHeight="1" x14ac:dyDescent="0.3">
      <c r="A55" s="5"/>
      <c r="B55" s="29"/>
      <c r="C55" s="4"/>
      <c r="I55" s="21"/>
    </row>
    <row r="56" spans="1:9" ht="15.75" customHeight="1" x14ac:dyDescent="0.3">
      <c r="A56" s="5"/>
      <c r="B56" s="29"/>
      <c r="C56" s="4"/>
      <c r="I56" s="21"/>
    </row>
    <row r="57" spans="1:9" ht="15.75" customHeight="1" x14ac:dyDescent="0.3">
      <c r="A57" s="5"/>
      <c r="B57" s="29"/>
      <c r="C57" s="4"/>
      <c r="I57" s="21"/>
    </row>
    <row r="58" spans="1:9" ht="15.75" customHeight="1" x14ac:dyDescent="0.3">
      <c r="A58" s="5"/>
      <c r="B58" s="29"/>
      <c r="C58" s="4"/>
      <c r="I58" s="21"/>
    </row>
    <row r="59" spans="1:9" ht="15.75" customHeight="1" x14ac:dyDescent="0.3">
      <c r="A59" s="5"/>
      <c r="B59" s="29"/>
      <c r="C59" s="4"/>
      <c r="I59" s="21"/>
    </row>
    <row r="60" spans="1:9" ht="15.75" customHeight="1" x14ac:dyDescent="0.3">
      <c r="A60" s="5"/>
      <c r="B60" s="29"/>
      <c r="C60" s="4"/>
      <c r="I60" s="21"/>
    </row>
    <row r="61" spans="1:9" ht="15.75" customHeight="1" x14ac:dyDescent="0.3">
      <c r="A61" s="5"/>
      <c r="B61" s="29"/>
      <c r="C61" s="4"/>
      <c r="I61" s="21"/>
    </row>
    <row r="62" spans="1:9" ht="15.75" customHeight="1" x14ac:dyDescent="0.3">
      <c r="A62" s="5"/>
      <c r="B62" s="29"/>
      <c r="C62" s="4"/>
      <c r="I62" s="21"/>
    </row>
    <row r="63" spans="1:9" ht="15.75" customHeight="1" x14ac:dyDescent="0.3">
      <c r="A63" s="5"/>
      <c r="B63" s="29"/>
      <c r="C63" s="4"/>
      <c r="I63" s="21"/>
    </row>
    <row r="64" spans="1:9" ht="15.75" customHeight="1" x14ac:dyDescent="0.3">
      <c r="A64" s="5"/>
      <c r="B64" s="29"/>
      <c r="C64" s="4"/>
      <c r="I64" s="21"/>
    </row>
    <row r="65" spans="1:9" ht="15.75" customHeight="1" x14ac:dyDescent="0.3">
      <c r="A65" s="5"/>
      <c r="B65" s="29"/>
      <c r="C65" s="4"/>
      <c r="I65" s="21"/>
    </row>
    <row r="66" spans="1:9" ht="15.75" customHeight="1" x14ac:dyDescent="0.3">
      <c r="A66" s="5"/>
      <c r="B66" s="29"/>
      <c r="C66" s="4"/>
      <c r="I66" s="21"/>
    </row>
    <row r="67" spans="1:9" ht="15.75" customHeight="1" x14ac:dyDescent="0.3">
      <c r="A67" s="5"/>
      <c r="B67" s="29"/>
      <c r="C67" s="4"/>
      <c r="I67" s="21"/>
    </row>
    <row r="68" spans="1:9" ht="15.75" customHeight="1" x14ac:dyDescent="0.3">
      <c r="A68" s="5"/>
      <c r="B68" s="29"/>
      <c r="C68" s="4"/>
      <c r="I68" s="21"/>
    </row>
    <row r="69" spans="1:9" ht="15.75" customHeight="1" x14ac:dyDescent="0.3">
      <c r="A69" s="5"/>
      <c r="B69" s="29"/>
      <c r="C69" s="4"/>
      <c r="I69" s="21"/>
    </row>
    <row r="70" spans="1:9" ht="15.75" customHeight="1" x14ac:dyDescent="0.3">
      <c r="A70" s="5"/>
      <c r="B70" s="29"/>
      <c r="C70" s="4"/>
      <c r="I70" s="21"/>
    </row>
    <row r="71" spans="1:9" ht="15.75" customHeight="1" x14ac:dyDescent="0.3">
      <c r="A71" s="5"/>
      <c r="B71" s="29"/>
      <c r="C71" s="4"/>
      <c r="I71" s="21"/>
    </row>
    <row r="72" spans="1:9" ht="15.75" customHeight="1" x14ac:dyDescent="0.3">
      <c r="A72" s="5"/>
      <c r="B72" s="29"/>
      <c r="C72" s="4"/>
      <c r="I72" s="21"/>
    </row>
    <row r="73" spans="1:9" ht="15.75" customHeight="1" x14ac:dyDescent="0.3">
      <c r="A73" s="5"/>
      <c r="B73" s="29"/>
      <c r="C73" s="4"/>
      <c r="I73" s="21"/>
    </row>
    <row r="74" spans="1:9" ht="15.75" customHeight="1" x14ac:dyDescent="0.3">
      <c r="A74" s="5"/>
      <c r="B74" s="29"/>
      <c r="C74" s="4"/>
      <c r="I74" s="21"/>
    </row>
    <row r="75" spans="1:9" ht="15.75" customHeight="1" x14ac:dyDescent="0.3">
      <c r="A75" s="5"/>
      <c r="B75" s="29"/>
      <c r="C75" s="4"/>
      <c r="I75" s="21"/>
    </row>
    <row r="76" spans="1:9" ht="15.75" customHeight="1" x14ac:dyDescent="0.3">
      <c r="A76" s="5"/>
      <c r="B76" s="29"/>
      <c r="C76" s="4"/>
      <c r="I76" s="21"/>
    </row>
    <row r="77" spans="1:9" ht="15.75" customHeight="1" x14ac:dyDescent="0.3">
      <c r="A77" s="5"/>
      <c r="B77" s="29"/>
      <c r="C77" s="4"/>
      <c r="I77" s="21"/>
    </row>
    <row r="78" spans="1:9" ht="15.75" customHeight="1" x14ac:dyDescent="0.3">
      <c r="A78" s="5"/>
      <c r="B78" s="29"/>
      <c r="C78" s="4"/>
      <c r="I78" s="21"/>
    </row>
    <row r="79" spans="1:9" ht="15.75" customHeight="1" x14ac:dyDescent="0.3">
      <c r="A79" s="5"/>
      <c r="B79" s="29"/>
      <c r="C79" s="4"/>
      <c r="I79" s="21"/>
    </row>
    <row r="80" spans="1:9" ht="15.75" customHeight="1" x14ac:dyDescent="0.3">
      <c r="A80" s="5"/>
      <c r="B80" s="29"/>
      <c r="C80" s="4"/>
      <c r="I80" s="21"/>
    </row>
    <row r="81" spans="1:9" ht="15.75" customHeight="1" x14ac:dyDescent="0.3">
      <c r="A81" s="5"/>
      <c r="B81" s="29"/>
      <c r="C81" s="4"/>
      <c r="I81" s="21"/>
    </row>
    <row r="82" spans="1:9" ht="15.75" customHeight="1" x14ac:dyDescent="0.3">
      <c r="A82" s="5"/>
      <c r="B82" s="29"/>
      <c r="C82" s="4"/>
      <c r="I82" s="21"/>
    </row>
    <row r="83" spans="1:9" ht="15.75" customHeight="1" x14ac:dyDescent="0.3">
      <c r="A83" s="5"/>
      <c r="B83" s="29"/>
      <c r="C83" s="4"/>
      <c r="I83" s="21"/>
    </row>
    <row r="84" spans="1:9" ht="15.75" customHeight="1" x14ac:dyDescent="0.3">
      <c r="A84" s="5"/>
      <c r="B84" s="29"/>
      <c r="C84" s="4"/>
      <c r="I84" s="21"/>
    </row>
    <row r="85" spans="1:9" ht="15.75" customHeight="1" x14ac:dyDescent="0.3">
      <c r="A85" s="5"/>
      <c r="B85" s="29"/>
      <c r="C85" s="4"/>
      <c r="I85" s="21"/>
    </row>
    <row r="86" spans="1:9" ht="15.75" customHeight="1" x14ac:dyDescent="0.3">
      <c r="A86" s="5"/>
      <c r="B86" s="29"/>
      <c r="C86" s="4"/>
      <c r="I86" s="21"/>
    </row>
    <row r="87" spans="1:9" ht="15.75" customHeight="1" x14ac:dyDescent="0.3">
      <c r="A87" s="5"/>
      <c r="B87" s="29"/>
      <c r="C87" s="4"/>
      <c r="I87" s="21"/>
    </row>
    <row r="88" spans="1:9" ht="15.75" customHeight="1" x14ac:dyDescent="0.3">
      <c r="A88" s="5"/>
      <c r="B88" s="29"/>
      <c r="C88" s="4"/>
      <c r="I88" s="21"/>
    </row>
    <row r="89" spans="1:9" ht="15.75" customHeight="1" x14ac:dyDescent="0.3">
      <c r="A89" s="5"/>
      <c r="B89" s="29"/>
      <c r="C89" s="4"/>
      <c r="I89" s="21"/>
    </row>
    <row r="90" spans="1:9" ht="15.75" customHeight="1" x14ac:dyDescent="0.3">
      <c r="A90" s="5"/>
      <c r="B90" s="29"/>
      <c r="C90" s="4"/>
      <c r="I90" s="21"/>
    </row>
    <row r="91" spans="1:9" ht="15.75" customHeight="1" x14ac:dyDescent="0.3">
      <c r="A91" s="5"/>
      <c r="B91" s="29"/>
      <c r="C91" s="4"/>
      <c r="I91" s="21"/>
    </row>
    <row r="92" spans="1:9" ht="15.75" customHeight="1" x14ac:dyDescent="0.3">
      <c r="A92" s="5"/>
      <c r="B92" s="29"/>
      <c r="C92" s="4"/>
      <c r="I92" s="21"/>
    </row>
    <row r="93" spans="1:9" ht="15.75" customHeight="1" x14ac:dyDescent="0.3">
      <c r="A93" s="5"/>
      <c r="B93" s="29"/>
      <c r="C93" s="4"/>
      <c r="I93" s="21"/>
    </row>
    <row r="94" spans="1:9" ht="15.75" customHeight="1" x14ac:dyDescent="0.3">
      <c r="A94" s="5"/>
      <c r="B94" s="29"/>
      <c r="C94" s="4"/>
      <c r="I94" s="21"/>
    </row>
    <row r="95" spans="1:9" ht="15.75" customHeight="1" x14ac:dyDescent="0.3">
      <c r="A95" s="5"/>
      <c r="B95" s="29"/>
      <c r="C95" s="4"/>
      <c r="I95" s="21"/>
    </row>
    <row r="96" spans="1:9" ht="15.75" customHeight="1" x14ac:dyDescent="0.3">
      <c r="A96" s="5"/>
      <c r="B96" s="29"/>
      <c r="C96" s="4"/>
      <c r="I96" s="21"/>
    </row>
    <row r="97" spans="1:9" ht="15.75" customHeight="1" x14ac:dyDescent="0.3">
      <c r="A97" s="5"/>
      <c r="B97" s="29"/>
      <c r="C97" s="4"/>
      <c r="I97" s="21"/>
    </row>
    <row r="98" spans="1:9" ht="15.75" customHeight="1" x14ac:dyDescent="0.3">
      <c r="A98" s="5"/>
      <c r="B98" s="29"/>
      <c r="C98" s="4"/>
      <c r="I98" s="21"/>
    </row>
    <row r="99" spans="1:9" ht="15.75" customHeight="1" x14ac:dyDescent="0.3">
      <c r="A99" s="5"/>
      <c r="B99" s="29"/>
      <c r="C99" s="4"/>
      <c r="I99" s="21"/>
    </row>
    <row r="100" spans="1:9" ht="15.75" customHeight="1" x14ac:dyDescent="0.3">
      <c r="A100" s="5"/>
      <c r="B100" s="29"/>
      <c r="C100" s="4"/>
      <c r="I100" s="21"/>
    </row>
    <row r="101" spans="1:9" ht="15.75" customHeight="1" x14ac:dyDescent="0.3">
      <c r="A101" s="5"/>
      <c r="B101" s="29"/>
      <c r="C101" s="4"/>
      <c r="I101" s="21"/>
    </row>
    <row r="102" spans="1:9" ht="15.75" customHeight="1" x14ac:dyDescent="0.3">
      <c r="A102" s="5"/>
      <c r="B102" s="29"/>
      <c r="C102" s="4"/>
      <c r="I102" s="21"/>
    </row>
    <row r="103" spans="1:9" ht="15.75" customHeight="1" x14ac:dyDescent="0.3">
      <c r="A103" s="5"/>
      <c r="B103" s="29"/>
      <c r="C103" s="4"/>
      <c r="I103" s="21"/>
    </row>
    <row r="104" spans="1:9" ht="15.75" customHeight="1" x14ac:dyDescent="0.3">
      <c r="A104" s="5"/>
      <c r="B104" s="29"/>
      <c r="C104" s="4"/>
      <c r="I104" s="21"/>
    </row>
    <row r="105" spans="1:9" ht="15.75" customHeight="1" x14ac:dyDescent="0.3">
      <c r="A105" s="5"/>
      <c r="B105" s="29"/>
      <c r="C105" s="4"/>
      <c r="I105" s="21"/>
    </row>
    <row r="106" spans="1:9" ht="15.75" customHeight="1" x14ac:dyDescent="0.3">
      <c r="A106" s="5"/>
      <c r="B106" s="29"/>
      <c r="C106" s="4"/>
      <c r="I106" s="21"/>
    </row>
    <row r="107" spans="1:9" ht="15.75" customHeight="1" x14ac:dyDescent="0.3">
      <c r="A107" s="5"/>
      <c r="B107" s="29"/>
      <c r="C107" s="4"/>
      <c r="I107" s="21"/>
    </row>
    <row r="108" spans="1:9" ht="15.75" customHeight="1" x14ac:dyDescent="0.3">
      <c r="A108" s="5"/>
      <c r="B108" s="29"/>
      <c r="C108" s="4"/>
      <c r="I108" s="21"/>
    </row>
    <row r="109" spans="1:9" ht="15.75" customHeight="1" x14ac:dyDescent="0.3">
      <c r="A109" s="5"/>
      <c r="B109" s="29"/>
      <c r="C109" s="4"/>
      <c r="I109" s="21"/>
    </row>
    <row r="110" spans="1:9" ht="15.75" customHeight="1" x14ac:dyDescent="0.3">
      <c r="A110" s="5"/>
      <c r="B110" s="29"/>
      <c r="C110" s="4"/>
      <c r="I110" s="21"/>
    </row>
    <row r="111" spans="1:9" ht="15.75" customHeight="1" x14ac:dyDescent="0.3">
      <c r="A111" s="5"/>
      <c r="B111" s="29"/>
      <c r="C111" s="4"/>
      <c r="I111" s="21"/>
    </row>
    <row r="112" spans="1:9" ht="15.75" customHeight="1" x14ac:dyDescent="0.3">
      <c r="A112" s="5"/>
      <c r="B112" s="29"/>
      <c r="C112" s="4"/>
      <c r="I112" s="21"/>
    </row>
    <row r="113" spans="1:9" ht="15.75" customHeight="1" x14ac:dyDescent="0.3">
      <c r="A113" s="5"/>
      <c r="B113" s="29"/>
      <c r="C113" s="4"/>
      <c r="I113" s="21"/>
    </row>
    <row r="114" spans="1:9" ht="15.75" customHeight="1" x14ac:dyDescent="0.3">
      <c r="A114" s="5"/>
      <c r="B114" s="29"/>
      <c r="C114" s="4"/>
      <c r="I114" s="21"/>
    </row>
    <row r="115" spans="1:9" ht="15.75" customHeight="1" x14ac:dyDescent="0.3">
      <c r="A115" s="5"/>
      <c r="B115" s="29"/>
      <c r="C115" s="4"/>
      <c r="I115" s="21"/>
    </row>
    <row r="116" spans="1:9" ht="15.75" customHeight="1" x14ac:dyDescent="0.3">
      <c r="A116" s="5"/>
      <c r="B116" s="29"/>
      <c r="C116" s="4"/>
      <c r="I116" s="21"/>
    </row>
    <row r="117" spans="1:9" ht="15.75" customHeight="1" x14ac:dyDescent="0.3">
      <c r="A117" s="5"/>
      <c r="B117" s="29"/>
      <c r="C117" s="4"/>
      <c r="I117" s="21"/>
    </row>
    <row r="118" spans="1:9" ht="15.75" customHeight="1" x14ac:dyDescent="0.3">
      <c r="A118" s="5"/>
      <c r="B118" s="29"/>
      <c r="C118" s="4"/>
      <c r="I118" s="21"/>
    </row>
    <row r="119" spans="1:9" ht="15.75" customHeight="1" x14ac:dyDescent="0.3">
      <c r="A119" s="5"/>
      <c r="B119" s="29"/>
      <c r="C119" s="4"/>
      <c r="I119" s="21"/>
    </row>
    <row r="120" spans="1:9" ht="15.75" customHeight="1" x14ac:dyDescent="0.3">
      <c r="A120" s="5"/>
      <c r="B120" s="29"/>
      <c r="C120" s="4"/>
      <c r="I120" s="21"/>
    </row>
    <row r="121" spans="1:9" ht="15.75" customHeight="1" x14ac:dyDescent="0.3">
      <c r="A121" s="5"/>
      <c r="B121" s="29"/>
      <c r="C121" s="4"/>
      <c r="I121" s="21"/>
    </row>
    <row r="122" spans="1:9" ht="15.75" customHeight="1" x14ac:dyDescent="0.3">
      <c r="A122" s="5"/>
      <c r="B122" s="29"/>
      <c r="C122" s="4"/>
      <c r="I122" s="21"/>
    </row>
    <row r="123" spans="1:9" ht="15.75" customHeight="1" x14ac:dyDescent="0.3">
      <c r="A123" s="5"/>
      <c r="B123" s="29"/>
      <c r="C123" s="4"/>
      <c r="I123" s="21"/>
    </row>
    <row r="124" spans="1:9" ht="15.75" customHeight="1" x14ac:dyDescent="0.3">
      <c r="A124" s="5"/>
      <c r="B124" s="29"/>
      <c r="C124" s="4"/>
      <c r="I124" s="21"/>
    </row>
    <row r="125" spans="1:9" ht="15.75" customHeight="1" x14ac:dyDescent="0.3">
      <c r="A125" s="5"/>
      <c r="B125" s="29"/>
      <c r="C125" s="4"/>
      <c r="I125" s="21"/>
    </row>
    <row r="126" spans="1:9" ht="15.75" customHeight="1" x14ac:dyDescent="0.3">
      <c r="A126" s="5"/>
      <c r="B126" s="29"/>
      <c r="C126" s="4"/>
      <c r="I126" s="21"/>
    </row>
    <row r="127" spans="1:9" ht="15.75" customHeight="1" x14ac:dyDescent="0.3">
      <c r="A127" s="5"/>
      <c r="B127" s="29"/>
      <c r="C127" s="4"/>
      <c r="I127" s="21"/>
    </row>
    <row r="128" spans="1:9" ht="15.75" customHeight="1" x14ac:dyDescent="0.3">
      <c r="A128" s="5"/>
      <c r="B128" s="29"/>
      <c r="C128" s="4"/>
      <c r="I128" s="21"/>
    </row>
    <row r="129" spans="1:9" ht="15.75" customHeight="1" x14ac:dyDescent="0.3">
      <c r="A129" s="5"/>
      <c r="B129" s="29"/>
      <c r="C129" s="4"/>
      <c r="I129" s="21"/>
    </row>
    <row r="130" spans="1:9" ht="15.75" customHeight="1" x14ac:dyDescent="0.3">
      <c r="A130" s="5"/>
      <c r="B130" s="29"/>
      <c r="C130" s="4"/>
      <c r="I130" s="21"/>
    </row>
    <row r="131" spans="1:9" ht="15.75" customHeight="1" x14ac:dyDescent="0.3">
      <c r="A131" s="5"/>
      <c r="B131" s="29"/>
      <c r="C131" s="4"/>
      <c r="I131" s="21"/>
    </row>
    <row r="132" spans="1:9" ht="15.75" customHeight="1" x14ac:dyDescent="0.3">
      <c r="A132" s="5"/>
      <c r="B132" s="29"/>
      <c r="C132" s="4"/>
      <c r="I132" s="21"/>
    </row>
    <row r="133" spans="1:9" ht="15.75" customHeight="1" x14ac:dyDescent="0.3">
      <c r="A133" s="5"/>
      <c r="B133" s="29"/>
      <c r="C133" s="4"/>
      <c r="I133" s="21"/>
    </row>
    <row r="134" spans="1:9" ht="15.75" customHeight="1" x14ac:dyDescent="0.3">
      <c r="A134" s="5"/>
      <c r="B134" s="29"/>
      <c r="C134" s="4"/>
      <c r="I134" s="21"/>
    </row>
    <row r="135" spans="1:9" ht="15.75" customHeight="1" x14ac:dyDescent="0.3">
      <c r="A135" s="5"/>
      <c r="B135" s="29"/>
      <c r="C135" s="4"/>
      <c r="I135" s="21"/>
    </row>
    <row r="136" spans="1:9" ht="15.75" customHeight="1" x14ac:dyDescent="0.3">
      <c r="A136" s="5"/>
      <c r="B136" s="29"/>
      <c r="C136" s="4"/>
      <c r="I136" s="21"/>
    </row>
    <row r="137" spans="1:9" ht="15.75" customHeight="1" x14ac:dyDescent="0.3">
      <c r="A137" s="5"/>
      <c r="B137" s="29"/>
      <c r="C137" s="4"/>
      <c r="I137" s="21"/>
    </row>
    <row r="138" spans="1:9" ht="15.75" customHeight="1" x14ac:dyDescent="0.3">
      <c r="A138" s="5"/>
      <c r="B138" s="29"/>
      <c r="C138" s="4"/>
      <c r="I138" s="21"/>
    </row>
    <row r="139" spans="1:9" ht="15.75" customHeight="1" x14ac:dyDescent="0.3">
      <c r="A139" s="5"/>
      <c r="B139" s="29"/>
      <c r="C139" s="4"/>
      <c r="I139" s="21"/>
    </row>
    <row r="140" spans="1:9" ht="15.75" customHeight="1" x14ac:dyDescent="0.3">
      <c r="A140" s="5"/>
      <c r="B140" s="29"/>
      <c r="C140" s="4"/>
      <c r="I140" s="21"/>
    </row>
    <row r="141" spans="1:9" ht="15.75" customHeight="1" x14ac:dyDescent="0.3">
      <c r="A141" s="5"/>
      <c r="B141" s="29"/>
      <c r="C141" s="4"/>
      <c r="I141" s="21"/>
    </row>
    <row r="142" spans="1:9" ht="15.75" customHeight="1" x14ac:dyDescent="0.3">
      <c r="A142" s="5"/>
      <c r="B142" s="29"/>
      <c r="C142" s="4"/>
      <c r="I142" s="21"/>
    </row>
    <row r="143" spans="1:9" ht="15.75" customHeight="1" x14ac:dyDescent="0.3">
      <c r="A143" s="5"/>
      <c r="B143" s="29"/>
      <c r="C143" s="4"/>
      <c r="I143" s="21"/>
    </row>
    <row r="144" spans="1:9" ht="15.75" customHeight="1" x14ac:dyDescent="0.3">
      <c r="A144" s="5"/>
      <c r="B144" s="29"/>
      <c r="C144" s="4"/>
      <c r="I144" s="21"/>
    </row>
    <row r="145" spans="1:9" ht="15.75" customHeight="1" x14ac:dyDescent="0.3">
      <c r="A145" s="5"/>
      <c r="B145" s="29"/>
      <c r="C145" s="4"/>
      <c r="I145" s="21"/>
    </row>
    <row r="146" spans="1:9" ht="15.75" customHeight="1" x14ac:dyDescent="0.3">
      <c r="A146" s="5"/>
      <c r="B146" s="29"/>
      <c r="C146" s="4"/>
      <c r="I146" s="21"/>
    </row>
    <row r="147" spans="1:9" ht="15.75" customHeight="1" x14ac:dyDescent="0.3">
      <c r="A147" s="5"/>
      <c r="B147" s="29"/>
      <c r="C147" s="4"/>
      <c r="I147" s="21"/>
    </row>
    <row r="148" spans="1:9" ht="15.75" customHeight="1" x14ac:dyDescent="0.3">
      <c r="A148" s="5"/>
      <c r="B148" s="29"/>
      <c r="C148" s="4"/>
      <c r="I148" s="21"/>
    </row>
    <row r="149" spans="1:9" ht="15.75" customHeight="1" x14ac:dyDescent="0.3">
      <c r="A149" s="5"/>
      <c r="B149" s="29"/>
      <c r="C149" s="4"/>
      <c r="I149" s="21"/>
    </row>
    <row r="150" spans="1:9" ht="15.75" customHeight="1" x14ac:dyDescent="0.3">
      <c r="A150" s="5"/>
      <c r="B150" s="29"/>
      <c r="C150" s="4"/>
      <c r="I150" s="21"/>
    </row>
    <row r="151" spans="1:9" ht="15.75" customHeight="1" x14ac:dyDescent="0.3">
      <c r="A151" s="5"/>
      <c r="B151" s="29"/>
      <c r="C151" s="4"/>
      <c r="I151" s="21"/>
    </row>
    <row r="152" spans="1:9" ht="15.75" customHeight="1" x14ac:dyDescent="0.3">
      <c r="A152" s="5"/>
      <c r="B152" s="29"/>
      <c r="C152" s="4"/>
      <c r="I152" s="21"/>
    </row>
    <row r="153" spans="1:9" ht="15.75" customHeight="1" x14ac:dyDescent="0.3">
      <c r="A153" s="5"/>
      <c r="B153" s="29"/>
      <c r="C153" s="4"/>
      <c r="I153" s="21"/>
    </row>
    <row r="154" spans="1:9" ht="15.75" customHeight="1" x14ac:dyDescent="0.3">
      <c r="A154" s="5"/>
      <c r="B154" s="29"/>
      <c r="C154" s="4"/>
      <c r="I154" s="21"/>
    </row>
    <row r="155" spans="1:9" ht="15.75" customHeight="1" x14ac:dyDescent="0.3">
      <c r="A155" s="5"/>
      <c r="B155" s="29"/>
      <c r="C155" s="4"/>
      <c r="I155" s="21"/>
    </row>
    <row r="156" spans="1:9" ht="15.75" customHeight="1" x14ac:dyDescent="0.3">
      <c r="A156" s="5"/>
      <c r="B156" s="29"/>
      <c r="C156" s="4"/>
      <c r="I156" s="21"/>
    </row>
    <row r="157" spans="1:9" ht="15.75" customHeight="1" x14ac:dyDescent="0.3">
      <c r="A157" s="5"/>
      <c r="B157" s="29"/>
      <c r="C157" s="4"/>
      <c r="I157" s="21"/>
    </row>
    <row r="158" spans="1:9" ht="15.75" customHeight="1" x14ac:dyDescent="0.3">
      <c r="A158" s="5"/>
      <c r="B158" s="29"/>
      <c r="C158" s="4"/>
      <c r="I158" s="21"/>
    </row>
    <row r="159" spans="1:9" ht="15.75" customHeight="1" x14ac:dyDescent="0.3">
      <c r="A159" s="5"/>
      <c r="B159" s="29"/>
      <c r="C159" s="4"/>
      <c r="I159" s="21"/>
    </row>
    <row r="160" spans="1:9" ht="15.75" customHeight="1" x14ac:dyDescent="0.3">
      <c r="A160" s="5"/>
      <c r="B160" s="29"/>
      <c r="C160" s="4"/>
      <c r="I160" s="21"/>
    </row>
    <row r="161" spans="1:9" ht="15.75" customHeight="1" x14ac:dyDescent="0.3">
      <c r="A161" s="5"/>
      <c r="B161" s="29"/>
      <c r="C161" s="4"/>
      <c r="I161" s="21"/>
    </row>
    <row r="162" spans="1:9" ht="15.75" customHeight="1" x14ac:dyDescent="0.3">
      <c r="A162" s="5"/>
      <c r="B162" s="29"/>
      <c r="C162" s="4"/>
      <c r="I162" s="21"/>
    </row>
    <row r="163" spans="1:9" ht="15.75" customHeight="1" x14ac:dyDescent="0.3">
      <c r="A163" s="5"/>
      <c r="B163" s="29"/>
      <c r="C163" s="4"/>
      <c r="I163" s="21"/>
    </row>
    <row r="164" spans="1:9" ht="15.75" customHeight="1" x14ac:dyDescent="0.3">
      <c r="A164" s="5"/>
      <c r="B164" s="29"/>
      <c r="C164" s="4"/>
      <c r="I164" s="21"/>
    </row>
    <row r="165" spans="1:9" ht="15.75" customHeight="1" x14ac:dyDescent="0.3">
      <c r="A165" s="5"/>
      <c r="B165" s="29"/>
      <c r="C165" s="4"/>
      <c r="I165" s="21"/>
    </row>
    <row r="166" spans="1:9" ht="15.75" customHeight="1" x14ac:dyDescent="0.3">
      <c r="A166" s="5"/>
      <c r="B166" s="29"/>
      <c r="C166" s="4"/>
      <c r="I166" s="21"/>
    </row>
    <row r="167" spans="1:9" ht="15.75" customHeight="1" x14ac:dyDescent="0.3">
      <c r="A167" s="5"/>
      <c r="B167" s="29"/>
      <c r="C167" s="4"/>
      <c r="I167" s="21"/>
    </row>
    <row r="168" spans="1:9" ht="15.75" customHeight="1" x14ac:dyDescent="0.3">
      <c r="A168" s="5"/>
      <c r="B168" s="29"/>
      <c r="C168" s="4"/>
      <c r="I168" s="21"/>
    </row>
    <row r="169" spans="1:9" ht="15.75" customHeight="1" x14ac:dyDescent="0.3">
      <c r="A169" s="5"/>
      <c r="B169" s="29"/>
      <c r="C169" s="4"/>
      <c r="I169" s="21"/>
    </row>
    <row r="170" spans="1:9" ht="15.75" customHeight="1" x14ac:dyDescent="0.3">
      <c r="A170" s="5"/>
      <c r="B170" s="29"/>
      <c r="C170" s="4"/>
      <c r="I170" s="21"/>
    </row>
    <row r="171" spans="1:9" ht="15.75" customHeight="1" x14ac:dyDescent="0.3">
      <c r="A171" s="5"/>
      <c r="B171" s="29"/>
      <c r="C171" s="4"/>
      <c r="I171" s="21"/>
    </row>
    <row r="172" spans="1:9" ht="15.75" customHeight="1" x14ac:dyDescent="0.3">
      <c r="A172" s="5"/>
      <c r="B172" s="29"/>
      <c r="C172" s="4"/>
      <c r="I172" s="21"/>
    </row>
    <row r="173" spans="1:9" ht="15.75" customHeight="1" x14ac:dyDescent="0.3">
      <c r="A173" s="5"/>
      <c r="B173" s="29"/>
      <c r="C173" s="4"/>
      <c r="I173" s="21"/>
    </row>
    <row r="174" spans="1:9" ht="15.75" customHeight="1" x14ac:dyDescent="0.3">
      <c r="A174" s="5"/>
      <c r="B174" s="29"/>
      <c r="C174" s="4"/>
      <c r="I174" s="21"/>
    </row>
    <row r="175" spans="1:9" ht="15.75" customHeight="1" x14ac:dyDescent="0.3">
      <c r="A175" s="5"/>
      <c r="B175" s="29"/>
      <c r="C175" s="4"/>
      <c r="I175" s="21"/>
    </row>
    <row r="176" spans="1:9" ht="15.75" customHeight="1" x14ac:dyDescent="0.3">
      <c r="A176" s="5"/>
      <c r="B176" s="29"/>
      <c r="C176" s="4"/>
      <c r="I176" s="21"/>
    </row>
    <row r="177" spans="1:9" ht="15.75" customHeight="1" x14ac:dyDescent="0.3">
      <c r="A177" s="5"/>
      <c r="B177" s="29"/>
      <c r="C177" s="4"/>
      <c r="I177" s="21"/>
    </row>
    <row r="178" spans="1:9" ht="15.75" customHeight="1" x14ac:dyDescent="0.3">
      <c r="A178" s="5"/>
      <c r="B178" s="29"/>
      <c r="C178" s="4"/>
      <c r="I178" s="21"/>
    </row>
    <row r="179" spans="1:9" ht="15.75" customHeight="1" x14ac:dyDescent="0.3">
      <c r="A179" s="5"/>
      <c r="B179" s="29"/>
      <c r="C179" s="4"/>
      <c r="I179" s="21"/>
    </row>
    <row r="180" spans="1:9" ht="15.75" customHeight="1" x14ac:dyDescent="0.3">
      <c r="A180" s="5"/>
      <c r="B180" s="29"/>
      <c r="C180" s="4"/>
      <c r="I180" s="21"/>
    </row>
    <row r="181" spans="1:9" ht="15.75" customHeight="1" x14ac:dyDescent="0.3">
      <c r="A181" s="5"/>
      <c r="B181" s="29"/>
      <c r="C181" s="4"/>
      <c r="I181" s="21"/>
    </row>
    <row r="182" spans="1:9" ht="15.75" customHeight="1" x14ac:dyDescent="0.3">
      <c r="A182" s="5"/>
      <c r="B182" s="29"/>
      <c r="C182" s="4"/>
      <c r="I182" s="21"/>
    </row>
    <row r="183" spans="1:9" ht="15.75" customHeight="1" x14ac:dyDescent="0.3">
      <c r="A183" s="5"/>
      <c r="B183" s="29"/>
      <c r="C183" s="4"/>
      <c r="I183" s="21"/>
    </row>
    <row r="184" spans="1:9" ht="15.75" customHeight="1" x14ac:dyDescent="0.3">
      <c r="A184" s="5"/>
      <c r="B184" s="29"/>
      <c r="C184" s="4"/>
      <c r="I184" s="21"/>
    </row>
    <row r="185" spans="1:9" ht="15.75" customHeight="1" x14ac:dyDescent="0.3">
      <c r="A185" s="5"/>
      <c r="B185" s="29"/>
      <c r="C185" s="4"/>
      <c r="I185" s="21"/>
    </row>
    <row r="186" spans="1:9" ht="15.75" customHeight="1" x14ac:dyDescent="0.3">
      <c r="A186" s="5"/>
      <c r="B186" s="29"/>
      <c r="C186" s="4"/>
      <c r="I186" s="21"/>
    </row>
    <row r="187" spans="1:9" ht="15.75" customHeight="1" x14ac:dyDescent="0.3">
      <c r="A187" s="5"/>
      <c r="B187" s="29"/>
      <c r="C187" s="4"/>
      <c r="I187" s="21"/>
    </row>
    <row r="188" spans="1:9" ht="15.75" customHeight="1" x14ac:dyDescent="0.3">
      <c r="A188" s="5"/>
      <c r="B188" s="29"/>
      <c r="C188" s="4"/>
      <c r="I188" s="21"/>
    </row>
    <row r="189" spans="1:9" ht="15.75" customHeight="1" x14ac:dyDescent="0.3">
      <c r="A189" s="5"/>
      <c r="B189" s="29"/>
      <c r="C189" s="4"/>
      <c r="I189" s="21"/>
    </row>
    <row r="190" spans="1:9" ht="15.75" customHeight="1" x14ac:dyDescent="0.3">
      <c r="A190" s="5"/>
      <c r="B190" s="29"/>
      <c r="C190" s="4"/>
      <c r="I190" s="21"/>
    </row>
    <row r="191" spans="1:9" ht="15.75" customHeight="1" x14ac:dyDescent="0.3">
      <c r="A191" s="5"/>
      <c r="B191" s="29"/>
      <c r="C191" s="4"/>
      <c r="I191" s="21"/>
    </row>
    <row r="192" spans="1:9" ht="15.75" customHeight="1" x14ac:dyDescent="0.3">
      <c r="A192" s="5"/>
      <c r="B192" s="29"/>
      <c r="C192" s="4"/>
      <c r="I192" s="21"/>
    </row>
    <row r="193" spans="1:9" ht="15.75" customHeight="1" x14ac:dyDescent="0.3">
      <c r="A193" s="5"/>
      <c r="B193" s="29"/>
      <c r="C193" s="4"/>
      <c r="I193" s="21"/>
    </row>
    <row r="194" spans="1:9" ht="15.75" customHeight="1" x14ac:dyDescent="0.3">
      <c r="A194" s="5"/>
      <c r="B194" s="29"/>
      <c r="C194" s="4"/>
      <c r="I194" s="21"/>
    </row>
    <row r="195" spans="1:9" ht="15.75" customHeight="1" x14ac:dyDescent="0.3">
      <c r="A195" s="5"/>
      <c r="B195" s="29"/>
      <c r="C195" s="4"/>
      <c r="I195" s="21"/>
    </row>
    <row r="196" spans="1:9" ht="15.75" customHeight="1" x14ac:dyDescent="0.3">
      <c r="A196" s="5"/>
      <c r="B196" s="29"/>
      <c r="C196" s="4"/>
      <c r="I196" s="21"/>
    </row>
    <row r="197" spans="1:9" ht="15.75" customHeight="1" x14ac:dyDescent="0.3">
      <c r="A197" s="5"/>
      <c r="B197" s="29"/>
      <c r="C197" s="4"/>
      <c r="I197" s="21"/>
    </row>
    <row r="198" spans="1:9" ht="15.75" customHeight="1" x14ac:dyDescent="0.3">
      <c r="A198" s="5"/>
      <c r="B198" s="29"/>
      <c r="C198" s="4"/>
      <c r="I198" s="21"/>
    </row>
    <row r="199" spans="1:9" ht="15.75" customHeight="1" x14ac:dyDescent="0.3">
      <c r="A199" s="5"/>
      <c r="B199" s="29"/>
      <c r="C199" s="4"/>
      <c r="I199" s="21"/>
    </row>
    <row r="200" spans="1:9" ht="15.75" customHeight="1" x14ac:dyDescent="0.3">
      <c r="A200" s="5"/>
      <c r="B200" s="29"/>
      <c r="C200" s="4"/>
      <c r="I200" s="21"/>
    </row>
    <row r="201" spans="1:9" ht="15.75" customHeight="1" x14ac:dyDescent="0.3">
      <c r="A201" s="5"/>
      <c r="B201" s="29"/>
      <c r="C201" s="4"/>
      <c r="I201" s="21"/>
    </row>
    <row r="202" spans="1:9" ht="15.75" customHeight="1" x14ac:dyDescent="0.3">
      <c r="A202" s="5"/>
      <c r="B202" s="29"/>
      <c r="C202" s="4"/>
      <c r="I202" s="21"/>
    </row>
    <row r="203" spans="1:9" ht="15.75" customHeight="1" x14ac:dyDescent="0.3">
      <c r="A203" s="5"/>
      <c r="B203" s="29"/>
      <c r="C203" s="4"/>
      <c r="I203" s="21"/>
    </row>
    <row r="204" spans="1:9" ht="15.75" customHeight="1" x14ac:dyDescent="0.3">
      <c r="A204" s="5"/>
      <c r="B204" s="29"/>
      <c r="C204" s="4"/>
      <c r="I204" s="21"/>
    </row>
    <row r="205" spans="1:9" ht="15.75" customHeight="1" x14ac:dyDescent="0.3">
      <c r="A205" s="5"/>
      <c r="B205" s="29"/>
      <c r="C205" s="4"/>
      <c r="I205" s="21"/>
    </row>
    <row r="206" spans="1:9" ht="15.75" customHeight="1" x14ac:dyDescent="0.3">
      <c r="A206" s="5"/>
      <c r="B206" s="29"/>
      <c r="C206" s="4"/>
      <c r="I206" s="21"/>
    </row>
    <row r="207" spans="1:9" ht="15.75" customHeight="1" x14ac:dyDescent="0.3">
      <c r="A207" s="5"/>
      <c r="B207" s="29"/>
      <c r="C207" s="4"/>
      <c r="I207" s="21"/>
    </row>
    <row r="208" spans="1:9" ht="15.75" customHeight="1" x14ac:dyDescent="0.3">
      <c r="A208" s="5"/>
      <c r="B208" s="29"/>
      <c r="C208" s="4"/>
      <c r="I208" s="21"/>
    </row>
    <row r="209" spans="1:9" ht="15.75" customHeight="1" x14ac:dyDescent="0.3">
      <c r="A209" s="5"/>
      <c r="B209" s="29"/>
      <c r="C209" s="4"/>
      <c r="I209" s="21"/>
    </row>
    <row r="210" spans="1:9" ht="15.75" customHeight="1" x14ac:dyDescent="0.3">
      <c r="A210" s="5"/>
      <c r="B210" s="29"/>
      <c r="C210" s="4"/>
      <c r="I210" s="21"/>
    </row>
    <row r="211" spans="1:9" ht="15.75" customHeight="1" x14ac:dyDescent="0.3">
      <c r="A211" s="5"/>
      <c r="B211" s="29"/>
      <c r="C211" s="4"/>
      <c r="I211" s="21"/>
    </row>
    <row r="212" spans="1:9" ht="15.75" customHeight="1" x14ac:dyDescent="0.3">
      <c r="A212" s="5"/>
      <c r="B212" s="29"/>
      <c r="C212" s="4"/>
      <c r="I212" s="21"/>
    </row>
    <row r="213" spans="1:9" ht="15.75" customHeight="1" x14ac:dyDescent="0.3">
      <c r="A213" s="5"/>
      <c r="B213" s="29"/>
      <c r="C213" s="4"/>
      <c r="I213" s="21"/>
    </row>
    <row r="214" spans="1:9" ht="15.75" customHeight="1" x14ac:dyDescent="0.3">
      <c r="A214" s="5"/>
      <c r="B214" s="29"/>
      <c r="C214" s="4"/>
      <c r="I214" s="21"/>
    </row>
    <row r="215" spans="1:9" ht="15.75" customHeight="1" x14ac:dyDescent="0.3">
      <c r="A215" s="5"/>
      <c r="B215" s="29"/>
      <c r="C215" s="4"/>
      <c r="I215" s="21"/>
    </row>
    <row r="216" spans="1:9" ht="15.75" customHeight="1" x14ac:dyDescent="0.3">
      <c r="A216" s="5"/>
      <c r="B216" s="29"/>
      <c r="C216" s="4"/>
      <c r="I216" s="21"/>
    </row>
    <row r="217" spans="1:9" ht="15.75" customHeight="1" x14ac:dyDescent="0.3">
      <c r="A217" s="5"/>
      <c r="B217" s="29"/>
      <c r="C217" s="4"/>
      <c r="I217" s="21"/>
    </row>
    <row r="218" spans="1:9" ht="15.75" customHeight="1" x14ac:dyDescent="0.3">
      <c r="A218" s="5"/>
      <c r="B218" s="29"/>
      <c r="C218" s="4"/>
      <c r="I218" s="21"/>
    </row>
    <row r="219" spans="1:9" ht="15.75" customHeight="1" x14ac:dyDescent="0.3">
      <c r="A219" s="5"/>
      <c r="B219" s="29"/>
      <c r="C219" s="4"/>
      <c r="I219" s="21"/>
    </row>
    <row r="220" spans="1:9" ht="15.75" customHeight="1" x14ac:dyDescent="0.3">
      <c r="A220" s="5"/>
      <c r="B220" s="29"/>
      <c r="C220" s="4"/>
      <c r="I220" s="21"/>
    </row>
    <row r="221" spans="1:9" ht="15.75" customHeight="1" x14ac:dyDescent="0.3">
      <c r="A221" s="5"/>
      <c r="B221" s="29"/>
      <c r="C221" s="4"/>
      <c r="I221" s="21"/>
    </row>
    <row r="222" spans="1:9" ht="15.75" customHeight="1" x14ac:dyDescent="0.3">
      <c r="A222" s="5"/>
      <c r="B222" s="29"/>
      <c r="C222" s="4"/>
      <c r="I222" s="21"/>
    </row>
    <row r="223" spans="1:9" ht="15.75" customHeight="1" x14ac:dyDescent="0.3">
      <c r="A223" s="5"/>
      <c r="B223" s="29"/>
      <c r="C223" s="4"/>
      <c r="I223" s="21"/>
    </row>
    <row r="224" spans="1:9" ht="15.75" customHeight="1" x14ac:dyDescent="0.3">
      <c r="A224" s="5"/>
      <c r="B224" s="29"/>
      <c r="C224" s="4"/>
      <c r="I224" s="21"/>
    </row>
    <row r="225" spans="1:9" ht="15.75" customHeight="1" x14ac:dyDescent="0.3">
      <c r="A225" s="5"/>
      <c r="B225" s="29"/>
      <c r="C225" s="4"/>
      <c r="I225" s="21"/>
    </row>
    <row r="226" spans="1:9" ht="15.75" customHeight="1" x14ac:dyDescent="0.3">
      <c r="A226" s="5"/>
      <c r="B226" s="29"/>
      <c r="C226" s="4"/>
      <c r="I226" s="21"/>
    </row>
    <row r="227" spans="1:9" ht="15.75" customHeight="1" x14ac:dyDescent="0.3">
      <c r="A227" s="5"/>
      <c r="B227" s="29"/>
      <c r="C227" s="4"/>
      <c r="I227" s="21"/>
    </row>
    <row r="228" spans="1:9" ht="15.75" customHeight="1" x14ac:dyDescent="0.3">
      <c r="A228" s="5"/>
      <c r="B228" s="29"/>
      <c r="C228" s="4"/>
      <c r="I228" s="21"/>
    </row>
    <row r="229" spans="1:9" ht="15.75" customHeight="1" x14ac:dyDescent="0.3">
      <c r="A229" s="5"/>
      <c r="B229" s="29"/>
      <c r="C229" s="4"/>
      <c r="I229" s="21"/>
    </row>
    <row r="230" spans="1:9" ht="15.75" customHeight="1" x14ac:dyDescent="0.3">
      <c r="A230" s="5"/>
      <c r="B230" s="29"/>
      <c r="C230" s="4"/>
      <c r="I230" s="21"/>
    </row>
    <row r="231" spans="1:9" ht="15.75" customHeight="1" x14ac:dyDescent="0.3">
      <c r="A231" s="5"/>
      <c r="B231" s="29"/>
      <c r="C231" s="4"/>
      <c r="I231" s="21"/>
    </row>
    <row r="232" spans="1:9" ht="15.75" customHeight="1" x14ac:dyDescent="0.3">
      <c r="A232" s="5"/>
      <c r="B232" s="29"/>
      <c r="C232" s="4"/>
      <c r="I232" s="21"/>
    </row>
    <row r="233" spans="1:9" ht="15.75" customHeight="1" x14ac:dyDescent="0.3">
      <c r="A233" s="5"/>
      <c r="B233" s="29"/>
      <c r="C233" s="4"/>
      <c r="I233" s="21"/>
    </row>
    <row r="234" spans="1:9" ht="15.75" customHeight="1" x14ac:dyDescent="0.3">
      <c r="A234" s="5"/>
      <c r="B234" s="29"/>
      <c r="C234" s="4"/>
      <c r="I234" s="21"/>
    </row>
    <row r="235" spans="1:9" ht="15.75" customHeight="1" x14ac:dyDescent="0.3">
      <c r="A235" s="5"/>
      <c r="B235" s="29"/>
      <c r="C235" s="4"/>
      <c r="I235" s="21"/>
    </row>
    <row r="236" spans="1:9" ht="15.75" customHeight="1" x14ac:dyDescent="0.3">
      <c r="A236" s="5"/>
      <c r="B236" s="29"/>
      <c r="C236" s="4"/>
      <c r="I236" s="21"/>
    </row>
    <row r="237" spans="1:9" ht="15.75" customHeight="1" x14ac:dyDescent="0.3">
      <c r="A237" s="5"/>
      <c r="B237" s="29"/>
      <c r="C237" s="4"/>
      <c r="I237" s="21"/>
    </row>
    <row r="238" spans="1:9" ht="15.75" customHeight="1" x14ac:dyDescent="0.3">
      <c r="A238" s="5"/>
      <c r="B238" s="29"/>
      <c r="C238" s="4"/>
      <c r="I238" s="21"/>
    </row>
    <row r="239" spans="1:9" ht="15.75" customHeight="1" x14ac:dyDescent="0.3">
      <c r="A239" s="5"/>
      <c r="B239" s="29"/>
      <c r="C239" s="4"/>
      <c r="I239" s="21"/>
    </row>
    <row r="240" spans="1:9" ht="15.75" customHeight="1" x14ac:dyDescent="0.3">
      <c r="A240" s="5"/>
      <c r="B240" s="29"/>
      <c r="C240" s="4"/>
      <c r="I240" s="21"/>
    </row>
    <row r="241" spans="1:9" ht="15.75" customHeight="1" x14ac:dyDescent="0.3">
      <c r="A241" s="5"/>
      <c r="B241" s="29"/>
      <c r="C241" s="4"/>
      <c r="I241" s="21"/>
    </row>
    <row r="242" spans="1:9" ht="15.75" customHeight="1" x14ac:dyDescent="0.3">
      <c r="A242" s="5"/>
      <c r="B242" s="29"/>
      <c r="C242" s="4"/>
      <c r="I242" s="21"/>
    </row>
    <row r="243" spans="1:9" ht="15.75" customHeight="1" x14ac:dyDescent="0.3">
      <c r="A243" s="5"/>
      <c r="B243" s="29"/>
      <c r="C243" s="4"/>
      <c r="I243" s="21"/>
    </row>
    <row r="244" spans="1:9" ht="15.75" customHeight="1" x14ac:dyDescent="0.3">
      <c r="A244" s="5"/>
      <c r="B244" s="29"/>
      <c r="C244" s="4"/>
      <c r="I244" s="21"/>
    </row>
    <row r="245" spans="1:9" ht="15.75" customHeight="1" x14ac:dyDescent="0.3">
      <c r="A245" s="5"/>
      <c r="B245" s="29"/>
      <c r="C245" s="4"/>
      <c r="I245" s="21"/>
    </row>
    <row r="246" spans="1:9" ht="15.75" customHeight="1" x14ac:dyDescent="0.3">
      <c r="A246" s="5"/>
      <c r="B246" s="29"/>
      <c r="C246" s="4"/>
      <c r="I246" s="21"/>
    </row>
    <row r="247" spans="1:9" ht="15.75" customHeight="1" x14ac:dyDescent="0.3">
      <c r="A247" s="5"/>
      <c r="B247" s="29"/>
      <c r="C247" s="4"/>
      <c r="I247" s="21"/>
    </row>
    <row r="248" spans="1:9" ht="15.75" customHeight="1" x14ac:dyDescent="0.3">
      <c r="A248" s="5"/>
      <c r="B248" s="29"/>
      <c r="C248" s="4"/>
      <c r="I248" s="21"/>
    </row>
    <row r="249" spans="1:9" ht="15.75" customHeight="1" x14ac:dyDescent="0.3">
      <c r="A249" s="5"/>
      <c r="B249" s="29"/>
      <c r="C249" s="4"/>
      <c r="I249" s="21"/>
    </row>
    <row r="250" spans="1:9" ht="15.75" customHeight="1" x14ac:dyDescent="0.3">
      <c r="A250" s="5"/>
      <c r="B250" s="29"/>
      <c r="C250" s="4"/>
      <c r="I250" s="21"/>
    </row>
    <row r="251" spans="1:9" ht="15.75" customHeight="1" x14ac:dyDescent="0.3">
      <c r="A251" s="5"/>
      <c r="B251" s="29"/>
      <c r="C251" s="4"/>
      <c r="I251" s="21"/>
    </row>
    <row r="252" spans="1:9" ht="15.75" customHeight="1" x14ac:dyDescent="0.3">
      <c r="A252" s="5"/>
      <c r="B252" s="29"/>
      <c r="C252" s="4"/>
      <c r="I252" s="21"/>
    </row>
    <row r="253" spans="1:9" ht="15.75" customHeight="1" x14ac:dyDescent="0.3">
      <c r="A253" s="5"/>
      <c r="B253" s="29"/>
      <c r="C253" s="4"/>
      <c r="I253" s="21"/>
    </row>
    <row r="254" spans="1:9" ht="15.75" customHeight="1" x14ac:dyDescent="0.3">
      <c r="A254" s="5"/>
      <c r="B254" s="29"/>
      <c r="C254" s="4"/>
      <c r="I254" s="21"/>
    </row>
    <row r="255" spans="1:9" ht="15.75" customHeight="1" x14ac:dyDescent="0.3">
      <c r="A255" s="5"/>
      <c r="B255" s="29"/>
      <c r="C255" s="4"/>
      <c r="I255" s="21"/>
    </row>
    <row r="256" spans="1:9" ht="15.75" customHeight="1" x14ac:dyDescent="0.3">
      <c r="A256" s="5"/>
      <c r="B256" s="29"/>
      <c r="C256" s="4"/>
      <c r="I256" s="21"/>
    </row>
    <row r="257" spans="1:9" ht="15.75" customHeight="1" x14ac:dyDescent="0.3">
      <c r="A257" s="5"/>
      <c r="B257" s="29"/>
      <c r="C257" s="4"/>
      <c r="I257" s="21"/>
    </row>
    <row r="258" spans="1:9" ht="15.75" customHeight="1" x14ac:dyDescent="0.3">
      <c r="A258" s="5"/>
      <c r="B258" s="29"/>
      <c r="C258" s="4"/>
      <c r="I258" s="21"/>
    </row>
    <row r="259" spans="1:9" ht="15.75" customHeight="1" x14ac:dyDescent="0.3">
      <c r="A259" s="5"/>
      <c r="B259" s="29"/>
      <c r="C259" s="4"/>
      <c r="I259" s="21"/>
    </row>
    <row r="260" spans="1:9" ht="15.75" customHeight="1" x14ac:dyDescent="0.3">
      <c r="A260" s="5"/>
      <c r="B260" s="29"/>
      <c r="C260" s="4"/>
      <c r="I260" s="21"/>
    </row>
    <row r="261" spans="1:9" ht="15.75" customHeight="1" x14ac:dyDescent="0.3">
      <c r="A261" s="5"/>
      <c r="B261" s="29"/>
      <c r="C261" s="4"/>
      <c r="I261" s="21"/>
    </row>
    <row r="262" spans="1:9" ht="15.75" customHeight="1" x14ac:dyDescent="0.3">
      <c r="A262" s="5"/>
      <c r="B262" s="29"/>
      <c r="C262" s="4"/>
      <c r="I262" s="21"/>
    </row>
    <row r="263" spans="1:9" ht="15.75" customHeight="1" x14ac:dyDescent="0.3">
      <c r="A263" s="5"/>
      <c r="B263" s="29"/>
      <c r="C263" s="4"/>
      <c r="I263" s="21"/>
    </row>
    <row r="264" spans="1:9" ht="15.75" customHeight="1" x14ac:dyDescent="0.3">
      <c r="A264" s="5"/>
      <c r="B264" s="29"/>
      <c r="C264" s="4"/>
      <c r="I264" s="21"/>
    </row>
    <row r="265" spans="1:9" ht="15.75" customHeight="1" x14ac:dyDescent="0.3">
      <c r="A265" s="5"/>
      <c r="B265" s="29"/>
      <c r="C265" s="4"/>
      <c r="I265" s="21"/>
    </row>
    <row r="266" spans="1:9" ht="15.75" customHeight="1" x14ac:dyDescent="0.3">
      <c r="A266" s="5"/>
      <c r="B266" s="29"/>
      <c r="C266" s="4"/>
      <c r="I266" s="21"/>
    </row>
    <row r="267" spans="1:9" ht="15.75" customHeight="1" x14ac:dyDescent="0.3">
      <c r="A267" s="5"/>
      <c r="B267" s="29"/>
      <c r="C267" s="4"/>
      <c r="I267" s="21"/>
    </row>
    <row r="268" spans="1:9" ht="15.75" customHeight="1" x14ac:dyDescent="0.3">
      <c r="A268" s="5"/>
      <c r="B268" s="29"/>
      <c r="C268" s="4"/>
      <c r="I268" s="21"/>
    </row>
    <row r="269" spans="1:9" ht="15.75" customHeight="1" x14ac:dyDescent="0.3">
      <c r="A269" s="5"/>
      <c r="B269" s="29"/>
      <c r="C269" s="4"/>
      <c r="I269" s="21"/>
    </row>
    <row r="270" spans="1:9" ht="15.75" customHeight="1" x14ac:dyDescent="0.3">
      <c r="A270" s="5"/>
      <c r="B270" s="29"/>
      <c r="C270" s="4"/>
      <c r="I270" s="21"/>
    </row>
    <row r="271" spans="1:9" ht="15.75" customHeight="1" x14ac:dyDescent="0.3">
      <c r="A271" s="5"/>
      <c r="B271" s="29"/>
      <c r="C271" s="4"/>
      <c r="I271" s="21"/>
    </row>
    <row r="272" spans="1:9" ht="15.75" customHeight="1" x14ac:dyDescent="0.3">
      <c r="A272" s="5"/>
      <c r="B272" s="29"/>
      <c r="C272" s="4"/>
      <c r="I272" s="21"/>
    </row>
    <row r="273" spans="1:9" ht="15.75" customHeight="1" x14ac:dyDescent="0.3">
      <c r="A273" s="5"/>
      <c r="B273" s="29"/>
      <c r="C273" s="4"/>
      <c r="I273" s="21"/>
    </row>
    <row r="274" spans="1:9" ht="15.75" customHeight="1" x14ac:dyDescent="0.3">
      <c r="A274" s="5"/>
      <c r="B274" s="29"/>
      <c r="C274" s="4"/>
      <c r="I274" s="21"/>
    </row>
    <row r="275" spans="1:9" ht="15.75" customHeight="1" x14ac:dyDescent="0.3">
      <c r="A275" s="5"/>
      <c r="B275" s="29"/>
      <c r="C275" s="4"/>
      <c r="I275" s="21"/>
    </row>
    <row r="276" spans="1:9" ht="15.75" customHeight="1" x14ac:dyDescent="0.3">
      <c r="A276" s="5"/>
      <c r="B276" s="29"/>
      <c r="C276" s="4"/>
      <c r="I276" s="21"/>
    </row>
    <row r="277" spans="1:9" ht="15.75" customHeight="1" x14ac:dyDescent="0.3">
      <c r="A277" s="5"/>
      <c r="B277" s="29"/>
      <c r="C277" s="4"/>
      <c r="I277" s="21"/>
    </row>
    <row r="278" spans="1:9" ht="15.75" customHeight="1" x14ac:dyDescent="0.3">
      <c r="A278" s="5"/>
      <c r="B278" s="29"/>
      <c r="C278" s="4"/>
      <c r="I278" s="21"/>
    </row>
    <row r="279" spans="1:9" ht="15.75" customHeight="1" x14ac:dyDescent="0.3">
      <c r="A279" s="5"/>
      <c r="B279" s="29"/>
      <c r="C279" s="4"/>
      <c r="I279" s="21"/>
    </row>
    <row r="280" spans="1:9" ht="15.75" customHeight="1" x14ac:dyDescent="0.3">
      <c r="A280" s="5"/>
      <c r="B280" s="29"/>
      <c r="C280" s="4"/>
      <c r="I280" s="21"/>
    </row>
    <row r="281" spans="1:9" ht="15.75" customHeight="1" x14ac:dyDescent="0.3">
      <c r="A281" s="5"/>
      <c r="B281" s="29"/>
      <c r="C281" s="4"/>
      <c r="I281" s="21"/>
    </row>
    <row r="282" spans="1:9" ht="15.75" customHeight="1" x14ac:dyDescent="0.3">
      <c r="A282" s="5"/>
      <c r="B282" s="29"/>
      <c r="C282" s="4"/>
      <c r="I282" s="21"/>
    </row>
    <row r="283" spans="1:9" ht="15.75" customHeight="1" x14ac:dyDescent="0.3">
      <c r="A283" s="5"/>
      <c r="B283" s="29"/>
      <c r="C283" s="4"/>
      <c r="I283" s="21"/>
    </row>
    <row r="284" spans="1:9" ht="15.75" customHeight="1" x14ac:dyDescent="0.3">
      <c r="A284" s="5"/>
      <c r="B284" s="29"/>
      <c r="C284" s="4"/>
      <c r="I284" s="21"/>
    </row>
    <row r="285" spans="1:9" ht="15.75" customHeight="1" x14ac:dyDescent="0.3">
      <c r="A285" s="5"/>
      <c r="B285" s="29"/>
      <c r="C285" s="4"/>
      <c r="I285" s="21"/>
    </row>
    <row r="286" spans="1:9" ht="15.75" customHeight="1" x14ac:dyDescent="0.3">
      <c r="A286" s="5"/>
      <c r="B286" s="29"/>
      <c r="C286" s="4"/>
      <c r="I286" s="21"/>
    </row>
    <row r="287" spans="1:9" ht="15.75" customHeight="1" x14ac:dyDescent="0.3">
      <c r="A287" s="5"/>
      <c r="B287" s="29"/>
      <c r="C287" s="4"/>
      <c r="I287" s="21"/>
    </row>
    <row r="288" spans="1:9" ht="15.75" customHeight="1" x14ac:dyDescent="0.3">
      <c r="A288" s="5"/>
      <c r="B288" s="29"/>
      <c r="C288" s="4"/>
      <c r="I288" s="21"/>
    </row>
    <row r="289" spans="1:9" ht="15.75" customHeight="1" x14ac:dyDescent="0.3">
      <c r="A289" s="5"/>
      <c r="B289" s="29"/>
      <c r="C289" s="4"/>
      <c r="I289" s="21"/>
    </row>
    <row r="290" spans="1:9" ht="15.75" customHeight="1" x14ac:dyDescent="0.3">
      <c r="A290" s="5"/>
      <c r="B290" s="29"/>
      <c r="C290" s="4"/>
      <c r="I290" s="21"/>
    </row>
    <row r="291" spans="1:9" ht="15.75" customHeight="1" x14ac:dyDescent="0.3">
      <c r="A291" s="5"/>
      <c r="B291" s="29"/>
      <c r="C291" s="4"/>
      <c r="I291" s="21"/>
    </row>
    <row r="292" spans="1:9" ht="15.75" customHeight="1" x14ac:dyDescent="0.3">
      <c r="A292" s="5"/>
      <c r="B292" s="29"/>
      <c r="C292" s="4"/>
      <c r="I292" s="21"/>
    </row>
    <row r="293" spans="1:9" ht="15.75" customHeight="1" x14ac:dyDescent="0.3">
      <c r="A293" s="5"/>
      <c r="B293" s="29"/>
      <c r="C293" s="4"/>
      <c r="I293" s="21"/>
    </row>
    <row r="294" spans="1:9" ht="15.75" customHeight="1" x14ac:dyDescent="0.3">
      <c r="A294" s="5"/>
      <c r="B294" s="29"/>
      <c r="C294" s="4"/>
      <c r="I294" s="21"/>
    </row>
    <row r="295" spans="1:9" ht="15.75" customHeight="1" x14ac:dyDescent="0.3">
      <c r="A295" s="5"/>
      <c r="B295" s="29"/>
      <c r="C295" s="4"/>
      <c r="I295" s="21"/>
    </row>
    <row r="296" spans="1:9" ht="15.75" customHeight="1" x14ac:dyDescent="0.3">
      <c r="A296" s="5"/>
      <c r="B296" s="29"/>
      <c r="C296" s="4"/>
      <c r="I296" s="21"/>
    </row>
    <row r="297" spans="1:9" ht="15.75" customHeight="1" x14ac:dyDescent="0.3">
      <c r="A297" s="5"/>
      <c r="B297" s="29"/>
      <c r="C297" s="4"/>
      <c r="I297" s="21"/>
    </row>
    <row r="298" spans="1:9" ht="15.75" customHeight="1" x14ac:dyDescent="0.3">
      <c r="A298" s="5"/>
      <c r="B298" s="29"/>
      <c r="C298" s="4"/>
      <c r="I298" s="21"/>
    </row>
    <row r="299" spans="1:9" ht="15.75" customHeight="1" x14ac:dyDescent="0.3">
      <c r="A299" s="5"/>
      <c r="B299" s="29"/>
      <c r="C299" s="4"/>
      <c r="I299" s="21"/>
    </row>
    <row r="300" spans="1:9" ht="15.75" customHeight="1" x14ac:dyDescent="0.3">
      <c r="A300" s="5"/>
      <c r="B300" s="29"/>
      <c r="C300" s="4"/>
      <c r="I300" s="21"/>
    </row>
    <row r="301" spans="1:9" ht="15.75" customHeight="1" x14ac:dyDescent="0.3">
      <c r="A301" s="5"/>
      <c r="B301" s="29"/>
      <c r="C301" s="4"/>
      <c r="I301" s="21"/>
    </row>
    <row r="302" spans="1:9" ht="15.75" customHeight="1" x14ac:dyDescent="0.3">
      <c r="A302" s="5"/>
      <c r="B302" s="29"/>
      <c r="C302" s="4"/>
      <c r="I302" s="21"/>
    </row>
    <row r="303" spans="1:9" ht="15.75" customHeight="1" x14ac:dyDescent="0.3">
      <c r="A303" s="5"/>
      <c r="B303" s="29"/>
      <c r="C303" s="4"/>
      <c r="I303" s="21"/>
    </row>
    <row r="304" spans="1:9" ht="15.75" customHeight="1" x14ac:dyDescent="0.3">
      <c r="A304" s="5"/>
      <c r="B304" s="29"/>
      <c r="C304" s="4"/>
      <c r="I304" s="21"/>
    </row>
    <row r="305" spans="1:9" ht="15.75" customHeight="1" x14ac:dyDescent="0.3">
      <c r="A305" s="5"/>
      <c r="B305" s="29"/>
      <c r="C305" s="4"/>
      <c r="I305" s="21"/>
    </row>
    <row r="306" spans="1:9" ht="15.75" customHeight="1" x14ac:dyDescent="0.3">
      <c r="A306" s="5"/>
      <c r="B306" s="29"/>
      <c r="C306" s="4"/>
      <c r="I306" s="21"/>
    </row>
    <row r="307" spans="1:9" ht="15.75" customHeight="1" x14ac:dyDescent="0.3">
      <c r="A307" s="5"/>
      <c r="B307" s="29"/>
      <c r="C307" s="4"/>
      <c r="I307" s="21"/>
    </row>
    <row r="308" spans="1:9" ht="15.75" customHeight="1" x14ac:dyDescent="0.3">
      <c r="A308" s="5"/>
      <c r="B308" s="29"/>
      <c r="C308" s="4"/>
      <c r="I308" s="21"/>
    </row>
    <row r="309" spans="1:9" ht="15.75" customHeight="1" x14ac:dyDescent="0.3">
      <c r="A309" s="5"/>
      <c r="B309" s="29"/>
      <c r="C309" s="4"/>
      <c r="I309" s="21"/>
    </row>
    <row r="310" spans="1:9" ht="15.75" customHeight="1" x14ac:dyDescent="0.3">
      <c r="A310" s="5"/>
      <c r="B310" s="29"/>
      <c r="C310" s="4"/>
      <c r="I310" s="21"/>
    </row>
    <row r="311" spans="1:9" ht="15.75" customHeight="1" x14ac:dyDescent="0.3">
      <c r="A311" s="5"/>
      <c r="B311" s="29"/>
      <c r="C311" s="4"/>
      <c r="I311" s="21"/>
    </row>
    <row r="312" spans="1:9" ht="15.75" customHeight="1" x14ac:dyDescent="0.3">
      <c r="A312" s="5"/>
      <c r="B312" s="29"/>
      <c r="C312" s="4"/>
      <c r="I312" s="21"/>
    </row>
    <row r="313" spans="1:9" ht="15.75" customHeight="1" x14ac:dyDescent="0.3">
      <c r="A313" s="5"/>
      <c r="B313" s="29"/>
      <c r="C313" s="4"/>
      <c r="I313" s="21"/>
    </row>
    <row r="314" spans="1:9" ht="15.75" customHeight="1" x14ac:dyDescent="0.3">
      <c r="A314" s="5"/>
      <c r="B314" s="29"/>
      <c r="C314" s="4"/>
      <c r="I314" s="21"/>
    </row>
    <row r="315" spans="1:9" ht="15.75" customHeight="1" x14ac:dyDescent="0.3">
      <c r="A315" s="5"/>
      <c r="B315" s="29"/>
      <c r="C315" s="4"/>
      <c r="I315" s="21"/>
    </row>
    <row r="316" spans="1:9" ht="15.75" customHeight="1" x14ac:dyDescent="0.3">
      <c r="A316" s="5"/>
      <c r="B316" s="29"/>
      <c r="C316" s="4"/>
      <c r="I316" s="21"/>
    </row>
    <row r="317" spans="1:9" ht="15.75" customHeight="1" x14ac:dyDescent="0.3">
      <c r="A317" s="5"/>
      <c r="B317" s="29"/>
      <c r="C317" s="4"/>
      <c r="I317" s="21"/>
    </row>
    <row r="318" spans="1:9" ht="15.75" customHeight="1" x14ac:dyDescent="0.3">
      <c r="A318" s="5"/>
      <c r="B318" s="29"/>
      <c r="C318" s="4"/>
      <c r="I318" s="21"/>
    </row>
    <row r="319" spans="1:9" ht="15.75" customHeight="1" x14ac:dyDescent="0.3">
      <c r="A319" s="5"/>
      <c r="B319" s="29"/>
      <c r="C319" s="4"/>
      <c r="I319" s="21"/>
    </row>
    <row r="320" spans="1:9" ht="15.75" customHeight="1" x14ac:dyDescent="0.3">
      <c r="A320" s="5"/>
      <c r="B320" s="29"/>
      <c r="C320" s="4"/>
      <c r="I320" s="21"/>
    </row>
    <row r="321" spans="1:9" ht="15.75" customHeight="1" x14ac:dyDescent="0.3">
      <c r="A321" s="5"/>
      <c r="B321" s="29"/>
      <c r="C321" s="4"/>
      <c r="I321" s="21"/>
    </row>
    <row r="322" spans="1:9" ht="15.75" customHeight="1" x14ac:dyDescent="0.3">
      <c r="A322" s="5"/>
      <c r="B322" s="29"/>
      <c r="C322" s="4"/>
      <c r="I322" s="21"/>
    </row>
    <row r="323" spans="1:9" ht="15.75" customHeight="1" x14ac:dyDescent="0.3">
      <c r="A323" s="5"/>
      <c r="B323" s="29"/>
      <c r="C323" s="4"/>
      <c r="I323" s="21"/>
    </row>
    <row r="324" spans="1:9" ht="15.75" customHeight="1" x14ac:dyDescent="0.3">
      <c r="A324" s="5"/>
      <c r="B324" s="29"/>
      <c r="C324" s="4"/>
      <c r="I324" s="21"/>
    </row>
    <row r="325" spans="1:9" ht="15.75" customHeight="1" x14ac:dyDescent="0.3">
      <c r="A325" s="5"/>
      <c r="B325" s="29"/>
      <c r="C325" s="4"/>
      <c r="I325" s="21"/>
    </row>
    <row r="326" spans="1:9" ht="15.75" customHeight="1" x14ac:dyDescent="0.3">
      <c r="A326" s="5"/>
      <c r="B326" s="29"/>
      <c r="C326" s="4"/>
      <c r="I326" s="21"/>
    </row>
    <row r="327" spans="1:9" ht="15.75" customHeight="1" x14ac:dyDescent="0.3">
      <c r="A327" s="5"/>
      <c r="B327" s="29"/>
      <c r="C327" s="4"/>
      <c r="I327" s="21"/>
    </row>
    <row r="328" spans="1:9" ht="15.75" customHeight="1" x14ac:dyDescent="0.3">
      <c r="A328" s="5"/>
      <c r="B328" s="29"/>
      <c r="C328" s="4"/>
      <c r="I328" s="21"/>
    </row>
    <row r="329" spans="1:9" ht="15.75" customHeight="1" x14ac:dyDescent="0.3">
      <c r="A329" s="5"/>
      <c r="B329" s="29"/>
      <c r="C329" s="4"/>
      <c r="I329" s="21"/>
    </row>
    <row r="330" spans="1:9" ht="15.75" customHeight="1" x14ac:dyDescent="0.3">
      <c r="A330" s="5"/>
      <c r="B330" s="29"/>
      <c r="C330" s="4"/>
      <c r="I330" s="21"/>
    </row>
    <row r="331" spans="1:9" ht="15.75" customHeight="1" x14ac:dyDescent="0.3">
      <c r="A331" s="5"/>
      <c r="B331" s="29"/>
      <c r="C331" s="4"/>
      <c r="I331" s="21"/>
    </row>
    <row r="332" spans="1:9" ht="15.75" customHeight="1" x14ac:dyDescent="0.3">
      <c r="A332" s="5"/>
      <c r="B332" s="29"/>
      <c r="C332" s="4"/>
      <c r="I332" s="21"/>
    </row>
    <row r="333" spans="1:9" ht="15.75" customHeight="1" x14ac:dyDescent="0.3">
      <c r="A333" s="5"/>
      <c r="B333" s="29"/>
      <c r="C333" s="4"/>
      <c r="I333" s="21"/>
    </row>
    <row r="334" spans="1:9" ht="15.75" customHeight="1" x14ac:dyDescent="0.3">
      <c r="A334" s="5"/>
      <c r="B334" s="29"/>
      <c r="C334" s="4"/>
      <c r="I334" s="21"/>
    </row>
    <row r="335" spans="1:9" ht="15.75" customHeight="1" x14ac:dyDescent="0.3">
      <c r="A335" s="5"/>
      <c r="B335" s="29"/>
      <c r="C335" s="4"/>
      <c r="I335" s="21"/>
    </row>
    <row r="336" spans="1:9" ht="15.75" customHeight="1" x14ac:dyDescent="0.3">
      <c r="A336" s="5"/>
      <c r="B336" s="29"/>
      <c r="C336" s="4"/>
      <c r="I336" s="21"/>
    </row>
    <row r="337" spans="1:9" ht="15.75" customHeight="1" x14ac:dyDescent="0.3">
      <c r="A337" s="5"/>
      <c r="B337" s="29"/>
      <c r="C337" s="4"/>
      <c r="I337" s="21"/>
    </row>
    <row r="338" spans="1:9" ht="15.75" customHeight="1" x14ac:dyDescent="0.3">
      <c r="A338" s="5"/>
      <c r="B338" s="29"/>
      <c r="C338" s="4"/>
      <c r="I338" s="21"/>
    </row>
    <row r="339" spans="1:9" ht="15.75" customHeight="1" x14ac:dyDescent="0.3">
      <c r="A339" s="5"/>
      <c r="B339" s="29"/>
      <c r="C339" s="4"/>
      <c r="I339" s="21"/>
    </row>
    <row r="340" spans="1:9" ht="15.75" customHeight="1" x14ac:dyDescent="0.3">
      <c r="A340" s="5"/>
      <c r="B340" s="29"/>
      <c r="C340" s="4"/>
      <c r="I340" s="21"/>
    </row>
    <row r="341" spans="1:9" ht="15.75" customHeight="1" x14ac:dyDescent="0.3">
      <c r="A341" s="5"/>
      <c r="B341" s="29"/>
      <c r="C341" s="4"/>
      <c r="I341" s="21"/>
    </row>
    <row r="342" spans="1:9" ht="15.75" customHeight="1" x14ac:dyDescent="0.3">
      <c r="A342" s="5"/>
      <c r="B342" s="29"/>
      <c r="C342" s="4"/>
      <c r="I342" s="21"/>
    </row>
    <row r="343" spans="1:9" ht="15.75" customHeight="1" x14ac:dyDescent="0.3">
      <c r="A343" s="5"/>
      <c r="B343" s="29"/>
      <c r="C343" s="4"/>
      <c r="I343" s="21"/>
    </row>
    <row r="344" spans="1:9" ht="15.75" customHeight="1" x14ac:dyDescent="0.3">
      <c r="A344" s="5"/>
      <c r="B344" s="29"/>
      <c r="C344" s="4"/>
      <c r="I344" s="21"/>
    </row>
    <row r="345" spans="1:9" ht="15.75" customHeight="1" x14ac:dyDescent="0.3">
      <c r="A345" s="5"/>
      <c r="B345" s="29"/>
      <c r="C345" s="4"/>
      <c r="I345" s="21"/>
    </row>
    <row r="346" spans="1:9" ht="15.75" customHeight="1" x14ac:dyDescent="0.3">
      <c r="A346" s="5"/>
      <c r="B346" s="29"/>
      <c r="C346" s="4"/>
      <c r="I346" s="21"/>
    </row>
    <row r="347" spans="1:9" ht="15.75" customHeight="1" x14ac:dyDescent="0.3">
      <c r="A347" s="5"/>
      <c r="B347" s="29"/>
      <c r="C347" s="4"/>
      <c r="I347" s="21"/>
    </row>
    <row r="348" spans="1:9" ht="15.75" customHeight="1" x14ac:dyDescent="0.3">
      <c r="A348" s="5"/>
      <c r="B348" s="29"/>
      <c r="C348" s="4"/>
      <c r="I348" s="21"/>
    </row>
    <row r="349" spans="1:9" ht="15.75" customHeight="1" x14ac:dyDescent="0.3">
      <c r="A349" s="5"/>
      <c r="B349" s="29"/>
      <c r="C349" s="4"/>
      <c r="I349" s="21"/>
    </row>
    <row r="350" spans="1:9" ht="15.75" customHeight="1" x14ac:dyDescent="0.3">
      <c r="A350" s="5"/>
      <c r="B350" s="29"/>
      <c r="C350" s="4"/>
      <c r="I350" s="21"/>
    </row>
    <row r="351" spans="1:9" ht="15.75" customHeight="1" x14ac:dyDescent="0.3">
      <c r="A351" s="5"/>
      <c r="B351" s="29"/>
      <c r="C351" s="4"/>
      <c r="I351" s="21"/>
    </row>
    <row r="352" spans="1:9" ht="15.75" customHeight="1" x14ac:dyDescent="0.3">
      <c r="A352" s="5"/>
      <c r="B352" s="29"/>
      <c r="C352" s="4"/>
      <c r="I352" s="21"/>
    </row>
    <row r="353" spans="1:9" ht="15.75" customHeight="1" x14ac:dyDescent="0.3">
      <c r="A353" s="5"/>
      <c r="B353" s="29"/>
      <c r="C353" s="4"/>
      <c r="I353" s="21"/>
    </row>
    <row r="354" spans="1:9" ht="15.75" customHeight="1" x14ac:dyDescent="0.3">
      <c r="A354" s="5"/>
      <c r="B354" s="29"/>
      <c r="C354" s="4"/>
      <c r="I354" s="21"/>
    </row>
    <row r="355" spans="1:9" ht="15.75" customHeight="1" x14ac:dyDescent="0.3">
      <c r="A355" s="5"/>
      <c r="B355" s="29"/>
      <c r="C355" s="4"/>
      <c r="I355" s="21"/>
    </row>
    <row r="356" spans="1:9" ht="15.75" customHeight="1" x14ac:dyDescent="0.3">
      <c r="A356" s="5"/>
      <c r="B356" s="29"/>
      <c r="C356" s="4"/>
      <c r="I356" s="21"/>
    </row>
    <row r="357" spans="1:9" ht="15.75" customHeight="1" x14ac:dyDescent="0.3">
      <c r="A357" s="5"/>
      <c r="B357" s="29"/>
      <c r="C357" s="4"/>
      <c r="I357" s="21"/>
    </row>
    <row r="358" spans="1:9" ht="15.75" customHeight="1" x14ac:dyDescent="0.3">
      <c r="A358" s="5"/>
      <c r="B358" s="29"/>
      <c r="C358" s="4"/>
      <c r="I358" s="21"/>
    </row>
    <row r="359" spans="1:9" ht="15.75" customHeight="1" x14ac:dyDescent="0.3">
      <c r="A359" s="5"/>
      <c r="B359" s="29"/>
      <c r="C359" s="4"/>
      <c r="I359" s="21"/>
    </row>
    <row r="360" spans="1:9" ht="15.75" customHeight="1" x14ac:dyDescent="0.3">
      <c r="A360" s="5"/>
      <c r="B360" s="29"/>
      <c r="C360" s="4"/>
      <c r="I360" s="21"/>
    </row>
    <row r="361" spans="1:9" ht="15.75" customHeight="1" x14ac:dyDescent="0.3">
      <c r="A361" s="5"/>
      <c r="B361" s="29"/>
      <c r="C361" s="4"/>
      <c r="I361" s="21"/>
    </row>
    <row r="362" spans="1:9" ht="15.75" customHeight="1" x14ac:dyDescent="0.3">
      <c r="A362" s="5"/>
      <c r="B362" s="29"/>
      <c r="C362" s="4"/>
      <c r="I362" s="21"/>
    </row>
    <row r="363" spans="1:9" ht="15.75" customHeight="1" x14ac:dyDescent="0.3">
      <c r="A363" s="5"/>
      <c r="B363" s="29"/>
      <c r="C363" s="4"/>
      <c r="I363" s="21"/>
    </row>
    <row r="364" spans="1:9" ht="15.75" customHeight="1" x14ac:dyDescent="0.3">
      <c r="A364" s="5"/>
      <c r="B364" s="29"/>
      <c r="C364" s="4"/>
      <c r="I364" s="21"/>
    </row>
    <row r="365" spans="1:9" ht="15.75" customHeight="1" x14ac:dyDescent="0.3">
      <c r="A365" s="5"/>
      <c r="B365" s="29"/>
      <c r="C365" s="4"/>
      <c r="I365" s="21"/>
    </row>
    <row r="366" spans="1:9" ht="15.75" customHeight="1" x14ac:dyDescent="0.3">
      <c r="A366" s="5"/>
      <c r="B366" s="29"/>
      <c r="C366" s="4"/>
      <c r="I366" s="21"/>
    </row>
    <row r="367" spans="1:9" ht="15.75" customHeight="1" x14ac:dyDescent="0.3">
      <c r="A367" s="5"/>
      <c r="B367" s="29"/>
      <c r="C367" s="4"/>
      <c r="I367" s="21"/>
    </row>
    <row r="368" spans="1:9" ht="15.75" customHeight="1" x14ac:dyDescent="0.3">
      <c r="A368" s="5"/>
      <c r="B368" s="29"/>
      <c r="C368" s="4"/>
      <c r="I368" s="21"/>
    </row>
    <row r="369" spans="1:9" ht="15.75" customHeight="1" x14ac:dyDescent="0.3">
      <c r="A369" s="5"/>
      <c r="B369" s="29"/>
      <c r="C369" s="4"/>
      <c r="I369" s="21"/>
    </row>
    <row r="370" spans="1:9" ht="15.75" customHeight="1" x14ac:dyDescent="0.3">
      <c r="A370" s="5"/>
      <c r="B370" s="29"/>
      <c r="C370" s="4"/>
      <c r="I370" s="21"/>
    </row>
    <row r="371" spans="1:9" ht="15.75" customHeight="1" x14ac:dyDescent="0.3">
      <c r="A371" s="5"/>
      <c r="B371" s="29"/>
      <c r="C371" s="4"/>
      <c r="I371" s="21"/>
    </row>
    <row r="372" spans="1:9" ht="15.75" customHeight="1" x14ac:dyDescent="0.3">
      <c r="A372" s="5"/>
      <c r="B372" s="29"/>
      <c r="C372" s="4"/>
      <c r="I372" s="21"/>
    </row>
    <row r="373" spans="1:9" ht="15.75" customHeight="1" x14ac:dyDescent="0.3">
      <c r="A373" s="5"/>
      <c r="B373" s="29"/>
      <c r="C373" s="4"/>
      <c r="I373" s="21"/>
    </row>
    <row r="374" spans="1:9" ht="15.75" customHeight="1" x14ac:dyDescent="0.3">
      <c r="A374" s="5"/>
      <c r="B374" s="29"/>
      <c r="C374" s="4"/>
      <c r="I374" s="21"/>
    </row>
    <row r="375" spans="1:9" ht="15.75" customHeight="1" x14ac:dyDescent="0.3">
      <c r="A375" s="5"/>
      <c r="B375" s="29"/>
      <c r="C375" s="4"/>
      <c r="I375" s="21"/>
    </row>
    <row r="376" spans="1:9" ht="15.75" customHeight="1" x14ac:dyDescent="0.3">
      <c r="A376" s="5"/>
      <c r="B376" s="29"/>
      <c r="C376" s="4"/>
      <c r="I376" s="21"/>
    </row>
    <row r="377" spans="1:9" ht="15.75" customHeight="1" x14ac:dyDescent="0.3">
      <c r="A377" s="5"/>
      <c r="B377" s="29"/>
      <c r="C377" s="4"/>
      <c r="I377" s="21"/>
    </row>
    <row r="378" spans="1:9" ht="15.75" customHeight="1" x14ac:dyDescent="0.3">
      <c r="A378" s="5"/>
      <c r="B378" s="29"/>
      <c r="C378" s="4"/>
      <c r="I378" s="21"/>
    </row>
    <row r="379" spans="1:9" ht="15.75" customHeight="1" x14ac:dyDescent="0.3">
      <c r="A379" s="5"/>
      <c r="B379" s="29"/>
      <c r="C379" s="4"/>
      <c r="I379" s="21"/>
    </row>
    <row r="380" spans="1:9" ht="15.75" customHeight="1" x14ac:dyDescent="0.3">
      <c r="A380" s="5"/>
      <c r="B380" s="29"/>
      <c r="C380" s="4"/>
      <c r="I380" s="21"/>
    </row>
    <row r="381" spans="1:9" ht="15.75" customHeight="1" x14ac:dyDescent="0.3">
      <c r="A381" s="5"/>
      <c r="B381" s="29"/>
      <c r="C381" s="4"/>
      <c r="I381" s="21"/>
    </row>
    <row r="382" spans="1:9" ht="15.75" customHeight="1" x14ac:dyDescent="0.3">
      <c r="A382" s="5"/>
      <c r="B382" s="29"/>
      <c r="C382" s="4"/>
      <c r="I382" s="21"/>
    </row>
    <row r="383" spans="1:9" ht="15.75" customHeight="1" x14ac:dyDescent="0.3">
      <c r="A383" s="5"/>
      <c r="B383" s="29"/>
      <c r="C383" s="4"/>
      <c r="I383" s="21"/>
    </row>
    <row r="384" spans="1:9" ht="15.75" customHeight="1" x14ac:dyDescent="0.3">
      <c r="A384" s="5"/>
      <c r="B384" s="29"/>
      <c r="C384" s="4"/>
      <c r="I384" s="21"/>
    </row>
    <row r="385" spans="1:9" ht="15.75" customHeight="1" x14ac:dyDescent="0.3">
      <c r="A385" s="5"/>
      <c r="B385" s="29"/>
      <c r="C385" s="4"/>
      <c r="I385" s="21"/>
    </row>
    <row r="386" spans="1:9" ht="15.75" customHeight="1" x14ac:dyDescent="0.3">
      <c r="A386" s="5"/>
      <c r="B386" s="29"/>
      <c r="C386" s="4"/>
      <c r="I386" s="21"/>
    </row>
    <row r="387" spans="1:9" ht="15.75" customHeight="1" x14ac:dyDescent="0.3">
      <c r="A387" s="5"/>
      <c r="B387" s="29"/>
      <c r="C387" s="4"/>
      <c r="I387" s="21"/>
    </row>
    <row r="388" spans="1:9" ht="15.75" customHeight="1" x14ac:dyDescent="0.3">
      <c r="A388" s="5"/>
      <c r="B388" s="29"/>
      <c r="C388" s="4"/>
      <c r="I388" s="21"/>
    </row>
    <row r="389" spans="1:9" ht="15.75" customHeight="1" x14ac:dyDescent="0.3">
      <c r="A389" s="5"/>
      <c r="B389" s="29"/>
      <c r="C389" s="4"/>
      <c r="I389" s="21"/>
    </row>
    <row r="390" spans="1:9" ht="15.75" customHeight="1" x14ac:dyDescent="0.3">
      <c r="A390" s="5"/>
      <c r="B390" s="29"/>
      <c r="C390" s="4"/>
      <c r="I390" s="21"/>
    </row>
    <row r="391" spans="1:9" ht="15.75" customHeight="1" x14ac:dyDescent="0.3">
      <c r="A391" s="5"/>
      <c r="B391" s="29"/>
      <c r="C391" s="4"/>
      <c r="I391" s="21"/>
    </row>
    <row r="392" spans="1:9" ht="15.75" customHeight="1" x14ac:dyDescent="0.3">
      <c r="A392" s="5"/>
      <c r="B392" s="29"/>
      <c r="C392" s="4"/>
      <c r="I392" s="21"/>
    </row>
    <row r="393" spans="1:9" ht="15.75" customHeight="1" x14ac:dyDescent="0.3">
      <c r="A393" s="5"/>
      <c r="B393" s="29"/>
      <c r="C393" s="4"/>
      <c r="I393" s="21"/>
    </row>
    <row r="394" spans="1:9" ht="15.75" customHeight="1" x14ac:dyDescent="0.3">
      <c r="A394" s="5"/>
      <c r="B394" s="29"/>
      <c r="C394" s="4"/>
      <c r="I394" s="21"/>
    </row>
    <row r="395" spans="1:9" ht="15.75" customHeight="1" x14ac:dyDescent="0.3">
      <c r="A395" s="5"/>
      <c r="B395" s="29"/>
      <c r="C395" s="4"/>
      <c r="I395" s="21"/>
    </row>
    <row r="396" spans="1:9" ht="15.75" customHeight="1" x14ac:dyDescent="0.3">
      <c r="A396" s="5"/>
      <c r="B396" s="29"/>
      <c r="C396" s="4"/>
      <c r="I396" s="21"/>
    </row>
    <row r="397" spans="1:9" ht="15.75" customHeight="1" x14ac:dyDescent="0.3">
      <c r="A397" s="5"/>
      <c r="B397" s="29"/>
      <c r="C397" s="4"/>
      <c r="I397" s="21"/>
    </row>
    <row r="398" spans="1:9" ht="15.75" customHeight="1" x14ac:dyDescent="0.3">
      <c r="A398" s="5"/>
      <c r="B398" s="29"/>
      <c r="C398" s="4"/>
      <c r="I398" s="21"/>
    </row>
    <row r="399" spans="1:9" ht="15.75" customHeight="1" x14ac:dyDescent="0.3">
      <c r="A399" s="5"/>
      <c r="B399" s="29"/>
      <c r="C399" s="4"/>
      <c r="I399" s="21"/>
    </row>
    <row r="400" spans="1:9" ht="15.75" customHeight="1" x14ac:dyDescent="0.3">
      <c r="A400" s="5"/>
      <c r="B400" s="29"/>
      <c r="C400" s="4"/>
      <c r="I400" s="21"/>
    </row>
    <row r="401" spans="1:9" ht="15.75" customHeight="1" x14ac:dyDescent="0.3">
      <c r="A401" s="5"/>
      <c r="B401" s="29"/>
      <c r="C401" s="4"/>
      <c r="I401" s="21"/>
    </row>
    <row r="402" spans="1:9" ht="15.75" customHeight="1" x14ac:dyDescent="0.3">
      <c r="A402" s="5"/>
      <c r="B402" s="29"/>
      <c r="C402" s="4"/>
      <c r="I402" s="21"/>
    </row>
    <row r="403" spans="1:9" ht="15.75" customHeight="1" x14ac:dyDescent="0.3">
      <c r="A403" s="5"/>
      <c r="B403" s="29"/>
      <c r="C403" s="4"/>
      <c r="I403" s="21"/>
    </row>
    <row r="404" spans="1:9" ht="15.75" customHeight="1" x14ac:dyDescent="0.3">
      <c r="A404" s="5"/>
      <c r="B404" s="29"/>
      <c r="C404" s="4"/>
      <c r="I404" s="21"/>
    </row>
    <row r="405" spans="1:9" ht="15.75" customHeight="1" x14ac:dyDescent="0.3">
      <c r="A405" s="5"/>
      <c r="B405" s="29"/>
      <c r="C405" s="4"/>
      <c r="I405" s="21"/>
    </row>
    <row r="406" spans="1:9" ht="15.75" customHeight="1" x14ac:dyDescent="0.3">
      <c r="A406" s="5"/>
      <c r="B406" s="29"/>
      <c r="C406" s="4"/>
      <c r="I406" s="21"/>
    </row>
    <row r="407" spans="1:9" ht="15.75" customHeight="1" x14ac:dyDescent="0.3">
      <c r="A407" s="5"/>
      <c r="B407" s="29"/>
      <c r="C407" s="4"/>
      <c r="I407" s="21"/>
    </row>
    <row r="408" spans="1:9" ht="15.75" customHeight="1" x14ac:dyDescent="0.3">
      <c r="A408" s="5"/>
      <c r="B408" s="29"/>
      <c r="C408" s="4"/>
      <c r="I408" s="21"/>
    </row>
    <row r="409" spans="1:9" ht="15.75" customHeight="1" x14ac:dyDescent="0.3">
      <c r="A409" s="5"/>
      <c r="B409" s="29"/>
      <c r="C409" s="4"/>
      <c r="I409" s="21"/>
    </row>
    <row r="410" spans="1:9" ht="15.75" customHeight="1" x14ac:dyDescent="0.3">
      <c r="A410" s="5"/>
      <c r="B410" s="29"/>
      <c r="C410" s="4"/>
      <c r="I410" s="21"/>
    </row>
    <row r="411" spans="1:9" ht="15.75" customHeight="1" x14ac:dyDescent="0.3">
      <c r="A411" s="5"/>
      <c r="B411" s="29"/>
      <c r="C411" s="4"/>
      <c r="I411" s="21"/>
    </row>
    <row r="412" spans="1:9" ht="15.75" customHeight="1" x14ac:dyDescent="0.3">
      <c r="A412" s="5"/>
      <c r="B412" s="29"/>
      <c r="C412" s="4"/>
      <c r="I412" s="21"/>
    </row>
    <row r="413" spans="1:9" ht="15.75" customHeight="1" x14ac:dyDescent="0.3">
      <c r="A413" s="5"/>
      <c r="B413" s="29"/>
      <c r="C413" s="4"/>
      <c r="I413" s="21"/>
    </row>
    <row r="414" spans="1:9" ht="15.75" customHeight="1" x14ac:dyDescent="0.3">
      <c r="A414" s="5"/>
      <c r="B414" s="29"/>
      <c r="C414" s="4"/>
      <c r="I414" s="21"/>
    </row>
    <row r="415" spans="1:9" ht="15.75" customHeight="1" x14ac:dyDescent="0.3">
      <c r="A415" s="5"/>
      <c r="B415" s="29"/>
      <c r="C415" s="4"/>
      <c r="I415" s="21"/>
    </row>
    <row r="416" spans="1:9" ht="15.75" customHeight="1" x14ac:dyDescent="0.3">
      <c r="A416" s="5"/>
      <c r="B416" s="29"/>
      <c r="C416" s="4"/>
      <c r="I416" s="21"/>
    </row>
    <row r="417" spans="1:9" ht="15.75" customHeight="1" x14ac:dyDescent="0.3">
      <c r="A417" s="5"/>
      <c r="B417" s="29"/>
      <c r="C417" s="4"/>
      <c r="I417" s="21"/>
    </row>
    <row r="418" spans="1:9" ht="15.75" customHeight="1" x14ac:dyDescent="0.3">
      <c r="A418" s="5"/>
      <c r="B418" s="29"/>
      <c r="C418" s="4"/>
      <c r="I418" s="21"/>
    </row>
    <row r="419" spans="1:9" ht="15.75" customHeight="1" x14ac:dyDescent="0.3">
      <c r="A419" s="5"/>
      <c r="B419" s="29"/>
      <c r="C419" s="4"/>
      <c r="I419" s="21"/>
    </row>
    <row r="420" spans="1:9" ht="15.75" customHeight="1" x14ac:dyDescent="0.3">
      <c r="A420" s="5"/>
      <c r="B420" s="29"/>
      <c r="C420" s="4"/>
      <c r="I420" s="21"/>
    </row>
    <row r="421" spans="1:9" ht="15.75" customHeight="1" x14ac:dyDescent="0.3">
      <c r="A421" s="5"/>
      <c r="B421" s="29"/>
      <c r="C421" s="4"/>
      <c r="I421" s="21"/>
    </row>
    <row r="422" spans="1:9" ht="15.75" customHeight="1" x14ac:dyDescent="0.3">
      <c r="A422" s="5"/>
      <c r="B422" s="29"/>
      <c r="C422" s="4"/>
      <c r="I422" s="21"/>
    </row>
    <row r="423" spans="1:9" ht="15.75" customHeight="1" x14ac:dyDescent="0.3">
      <c r="A423" s="5"/>
      <c r="B423" s="29"/>
      <c r="C423" s="4"/>
      <c r="I423" s="21"/>
    </row>
    <row r="424" spans="1:9" ht="15.75" customHeight="1" x14ac:dyDescent="0.3">
      <c r="A424" s="5"/>
      <c r="B424" s="29"/>
      <c r="C424" s="4"/>
      <c r="I424" s="21"/>
    </row>
    <row r="425" spans="1:9" ht="15.75" customHeight="1" x14ac:dyDescent="0.3">
      <c r="A425" s="5"/>
      <c r="B425" s="29"/>
      <c r="C425" s="4"/>
      <c r="I425" s="21"/>
    </row>
    <row r="426" spans="1:9" ht="15.75" customHeight="1" x14ac:dyDescent="0.3">
      <c r="A426" s="5"/>
      <c r="B426" s="29"/>
      <c r="C426" s="4"/>
      <c r="I426" s="21"/>
    </row>
    <row r="427" spans="1:9" ht="15.75" customHeight="1" x14ac:dyDescent="0.3">
      <c r="A427" s="5"/>
      <c r="B427" s="29"/>
      <c r="C427" s="4"/>
      <c r="I427" s="21"/>
    </row>
    <row r="428" spans="1:9" ht="15.75" customHeight="1" x14ac:dyDescent="0.3">
      <c r="A428" s="5"/>
      <c r="B428" s="29"/>
      <c r="C428" s="4"/>
      <c r="I428" s="21"/>
    </row>
    <row r="429" spans="1:9" ht="15.75" customHeight="1" x14ac:dyDescent="0.3">
      <c r="A429" s="5"/>
      <c r="B429" s="29"/>
      <c r="C429" s="4"/>
      <c r="I429" s="21"/>
    </row>
    <row r="430" spans="1:9" ht="15.75" customHeight="1" x14ac:dyDescent="0.3">
      <c r="A430" s="5"/>
      <c r="B430" s="29"/>
      <c r="C430" s="4"/>
      <c r="I430" s="21"/>
    </row>
    <row r="431" spans="1:9" ht="15.75" customHeight="1" x14ac:dyDescent="0.3">
      <c r="A431" s="5"/>
      <c r="B431" s="29"/>
      <c r="C431" s="4"/>
      <c r="I431" s="21"/>
    </row>
    <row r="432" spans="1:9" ht="15.75" customHeight="1" x14ac:dyDescent="0.3">
      <c r="A432" s="5"/>
      <c r="B432" s="29"/>
      <c r="C432" s="4"/>
      <c r="I432" s="21"/>
    </row>
    <row r="433" spans="1:9" ht="15.75" customHeight="1" x14ac:dyDescent="0.3">
      <c r="A433" s="5"/>
      <c r="B433" s="29"/>
      <c r="C433" s="4"/>
      <c r="I433" s="21"/>
    </row>
    <row r="434" spans="1:9" ht="15.75" customHeight="1" x14ac:dyDescent="0.3">
      <c r="A434" s="5"/>
      <c r="B434" s="29"/>
      <c r="C434" s="4"/>
      <c r="I434" s="21"/>
    </row>
    <row r="435" spans="1:9" ht="15.75" customHeight="1" x14ac:dyDescent="0.3">
      <c r="A435" s="5"/>
      <c r="B435" s="29"/>
      <c r="C435" s="4"/>
      <c r="I435" s="21"/>
    </row>
    <row r="436" spans="1:9" ht="15.75" customHeight="1" x14ac:dyDescent="0.3">
      <c r="A436" s="5"/>
      <c r="B436" s="29"/>
      <c r="C436" s="4"/>
      <c r="I436" s="21"/>
    </row>
    <row r="437" spans="1:9" ht="15.75" customHeight="1" x14ac:dyDescent="0.3">
      <c r="A437" s="5"/>
      <c r="B437" s="29"/>
      <c r="C437" s="4"/>
      <c r="I437" s="21"/>
    </row>
    <row r="438" spans="1:9" ht="15.75" customHeight="1" x14ac:dyDescent="0.3">
      <c r="A438" s="5"/>
      <c r="B438" s="29"/>
      <c r="C438" s="4"/>
      <c r="I438" s="21"/>
    </row>
    <row r="439" spans="1:9" ht="15.75" customHeight="1" x14ac:dyDescent="0.3">
      <c r="A439" s="5"/>
      <c r="B439" s="29"/>
      <c r="C439" s="4"/>
      <c r="I439" s="21"/>
    </row>
    <row r="440" spans="1:9" ht="15.75" customHeight="1" x14ac:dyDescent="0.3">
      <c r="A440" s="5"/>
      <c r="B440" s="29"/>
      <c r="C440" s="4"/>
      <c r="I440" s="21"/>
    </row>
    <row r="441" spans="1:9" ht="15.75" customHeight="1" x14ac:dyDescent="0.3">
      <c r="A441" s="5"/>
      <c r="B441" s="29"/>
      <c r="C441" s="4"/>
      <c r="I441" s="21"/>
    </row>
    <row r="442" spans="1:9" ht="15.75" customHeight="1" x14ac:dyDescent="0.3">
      <c r="A442" s="5"/>
      <c r="B442" s="29"/>
      <c r="C442" s="4"/>
      <c r="I442" s="21"/>
    </row>
    <row r="443" spans="1:9" ht="15.75" customHeight="1" x14ac:dyDescent="0.3">
      <c r="A443" s="5"/>
      <c r="B443" s="29"/>
      <c r="C443" s="4"/>
      <c r="I443" s="21"/>
    </row>
    <row r="444" spans="1:9" ht="15.75" customHeight="1" x14ac:dyDescent="0.3">
      <c r="A444" s="5"/>
      <c r="B444" s="29"/>
      <c r="C444" s="4"/>
      <c r="I444" s="21"/>
    </row>
    <row r="445" spans="1:9" ht="15.75" customHeight="1" x14ac:dyDescent="0.3">
      <c r="A445" s="5"/>
      <c r="B445" s="29"/>
      <c r="C445" s="4"/>
      <c r="I445" s="21"/>
    </row>
    <row r="446" spans="1:9" ht="15.75" customHeight="1" x14ac:dyDescent="0.3">
      <c r="A446" s="5"/>
      <c r="B446" s="29"/>
      <c r="C446" s="4"/>
      <c r="I446" s="21"/>
    </row>
    <row r="447" spans="1:9" ht="15.75" customHeight="1" x14ac:dyDescent="0.3">
      <c r="A447" s="5"/>
      <c r="B447" s="29"/>
      <c r="C447" s="4"/>
      <c r="I447" s="21"/>
    </row>
    <row r="448" spans="1:9" ht="15.75" customHeight="1" x14ac:dyDescent="0.3">
      <c r="A448" s="5"/>
      <c r="B448" s="29"/>
      <c r="C448" s="4"/>
      <c r="I448" s="21"/>
    </row>
    <row r="449" spans="1:9" ht="15.75" customHeight="1" x14ac:dyDescent="0.3">
      <c r="A449" s="5"/>
      <c r="B449" s="29"/>
      <c r="C449" s="4"/>
      <c r="I449" s="21"/>
    </row>
    <row r="450" spans="1:9" ht="15.75" customHeight="1" x14ac:dyDescent="0.3">
      <c r="A450" s="5"/>
      <c r="B450" s="29"/>
      <c r="C450" s="4"/>
      <c r="I450" s="21"/>
    </row>
    <row r="451" spans="1:9" ht="15.75" customHeight="1" x14ac:dyDescent="0.3">
      <c r="A451" s="5"/>
      <c r="B451" s="29"/>
      <c r="C451" s="4"/>
      <c r="I451" s="21"/>
    </row>
    <row r="452" spans="1:9" ht="15.75" customHeight="1" x14ac:dyDescent="0.3">
      <c r="A452" s="5"/>
      <c r="B452" s="29"/>
      <c r="C452" s="4"/>
      <c r="I452" s="21"/>
    </row>
    <row r="453" spans="1:9" ht="15.75" customHeight="1" x14ac:dyDescent="0.3">
      <c r="A453" s="5"/>
      <c r="B453" s="29"/>
      <c r="C453" s="4"/>
      <c r="I453" s="21"/>
    </row>
    <row r="454" spans="1:9" ht="15.75" customHeight="1" x14ac:dyDescent="0.3">
      <c r="A454" s="5"/>
      <c r="B454" s="29"/>
      <c r="C454" s="4"/>
      <c r="I454" s="21"/>
    </row>
    <row r="455" spans="1:9" ht="15.75" customHeight="1" x14ac:dyDescent="0.3">
      <c r="A455" s="5"/>
      <c r="B455" s="29"/>
      <c r="C455" s="4"/>
      <c r="I455" s="21"/>
    </row>
    <row r="456" spans="1:9" ht="15.75" customHeight="1" x14ac:dyDescent="0.3">
      <c r="A456" s="5"/>
      <c r="B456" s="29"/>
      <c r="C456" s="4"/>
      <c r="I456" s="21"/>
    </row>
    <row r="457" spans="1:9" ht="15.75" customHeight="1" x14ac:dyDescent="0.3">
      <c r="A457" s="5"/>
      <c r="B457" s="29"/>
      <c r="C457" s="4"/>
      <c r="I457" s="21"/>
    </row>
    <row r="458" spans="1:9" ht="15.75" customHeight="1" x14ac:dyDescent="0.3">
      <c r="A458" s="5"/>
      <c r="B458" s="29"/>
      <c r="C458" s="4"/>
      <c r="I458" s="21"/>
    </row>
    <row r="459" spans="1:9" ht="15.75" customHeight="1" x14ac:dyDescent="0.3">
      <c r="A459" s="5"/>
      <c r="B459" s="29"/>
      <c r="C459" s="4"/>
      <c r="I459" s="21"/>
    </row>
    <row r="460" spans="1:9" ht="15.75" customHeight="1" x14ac:dyDescent="0.3">
      <c r="A460" s="5"/>
      <c r="B460" s="29"/>
      <c r="C460" s="4"/>
      <c r="I460" s="21"/>
    </row>
    <row r="461" spans="1:9" ht="15.75" customHeight="1" x14ac:dyDescent="0.3">
      <c r="A461" s="5"/>
      <c r="B461" s="29"/>
      <c r="C461" s="4"/>
      <c r="I461" s="21"/>
    </row>
    <row r="462" spans="1:9" ht="15.75" customHeight="1" x14ac:dyDescent="0.3">
      <c r="A462" s="5"/>
      <c r="B462" s="29"/>
      <c r="C462" s="4"/>
      <c r="I462" s="21"/>
    </row>
    <row r="463" spans="1:9" ht="15.75" customHeight="1" x14ac:dyDescent="0.3">
      <c r="A463" s="5"/>
      <c r="B463" s="29"/>
      <c r="C463" s="4"/>
      <c r="I463" s="21"/>
    </row>
    <row r="464" spans="1:9" ht="15.75" customHeight="1" x14ac:dyDescent="0.3">
      <c r="A464" s="5"/>
      <c r="B464" s="29"/>
      <c r="C464" s="4"/>
      <c r="I464" s="21"/>
    </row>
    <row r="465" spans="1:9" ht="15.75" customHeight="1" x14ac:dyDescent="0.3">
      <c r="A465" s="5"/>
      <c r="B465" s="29"/>
      <c r="C465" s="4"/>
      <c r="I465" s="21"/>
    </row>
    <row r="466" spans="1:9" ht="15.75" customHeight="1" x14ac:dyDescent="0.3">
      <c r="A466" s="5"/>
      <c r="B466" s="29"/>
      <c r="C466" s="4"/>
      <c r="I466" s="21"/>
    </row>
    <row r="467" spans="1:9" ht="15.75" customHeight="1" x14ac:dyDescent="0.3">
      <c r="A467" s="5"/>
      <c r="B467" s="29"/>
      <c r="C467" s="4"/>
      <c r="I467" s="21"/>
    </row>
    <row r="468" spans="1:9" ht="15.75" customHeight="1" x14ac:dyDescent="0.3">
      <c r="A468" s="5"/>
      <c r="B468" s="29"/>
      <c r="C468" s="4"/>
      <c r="I468" s="21"/>
    </row>
    <row r="469" spans="1:9" ht="15.75" customHeight="1" x14ac:dyDescent="0.3">
      <c r="A469" s="5"/>
      <c r="B469" s="29"/>
      <c r="C469" s="4"/>
      <c r="I469" s="21"/>
    </row>
    <row r="470" spans="1:9" ht="15.75" customHeight="1" x14ac:dyDescent="0.3">
      <c r="A470" s="5"/>
      <c r="B470" s="29"/>
      <c r="C470" s="4"/>
      <c r="I470" s="21"/>
    </row>
    <row r="471" spans="1:9" ht="15.75" customHeight="1" x14ac:dyDescent="0.3">
      <c r="A471" s="5"/>
      <c r="B471" s="29"/>
      <c r="C471" s="4"/>
      <c r="I471" s="21"/>
    </row>
    <row r="472" spans="1:9" ht="15.75" customHeight="1" x14ac:dyDescent="0.3">
      <c r="A472" s="5"/>
      <c r="B472" s="29"/>
      <c r="C472" s="4"/>
      <c r="I472" s="21"/>
    </row>
    <row r="473" spans="1:9" ht="15.75" customHeight="1" x14ac:dyDescent="0.3">
      <c r="A473" s="5"/>
      <c r="B473" s="29"/>
      <c r="C473" s="4"/>
      <c r="I473" s="21"/>
    </row>
    <row r="474" spans="1:9" ht="15.75" customHeight="1" x14ac:dyDescent="0.3">
      <c r="A474" s="5"/>
      <c r="B474" s="29"/>
      <c r="C474" s="4"/>
      <c r="I474" s="21"/>
    </row>
    <row r="475" spans="1:9" ht="15.75" customHeight="1" x14ac:dyDescent="0.3">
      <c r="A475" s="5"/>
      <c r="B475" s="29"/>
      <c r="C475" s="4"/>
      <c r="I475" s="21"/>
    </row>
    <row r="476" spans="1:9" ht="15.75" customHeight="1" x14ac:dyDescent="0.3">
      <c r="A476" s="5"/>
      <c r="B476" s="29"/>
      <c r="C476" s="4"/>
      <c r="I476" s="21"/>
    </row>
    <row r="477" spans="1:9" ht="15.75" customHeight="1" x14ac:dyDescent="0.3">
      <c r="A477" s="5"/>
      <c r="B477" s="29"/>
      <c r="C477" s="4"/>
      <c r="I477" s="21"/>
    </row>
    <row r="478" spans="1:9" ht="15.75" customHeight="1" x14ac:dyDescent="0.3">
      <c r="A478" s="5"/>
      <c r="B478" s="29"/>
      <c r="C478" s="4"/>
      <c r="I478" s="21"/>
    </row>
    <row r="479" spans="1:9" ht="15.75" customHeight="1" x14ac:dyDescent="0.3">
      <c r="A479" s="5"/>
      <c r="B479" s="29"/>
      <c r="C479" s="4"/>
      <c r="I479" s="21"/>
    </row>
    <row r="480" spans="1:9" ht="15.75" customHeight="1" x14ac:dyDescent="0.3">
      <c r="A480" s="5"/>
      <c r="B480" s="29"/>
      <c r="C480" s="4"/>
      <c r="I480" s="21"/>
    </row>
    <row r="481" spans="1:9" ht="15.75" customHeight="1" x14ac:dyDescent="0.3">
      <c r="A481" s="5"/>
      <c r="B481" s="29"/>
      <c r="C481" s="4"/>
      <c r="I481" s="21"/>
    </row>
    <row r="482" spans="1:9" ht="15.75" customHeight="1" x14ac:dyDescent="0.3">
      <c r="A482" s="5"/>
      <c r="B482" s="29"/>
      <c r="C482" s="4"/>
      <c r="I482" s="21"/>
    </row>
    <row r="483" spans="1:9" ht="15.75" customHeight="1" x14ac:dyDescent="0.3">
      <c r="A483" s="5"/>
      <c r="B483" s="29"/>
      <c r="C483" s="4"/>
      <c r="I483" s="21"/>
    </row>
    <row r="484" spans="1:9" ht="15.75" customHeight="1" x14ac:dyDescent="0.3">
      <c r="A484" s="5"/>
      <c r="B484" s="29"/>
      <c r="C484" s="4"/>
      <c r="I484" s="21"/>
    </row>
    <row r="485" spans="1:9" ht="15.75" customHeight="1" x14ac:dyDescent="0.3">
      <c r="A485" s="5"/>
      <c r="B485" s="29"/>
      <c r="C485" s="4"/>
      <c r="I485" s="21"/>
    </row>
    <row r="486" spans="1:9" ht="15.75" customHeight="1" x14ac:dyDescent="0.3">
      <c r="A486" s="5"/>
      <c r="B486" s="29"/>
      <c r="C486" s="4"/>
      <c r="I486" s="21"/>
    </row>
    <row r="487" spans="1:9" ht="15.75" customHeight="1" x14ac:dyDescent="0.3">
      <c r="A487" s="5"/>
      <c r="B487" s="29"/>
      <c r="C487" s="4"/>
      <c r="I487" s="21"/>
    </row>
    <row r="488" spans="1:9" ht="15.75" customHeight="1" x14ac:dyDescent="0.3">
      <c r="A488" s="5"/>
      <c r="B488" s="29"/>
      <c r="C488" s="4"/>
      <c r="I488" s="21"/>
    </row>
    <row r="489" spans="1:9" ht="15.75" customHeight="1" x14ac:dyDescent="0.3">
      <c r="A489" s="5"/>
      <c r="B489" s="29"/>
      <c r="C489" s="4"/>
      <c r="I489" s="21"/>
    </row>
    <row r="490" spans="1:9" ht="15.75" customHeight="1" x14ac:dyDescent="0.3">
      <c r="A490" s="5"/>
      <c r="B490" s="29"/>
      <c r="C490" s="4"/>
      <c r="I490" s="21"/>
    </row>
    <row r="491" spans="1:9" ht="15.75" customHeight="1" x14ac:dyDescent="0.3">
      <c r="A491" s="5"/>
      <c r="B491" s="29"/>
      <c r="C491" s="4"/>
      <c r="I491" s="21"/>
    </row>
    <row r="492" spans="1:9" ht="15.75" customHeight="1" x14ac:dyDescent="0.3">
      <c r="A492" s="5"/>
      <c r="B492" s="29"/>
      <c r="C492" s="4"/>
      <c r="I492" s="21"/>
    </row>
    <row r="493" spans="1:9" ht="15.75" customHeight="1" x14ac:dyDescent="0.3">
      <c r="A493" s="5"/>
      <c r="B493" s="29"/>
      <c r="C493" s="4"/>
      <c r="I493" s="21"/>
    </row>
    <row r="494" spans="1:9" ht="15.75" customHeight="1" x14ac:dyDescent="0.3">
      <c r="A494" s="5"/>
      <c r="B494" s="29"/>
      <c r="C494" s="4"/>
      <c r="I494" s="21"/>
    </row>
    <row r="495" spans="1:9" ht="15.75" customHeight="1" x14ac:dyDescent="0.3">
      <c r="A495" s="5"/>
      <c r="B495" s="29"/>
      <c r="C495" s="4"/>
      <c r="I495" s="21"/>
    </row>
    <row r="496" spans="1:9" ht="15.75" customHeight="1" x14ac:dyDescent="0.3">
      <c r="A496" s="5"/>
      <c r="B496" s="29"/>
      <c r="C496" s="4"/>
      <c r="I496" s="21"/>
    </row>
    <row r="497" spans="1:9" ht="15.75" customHeight="1" x14ac:dyDescent="0.3">
      <c r="A497" s="5"/>
      <c r="B497" s="29"/>
      <c r="C497" s="4"/>
      <c r="I497" s="21"/>
    </row>
    <row r="498" spans="1:9" ht="15.75" customHeight="1" x14ac:dyDescent="0.3">
      <c r="A498" s="5"/>
      <c r="B498" s="29"/>
      <c r="C498" s="4"/>
      <c r="I498" s="21"/>
    </row>
    <row r="499" spans="1:9" ht="15.75" customHeight="1" x14ac:dyDescent="0.3">
      <c r="A499" s="5"/>
      <c r="B499" s="29"/>
      <c r="C499" s="4"/>
      <c r="I499" s="21"/>
    </row>
    <row r="500" spans="1:9" ht="15.75" customHeight="1" x14ac:dyDescent="0.3">
      <c r="A500" s="5"/>
      <c r="B500" s="29"/>
      <c r="C500" s="4"/>
      <c r="I500" s="21"/>
    </row>
    <row r="501" spans="1:9" ht="15.75" customHeight="1" x14ac:dyDescent="0.3">
      <c r="A501" s="5"/>
      <c r="B501" s="29"/>
      <c r="C501" s="4"/>
      <c r="I501" s="21"/>
    </row>
    <row r="502" spans="1:9" ht="15.75" customHeight="1" x14ac:dyDescent="0.3">
      <c r="A502" s="5"/>
      <c r="B502" s="29"/>
      <c r="C502" s="4"/>
      <c r="I502" s="21"/>
    </row>
    <row r="503" spans="1:9" ht="15.75" customHeight="1" x14ac:dyDescent="0.3">
      <c r="A503" s="5"/>
      <c r="B503" s="29"/>
      <c r="C503" s="4"/>
      <c r="I503" s="21"/>
    </row>
    <row r="504" spans="1:9" ht="15.75" customHeight="1" x14ac:dyDescent="0.3">
      <c r="A504" s="5"/>
      <c r="B504" s="29"/>
      <c r="C504" s="4"/>
      <c r="I504" s="21"/>
    </row>
    <row r="505" spans="1:9" ht="15.75" customHeight="1" x14ac:dyDescent="0.3">
      <c r="A505" s="5"/>
      <c r="B505" s="29"/>
      <c r="C505" s="4"/>
      <c r="I505" s="21"/>
    </row>
    <row r="506" spans="1:9" ht="15.75" customHeight="1" x14ac:dyDescent="0.3">
      <c r="A506" s="5"/>
      <c r="B506" s="29"/>
      <c r="C506" s="4"/>
      <c r="I506" s="21"/>
    </row>
    <row r="507" spans="1:9" ht="15.75" customHeight="1" x14ac:dyDescent="0.3">
      <c r="A507" s="5"/>
      <c r="B507" s="29"/>
      <c r="C507" s="4"/>
      <c r="I507" s="21"/>
    </row>
    <row r="508" spans="1:9" ht="15.75" customHeight="1" x14ac:dyDescent="0.3">
      <c r="A508" s="5"/>
      <c r="B508" s="29"/>
      <c r="C508" s="4"/>
      <c r="I508" s="21"/>
    </row>
    <row r="509" spans="1:9" ht="15.75" customHeight="1" x14ac:dyDescent="0.3">
      <c r="A509" s="5"/>
      <c r="B509" s="29"/>
      <c r="C509" s="4"/>
      <c r="I509" s="21"/>
    </row>
    <row r="510" spans="1:9" ht="15.75" customHeight="1" x14ac:dyDescent="0.3">
      <c r="A510" s="5"/>
      <c r="B510" s="29"/>
      <c r="C510" s="4"/>
      <c r="I510" s="21"/>
    </row>
    <row r="511" spans="1:9" ht="15.75" customHeight="1" x14ac:dyDescent="0.3">
      <c r="A511" s="5"/>
      <c r="B511" s="29"/>
      <c r="C511" s="4"/>
      <c r="I511" s="21"/>
    </row>
    <row r="512" spans="1:9" ht="15.75" customHeight="1" x14ac:dyDescent="0.3">
      <c r="A512" s="5"/>
      <c r="B512" s="29"/>
      <c r="C512" s="4"/>
      <c r="I512" s="21"/>
    </row>
    <row r="513" spans="1:9" ht="15.75" customHeight="1" x14ac:dyDescent="0.3">
      <c r="A513" s="5"/>
      <c r="B513" s="29"/>
      <c r="C513" s="4"/>
      <c r="I513" s="21"/>
    </row>
    <row r="514" spans="1:9" ht="15.75" customHeight="1" x14ac:dyDescent="0.3">
      <c r="A514" s="5"/>
      <c r="B514" s="29"/>
      <c r="C514" s="4"/>
      <c r="I514" s="21"/>
    </row>
    <row r="515" spans="1:9" ht="15.75" customHeight="1" x14ac:dyDescent="0.3">
      <c r="A515" s="5"/>
      <c r="B515" s="29"/>
      <c r="C515" s="4"/>
      <c r="I515" s="21"/>
    </row>
    <row r="516" spans="1:9" ht="15.75" customHeight="1" x14ac:dyDescent="0.3">
      <c r="A516" s="5"/>
      <c r="B516" s="29"/>
      <c r="C516" s="4"/>
      <c r="I516" s="21"/>
    </row>
    <row r="517" spans="1:9" ht="15.75" customHeight="1" x14ac:dyDescent="0.3">
      <c r="A517" s="5"/>
      <c r="B517" s="29"/>
      <c r="C517" s="4"/>
      <c r="I517" s="21"/>
    </row>
    <row r="518" spans="1:9" ht="15.75" customHeight="1" x14ac:dyDescent="0.3">
      <c r="A518" s="5"/>
      <c r="B518" s="29"/>
      <c r="C518" s="4"/>
      <c r="I518" s="21"/>
    </row>
    <row r="519" spans="1:9" ht="15.75" customHeight="1" x14ac:dyDescent="0.3">
      <c r="A519" s="5"/>
      <c r="B519" s="29"/>
      <c r="C519" s="4"/>
      <c r="I519" s="21"/>
    </row>
    <row r="520" spans="1:9" ht="15.75" customHeight="1" x14ac:dyDescent="0.3">
      <c r="A520" s="5"/>
      <c r="B520" s="29"/>
      <c r="C520" s="4"/>
      <c r="I520" s="21"/>
    </row>
    <row r="521" spans="1:9" ht="15.75" customHeight="1" x14ac:dyDescent="0.3">
      <c r="A521" s="5"/>
      <c r="B521" s="29"/>
      <c r="C521" s="4"/>
      <c r="I521" s="21"/>
    </row>
    <row r="522" spans="1:9" ht="15.75" customHeight="1" x14ac:dyDescent="0.3">
      <c r="A522" s="5"/>
      <c r="B522" s="29"/>
      <c r="C522" s="4"/>
      <c r="I522" s="21"/>
    </row>
    <row r="523" spans="1:9" ht="15.75" customHeight="1" x14ac:dyDescent="0.3">
      <c r="A523" s="5"/>
      <c r="B523" s="29"/>
      <c r="C523" s="4"/>
      <c r="I523" s="21"/>
    </row>
    <row r="524" spans="1:9" ht="15.75" customHeight="1" x14ac:dyDescent="0.3">
      <c r="A524" s="5"/>
      <c r="B524" s="29"/>
      <c r="C524" s="4"/>
      <c r="I524" s="21"/>
    </row>
    <row r="525" spans="1:9" ht="15.75" customHeight="1" x14ac:dyDescent="0.3">
      <c r="A525" s="5"/>
      <c r="B525" s="29"/>
      <c r="C525" s="4"/>
      <c r="I525" s="21"/>
    </row>
    <row r="526" spans="1:9" ht="15.75" customHeight="1" x14ac:dyDescent="0.3">
      <c r="A526" s="5"/>
      <c r="B526" s="29"/>
      <c r="C526" s="4"/>
      <c r="I526" s="21"/>
    </row>
    <row r="527" spans="1:9" ht="15.75" customHeight="1" x14ac:dyDescent="0.3">
      <c r="A527" s="5"/>
      <c r="B527" s="29"/>
      <c r="C527" s="4"/>
      <c r="I527" s="21"/>
    </row>
    <row r="528" spans="1:9" ht="15.75" customHeight="1" x14ac:dyDescent="0.3">
      <c r="A528" s="5"/>
      <c r="B528" s="29"/>
      <c r="C528" s="4"/>
      <c r="I528" s="21"/>
    </row>
    <row r="529" spans="1:9" ht="15.75" customHeight="1" x14ac:dyDescent="0.3">
      <c r="A529" s="5"/>
      <c r="B529" s="29"/>
      <c r="C529" s="4"/>
      <c r="I529" s="21"/>
    </row>
    <row r="530" spans="1:9" ht="15.75" customHeight="1" x14ac:dyDescent="0.3">
      <c r="A530" s="5"/>
      <c r="B530" s="29"/>
      <c r="C530" s="4"/>
      <c r="I530" s="21"/>
    </row>
    <row r="531" spans="1:9" ht="15.75" customHeight="1" x14ac:dyDescent="0.3">
      <c r="A531" s="5"/>
      <c r="B531" s="29"/>
      <c r="C531" s="4"/>
      <c r="I531" s="21"/>
    </row>
    <row r="532" spans="1:9" ht="15.75" customHeight="1" x14ac:dyDescent="0.3">
      <c r="A532" s="5"/>
      <c r="B532" s="29"/>
      <c r="C532" s="4"/>
      <c r="I532" s="21"/>
    </row>
    <row r="533" spans="1:9" ht="15.75" customHeight="1" x14ac:dyDescent="0.3">
      <c r="A533" s="5"/>
      <c r="B533" s="29"/>
      <c r="C533" s="4"/>
      <c r="I533" s="21"/>
    </row>
    <row r="534" spans="1:9" ht="15.75" customHeight="1" x14ac:dyDescent="0.3">
      <c r="A534" s="5"/>
      <c r="B534" s="29"/>
      <c r="C534" s="4"/>
      <c r="I534" s="21"/>
    </row>
    <row r="535" spans="1:9" ht="15.75" customHeight="1" x14ac:dyDescent="0.3">
      <c r="A535" s="5"/>
      <c r="B535" s="29"/>
      <c r="C535" s="4"/>
      <c r="I535" s="21"/>
    </row>
    <row r="536" spans="1:9" ht="15.75" customHeight="1" x14ac:dyDescent="0.3">
      <c r="A536" s="5"/>
      <c r="B536" s="29"/>
      <c r="C536" s="4"/>
      <c r="I536" s="21"/>
    </row>
    <row r="537" spans="1:9" ht="15.75" customHeight="1" x14ac:dyDescent="0.3">
      <c r="A537" s="5"/>
      <c r="B537" s="29"/>
      <c r="C537" s="4"/>
      <c r="I537" s="21"/>
    </row>
    <row r="538" spans="1:9" ht="15.75" customHeight="1" x14ac:dyDescent="0.3">
      <c r="A538" s="5"/>
      <c r="B538" s="29"/>
      <c r="C538" s="4"/>
      <c r="I538" s="21"/>
    </row>
    <row r="539" spans="1:9" ht="15.75" customHeight="1" x14ac:dyDescent="0.3">
      <c r="A539" s="5"/>
      <c r="B539" s="29"/>
      <c r="C539" s="4"/>
      <c r="I539" s="21"/>
    </row>
    <row r="540" spans="1:9" ht="15.75" customHeight="1" x14ac:dyDescent="0.3">
      <c r="A540" s="5"/>
      <c r="B540" s="29"/>
      <c r="C540" s="4"/>
      <c r="I540" s="21"/>
    </row>
    <row r="541" spans="1:9" ht="15.75" customHeight="1" x14ac:dyDescent="0.3">
      <c r="A541" s="5"/>
      <c r="B541" s="29"/>
      <c r="C541" s="4"/>
      <c r="I541" s="21"/>
    </row>
    <row r="542" spans="1:9" ht="15.75" customHeight="1" x14ac:dyDescent="0.3">
      <c r="A542" s="5"/>
      <c r="B542" s="29"/>
      <c r="C542" s="4"/>
      <c r="I542" s="21"/>
    </row>
    <row r="543" spans="1:9" ht="15.75" customHeight="1" x14ac:dyDescent="0.3">
      <c r="A543" s="5"/>
      <c r="B543" s="29"/>
      <c r="C543" s="4"/>
      <c r="I543" s="21"/>
    </row>
    <row r="544" spans="1:9" ht="15.75" customHeight="1" x14ac:dyDescent="0.3">
      <c r="A544" s="5"/>
      <c r="B544" s="29"/>
      <c r="C544" s="4"/>
      <c r="I544" s="21"/>
    </row>
    <row r="545" spans="1:9" ht="15.75" customHeight="1" x14ac:dyDescent="0.3">
      <c r="A545" s="5"/>
      <c r="B545" s="29"/>
      <c r="C545" s="4"/>
      <c r="I545" s="21"/>
    </row>
    <row r="546" spans="1:9" ht="15.75" customHeight="1" x14ac:dyDescent="0.3">
      <c r="A546" s="5"/>
      <c r="B546" s="29"/>
      <c r="C546" s="4"/>
      <c r="I546" s="21"/>
    </row>
    <row r="547" spans="1:9" ht="15.75" customHeight="1" x14ac:dyDescent="0.3">
      <c r="A547" s="5"/>
      <c r="B547" s="29"/>
      <c r="C547" s="4"/>
      <c r="I547" s="21"/>
    </row>
    <row r="548" spans="1:9" ht="15.75" customHeight="1" x14ac:dyDescent="0.3">
      <c r="A548" s="5"/>
      <c r="B548" s="29"/>
      <c r="C548" s="4"/>
      <c r="I548" s="21"/>
    </row>
    <row r="549" spans="1:9" ht="15.75" customHeight="1" x14ac:dyDescent="0.3">
      <c r="A549" s="5"/>
      <c r="B549" s="29"/>
      <c r="C549" s="4"/>
      <c r="I549" s="21"/>
    </row>
    <row r="550" spans="1:9" ht="15.75" customHeight="1" x14ac:dyDescent="0.3">
      <c r="A550" s="5"/>
      <c r="B550" s="29"/>
      <c r="C550" s="4"/>
      <c r="I550" s="21"/>
    </row>
    <row r="551" spans="1:9" ht="15.75" customHeight="1" x14ac:dyDescent="0.3">
      <c r="A551" s="5"/>
      <c r="B551" s="29"/>
      <c r="C551" s="4"/>
      <c r="I551" s="21"/>
    </row>
    <row r="552" spans="1:9" ht="15.75" customHeight="1" x14ac:dyDescent="0.3">
      <c r="A552" s="5"/>
      <c r="B552" s="29"/>
      <c r="C552" s="4"/>
      <c r="I552" s="21"/>
    </row>
    <row r="553" spans="1:9" ht="15.75" customHeight="1" x14ac:dyDescent="0.3">
      <c r="A553" s="5"/>
      <c r="B553" s="29"/>
      <c r="C553" s="4"/>
      <c r="I553" s="21"/>
    </row>
    <row r="554" spans="1:9" ht="15.75" customHeight="1" x14ac:dyDescent="0.3">
      <c r="A554" s="5"/>
      <c r="B554" s="29"/>
      <c r="C554" s="4"/>
      <c r="I554" s="21"/>
    </row>
    <row r="555" spans="1:9" ht="15.75" customHeight="1" x14ac:dyDescent="0.3">
      <c r="A555" s="5"/>
      <c r="B555" s="29"/>
      <c r="C555" s="4"/>
      <c r="I555" s="21"/>
    </row>
    <row r="556" spans="1:9" ht="15.75" customHeight="1" x14ac:dyDescent="0.3">
      <c r="A556" s="5"/>
      <c r="B556" s="29"/>
      <c r="C556" s="4"/>
      <c r="I556" s="21"/>
    </row>
    <row r="557" spans="1:9" ht="15.75" customHeight="1" x14ac:dyDescent="0.3">
      <c r="A557" s="5"/>
      <c r="B557" s="29"/>
      <c r="C557" s="4"/>
      <c r="I557" s="21"/>
    </row>
    <row r="558" spans="1:9" ht="15.75" customHeight="1" x14ac:dyDescent="0.3">
      <c r="A558" s="5"/>
      <c r="B558" s="29"/>
      <c r="C558" s="4"/>
      <c r="I558" s="21"/>
    </row>
    <row r="559" spans="1:9" ht="15.75" customHeight="1" x14ac:dyDescent="0.3">
      <c r="A559" s="5"/>
      <c r="B559" s="29"/>
      <c r="C559" s="4"/>
      <c r="I559" s="21"/>
    </row>
    <row r="560" spans="1:9" ht="15.75" customHeight="1" x14ac:dyDescent="0.3">
      <c r="A560" s="5"/>
      <c r="B560" s="29"/>
      <c r="C560" s="4"/>
      <c r="I560" s="21"/>
    </row>
    <row r="561" spans="1:9" ht="15.75" customHeight="1" x14ac:dyDescent="0.3">
      <c r="A561" s="5"/>
      <c r="B561" s="29"/>
      <c r="C561" s="4"/>
      <c r="I561" s="21"/>
    </row>
    <row r="562" spans="1:9" ht="15.75" customHeight="1" x14ac:dyDescent="0.3">
      <c r="A562" s="5"/>
      <c r="B562" s="29"/>
      <c r="C562" s="4"/>
      <c r="I562" s="21"/>
    </row>
    <row r="563" spans="1:9" ht="15.75" customHeight="1" x14ac:dyDescent="0.3">
      <c r="A563" s="5"/>
      <c r="B563" s="29"/>
      <c r="C563" s="4"/>
      <c r="I563" s="21"/>
    </row>
    <row r="564" spans="1:9" ht="15.75" customHeight="1" x14ac:dyDescent="0.3">
      <c r="A564" s="5"/>
      <c r="B564" s="29"/>
      <c r="C564" s="4"/>
      <c r="I564" s="21"/>
    </row>
    <row r="565" spans="1:9" ht="15.75" customHeight="1" x14ac:dyDescent="0.3">
      <c r="A565" s="5"/>
      <c r="B565" s="29"/>
      <c r="C565" s="4"/>
      <c r="I565" s="21"/>
    </row>
    <row r="566" spans="1:9" ht="15.75" customHeight="1" x14ac:dyDescent="0.3">
      <c r="A566" s="5"/>
      <c r="B566" s="29"/>
      <c r="C566" s="4"/>
      <c r="I566" s="21"/>
    </row>
    <row r="567" spans="1:9" ht="15.75" customHeight="1" x14ac:dyDescent="0.3">
      <c r="A567" s="5"/>
      <c r="B567" s="29"/>
      <c r="C567" s="4"/>
      <c r="I567" s="21"/>
    </row>
    <row r="568" spans="1:9" ht="15.75" customHeight="1" x14ac:dyDescent="0.3">
      <c r="A568" s="5"/>
      <c r="B568" s="29"/>
      <c r="C568" s="4"/>
      <c r="I568" s="21"/>
    </row>
    <row r="569" spans="1:9" ht="15.75" customHeight="1" x14ac:dyDescent="0.3">
      <c r="A569" s="5"/>
      <c r="B569" s="29"/>
      <c r="C569" s="4"/>
      <c r="I569" s="21"/>
    </row>
    <row r="570" spans="1:9" ht="15.75" customHeight="1" x14ac:dyDescent="0.3">
      <c r="A570" s="5"/>
      <c r="B570" s="29"/>
      <c r="C570" s="4"/>
      <c r="I570" s="21"/>
    </row>
    <row r="571" spans="1:9" ht="15.75" customHeight="1" x14ac:dyDescent="0.3">
      <c r="A571" s="5"/>
      <c r="B571" s="29"/>
      <c r="C571" s="4"/>
      <c r="I571" s="21"/>
    </row>
    <row r="572" spans="1:9" ht="15.75" customHeight="1" x14ac:dyDescent="0.3">
      <c r="A572" s="5"/>
      <c r="B572" s="29"/>
      <c r="C572" s="4"/>
      <c r="I572" s="21"/>
    </row>
    <row r="573" spans="1:9" ht="15.75" customHeight="1" x14ac:dyDescent="0.3">
      <c r="A573" s="5"/>
      <c r="B573" s="29"/>
      <c r="C573" s="4"/>
      <c r="I573" s="21"/>
    </row>
    <row r="574" spans="1:9" ht="15.75" customHeight="1" x14ac:dyDescent="0.3">
      <c r="A574" s="5"/>
      <c r="B574" s="29"/>
      <c r="C574" s="4"/>
      <c r="I574" s="21"/>
    </row>
    <row r="575" spans="1:9" ht="15.75" customHeight="1" x14ac:dyDescent="0.3">
      <c r="A575" s="5"/>
      <c r="B575" s="29"/>
      <c r="C575" s="4"/>
      <c r="I575" s="21"/>
    </row>
    <row r="576" spans="1:9" ht="15.75" customHeight="1" x14ac:dyDescent="0.3">
      <c r="A576" s="5"/>
      <c r="B576" s="29"/>
      <c r="C576" s="4"/>
      <c r="I576" s="21"/>
    </row>
    <row r="577" spans="1:9" ht="15.75" customHeight="1" x14ac:dyDescent="0.3">
      <c r="A577" s="5"/>
      <c r="B577" s="29"/>
      <c r="C577" s="4"/>
      <c r="I577" s="21"/>
    </row>
    <row r="578" spans="1:9" ht="15.75" customHeight="1" x14ac:dyDescent="0.3">
      <c r="A578" s="5"/>
      <c r="B578" s="29"/>
      <c r="C578" s="4"/>
      <c r="I578" s="21"/>
    </row>
    <row r="579" spans="1:9" ht="15.75" customHeight="1" x14ac:dyDescent="0.3">
      <c r="A579" s="5"/>
      <c r="B579" s="29"/>
      <c r="C579" s="4"/>
      <c r="I579" s="21"/>
    </row>
    <row r="580" spans="1:9" ht="15.75" customHeight="1" x14ac:dyDescent="0.3">
      <c r="A580" s="5"/>
      <c r="B580" s="29"/>
      <c r="C580" s="4"/>
      <c r="I580" s="21"/>
    </row>
    <row r="581" spans="1:9" ht="15.75" customHeight="1" x14ac:dyDescent="0.3">
      <c r="A581" s="5"/>
      <c r="B581" s="29"/>
      <c r="C581" s="4"/>
      <c r="I581" s="21"/>
    </row>
    <row r="582" spans="1:9" ht="15.75" customHeight="1" x14ac:dyDescent="0.3">
      <c r="A582" s="5"/>
      <c r="B582" s="29"/>
      <c r="C582" s="4"/>
      <c r="I582" s="21"/>
    </row>
    <row r="583" spans="1:9" ht="15.75" customHeight="1" x14ac:dyDescent="0.3">
      <c r="A583" s="5"/>
      <c r="B583" s="29"/>
      <c r="C583" s="4"/>
      <c r="I583" s="21"/>
    </row>
    <row r="584" spans="1:9" ht="15.75" customHeight="1" x14ac:dyDescent="0.3">
      <c r="A584" s="5"/>
      <c r="B584" s="29"/>
      <c r="C584" s="4"/>
      <c r="I584" s="21"/>
    </row>
    <row r="585" spans="1:9" ht="15.75" customHeight="1" x14ac:dyDescent="0.3">
      <c r="A585" s="5"/>
      <c r="B585" s="29"/>
      <c r="C585" s="4"/>
      <c r="I585" s="21"/>
    </row>
    <row r="586" spans="1:9" ht="15.75" customHeight="1" x14ac:dyDescent="0.3">
      <c r="A586" s="5"/>
      <c r="B586" s="29"/>
      <c r="C586" s="4"/>
      <c r="I586" s="21"/>
    </row>
    <row r="587" spans="1:9" ht="15.75" customHeight="1" x14ac:dyDescent="0.3">
      <c r="A587" s="5"/>
      <c r="B587" s="29"/>
      <c r="C587" s="4"/>
      <c r="I587" s="21"/>
    </row>
    <row r="588" spans="1:9" ht="15.75" customHeight="1" x14ac:dyDescent="0.3">
      <c r="A588" s="5"/>
      <c r="B588" s="29"/>
      <c r="C588" s="4"/>
      <c r="I588" s="21"/>
    </row>
    <row r="589" spans="1:9" ht="15.75" customHeight="1" x14ac:dyDescent="0.3">
      <c r="A589" s="5"/>
      <c r="B589" s="29"/>
      <c r="C589" s="4"/>
      <c r="I589" s="21"/>
    </row>
    <row r="590" spans="1:9" ht="15.75" customHeight="1" x14ac:dyDescent="0.3">
      <c r="A590" s="5"/>
      <c r="B590" s="29"/>
      <c r="C590" s="4"/>
      <c r="I590" s="21"/>
    </row>
    <row r="591" spans="1:9" ht="15.75" customHeight="1" x14ac:dyDescent="0.3">
      <c r="A591" s="5"/>
      <c r="B591" s="29"/>
      <c r="C591" s="4"/>
      <c r="I591" s="21"/>
    </row>
    <row r="592" spans="1:9" ht="15.75" customHeight="1" x14ac:dyDescent="0.3">
      <c r="A592" s="5"/>
      <c r="B592" s="29"/>
      <c r="C592" s="4"/>
      <c r="I592" s="21"/>
    </row>
    <row r="593" spans="1:9" ht="15.75" customHeight="1" x14ac:dyDescent="0.3">
      <c r="A593" s="5"/>
      <c r="B593" s="29"/>
      <c r="C593" s="4"/>
      <c r="I593" s="21"/>
    </row>
    <row r="594" spans="1:9" ht="15.75" customHeight="1" x14ac:dyDescent="0.3">
      <c r="A594" s="5"/>
      <c r="B594" s="29"/>
      <c r="C594" s="4"/>
      <c r="I594" s="21"/>
    </row>
    <row r="595" spans="1:9" ht="15.75" customHeight="1" x14ac:dyDescent="0.3">
      <c r="A595" s="5"/>
      <c r="B595" s="29"/>
      <c r="C595" s="4"/>
      <c r="I595" s="21"/>
    </row>
    <row r="596" spans="1:9" ht="15.75" customHeight="1" x14ac:dyDescent="0.3">
      <c r="A596" s="5"/>
      <c r="B596" s="29"/>
      <c r="C596" s="4"/>
      <c r="I596" s="21"/>
    </row>
    <row r="597" spans="1:9" ht="15.75" customHeight="1" x14ac:dyDescent="0.3">
      <c r="A597" s="5"/>
      <c r="B597" s="29"/>
      <c r="C597" s="4"/>
      <c r="I597" s="21"/>
    </row>
    <row r="598" spans="1:9" ht="15.75" customHeight="1" x14ac:dyDescent="0.3">
      <c r="A598" s="5"/>
      <c r="B598" s="29"/>
      <c r="C598" s="4"/>
      <c r="I598" s="21"/>
    </row>
    <row r="599" spans="1:9" ht="15.75" customHeight="1" x14ac:dyDescent="0.3">
      <c r="A599" s="5"/>
      <c r="B599" s="29"/>
      <c r="C599" s="4"/>
      <c r="I599" s="21"/>
    </row>
    <row r="600" spans="1:9" ht="15.75" customHeight="1" x14ac:dyDescent="0.3">
      <c r="A600" s="5"/>
      <c r="B600" s="29"/>
      <c r="C600" s="4"/>
      <c r="I600" s="21"/>
    </row>
    <row r="601" spans="1:9" ht="15.75" customHeight="1" x14ac:dyDescent="0.3">
      <c r="A601" s="5"/>
      <c r="B601" s="29"/>
      <c r="C601" s="4"/>
      <c r="I601" s="21"/>
    </row>
    <row r="602" spans="1:9" ht="15.75" customHeight="1" x14ac:dyDescent="0.3">
      <c r="A602" s="5"/>
      <c r="B602" s="29"/>
      <c r="C602" s="4"/>
      <c r="I602" s="21"/>
    </row>
    <row r="603" spans="1:9" ht="15.75" customHeight="1" x14ac:dyDescent="0.3">
      <c r="A603" s="5"/>
      <c r="B603" s="29"/>
      <c r="C603" s="4"/>
      <c r="I603" s="21"/>
    </row>
    <row r="604" spans="1:9" ht="15.75" customHeight="1" x14ac:dyDescent="0.3">
      <c r="A604" s="5"/>
      <c r="B604" s="29"/>
      <c r="C604" s="4"/>
      <c r="I604" s="21"/>
    </row>
    <row r="605" spans="1:9" ht="15.75" customHeight="1" x14ac:dyDescent="0.3">
      <c r="A605" s="5"/>
      <c r="B605" s="29"/>
      <c r="C605" s="4"/>
      <c r="I605" s="21"/>
    </row>
    <row r="606" spans="1:9" ht="15.75" customHeight="1" x14ac:dyDescent="0.3">
      <c r="A606" s="5"/>
      <c r="B606" s="29"/>
      <c r="C606" s="4"/>
      <c r="I606" s="21"/>
    </row>
    <row r="607" spans="1:9" ht="15.75" customHeight="1" x14ac:dyDescent="0.3">
      <c r="A607" s="5"/>
      <c r="B607" s="29"/>
      <c r="C607" s="4"/>
      <c r="I607" s="21"/>
    </row>
    <row r="608" spans="1:9" ht="15.75" customHeight="1" x14ac:dyDescent="0.3">
      <c r="A608" s="5"/>
      <c r="B608" s="29"/>
      <c r="C608" s="4"/>
      <c r="I608" s="21"/>
    </row>
    <row r="609" spans="1:9" ht="15.75" customHeight="1" x14ac:dyDescent="0.3">
      <c r="A609" s="5"/>
      <c r="B609" s="29"/>
      <c r="C609" s="4"/>
      <c r="I609" s="21"/>
    </row>
    <row r="610" spans="1:9" ht="15.75" customHeight="1" x14ac:dyDescent="0.3">
      <c r="A610" s="5"/>
      <c r="B610" s="29"/>
      <c r="C610" s="4"/>
      <c r="I610" s="21"/>
    </row>
    <row r="611" spans="1:9" ht="15.75" customHeight="1" x14ac:dyDescent="0.3">
      <c r="A611" s="5"/>
      <c r="B611" s="29"/>
      <c r="C611" s="4"/>
      <c r="I611" s="21"/>
    </row>
    <row r="612" spans="1:9" ht="15.75" customHeight="1" x14ac:dyDescent="0.3">
      <c r="A612" s="5"/>
      <c r="B612" s="29"/>
      <c r="C612" s="4"/>
      <c r="I612" s="21"/>
    </row>
    <row r="613" spans="1:9" ht="15.75" customHeight="1" x14ac:dyDescent="0.3">
      <c r="A613" s="5"/>
      <c r="B613" s="29"/>
      <c r="C613" s="4"/>
      <c r="I613" s="21"/>
    </row>
    <row r="614" spans="1:9" ht="15.75" customHeight="1" x14ac:dyDescent="0.3">
      <c r="A614" s="5"/>
      <c r="B614" s="29"/>
      <c r="C614" s="4"/>
      <c r="I614" s="21"/>
    </row>
    <row r="615" spans="1:9" ht="15.75" customHeight="1" x14ac:dyDescent="0.3">
      <c r="A615" s="5"/>
      <c r="B615" s="29"/>
      <c r="C615" s="4"/>
      <c r="I615" s="21"/>
    </row>
    <row r="616" spans="1:9" ht="15.75" customHeight="1" x14ac:dyDescent="0.3">
      <c r="A616" s="5"/>
      <c r="B616" s="29"/>
      <c r="C616" s="4"/>
      <c r="I616" s="21"/>
    </row>
    <row r="617" spans="1:9" ht="15.75" customHeight="1" x14ac:dyDescent="0.3">
      <c r="A617" s="5"/>
      <c r="B617" s="29"/>
      <c r="C617" s="4"/>
      <c r="I617" s="21"/>
    </row>
    <row r="618" spans="1:9" ht="15.75" customHeight="1" x14ac:dyDescent="0.3">
      <c r="A618" s="5"/>
      <c r="B618" s="29"/>
      <c r="C618" s="4"/>
      <c r="I618" s="21"/>
    </row>
    <row r="619" spans="1:9" ht="15.75" customHeight="1" x14ac:dyDescent="0.3">
      <c r="A619" s="5"/>
      <c r="B619" s="29"/>
      <c r="C619" s="4"/>
      <c r="I619" s="21"/>
    </row>
    <row r="620" spans="1:9" ht="15.75" customHeight="1" x14ac:dyDescent="0.3">
      <c r="A620" s="5"/>
      <c r="B620" s="29"/>
      <c r="C620" s="4"/>
      <c r="I620" s="21"/>
    </row>
    <row r="621" spans="1:9" ht="15.75" customHeight="1" x14ac:dyDescent="0.3">
      <c r="A621" s="5"/>
      <c r="B621" s="29"/>
      <c r="C621" s="4"/>
      <c r="I621" s="21"/>
    </row>
    <row r="622" spans="1:9" ht="15.75" customHeight="1" x14ac:dyDescent="0.3">
      <c r="A622" s="5"/>
      <c r="B622" s="29"/>
      <c r="C622" s="4"/>
      <c r="I622" s="21"/>
    </row>
    <row r="623" spans="1:9" ht="15.75" customHeight="1" x14ac:dyDescent="0.3">
      <c r="A623" s="5"/>
      <c r="B623" s="29"/>
      <c r="C623" s="4"/>
      <c r="I623" s="21"/>
    </row>
    <row r="624" spans="1:9" ht="15.75" customHeight="1" x14ac:dyDescent="0.3">
      <c r="A624" s="5"/>
      <c r="B624" s="29"/>
      <c r="C624" s="4"/>
      <c r="I624" s="21"/>
    </row>
    <row r="625" spans="1:9" ht="15.75" customHeight="1" x14ac:dyDescent="0.3">
      <c r="A625" s="5"/>
      <c r="B625" s="29"/>
      <c r="C625" s="4"/>
      <c r="I625" s="21"/>
    </row>
    <row r="626" spans="1:9" ht="15.75" customHeight="1" x14ac:dyDescent="0.3">
      <c r="A626" s="5"/>
      <c r="B626" s="29"/>
      <c r="C626" s="4"/>
      <c r="I626" s="21"/>
    </row>
    <row r="627" spans="1:9" ht="15.75" customHeight="1" x14ac:dyDescent="0.3">
      <c r="A627" s="5"/>
      <c r="B627" s="29"/>
      <c r="C627" s="4"/>
      <c r="I627" s="21"/>
    </row>
    <row r="628" spans="1:9" ht="15.75" customHeight="1" x14ac:dyDescent="0.3">
      <c r="A628" s="5"/>
      <c r="B628" s="29"/>
      <c r="C628" s="4"/>
      <c r="I628" s="21"/>
    </row>
    <row r="629" spans="1:9" ht="15.75" customHeight="1" x14ac:dyDescent="0.3">
      <c r="A629" s="5"/>
      <c r="B629" s="29"/>
      <c r="C629" s="4"/>
      <c r="I629" s="21"/>
    </row>
    <row r="630" spans="1:9" ht="15.75" customHeight="1" x14ac:dyDescent="0.3">
      <c r="A630" s="5"/>
      <c r="B630" s="29"/>
      <c r="C630" s="4"/>
      <c r="I630" s="21"/>
    </row>
    <row r="631" spans="1:9" ht="15.75" customHeight="1" x14ac:dyDescent="0.3">
      <c r="A631" s="5"/>
      <c r="B631" s="29"/>
      <c r="C631" s="4"/>
      <c r="I631" s="21"/>
    </row>
    <row r="632" spans="1:9" ht="15.75" customHeight="1" x14ac:dyDescent="0.3">
      <c r="A632" s="5"/>
      <c r="B632" s="29"/>
      <c r="C632" s="4"/>
      <c r="I632" s="21"/>
    </row>
    <row r="633" spans="1:9" ht="15.75" customHeight="1" x14ac:dyDescent="0.3">
      <c r="A633" s="5"/>
      <c r="B633" s="29"/>
      <c r="C633" s="4"/>
      <c r="I633" s="21"/>
    </row>
    <row r="634" spans="1:9" ht="15.75" customHeight="1" x14ac:dyDescent="0.3">
      <c r="A634" s="5"/>
      <c r="B634" s="29"/>
      <c r="C634" s="4"/>
      <c r="I634" s="21"/>
    </row>
    <row r="635" spans="1:9" ht="15.75" customHeight="1" x14ac:dyDescent="0.3">
      <c r="A635" s="5"/>
      <c r="B635" s="29"/>
      <c r="C635" s="4"/>
      <c r="I635" s="21"/>
    </row>
    <row r="636" spans="1:9" ht="15.75" customHeight="1" x14ac:dyDescent="0.3">
      <c r="A636" s="5"/>
      <c r="B636" s="29"/>
      <c r="C636" s="4"/>
      <c r="I636" s="21"/>
    </row>
    <row r="637" spans="1:9" ht="15.75" customHeight="1" x14ac:dyDescent="0.3">
      <c r="A637" s="5"/>
      <c r="B637" s="29"/>
      <c r="C637" s="4"/>
      <c r="I637" s="21"/>
    </row>
    <row r="638" spans="1:9" ht="15.75" customHeight="1" x14ac:dyDescent="0.3">
      <c r="A638" s="5"/>
      <c r="B638" s="29"/>
      <c r="C638" s="4"/>
      <c r="I638" s="21"/>
    </row>
    <row r="639" spans="1:9" ht="15.75" customHeight="1" x14ac:dyDescent="0.3">
      <c r="A639" s="5"/>
      <c r="B639" s="29"/>
      <c r="C639" s="4"/>
      <c r="I639" s="21"/>
    </row>
    <row r="640" spans="1:9" ht="15.75" customHeight="1" x14ac:dyDescent="0.3">
      <c r="A640" s="5"/>
      <c r="B640" s="29"/>
      <c r="C640" s="4"/>
      <c r="I640" s="21"/>
    </row>
    <row r="641" spans="1:9" ht="15.75" customHeight="1" x14ac:dyDescent="0.3">
      <c r="A641" s="5"/>
      <c r="B641" s="29"/>
      <c r="C641" s="4"/>
      <c r="I641" s="21"/>
    </row>
    <row r="642" spans="1:9" ht="15.75" customHeight="1" x14ac:dyDescent="0.3">
      <c r="A642" s="5"/>
      <c r="B642" s="29"/>
      <c r="C642" s="4"/>
      <c r="I642" s="21"/>
    </row>
    <row r="643" spans="1:9" ht="15.75" customHeight="1" x14ac:dyDescent="0.3">
      <c r="A643" s="5"/>
      <c r="B643" s="29"/>
      <c r="C643" s="4"/>
      <c r="I643" s="21"/>
    </row>
    <row r="644" spans="1:9" ht="15.75" customHeight="1" x14ac:dyDescent="0.3">
      <c r="A644" s="5"/>
      <c r="B644" s="29"/>
      <c r="C644" s="4"/>
      <c r="I644" s="21"/>
    </row>
    <row r="645" spans="1:9" ht="15.75" customHeight="1" x14ac:dyDescent="0.3">
      <c r="A645" s="5"/>
      <c r="B645" s="29"/>
      <c r="C645" s="4"/>
      <c r="I645" s="21"/>
    </row>
    <row r="646" spans="1:9" ht="15.75" customHeight="1" x14ac:dyDescent="0.3">
      <c r="A646" s="5"/>
      <c r="B646" s="29"/>
      <c r="C646" s="4"/>
      <c r="I646" s="21"/>
    </row>
    <row r="647" spans="1:9" ht="15.75" customHeight="1" x14ac:dyDescent="0.3">
      <c r="A647" s="5"/>
      <c r="B647" s="29"/>
      <c r="C647" s="4"/>
      <c r="I647" s="21"/>
    </row>
    <row r="648" spans="1:9" ht="15.75" customHeight="1" x14ac:dyDescent="0.3">
      <c r="A648" s="5"/>
      <c r="B648" s="29"/>
      <c r="C648" s="4"/>
      <c r="I648" s="21"/>
    </row>
    <row r="649" spans="1:9" ht="15.75" customHeight="1" x14ac:dyDescent="0.3">
      <c r="A649" s="5"/>
      <c r="B649" s="29"/>
      <c r="C649" s="4"/>
      <c r="I649" s="21"/>
    </row>
    <row r="650" spans="1:9" ht="15.75" customHeight="1" x14ac:dyDescent="0.3">
      <c r="A650" s="5"/>
      <c r="B650" s="29"/>
      <c r="C650" s="4"/>
      <c r="I650" s="21"/>
    </row>
    <row r="651" spans="1:9" ht="15.75" customHeight="1" x14ac:dyDescent="0.3">
      <c r="A651" s="5"/>
      <c r="B651" s="29"/>
      <c r="C651" s="4"/>
      <c r="I651" s="21"/>
    </row>
    <row r="652" spans="1:9" ht="15.75" customHeight="1" x14ac:dyDescent="0.3">
      <c r="A652" s="5"/>
      <c r="B652" s="29"/>
      <c r="C652" s="4"/>
      <c r="I652" s="21"/>
    </row>
    <row r="653" spans="1:9" ht="15.75" customHeight="1" x14ac:dyDescent="0.3">
      <c r="A653" s="5"/>
      <c r="B653" s="29"/>
      <c r="C653" s="4"/>
      <c r="I653" s="21"/>
    </row>
    <row r="654" spans="1:9" ht="15.75" customHeight="1" x14ac:dyDescent="0.3">
      <c r="A654" s="5"/>
      <c r="B654" s="29"/>
      <c r="C654" s="4"/>
      <c r="I654" s="21"/>
    </row>
    <row r="655" spans="1:9" ht="15.75" customHeight="1" x14ac:dyDescent="0.3">
      <c r="A655" s="5"/>
      <c r="B655" s="29"/>
      <c r="C655" s="4"/>
      <c r="I655" s="21"/>
    </row>
    <row r="656" spans="1:9" ht="15.75" customHeight="1" x14ac:dyDescent="0.3">
      <c r="A656" s="5"/>
      <c r="B656" s="29"/>
      <c r="C656" s="4"/>
      <c r="I656" s="21"/>
    </row>
    <row r="657" spans="1:9" ht="15.75" customHeight="1" x14ac:dyDescent="0.3">
      <c r="A657" s="5"/>
      <c r="B657" s="29"/>
      <c r="C657" s="4"/>
      <c r="I657" s="21"/>
    </row>
    <row r="658" spans="1:9" ht="15.75" customHeight="1" x14ac:dyDescent="0.3">
      <c r="A658" s="5"/>
      <c r="B658" s="29"/>
      <c r="C658" s="4"/>
      <c r="I658" s="21"/>
    </row>
    <row r="659" spans="1:9" ht="15.75" customHeight="1" x14ac:dyDescent="0.3">
      <c r="A659" s="5"/>
      <c r="B659" s="29"/>
      <c r="C659" s="4"/>
      <c r="I659" s="21"/>
    </row>
    <row r="660" spans="1:9" ht="15.75" customHeight="1" x14ac:dyDescent="0.3">
      <c r="A660" s="5"/>
      <c r="B660" s="29"/>
      <c r="C660" s="4"/>
      <c r="I660" s="21"/>
    </row>
    <row r="661" spans="1:9" ht="15.75" customHeight="1" x14ac:dyDescent="0.3">
      <c r="A661" s="5"/>
      <c r="B661" s="29"/>
      <c r="C661" s="4"/>
      <c r="I661" s="21"/>
    </row>
    <row r="662" spans="1:9" ht="15.75" customHeight="1" x14ac:dyDescent="0.3">
      <c r="A662" s="5"/>
      <c r="B662" s="29"/>
      <c r="C662" s="4"/>
      <c r="I662" s="21"/>
    </row>
    <row r="663" spans="1:9" ht="15.75" customHeight="1" x14ac:dyDescent="0.3">
      <c r="A663" s="5"/>
      <c r="B663" s="29"/>
      <c r="C663" s="4"/>
      <c r="I663" s="21"/>
    </row>
    <row r="664" spans="1:9" ht="15.75" customHeight="1" x14ac:dyDescent="0.3">
      <c r="A664" s="5"/>
      <c r="B664" s="29"/>
      <c r="C664" s="4"/>
      <c r="I664" s="21"/>
    </row>
    <row r="665" spans="1:9" ht="15.75" customHeight="1" x14ac:dyDescent="0.3">
      <c r="A665" s="5"/>
      <c r="B665" s="29"/>
      <c r="C665" s="4"/>
      <c r="I665" s="21"/>
    </row>
    <row r="666" spans="1:9" ht="15.75" customHeight="1" x14ac:dyDescent="0.3">
      <c r="A666" s="5"/>
      <c r="B666" s="29"/>
      <c r="C666" s="4"/>
      <c r="I666" s="21"/>
    </row>
    <row r="667" spans="1:9" ht="15.75" customHeight="1" x14ac:dyDescent="0.3">
      <c r="A667" s="5"/>
      <c r="B667" s="29"/>
      <c r="C667" s="4"/>
      <c r="I667" s="21"/>
    </row>
    <row r="668" spans="1:9" ht="15.75" customHeight="1" x14ac:dyDescent="0.3">
      <c r="A668" s="5"/>
      <c r="B668" s="29"/>
      <c r="C668" s="4"/>
      <c r="I668" s="21"/>
    </row>
    <row r="669" spans="1:9" ht="15.75" customHeight="1" x14ac:dyDescent="0.3">
      <c r="A669" s="5"/>
      <c r="B669" s="29"/>
      <c r="C669" s="4"/>
      <c r="I669" s="21"/>
    </row>
    <row r="670" spans="1:9" ht="15.75" customHeight="1" x14ac:dyDescent="0.3">
      <c r="A670" s="5"/>
      <c r="B670" s="29"/>
      <c r="C670" s="4"/>
      <c r="I670" s="21"/>
    </row>
    <row r="671" spans="1:9" ht="15.75" customHeight="1" x14ac:dyDescent="0.3">
      <c r="A671" s="5"/>
      <c r="B671" s="29"/>
      <c r="C671" s="4"/>
      <c r="I671" s="21"/>
    </row>
    <row r="672" spans="1:9" ht="15.75" customHeight="1" x14ac:dyDescent="0.3">
      <c r="A672" s="5"/>
      <c r="B672" s="29"/>
      <c r="C672" s="4"/>
      <c r="I672" s="21"/>
    </row>
    <row r="673" spans="1:9" ht="15.75" customHeight="1" x14ac:dyDescent="0.3">
      <c r="A673" s="5"/>
      <c r="B673" s="29"/>
      <c r="C673" s="4"/>
      <c r="I673" s="21"/>
    </row>
    <row r="674" spans="1:9" ht="15.75" customHeight="1" x14ac:dyDescent="0.3">
      <c r="A674" s="5"/>
      <c r="B674" s="29"/>
      <c r="C674" s="4"/>
      <c r="I674" s="21"/>
    </row>
    <row r="675" spans="1:9" ht="15.75" customHeight="1" x14ac:dyDescent="0.3">
      <c r="A675" s="5"/>
      <c r="B675" s="29"/>
      <c r="C675" s="4"/>
      <c r="I675" s="21"/>
    </row>
    <row r="676" spans="1:9" ht="15.75" customHeight="1" x14ac:dyDescent="0.3">
      <c r="A676" s="5"/>
      <c r="B676" s="29"/>
      <c r="C676" s="4"/>
      <c r="I676" s="21"/>
    </row>
    <row r="677" spans="1:9" ht="15.75" customHeight="1" x14ac:dyDescent="0.3">
      <c r="A677" s="5"/>
      <c r="B677" s="29"/>
      <c r="C677" s="4"/>
      <c r="I677" s="21"/>
    </row>
    <row r="678" spans="1:9" ht="15.75" customHeight="1" x14ac:dyDescent="0.3">
      <c r="A678" s="5"/>
      <c r="B678" s="29"/>
      <c r="C678" s="4"/>
      <c r="I678" s="21"/>
    </row>
    <row r="679" spans="1:9" ht="15.75" customHeight="1" x14ac:dyDescent="0.3">
      <c r="A679" s="5"/>
      <c r="B679" s="29"/>
      <c r="C679" s="4"/>
      <c r="I679" s="21"/>
    </row>
    <row r="680" spans="1:9" ht="15.75" customHeight="1" x14ac:dyDescent="0.3">
      <c r="A680" s="5"/>
      <c r="B680" s="29"/>
      <c r="C680" s="4"/>
      <c r="I680" s="21"/>
    </row>
    <row r="681" spans="1:9" ht="15.75" customHeight="1" x14ac:dyDescent="0.3">
      <c r="A681" s="5"/>
      <c r="B681" s="29"/>
      <c r="C681" s="4"/>
      <c r="I681" s="21"/>
    </row>
    <row r="682" spans="1:9" ht="15.75" customHeight="1" x14ac:dyDescent="0.3">
      <c r="A682" s="5"/>
      <c r="B682" s="29"/>
      <c r="C682" s="4"/>
      <c r="I682" s="21"/>
    </row>
    <row r="683" spans="1:9" ht="15.75" customHeight="1" x14ac:dyDescent="0.3">
      <c r="A683" s="5"/>
      <c r="B683" s="29"/>
      <c r="C683" s="4"/>
      <c r="I683" s="21"/>
    </row>
    <row r="684" spans="1:9" ht="15.75" customHeight="1" x14ac:dyDescent="0.3">
      <c r="A684" s="5"/>
      <c r="B684" s="29"/>
      <c r="C684" s="4"/>
      <c r="I684" s="21"/>
    </row>
    <row r="685" spans="1:9" ht="15.75" customHeight="1" x14ac:dyDescent="0.3">
      <c r="A685" s="5"/>
      <c r="B685" s="29"/>
      <c r="C685" s="4"/>
      <c r="I685" s="21"/>
    </row>
    <row r="686" spans="1:9" ht="15.75" customHeight="1" x14ac:dyDescent="0.3">
      <c r="A686" s="5"/>
      <c r="B686" s="29"/>
      <c r="C686" s="4"/>
      <c r="I686" s="21"/>
    </row>
    <row r="687" spans="1:9" ht="15.75" customHeight="1" x14ac:dyDescent="0.3">
      <c r="A687" s="5"/>
      <c r="B687" s="29"/>
      <c r="C687" s="4"/>
      <c r="I687" s="21"/>
    </row>
    <row r="688" spans="1:9" ht="15.75" customHeight="1" x14ac:dyDescent="0.3">
      <c r="A688" s="5"/>
      <c r="B688" s="29"/>
      <c r="C688" s="4"/>
      <c r="I688" s="21"/>
    </row>
    <row r="689" spans="1:9" ht="15.75" customHeight="1" x14ac:dyDescent="0.3">
      <c r="A689" s="5"/>
      <c r="B689" s="29"/>
      <c r="C689" s="4"/>
      <c r="I689" s="21"/>
    </row>
    <row r="690" spans="1:9" ht="15.75" customHeight="1" x14ac:dyDescent="0.3">
      <c r="A690" s="5"/>
      <c r="B690" s="29"/>
      <c r="C690" s="4"/>
      <c r="I690" s="21"/>
    </row>
    <row r="691" spans="1:9" ht="15.75" customHeight="1" x14ac:dyDescent="0.3">
      <c r="A691" s="5"/>
      <c r="B691" s="29"/>
      <c r="C691" s="4"/>
      <c r="I691" s="21"/>
    </row>
    <row r="692" spans="1:9" ht="15.75" customHeight="1" x14ac:dyDescent="0.3">
      <c r="A692" s="5"/>
      <c r="B692" s="29"/>
      <c r="C692" s="4"/>
      <c r="I692" s="21"/>
    </row>
    <row r="693" spans="1:9" ht="15.75" customHeight="1" x14ac:dyDescent="0.3">
      <c r="A693" s="5"/>
      <c r="B693" s="29"/>
      <c r="C693" s="4"/>
      <c r="I693" s="21"/>
    </row>
    <row r="694" spans="1:9" ht="15.75" customHeight="1" x14ac:dyDescent="0.3">
      <c r="A694" s="5"/>
      <c r="B694" s="29"/>
      <c r="C694" s="4"/>
      <c r="I694" s="21"/>
    </row>
    <row r="695" spans="1:9" ht="15.75" customHeight="1" x14ac:dyDescent="0.3">
      <c r="A695" s="5"/>
      <c r="B695" s="29"/>
      <c r="C695" s="4"/>
      <c r="I695" s="21"/>
    </row>
    <row r="696" spans="1:9" ht="15.75" customHeight="1" x14ac:dyDescent="0.3">
      <c r="A696" s="5"/>
      <c r="B696" s="29"/>
      <c r="C696" s="4"/>
      <c r="I696" s="21"/>
    </row>
    <row r="697" spans="1:9" ht="15.75" customHeight="1" x14ac:dyDescent="0.3">
      <c r="A697" s="5"/>
      <c r="B697" s="29"/>
      <c r="C697" s="4"/>
      <c r="I697" s="21"/>
    </row>
    <row r="698" spans="1:9" ht="15.75" customHeight="1" x14ac:dyDescent="0.3">
      <c r="A698" s="5"/>
      <c r="B698" s="29"/>
      <c r="C698" s="4"/>
      <c r="I698" s="21"/>
    </row>
    <row r="699" spans="1:9" ht="15.75" customHeight="1" x14ac:dyDescent="0.3">
      <c r="A699" s="5"/>
      <c r="B699" s="29"/>
      <c r="C699" s="4"/>
      <c r="I699" s="21"/>
    </row>
    <row r="700" spans="1:9" ht="15.75" customHeight="1" x14ac:dyDescent="0.3">
      <c r="A700" s="5"/>
      <c r="B700" s="29"/>
      <c r="C700" s="4"/>
      <c r="I700" s="21"/>
    </row>
    <row r="701" spans="1:9" ht="15.75" customHeight="1" x14ac:dyDescent="0.3">
      <c r="A701" s="5"/>
      <c r="B701" s="29"/>
      <c r="C701" s="4"/>
      <c r="I701" s="21"/>
    </row>
    <row r="702" spans="1:9" ht="15.75" customHeight="1" x14ac:dyDescent="0.3">
      <c r="A702" s="5"/>
      <c r="B702" s="29"/>
      <c r="C702" s="4"/>
      <c r="I702" s="21"/>
    </row>
    <row r="703" spans="1:9" ht="15.75" customHeight="1" x14ac:dyDescent="0.3">
      <c r="A703" s="5"/>
      <c r="B703" s="29"/>
      <c r="C703" s="4"/>
      <c r="I703" s="21"/>
    </row>
    <row r="704" spans="1:9" ht="15.75" customHeight="1" x14ac:dyDescent="0.3">
      <c r="A704" s="5"/>
      <c r="B704" s="29"/>
      <c r="C704" s="4"/>
      <c r="I704" s="21"/>
    </row>
    <row r="705" spans="1:9" ht="15.75" customHeight="1" x14ac:dyDescent="0.3">
      <c r="A705" s="5"/>
      <c r="B705" s="29"/>
      <c r="C705" s="4"/>
      <c r="I705" s="21"/>
    </row>
    <row r="706" spans="1:9" ht="15.75" customHeight="1" x14ac:dyDescent="0.3">
      <c r="A706" s="5"/>
      <c r="B706" s="29"/>
      <c r="C706" s="4"/>
      <c r="I706" s="21"/>
    </row>
    <row r="707" spans="1:9" ht="15.75" customHeight="1" x14ac:dyDescent="0.3">
      <c r="A707" s="5"/>
      <c r="B707" s="29"/>
      <c r="C707" s="4"/>
      <c r="I707" s="21"/>
    </row>
    <row r="708" spans="1:9" ht="15.75" customHeight="1" x14ac:dyDescent="0.3">
      <c r="A708" s="5"/>
      <c r="B708" s="29"/>
      <c r="C708" s="4"/>
      <c r="I708" s="21"/>
    </row>
    <row r="709" spans="1:9" ht="15.75" customHeight="1" x14ac:dyDescent="0.3">
      <c r="A709" s="5"/>
      <c r="B709" s="29"/>
      <c r="C709" s="4"/>
      <c r="I709" s="21"/>
    </row>
    <row r="710" spans="1:9" ht="15.75" customHeight="1" x14ac:dyDescent="0.3">
      <c r="A710" s="5"/>
      <c r="B710" s="29"/>
      <c r="C710" s="4"/>
      <c r="I710" s="21"/>
    </row>
    <row r="711" spans="1:9" ht="15.75" customHeight="1" x14ac:dyDescent="0.3">
      <c r="A711" s="5"/>
      <c r="B711" s="29"/>
      <c r="C711" s="4"/>
      <c r="I711" s="21"/>
    </row>
    <row r="712" spans="1:9" ht="15.75" customHeight="1" x14ac:dyDescent="0.3">
      <c r="A712" s="5"/>
      <c r="B712" s="29"/>
      <c r="C712" s="4"/>
      <c r="I712" s="21"/>
    </row>
    <row r="713" spans="1:9" ht="15.75" customHeight="1" x14ac:dyDescent="0.3">
      <c r="A713" s="5"/>
      <c r="B713" s="29"/>
      <c r="C713" s="4"/>
      <c r="I713" s="21"/>
    </row>
    <row r="714" spans="1:9" ht="15.75" customHeight="1" x14ac:dyDescent="0.3">
      <c r="A714" s="5"/>
      <c r="B714" s="29"/>
      <c r="C714" s="4"/>
      <c r="I714" s="21"/>
    </row>
    <row r="715" spans="1:9" ht="15.75" customHeight="1" x14ac:dyDescent="0.3">
      <c r="A715" s="5"/>
      <c r="B715" s="29"/>
      <c r="C715" s="4"/>
      <c r="I715" s="21"/>
    </row>
    <row r="716" spans="1:9" ht="15.75" customHeight="1" x14ac:dyDescent="0.3">
      <c r="A716" s="5"/>
      <c r="B716" s="29"/>
      <c r="C716" s="4"/>
      <c r="I716" s="21"/>
    </row>
    <row r="717" spans="1:9" ht="15.75" customHeight="1" x14ac:dyDescent="0.3">
      <c r="A717" s="5"/>
      <c r="B717" s="29"/>
      <c r="C717" s="4"/>
      <c r="I717" s="21"/>
    </row>
    <row r="718" spans="1:9" ht="15.75" customHeight="1" x14ac:dyDescent="0.3">
      <c r="A718" s="5"/>
      <c r="B718" s="29"/>
      <c r="C718" s="4"/>
      <c r="I718" s="21"/>
    </row>
    <row r="719" spans="1:9" ht="15.75" customHeight="1" x14ac:dyDescent="0.3">
      <c r="A719" s="5"/>
      <c r="B719" s="29"/>
      <c r="C719" s="4"/>
      <c r="I719" s="21"/>
    </row>
    <row r="720" spans="1:9" ht="15.75" customHeight="1" x14ac:dyDescent="0.3">
      <c r="A720" s="5"/>
      <c r="B720" s="29"/>
      <c r="C720" s="4"/>
      <c r="I720" s="21"/>
    </row>
    <row r="721" spans="1:9" ht="15.75" customHeight="1" x14ac:dyDescent="0.3">
      <c r="A721" s="5"/>
      <c r="B721" s="29"/>
      <c r="C721" s="4"/>
      <c r="I721" s="21"/>
    </row>
    <row r="722" spans="1:9" ht="15.75" customHeight="1" x14ac:dyDescent="0.3">
      <c r="A722" s="5"/>
      <c r="B722" s="29"/>
      <c r="C722" s="4"/>
      <c r="I722" s="21"/>
    </row>
    <row r="723" spans="1:9" ht="15.75" customHeight="1" x14ac:dyDescent="0.3">
      <c r="A723" s="5"/>
      <c r="B723" s="29"/>
      <c r="C723" s="4"/>
      <c r="I723" s="21"/>
    </row>
    <row r="724" spans="1:9" ht="15.75" customHeight="1" x14ac:dyDescent="0.3">
      <c r="A724" s="5"/>
      <c r="B724" s="29"/>
      <c r="C724" s="4"/>
      <c r="I724" s="21"/>
    </row>
    <row r="725" spans="1:9" ht="15.75" customHeight="1" x14ac:dyDescent="0.3">
      <c r="A725" s="5"/>
      <c r="B725" s="29"/>
      <c r="C725" s="4"/>
      <c r="I725" s="21"/>
    </row>
    <row r="726" spans="1:9" ht="15.75" customHeight="1" x14ac:dyDescent="0.3">
      <c r="A726" s="5"/>
      <c r="B726" s="29"/>
      <c r="C726" s="4"/>
      <c r="I726" s="21"/>
    </row>
    <row r="727" spans="1:9" ht="15.75" customHeight="1" x14ac:dyDescent="0.3">
      <c r="A727" s="5"/>
      <c r="B727" s="29"/>
      <c r="C727" s="4"/>
      <c r="I727" s="21"/>
    </row>
    <row r="728" spans="1:9" ht="15.75" customHeight="1" x14ac:dyDescent="0.3">
      <c r="A728" s="5"/>
      <c r="B728" s="29"/>
      <c r="C728" s="4"/>
      <c r="I728" s="21"/>
    </row>
    <row r="729" spans="1:9" ht="15.75" customHeight="1" x14ac:dyDescent="0.3">
      <c r="A729" s="5"/>
      <c r="B729" s="29"/>
      <c r="C729" s="4"/>
      <c r="I729" s="21"/>
    </row>
    <row r="730" spans="1:9" ht="15.75" customHeight="1" x14ac:dyDescent="0.3">
      <c r="A730" s="5"/>
      <c r="B730" s="29"/>
      <c r="C730" s="4"/>
      <c r="I730" s="21"/>
    </row>
    <row r="731" spans="1:9" ht="15.75" customHeight="1" x14ac:dyDescent="0.3">
      <c r="A731" s="5"/>
      <c r="B731" s="29"/>
      <c r="C731" s="4"/>
      <c r="I731" s="21"/>
    </row>
    <row r="732" spans="1:9" ht="15.75" customHeight="1" x14ac:dyDescent="0.3">
      <c r="A732" s="5"/>
      <c r="B732" s="29"/>
      <c r="C732" s="4"/>
      <c r="I732" s="21"/>
    </row>
    <row r="733" spans="1:9" ht="15.75" customHeight="1" x14ac:dyDescent="0.3">
      <c r="A733" s="5"/>
      <c r="B733" s="29"/>
      <c r="C733" s="4"/>
      <c r="I733" s="21"/>
    </row>
    <row r="734" spans="1:9" ht="15.75" customHeight="1" x14ac:dyDescent="0.3">
      <c r="A734" s="5"/>
      <c r="B734" s="29"/>
      <c r="C734" s="4"/>
      <c r="I734" s="21"/>
    </row>
    <row r="735" spans="1:9" ht="15.75" customHeight="1" x14ac:dyDescent="0.3">
      <c r="A735" s="5"/>
      <c r="B735" s="29"/>
      <c r="C735" s="4"/>
      <c r="I735" s="21"/>
    </row>
    <row r="736" spans="1:9" ht="15.75" customHeight="1" x14ac:dyDescent="0.3">
      <c r="A736" s="5"/>
      <c r="B736" s="29"/>
      <c r="C736" s="4"/>
      <c r="I736" s="21"/>
    </row>
    <row r="737" spans="1:9" ht="15.75" customHeight="1" x14ac:dyDescent="0.3">
      <c r="A737" s="5"/>
      <c r="B737" s="29"/>
      <c r="C737" s="4"/>
      <c r="I737" s="21"/>
    </row>
    <row r="738" spans="1:9" ht="15.75" customHeight="1" x14ac:dyDescent="0.3">
      <c r="A738" s="5"/>
      <c r="B738" s="29"/>
      <c r="C738" s="4"/>
      <c r="I738" s="21"/>
    </row>
    <row r="739" spans="1:9" ht="15.75" customHeight="1" x14ac:dyDescent="0.3">
      <c r="A739" s="5"/>
      <c r="B739" s="29"/>
      <c r="C739" s="4"/>
      <c r="I739" s="21"/>
    </row>
    <row r="740" spans="1:9" ht="15.75" customHeight="1" x14ac:dyDescent="0.3">
      <c r="A740" s="5"/>
      <c r="B740" s="29"/>
      <c r="C740" s="4"/>
      <c r="I740" s="21"/>
    </row>
    <row r="741" spans="1:9" ht="15.75" customHeight="1" x14ac:dyDescent="0.3">
      <c r="A741" s="5"/>
      <c r="B741" s="29"/>
      <c r="C741" s="4"/>
      <c r="I741" s="21"/>
    </row>
    <row r="742" spans="1:9" ht="15.75" customHeight="1" x14ac:dyDescent="0.3">
      <c r="A742" s="5"/>
      <c r="B742" s="29"/>
      <c r="C742" s="4"/>
      <c r="I742" s="21"/>
    </row>
    <row r="743" spans="1:9" ht="15.75" customHeight="1" x14ac:dyDescent="0.3">
      <c r="A743" s="5"/>
      <c r="B743" s="29"/>
      <c r="C743" s="4"/>
      <c r="I743" s="21"/>
    </row>
    <row r="744" spans="1:9" ht="15.75" customHeight="1" x14ac:dyDescent="0.3">
      <c r="A744" s="5"/>
      <c r="B744" s="29"/>
      <c r="C744" s="4"/>
      <c r="I744" s="21"/>
    </row>
    <row r="745" spans="1:9" ht="15.75" customHeight="1" x14ac:dyDescent="0.3">
      <c r="A745" s="5"/>
      <c r="B745" s="29"/>
      <c r="C745" s="4"/>
      <c r="I745" s="21"/>
    </row>
    <row r="746" spans="1:9" ht="15.75" customHeight="1" x14ac:dyDescent="0.3">
      <c r="A746" s="5"/>
      <c r="B746" s="29"/>
      <c r="C746" s="4"/>
      <c r="I746" s="21"/>
    </row>
    <row r="747" spans="1:9" ht="15.75" customHeight="1" x14ac:dyDescent="0.3">
      <c r="A747" s="5"/>
      <c r="B747" s="29"/>
      <c r="C747" s="4"/>
      <c r="I747" s="21"/>
    </row>
    <row r="748" spans="1:9" ht="15.75" customHeight="1" x14ac:dyDescent="0.3">
      <c r="A748" s="5"/>
      <c r="B748" s="29"/>
      <c r="C748" s="4"/>
      <c r="I748" s="21"/>
    </row>
    <row r="749" spans="1:9" ht="15.75" customHeight="1" x14ac:dyDescent="0.3">
      <c r="A749" s="5"/>
      <c r="B749" s="29"/>
      <c r="C749" s="4"/>
      <c r="I749" s="21"/>
    </row>
    <row r="750" spans="1:9" ht="15.75" customHeight="1" x14ac:dyDescent="0.3">
      <c r="A750" s="5"/>
      <c r="B750" s="29"/>
      <c r="C750" s="4"/>
      <c r="I750" s="21"/>
    </row>
    <row r="751" spans="1:9" ht="15.75" customHeight="1" x14ac:dyDescent="0.3">
      <c r="A751" s="5"/>
      <c r="B751" s="29"/>
      <c r="C751" s="4"/>
      <c r="I751" s="21"/>
    </row>
    <row r="752" spans="1:9" ht="15.75" customHeight="1" x14ac:dyDescent="0.3">
      <c r="A752" s="5"/>
      <c r="B752" s="29"/>
      <c r="C752" s="4"/>
      <c r="I752" s="21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23C3A-58CE-46C6-A479-E2B50090BB24}">
  <sheetPr>
    <pageSetUpPr fitToPage="1"/>
  </sheetPr>
  <dimension ref="B1:P31"/>
  <sheetViews>
    <sheetView topLeftCell="B1" zoomScaleNormal="100" workbookViewId="0">
      <selection activeCell="C8" sqref="C8"/>
    </sheetView>
  </sheetViews>
  <sheetFormatPr defaultColWidth="8.5703125" defaultRowHeight="15" x14ac:dyDescent="0.25"/>
  <cols>
    <col min="1" max="1" width="3.28515625" customWidth="1"/>
    <col min="2" max="2" width="15.140625" customWidth="1"/>
    <col min="3" max="3" width="19.28515625" customWidth="1"/>
    <col min="4" max="4" width="18.85546875" style="22" customWidth="1"/>
    <col min="5" max="5" width="11.7109375" customWidth="1"/>
    <col min="6" max="7" width="15" customWidth="1"/>
    <col min="8" max="8" width="13.7109375" style="22" customWidth="1"/>
    <col min="9" max="9" width="12.7109375" style="22" customWidth="1"/>
    <col min="10" max="10" width="13" style="22" customWidth="1"/>
    <col min="11" max="11" width="14.42578125" customWidth="1"/>
    <col min="13" max="13" width="11.42578125" bestFit="1" customWidth="1"/>
    <col min="14" max="14" width="9.85546875" bestFit="1" customWidth="1"/>
  </cols>
  <sheetData>
    <row r="1" spans="2:14" s="44" customFormat="1" ht="18.75" x14ac:dyDescent="0.3">
      <c r="D1" s="205">
        <v>46054</v>
      </c>
      <c r="E1" s="206"/>
      <c r="F1" s="206"/>
    </row>
    <row r="2" spans="2:14" s="44" customFormat="1" x14ac:dyDescent="0.25">
      <c r="F2" s="45"/>
      <c r="G2" s="45"/>
    </row>
    <row r="3" spans="2:14" s="44" customFormat="1" x14ac:dyDescent="0.25">
      <c r="C3" s="76" t="s">
        <v>89</v>
      </c>
      <c r="D3" s="46" t="s">
        <v>90</v>
      </c>
      <c r="E3" s="46" t="s">
        <v>91</v>
      </c>
      <c r="F3" s="46" t="s">
        <v>92</v>
      </c>
      <c r="I3" s="76"/>
      <c r="J3" s="46"/>
    </row>
    <row r="4" spans="2:14" s="44" customFormat="1" x14ac:dyDescent="0.25">
      <c r="B4" s="105" t="s">
        <v>27</v>
      </c>
      <c r="C4" s="47">
        <v>172438.58330000041</v>
      </c>
      <c r="D4" s="47">
        <f>5000*67</f>
        <v>335000</v>
      </c>
      <c r="E4" s="47">
        <f>+' EXPENSES HOUSE'!L4</f>
        <v>200316.44</v>
      </c>
      <c r="F4" s="47">
        <f>+C4+D4-E4</f>
        <v>307122.1433000004</v>
      </c>
      <c r="G4" s="47"/>
      <c r="H4" s="47">
        <f>+F4-C21</f>
        <v>-2.5000000023283064E-3</v>
      </c>
      <c r="I4" s="47"/>
      <c r="J4" s="47"/>
    </row>
    <row r="5" spans="2:14" s="44" customFormat="1" x14ac:dyDescent="0.25">
      <c r="B5" s="106" t="s">
        <v>30</v>
      </c>
      <c r="C5" s="47">
        <v>727458.64999999991</v>
      </c>
      <c r="D5" s="47"/>
      <c r="E5" s="47" t="e">
        <f>+' EXPENSES HOUSE'!L5</f>
        <v>#REF!</v>
      </c>
      <c r="F5" s="47" t="e">
        <f t="shared" ref="F5:F8" si="0">+C5+D5-E5</f>
        <v>#REF!</v>
      </c>
      <c r="H5" s="47" t="e">
        <f>+F5-C22</f>
        <v>#REF!</v>
      </c>
      <c r="I5" s="47"/>
      <c r="J5" s="47"/>
    </row>
    <row r="6" spans="2:14" s="44" customFormat="1" x14ac:dyDescent="0.25">
      <c r="B6" s="105" t="s">
        <v>28</v>
      </c>
      <c r="C6" s="47">
        <v>527529.50999999989</v>
      </c>
      <c r="D6" s="47"/>
      <c r="E6" s="47" t="e">
        <f>+' EXPENSES HOUSE'!L6</f>
        <v>#REF!</v>
      </c>
      <c r="F6" s="47" t="e">
        <f t="shared" si="0"/>
        <v>#REF!</v>
      </c>
      <c r="H6" s="47" t="e">
        <f>+F6-C23</f>
        <v>#REF!</v>
      </c>
      <c r="I6" s="47"/>
      <c r="J6" s="47"/>
    </row>
    <row r="7" spans="2:14" s="44" customFormat="1" x14ac:dyDescent="0.25">
      <c r="B7" s="105" t="s">
        <v>29</v>
      </c>
      <c r="C7" s="47">
        <v>152154.56999999998</v>
      </c>
      <c r="D7" s="47"/>
      <c r="E7" s="47">
        <f>+' EXPENSES HOUSE'!L7</f>
        <v>238478.73333333334</v>
      </c>
      <c r="F7" s="47">
        <f t="shared" si="0"/>
        <v>-86324.163333333359</v>
      </c>
      <c r="H7" s="47">
        <f>+F7-C24</f>
        <v>-5.8333333290647715E-3</v>
      </c>
      <c r="I7" s="47"/>
      <c r="J7" s="47"/>
    </row>
    <row r="8" spans="2:14" s="44" customFormat="1" x14ac:dyDescent="0.25">
      <c r="B8" s="44" t="s">
        <v>11</v>
      </c>
      <c r="C8" s="47">
        <v>170900</v>
      </c>
      <c r="D8" s="47"/>
      <c r="E8" s="47">
        <f>7762.5+800</f>
        <v>8562.5</v>
      </c>
      <c r="F8" s="47">
        <f t="shared" si="0"/>
        <v>162337.5</v>
      </c>
      <c r="I8" s="47"/>
      <c r="J8" s="47"/>
    </row>
    <row r="9" spans="2:14" s="44" customFormat="1" x14ac:dyDescent="0.25">
      <c r="B9" s="44" t="s">
        <v>10</v>
      </c>
      <c r="C9" s="47">
        <v>1750481.3133000003</v>
      </c>
      <c r="D9" s="47">
        <f>SUM(D4:D8)</f>
        <v>335000</v>
      </c>
      <c r="E9" s="47" t="e">
        <f>SUM(E4:E8)</f>
        <v>#REF!</v>
      </c>
      <c r="F9" s="47" t="e">
        <f>SUM(F4:F8)</f>
        <v>#REF!</v>
      </c>
      <c r="I9" s="47"/>
      <c r="J9" s="47"/>
    </row>
    <row r="10" spans="2:14" s="44" customFormat="1" ht="15.75" thickBot="1" x14ac:dyDescent="0.3">
      <c r="D10" s="58"/>
      <c r="E10" s="58"/>
      <c r="K10" s="47"/>
    </row>
    <row r="11" spans="2:14" s="44" customFormat="1" x14ac:dyDescent="0.25">
      <c r="B11" s="210" t="s">
        <v>20</v>
      </c>
      <c r="C11" s="211"/>
      <c r="D11" s="48" t="s">
        <v>19</v>
      </c>
      <c r="E11" s="49"/>
      <c r="F11" s="50"/>
      <c r="G11" s="212" t="s">
        <v>21</v>
      </c>
      <c r="H11" s="213"/>
      <c r="I11" s="214" t="s">
        <v>67</v>
      </c>
      <c r="J11" s="213"/>
    </row>
    <row r="12" spans="2:14" s="44" customFormat="1" x14ac:dyDescent="0.25">
      <c r="B12" s="51"/>
      <c r="C12" s="52">
        <f>+C9</f>
        <v>1750481.3133000003</v>
      </c>
      <c r="D12" s="47"/>
      <c r="E12" s="53"/>
      <c r="F12" s="47" t="s">
        <v>22</v>
      </c>
      <c r="G12" s="54">
        <v>557664.46</v>
      </c>
      <c r="H12" s="55"/>
      <c r="I12" s="54">
        <v>1192816.6100000001</v>
      </c>
      <c r="J12" s="55"/>
      <c r="K12" s="47">
        <f>+C12-G12-I12</f>
        <v>0.24330000020563602</v>
      </c>
      <c r="M12" s="47"/>
    </row>
    <row r="13" spans="2:14" s="44" customFormat="1" x14ac:dyDescent="0.25">
      <c r="B13" s="56"/>
      <c r="C13" s="57">
        <f>+D9</f>
        <v>335000</v>
      </c>
      <c r="D13" s="58"/>
      <c r="E13" s="59"/>
      <c r="F13" s="58" t="s">
        <v>23</v>
      </c>
      <c r="G13" s="61">
        <f>5000*67</f>
        <v>335000</v>
      </c>
      <c r="H13" s="60"/>
      <c r="I13" s="77"/>
      <c r="J13" s="55"/>
      <c r="K13" s="47">
        <f>+C13-G13-I13</f>
        <v>0</v>
      </c>
      <c r="M13" s="47"/>
    </row>
    <row r="14" spans="2:14" s="44" customFormat="1" x14ac:dyDescent="0.25">
      <c r="B14" s="62"/>
      <c r="C14" s="57"/>
      <c r="D14" s="58"/>
      <c r="E14" s="59"/>
      <c r="F14" s="58" t="s">
        <v>19</v>
      </c>
      <c r="G14" s="63"/>
      <c r="H14" s="55"/>
      <c r="I14" s="64"/>
      <c r="J14" s="55"/>
      <c r="K14" s="47">
        <f t="shared" ref="K14:K15" si="1">+C14-G14-I14</f>
        <v>0</v>
      </c>
    </row>
    <row r="15" spans="2:14" s="44" customFormat="1" x14ac:dyDescent="0.25">
      <c r="B15" s="62"/>
      <c r="C15" s="57"/>
      <c r="D15" s="58"/>
      <c r="E15" s="59"/>
      <c r="F15" s="58"/>
      <c r="G15" s="65"/>
      <c r="H15" s="55"/>
      <c r="I15" s="66"/>
      <c r="J15" s="55"/>
      <c r="K15" s="47">
        <f t="shared" si="1"/>
        <v>0</v>
      </c>
    </row>
    <row r="16" spans="2:14" s="44" customFormat="1" x14ac:dyDescent="0.25">
      <c r="B16" s="67" t="e">
        <f>+E9</f>
        <v>#REF!</v>
      </c>
      <c r="C16" s="58"/>
      <c r="D16" s="58"/>
      <c r="E16" s="59"/>
      <c r="F16" s="58" t="s">
        <v>12</v>
      </c>
      <c r="G16" s="64"/>
      <c r="H16" s="68">
        <f>+'[2]LANDCO MET CASH'!$F$8</f>
        <v>212720</v>
      </c>
      <c r="I16" s="64"/>
      <c r="J16" s="69">
        <f>+'[3]BIM Bank Control Mtn'!$J$5-3464.73+'[3]Petty cash '!$G$7+'[3]Pre-paid'!$G$7</f>
        <v>693950.82</v>
      </c>
      <c r="K16" s="47" t="e">
        <f>+B16-H16-J16</f>
        <v>#REF!</v>
      </c>
      <c r="M16" s="47"/>
      <c r="N16" s="47"/>
    </row>
    <row r="17" spans="2:16" s="44" customFormat="1" x14ac:dyDescent="0.25">
      <c r="B17" s="79" t="e">
        <f>+F9</f>
        <v>#REF!</v>
      </c>
      <c r="C17" s="58"/>
      <c r="D17" s="58"/>
      <c r="E17" s="59"/>
      <c r="F17" s="58" t="s">
        <v>13</v>
      </c>
      <c r="G17" s="70"/>
      <c r="H17" s="80">
        <f>+'[2]LANDCO MET CASH'!$F$9+335000</f>
        <v>679944.46250000014</v>
      </c>
      <c r="I17" s="70"/>
      <c r="J17" s="80">
        <f>+'[3]BIM Bank Control USD'!$I$7+'[3]BIM Bank Control Mtn'!$J$6+'[3]Petty cash '!$G$8+'[3]Pre-paid'!$G$8</f>
        <v>498865.79250000021</v>
      </c>
      <c r="K17" s="47" t="e">
        <f>+B17-H17-J17</f>
        <v>#REF!</v>
      </c>
      <c r="M17" s="47"/>
      <c r="N17" s="47"/>
    </row>
    <row r="18" spans="2:16" s="44" customFormat="1" ht="15.75" thickBot="1" x14ac:dyDescent="0.3">
      <c r="B18" s="71" t="e">
        <f>SUM(B12:B17)</f>
        <v>#REF!</v>
      </c>
      <c r="C18" s="72">
        <f>SUM(C12:C17)</f>
        <v>2085481.3133000003</v>
      </c>
      <c r="D18" s="72">
        <f t="shared" ref="D18:E18" si="2">SUM(D13:D17)</f>
        <v>0</v>
      </c>
      <c r="E18" s="73">
        <f t="shared" si="2"/>
        <v>0</v>
      </c>
      <c r="F18" s="74"/>
      <c r="G18" s="75">
        <f t="shared" ref="G18:H18" si="3">SUM(G12:G17)</f>
        <v>892664.46</v>
      </c>
      <c r="H18" s="72">
        <f t="shared" si="3"/>
        <v>892664.46250000014</v>
      </c>
      <c r="I18" s="72">
        <f>SUM(I12:I17)</f>
        <v>1192816.6100000001</v>
      </c>
      <c r="J18" s="72">
        <f>SUM(J12:J17)</f>
        <v>1192816.6125000003</v>
      </c>
      <c r="K18" s="47"/>
    </row>
    <row r="19" spans="2:16" s="44" customFormat="1" x14ac:dyDescent="0.25">
      <c r="B19" s="58"/>
      <c r="C19" s="58" t="e">
        <f>+B18-C18</f>
        <v>#REF!</v>
      </c>
      <c r="D19" s="58"/>
      <c r="E19" s="58"/>
      <c r="F19" s="58"/>
      <c r="G19" s="47"/>
      <c r="H19" s="47">
        <f>+G18-H18</f>
        <v>-2.5000001769512892E-3</v>
      </c>
      <c r="I19" s="47"/>
      <c r="J19" s="47">
        <f>+I18-J18</f>
        <v>-2.5000001769512892E-3</v>
      </c>
      <c r="K19" s="47" t="e">
        <f>SUM(K12:K17)</f>
        <v>#REF!</v>
      </c>
    </row>
    <row r="20" spans="2:16" s="44" customFormat="1" x14ac:dyDescent="0.25">
      <c r="B20" s="140" t="s">
        <v>141</v>
      </c>
      <c r="C20" s="141"/>
      <c r="D20">
        <v>63.25</v>
      </c>
      <c r="F20" s="202" t="s">
        <v>140</v>
      </c>
      <c r="I20" s="209"/>
      <c r="J20" s="208"/>
      <c r="L20" s="47"/>
      <c r="M20" s="47"/>
      <c r="N20" s="47"/>
    </row>
    <row r="21" spans="2:16" s="44" customFormat="1" x14ac:dyDescent="0.25">
      <c r="B21" s="105" t="s">
        <v>27</v>
      </c>
      <c r="C21" s="47">
        <f>+[4]SUMMERY!$E$19</f>
        <v>307122.14580000041</v>
      </c>
      <c r="D21" s="83">
        <f>+C21/$D$20</f>
        <v>4855.6860996047499</v>
      </c>
      <c r="E21" s="47"/>
      <c r="F21" s="202" t="s">
        <v>143</v>
      </c>
      <c r="G21" s="47">
        <f>+J17</f>
        <v>498865.79250000021</v>
      </c>
      <c r="H21" s="108"/>
      <c r="I21" s="189" t="s">
        <v>88</v>
      </c>
      <c r="J21" s="189"/>
      <c r="K21" s="189"/>
      <c r="L21" s="190"/>
      <c r="M21" s="47"/>
      <c r="N21" s="47"/>
    </row>
    <row r="22" spans="2:16" s="44" customFormat="1" x14ac:dyDescent="0.25">
      <c r="B22" s="106" t="s">
        <v>30</v>
      </c>
      <c r="C22" s="47">
        <f>+'[5] SUMMERY '!$F$19</f>
        <v>488315.50249999994</v>
      </c>
      <c r="D22" s="83">
        <f>+C22/$D$20</f>
        <v>7720.4032015810271</v>
      </c>
      <c r="E22" s="47"/>
      <c r="F22" s="81" t="s">
        <v>14</v>
      </c>
      <c r="G22" s="47">
        <f>+'[2]LANDCO MET CASH'!$F$9</f>
        <v>344944.46250000014</v>
      </c>
      <c r="H22" s="47">
        <f>SUM(G22:G23)</f>
        <v>679944.46250000014</v>
      </c>
      <c r="I22" s="189" t="s">
        <v>5</v>
      </c>
      <c r="J22" s="191">
        <f>1375</f>
        <v>1375</v>
      </c>
      <c r="K22" s="189">
        <f>+J22*70</f>
        <v>96250</v>
      </c>
      <c r="L22" s="192"/>
      <c r="M22" s="47"/>
      <c r="N22" s="47"/>
    </row>
    <row r="23" spans="2:16" s="44" customFormat="1" x14ac:dyDescent="0.25">
      <c r="B23" s="105" t="s">
        <v>28</v>
      </c>
      <c r="C23" s="47">
        <f>+[6]SUMMERY!$F$19</f>
        <v>307359.51249999995</v>
      </c>
      <c r="D23" s="83">
        <f>+C23/$D$20</f>
        <v>4859.4389328063235</v>
      </c>
      <c r="E23" s="47"/>
      <c r="F23" s="202" t="s">
        <v>142</v>
      </c>
      <c r="G23" s="47">
        <f>+'[2]LANDCO US$ CASH'!$F$11</f>
        <v>335000</v>
      </c>
      <c r="I23" s="189" t="s">
        <v>66</v>
      </c>
      <c r="J23" s="191">
        <v>1375</v>
      </c>
      <c r="K23" s="189">
        <f>+J23*70</f>
        <v>96250</v>
      </c>
      <c r="L23" s="190" t="s">
        <v>82</v>
      </c>
      <c r="O23" s="81"/>
      <c r="P23" s="47"/>
    </row>
    <row r="24" spans="2:16" s="44" customFormat="1" x14ac:dyDescent="0.25">
      <c r="B24" s="105" t="s">
        <v>29</v>
      </c>
      <c r="C24" s="47">
        <f>+'[7]SUMMERY '!$F$19</f>
        <v>-86324.15750000003</v>
      </c>
      <c r="D24" s="83">
        <f>+C24/$D$20</f>
        <v>-1364.8088142292495</v>
      </c>
      <c r="E24" s="47"/>
      <c r="I24" s="189" t="s">
        <v>83</v>
      </c>
      <c r="J24" s="191">
        <v>0</v>
      </c>
      <c r="K24" s="189">
        <f>+J24*69</f>
        <v>0</v>
      </c>
      <c r="L24" s="193"/>
    </row>
    <row r="25" spans="2:16" s="44" customFormat="1" x14ac:dyDescent="0.25">
      <c r="B25" s="106" t="s">
        <v>31</v>
      </c>
      <c r="C25" s="47">
        <v>170900</v>
      </c>
      <c r="D25" s="83">
        <f>+C25/$D$20</f>
        <v>2701.97628458498</v>
      </c>
      <c r="E25" s="47"/>
      <c r="F25" s="107"/>
      <c r="G25" s="47"/>
      <c r="I25" s="189" t="s">
        <v>84</v>
      </c>
      <c r="J25" s="191">
        <v>0</v>
      </c>
      <c r="K25" s="189"/>
      <c r="L25" s="190"/>
    </row>
    <row r="26" spans="2:16" s="44" customFormat="1" ht="15.75" thickBot="1" x14ac:dyDescent="0.3">
      <c r="C26" s="82">
        <f>SUM(C21:C25)</f>
        <v>1187373.0033000002</v>
      </c>
      <c r="D26" s="84">
        <f>SUM(D21:D25)</f>
        <v>18772.695704347832</v>
      </c>
      <c r="G26" s="82">
        <f>SUM(G21:G25)</f>
        <v>1178810.2550000004</v>
      </c>
      <c r="I26" s="189"/>
      <c r="J26" s="191"/>
      <c r="K26" s="189"/>
      <c r="L26" s="189"/>
    </row>
    <row r="27" spans="2:16" ht="15.75" thickTop="1" x14ac:dyDescent="0.25">
      <c r="I27" s="207" t="s">
        <v>85</v>
      </c>
      <c r="J27" s="208"/>
      <c r="K27" s="195">
        <f>SUM(K22:K25)</f>
        <v>192500</v>
      </c>
      <c r="L27" s="189"/>
    </row>
    <row r="28" spans="2:16" x14ac:dyDescent="0.25">
      <c r="C28" s="26"/>
      <c r="G28" s="22"/>
      <c r="I28" s="194" t="s">
        <v>21</v>
      </c>
      <c r="J28" s="196"/>
      <c r="K28" s="194">
        <v>-140925.9</v>
      </c>
      <c r="L28" s="189"/>
    </row>
    <row r="29" spans="2:16" x14ac:dyDescent="0.25">
      <c r="G29" s="22" t="e">
        <f>+G26-F9</f>
        <v>#REF!</v>
      </c>
      <c r="I29" s="194" t="s">
        <v>86</v>
      </c>
      <c r="J29" s="196"/>
      <c r="K29" s="194">
        <v>-70000</v>
      </c>
      <c r="L29" s="189"/>
    </row>
    <row r="30" spans="2:16" x14ac:dyDescent="0.25">
      <c r="G30" s="26"/>
      <c r="I30" s="194" t="s">
        <v>87</v>
      </c>
      <c r="J30" s="194"/>
      <c r="K30" s="194">
        <v>-170900</v>
      </c>
      <c r="L30" s="189"/>
    </row>
    <row r="31" spans="2:16" x14ac:dyDescent="0.25">
      <c r="I31" s="194"/>
      <c r="J31" s="196">
        <f>SUM(J22:J30)</f>
        <v>2750</v>
      </c>
      <c r="K31" s="194">
        <f>SUM(K27:K30)</f>
        <v>-189325.9</v>
      </c>
      <c r="L31" s="189"/>
    </row>
  </sheetData>
  <mergeCells count="6">
    <mergeCell ref="D1:F1"/>
    <mergeCell ref="I27:J27"/>
    <mergeCell ref="I20:J20"/>
    <mergeCell ref="B11:C11"/>
    <mergeCell ref="G11:H11"/>
    <mergeCell ref="I11:J11"/>
  </mergeCells>
  <pageMargins left="0.7" right="0.7" top="0.75" bottom="0.75" header="0.511811023622047" footer="0.511811023622047"/>
  <pageSetup scale="91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83FFF-0D47-44E8-AC90-C13547BF15EE}">
  <dimension ref="A1:CL654"/>
  <sheetViews>
    <sheetView tabSelected="1" zoomScale="64" zoomScaleNormal="64" workbookViewId="0">
      <pane xSplit="5" ySplit="6" topLeftCell="F7" activePane="bottomRight" state="frozen"/>
      <selection pane="topRight" activeCell="F1" sqref="F1"/>
      <selection pane="bottomLeft" activeCell="A8" sqref="A8"/>
      <selection pane="bottomRight" activeCell="B57" sqref="B57"/>
    </sheetView>
  </sheetViews>
  <sheetFormatPr defaultColWidth="14.42578125" defaultRowHeight="17.25" x14ac:dyDescent="0.35"/>
  <cols>
    <col min="1" max="1" width="14.28515625" style="225" customWidth="1"/>
    <col min="2" max="2" width="26.5703125" style="23" customWidth="1"/>
    <col min="3" max="3" width="42.5703125" style="238" customWidth="1"/>
    <col min="4" max="4" width="7.5703125" style="23" customWidth="1"/>
    <col min="5" max="5" width="18.7109375" style="130" customWidth="1"/>
    <col min="6" max="7" width="17.42578125" style="112" customWidth="1"/>
    <col min="8" max="8" width="14.7109375" style="112" customWidth="1"/>
    <col min="9" max="9" width="13" style="112" customWidth="1"/>
    <col min="10" max="10" width="14.42578125" style="112"/>
    <col min="11" max="11" width="13.7109375" style="112" customWidth="1"/>
    <col min="12" max="12" width="13.28515625" style="112" customWidth="1"/>
    <col min="13" max="13" width="12.42578125" style="112" customWidth="1"/>
    <col min="14" max="14" width="11.140625" style="112" customWidth="1"/>
    <col min="15" max="15" width="14.7109375" style="112" customWidth="1"/>
    <col min="16" max="18" width="11.140625" style="112" customWidth="1"/>
    <col min="19" max="26" width="14.42578125" style="112"/>
    <col min="27" max="27" width="15.85546875" style="112" customWidth="1"/>
    <col min="28" max="28" width="13" style="131" customWidth="1"/>
    <col min="29" max="16384" width="14.42578125" style="23"/>
  </cols>
  <sheetData>
    <row r="1" spans="1:90" ht="23.25" x14ac:dyDescent="0.35">
      <c r="A1" s="216" t="s">
        <v>33</v>
      </c>
      <c r="B1" s="38"/>
      <c r="C1" s="226"/>
      <c r="D1" s="109"/>
      <c r="E1" s="110"/>
      <c r="F1" s="111" t="s">
        <v>6</v>
      </c>
      <c r="G1" s="111" t="s">
        <v>7</v>
      </c>
      <c r="I1" s="111" t="s">
        <v>8</v>
      </c>
      <c r="J1" s="111" t="s">
        <v>9</v>
      </c>
      <c r="M1" s="111"/>
      <c r="N1" s="113"/>
      <c r="O1" s="113"/>
      <c r="P1" s="111"/>
      <c r="Q1" s="111"/>
      <c r="AB1" s="114"/>
    </row>
    <row r="2" spans="1:90" ht="23.25" x14ac:dyDescent="0.35">
      <c r="A2" s="216"/>
      <c r="B2" s="38"/>
      <c r="C2" s="226" t="s">
        <v>34</v>
      </c>
      <c r="D2" s="109"/>
      <c r="E2" s="110">
        <f>SUM(E7:E48)</f>
        <v>693950.82000000007</v>
      </c>
      <c r="F2" s="111"/>
      <c r="G2" s="111"/>
      <c r="M2" s="111"/>
      <c r="N2" s="113"/>
      <c r="O2" s="113"/>
      <c r="P2" s="111"/>
      <c r="Q2" s="111"/>
      <c r="X2" s="110"/>
      <c r="AB2" s="114"/>
    </row>
    <row r="3" spans="1:90" ht="23.25" x14ac:dyDescent="0.35">
      <c r="A3" s="216"/>
      <c r="B3" s="38"/>
      <c r="C3" s="226" t="s">
        <v>35</v>
      </c>
      <c r="D3" s="109"/>
      <c r="E3" s="110">
        <f>SUM(E49:E57)</f>
        <v>212720</v>
      </c>
      <c r="F3" s="111"/>
      <c r="G3" s="111"/>
      <c r="M3" s="111"/>
      <c r="N3" s="113"/>
      <c r="O3" s="113"/>
      <c r="P3" s="111"/>
      <c r="Q3" s="111"/>
      <c r="W3" s="112" t="e">
        <f>+#REF!-E2</f>
        <v>#REF!</v>
      </c>
      <c r="AB3" s="114"/>
    </row>
    <row r="4" spans="1:90" ht="23.25" x14ac:dyDescent="0.35">
      <c r="A4" s="216"/>
      <c r="B4" s="38"/>
      <c r="C4" s="226" t="s">
        <v>36</v>
      </c>
      <c r="D4" s="109"/>
      <c r="E4" s="115">
        <f>SUM(E2:E3)</f>
        <v>906670.82000000007</v>
      </c>
      <c r="F4" s="111"/>
      <c r="G4" s="111">
        <f>+E4/4</f>
        <v>226667.70500000002</v>
      </c>
      <c r="H4" s="112">
        <f>+G4/63.25</f>
        <v>3583.679130434783</v>
      </c>
      <c r="M4" s="111"/>
      <c r="N4" s="113"/>
      <c r="O4" s="113"/>
      <c r="P4" s="111"/>
      <c r="Q4" s="111"/>
      <c r="AB4" s="114"/>
    </row>
    <row r="5" spans="1:90" ht="19.5" x14ac:dyDescent="0.4">
      <c r="A5" s="217"/>
      <c r="B5" s="114"/>
      <c r="C5" s="226"/>
      <c r="D5" s="109"/>
      <c r="E5" s="110"/>
      <c r="F5" s="203" t="s">
        <v>37</v>
      </c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AB5" s="114"/>
    </row>
    <row r="6" spans="1:90" ht="66.599999999999994" customHeight="1" x14ac:dyDescent="0.35">
      <c r="A6" s="218" t="s">
        <v>1</v>
      </c>
      <c r="B6" s="116" t="s">
        <v>38</v>
      </c>
      <c r="C6" s="227" t="s">
        <v>39</v>
      </c>
      <c r="D6" s="116"/>
      <c r="E6" s="117" t="s">
        <v>36</v>
      </c>
      <c r="F6" s="118" t="s">
        <v>40</v>
      </c>
      <c r="G6" s="119" t="s">
        <v>63</v>
      </c>
      <c r="H6" s="120" t="s">
        <v>42</v>
      </c>
      <c r="I6" s="121" t="s">
        <v>43</v>
      </c>
      <c r="J6" s="122" t="s">
        <v>44</v>
      </c>
      <c r="K6" s="119" t="s">
        <v>45</v>
      </c>
      <c r="L6" s="119" t="s">
        <v>46</v>
      </c>
      <c r="M6" s="119" t="s">
        <v>47</v>
      </c>
      <c r="N6" s="119" t="s">
        <v>48</v>
      </c>
      <c r="O6" s="119" t="s">
        <v>68</v>
      </c>
      <c r="P6" s="119" t="s">
        <v>49</v>
      </c>
      <c r="Q6" s="119" t="s">
        <v>50</v>
      </c>
      <c r="R6" s="119" t="s">
        <v>51</v>
      </c>
      <c r="S6" s="119" t="s">
        <v>52</v>
      </c>
      <c r="T6" s="119" t="s">
        <v>53</v>
      </c>
      <c r="U6" s="119" t="s">
        <v>79</v>
      </c>
      <c r="V6" s="120" t="s">
        <v>54</v>
      </c>
      <c r="W6" s="120" t="s">
        <v>55</v>
      </c>
      <c r="X6" s="120" t="s">
        <v>56</v>
      </c>
      <c r="Y6" s="120" t="s">
        <v>57</v>
      </c>
      <c r="Z6" s="120" t="s">
        <v>58</v>
      </c>
      <c r="AA6" s="123" t="s">
        <v>13</v>
      </c>
      <c r="AB6" s="124" t="s">
        <v>145</v>
      </c>
    </row>
    <row r="7" spans="1:90" ht="19.899999999999999" customHeight="1" x14ac:dyDescent="0.35">
      <c r="A7" s="219">
        <v>46055</v>
      </c>
      <c r="B7" s="168" t="s">
        <v>93</v>
      </c>
      <c r="C7" s="228" t="s">
        <v>94</v>
      </c>
      <c r="D7" s="142"/>
      <c r="E7" s="177">
        <v>10987.2</v>
      </c>
      <c r="F7" s="153"/>
      <c r="G7" s="154"/>
      <c r="H7" s="153">
        <f>+E7</f>
        <v>10987.2</v>
      </c>
      <c r="I7" s="155"/>
      <c r="J7" s="151"/>
      <c r="K7" s="154"/>
      <c r="L7" s="156"/>
      <c r="M7" s="156"/>
      <c r="N7" s="156"/>
      <c r="O7" s="154"/>
      <c r="P7" s="153"/>
      <c r="Q7" s="153"/>
      <c r="R7" s="156"/>
      <c r="S7" s="156"/>
      <c r="T7" s="156"/>
      <c r="U7" s="154"/>
      <c r="V7" s="157"/>
      <c r="W7" s="157"/>
      <c r="X7" s="158"/>
      <c r="Y7" s="157"/>
      <c r="Z7" s="157"/>
      <c r="AA7" s="159">
        <f t="shared" ref="AA7:AA43" si="0">SUM(F7:Z7)</f>
        <v>10987.2</v>
      </c>
      <c r="AB7" s="160" t="s">
        <v>4</v>
      </c>
      <c r="AC7" s="149">
        <f t="shared" ref="AC7:AC59" si="1">+E7-AA7</f>
        <v>0</v>
      </c>
      <c r="AD7" s="149"/>
      <c r="AE7" s="152"/>
      <c r="AF7" s="149"/>
      <c r="AG7" s="152"/>
      <c r="AH7" s="152"/>
      <c r="AI7" s="152"/>
      <c r="AJ7" s="152"/>
      <c r="AK7" s="152"/>
      <c r="AL7" s="152"/>
      <c r="AM7" s="152"/>
      <c r="AN7" s="152"/>
      <c r="AO7" s="152"/>
      <c r="AP7" s="152"/>
      <c r="AQ7" s="152"/>
      <c r="AR7" s="152"/>
      <c r="AS7" s="152"/>
      <c r="AT7" s="152"/>
      <c r="AU7" s="152"/>
      <c r="AV7" s="152"/>
    </row>
    <row r="8" spans="1:90" ht="19.899999999999999" customHeight="1" x14ac:dyDescent="0.35">
      <c r="A8" s="219">
        <v>46055</v>
      </c>
      <c r="B8" s="170" t="s">
        <v>95</v>
      </c>
      <c r="C8" s="228" t="s">
        <v>96</v>
      </c>
      <c r="D8" s="142"/>
      <c r="E8" s="178">
        <v>7</v>
      </c>
      <c r="F8" s="153"/>
      <c r="G8" s="154"/>
      <c r="H8" s="153"/>
      <c r="I8" s="184">
        <f>+E8</f>
        <v>7</v>
      </c>
      <c r="J8" s="151"/>
      <c r="K8" s="156"/>
      <c r="L8" s="156"/>
      <c r="M8" s="156"/>
      <c r="N8" s="156"/>
      <c r="O8" s="156"/>
      <c r="P8" s="153"/>
      <c r="Q8" s="153"/>
      <c r="R8" s="156"/>
      <c r="S8" s="156"/>
      <c r="T8" s="156"/>
      <c r="U8" s="154"/>
      <c r="V8" s="157"/>
      <c r="W8" s="157"/>
      <c r="X8" s="158"/>
      <c r="Y8" s="157"/>
      <c r="Z8" s="157"/>
      <c r="AA8" s="159">
        <f t="shared" si="0"/>
        <v>7</v>
      </c>
      <c r="AB8" s="160" t="s">
        <v>4</v>
      </c>
      <c r="AC8" s="149">
        <f t="shared" si="1"/>
        <v>0</v>
      </c>
      <c r="AD8" s="149"/>
      <c r="AE8" s="152"/>
      <c r="AF8" s="149"/>
      <c r="AG8" s="152"/>
      <c r="AH8" s="152"/>
      <c r="AI8" s="152"/>
      <c r="AJ8" s="152"/>
      <c r="AK8" s="152"/>
      <c r="AL8" s="152"/>
      <c r="AM8" s="152"/>
      <c r="AN8" s="152"/>
      <c r="AO8" s="152"/>
      <c r="AP8" s="152"/>
      <c r="AQ8" s="152"/>
      <c r="AR8" s="152"/>
      <c r="AS8" s="152"/>
      <c r="AT8" s="152"/>
      <c r="AU8" s="152"/>
      <c r="AV8" s="152"/>
    </row>
    <row r="9" spans="1:90" ht="19.5" customHeight="1" x14ac:dyDescent="0.35">
      <c r="A9" s="219">
        <v>46055</v>
      </c>
      <c r="B9" s="169" t="s">
        <v>97</v>
      </c>
      <c r="C9" s="228" t="s">
        <v>98</v>
      </c>
      <c r="D9" s="143"/>
      <c r="E9" s="177">
        <v>905</v>
      </c>
      <c r="F9" s="161"/>
      <c r="G9" s="162"/>
      <c r="H9" s="162"/>
      <c r="I9" s="162"/>
      <c r="J9" s="162"/>
      <c r="K9" s="162"/>
      <c r="L9" s="162"/>
      <c r="M9" s="162">
        <f>+E9</f>
        <v>905</v>
      </c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59">
        <f t="shared" si="0"/>
        <v>905</v>
      </c>
      <c r="AB9" s="160" t="s">
        <v>4</v>
      </c>
      <c r="AC9" s="149">
        <f t="shared" si="1"/>
        <v>0</v>
      </c>
      <c r="AD9" s="149"/>
      <c r="AE9" s="152"/>
      <c r="AF9" s="149"/>
      <c r="AG9" s="152"/>
      <c r="AH9" s="152"/>
      <c r="AI9" s="152"/>
      <c r="AJ9" s="152"/>
      <c r="AK9" s="152"/>
      <c r="AL9" s="152"/>
      <c r="AM9" s="152"/>
      <c r="AN9" s="152"/>
      <c r="AO9" s="152"/>
      <c r="AP9" s="152"/>
      <c r="AQ9" s="152"/>
      <c r="AR9" s="152"/>
      <c r="AS9" s="152"/>
      <c r="AT9" s="152"/>
      <c r="AU9" s="152"/>
      <c r="AV9" s="152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</row>
    <row r="10" spans="1:90" ht="19.5" customHeight="1" x14ac:dyDescent="0.35">
      <c r="A10" s="219">
        <v>46055</v>
      </c>
      <c r="B10" s="170" t="s">
        <v>97</v>
      </c>
      <c r="C10" s="228" t="s">
        <v>98</v>
      </c>
      <c r="D10" s="143"/>
      <c r="E10" s="178">
        <v>1519.6</v>
      </c>
      <c r="F10" s="161"/>
      <c r="G10" s="162"/>
      <c r="H10" s="162"/>
      <c r="I10" s="162"/>
      <c r="J10" s="162"/>
      <c r="K10" s="162"/>
      <c r="L10" s="162"/>
      <c r="M10" s="162">
        <f>+E10</f>
        <v>1519.6</v>
      </c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  <c r="AA10" s="159">
        <f t="shared" si="0"/>
        <v>1519.6</v>
      </c>
      <c r="AB10" s="160" t="s">
        <v>4</v>
      </c>
      <c r="AC10" s="149">
        <f t="shared" si="1"/>
        <v>0</v>
      </c>
      <c r="AD10" s="152"/>
      <c r="AE10" s="152"/>
      <c r="AF10" s="149"/>
      <c r="AG10" s="152"/>
      <c r="AH10" s="152"/>
      <c r="AI10" s="152"/>
      <c r="AJ10" s="152"/>
      <c r="AK10" s="152"/>
      <c r="AL10" s="152"/>
      <c r="AM10" s="152"/>
      <c r="AN10" s="152"/>
      <c r="AO10" s="152"/>
      <c r="AP10" s="152"/>
      <c r="AQ10" s="152"/>
      <c r="AR10" s="152"/>
      <c r="AS10" s="152"/>
      <c r="AT10" s="152"/>
      <c r="AU10" s="152"/>
      <c r="AV10" s="152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</row>
    <row r="11" spans="1:90" ht="19.5" customHeight="1" x14ac:dyDescent="0.35">
      <c r="A11" s="219">
        <v>46055</v>
      </c>
      <c r="B11" s="170" t="s">
        <v>95</v>
      </c>
      <c r="C11" s="228" t="s">
        <v>96</v>
      </c>
      <c r="D11" s="143"/>
      <c r="E11" s="178">
        <v>7</v>
      </c>
      <c r="F11" s="161"/>
      <c r="G11" s="162"/>
      <c r="H11" s="162"/>
      <c r="I11" s="162">
        <f>+E11</f>
        <v>7</v>
      </c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W11" s="162"/>
      <c r="X11" s="162"/>
      <c r="Y11" s="162"/>
      <c r="Z11" s="162"/>
      <c r="AA11" s="159">
        <f t="shared" si="0"/>
        <v>7</v>
      </c>
      <c r="AB11" s="160" t="s">
        <v>4</v>
      </c>
      <c r="AC11" s="149">
        <f t="shared" si="1"/>
        <v>0</v>
      </c>
      <c r="AD11" s="152"/>
      <c r="AE11" s="152"/>
      <c r="AF11" s="149"/>
      <c r="AG11" s="152"/>
      <c r="AH11" s="152"/>
      <c r="AI11" s="152"/>
      <c r="AJ11" s="152"/>
      <c r="AK11" s="152"/>
      <c r="AL11" s="152"/>
      <c r="AM11" s="152"/>
      <c r="AN11" s="152"/>
      <c r="AO11" s="152"/>
      <c r="AP11" s="152"/>
      <c r="AQ11" s="152"/>
      <c r="AR11" s="152"/>
      <c r="AS11" s="152"/>
      <c r="AT11" s="152"/>
      <c r="AU11" s="152"/>
      <c r="AV11" s="152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</row>
    <row r="12" spans="1:90" ht="19.5" customHeight="1" x14ac:dyDescent="0.35">
      <c r="A12" s="219">
        <v>46055</v>
      </c>
      <c r="B12" s="170" t="s">
        <v>99</v>
      </c>
      <c r="C12" s="228" t="s">
        <v>94</v>
      </c>
      <c r="D12" s="143"/>
      <c r="E12" s="177">
        <v>1000</v>
      </c>
      <c r="F12" s="161"/>
      <c r="G12" s="162"/>
      <c r="H12" s="162">
        <f>+E12</f>
        <v>1000</v>
      </c>
      <c r="I12" s="162"/>
      <c r="J12" s="162"/>
      <c r="K12" s="162"/>
      <c r="L12" s="162"/>
      <c r="M12" s="162"/>
      <c r="N12" s="162"/>
      <c r="O12" s="162"/>
      <c r="P12" s="162"/>
      <c r="Q12" s="162"/>
      <c r="R12" s="162"/>
      <c r="S12" s="162"/>
      <c r="T12" s="162"/>
      <c r="U12" s="162"/>
      <c r="V12" s="162"/>
      <c r="W12" s="162"/>
      <c r="X12" s="162"/>
      <c r="Y12" s="162"/>
      <c r="Z12" s="162"/>
      <c r="AA12" s="159">
        <f t="shared" si="0"/>
        <v>1000</v>
      </c>
      <c r="AB12" s="160" t="s">
        <v>4</v>
      </c>
      <c r="AC12" s="149">
        <f t="shared" si="1"/>
        <v>0</v>
      </c>
      <c r="AD12" s="152"/>
      <c r="AE12" s="152"/>
      <c r="AF12" s="149"/>
      <c r="AG12" s="152"/>
      <c r="AH12" s="152"/>
      <c r="AI12" s="152"/>
      <c r="AJ12" s="152"/>
      <c r="AK12" s="152"/>
      <c r="AL12" s="152"/>
      <c r="AM12" s="152"/>
      <c r="AN12" s="152"/>
      <c r="AO12" s="152"/>
      <c r="AP12" s="152"/>
      <c r="AQ12" s="152"/>
      <c r="AR12" s="152"/>
      <c r="AS12" s="152"/>
      <c r="AT12" s="152"/>
      <c r="AU12" s="152"/>
      <c r="AV12" s="15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</row>
    <row r="13" spans="1:90" ht="19.5" customHeight="1" x14ac:dyDescent="0.35">
      <c r="A13" s="219">
        <v>46055</v>
      </c>
      <c r="B13" s="170" t="s">
        <v>95</v>
      </c>
      <c r="C13" s="229" t="s">
        <v>96</v>
      </c>
      <c r="D13" s="143"/>
      <c r="E13" s="179">
        <v>7</v>
      </c>
      <c r="F13" s="161"/>
      <c r="G13" s="162"/>
      <c r="H13" s="162"/>
      <c r="I13" s="162">
        <f>+E13</f>
        <v>7</v>
      </c>
      <c r="J13" s="162"/>
      <c r="K13" s="162"/>
      <c r="L13" s="162"/>
      <c r="M13" s="162"/>
      <c r="N13" s="162"/>
      <c r="O13" s="162"/>
      <c r="P13" s="162"/>
      <c r="Q13" s="162"/>
      <c r="R13" s="162"/>
      <c r="S13" s="162"/>
      <c r="T13" s="162"/>
      <c r="U13" s="162"/>
      <c r="V13" s="162"/>
      <c r="W13" s="162"/>
      <c r="X13" s="162"/>
      <c r="Y13" s="162"/>
      <c r="Z13" s="162"/>
      <c r="AA13" s="159">
        <f t="shared" si="0"/>
        <v>7</v>
      </c>
      <c r="AB13" s="160" t="s">
        <v>4</v>
      </c>
      <c r="AC13" s="149">
        <f t="shared" si="1"/>
        <v>0</v>
      </c>
      <c r="AD13" s="152"/>
      <c r="AE13" s="152"/>
      <c r="AF13" s="149"/>
      <c r="AG13" s="152"/>
      <c r="AH13" s="152"/>
      <c r="AI13" s="152"/>
      <c r="AJ13" s="152"/>
      <c r="AK13" s="152"/>
      <c r="AL13" s="152"/>
      <c r="AM13" s="152"/>
      <c r="AN13" s="152"/>
      <c r="AO13" s="152"/>
      <c r="AP13" s="152"/>
      <c r="AQ13" s="152"/>
      <c r="AR13" s="152"/>
      <c r="AS13" s="152"/>
      <c r="AT13" s="152"/>
      <c r="AU13" s="152"/>
      <c r="AV13" s="152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</row>
    <row r="14" spans="1:90" ht="19.5" customHeight="1" x14ac:dyDescent="0.35">
      <c r="A14" s="219">
        <v>46058</v>
      </c>
      <c r="B14" s="170" t="s">
        <v>100</v>
      </c>
      <c r="C14" s="228" t="s">
        <v>138</v>
      </c>
      <c r="D14" s="143"/>
      <c r="E14" s="179">
        <v>3512.26</v>
      </c>
      <c r="F14" s="161"/>
      <c r="G14" s="162"/>
      <c r="H14" s="162">
        <v>3512.26</v>
      </c>
      <c r="I14" s="162"/>
      <c r="J14" s="162"/>
      <c r="K14" s="162"/>
      <c r="L14" s="162"/>
      <c r="M14" s="162"/>
      <c r="N14" s="162"/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162"/>
      <c r="AA14" s="159">
        <f t="shared" si="0"/>
        <v>3512.26</v>
      </c>
      <c r="AB14" s="160" t="s">
        <v>4</v>
      </c>
      <c r="AC14" s="149">
        <f t="shared" si="1"/>
        <v>0</v>
      </c>
      <c r="AD14" s="152"/>
      <c r="AE14" s="152"/>
      <c r="AF14" s="149"/>
      <c r="AG14" s="152"/>
      <c r="AH14" s="152"/>
      <c r="AI14" s="152"/>
      <c r="AJ14" s="152"/>
      <c r="AK14" s="152"/>
      <c r="AL14" s="152"/>
      <c r="AM14" s="152"/>
      <c r="AN14" s="152"/>
      <c r="AO14" s="152"/>
      <c r="AP14" s="152"/>
      <c r="AQ14" s="152"/>
      <c r="AR14" s="152"/>
      <c r="AS14" s="152"/>
      <c r="AT14" s="152"/>
      <c r="AU14" s="152"/>
      <c r="AV14" s="152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</row>
    <row r="15" spans="1:90" ht="19.5" customHeight="1" x14ac:dyDescent="0.35">
      <c r="A15" s="219">
        <v>46057</v>
      </c>
      <c r="B15" s="170" t="s">
        <v>95</v>
      </c>
      <c r="C15" s="228" t="s">
        <v>96</v>
      </c>
      <c r="D15" s="143"/>
      <c r="E15" s="177">
        <v>7</v>
      </c>
      <c r="F15" s="161"/>
      <c r="G15" s="162"/>
      <c r="H15" s="162"/>
      <c r="I15" s="162">
        <f>+E15</f>
        <v>7</v>
      </c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162"/>
      <c r="AA15" s="159">
        <f t="shared" si="0"/>
        <v>7</v>
      </c>
      <c r="AB15" s="160" t="s">
        <v>4</v>
      </c>
      <c r="AC15" s="149">
        <f t="shared" si="1"/>
        <v>0</v>
      </c>
      <c r="AD15" s="152"/>
      <c r="AE15" s="152"/>
      <c r="AF15" s="149"/>
      <c r="AG15" s="152"/>
      <c r="AH15" s="152"/>
      <c r="AI15" s="152"/>
      <c r="AJ15" s="152"/>
      <c r="AK15" s="152"/>
      <c r="AL15" s="152"/>
      <c r="AM15" s="152"/>
      <c r="AN15" s="152"/>
      <c r="AO15" s="152"/>
      <c r="AP15" s="152"/>
      <c r="AQ15" s="152"/>
      <c r="AR15" s="152"/>
      <c r="AS15" s="152"/>
      <c r="AT15" s="152"/>
      <c r="AU15" s="152"/>
      <c r="AV15" s="152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</row>
    <row r="16" spans="1:90" ht="19.5" customHeight="1" x14ac:dyDescent="0.35">
      <c r="A16" s="219">
        <v>46062</v>
      </c>
      <c r="B16" s="170" t="s">
        <v>99</v>
      </c>
      <c r="C16" s="228" t="s">
        <v>94</v>
      </c>
      <c r="D16" s="143"/>
      <c r="E16" s="179">
        <v>3500</v>
      </c>
      <c r="F16" s="161"/>
      <c r="G16" s="162"/>
      <c r="H16" s="162">
        <f>+E16</f>
        <v>3500</v>
      </c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  <c r="U16" s="162"/>
      <c r="V16" s="162"/>
      <c r="W16" s="162"/>
      <c r="X16" s="162"/>
      <c r="Y16" s="162"/>
      <c r="Z16" s="162"/>
      <c r="AA16" s="159">
        <f t="shared" si="0"/>
        <v>3500</v>
      </c>
      <c r="AB16" s="160" t="s">
        <v>4</v>
      </c>
      <c r="AC16" s="149">
        <f t="shared" si="1"/>
        <v>0</v>
      </c>
      <c r="AD16" s="152"/>
      <c r="AE16" s="152"/>
      <c r="AF16" s="149"/>
      <c r="AG16" s="152"/>
      <c r="AH16" s="152"/>
      <c r="AI16" s="152"/>
      <c r="AJ16" s="152"/>
      <c r="AK16" s="152"/>
      <c r="AL16" s="152"/>
      <c r="AM16" s="152"/>
      <c r="AN16" s="152"/>
      <c r="AO16" s="152"/>
      <c r="AP16" s="152"/>
      <c r="AQ16" s="152"/>
      <c r="AR16" s="152"/>
      <c r="AS16" s="152"/>
      <c r="AT16" s="152"/>
      <c r="AU16" s="152"/>
      <c r="AV16" s="152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</row>
    <row r="17" spans="1:90" ht="19.5" customHeight="1" x14ac:dyDescent="0.35">
      <c r="A17" s="219">
        <v>46062</v>
      </c>
      <c r="B17" s="170" t="s">
        <v>95</v>
      </c>
      <c r="C17" s="228" t="s">
        <v>96</v>
      </c>
      <c r="D17" s="143"/>
      <c r="E17" s="179">
        <v>7</v>
      </c>
      <c r="F17" s="161"/>
      <c r="G17" s="162"/>
      <c r="H17" s="162"/>
      <c r="I17" s="162">
        <f>+E17</f>
        <v>7</v>
      </c>
      <c r="J17" s="162"/>
      <c r="K17" s="162"/>
      <c r="L17" s="162"/>
      <c r="M17" s="162"/>
      <c r="N17" s="162"/>
      <c r="O17" s="163"/>
      <c r="P17" s="149"/>
      <c r="Q17" s="162"/>
      <c r="R17" s="162"/>
      <c r="S17" s="162"/>
      <c r="T17" s="162"/>
      <c r="U17" s="162"/>
      <c r="V17" s="162"/>
      <c r="W17" s="162"/>
      <c r="X17" s="162"/>
      <c r="Y17" s="162"/>
      <c r="Z17" s="162"/>
      <c r="AA17" s="159">
        <f t="shared" si="0"/>
        <v>7</v>
      </c>
      <c r="AB17" s="160" t="s">
        <v>4</v>
      </c>
      <c r="AC17" s="149">
        <f t="shared" si="1"/>
        <v>0</v>
      </c>
      <c r="AD17" s="152"/>
      <c r="AE17" s="152"/>
      <c r="AF17" s="149"/>
      <c r="AG17" s="152"/>
      <c r="AH17" s="152"/>
      <c r="AI17" s="152"/>
      <c r="AJ17" s="152"/>
      <c r="AK17" s="152"/>
      <c r="AL17" s="152"/>
      <c r="AM17" s="152"/>
      <c r="AN17" s="152"/>
      <c r="AO17" s="152"/>
      <c r="AP17" s="152"/>
      <c r="AQ17" s="152"/>
      <c r="AR17" s="152"/>
      <c r="AS17" s="152"/>
      <c r="AT17" s="152"/>
      <c r="AU17" s="152"/>
      <c r="AV17" s="152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</row>
    <row r="18" spans="1:90" ht="19.5" customHeight="1" x14ac:dyDescent="0.35">
      <c r="A18" s="219">
        <v>46063</v>
      </c>
      <c r="B18" s="170" t="s">
        <v>101</v>
      </c>
      <c r="C18" s="228" t="s">
        <v>102</v>
      </c>
      <c r="D18" s="143"/>
      <c r="E18" s="177">
        <v>58424.49</v>
      </c>
      <c r="F18" s="161"/>
      <c r="G18" s="162"/>
      <c r="H18" s="162"/>
      <c r="I18" s="162"/>
      <c r="J18" s="162"/>
      <c r="K18" s="162">
        <f>+E18</f>
        <v>58424.49</v>
      </c>
      <c r="L18" s="162"/>
      <c r="M18" s="162"/>
      <c r="N18" s="162"/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162"/>
      <c r="AA18" s="159">
        <f t="shared" si="0"/>
        <v>58424.49</v>
      </c>
      <c r="AB18" s="160" t="s">
        <v>4</v>
      </c>
      <c r="AC18" s="149">
        <f t="shared" si="1"/>
        <v>0</v>
      </c>
      <c r="AD18" s="152"/>
      <c r="AE18" s="152"/>
      <c r="AF18" s="149"/>
      <c r="AG18" s="152"/>
      <c r="AH18" s="152"/>
      <c r="AI18" s="152"/>
      <c r="AJ18" s="152"/>
      <c r="AK18" s="152"/>
      <c r="AL18" s="152"/>
      <c r="AM18" s="152"/>
      <c r="AN18" s="152"/>
      <c r="AO18" s="152"/>
      <c r="AP18" s="152"/>
      <c r="AQ18" s="152"/>
      <c r="AR18" s="152"/>
      <c r="AS18" s="152"/>
      <c r="AT18" s="152"/>
      <c r="AU18" s="152"/>
      <c r="AV18" s="152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</row>
    <row r="19" spans="1:90" ht="19.5" customHeight="1" x14ac:dyDescent="0.35">
      <c r="A19" s="219">
        <v>46063</v>
      </c>
      <c r="B19" s="170" t="s">
        <v>95</v>
      </c>
      <c r="C19" s="228" t="s">
        <v>96</v>
      </c>
      <c r="D19" s="143"/>
      <c r="E19" s="179">
        <v>7</v>
      </c>
      <c r="F19" s="161"/>
      <c r="G19" s="162"/>
      <c r="H19" s="162"/>
      <c r="I19" s="162">
        <f>+E19</f>
        <v>7</v>
      </c>
      <c r="J19" s="162"/>
      <c r="K19" s="162"/>
      <c r="L19" s="162"/>
      <c r="M19" s="162"/>
      <c r="N19" s="162"/>
      <c r="O19" s="162"/>
      <c r="P19" s="162"/>
      <c r="Q19" s="162"/>
      <c r="R19" s="162"/>
      <c r="S19" s="162"/>
      <c r="T19" s="162"/>
      <c r="U19" s="162"/>
      <c r="V19" s="162"/>
      <c r="W19" s="162"/>
      <c r="X19" s="162"/>
      <c r="Y19" s="162"/>
      <c r="Z19" s="162"/>
      <c r="AA19" s="159">
        <f t="shared" si="0"/>
        <v>7</v>
      </c>
      <c r="AB19" s="160" t="s">
        <v>4</v>
      </c>
      <c r="AC19" s="149">
        <f t="shared" si="1"/>
        <v>0</v>
      </c>
      <c r="AD19" s="152"/>
      <c r="AE19" s="152"/>
      <c r="AF19" s="149"/>
      <c r="AG19" s="152"/>
      <c r="AH19" s="152"/>
      <c r="AI19" s="152"/>
      <c r="AJ19" s="152"/>
      <c r="AK19" s="152"/>
      <c r="AL19" s="152"/>
      <c r="AM19" s="152"/>
      <c r="AN19" s="152"/>
      <c r="AO19" s="152"/>
      <c r="AP19" s="152"/>
      <c r="AQ19" s="152"/>
      <c r="AR19" s="152"/>
      <c r="AS19" s="152"/>
      <c r="AT19" s="152"/>
      <c r="AU19" s="152"/>
      <c r="AV19" s="152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</row>
    <row r="20" spans="1:90" ht="19.5" customHeight="1" x14ac:dyDescent="0.35">
      <c r="A20" s="219">
        <v>46067</v>
      </c>
      <c r="B20" s="170" t="s">
        <v>103</v>
      </c>
      <c r="C20" s="228" t="s">
        <v>104</v>
      </c>
      <c r="D20" s="143"/>
      <c r="E20" s="179">
        <v>4263</v>
      </c>
      <c r="F20" s="161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  <c r="R20" s="162">
        <f>+E20</f>
        <v>4263</v>
      </c>
      <c r="S20" s="162"/>
      <c r="T20" s="162"/>
      <c r="U20" s="162"/>
      <c r="V20" s="162"/>
      <c r="W20" s="162"/>
      <c r="X20" s="162"/>
      <c r="Y20" s="162"/>
      <c r="Z20" s="162"/>
      <c r="AA20" s="159">
        <f t="shared" si="0"/>
        <v>4263</v>
      </c>
      <c r="AB20" s="160" t="s">
        <v>4</v>
      </c>
      <c r="AC20" s="149">
        <f t="shared" si="1"/>
        <v>0</v>
      </c>
      <c r="AD20" s="152"/>
      <c r="AE20" s="152"/>
      <c r="AF20" s="149"/>
      <c r="AG20" s="152"/>
      <c r="AH20" s="152"/>
      <c r="AI20" s="152"/>
      <c r="AJ20" s="152"/>
      <c r="AK20" s="152"/>
      <c r="AL20" s="152"/>
      <c r="AM20" s="152"/>
      <c r="AN20" s="152"/>
      <c r="AO20" s="152"/>
      <c r="AP20" s="152"/>
      <c r="AQ20" s="152"/>
      <c r="AR20" s="152"/>
      <c r="AS20" s="152"/>
      <c r="AT20" s="152"/>
      <c r="AU20" s="152"/>
      <c r="AV20" s="152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</row>
    <row r="21" spans="1:90" ht="19.5" customHeight="1" x14ac:dyDescent="0.35">
      <c r="A21" s="219">
        <v>46071</v>
      </c>
      <c r="B21" s="170" t="s">
        <v>99</v>
      </c>
      <c r="C21" s="228" t="s">
        <v>94</v>
      </c>
      <c r="D21" s="143"/>
      <c r="E21" s="179">
        <v>500</v>
      </c>
      <c r="F21" s="161"/>
      <c r="G21" s="162"/>
      <c r="H21" s="162">
        <f>+E21</f>
        <v>500</v>
      </c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  <c r="AA21" s="159">
        <f t="shared" si="0"/>
        <v>500</v>
      </c>
      <c r="AB21" s="160" t="s">
        <v>4</v>
      </c>
      <c r="AC21" s="149">
        <f t="shared" si="1"/>
        <v>0</v>
      </c>
      <c r="AD21" s="152"/>
      <c r="AE21" s="152"/>
      <c r="AF21" s="149"/>
      <c r="AG21" s="152"/>
      <c r="AH21" s="152"/>
      <c r="AI21" s="152"/>
      <c r="AJ21" s="152"/>
      <c r="AK21" s="152"/>
      <c r="AL21" s="152"/>
      <c r="AM21" s="152"/>
      <c r="AN21" s="152"/>
      <c r="AO21" s="152"/>
      <c r="AP21" s="152"/>
      <c r="AQ21" s="152"/>
      <c r="AR21" s="152"/>
      <c r="AS21" s="152"/>
      <c r="AT21" s="152"/>
      <c r="AU21" s="152"/>
      <c r="AV21" s="152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</row>
    <row r="22" spans="1:90" ht="19.5" customHeight="1" x14ac:dyDescent="0.35">
      <c r="A22" s="219">
        <v>46071</v>
      </c>
      <c r="B22" s="170" t="s">
        <v>95</v>
      </c>
      <c r="C22" s="228" t="s">
        <v>96</v>
      </c>
      <c r="D22" s="143"/>
      <c r="E22" s="179">
        <v>7</v>
      </c>
      <c r="F22" s="161"/>
      <c r="G22" s="162"/>
      <c r="H22" s="162"/>
      <c r="I22" s="162">
        <f>+E22</f>
        <v>7</v>
      </c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59">
        <f t="shared" si="0"/>
        <v>7</v>
      </c>
      <c r="AB22" s="160" t="s">
        <v>4</v>
      </c>
      <c r="AC22" s="149">
        <f t="shared" si="1"/>
        <v>0</v>
      </c>
      <c r="AD22" s="152"/>
      <c r="AE22" s="152"/>
      <c r="AF22" s="149"/>
      <c r="AG22" s="152"/>
      <c r="AH22" s="152"/>
      <c r="AI22" s="152"/>
      <c r="AJ22" s="152"/>
      <c r="AK22" s="152"/>
      <c r="AL22" s="152"/>
      <c r="AM22" s="152"/>
      <c r="AN22" s="152"/>
      <c r="AO22" s="152"/>
      <c r="AP22" s="152"/>
      <c r="AQ22" s="152"/>
      <c r="AR22" s="152"/>
      <c r="AS22" s="152"/>
      <c r="AT22" s="152"/>
      <c r="AU22" s="152"/>
      <c r="AV22" s="15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</row>
    <row r="23" spans="1:90" ht="19.5" customHeight="1" x14ac:dyDescent="0.35">
      <c r="A23" s="219">
        <v>46071</v>
      </c>
      <c r="B23" s="169" t="s">
        <v>105</v>
      </c>
      <c r="C23" s="228" t="s">
        <v>106</v>
      </c>
      <c r="D23" s="143"/>
      <c r="E23" s="177">
        <v>37386.800000000003</v>
      </c>
      <c r="F23" s="161"/>
      <c r="G23" s="162"/>
      <c r="H23" s="162"/>
      <c r="I23" s="162"/>
      <c r="J23" s="162">
        <f>+E23</f>
        <v>37386.800000000003</v>
      </c>
      <c r="K23" s="162"/>
      <c r="L23" s="162"/>
      <c r="M23" s="162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162"/>
      <c r="AA23" s="159">
        <f t="shared" si="0"/>
        <v>37386.800000000003</v>
      </c>
      <c r="AB23" s="160" t="s">
        <v>4</v>
      </c>
      <c r="AC23" s="149">
        <f t="shared" si="1"/>
        <v>0</v>
      </c>
      <c r="AD23" s="152"/>
      <c r="AE23" s="152"/>
      <c r="AF23" s="149"/>
      <c r="AG23" s="152"/>
      <c r="AH23" s="152"/>
      <c r="AI23" s="152"/>
      <c r="AJ23" s="152"/>
      <c r="AK23" s="152"/>
      <c r="AL23" s="152"/>
      <c r="AM23" s="152"/>
      <c r="AN23" s="152"/>
      <c r="AO23" s="152"/>
      <c r="AP23" s="152"/>
      <c r="AQ23" s="152"/>
      <c r="AR23" s="152"/>
      <c r="AS23" s="152"/>
      <c r="AT23" s="152"/>
      <c r="AU23" s="152"/>
      <c r="AV23" s="152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</row>
    <row r="24" spans="1:90" ht="19.5" customHeight="1" x14ac:dyDescent="0.35">
      <c r="A24" s="219">
        <v>46071</v>
      </c>
      <c r="B24" s="170" t="s">
        <v>95</v>
      </c>
      <c r="C24" s="228" t="s">
        <v>96</v>
      </c>
      <c r="D24" s="143"/>
      <c r="E24" s="179">
        <v>7</v>
      </c>
      <c r="F24" s="161"/>
      <c r="G24" s="162"/>
      <c r="H24" s="162"/>
      <c r="I24" s="162">
        <f>+E24</f>
        <v>7</v>
      </c>
      <c r="J24" s="162"/>
      <c r="K24" s="162"/>
      <c r="L24" s="162"/>
      <c r="M24" s="162"/>
      <c r="N24" s="162"/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  <c r="AA24" s="159">
        <f t="shared" si="0"/>
        <v>7</v>
      </c>
      <c r="AB24" s="160" t="s">
        <v>4</v>
      </c>
      <c r="AC24" s="149">
        <f t="shared" si="1"/>
        <v>0</v>
      </c>
      <c r="AD24" s="152"/>
      <c r="AE24" s="152"/>
      <c r="AF24" s="149"/>
      <c r="AG24" s="152"/>
      <c r="AH24" s="152"/>
      <c r="AI24" s="152"/>
      <c r="AJ24" s="152"/>
      <c r="AK24" s="152"/>
      <c r="AL24" s="152"/>
      <c r="AM24" s="152"/>
      <c r="AN24" s="152"/>
      <c r="AO24" s="152"/>
      <c r="AP24" s="152"/>
      <c r="AQ24" s="152"/>
      <c r="AR24" s="152"/>
      <c r="AS24" s="152"/>
      <c r="AT24" s="152"/>
      <c r="AU24" s="152"/>
      <c r="AV24" s="152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</row>
    <row r="25" spans="1:90" ht="19.5" customHeight="1" x14ac:dyDescent="0.35">
      <c r="A25" s="219">
        <v>46072</v>
      </c>
      <c r="B25" s="169" t="s">
        <v>107</v>
      </c>
      <c r="C25" s="228" t="s">
        <v>108</v>
      </c>
      <c r="D25" s="143"/>
      <c r="E25" s="179">
        <v>146740</v>
      </c>
      <c r="F25" s="161"/>
      <c r="G25" s="162"/>
      <c r="H25" s="162"/>
      <c r="I25" s="162"/>
      <c r="J25" s="162">
        <f>+E25</f>
        <v>146740</v>
      </c>
      <c r="K25" s="162"/>
      <c r="L25" s="162"/>
      <c r="M25" s="162"/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  <c r="AA25" s="159">
        <f t="shared" si="0"/>
        <v>146740</v>
      </c>
      <c r="AB25" s="160" t="s">
        <v>4</v>
      </c>
      <c r="AC25" s="149">
        <f t="shared" si="1"/>
        <v>0</v>
      </c>
      <c r="AD25" s="152"/>
      <c r="AE25" s="152"/>
      <c r="AF25" s="149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</row>
    <row r="26" spans="1:90" ht="19.5" customHeight="1" x14ac:dyDescent="0.35">
      <c r="A26" s="219">
        <v>46072</v>
      </c>
      <c r="B26" s="170" t="s">
        <v>95</v>
      </c>
      <c r="C26" s="228" t="s">
        <v>96</v>
      </c>
      <c r="D26" s="143"/>
      <c r="E26" s="179">
        <v>7</v>
      </c>
      <c r="F26" s="161"/>
      <c r="G26" s="162"/>
      <c r="H26" s="162"/>
      <c r="I26" s="162">
        <v>7</v>
      </c>
      <c r="J26" s="162"/>
      <c r="K26" s="162"/>
      <c r="L26" s="162"/>
      <c r="M26" s="162"/>
      <c r="N26" s="162"/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  <c r="AA26" s="159">
        <f t="shared" si="0"/>
        <v>7</v>
      </c>
      <c r="AB26" s="160" t="s">
        <v>4</v>
      </c>
      <c r="AC26" s="149">
        <f t="shared" si="1"/>
        <v>0</v>
      </c>
      <c r="AD26" s="152"/>
      <c r="AE26" s="152"/>
      <c r="AF26" s="149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</row>
    <row r="27" spans="1:90" ht="19.5" customHeight="1" x14ac:dyDescent="0.35">
      <c r="A27" s="219">
        <v>46076</v>
      </c>
      <c r="B27" s="169" t="s">
        <v>109</v>
      </c>
      <c r="C27" s="228" t="s">
        <v>102</v>
      </c>
      <c r="D27" s="143"/>
      <c r="E27" s="179">
        <v>4470.6099999999997</v>
      </c>
      <c r="F27" s="161"/>
      <c r="G27" s="162"/>
      <c r="H27" s="162"/>
      <c r="I27" s="162"/>
      <c r="J27" s="162"/>
      <c r="K27" s="162">
        <f>+E27</f>
        <v>4470.6099999999997</v>
      </c>
      <c r="L27" s="162"/>
      <c r="M27" s="162"/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  <c r="AA27" s="159">
        <f t="shared" si="0"/>
        <v>4470.6099999999997</v>
      </c>
      <c r="AB27" s="160" t="s">
        <v>4</v>
      </c>
      <c r="AC27" s="149">
        <f t="shared" si="1"/>
        <v>0</v>
      </c>
      <c r="AD27" s="152"/>
      <c r="AE27" s="152"/>
      <c r="AF27" s="149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</row>
    <row r="28" spans="1:90" ht="19.5" customHeight="1" x14ac:dyDescent="0.35">
      <c r="A28" s="219">
        <v>46076</v>
      </c>
      <c r="B28" s="170" t="s">
        <v>95</v>
      </c>
      <c r="C28" s="228" t="s">
        <v>96</v>
      </c>
      <c r="D28" s="143"/>
      <c r="E28" s="179">
        <v>7</v>
      </c>
      <c r="F28" s="161"/>
      <c r="G28" s="162"/>
      <c r="H28" s="162"/>
      <c r="I28" s="162">
        <v>7</v>
      </c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59">
        <f t="shared" si="0"/>
        <v>7</v>
      </c>
      <c r="AB28" s="160" t="s">
        <v>4</v>
      </c>
      <c r="AC28" s="149">
        <f t="shared" si="1"/>
        <v>0</v>
      </c>
      <c r="AD28" s="152"/>
      <c r="AE28" s="152"/>
      <c r="AF28" s="149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</row>
    <row r="29" spans="1:90" ht="19.5" customHeight="1" x14ac:dyDescent="0.35">
      <c r="A29" s="219">
        <v>46076</v>
      </c>
      <c r="B29" s="170" t="s">
        <v>110</v>
      </c>
      <c r="C29" s="228" t="s">
        <v>111</v>
      </c>
      <c r="D29" s="143"/>
      <c r="E29" s="179">
        <v>20787.2</v>
      </c>
      <c r="F29" s="161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>
        <f>+E29</f>
        <v>20787.2</v>
      </c>
      <c r="Z29" s="162"/>
      <c r="AA29" s="159">
        <f t="shared" si="0"/>
        <v>20787.2</v>
      </c>
      <c r="AB29" s="160" t="s">
        <v>4</v>
      </c>
      <c r="AC29" s="149">
        <f t="shared" si="1"/>
        <v>0</v>
      </c>
      <c r="AD29" s="152"/>
      <c r="AE29" s="188"/>
      <c r="AF29" s="149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</row>
    <row r="30" spans="1:90" ht="19.5" customHeight="1" x14ac:dyDescent="0.35">
      <c r="A30" s="219">
        <v>46076</v>
      </c>
      <c r="B30" s="170" t="s">
        <v>95</v>
      </c>
      <c r="C30" s="228" t="s">
        <v>96</v>
      </c>
      <c r="D30" s="143"/>
      <c r="E30" s="179">
        <v>120</v>
      </c>
      <c r="F30" s="161"/>
      <c r="G30" s="162"/>
      <c r="H30" s="162"/>
      <c r="I30" s="162">
        <v>120</v>
      </c>
      <c r="J30" s="162"/>
      <c r="K30" s="162"/>
      <c r="L30" s="162"/>
      <c r="M30" s="162"/>
      <c r="N30" s="162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59">
        <f t="shared" si="0"/>
        <v>120</v>
      </c>
      <c r="AB30" s="160" t="s">
        <v>4</v>
      </c>
      <c r="AC30" s="149">
        <f t="shared" si="1"/>
        <v>0</v>
      </c>
      <c r="AD30" s="152"/>
      <c r="AE30" s="152"/>
      <c r="AF30" s="149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</row>
    <row r="31" spans="1:90" ht="19.5" customHeight="1" x14ac:dyDescent="0.35">
      <c r="A31" s="219">
        <v>46076</v>
      </c>
      <c r="B31" s="169" t="s">
        <v>112</v>
      </c>
      <c r="C31" s="228" t="s">
        <v>113</v>
      </c>
      <c r="D31" s="143"/>
      <c r="E31" s="180">
        <v>1409.68</v>
      </c>
      <c r="F31" s="161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>
        <f>+E31</f>
        <v>1409.68</v>
      </c>
      <c r="R31" s="162"/>
      <c r="S31" s="162"/>
      <c r="T31" s="162"/>
      <c r="U31" s="162"/>
      <c r="V31" s="162"/>
      <c r="W31" s="162"/>
      <c r="X31" s="162"/>
      <c r="Y31" s="162"/>
      <c r="Z31" s="162"/>
      <c r="AA31" s="159">
        <f t="shared" si="0"/>
        <v>1409.68</v>
      </c>
      <c r="AB31" s="160" t="s">
        <v>4</v>
      </c>
      <c r="AC31" s="149">
        <f t="shared" si="1"/>
        <v>0</v>
      </c>
      <c r="AD31" s="152"/>
      <c r="AE31" s="152"/>
      <c r="AF31" s="149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</row>
    <row r="32" spans="1:90" ht="19.5" customHeight="1" x14ac:dyDescent="0.35">
      <c r="A32" s="219">
        <v>46076</v>
      </c>
      <c r="B32" s="170" t="s">
        <v>114</v>
      </c>
      <c r="C32" s="228" t="s">
        <v>115</v>
      </c>
      <c r="D32" s="143"/>
      <c r="E32" s="169">
        <v>21558.6</v>
      </c>
      <c r="F32" s="161"/>
      <c r="G32" s="162"/>
      <c r="H32" s="162"/>
      <c r="I32" s="162"/>
      <c r="J32" s="162"/>
      <c r="K32" s="162"/>
      <c r="L32" s="162">
        <f>+E32</f>
        <v>21558.6</v>
      </c>
      <c r="M32" s="162"/>
      <c r="N32" s="162"/>
      <c r="O32" s="162"/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  <c r="AA32" s="159">
        <f t="shared" si="0"/>
        <v>21558.6</v>
      </c>
      <c r="AB32" s="160" t="s">
        <v>4</v>
      </c>
      <c r="AC32" s="149">
        <f t="shared" si="1"/>
        <v>0</v>
      </c>
      <c r="AD32" s="152"/>
      <c r="AE32" s="152"/>
      <c r="AF32" s="149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</row>
    <row r="33" spans="1:90" ht="19.5" customHeight="1" x14ac:dyDescent="0.35">
      <c r="A33" s="219">
        <v>46076</v>
      </c>
      <c r="B33" s="170" t="s">
        <v>95</v>
      </c>
      <c r="C33" s="228" t="s">
        <v>96</v>
      </c>
      <c r="D33" s="143"/>
      <c r="E33" s="169">
        <v>7</v>
      </c>
      <c r="F33" s="161"/>
      <c r="G33" s="162"/>
      <c r="H33" s="162"/>
      <c r="I33" s="162">
        <v>7</v>
      </c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  <c r="W33" s="162"/>
      <c r="X33" s="162"/>
      <c r="Y33" s="162"/>
      <c r="Z33" s="162"/>
      <c r="AA33" s="159">
        <f t="shared" si="0"/>
        <v>7</v>
      </c>
      <c r="AB33" s="160" t="s">
        <v>4</v>
      </c>
      <c r="AC33" s="149">
        <f t="shared" si="1"/>
        <v>0</v>
      </c>
      <c r="AD33" s="152"/>
      <c r="AE33" s="152"/>
      <c r="AF33" s="149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</row>
    <row r="34" spans="1:90" ht="19.5" customHeight="1" x14ac:dyDescent="0.35">
      <c r="A34" s="219">
        <v>46078</v>
      </c>
      <c r="B34" s="170" t="s">
        <v>147</v>
      </c>
      <c r="C34" s="228" t="s">
        <v>116</v>
      </c>
      <c r="D34" s="143"/>
      <c r="E34" s="169">
        <v>310752.26</v>
      </c>
      <c r="F34" s="161">
        <f>+'[1]Folha de salarios'!$AH$10</f>
        <v>169068.41666666669</v>
      </c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  <c r="R34" s="162"/>
      <c r="S34" s="162"/>
      <c r="T34" s="162"/>
      <c r="U34" s="162"/>
      <c r="V34" s="162">
        <f>+'[1]Folha de salarios'!$AH$18</f>
        <v>35109.333333333336</v>
      </c>
      <c r="W34" s="162">
        <f>+'[1]Folha de salarios'!$AH$21</f>
        <v>65199.916666666672</v>
      </c>
      <c r="X34" s="162">
        <f>+'[1]Folha de salarios'!$AH$25</f>
        <v>38723.333333333328</v>
      </c>
      <c r="Y34" s="162">
        <f>+'[1]Folha de salarios'!$AH$28</f>
        <v>43125</v>
      </c>
      <c r="Z34" s="162"/>
      <c r="AA34" s="159">
        <f t="shared" si="0"/>
        <v>351226</v>
      </c>
      <c r="AB34" s="160" t="s">
        <v>4</v>
      </c>
      <c r="AC34" s="149">
        <f t="shared" si="1"/>
        <v>-40473.739999999991</v>
      </c>
      <c r="AD34" s="152"/>
      <c r="AE34" s="152"/>
      <c r="AF34" s="149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  <c r="AS34" s="152"/>
      <c r="AT34" s="152"/>
      <c r="AU34" s="152"/>
      <c r="AV34" s="152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</row>
    <row r="35" spans="1:90" ht="19.5" customHeight="1" x14ac:dyDescent="0.35">
      <c r="A35" s="219">
        <v>46078</v>
      </c>
      <c r="B35" s="170" t="s">
        <v>95</v>
      </c>
      <c r="C35" s="228" t="s">
        <v>96</v>
      </c>
      <c r="D35" s="143"/>
      <c r="E35" s="169">
        <v>254</v>
      </c>
      <c r="F35" s="161"/>
      <c r="G35" s="162"/>
      <c r="H35" s="162"/>
      <c r="I35" s="162">
        <f>+E35</f>
        <v>254</v>
      </c>
      <c r="J35" s="162"/>
      <c r="K35" s="162"/>
      <c r="L35" s="162"/>
      <c r="M35" s="162"/>
      <c r="N35" s="162"/>
      <c r="O35" s="162"/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  <c r="AA35" s="159">
        <f t="shared" si="0"/>
        <v>254</v>
      </c>
      <c r="AB35" s="160" t="s">
        <v>4</v>
      </c>
      <c r="AC35" s="149">
        <f t="shared" si="1"/>
        <v>0</v>
      </c>
      <c r="AD35" s="152"/>
      <c r="AE35" s="152"/>
      <c r="AF35" s="149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  <c r="AS35" s="152"/>
      <c r="AT35" s="152"/>
      <c r="AU35" s="152"/>
      <c r="AV35" s="152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</row>
    <row r="36" spans="1:90" ht="19.5" customHeight="1" x14ac:dyDescent="0.35">
      <c r="A36" s="219">
        <v>46079</v>
      </c>
      <c r="B36" s="185" t="s">
        <v>117</v>
      </c>
      <c r="C36" s="186" t="s">
        <v>52</v>
      </c>
      <c r="D36" s="143"/>
      <c r="E36" s="169">
        <v>755</v>
      </c>
      <c r="F36" s="161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>
        <f>+E36</f>
        <v>755</v>
      </c>
      <c r="T36" s="162"/>
      <c r="U36" s="162"/>
      <c r="V36" s="162"/>
      <c r="W36" s="162"/>
      <c r="X36" s="162"/>
      <c r="Y36" s="162"/>
      <c r="Z36" s="162"/>
      <c r="AA36" s="159">
        <f t="shared" si="0"/>
        <v>755</v>
      </c>
      <c r="AB36" s="160" t="s">
        <v>4</v>
      </c>
      <c r="AC36" s="149">
        <f t="shared" si="1"/>
        <v>0</v>
      </c>
      <c r="AD36" s="152"/>
      <c r="AE36" s="152"/>
      <c r="AF36" s="149"/>
      <c r="AG36" s="152"/>
      <c r="AH36" s="152"/>
      <c r="AI36" s="152"/>
      <c r="AJ36" s="152"/>
      <c r="AK36" s="152"/>
      <c r="AL36" s="152"/>
      <c r="AM36" s="152"/>
      <c r="AN36" s="152"/>
      <c r="AO36" s="152"/>
      <c r="AP36" s="152"/>
      <c r="AQ36" s="152"/>
      <c r="AR36" s="152"/>
      <c r="AS36" s="152"/>
      <c r="AT36" s="152"/>
      <c r="AU36" s="152"/>
      <c r="AV36" s="152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</row>
    <row r="37" spans="1:90" ht="19.5" customHeight="1" x14ac:dyDescent="0.35">
      <c r="A37" s="219">
        <v>46079</v>
      </c>
      <c r="B37" s="187" t="s">
        <v>118</v>
      </c>
      <c r="C37" s="186" t="s">
        <v>104</v>
      </c>
      <c r="D37" s="143"/>
      <c r="E37" s="169">
        <v>1465</v>
      </c>
      <c r="F37" s="161"/>
      <c r="G37" s="162"/>
      <c r="H37" s="162"/>
      <c r="I37" s="162"/>
      <c r="J37" s="162"/>
      <c r="K37" s="162"/>
      <c r="L37" s="162">
        <f>+E37</f>
        <v>1465</v>
      </c>
      <c r="M37" s="162"/>
      <c r="N37" s="162"/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  <c r="AA37" s="159">
        <f t="shared" si="0"/>
        <v>1465</v>
      </c>
      <c r="AB37" s="160" t="s">
        <v>4</v>
      </c>
      <c r="AC37" s="149">
        <f t="shared" si="1"/>
        <v>0</v>
      </c>
      <c r="AD37" s="152"/>
      <c r="AE37" s="152"/>
      <c r="AF37" s="149"/>
      <c r="AG37" s="152"/>
      <c r="AH37" s="152"/>
      <c r="AI37" s="152"/>
      <c r="AJ37" s="152"/>
      <c r="AK37" s="152"/>
      <c r="AL37" s="152"/>
      <c r="AM37" s="152"/>
      <c r="AN37" s="152"/>
      <c r="AO37" s="152"/>
      <c r="AP37" s="152"/>
      <c r="AQ37" s="152"/>
      <c r="AR37" s="152"/>
      <c r="AS37" s="152"/>
      <c r="AT37" s="152"/>
      <c r="AU37" s="152"/>
      <c r="AV37" s="152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</row>
    <row r="38" spans="1:90" ht="19.5" customHeight="1" x14ac:dyDescent="0.35">
      <c r="A38" s="219">
        <v>46080</v>
      </c>
      <c r="B38" s="169" t="s">
        <v>119</v>
      </c>
      <c r="C38" s="228" t="s">
        <v>104</v>
      </c>
      <c r="D38" s="143"/>
      <c r="E38" s="179">
        <v>1250</v>
      </c>
      <c r="F38" s="161"/>
      <c r="G38" s="162"/>
      <c r="H38" s="162"/>
      <c r="I38" s="162"/>
      <c r="J38" s="162"/>
      <c r="K38" s="162"/>
      <c r="L38" s="162">
        <f>+E38</f>
        <v>1250</v>
      </c>
      <c r="M38" s="162"/>
      <c r="N38" s="162"/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  <c r="AA38" s="159">
        <f t="shared" si="0"/>
        <v>1250</v>
      </c>
      <c r="AB38" s="160" t="s">
        <v>4</v>
      </c>
      <c r="AC38" s="149">
        <f t="shared" si="1"/>
        <v>0</v>
      </c>
      <c r="AD38" s="152"/>
      <c r="AE38" s="152"/>
      <c r="AF38" s="149"/>
      <c r="AG38" s="152"/>
      <c r="AH38" s="152"/>
      <c r="AI38" s="152"/>
      <c r="AJ38" s="152"/>
      <c r="AK38" s="152"/>
      <c r="AL38" s="152"/>
      <c r="AM38" s="152"/>
      <c r="AN38" s="152"/>
      <c r="AO38" s="152"/>
      <c r="AP38" s="152"/>
      <c r="AQ38" s="152"/>
      <c r="AR38" s="152"/>
      <c r="AS38" s="152"/>
      <c r="AT38" s="152"/>
      <c r="AU38" s="152"/>
      <c r="AV38" s="152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</row>
    <row r="39" spans="1:90" ht="19.5" customHeight="1" x14ac:dyDescent="0.35">
      <c r="A39" s="219">
        <v>46081</v>
      </c>
      <c r="B39" s="169" t="s">
        <v>146</v>
      </c>
      <c r="C39" s="228" t="s">
        <v>70</v>
      </c>
      <c r="D39" s="143"/>
      <c r="E39" s="179">
        <f>+'[1]Folha de salarios'!$AC$32</f>
        <v>24585.820000000007</v>
      </c>
      <c r="F39" s="161">
        <f>+F34*0.04</f>
        <v>6762.7366666666676</v>
      </c>
      <c r="G39" s="162"/>
      <c r="H39" s="162">
        <f>+'[1]Folha de salarios'!$AC$31</f>
        <v>10536.78</v>
      </c>
      <c r="I39" s="162"/>
      <c r="J39" s="162"/>
      <c r="K39" s="162"/>
      <c r="L39" s="162"/>
      <c r="M39" s="162"/>
      <c r="N39" s="162"/>
      <c r="O39" s="162"/>
      <c r="P39" s="162"/>
      <c r="Q39" s="162"/>
      <c r="R39" s="162"/>
      <c r="S39" s="162"/>
      <c r="T39" s="162"/>
      <c r="U39" s="162"/>
      <c r="V39" s="162">
        <f>+V34*0.04</f>
        <v>1404.3733333333334</v>
      </c>
      <c r="W39" s="162">
        <f>+W34*0.04</f>
        <v>2607.9966666666669</v>
      </c>
      <c r="X39" s="162">
        <f>+X34*0.04</f>
        <v>1548.9333333333332</v>
      </c>
      <c r="Y39" s="162">
        <f>+Y34*0.04</f>
        <v>1725</v>
      </c>
      <c r="Z39" s="162"/>
      <c r="AA39" s="159">
        <f t="shared" si="0"/>
        <v>24585.820000000003</v>
      </c>
      <c r="AB39" s="160" t="s">
        <v>4</v>
      </c>
      <c r="AC39" s="149">
        <f t="shared" si="1"/>
        <v>0</v>
      </c>
      <c r="AD39" s="152"/>
      <c r="AE39" s="152"/>
      <c r="AF39" s="149"/>
      <c r="AG39" s="152"/>
      <c r="AH39" s="152"/>
      <c r="AI39" s="152"/>
      <c r="AJ39" s="152"/>
      <c r="AK39" s="152"/>
      <c r="AL39" s="152"/>
      <c r="AM39" s="152"/>
      <c r="AN39" s="152"/>
      <c r="AO39" s="152"/>
      <c r="AP39" s="152"/>
      <c r="AQ39" s="152"/>
      <c r="AR39" s="152"/>
      <c r="AS39" s="152"/>
      <c r="AT39" s="152"/>
      <c r="AU39" s="152"/>
      <c r="AV39" s="152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</row>
    <row r="40" spans="1:90" ht="19.5" customHeight="1" x14ac:dyDescent="0.35">
      <c r="A40" s="219">
        <v>46081</v>
      </c>
      <c r="B40" s="169" t="s">
        <v>146</v>
      </c>
      <c r="C40" s="228" t="s">
        <v>69</v>
      </c>
      <c r="D40" s="143"/>
      <c r="E40" s="179">
        <v>10437.5</v>
      </c>
      <c r="F40" s="161"/>
      <c r="G40" s="162"/>
      <c r="H40" s="162">
        <f>+E40</f>
        <v>10437.5</v>
      </c>
      <c r="I40" s="162"/>
      <c r="J40" s="162"/>
      <c r="K40" s="162"/>
      <c r="L40" s="162"/>
      <c r="M40" s="162"/>
      <c r="N40" s="162"/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  <c r="AA40" s="159">
        <f t="shared" ref="AA40" si="2">SUM(F40:Z40)</f>
        <v>10437.5</v>
      </c>
      <c r="AB40" s="160" t="s">
        <v>4</v>
      </c>
      <c r="AC40" s="149">
        <f t="shared" si="1"/>
        <v>0</v>
      </c>
      <c r="AD40" s="152"/>
      <c r="AE40" s="152"/>
      <c r="AF40" s="149"/>
      <c r="AG40" s="152"/>
      <c r="AH40" s="152"/>
      <c r="AI40" s="152"/>
      <c r="AJ40" s="152"/>
      <c r="AK40" s="152"/>
      <c r="AL40" s="152"/>
      <c r="AM40" s="152"/>
      <c r="AN40" s="152"/>
      <c r="AO40" s="152"/>
      <c r="AP40" s="152"/>
      <c r="AQ40" s="152"/>
      <c r="AR40" s="152"/>
      <c r="AS40" s="152"/>
      <c r="AT40" s="152"/>
      <c r="AU40" s="152"/>
      <c r="AV40" s="152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</row>
    <row r="41" spans="1:90" ht="19.5" customHeight="1" x14ac:dyDescent="0.35">
      <c r="A41" s="220">
        <v>46058</v>
      </c>
      <c r="B41" s="172" t="s">
        <v>77</v>
      </c>
      <c r="C41" s="230" t="s">
        <v>71</v>
      </c>
      <c r="D41" s="143"/>
      <c r="E41" s="175">
        <v>495</v>
      </c>
      <c r="F41" s="161"/>
      <c r="G41" s="162"/>
      <c r="H41" s="162"/>
      <c r="I41" s="162">
        <f>+E41</f>
        <v>495</v>
      </c>
      <c r="J41" s="162"/>
      <c r="K41" s="162"/>
      <c r="L41" s="162"/>
      <c r="M41" s="162"/>
      <c r="N41" s="162"/>
      <c r="O41" s="162"/>
      <c r="P41" s="162"/>
      <c r="Q41" s="162"/>
      <c r="R41" s="162"/>
      <c r="S41" s="162"/>
      <c r="T41" s="162"/>
      <c r="U41" s="162"/>
      <c r="V41" s="162"/>
      <c r="W41" s="162"/>
      <c r="X41" s="162"/>
      <c r="Y41" s="162"/>
      <c r="Z41" s="162"/>
      <c r="AA41" s="159">
        <f t="shared" si="0"/>
        <v>495</v>
      </c>
      <c r="AB41" s="160" t="s">
        <v>76</v>
      </c>
      <c r="AC41" s="149">
        <f t="shared" si="1"/>
        <v>0</v>
      </c>
      <c r="AD41" s="152"/>
      <c r="AE41" s="152"/>
      <c r="AF41" s="149"/>
      <c r="AG41" s="152"/>
      <c r="AH41" s="152"/>
      <c r="AI41" s="152"/>
      <c r="AJ41" s="152"/>
      <c r="AK41" s="152"/>
      <c r="AL41" s="152"/>
      <c r="AM41" s="152"/>
      <c r="AN41" s="152"/>
      <c r="AO41" s="152"/>
      <c r="AP41" s="152"/>
      <c r="AQ41" s="152"/>
      <c r="AR41" s="152"/>
      <c r="AS41" s="152"/>
      <c r="AT41" s="152"/>
      <c r="AU41" s="152"/>
      <c r="AV41" s="152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</row>
    <row r="42" spans="1:90" ht="19.5" customHeight="1" x14ac:dyDescent="0.35">
      <c r="A42" s="220">
        <v>46062</v>
      </c>
      <c r="B42" s="173" t="s">
        <v>120</v>
      </c>
      <c r="C42" s="231" t="s">
        <v>121</v>
      </c>
      <c r="D42" s="143"/>
      <c r="E42" s="175">
        <v>10068.799999999999</v>
      </c>
      <c r="F42" s="161"/>
      <c r="G42" s="162"/>
      <c r="H42" s="162"/>
      <c r="I42" s="162"/>
      <c r="J42" s="162"/>
      <c r="K42" s="162"/>
      <c r="L42" s="162"/>
      <c r="M42" s="162"/>
      <c r="N42" s="162"/>
      <c r="O42" s="162"/>
      <c r="P42" s="162"/>
      <c r="Q42" s="162"/>
      <c r="R42" s="162"/>
      <c r="S42" s="162"/>
      <c r="T42" s="162"/>
      <c r="U42" s="162"/>
      <c r="V42" s="162"/>
      <c r="W42" s="162"/>
      <c r="X42" s="162"/>
      <c r="Y42" s="162">
        <f>+E42</f>
        <v>10068.799999999999</v>
      </c>
      <c r="Z42" s="162"/>
      <c r="AA42" s="159">
        <f t="shared" si="0"/>
        <v>10068.799999999999</v>
      </c>
      <c r="AB42" s="160" t="s">
        <v>76</v>
      </c>
      <c r="AC42" s="149">
        <f t="shared" si="1"/>
        <v>0</v>
      </c>
      <c r="AD42" s="152"/>
      <c r="AE42" s="152"/>
      <c r="AF42" s="149"/>
      <c r="AG42" s="152"/>
      <c r="AH42" s="152"/>
      <c r="AI42" s="152"/>
      <c r="AJ42" s="152"/>
      <c r="AK42" s="152"/>
      <c r="AL42" s="152"/>
      <c r="AM42" s="152"/>
      <c r="AN42" s="152"/>
      <c r="AO42" s="152"/>
      <c r="AP42" s="152"/>
      <c r="AQ42" s="152"/>
      <c r="AR42" s="152"/>
      <c r="AS42" s="152"/>
      <c r="AT42" s="152"/>
      <c r="AU42" s="152"/>
      <c r="AV42" s="15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</row>
    <row r="43" spans="1:90" ht="19.5" customHeight="1" x14ac:dyDescent="0.35">
      <c r="A43" s="221">
        <v>46064</v>
      </c>
      <c r="B43" s="172" t="s">
        <v>122</v>
      </c>
      <c r="C43" s="230" t="s">
        <v>52</v>
      </c>
      <c r="D43" s="143"/>
      <c r="E43" s="176">
        <v>910</v>
      </c>
      <c r="F43" s="161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>
        <f>+E43</f>
        <v>910</v>
      </c>
      <c r="T43" s="162"/>
      <c r="U43" s="162"/>
      <c r="V43" s="162"/>
      <c r="W43" s="162"/>
      <c r="X43" s="162"/>
      <c r="Y43" s="162"/>
      <c r="Z43" s="162"/>
      <c r="AA43" s="159">
        <f t="shared" si="0"/>
        <v>910</v>
      </c>
      <c r="AB43" s="160" t="s">
        <v>76</v>
      </c>
      <c r="AC43" s="149">
        <f t="shared" si="1"/>
        <v>0</v>
      </c>
      <c r="AD43" s="152"/>
      <c r="AE43" s="152"/>
      <c r="AF43" s="149"/>
      <c r="AG43" s="152"/>
      <c r="AH43" s="152"/>
      <c r="AI43" s="152"/>
      <c r="AJ43" s="152"/>
      <c r="AK43" s="152"/>
      <c r="AL43" s="152"/>
      <c r="AM43" s="152"/>
      <c r="AN43" s="152"/>
      <c r="AO43" s="152"/>
      <c r="AP43" s="152"/>
      <c r="AQ43" s="152"/>
      <c r="AR43" s="152"/>
      <c r="AS43" s="152"/>
      <c r="AT43" s="152"/>
      <c r="AU43" s="152"/>
      <c r="AV43" s="152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</row>
    <row r="44" spans="1:90" ht="19.5" customHeight="1" x14ac:dyDescent="0.35">
      <c r="A44" s="221">
        <v>46064</v>
      </c>
      <c r="B44" s="172" t="s">
        <v>123</v>
      </c>
      <c r="C44" s="230" t="s">
        <v>52</v>
      </c>
      <c r="D44" s="143"/>
      <c r="E44" s="176">
        <v>570</v>
      </c>
      <c r="F44" s="161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>
        <f>+E44</f>
        <v>570</v>
      </c>
      <c r="T44" s="162"/>
      <c r="U44" s="162"/>
      <c r="V44" s="162"/>
      <c r="W44" s="162"/>
      <c r="X44" s="162"/>
      <c r="Y44" s="162"/>
      <c r="Z44" s="162"/>
      <c r="AA44" s="159">
        <f t="shared" ref="AA44:AA59" si="3">SUM(F44:Z44)</f>
        <v>570</v>
      </c>
      <c r="AB44" s="160" t="s">
        <v>76</v>
      </c>
      <c r="AC44" s="149">
        <f t="shared" si="1"/>
        <v>0</v>
      </c>
      <c r="AD44" s="152"/>
      <c r="AE44" s="152"/>
      <c r="AF44" s="149"/>
      <c r="AG44" s="152"/>
      <c r="AH44" s="152"/>
      <c r="AI44" s="152"/>
      <c r="AJ44" s="152"/>
      <c r="AK44" s="152"/>
      <c r="AL44" s="152"/>
      <c r="AM44" s="152"/>
      <c r="AN44" s="152"/>
      <c r="AO44" s="152"/>
      <c r="AP44" s="152"/>
      <c r="AQ44" s="152"/>
      <c r="AR44" s="152"/>
      <c r="AS44" s="152"/>
      <c r="AT44" s="152"/>
      <c r="AU44" s="152"/>
      <c r="AV44" s="152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</row>
    <row r="45" spans="1:90" ht="19.5" customHeight="1" x14ac:dyDescent="0.35">
      <c r="A45" s="221">
        <v>46064</v>
      </c>
      <c r="B45" s="172" t="s">
        <v>124</v>
      </c>
      <c r="C45" s="230" t="s">
        <v>125</v>
      </c>
      <c r="D45" s="144"/>
      <c r="E45" s="176">
        <v>1030</v>
      </c>
      <c r="F45" s="161"/>
      <c r="G45" s="162"/>
      <c r="H45" s="162"/>
      <c r="I45" s="162"/>
      <c r="J45" s="162"/>
      <c r="K45" s="162"/>
      <c r="L45" s="162"/>
      <c r="M45" s="162"/>
      <c r="N45" s="162"/>
      <c r="O45" s="162"/>
      <c r="P45" s="162"/>
      <c r="Q45" s="162"/>
      <c r="R45" s="162"/>
      <c r="S45" s="162"/>
      <c r="T45" s="162"/>
      <c r="U45" s="162"/>
      <c r="V45" s="162">
        <v>1030</v>
      </c>
      <c r="W45" s="162"/>
      <c r="X45" s="162"/>
      <c r="Y45" s="144"/>
      <c r="Z45" s="145"/>
      <c r="AA45" s="159">
        <f t="shared" si="3"/>
        <v>1030</v>
      </c>
      <c r="AB45" s="160" t="s">
        <v>76</v>
      </c>
      <c r="AC45" s="149">
        <f t="shared" si="1"/>
        <v>0</v>
      </c>
      <c r="AD45" s="152"/>
      <c r="AE45" s="152"/>
      <c r="AF45" s="149"/>
      <c r="AG45" s="152"/>
      <c r="AH45" s="152"/>
      <c r="AI45" s="152"/>
      <c r="AJ45" s="152"/>
      <c r="AK45" s="152"/>
      <c r="AL45" s="152"/>
      <c r="AM45" s="152"/>
      <c r="AN45" s="152"/>
      <c r="AO45" s="152"/>
      <c r="AP45" s="152"/>
      <c r="AQ45" s="152"/>
      <c r="AR45" s="152"/>
      <c r="AS45" s="152"/>
      <c r="AT45" s="152"/>
      <c r="AU45" s="152"/>
      <c r="AV45" s="152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</row>
    <row r="46" spans="1:90" ht="19.5" customHeight="1" x14ac:dyDescent="0.35">
      <c r="A46" s="221">
        <v>46064</v>
      </c>
      <c r="B46" s="172" t="s">
        <v>126</v>
      </c>
      <c r="C46" s="230" t="s">
        <v>127</v>
      </c>
      <c r="D46" s="143"/>
      <c r="E46" s="176">
        <v>2420</v>
      </c>
      <c r="F46" s="161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62">
        <f>+E46</f>
        <v>2420</v>
      </c>
      <c r="R46" s="162"/>
      <c r="S46" s="162"/>
      <c r="T46" s="162"/>
      <c r="U46" s="162"/>
      <c r="V46" s="162"/>
      <c r="W46" s="162"/>
      <c r="X46" s="162"/>
      <c r="Y46" s="162"/>
      <c r="Z46" s="162"/>
      <c r="AA46" s="159">
        <f t="shared" si="3"/>
        <v>2420</v>
      </c>
      <c r="AB46" s="160" t="s">
        <v>76</v>
      </c>
      <c r="AC46" s="149">
        <f t="shared" si="1"/>
        <v>0</v>
      </c>
      <c r="AD46" s="152"/>
      <c r="AE46" s="152"/>
      <c r="AF46" s="149"/>
      <c r="AG46" s="152"/>
      <c r="AH46" s="152"/>
      <c r="AI46" s="152"/>
      <c r="AJ46" s="152"/>
      <c r="AK46" s="152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</row>
    <row r="47" spans="1:90" ht="19.5" customHeight="1" x14ac:dyDescent="0.35">
      <c r="A47" s="221">
        <v>46064</v>
      </c>
      <c r="B47" s="174" t="s">
        <v>128</v>
      </c>
      <c r="C47" s="230" t="s">
        <v>128</v>
      </c>
      <c r="D47" s="143"/>
      <c r="E47" s="176">
        <v>1296</v>
      </c>
      <c r="F47" s="183"/>
      <c r="G47" s="162"/>
      <c r="H47" s="162"/>
      <c r="I47" s="162"/>
      <c r="J47" s="162"/>
      <c r="K47" s="162"/>
      <c r="L47" s="162"/>
      <c r="M47" s="162"/>
      <c r="N47" s="162"/>
      <c r="O47" s="162"/>
      <c r="P47" s="162"/>
      <c r="Q47" s="162">
        <f>+E47</f>
        <v>1296</v>
      </c>
      <c r="R47" s="162"/>
      <c r="S47" s="162"/>
      <c r="T47" s="162"/>
      <c r="U47" s="162"/>
      <c r="V47" s="162"/>
      <c r="W47" s="162"/>
      <c r="X47" s="162"/>
      <c r="Y47" s="162"/>
      <c r="Z47" s="162"/>
      <c r="AA47" s="159">
        <f t="shared" si="3"/>
        <v>1296</v>
      </c>
      <c r="AB47" s="160" t="s">
        <v>76</v>
      </c>
      <c r="AC47" s="149">
        <f t="shared" si="1"/>
        <v>0</v>
      </c>
      <c r="AD47" s="152"/>
      <c r="AE47" s="152"/>
      <c r="AF47" s="149"/>
      <c r="AG47" s="152"/>
      <c r="AH47" s="152"/>
      <c r="AI47" s="152"/>
      <c r="AJ47" s="152"/>
      <c r="AK47" s="152"/>
      <c r="AL47" s="152"/>
      <c r="AM47" s="152"/>
      <c r="AN47" s="152"/>
      <c r="AO47" s="152"/>
      <c r="AP47" s="152"/>
      <c r="AQ47" s="152"/>
      <c r="AR47" s="152"/>
      <c r="AS47" s="152"/>
      <c r="AT47" s="152"/>
      <c r="AU47" s="152"/>
      <c r="AV47" s="152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</row>
    <row r="48" spans="1:90" ht="19.5" customHeight="1" x14ac:dyDescent="0.35">
      <c r="A48" s="221">
        <v>46065</v>
      </c>
      <c r="B48" s="172" t="s">
        <v>129</v>
      </c>
      <c r="C48" s="230" t="s">
        <v>130</v>
      </c>
      <c r="D48" s="143"/>
      <c r="E48" s="197">
        <v>10500</v>
      </c>
      <c r="F48" s="183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>
        <f>+E48</f>
        <v>10500</v>
      </c>
      <c r="T48" s="162"/>
      <c r="U48" s="162"/>
      <c r="V48" s="162"/>
      <c r="W48" s="162"/>
      <c r="X48" s="162"/>
      <c r="Y48" s="162"/>
      <c r="Z48" s="162"/>
      <c r="AA48" s="159">
        <f t="shared" si="3"/>
        <v>10500</v>
      </c>
      <c r="AB48" s="160" t="s">
        <v>76</v>
      </c>
      <c r="AC48" s="149">
        <f t="shared" si="1"/>
        <v>0</v>
      </c>
      <c r="AD48" s="152"/>
      <c r="AE48" s="152"/>
      <c r="AF48" s="149"/>
      <c r="AG48" s="152"/>
      <c r="AH48" s="152"/>
      <c r="AI48" s="152"/>
      <c r="AJ48" s="152"/>
      <c r="AK48" s="152"/>
      <c r="AL48" s="152"/>
      <c r="AM48" s="152"/>
      <c r="AN48" s="152"/>
      <c r="AO48" s="152"/>
      <c r="AP48" s="152"/>
      <c r="AQ48" s="152"/>
      <c r="AR48" s="152"/>
      <c r="AS48" s="152"/>
      <c r="AT48" s="152"/>
      <c r="AU48" s="152"/>
      <c r="AV48" s="152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</row>
    <row r="49" spans="1:90" ht="19.5" customHeight="1" x14ac:dyDescent="0.35">
      <c r="A49" s="221">
        <v>46066</v>
      </c>
      <c r="B49" s="170" t="s">
        <v>148</v>
      </c>
      <c r="C49" s="232" t="s">
        <v>131</v>
      </c>
      <c r="D49" s="143"/>
      <c r="E49" s="198">
        <v>3000</v>
      </c>
      <c r="F49" s="161"/>
      <c r="G49" s="162"/>
      <c r="H49" s="162"/>
      <c r="I49" s="162">
        <f>+E49</f>
        <v>3000</v>
      </c>
      <c r="J49" s="162"/>
      <c r="K49" s="162"/>
      <c r="L49" s="162"/>
      <c r="M49" s="162"/>
      <c r="N49" s="162"/>
      <c r="O49" s="162"/>
      <c r="P49" s="162"/>
      <c r="Q49" s="162"/>
      <c r="R49" s="162"/>
      <c r="S49" s="162"/>
      <c r="T49" s="162"/>
      <c r="U49" s="162"/>
      <c r="V49" s="162"/>
      <c r="W49" s="162"/>
      <c r="X49" s="162"/>
      <c r="Y49" s="162"/>
      <c r="Z49" s="162"/>
      <c r="AA49" s="159">
        <f t="shared" si="3"/>
        <v>3000</v>
      </c>
      <c r="AB49" s="160" t="s">
        <v>4</v>
      </c>
      <c r="AC49" s="149">
        <f t="shared" si="1"/>
        <v>0</v>
      </c>
      <c r="AD49" s="152"/>
      <c r="AE49" s="152"/>
      <c r="AF49" s="149"/>
      <c r="AG49" s="152"/>
      <c r="AH49" s="152"/>
      <c r="AI49" s="152"/>
      <c r="AJ49" s="152"/>
      <c r="AK49" s="152"/>
      <c r="AL49" s="152"/>
      <c r="AM49" s="152"/>
      <c r="AN49" s="152"/>
      <c r="AO49" s="152"/>
      <c r="AP49" s="152"/>
      <c r="AQ49" s="152"/>
      <c r="AR49" s="152"/>
      <c r="AS49" s="152"/>
      <c r="AT49" s="152"/>
      <c r="AU49" s="152"/>
      <c r="AV49" s="152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</row>
    <row r="50" spans="1:90" ht="19.5" customHeight="1" x14ac:dyDescent="0.35">
      <c r="A50" s="221">
        <v>46067</v>
      </c>
      <c r="B50" s="169" t="s">
        <v>149</v>
      </c>
      <c r="C50" s="233" t="s">
        <v>132</v>
      </c>
      <c r="D50" s="143"/>
      <c r="E50" s="199">
        <v>800</v>
      </c>
      <c r="F50" s="161"/>
      <c r="G50" s="162"/>
      <c r="H50" s="162"/>
      <c r="I50" s="162"/>
      <c r="J50" s="162"/>
      <c r="K50" s="162"/>
      <c r="L50" s="162"/>
      <c r="M50" s="162"/>
      <c r="N50" s="162"/>
      <c r="O50" s="162"/>
      <c r="P50" s="162"/>
      <c r="Q50" s="162"/>
      <c r="R50" s="162"/>
      <c r="S50" s="162"/>
      <c r="T50" s="162"/>
      <c r="U50" s="162"/>
      <c r="V50" s="162"/>
      <c r="W50" s="162">
        <v>800</v>
      </c>
      <c r="X50" s="162"/>
      <c r="Y50" s="162"/>
      <c r="Z50" s="162"/>
      <c r="AA50" s="159">
        <f t="shared" si="3"/>
        <v>800</v>
      </c>
      <c r="AB50" s="160" t="s">
        <v>4</v>
      </c>
      <c r="AC50" s="149">
        <f t="shared" si="1"/>
        <v>0</v>
      </c>
      <c r="AD50" s="152"/>
      <c r="AE50" s="152"/>
      <c r="AF50" s="149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</row>
    <row r="51" spans="1:90" ht="19.5" customHeight="1" x14ac:dyDescent="0.35">
      <c r="A51" s="221">
        <v>46068</v>
      </c>
      <c r="B51" s="170" t="s">
        <v>150</v>
      </c>
      <c r="C51" s="234" t="s">
        <v>133</v>
      </c>
      <c r="D51" s="143"/>
      <c r="E51" s="200">
        <v>1600</v>
      </c>
      <c r="F51" s="161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>
        <v>1600</v>
      </c>
      <c r="Y51" s="162"/>
      <c r="Z51" s="162"/>
      <c r="AA51" s="159">
        <f t="shared" si="3"/>
        <v>1600</v>
      </c>
      <c r="AB51" s="160" t="s">
        <v>4</v>
      </c>
      <c r="AC51" s="149">
        <f t="shared" si="1"/>
        <v>0</v>
      </c>
      <c r="AD51" s="152"/>
      <c r="AE51" s="152"/>
      <c r="AF51" s="149"/>
      <c r="AG51" s="152"/>
      <c r="AH51" s="152"/>
      <c r="AI51" s="152"/>
      <c r="AJ51" s="152"/>
      <c r="AK51" s="152"/>
      <c r="AL51" s="152"/>
      <c r="AM51" s="152"/>
      <c r="AN51" s="152"/>
      <c r="AO51" s="152"/>
      <c r="AP51" s="152"/>
      <c r="AQ51" s="152"/>
      <c r="AR51" s="152"/>
      <c r="AS51" s="152"/>
      <c r="AT51" s="152"/>
      <c r="AU51" s="152"/>
      <c r="AV51" s="152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</row>
    <row r="52" spans="1:90" ht="19.5" customHeight="1" x14ac:dyDescent="0.35">
      <c r="A52" s="221">
        <v>46069</v>
      </c>
      <c r="B52" s="169" t="s">
        <v>149</v>
      </c>
      <c r="C52" s="233" t="s">
        <v>132</v>
      </c>
      <c r="D52" s="143"/>
      <c r="E52" s="200">
        <v>800</v>
      </c>
      <c r="F52" s="161"/>
      <c r="G52" s="162"/>
      <c r="H52" s="162"/>
      <c r="I52" s="162"/>
      <c r="J52" s="162"/>
      <c r="K52" s="162"/>
      <c r="L52" s="162"/>
      <c r="M52" s="162"/>
      <c r="N52" s="162"/>
      <c r="O52" s="162"/>
      <c r="P52" s="162"/>
      <c r="Q52" s="162"/>
      <c r="R52" s="162"/>
      <c r="S52" s="162"/>
      <c r="T52" s="162"/>
      <c r="U52" s="162"/>
      <c r="V52" s="162"/>
      <c r="W52" s="162"/>
      <c r="X52" s="162"/>
      <c r="Y52" s="162"/>
      <c r="Z52" s="162"/>
      <c r="AA52" s="159">
        <f t="shared" si="3"/>
        <v>0</v>
      </c>
      <c r="AB52" s="160" t="s">
        <v>4</v>
      </c>
      <c r="AC52" s="149">
        <f t="shared" si="1"/>
        <v>800</v>
      </c>
      <c r="AD52" s="152" t="s">
        <v>11</v>
      </c>
      <c r="AE52" s="152"/>
      <c r="AF52" s="149"/>
      <c r="AG52" s="152"/>
      <c r="AH52" s="152"/>
      <c r="AI52" s="152"/>
      <c r="AJ52" s="152"/>
      <c r="AK52" s="152"/>
      <c r="AL52" s="152"/>
      <c r="AM52" s="152"/>
      <c r="AN52" s="152"/>
      <c r="AO52" s="152"/>
      <c r="AP52" s="152"/>
      <c r="AQ52" s="152"/>
      <c r="AR52" s="152"/>
      <c r="AS52" s="152"/>
      <c r="AT52" s="152"/>
      <c r="AU52" s="152"/>
      <c r="AV52" s="1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</row>
    <row r="53" spans="1:90" ht="19.5" customHeight="1" x14ac:dyDescent="0.35">
      <c r="A53" s="221">
        <v>46070</v>
      </c>
      <c r="B53" s="170" t="s">
        <v>151</v>
      </c>
      <c r="C53" s="234" t="s">
        <v>134</v>
      </c>
      <c r="D53" s="143"/>
      <c r="E53" s="200">
        <v>10000</v>
      </c>
      <c r="F53" s="161"/>
      <c r="G53" s="162"/>
      <c r="H53" s="162"/>
      <c r="I53" s="162"/>
      <c r="J53" s="162"/>
      <c r="K53" s="162"/>
      <c r="L53" s="162"/>
      <c r="M53" s="162"/>
      <c r="N53" s="162"/>
      <c r="O53" s="162"/>
      <c r="P53" s="162"/>
      <c r="Q53" s="162"/>
      <c r="R53" s="162">
        <v>10000</v>
      </c>
      <c r="S53" s="162"/>
      <c r="T53" s="162"/>
      <c r="U53" s="162"/>
      <c r="V53" s="162"/>
      <c r="W53" s="162"/>
      <c r="X53" s="162"/>
      <c r="Y53" s="162"/>
      <c r="Z53" s="162"/>
      <c r="AA53" s="159">
        <f t="shared" si="3"/>
        <v>10000</v>
      </c>
      <c r="AB53" s="160" t="s">
        <v>4</v>
      </c>
      <c r="AC53" s="149">
        <f t="shared" si="1"/>
        <v>0</v>
      </c>
      <c r="AD53" s="152"/>
      <c r="AE53" s="152"/>
      <c r="AF53" s="149"/>
      <c r="AG53" s="152"/>
      <c r="AH53" s="152"/>
      <c r="AI53" s="152"/>
      <c r="AJ53" s="152"/>
      <c r="AK53" s="152"/>
      <c r="AL53" s="152"/>
      <c r="AM53" s="152"/>
      <c r="AN53" s="152"/>
      <c r="AO53" s="152"/>
      <c r="AP53" s="152"/>
      <c r="AQ53" s="152"/>
      <c r="AR53" s="152"/>
      <c r="AS53" s="152"/>
      <c r="AT53" s="152"/>
      <c r="AU53" s="152"/>
      <c r="AV53" s="152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</row>
    <row r="54" spans="1:90" ht="19.5" customHeight="1" x14ac:dyDescent="0.35">
      <c r="A54" s="221">
        <v>46071</v>
      </c>
      <c r="B54" s="169" t="s">
        <v>152</v>
      </c>
      <c r="C54" s="232" t="s">
        <v>135</v>
      </c>
      <c r="D54" s="143"/>
      <c r="E54" s="201">
        <f>26700*4.1</f>
        <v>109469.99999999999</v>
      </c>
      <c r="F54" s="161">
        <f>+E54</f>
        <v>109469.99999999999</v>
      </c>
      <c r="G54" s="162">
        <f>+F54/26700</f>
        <v>4.0999999999999996</v>
      </c>
      <c r="H54" s="162"/>
      <c r="I54" s="162"/>
      <c r="J54" s="162"/>
      <c r="K54" s="162"/>
      <c r="L54" s="162"/>
      <c r="M54" s="162"/>
      <c r="N54" s="162"/>
      <c r="O54" s="162"/>
      <c r="P54" s="162"/>
      <c r="Q54" s="162"/>
      <c r="R54" s="162"/>
      <c r="S54" s="162"/>
      <c r="T54" s="162"/>
      <c r="U54" s="162"/>
      <c r="V54" s="162"/>
      <c r="W54" s="162"/>
      <c r="X54" s="162"/>
      <c r="Y54" s="162"/>
      <c r="Z54" s="162"/>
      <c r="AA54" s="159">
        <f t="shared" si="3"/>
        <v>109474.09999999999</v>
      </c>
      <c r="AB54" s="160" t="s">
        <v>4</v>
      </c>
      <c r="AC54" s="149">
        <f t="shared" si="1"/>
        <v>-4.1000000000058208</v>
      </c>
      <c r="AD54" s="152"/>
      <c r="AE54" s="152"/>
      <c r="AF54" s="149"/>
      <c r="AG54" s="152"/>
      <c r="AH54" s="152"/>
      <c r="AI54" s="152"/>
      <c r="AJ54" s="152"/>
      <c r="AK54" s="152"/>
      <c r="AL54" s="152"/>
      <c r="AM54" s="152"/>
      <c r="AN54" s="152"/>
      <c r="AO54" s="152"/>
      <c r="AP54" s="152"/>
      <c r="AQ54" s="152"/>
      <c r="AR54" s="152"/>
      <c r="AS54" s="152"/>
      <c r="AT54" s="152"/>
      <c r="AU54" s="152"/>
      <c r="AV54" s="152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</row>
    <row r="55" spans="1:90" ht="19.5" customHeight="1" x14ac:dyDescent="0.35">
      <c r="A55" s="221">
        <v>46072</v>
      </c>
      <c r="B55" s="169" t="s">
        <v>117</v>
      </c>
      <c r="C55" s="232" t="s">
        <v>136</v>
      </c>
      <c r="D55" s="143"/>
      <c r="E55" s="199">
        <v>31050</v>
      </c>
      <c r="F55" s="161"/>
      <c r="G55" s="162"/>
      <c r="H55" s="162"/>
      <c r="I55" s="162"/>
      <c r="J55" s="162"/>
      <c r="K55" s="162"/>
      <c r="L55" s="162"/>
      <c r="M55" s="162"/>
      <c r="N55" s="162"/>
      <c r="O55" s="162"/>
      <c r="P55" s="162"/>
      <c r="Q55" s="162"/>
      <c r="R55" s="162"/>
      <c r="S55" s="162"/>
      <c r="T55" s="162"/>
      <c r="U55" s="162"/>
      <c r="V55" s="162"/>
      <c r="W55" s="162">
        <v>7762.5</v>
      </c>
      <c r="X55" s="162">
        <v>15525</v>
      </c>
      <c r="Y55" s="162"/>
      <c r="Z55" s="162"/>
      <c r="AA55" s="159">
        <f t="shared" si="3"/>
        <v>23287.5</v>
      </c>
      <c r="AB55" s="160" t="s">
        <v>4</v>
      </c>
      <c r="AC55" s="149">
        <f t="shared" si="1"/>
        <v>7762.5</v>
      </c>
      <c r="AD55" s="152" t="s">
        <v>11</v>
      </c>
      <c r="AE55" s="152"/>
      <c r="AF55" s="149"/>
      <c r="AG55" s="152"/>
      <c r="AH55" s="152"/>
      <c r="AI55" s="152"/>
      <c r="AJ55" s="152"/>
      <c r="AK55" s="152"/>
      <c r="AL55" s="152"/>
      <c r="AM55" s="152"/>
      <c r="AN55" s="152"/>
      <c r="AO55" s="152"/>
      <c r="AP55" s="152"/>
      <c r="AQ55" s="152"/>
      <c r="AR55" s="152"/>
      <c r="AS55" s="152"/>
      <c r="AT55" s="152"/>
      <c r="AU55" s="152"/>
      <c r="AV55" s="152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</row>
    <row r="56" spans="1:90" ht="19.5" customHeight="1" x14ac:dyDescent="0.35">
      <c r="A56" s="221">
        <v>46073</v>
      </c>
      <c r="B56" s="169" t="s">
        <v>153</v>
      </c>
      <c r="C56" s="228" t="s">
        <v>137</v>
      </c>
      <c r="D56" s="143"/>
      <c r="E56" s="181">
        <v>35000</v>
      </c>
      <c r="F56" s="161">
        <f>+E56</f>
        <v>35000</v>
      </c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59">
        <f t="shared" si="3"/>
        <v>35000</v>
      </c>
      <c r="AB56" s="160" t="s">
        <v>4</v>
      </c>
      <c r="AC56" s="149">
        <f t="shared" si="1"/>
        <v>0</v>
      </c>
      <c r="AD56" s="164"/>
      <c r="AE56" s="164"/>
      <c r="AF56" s="163"/>
      <c r="AG56" s="164"/>
      <c r="AH56" s="164"/>
      <c r="AI56" s="164"/>
      <c r="AJ56" s="164"/>
      <c r="AK56" s="152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</row>
    <row r="57" spans="1:90" ht="19.5" customHeight="1" x14ac:dyDescent="0.35">
      <c r="A57" s="221">
        <v>46074</v>
      </c>
      <c r="B57" s="171" t="s">
        <v>154</v>
      </c>
      <c r="C57" s="235" t="s">
        <v>78</v>
      </c>
      <c r="D57" s="143"/>
      <c r="E57" s="178">
        <v>21000</v>
      </c>
      <c r="F57" s="161"/>
      <c r="G57" s="162">
        <v>21000</v>
      </c>
      <c r="H57" s="162"/>
      <c r="I57" s="162"/>
      <c r="J57" s="162"/>
      <c r="K57" s="162"/>
      <c r="L57" s="162"/>
      <c r="M57" s="162"/>
      <c r="N57" s="162"/>
      <c r="O57" s="162"/>
      <c r="P57" s="162"/>
      <c r="Q57" s="162"/>
      <c r="R57" s="162"/>
      <c r="S57" s="162"/>
      <c r="T57" s="162"/>
      <c r="U57" s="162"/>
      <c r="V57" s="162"/>
      <c r="W57" s="162"/>
      <c r="X57" s="162"/>
      <c r="Y57" s="162"/>
      <c r="Z57" s="162"/>
      <c r="AA57" s="159">
        <f t="shared" si="3"/>
        <v>21000</v>
      </c>
      <c r="AB57" s="160" t="s">
        <v>4</v>
      </c>
      <c r="AC57" s="149">
        <f t="shared" si="1"/>
        <v>0</v>
      </c>
      <c r="AD57" s="149"/>
      <c r="AE57" s="152"/>
      <c r="AF57" s="152"/>
      <c r="AG57" s="152"/>
      <c r="AH57" s="152"/>
      <c r="AI57" s="152"/>
      <c r="AJ57" s="152"/>
      <c r="AK57" s="152"/>
      <c r="AL57" s="152"/>
      <c r="AM57" s="152"/>
      <c r="AN57" s="152"/>
      <c r="AO57" s="152"/>
      <c r="AP57" s="152"/>
      <c r="AQ57" s="152"/>
      <c r="AR57" s="152"/>
      <c r="AS57" s="152"/>
      <c r="AT57" s="152"/>
      <c r="AU57" s="152"/>
      <c r="AV57" s="152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</row>
    <row r="58" spans="1:90" ht="19.5" customHeight="1" x14ac:dyDescent="0.35">
      <c r="A58" s="222"/>
      <c r="B58" s="171"/>
      <c r="C58" s="236"/>
      <c r="D58" s="143"/>
      <c r="E58" s="182"/>
      <c r="F58" s="161"/>
      <c r="G58" s="162"/>
      <c r="H58" s="162"/>
      <c r="I58" s="162"/>
      <c r="J58" s="162"/>
      <c r="K58" s="162"/>
      <c r="L58" s="162"/>
      <c r="M58" s="162"/>
      <c r="N58" s="162"/>
      <c r="O58" s="162"/>
      <c r="P58" s="162"/>
      <c r="Q58" s="162"/>
      <c r="R58" s="162"/>
      <c r="S58" s="162"/>
      <c r="T58" s="162"/>
      <c r="U58" s="162"/>
      <c r="V58" s="162"/>
      <c r="W58" s="162"/>
      <c r="X58" s="162"/>
      <c r="Y58" s="162"/>
      <c r="Z58" s="162"/>
      <c r="AA58" s="159">
        <f t="shared" si="3"/>
        <v>0</v>
      </c>
      <c r="AB58" s="160" t="s">
        <v>4</v>
      </c>
      <c r="AC58" s="149">
        <f t="shared" si="1"/>
        <v>0</v>
      </c>
      <c r="AD58" s="152"/>
      <c r="AE58" s="152"/>
      <c r="AF58" s="152"/>
      <c r="AG58" s="152"/>
      <c r="AH58" s="152"/>
      <c r="AI58" s="152"/>
      <c r="AJ58" s="152"/>
      <c r="AK58" s="152"/>
      <c r="AL58" s="152"/>
      <c r="AM58" s="152"/>
      <c r="AN58" s="152"/>
      <c r="AO58" s="152"/>
      <c r="AP58" s="152"/>
      <c r="AQ58" s="152"/>
      <c r="AR58" s="152"/>
      <c r="AS58" s="152"/>
      <c r="AT58" s="152"/>
      <c r="AU58" s="152"/>
      <c r="AV58" s="152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</row>
    <row r="59" spans="1:90" ht="19.5" customHeight="1" x14ac:dyDescent="0.35">
      <c r="A59" s="222"/>
      <c r="B59" s="171"/>
      <c r="C59" s="236"/>
      <c r="D59" s="143"/>
      <c r="E59" s="182"/>
      <c r="F59" s="161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59">
        <f t="shared" si="3"/>
        <v>0</v>
      </c>
      <c r="AB59" s="160" t="s">
        <v>4</v>
      </c>
      <c r="AC59" s="149">
        <f t="shared" si="1"/>
        <v>0</v>
      </c>
      <c r="AD59" s="152"/>
      <c r="AE59" s="152"/>
      <c r="AF59" s="152"/>
      <c r="AG59" s="152"/>
      <c r="AH59" s="152"/>
      <c r="AI59" s="152"/>
      <c r="AJ59" s="152"/>
      <c r="AK59" s="152"/>
      <c r="AL59" s="152"/>
      <c r="AM59" s="152"/>
      <c r="AN59" s="152"/>
      <c r="AO59" s="152"/>
      <c r="AP59" s="152"/>
      <c r="AQ59" s="152"/>
      <c r="AR59" s="152"/>
      <c r="AS59" s="152"/>
      <c r="AT59" s="152"/>
      <c r="AU59" s="152"/>
      <c r="AV59" s="152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</row>
    <row r="60" spans="1:90" ht="19.5" customHeight="1" x14ac:dyDescent="0.35">
      <c r="A60" s="223"/>
      <c r="B60" s="146"/>
      <c r="C60" s="237"/>
      <c r="D60" s="147"/>
      <c r="E60" s="148"/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6"/>
      <c r="AC60" s="152"/>
      <c r="AD60" s="152"/>
      <c r="AE60" s="152"/>
      <c r="AF60" s="152"/>
      <c r="AG60" s="152"/>
      <c r="AH60" s="152"/>
      <c r="AI60" s="152"/>
      <c r="AJ60" s="152"/>
      <c r="AK60" s="152"/>
      <c r="AL60" s="152"/>
      <c r="AM60" s="152"/>
      <c r="AN60" s="152"/>
      <c r="AO60" s="152"/>
      <c r="AP60" s="152"/>
      <c r="AQ60" s="152"/>
      <c r="AR60" s="152"/>
      <c r="AS60" s="152"/>
      <c r="AT60" s="152"/>
      <c r="AU60" s="152"/>
      <c r="AV60" s="152"/>
    </row>
    <row r="61" spans="1:90" ht="19.5" customHeight="1" x14ac:dyDescent="0.35">
      <c r="A61" s="223"/>
      <c r="B61" s="146"/>
      <c r="C61" s="237"/>
      <c r="D61" s="147"/>
      <c r="E61" s="148"/>
      <c r="F61" s="149"/>
      <c r="G61" s="149"/>
      <c r="H61" s="149"/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6"/>
      <c r="AC61" s="152"/>
      <c r="AD61" s="152"/>
      <c r="AE61" s="152"/>
      <c r="AF61" s="152"/>
      <c r="AG61" s="152"/>
      <c r="AH61" s="152"/>
      <c r="AI61" s="152"/>
      <c r="AJ61" s="152"/>
      <c r="AK61" s="152"/>
      <c r="AL61" s="152"/>
      <c r="AM61" s="152"/>
      <c r="AN61" s="152"/>
      <c r="AO61" s="152"/>
      <c r="AP61" s="152"/>
      <c r="AQ61" s="152"/>
      <c r="AR61" s="152"/>
      <c r="AS61" s="152"/>
      <c r="AT61" s="152"/>
      <c r="AU61" s="152"/>
      <c r="AV61" s="152"/>
    </row>
    <row r="62" spans="1:90" ht="19.5" customHeight="1" x14ac:dyDescent="0.35">
      <c r="A62" s="223"/>
      <c r="B62" s="146"/>
      <c r="C62" s="237"/>
      <c r="D62" s="147"/>
      <c r="E62" s="148"/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6"/>
      <c r="AC62" s="152"/>
      <c r="AD62" s="152"/>
      <c r="AE62" s="152"/>
      <c r="AF62" s="152"/>
      <c r="AG62" s="152"/>
      <c r="AH62" s="152"/>
      <c r="AI62" s="152"/>
      <c r="AJ62" s="152"/>
      <c r="AK62" s="152"/>
      <c r="AL62" s="152"/>
      <c r="AM62" s="152"/>
      <c r="AN62" s="152"/>
      <c r="AO62" s="152"/>
      <c r="AP62" s="152"/>
      <c r="AQ62" s="152"/>
      <c r="AR62" s="152"/>
      <c r="AS62" s="152"/>
      <c r="AT62" s="152"/>
      <c r="AU62" s="152"/>
      <c r="AV62" s="152"/>
    </row>
    <row r="63" spans="1:90" ht="19.5" customHeight="1" x14ac:dyDescent="0.35">
      <c r="A63" s="223"/>
      <c r="B63" s="146"/>
      <c r="C63" s="237"/>
      <c r="D63" s="147"/>
      <c r="E63" s="148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6"/>
      <c r="AC63" s="152"/>
      <c r="AD63" s="152"/>
      <c r="AE63" s="152"/>
      <c r="AF63" s="152"/>
      <c r="AG63" s="152"/>
      <c r="AH63" s="152"/>
      <c r="AI63" s="152"/>
      <c r="AJ63" s="152"/>
      <c r="AK63" s="152"/>
      <c r="AL63" s="152"/>
      <c r="AM63" s="152"/>
      <c r="AN63" s="152"/>
      <c r="AO63" s="152"/>
      <c r="AP63" s="152"/>
      <c r="AQ63" s="152"/>
      <c r="AR63" s="152"/>
      <c r="AS63" s="152"/>
      <c r="AT63" s="152"/>
      <c r="AU63" s="152"/>
      <c r="AV63" s="152"/>
    </row>
    <row r="64" spans="1:90" ht="19.5" customHeight="1" x14ac:dyDescent="0.35">
      <c r="A64" s="223"/>
      <c r="B64" s="146"/>
      <c r="C64" s="237"/>
      <c r="D64" s="147"/>
      <c r="E64" s="148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6"/>
      <c r="AC64" s="152"/>
      <c r="AD64" s="152"/>
      <c r="AE64" s="152"/>
      <c r="AF64" s="152"/>
      <c r="AG64" s="152"/>
      <c r="AH64" s="152"/>
      <c r="AI64" s="152"/>
      <c r="AJ64" s="152"/>
      <c r="AK64" s="152"/>
      <c r="AL64" s="152"/>
      <c r="AM64" s="152"/>
      <c r="AN64" s="152"/>
      <c r="AO64" s="152"/>
      <c r="AP64" s="152"/>
      <c r="AQ64" s="152"/>
      <c r="AR64" s="152"/>
      <c r="AS64" s="152"/>
      <c r="AT64" s="152"/>
      <c r="AU64" s="152"/>
      <c r="AV64" s="152"/>
    </row>
    <row r="65" spans="1:48" ht="19.5" customHeight="1" x14ac:dyDescent="0.35">
      <c r="A65" s="223"/>
      <c r="B65" s="146"/>
      <c r="C65" s="237"/>
      <c r="D65" s="147"/>
      <c r="E65" s="148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6"/>
      <c r="AC65" s="152"/>
      <c r="AD65" s="152"/>
      <c r="AE65" s="152"/>
      <c r="AF65" s="152"/>
      <c r="AG65" s="152"/>
      <c r="AH65" s="152"/>
      <c r="AI65" s="152"/>
      <c r="AJ65" s="152"/>
      <c r="AK65" s="152"/>
      <c r="AL65" s="152"/>
      <c r="AM65" s="152"/>
      <c r="AN65" s="152"/>
      <c r="AO65" s="152"/>
      <c r="AP65" s="152"/>
      <c r="AQ65" s="152"/>
      <c r="AR65" s="152"/>
      <c r="AS65" s="152"/>
      <c r="AT65" s="152"/>
      <c r="AU65" s="152"/>
      <c r="AV65" s="152"/>
    </row>
    <row r="66" spans="1:48" ht="19.5" customHeight="1" x14ac:dyDescent="0.35">
      <c r="A66" s="223"/>
      <c r="B66" s="146"/>
      <c r="C66" s="237"/>
      <c r="D66" s="147"/>
      <c r="E66" s="148"/>
      <c r="F66" s="149"/>
      <c r="G66" s="149"/>
      <c r="H66" s="149"/>
      <c r="I66" s="149"/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6"/>
      <c r="AC66" s="152"/>
      <c r="AD66" s="152"/>
      <c r="AE66" s="152"/>
      <c r="AF66" s="152"/>
      <c r="AG66" s="152"/>
      <c r="AH66" s="152"/>
      <c r="AI66" s="152"/>
      <c r="AJ66" s="152"/>
      <c r="AK66" s="152"/>
      <c r="AL66" s="152"/>
      <c r="AM66" s="152"/>
      <c r="AN66" s="152"/>
      <c r="AO66" s="152"/>
      <c r="AP66" s="152"/>
      <c r="AQ66" s="152"/>
      <c r="AR66" s="152"/>
      <c r="AS66" s="152"/>
      <c r="AT66" s="152"/>
      <c r="AU66" s="152"/>
      <c r="AV66" s="152"/>
    </row>
    <row r="67" spans="1:48" ht="19.5" customHeight="1" x14ac:dyDescent="0.35">
      <c r="A67" s="223"/>
      <c r="B67" s="146"/>
      <c r="C67" s="237"/>
      <c r="D67" s="147"/>
      <c r="E67" s="148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6"/>
      <c r="AC67" s="152"/>
      <c r="AD67" s="152"/>
      <c r="AE67" s="152"/>
      <c r="AF67" s="152"/>
      <c r="AG67" s="152"/>
      <c r="AH67" s="152"/>
      <c r="AI67" s="152"/>
      <c r="AJ67" s="152"/>
      <c r="AK67" s="152"/>
      <c r="AL67" s="152"/>
      <c r="AM67" s="152"/>
      <c r="AN67" s="152"/>
      <c r="AO67" s="152"/>
      <c r="AP67" s="152"/>
      <c r="AQ67" s="152"/>
      <c r="AR67" s="152"/>
      <c r="AS67" s="152"/>
      <c r="AT67" s="152"/>
      <c r="AU67" s="152"/>
      <c r="AV67" s="152"/>
    </row>
    <row r="68" spans="1:48" ht="19.5" customHeight="1" x14ac:dyDescent="0.35">
      <c r="A68" s="223"/>
      <c r="B68" s="146"/>
      <c r="C68" s="237"/>
      <c r="D68" s="147"/>
      <c r="E68" s="148"/>
      <c r="F68" s="149"/>
      <c r="G68" s="149"/>
      <c r="H68" s="149"/>
      <c r="I68" s="149"/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6"/>
      <c r="AC68" s="152"/>
      <c r="AD68" s="152"/>
      <c r="AE68" s="152"/>
      <c r="AF68" s="152"/>
      <c r="AG68" s="152"/>
      <c r="AH68" s="152"/>
      <c r="AI68" s="152"/>
      <c r="AJ68" s="152"/>
      <c r="AK68" s="152"/>
      <c r="AL68" s="152"/>
      <c r="AM68" s="152"/>
      <c r="AN68" s="152"/>
      <c r="AO68" s="152"/>
      <c r="AP68" s="152"/>
      <c r="AQ68" s="152"/>
      <c r="AR68" s="152"/>
      <c r="AS68" s="152"/>
      <c r="AT68" s="152"/>
      <c r="AU68" s="152"/>
      <c r="AV68" s="152"/>
    </row>
    <row r="69" spans="1:48" ht="19.5" customHeight="1" x14ac:dyDescent="0.35">
      <c r="A69" s="223"/>
      <c r="B69" s="146"/>
      <c r="C69" s="237"/>
      <c r="D69" s="147"/>
      <c r="E69" s="148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6"/>
      <c r="AC69" s="152"/>
      <c r="AD69" s="152"/>
      <c r="AE69" s="152"/>
      <c r="AF69" s="152"/>
      <c r="AG69" s="152"/>
      <c r="AH69" s="152"/>
      <c r="AI69" s="152"/>
      <c r="AJ69" s="152"/>
      <c r="AK69" s="152"/>
      <c r="AL69" s="152"/>
      <c r="AM69" s="152"/>
      <c r="AN69" s="152"/>
      <c r="AO69" s="152"/>
      <c r="AP69" s="152"/>
      <c r="AQ69" s="152"/>
      <c r="AR69" s="152"/>
      <c r="AS69" s="152"/>
      <c r="AT69" s="152"/>
      <c r="AU69" s="152"/>
      <c r="AV69" s="152"/>
    </row>
    <row r="70" spans="1:48" ht="19.5" customHeight="1" x14ac:dyDescent="0.35">
      <c r="A70" s="223"/>
      <c r="B70" s="146"/>
      <c r="C70" s="237"/>
      <c r="D70" s="147"/>
      <c r="E70" s="148"/>
      <c r="F70" s="149"/>
      <c r="G70" s="149"/>
      <c r="H70" s="149"/>
      <c r="I70" s="149"/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6"/>
      <c r="AC70" s="152"/>
      <c r="AD70" s="152"/>
      <c r="AE70" s="152"/>
      <c r="AF70" s="152"/>
      <c r="AG70" s="152"/>
      <c r="AH70" s="152"/>
      <c r="AI70" s="152"/>
      <c r="AJ70" s="152"/>
      <c r="AK70" s="152"/>
      <c r="AL70" s="152"/>
      <c r="AM70" s="152"/>
      <c r="AN70" s="152"/>
      <c r="AO70" s="152"/>
      <c r="AP70" s="152"/>
      <c r="AQ70" s="152"/>
      <c r="AR70" s="152"/>
      <c r="AS70" s="152"/>
      <c r="AT70" s="152"/>
      <c r="AU70" s="152"/>
      <c r="AV70" s="152"/>
    </row>
    <row r="71" spans="1:48" ht="19.5" customHeight="1" x14ac:dyDescent="0.35">
      <c r="A71" s="223"/>
      <c r="B71" s="146"/>
      <c r="C71" s="237"/>
      <c r="D71" s="147"/>
      <c r="E71" s="148"/>
      <c r="F71" s="149"/>
      <c r="G71" s="149"/>
      <c r="H71" s="149"/>
      <c r="I71" s="149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6"/>
      <c r="AC71" s="152"/>
      <c r="AD71" s="152"/>
      <c r="AE71" s="152"/>
      <c r="AF71" s="152"/>
      <c r="AG71" s="152"/>
      <c r="AH71" s="152"/>
      <c r="AI71" s="152"/>
      <c r="AJ71" s="152"/>
      <c r="AK71" s="152"/>
      <c r="AL71" s="152"/>
      <c r="AM71" s="152"/>
      <c r="AN71" s="152"/>
      <c r="AO71" s="152"/>
      <c r="AP71" s="152"/>
      <c r="AQ71" s="152"/>
      <c r="AR71" s="152"/>
      <c r="AS71" s="152"/>
      <c r="AT71" s="152"/>
      <c r="AU71" s="152"/>
      <c r="AV71" s="152"/>
    </row>
    <row r="72" spans="1:48" ht="19.5" customHeight="1" x14ac:dyDescent="0.35">
      <c r="A72" s="223"/>
      <c r="B72" s="146"/>
      <c r="C72" s="237"/>
      <c r="D72" s="147"/>
      <c r="E72" s="148"/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6"/>
      <c r="AC72" s="152"/>
      <c r="AD72" s="152"/>
      <c r="AE72" s="152"/>
      <c r="AF72" s="152"/>
      <c r="AG72" s="152"/>
      <c r="AH72" s="152"/>
      <c r="AI72" s="152"/>
      <c r="AJ72" s="152"/>
      <c r="AK72" s="152"/>
      <c r="AL72" s="152"/>
      <c r="AM72" s="152"/>
      <c r="AN72" s="152"/>
      <c r="AO72" s="152"/>
      <c r="AP72" s="152"/>
      <c r="AQ72" s="152"/>
      <c r="AR72" s="152"/>
      <c r="AS72" s="152"/>
      <c r="AT72" s="152"/>
      <c r="AU72" s="152"/>
      <c r="AV72" s="152"/>
    </row>
    <row r="73" spans="1:48" ht="19.5" customHeight="1" x14ac:dyDescent="0.35">
      <c r="A73" s="223"/>
      <c r="B73" s="146"/>
      <c r="C73" s="237"/>
      <c r="D73" s="147"/>
      <c r="E73" s="148"/>
      <c r="F73" s="149"/>
      <c r="G73" s="149"/>
      <c r="H73" s="149"/>
      <c r="I73" s="149"/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6"/>
      <c r="AC73" s="152"/>
      <c r="AD73" s="152"/>
      <c r="AE73" s="152"/>
      <c r="AF73" s="152"/>
      <c r="AG73" s="152"/>
      <c r="AH73" s="152"/>
      <c r="AI73" s="152"/>
      <c r="AJ73" s="152"/>
      <c r="AK73" s="152"/>
      <c r="AL73" s="152"/>
      <c r="AM73" s="152"/>
      <c r="AN73" s="152"/>
      <c r="AO73" s="152"/>
      <c r="AP73" s="152"/>
      <c r="AQ73" s="152"/>
      <c r="AR73" s="152"/>
      <c r="AS73" s="152"/>
      <c r="AT73" s="152"/>
      <c r="AU73" s="152"/>
      <c r="AV73" s="152"/>
    </row>
    <row r="74" spans="1:48" ht="19.5" customHeight="1" x14ac:dyDescent="0.35">
      <c r="A74" s="223"/>
      <c r="B74" s="146"/>
      <c r="C74" s="237"/>
      <c r="D74" s="147"/>
      <c r="E74" s="148"/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6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52"/>
    </row>
    <row r="75" spans="1:48" ht="19.5" customHeight="1" x14ac:dyDescent="0.35">
      <c r="A75" s="223"/>
      <c r="B75" s="146"/>
      <c r="C75" s="237"/>
      <c r="D75" s="147"/>
      <c r="E75" s="148"/>
      <c r="F75" s="149"/>
      <c r="G75" s="149"/>
      <c r="H75" s="149"/>
      <c r="I75" s="149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6"/>
      <c r="AC75" s="152"/>
      <c r="AD75" s="152"/>
      <c r="AE75" s="152"/>
      <c r="AF75" s="152"/>
      <c r="AG75" s="152"/>
      <c r="AH75" s="152"/>
      <c r="AI75" s="152"/>
      <c r="AJ75" s="152"/>
      <c r="AK75" s="152"/>
      <c r="AL75" s="152"/>
      <c r="AM75" s="152"/>
      <c r="AN75" s="152"/>
      <c r="AO75" s="152"/>
      <c r="AP75" s="152"/>
      <c r="AQ75" s="152"/>
      <c r="AR75" s="152"/>
      <c r="AS75" s="152"/>
      <c r="AT75" s="152"/>
      <c r="AU75" s="152"/>
      <c r="AV75" s="152"/>
    </row>
    <row r="76" spans="1:48" ht="19.5" customHeight="1" x14ac:dyDescent="0.35">
      <c r="A76" s="223"/>
      <c r="B76" s="146"/>
      <c r="C76" s="237"/>
      <c r="D76" s="147"/>
      <c r="E76" s="148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6"/>
      <c r="AC76" s="152"/>
      <c r="AD76" s="152"/>
      <c r="AE76" s="152"/>
      <c r="AF76" s="152"/>
      <c r="AG76" s="152"/>
      <c r="AH76" s="152"/>
      <c r="AI76" s="152"/>
      <c r="AJ76" s="152"/>
      <c r="AK76" s="152"/>
      <c r="AL76" s="152"/>
      <c r="AM76" s="152"/>
      <c r="AN76" s="152"/>
      <c r="AO76" s="152"/>
      <c r="AP76" s="152"/>
      <c r="AQ76" s="152"/>
      <c r="AR76" s="152"/>
      <c r="AS76" s="152"/>
      <c r="AT76" s="152"/>
      <c r="AU76" s="152"/>
      <c r="AV76" s="152"/>
    </row>
    <row r="77" spans="1:48" ht="19.5" customHeight="1" x14ac:dyDescent="0.35">
      <c r="A77" s="223"/>
      <c r="B77" s="146"/>
      <c r="C77" s="237"/>
      <c r="D77" s="147"/>
      <c r="E77" s="148"/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6"/>
      <c r="AC77" s="152"/>
      <c r="AD77" s="152"/>
      <c r="AE77" s="152"/>
      <c r="AF77" s="152"/>
      <c r="AG77" s="152"/>
      <c r="AH77" s="152"/>
      <c r="AI77" s="152"/>
      <c r="AJ77" s="152"/>
      <c r="AK77" s="152"/>
      <c r="AL77" s="152"/>
      <c r="AM77" s="152"/>
      <c r="AN77" s="152"/>
      <c r="AO77" s="152"/>
      <c r="AP77" s="152"/>
      <c r="AQ77" s="152"/>
      <c r="AR77" s="152"/>
      <c r="AS77" s="152"/>
      <c r="AT77" s="152"/>
      <c r="AU77" s="152"/>
      <c r="AV77" s="152"/>
    </row>
    <row r="78" spans="1:48" ht="19.5" customHeight="1" x14ac:dyDescent="0.35">
      <c r="A78" s="223"/>
      <c r="B78" s="146"/>
      <c r="C78" s="237"/>
      <c r="D78" s="147"/>
      <c r="E78" s="148"/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6"/>
      <c r="AC78" s="152"/>
      <c r="AD78" s="152"/>
      <c r="AE78" s="152"/>
      <c r="AF78" s="152"/>
      <c r="AG78" s="152"/>
      <c r="AH78" s="152"/>
      <c r="AI78" s="152"/>
      <c r="AJ78" s="152"/>
      <c r="AK78" s="152"/>
      <c r="AL78" s="152"/>
      <c r="AM78" s="152"/>
      <c r="AN78" s="152"/>
      <c r="AO78" s="152"/>
      <c r="AP78" s="152"/>
      <c r="AQ78" s="152"/>
      <c r="AR78" s="152"/>
      <c r="AS78" s="152"/>
      <c r="AT78" s="152"/>
      <c r="AU78" s="152"/>
      <c r="AV78" s="152"/>
    </row>
    <row r="79" spans="1:48" ht="19.5" customHeight="1" x14ac:dyDescent="0.35">
      <c r="A79" s="223"/>
      <c r="B79" s="146"/>
      <c r="C79" s="237"/>
      <c r="D79" s="147"/>
      <c r="E79" s="148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6"/>
      <c r="AC79" s="152"/>
      <c r="AD79" s="152"/>
      <c r="AE79" s="152"/>
      <c r="AF79" s="152"/>
      <c r="AG79" s="152"/>
      <c r="AH79" s="152"/>
      <c r="AI79" s="152"/>
      <c r="AJ79" s="152"/>
      <c r="AK79" s="152"/>
      <c r="AL79" s="152"/>
      <c r="AM79" s="152"/>
      <c r="AN79" s="152"/>
      <c r="AO79" s="152"/>
      <c r="AP79" s="152"/>
      <c r="AQ79" s="152"/>
      <c r="AR79" s="152"/>
      <c r="AS79" s="152"/>
      <c r="AT79" s="152"/>
      <c r="AU79" s="152"/>
      <c r="AV79" s="152"/>
    </row>
    <row r="80" spans="1:48" ht="19.5" customHeight="1" x14ac:dyDescent="0.35">
      <c r="A80" s="223"/>
      <c r="B80" s="146"/>
      <c r="C80" s="237"/>
      <c r="D80" s="147"/>
      <c r="E80" s="148"/>
      <c r="F80" s="149"/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6"/>
      <c r="AC80" s="152"/>
      <c r="AD80" s="152"/>
      <c r="AE80" s="152"/>
      <c r="AF80" s="152"/>
      <c r="AG80" s="152"/>
      <c r="AH80" s="152"/>
      <c r="AI80" s="152"/>
      <c r="AJ80" s="152"/>
      <c r="AK80" s="152"/>
      <c r="AL80" s="152"/>
      <c r="AM80" s="152"/>
      <c r="AN80" s="152"/>
      <c r="AO80" s="152"/>
      <c r="AP80" s="152"/>
      <c r="AQ80" s="152"/>
      <c r="AR80" s="152"/>
      <c r="AS80" s="152"/>
      <c r="AT80" s="152"/>
      <c r="AU80" s="152"/>
      <c r="AV80" s="152"/>
    </row>
    <row r="81" spans="1:48" ht="19.5" customHeight="1" x14ac:dyDescent="0.35">
      <c r="A81" s="223"/>
      <c r="B81" s="146"/>
      <c r="C81" s="237"/>
      <c r="D81" s="147"/>
      <c r="E81" s="148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6"/>
      <c r="AC81" s="152"/>
      <c r="AD81" s="152"/>
      <c r="AE81" s="152"/>
      <c r="AF81" s="152"/>
      <c r="AG81" s="152"/>
      <c r="AH81" s="152"/>
      <c r="AI81" s="152"/>
      <c r="AJ81" s="152"/>
      <c r="AK81" s="152"/>
      <c r="AL81" s="152"/>
      <c r="AM81" s="152"/>
      <c r="AN81" s="152"/>
      <c r="AO81" s="152"/>
      <c r="AP81" s="152"/>
      <c r="AQ81" s="152"/>
      <c r="AR81" s="152"/>
      <c r="AS81" s="152"/>
      <c r="AT81" s="152"/>
      <c r="AU81" s="152"/>
      <c r="AV81" s="152"/>
    </row>
    <row r="82" spans="1:48" ht="19.5" customHeight="1" x14ac:dyDescent="0.35">
      <c r="A82" s="223"/>
      <c r="B82" s="146"/>
      <c r="C82" s="237"/>
      <c r="D82" s="147"/>
      <c r="E82" s="148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6"/>
      <c r="AC82" s="152"/>
      <c r="AD82" s="152"/>
      <c r="AE82" s="152"/>
      <c r="AF82" s="152"/>
      <c r="AG82" s="152"/>
      <c r="AH82" s="152"/>
      <c r="AI82" s="152"/>
      <c r="AJ82" s="152"/>
      <c r="AK82" s="152"/>
      <c r="AL82" s="152"/>
      <c r="AM82" s="152"/>
      <c r="AN82" s="152"/>
      <c r="AO82" s="152"/>
      <c r="AP82" s="152"/>
      <c r="AQ82" s="152"/>
      <c r="AR82" s="152"/>
      <c r="AS82" s="152"/>
      <c r="AT82" s="152"/>
      <c r="AU82" s="152"/>
      <c r="AV82" s="152"/>
    </row>
    <row r="83" spans="1:48" ht="19.5" customHeight="1" x14ac:dyDescent="0.35">
      <c r="A83" s="223"/>
      <c r="B83" s="146"/>
      <c r="C83" s="237"/>
      <c r="D83" s="147"/>
      <c r="E83" s="148"/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6"/>
      <c r="AC83" s="152"/>
      <c r="AD83" s="152"/>
      <c r="AE83" s="152"/>
      <c r="AF83" s="152"/>
      <c r="AG83" s="152"/>
      <c r="AH83" s="152"/>
      <c r="AI83" s="152"/>
      <c r="AJ83" s="152"/>
      <c r="AK83" s="152"/>
      <c r="AL83" s="152"/>
      <c r="AM83" s="152"/>
      <c r="AN83" s="152"/>
      <c r="AO83" s="152"/>
      <c r="AP83" s="152"/>
      <c r="AQ83" s="152"/>
      <c r="AR83" s="152"/>
      <c r="AS83" s="152"/>
      <c r="AT83" s="152"/>
      <c r="AU83" s="152"/>
      <c r="AV83" s="152"/>
    </row>
    <row r="84" spans="1:48" ht="19.5" customHeight="1" x14ac:dyDescent="0.35">
      <c r="A84" s="223"/>
      <c r="B84" s="146"/>
      <c r="C84" s="237"/>
      <c r="D84" s="147"/>
      <c r="E84" s="148"/>
      <c r="F84" s="149"/>
      <c r="G84" s="149"/>
      <c r="H84" s="149"/>
      <c r="I84" s="149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6"/>
      <c r="AC84" s="152"/>
      <c r="AD84" s="152"/>
      <c r="AE84" s="152"/>
      <c r="AF84" s="152"/>
      <c r="AG84" s="152"/>
      <c r="AH84" s="152"/>
      <c r="AI84" s="152"/>
      <c r="AJ84" s="152"/>
      <c r="AK84" s="152"/>
      <c r="AL84" s="152"/>
      <c r="AM84" s="152"/>
      <c r="AN84" s="152"/>
      <c r="AO84" s="152"/>
      <c r="AP84" s="152"/>
      <c r="AQ84" s="152"/>
      <c r="AR84" s="152"/>
      <c r="AS84" s="152"/>
      <c r="AT84" s="152"/>
      <c r="AU84" s="152"/>
      <c r="AV84" s="152"/>
    </row>
    <row r="85" spans="1:48" ht="19.5" customHeight="1" x14ac:dyDescent="0.35">
      <c r="A85" s="223"/>
      <c r="B85" s="146"/>
      <c r="C85" s="237"/>
      <c r="D85" s="147"/>
      <c r="E85" s="148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6"/>
      <c r="AC85" s="152"/>
      <c r="AD85" s="152"/>
      <c r="AE85" s="152"/>
      <c r="AF85" s="152"/>
      <c r="AG85" s="152"/>
      <c r="AH85" s="152"/>
      <c r="AI85" s="152"/>
      <c r="AJ85" s="152"/>
      <c r="AK85" s="152"/>
      <c r="AL85" s="152"/>
      <c r="AM85" s="152"/>
      <c r="AN85" s="152"/>
      <c r="AO85" s="152"/>
      <c r="AP85" s="152"/>
      <c r="AQ85" s="152"/>
      <c r="AR85" s="152"/>
      <c r="AS85" s="152"/>
      <c r="AT85" s="152"/>
      <c r="AU85" s="152"/>
      <c r="AV85" s="152"/>
    </row>
    <row r="86" spans="1:48" ht="19.5" customHeight="1" x14ac:dyDescent="0.35">
      <c r="A86" s="223"/>
      <c r="B86" s="146"/>
      <c r="C86" s="237"/>
      <c r="D86" s="147"/>
      <c r="E86" s="148"/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6"/>
      <c r="AC86" s="152"/>
      <c r="AD86" s="152"/>
      <c r="AE86" s="152"/>
      <c r="AF86" s="152"/>
      <c r="AG86" s="152"/>
      <c r="AH86" s="152"/>
      <c r="AI86" s="152"/>
      <c r="AJ86" s="152"/>
      <c r="AK86" s="152"/>
      <c r="AL86" s="152"/>
      <c r="AM86" s="152"/>
      <c r="AN86" s="152"/>
      <c r="AO86" s="152"/>
      <c r="AP86" s="152"/>
      <c r="AQ86" s="152"/>
      <c r="AR86" s="152"/>
      <c r="AS86" s="152"/>
      <c r="AT86" s="152"/>
      <c r="AU86" s="152"/>
      <c r="AV86" s="152"/>
    </row>
    <row r="87" spans="1:48" ht="19.5" customHeight="1" x14ac:dyDescent="0.35">
      <c r="A87" s="223"/>
      <c r="B87" s="146"/>
      <c r="C87" s="237"/>
      <c r="D87" s="147"/>
      <c r="E87" s="148"/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6"/>
      <c r="AC87" s="152"/>
      <c r="AD87" s="152"/>
      <c r="AE87" s="152"/>
      <c r="AF87" s="152"/>
      <c r="AG87" s="152"/>
      <c r="AH87" s="152"/>
      <c r="AI87" s="152"/>
      <c r="AJ87" s="152"/>
      <c r="AK87" s="152"/>
      <c r="AL87" s="152"/>
      <c r="AM87" s="152"/>
      <c r="AN87" s="152"/>
      <c r="AO87" s="152"/>
      <c r="AP87" s="152"/>
      <c r="AQ87" s="152"/>
      <c r="AR87" s="152"/>
      <c r="AS87" s="152"/>
      <c r="AT87" s="152"/>
      <c r="AU87" s="152"/>
      <c r="AV87" s="152"/>
    </row>
    <row r="88" spans="1:48" ht="19.5" customHeight="1" x14ac:dyDescent="0.35">
      <c r="A88" s="223"/>
      <c r="B88" s="146"/>
      <c r="C88" s="237"/>
      <c r="D88" s="147"/>
      <c r="E88" s="148"/>
      <c r="F88" s="149"/>
      <c r="G88" s="149"/>
      <c r="H88" s="149"/>
      <c r="I88" s="149"/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6"/>
      <c r="AC88" s="152"/>
      <c r="AD88" s="152"/>
      <c r="AE88" s="152"/>
      <c r="AF88" s="152"/>
      <c r="AG88" s="152"/>
      <c r="AH88" s="152"/>
      <c r="AI88" s="152"/>
      <c r="AJ88" s="152"/>
      <c r="AK88" s="152"/>
      <c r="AL88" s="152"/>
      <c r="AM88" s="152"/>
      <c r="AN88" s="152"/>
      <c r="AO88" s="152"/>
      <c r="AP88" s="152"/>
      <c r="AQ88" s="152"/>
      <c r="AR88" s="152"/>
      <c r="AS88" s="152"/>
      <c r="AT88" s="152"/>
      <c r="AU88" s="152"/>
      <c r="AV88" s="152"/>
    </row>
    <row r="89" spans="1:48" ht="19.5" customHeight="1" x14ac:dyDescent="0.35">
      <c r="A89" s="223"/>
      <c r="B89" s="146"/>
      <c r="C89" s="237"/>
      <c r="D89" s="147"/>
      <c r="E89" s="148"/>
      <c r="F89" s="149"/>
      <c r="G89" s="149"/>
      <c r="H89" s="149"/>
      <c r="I89" s="149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6"/>
      <c r="AC89" s="152"/>
      <c r="AD89" s="152"/>
      <c r="AE89" s="152"/>
      <c r="AF89" s="152"/>
      <c r="AG89" s="152"/>
      <c r="AH89" s="152"/>
      <c r="AI89" s="152"/>
      <c r="AJ89" s="152"/>
      <c r="AK89" s="152"/>
      <c r="AL89" s="152"/>
      <c r="AM89" s="152"/>
      <c r="AN89" s="152"/>
      <c r="AO89" s="152"/>
      <c r="AP89" s="152"/>
      <c r="AQ89" s="152"/>
      <c r="AR89" s="152"/>
      <c r="AS89" s="152"/>
      <c r="AT89" s="152"/>
      <c r="AU89" s="152"/>
      <c r="AV89" s="152"/>
    </row>
    <row r="90" spans="1:48" ht="19.5" customHeight="1" x14ac:dyDescent="0.35">
      <c r="A90" s="223"/>
      <c r="B90" s="146"/>
      <c r="C90" s="237"/>
      <c r="D90" s="147"/>
      <c r="E90" s="148"/>
      <c r="F90" s="149"/>
      <c r="G90" s="149"/>
      <c r="H90" s="149"/>
      <c r="I90" s="149"/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6"/>
      <c r="AC90" s="152"/>
      <c r="AD90" s="152"/>
      <c r="AE90" s="152"/>
      <c r="AF90" s="152"/>
      <c r="AG90" s="152"/>
      <c r="AH90" s="152"/>
      <c r="AI90" s="152"/>
      <c r="AJ90" s="152"/>
      <c r="AK90" s="152"/>
      <c r="AL90" s="152"/>
      <c r="AM90" s="152"/>
      <c r="AN90" s="152"/>
      <c r="AO90" s="152"/>
      <c r="AP90" s="152"/>
      <c r="AQ90" s="152"/>
      <c r="AR90" s="152"/>
      <c r="AS90" s="152"/>
      <c r="AT90" s="152"/>
      <c r="AU90" s="152"/>
      <c r="AV90" s="152"/>
    </row>
    <row r="91" spans="1:48" ht="15.75" customHeight="1" x14ac:dyDescent="0.35">
      <c r="A91" s="223"/>
      <c r="B91" s="146"/>
      <c r="C91" s="237"/>
      <c r="D91" s="147"/>
      <c r="E91" s="148"/>
      <c r="F91" s="149"/>
      <c r="G91" s="149"/>
      <c r="H91" s="149"/>
      <c r="I91" s="149"/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6"/>
      <c r="AC91" s="152"/>
      <c r="AD91" s="152"/>
      <c r="AE91" s="152"/>
      <c r="AF91" s="152"/>
      <c r="AG91" s="152"/>
      <c r="AH91" s="152"/>
      <c r="AI91" s="152"/>
      <c r="AJ91" s="152"/>
      <c r="AK91" s="152"/>
      <c r="AL91" s="152"/>
      <c r="AM91" s="152"/>
      <c r="AN91" s="152"/>
      <c r="AO91" s="152"/>
      <c r="AP91" s="152"/>
      <c r="AQ91" s="152"/>
      <c r="AR91" s="152"/>
      <c r="AS91" s="152"/>
      <c r="AT91" s="152"/>
      <c r="AU91" s="152"/>
      <c r="AV91" s="152"/>
    </row>
    <row r="92" spans="1:48" ht="15.75" customHeight="1" x14ac:dyDescent="0.35">
      <c r="A92" s="223"/>
      <c r="B92" s="146"/>
      <c r="C92" s="237"/>
      <c r="D92" s="147"/>
      <c r="E92" s="148"/>
      <c r="F92" s="149"/>
      <c r="G92" s="149"/>
      <c r="H92" s="149"/>
      <c r="I92" s="149"/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6"/>
      <c r="AC92" s="152"/>
      <c r="AD92" s="152"/>
      <c r="AE92" s="152"/>
      <c r="AF92" s="152"/>
      <c r="AG92" s="152"/>
      <c r="AH92" s="152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</row>
    <row r="93" spans="1:48" ht="15.75" customHeight="1" x14ac:dyDescent="0.35">
      <c r="A93" s="223"/>
      <c r="B93" s="146"/>
      <c r="C93" s="237"/>
      <c r="D93" s="147"/>
      <c r="E93" s="148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6"/>
      <c r="AC93" s="152"/>
      <c r="AD93" s="152"/>
      <c r="AE93" s="152"/>
      <c r="AF93" s="152"/>
      <c r="AG93" s="152"/>
      <c r="AH93" s="152"/>
      <c r="AI93" s="152"/>
      <c r="AJ93" s="152"/>
      <c r="AK93" s="152"/>
      <c r="AL93" s="152"/>
      <c r="AM93" s="152"/>
      <c r="AN93" s="152"/>
      <c r="AO93" s="152"/>
      <c r="AP93" s="152"/>
      <c r="AQ93" s="152"/>
      <c r="AR93" s="152"/>
      <c r="AS93" s="152"/>
      <c r="AT93" s="152"/>
      <c r="AU93" s="152"/>
      <c r="AV93" s="152"/>
    </row>
    <row r="94" spans="1:48" ht="15.75" customHeight="1" x14ac:dyDescent="0.35">
      <c r="A94" s="223"/>
      <c r="B94" s="146"/>
      <c r="C94" s="237"/>
      <c r="D94" s="147"/>
      <c r="E94" s="148"/>
      <c r="F94" s="149"/>
      <c r="G94" s="149"/>
      <c r="H94" s="149"/>
      <c r="I94" s="149"/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6"/>
      <c r="AC94" s="152"/>
      <c r="AD94" s="152"/>
      <c r="AE94" s="152"/>
      <c r="AF94" s="152"/>
      <c r="AG94" s="152"/>
      <c r="AH94" s="152"/>
      <c r="AI94" s="152"/>
      <c r="AJ94" s="152"/>
      <c r="AK94" s="152"/>
      <c r="AL94" s="152"/>
      <c r="AM94" s="152"/>
      <c r="AN94" s="152"/>
      <c r="AO94" s="152"/>
      <c r="AP94" s="152"/>
      <c r="AQ94" s="152"/>
      <c r="AR94" s="152"/>
      <c r="AS94" s="152"/>
      <c r="AT94" s="152"/>
      <c r="AU94" s="152"/>
      <c r="AV94" s="152"/>
    </row>
    <row r="95" spans="1:48" ht="15.75" customHeight="1" x14ac:dyDescent="0.35">
      <c r="A95" s="223"/>
      <c r="B95" s="146"/>
      <c r="C95" s="237"/>
      <c r="D95" s="147"/>
      <c r="E95" s="148"/>
      <c r="F95" s="149"/>
      <c r="G95" s="149"/>
      <c r="H95" s="149"/>
      <c r="I95" s="149"/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6"/>
      <c r="AC95" s="152"/>
      <c r="AD95" s="152"/>
      <c r="AE95" s="152"/>
      <c r="AF95" s="152"/>
      <c r="AG95" s="152"/>
      <c r="AH95" s="152"/>
      <c r="AI95" s="152"/>
      <c r="AJ95" s="152"/>
      <c r="AK95" s="152"/>
      <c r="AL95" s="152"/>
      <c r="AM95" s="152"/>
      <c r="AN95" s="152"/>
      <c r="AO95" s="152"/>
      <c r="AP95" s="152"/>
      <c r="AQ95" s="152"/>
      <c r="AR95" s="152"/>
      <c r="AS95" s="152"/>
      <c r="AT95" s="152"/>
      <c r="AU95" s="152"/>
      <c r="AV95" s="152"/>
    </row>
    <row r="96" spans="1:48" ht="15.75" customHeight="1" x14ac:dyDescent="0.35">
      <c r="A96" s="223"/>
      <c r="B96" s="146"/>
      <c r="C96" s="237"/>
      <c r="D96" s="147"/>
      <c r="E96" s="148"/>
      <c r="F96" s="149"/>
      <c r="G96" s="149"/>
      <c r="H96" s="149"/>
      <c r="I96" s="149"/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6"/>
      <c r="AC96" s="152"/>
      <c r="AD96" s="152"/>
      <c r="AE96" s="152"/>
      <c r="AF96" s="152"/>
      <c r="AG96" s="152"/>
      <c r="AH96" s="152"/>
      <c r="AI96" s="152"/>
      <c r="AJ96" s="152"/>
      <c r="AK96" s="152"/>
      <c r="AL96" s="152"/>
      <c r="AM96" s="152"/>
      <c r="AN96" s="152"/>
      <c r="AO96" s="152"/>
      <c r="AP96" s="152"/>
      <c r="AQ96" s="152"/>
      <c r="AR96" s="152"/>
      <c r="AS96" s="152"/>
      <c r="AT96" s="152"/>
      <c r="AU96" s="152"/>
      <c r="AV96" s="152"/>
    </row>
    <row r="97" spans="1:48" ht="15.75" customHeight="1" x14ac:dyDescent="0.35">
      <c r="A97" s="223"/>
      <c r="B97" s="146"/>
      <c r="C97" s="237"/>
      <c r="D97" s="147"/>
      <c r="E97" s="148"/>
      <c r="F97" s="149"/>
      <c r="G97" s="149"/>
      <c r="H97" s="149"/>
      <c r="I97" s="149"/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6"/>
      <c r="AC97" s="152"/>
      <c r="AD97" s="152"/>
      <c r="AE97" s="152"/>
      <c r="AF97" s="152"/>
      <c r="AG97" s="152"/>
      <c r="AH97" s="152"/>
      <c r="AI97" s="152"/>
      <c r="AJ97" s="152"/>
      <c r="AK97" s="152"/>
      <c r="AL97" s="152"/>
      <c r="AM97" s="152"/>
      <c r="AN97" s="152"/>
      <c r="AO97" s="152"/>
      <c r="AP97" s="152"/>
      <c r="AQ97" s="152"/>
      <c r="AR97" s="152"/>
      <c r="AS97" s="152"/>
      <c r="AT97" s="152"/>
      <c r="AU97" s="152"/>
      <c r="AV97" s="152"/>
    </row>
    <row r="98" spans="1:48" ht="15.75" customHeight="1" x14ac:dyDescent="0.35">
      <c r="A98" s="223"/>
      <c r="B98" s="146"/>
      <c r="C98" s="237"/>
      <c r="D98" s="147"/>
      <c r="E98" s="148"/>
      <c r="F98" s="149"/>
      <c r="G98" s="149"/>
      <c r="H98" s="149"/>
      <c r="I98" s="149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6"/>
      <c r="AC98" s="152"/>
      <c r="AD98" s="152"/>
      <c r="AE98" s="152"/>
      <c r="AF98" s="152"/>
      <c r="AG98" s="152"/>
      <c r="AH98" s="152"/>
      <c r="AI98" s="152"/>
      <c r="AJ98" s="152"/>
      <c r="AK98" s="152"/>
      <c r="AL98" s="152"/>
      <c r="AM98" s="152"/>
      <c r="AN98" s="152"/>
      <c r="AO98" s="152"/>
      <c r="AP98" s="152"/>
      <c r="AQ98" s="152"/>
      <c r="AR98" s="152"/>
      <c r="AS98" s="152"/>
      <c r="AT98" s="152"/>
      <c r="AU98" s="152"/>
      <c r="AV98" s="152"/>
    </row>
    <row r="99" spans="1:48" ht="15.75" customHeight="1" x14ac:dyDescent="0.35">
      <c r="A99" s="223"/>
      <c r="B99" s="146"/>
      <c r="C99" s="237"/>
      <c r="D99" s="147"/>
      <c r="E99" s="148"/>
      <c r="F99" s="149"/>
      <c r="G99" s="149"/>
      <c r="H99" s="149"/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6"/>
      <c r="AC99" s="152"/>
      <c r="AD99" s="152"/>
      <c r="AE99" s="152"/>
      <c r="AF99" s="152"/>
      <c r="AG99" s="152"/>
      <c r="AH99" s="152"/>
      <c r="AI99" s="152"/>
      <c r="AJ99" s="152"/>
      <c r="AK99" s="152"/>
      <c r="AL99" s="152"/>
      <c r="AM99" s="152"/>
      <c r="AN99" s="152"/>
      <c r="AO99" s="152"/>
      <c r="AP99" s="152"/>
      <c r="AQ99" s="152"/>
      <c r="AR99" s="152"/>
      <c r="AS99" s="152"/>
      <c r="AT99" s="152"/>
      <c r="AU99" s="152"/>
      <c r="AV99" s="152"/>
    </row>
    <row r="100" spans="1:48" ht="15.75" customHeight="1" x14ac:dyDescent="0.35">
      <c r="A100" s="223"/>
      <c r="B100" s="146"/>
      <c r="C100" s="237"/>
      <c r="D100" s="147"/>
      <c r="E100" s="148"/>
      <c r="F100" s="149"/>
      <c r="G100" s="149"/>
      <c r="H100" s="149"/>
      <c r="I100" s="149"/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6"/>
      <c r="AC100" s="152"/>
      <c r="AD100" s="152"/>
      <c r="AE100" s="152"/>
      <c r="AF100" s="152"/>
      <c r="AG100" s="152"/>
      <c r="AH100" s="152"/>
      <c r="AI100" s="152"/>
      <c r="AJ100" s="152"/>
      <c r="AK100" s="152"/>
      <c r="AL100" s="152"/>
      <c r="AM100" s="152"/>
      <c r="AN100" s="152"/>
      <c r="AO100" s="152"/>
      <c r="AP100" s="152"/>
      <c r="AQ100" s="152"/>
      <c r="AR100" s="152"/>
      <c r="AS100" s="152"/>
      <c r="AT100" s="152"/>
      <c r="AU100" s="152"/>
      <c r="AV100" s="152"/>
    </row>
    <row r="101" spans="1:48" ht="15.75" customHeight="1" x14ac:dyDescent="0.35">
      <c r="A101" s="223"/>
      <c r="B101" s="146"/>
      <c r="C101" s="237"/>
      <c r="D101" s="147"/>
      <c r="E101" s="148"/>
      <c r="F101" s="149"/>
      <c r="G101" s="149"/>
      <c r="H101" s="149"/>
      <c r="I101" s="149"/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6"/>
      <c r="AC101" s="152"/>
      <c r="AD101" s="152"/>
      <c r="AE101" s="152"/>
      <c r="AF101" s="152"/>
      <c r="AG101" s="152"/>
      <c r="AH101" s="152"/>
      <c r="AI101" s="152"/>
      <c r="AJ101" s="152"/>
      <c r="AK101" s="152"/>
      <c r="AL101" s="152"/>
      <c r="AM101" s="152"/>
      <c r="AN101" s="152"/>
      <c r="AO101" s="152"/>
      <c r="AP101" s="152"/>
      <c r="AQ101" s="152"/>
      <c r="AR101" s="152"/>
      <c r="AS101" s="152"/>
      <c r="AT101" s="152"/>
      <c r="AU101" s="152"/>
      <c r="AV101" s="152"/>
    </row>
    <row r="102" spans="1:48" ht="15.75" customHeight="1" x14ac:dyDescent="0.35">
      <c r="A102" s="223"/>
      <c r="B102" s="146"/>
      <c r="C102" s="237"/>
      <c r="D102" s="147"/>
      <c r="E102" s="148"/>
      <c r="F102" s="149"/>
      <c r="G102" s="149"/>
      <c r="H102" s="149"/>
      <c r="I102" s="149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6"/>
      <c r="AC102" s="152"/>
      <c r="AD102" s="152"/>
      <c r="AE102" s="152"/>
      <c r="AF102" s="152"/>
      <c r="AG102" s="152"/>
      <c r="AH102" s="152"/>
      <c r="AI102" s="152"/>
      <c r="AJ102" s="152"/>
      <c r="AK102" s="152"/>
      <c r="AL102" s="152"/>
      <c r="AM102" s="152"/>
      <c r="AN102" s="152"/>
      <c r="AO102" s="152"/>
      <c r="AP102" s="152"/>
      <c r="AQ102" s="152"/>
      <c r="AR102" s="152"/>
      <c r="AS102" s="152"/>
      <c r="AT102" s="152"/>
      <c r="AU102" s="152"/>
      <c r="AV102" s="152"/>
    </row>
    <row r="103" spans="1:48" ht="15.75" customHeight="1" x14ac:dyDescent="0.35">
      <c r="A103" s="223"/>
      <c r="B103" s="146"/>
      <c r="C103" s="237"/>
      <c r="D103" s="147"/>
      <c r="E103" s="148"/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6"/>
      <c r="AC103" s="152"/>
      <c r="AD103" s="152"/>
      <c r="AE103" s="152"/>
      <c r="AF103" s="152"/>
      <c r="AG103" s="152"/>
      <c r="AH103" s="152"/>
      <c r="AI103" s="152"/>
      <c r="AJ103" s="152"/>
      <c r="AK103" s="152"/>
      <c r="AL103" s="152"/>
      <c r="AM103" s="152"/>
      <c r="AN103" s="152"/>
      <c r="AO103" s="152"/>
      <c r="AP103" s="152"/>
      <c r="AQ103" s="152"/>
      <c r="AR103" s="152"/>
      <c r="AS103" s="152"/>
      <c r="AT103" s="152"/>
      <c r="AU103" s="152"/>
      <c r="AV103" s="152"/>
    </row>
    <row r="104" spans="1:48" ht="15.75" customHeight="1" x14ac:dyDescent="0.35">
      <c r="A104" s="223"/>
      <c r="B104" s="146"/>
      <c r="C104" s="237"/>
      <c r="D104" s="147"/>
      <c r="E104" s="148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6"/>
      <c r="AC104" s="152"/>
      <c r="AD104" s="152"/>
      <c r="AE104" s="152"/>
      <c r="AF104" s="152"/>
      <c r="AG104" s="152"/>
      <c r="AH104" s="152"/>
      <c r="AI104" s="152"/>
      <c r="AJ104" s="152"/>
      <c r="AK104" s="152"/>
      <c r="AL104" s="152"/>
      <c r="AM104" s="152"/>
      <c r="AN104" s="152"/>
      <c r="AO104" s="152"/>
      <c r="AP104" s="152"/>
      <c r="AQ104" s="152"/>
      <c r="AR104" s="152"/>
      <c r="AS104" s="152"/>
      <c r="AT104" s="152"/>
      <c r="AU104" s="152"/>
      <c r="AV104" s="152"/>
    </row>
    <row r="105" spans="1:48" ht="15.75" customHeight="1" x14ac:dyDescent="0.35">
      <c r="A105" s="223"/>
      <c r="B105" s="146"/>
      <c r="C105" s="237"/>
      <c r="D105" s="147"/>
      <c r="E105" s="148"/>
      <c r="F105" s="149"/>
      <c r="G105" s="149"/>
      <c r="H105" s="149"/>
      <c r="I105" s="149"/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6"/>
      <c r="AC105" s="152"/>
      <c r="AD105" s="152"/>
      <c r="AE105" s="152"/>
      <c r="AF105" s="152"/>
      <c r="AG105" s="152"/>
      <c r="AH105" s="152"/>
      <c r="AI105" s="152"/>
      <c r="AJ105" s="152"/>
      <c r="AK105" s="152"/>
      <c r="AL105" s="152"/>
      <c r="AM105" s="152"/>
      <c r="AN105" s="152"/>
      <c r="AO105" s="152"/>
      <c r="AP105" s="152"/>
      <c r="AQ105" s="152"/>
      <c r="AR105" s="152"/>
      <c r="AS105" s="152"/>
      <c r="AT105" s="152"/>
      <c r="AU105" s="152"/>
      <c r="AV105" s="152"/>
    </row>
    <row r="106" spans="1:48" ht="15.75" customHeight="1" x14ac:dyDescent="0.35">
      <c r="A106" s="223"/>
      <c r="B106" s="146"/>
      <c r="C106" s="237"/>
      <c r="D106" s="147"/>
      <c r="E106" s="148"/>
      <c r="F106" s="149"/>
      <c r="G106" s="149"/>
      <c r="H106" s="149"/>
      <c r="I106" s="149"/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6"/>
      <c r="AC106" s="152"/>
      <c r="AD106" s="152"/>
      <c r="AE106" s="152"/>
      <c r="AF106" s="152"/>
      <c r="AG106" s="152"/>
      <c r="AH106" s="152"/>
      <c r="AI106" s="152"/>
      <c r="AJ106" s="152"/>
      <c r="AK106" s="152"/>
      <c r="AL106" s="152"/>
      <c r="AM106" s="152"/>
      <c r="AN106" s="152"/>
      <c r="AO106" s="152"/>
      <c r="AP106" s="152"/>
      <c r="AQ106" s="152"/>
      <c r="AR106" s="152"/>
      <c r="AS106" s="152"/>
      <c r="AT106" s="152"/>
      <c r="AU106" s="152"/>
      <c r="AV106" s="152"/>
    </row>
    <row r="107" spans="1:48" ht="15.75" customHeight="1" x14ac:dyDescent="0.35">
      <c r="A107" s="223"/>
      <c r="B107" s="146"/>
      <c r="C107" s="237"/>
      <c r="D107" s="147"/>
      <c r="E107" s="148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6"/>
      <c r="AC107" s="152"/>
      <c r="AD107" s="152"/>
      <c r="AE107" s="152"/>
      <c r="AF107" s="152"/>
      <c r="AG107" s="152"/>
      <c r="AH107" s="152"/>
      <c r="AI107" s="152"/>
      <c r="AJ107" s="152"/>
      <c r="AK107" s="152"/>
      <c r="AL107" s="152"/>
      <c r="AM107" s="152"/>
      <c r="AN107" s="152"/>
      <c r="AO107" s="152"/>
      <c r="AP107" s="152"/>
      <c r="AQ107" s="152"/>
      <c r="AR107" s="152"/>
      <c r="AS107" s="152"/>
      <c r="AT107" s="152"/>
      <c r="AU107" s="152"/>
      <c r="AV107" s="152"/>
    </row>
    <row r="108" spans="1:48" ht="15.75" customHeight="1" x14ac:dyDescent="0.35">
      <c r="A108" s="223"/>
      <c r="B108" s="146"/>
      <c r="C108" s="237"/>
      <c r="D108" s="147"/>
      <c r="E108" s="148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6"/>
      <c r="AC108" s="152"/>
      <c r="AD108" s="152"/>
      <c r="AE108" s="152"/>
      <c r="AF108" s="152"/>
      <c r="AG108" s="152"/>
      <c r="AH108" s="152"/>
      <c r="AI108" s="152"/>
      <c r="AJ108" s="152"/>
      <c r="AK108" s="152"/>
      <c r="AL108" s="152"/>
      <c r="AM108" s="152"/>
      <c r="AN108" s="152"/>
      <c r="AO108" s="152"/>
      <c r="AP108" s="152"/>
      <c r="AQ108" s="152"/>
      <c r="AR108" s="152"/>
      <c r="AS108" s="152"/>
      <c r="AT108" s="152"/>
      <c r="AU108" s="152"/>
      <c r="AV108" s="152"/>
    </row>
    <row r="109" spans="1:48" ht="15.75" customHeight="1" x14ac:dyDescent="0.35">
      <c r="A109" s="223"/>
      <c r="B109" s="146"/>
      <c r="C109" s="237"/>
      <c r="D109" s="147"/>
      <c r="E109" s="148"/>
      <c r="F109" s="149"/>
      <c r="G109" s="149"/>
      <c r="H109" s="149"/>
      <c r="I109" s="149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6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  <c r="AS109" s="152"/>
      <c r="AT109" s="152"/>
      <c r="AU109" s="152"/>
      <c r="AV109" s="152"/>
    </row>
    <row r="110" spans="1:48" ht="15.75" customHeight="1" x14ac:dyDescent="0.35">
      <c r="A110" s="223"/>
      <c r="B110" s="146"/>
      <c r="C110" s="237"/>
      <c r="D110" s="147"/>
      <c r="E110" s="148"/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6"/>
      <c r="AC110" s="152"/>
      <c r="AD110" s="152"/>
      <c r="AE110" s="152"/>
      <c r="AF110" s="152"/>
      <c r="AG110" s="152"/>
      <c r="AH110" s="152"/>
      <c r="AI110" s="152"/>
      <c r="AJ110" s="152"/>
      <c r="AK110" s="152"/>
      <c r="AL110" s="152"/>
      <c r="AM110" s="152"/>
      <c r="AN110" s="152"/>
      <c r="AO110" s="152"/>
      <c r="AP110" s="152"/>
      <c r="AQ110" s="152"/>
      <c r="AR110" s="152"/>
      <c r="AS110" s="152"/>
      <c r="AT110" s="152"/>
      <c r="AU110" s="152"/>
      <c r="AV110" s="152"/>
    </row>
    <row r="111" spans="1:48" ht="15.75" customHeight="1" x14ac:dyDescent="0.35">
      <c r="A111" s="223"/>
      <c r="B111" s="146"/>
      <c r="C111" s="237"/>
      <c r="D111" s="147"/>
      <c r="E111" s="148"/>
      <c r="F111" s="149"/>
      <c r="G111" s="149"/>
      <c r="H111" s="149"/>
      <c r="I111" s="149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6"/>
      <c r="AC111" s="152"/>
      <c r="AD111" s="152"/>
      <c r="AE111" s="152"/>
      <c r="AF111" s="152"/>
      <c r="AG111" s="152"/>
      <c r="AH111" s="152"/>
      <c r="AI111" s="152"/>
      <c r="AJ111" s="152"/>
      <c r="AK111" s="152"/>
      <c r="AL111" s="152"/>
      <c r="AM111" s="152"/>
      <c r="AN111" s="152"/>
      <c r="AO111" s="152"/>
      <c r="AP111" s="152"/>
      <c r="AQ111" s="152"/>
      <c r="AR111" s="152"/>
      <c r="AS111" s="152"/>
      <c r="AT111" s="152"/>
      <c r="AU111" s="152"/>
      <c r="AV111" s="152"/>
    </row>
    <row r="112" spans="1:48" ht="15.75" customHeight="1" x14ac:dyDescent="0.35">
      <c r="A112" s="223"/>
      <c r="B112" s="146"/>
      <c r="C112" s="237"/>
      <c r="D112" s="147"/>
      <c r="E112" s="148"/>
      <c r="F112" s="149"/>
      <c r="G112" s="149"/>
      <c r="H112" s="149"/>
      <c r="I112" s="149"/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6"/>
      <c r="AC112" s="152"/>
      <c r="AD112" s="152"/>
      <c r="AE112" s="152"/>
      <c r="AF112" s="152"/>
      <c r="AG112" s="152"/>
      <c r="AH112" s="152"/>
      <c r="AI112" s="152"/>
      <c r="AJ112" s="152"/>
      <c r="AK112" s="152"/>
      <c r="AL112" s="152"/>
      <c r="AM112" s="152"/>
      <c r="AN112" s="152"/>
      <c r="AO112" s="152"/>
      <c r="AP112" s="152"/>
      <c r="AQ112" s="152"/>
      <c r="AR112" s="152"/>
      <c r="AS112" s="152"/>
      <c r="AT112" s="152"/>
      <c r="AU112" s="152"/>
      <c r="AV112" s="152"/>
    </row>
    <row r="113" spans="1:48" ht="15.75" customHeight="1" x14ac:dyDescent="0.35">
      <c r="A113" s="223"/>
      <c r="B113" s="146"/>
      <c r="C113" s="237"/>
      <c r="D113" s="147"/>
      <c r="E113" s="148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6"/>
      <c r="AC113" s="152"/>
      <c r="AD113" s="152"/>
      <c r="AE113" s="152"/>
      <c r="AF113" s="152"/>
      <c r="AG113" s="152"/>
      <c r="AH113" s="152"/>
      <c r="AI113" s="152"/>
      <c r="AJ113" s="152"/>
      <c r="AK113" s="152"/>
      <c r="AL113" s="152"/>
      <c r="AM113" s="152"/>
      <c r="AN113" s="152"/>
      <c r="AO113" s="152"/>
      <c r="AP113" s="152"/>
      <c r="AQ113" s="152"/>
      <c r="AR113" s="152"/>
      <c r="AS113" s="152"/>
      <c r="AT113" s="152"/>
      <c r="AU113" s="152"/>
      <c r="AV113" s="152"/>
    </row>
    <row r="114" spans="1:48" ht="15.75" customHeight="1" x14ac:dyDescent="0.35">
      <c r="A114" s="223"/>
      <c r="B114" s="146"/>
      <c r="C114" s="237"/>
      <c r="D114" s="147"/>
      <c r="E114" s="148"/>
      <c r="F114" s="149"/>
      <c r="G114" s="149"/>
      <c r="H114" s="149"/>
      <c r="I114" s="149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6"/>
      <c r="AC114" s="152"/>
      <c r="AD114" s="152"/>
      <c r="AE114" s="152"/>
      <c r="AF114" s="152"/>
      <c r="AG114" s="152"/>
      <c r="AH114" s="152"/>
      <c r="AI114" s="152"/>
      <c r="AJ114" s="152"/>
      <c r="AK114" s="152"/>
      <c r="AL114" s="152"/>
      <c r="AM114" s="152"/>
      <c r="AN114" s="152"/>
      <c r="AO114" s="152"/>
      <c r="AP114" s="152"/>
      <c r="AQ114" s="152"/>
      <c r="AR114" s="152"/>
      <c r="AS114" s="152"/>
      <c r="AT114" s="152"/>
      <c r="AU114" s="152"/>
      <c r="AV114" s="152"/>
    </row>
    <row r="115" spans="1:48" ht="15.75" customHeight="1" x14ac:dyDescent="0.35">
      <c r="A115" s="223"/>
      <c r="B115" s="146"/>
      <c r="C115" s="237"/>
      <c r="D115" s="147"/>
      <c r="E115" s="148"/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6"/>
      <c r="AC115" s="152"/>
      <c r="AD115" s="152"/>
      <c r="AE115" s="152"/>
      <c r="AF115" s="152"/>
      <c r="AG115" s="152"/>
      <c r="AH115" s="152"/>
      <c r="AI115" s="152"/>
      <c r="AJ115" s="152"/>
      <c r="AK115" s="152"/>
      <c r="AL115" s="152"/>
      <c r="AM115" s="152"/>
      <c r="AN115" s="152"/>
      <c r="AO115" s="152"/>
      <c r="AP115" s="152"/>
      <c r="AQ115" s="152"/>
      <c r="AR115" s="152"/>
      <c r="AS115" s="152"/>
      <c r="AT115" s="152"/>
      <c r="AU115" s="152"/>
      <c r="AV115" s="152"/>
    </row>
    <row r="116" spans="1:48" ht="15.75" customHeight="1" x14ac:dyDescent="0.35">
      <c r="A116" s="223"/>
      <c r="B116" s="146"/>
      <c r="C116" s="237"/>
      <c r="D116" s="147"/>
      <c r="E116" s="148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6"/>
      <c r="AC116" s="152"/>
      <c r="AD116" s="152"/>
      <c r="AE116" s="152"/>
      <c r="AF116" s="152"/>
      <c r="AG116" s="152"/>
      <c r="AH116" s="152"/>
      <c r="AI116" s="152"/>
      <c r="AJ116" s="152"/>
      <c r="AK116" s="152"/>
      <c r="AL116" s="152"/>
      <c r="AM116" s="152"/>
      <c r="AN116" s="152"/>
      <c r="AO116" s="152"/>
      <c r="AP116" s="152"/>
      <c r="AQ116" s="152"/>
      <c r="AR116" s="152"/>
      <c r="AS116" s="152"/>
      <c r="AT116" s="152"/>
      <c r="AU116" s="152"/>
      <c r="AV116" s="152"/>
    </row>
    <row r="117" spans="1:48" ht="15.75" customHeight="1" x14ac:dyDescent="0.35">
      <c r="A117" s="223"/>
      <c r="B117" s="146"/>
      <c r="C117" s="237"/>
      <c r="D117" s="147"/>
      <c r="E117" s="148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6"/>
      <c r="AC117" s="152"/>
      <c r="AD117" s="152"/>
      <c r="AE117" s="152"/>
      <c r="AF117" s="152"/>
      <c r="AG117" s="152"/>
      <c r="AH117" s="152"/>
      <c r="AI117" s="152"/>
      <c r="AJ117" s="152"/>
      <c r="AK117" s="152"/>
      <c r="AL117" s="152"/>
      <c r="AM117" s="152"/>
      <c r="AN117" s="152"/>
      <c r="AO117" s="152"/>
      <c r="AP117" s="152"/>
      <c r="AQ117" s="152"/>
      <c r="AR117" s="152"/>
      <c r="AS117" s="152"/>
      <c r="AT117" s="152"/>
      <c r="AU117" s="152"/>
      <c r="AV117" s="152"/>
    </row>
    <row r="118" spans="1:48" ht="15.75" customHeight="1" x14ac:dyDescent="0.35">
      <c r="A118" s="223"/>
      <c r="B118" s="146"/>
      <c r="C118" s="237"/>
      <c r="D118" s="147"/>
      <c r="E118" s="148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6"/>
      <c r="AC118" s="152"/>
      <c r="AD118" s="152"/>
      <c r="AE118" s="152"/>
      <c r="AF118" s="152"/>
      <c r="AG118" s="152"/>
      <c r="AH118" s="152"/>
      <c r="AI118" s="152"/>
      <c r="AJ118" s="152"/>
      <c r="AK118" s="152"/>
      <c r="AL118" s="152"/>
      <c r="AM118" s="152"/>
      <c r="AN118" s="152"/>
      <c r="AO118" s="152"/>
      <c r="AP118" s="152"/>
      <c r="AQ118" s="152"/>
      <c r="AR118" s="152"/>
      <c r="AS118" s="152"/>
      <c r="AT118" s="152"/>
      <c r="AU118" s="152"/>
      <c r="AV118" s="152"/>
    </row>
    <row r="119" spans="1:48" ht="15.75" customHeight="1" x14ac:dyDescent="0.35">
      <c r="A119" s="223"/>
      <c r="B119" s="146"/>
      <c r="C119" s="237"/>
      <c r="D119" s="147"/>
      <c r="E119" s="148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6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  <c r="AS119" s="152"/>
      <c r="AT119" s="152"/>
      <c r="AU119" s="152"/>
      <c r="AV119" s="152"/>
    </row>
    <row r="120" spans="1:48" ht="15.75" customHeight="1" x14ac:dyDescent="0.35">
      <c r="A120" s="223"/>
      <c r="B120" s="146"/>
      <c r="C120" s="237"/>
      <c r="D120" s="147"/>
      <c r="E120" s="148"/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6"/>
      <c r="AC120" s="152"/>
      <c r="AD120" s="152"/>
      <c r="AE120" s="152"/>
      <c r="AF120" s="152"/>
      <c r="AG120" s="152"/>
      <c r="AH120" s="152"/>
      <c r="AI120" s="152"/>
      <c r="AJ120" s="152"/>
      <c r="AK120" s="152"/>
      <c r="AL120" s="152"/>
      <c r="AM120" s="152"/>
      <c r="AN120" s="152"/>
      <c r="AO120" s="152"/>
      <c r="AP120" s="152"/>
      <c r="AQ120" s="152"/>
      <c r="AR120" s="152"/>
      <c r="AS120" s="152"/>
      <c r="AT120" s="152"/>
      <c r="AU120" s="152"/>
      <c r="AV120" s="152"/>
    </row>
    <row r="121" spans="1:48" ht="15.75" customHeight="1" x14ac:dyDescent="0.35">
      <c r="A121" s="223"/>
      <c r="B121" s="146"/>
      <c r="C121" s="237"/>
      <c r="D121" s="147"/>
      <c r="E121" s="148"/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6"/>
      <c r="AC121" s="152"/>
      <c r="AD121" s="152"/>
      <c r="AE121" s="152"/>
      <c r="AF121" s="152"/>
      <c r="AG121" s="152"/>
      <c r="AH121" s="152"/>
      <c r="AI121" s="152"/>
      <c r="AJ121" s="152"/>
      <c r="AK121" s="152"/>
      <c r="AL121" s="152"/>
      <c r="AM121" s="152"/>
      <c r="AN121" s="152"/>
      <c r="AO121" s="152"/>
      <c r="AP121" s="152"/>
      <c r="AQ121" s="152"/>
      <c r="AR121" s="152"/>
      <c r="AS121" s="152"/>
      <c r="AT121" s="152"/>
      <c r="AU121" s="152"/>
      <c r="AV121" s="152"/>
    </row>
    <row r="122" spans="1:48" ht="15.75" customHeight="1" x14ac:dyDescent="0.35">
      <c r="A122" s="223"/>
      <c r="B122" s="146"/>
      <c r="C122" s="237"/>
      <c r="D122" s="147"/>
      <c r="E122" s="148"/>
      <c r="F122" s="149"/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6"/>
      <c r="AC122" s="152"/>
      <c r="AD122" s="152"/>
      <c r="AE122" s="152"/>
      <c r="AF122" s="152"/>
      <c r="AG122" s="152"/>
      <c r="AH122" s="152"/>
      <c r="AI122" s="152"/>
      <c r="AJ122" s="152"/>
      <c r="AK122" s="152"/>
      <c r="AL122" s="152"/>
      <c r="AM122" s="152"/>
      <c r="AN122" s="152"/>
      <c r="AO122" s="152"/>
      <c r="AP122" s="152"/>
      <c r="AQ122" s="152"/>
      <c r="AR122" s="152"/>
      <c r="AS122" s="152"/>
      <c r="AT122" s="152"/>
      <c r="AU122" s="152"/>
      <c r="AV122" s="152"/>
    </row>
    <row r="123" spans="1:48" ht="15.75" customHeight="1" x14ac:dyDescent="0.35">
      <c r="A123" s="223"/>
      <c r="B123" s="146"/>
      <c r="C123" s="237"/>
      <c r="D123" s="147"/>
      <c r="E123" s="148"/>
      <c r="F123" s="149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6"/>
      <c r="AC123" s="152"/>
      <c r="AD123" s="152"/>
      <c r="AE123" s="152"/>
      <c r="AF123" s="152"/>
      <c r="AG123" s="152"/>
      <c r="AH123" s="152"/>
      <c r="AI123" s="152"/>
      <c r="AJ123" s="152"/>
      <c r="AK123" s="152"/>
      <c r="AL123" s="152"/>
      <c r="AM123" s="152"/>
      <c r="AN123" s="152"/>
      <c r="AO123" s="152"/>
      <c r="AP123" s="152"/>
      <c r="AQ123" s="152"/>
      <c r="AR123" s="152"/>
      <c r="AS123" s="152"/>
      <c r="AT123" s="152"/>
      <c r="AU123" s="152"/>
      <c r="AV123" s="152"/>
    </row>
    <row r="124" spans="1:48" ht="15.75" customHeight="1" x14ac:dyDescent="0.35">
      <c r="A124" s="223"/>
      <c r="B124" s="146"/>
      <c r="C124" s="237"/>
      <c r="D124" s="147"/>
      <c r="E124" s="148"/>
      <c r="F124" s="149"/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6"/>
      <c r="AC124" s="152"/>
      <c r="AD124" s="152"/>
      <c r="AE124" s="152"/>
      <c r="AF124" s="152"/>
      <c r="AG124" s="152"/>
      <c r="AH124" s="152"/>
      <c r="AI124" s="152"/>
      <c r="AJ124" s="152"/>
      <c r="AK124" s="152"/>
      <c r="AL124" s="152"/>
      <c r="AM124" s="152"/>
      <c r="AN124" s="152"/>
      <c r="AO124" s="152"/>
      <c r="AP124" s="152"/>
      <c r="AQ124" s="152"/>
      <c r="AR124" s="152"/>
      <c r="AS124" s="152"/>
      <c r="AT124" s="152"/>
      <c r="AU124" s="152"/>
      <c r="AV124" s="152"/>
    </row>
    <row r="125" spans="1:48" ht="15.75" customHeight="1" x14ac:dyDescent="0.35">
      <c r="A125" s="223"/>
      <c r="B125" s="146"/>
      <c r="C125" s="237"/>
      <c r="D125" s="147"/>
      <c r="E125" s="148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6"/>
      <c r="AC125" s="152"/>
      <c r="AD125" s="152"/>
      <c r="AE125" s="152"/>
      <c r="AF125" s="152"/>
      <c r="AG125" s="152"/>
      <c r="AH125" s="152"/>
      <c r="AI125" s="152"/>
      <c r="AJ125" s="152"/>
      <c r="AK125" s="152"/>
      <c r="AL125" s="152"/>
      <c r="AM125" s="152"/>
      <c r="AN125" s="152"/>
      <c r="AO125" s="152"/>
      <c r="AP125" s="152"/>
      <c r="AQ125" s="152"/>
      <c r="AR125" s="152"/>
      <c r="AS125" s="152"/>
      <c r="AT125" s="152"/>
      <c r="AU125" s="152"/>
      <c r="AV125" s="152"/>
    </row>
    <row r="126" spans="1:48" ht="15.75" customHeight="1" x14ac:dyDescent="0.35">
      <c r="A126" s="223"/>
      <c r="B126" s="146"/>
      <c r="C126" s="237"/>
      <c r="D126" s="147"/>
      <c r="E126" s="148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6"/>
      <c r="AC126" s="152"/>
      <c r="AD126" s="152"/>
      <c r="AE126" s="152"/>
      <c r="AF126" s="152"/>
      <c r="AG126" s="152"/>
      <c r="AH126" s="152"/>
      <c r="AI126" s="152"/>
      <c r="AJ126" s="152"/>
      <c r="AK126" s="152"/>
      <c r="AL126" s="152"/>
      <c r="AM126" s="152"/>
      <c r="AN126" s="152"/>
      <c r="AO126" s="152"/>
      <c r="AP126" s="152"/>
      <c r="AQ126" s="152"/>
      <c r="AR126" s="152"/>
      <c r="AS126" s="152"/>
      <c r="AT126" s="152"/>
      <c r="AU126" s="152"/>
      <c r="AV126" s="152"/>
    </row>
    <row r="127" spans="1:48" ht="15.75" customHeight="1" x14ac:dyDescent="0.35">
      <c r="A127" s="223"/>
      <c r="B127" s="146"/>
      <c r="C127" s="237"/>
      <c r="D127" s="147"/>
      <c r="E127" s="148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6"/>
      <c r="AC127" s="152"/>
      <c r="AD127" s="152"/>
      <c r="AE127" s="152"/>
      <c r="AF127" s="152"/>
      <c r="AG127" s="152"/>
      <c r="AH127" s="152"/>
      <c r="AI127" s="152"/>
      <c r="AJ127" s="152"/>
      <c r="AK127" s="152"/>
      <c r="AL127" s="152"/>
      <c r="AM127" s="152"/>
      <c r="AN127" s="152"/>
      <c r="AO127" s="152"/>
      <c r="AP127" s="152"/>
      <c r="AQ127" s="152"/>
      <c r="AR127" s="152"/>
      <c r="AS127" s="152"/>
      <c r="AT127" s="152"/>
      <c r="AU127" s="152"/>
      <c r="AV127" s="152"/>
    </row>
    <row r="128" spans="1:48" ht="15.75" customHeight="1" x14ac:dyDescent="0.35">
      <c r="A128" s="223"/>
      <c r="B128" s="146"/>
      <c r="C128" s="237"/>
      <c r="D128" s="147"/>
      <c r="E128" s="148"/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6"/>
      <c r="AC128" s="152"/>
      <c r="AD128" s="152"/>
      <c r="AE128" s="152"/>
      <c r="AF128" s="152"/>
      <c r="AG128" s="152"/>
      <c r="AH128" s="152"/>
      <c r="AI128" s="152"/>
      <c r="AJ128" s="152"/>
      <c r="AK128" s="152"/>
      <c r="AL128" s="152"/>
      <c r="AM128" s="152"/>
      <c r="AN128" s="152"/>
      <c r="AO128" s="152"/>
      <c r="AP128" s="152"/>
      <c r="AQ128" s="152"/>
      <c r="AR128" s="152"/>
      <c r="AS128" s="152"/>
      <c r="AT128" s="152"/>
      <c r="AU128" s="152"/>
      <c r="AV128" s="152"/>
    </row>
    <row r="129" spans="1:48" ht="15.75" customHeight="1" x14ac:dyDescent="0.35">
      <c r="A129" s="223"/>
      <c r="B129" s="146"/>
      <c r="C129" s="237"/>
      <c r="D129" s="147"/>
      <c r="E129" s="148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6"/>
      <c r="AC129" s="152"/>
      <c r="AD129" s="152"/>
      <c r="AE129" s="152"/>
      <c r="AF129" s="152"/>
      <c r="AG129" s="152"/>
      <c r="AH129" s="152"/>
      <c r="AI129" s="152"/>
      <c r="AJ129" s="152"/>
      <c r="AK129" s="152"/>
      <c r="AL129" s="152"/>
      <c r="AM129" s="152"/>
      <c r="AN129" s="152"/>
      <c r="AO129" s="152"/>
      <c r="AP129" s="152"/>
      <c r="AQ129" s="152"/>
      <c r="AR129" s="152"/>
      <c r="AS129" s="152"/>
      <c r="AT129" s="152"/>
      <c r="AU129" s="152"/>
      <c r="AV129" s="152"/>
    </row>
    <row r="130" spans="1:48" ht="15.75" customHeight="1" x14ac:dyDescent="0.35">
      <c r="A130" s="223"/>
      <c r="B130" s="146"/>
      <c r="C130" s="237"/>
      <c r="D130" s="147"/>
      <c r="E130" s="148"/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6"/>
      <c r="AC130" s="152"/>
      <c r="AD130" s="152"/>
      <c r="AE130" s="152"/>
      <c r="AF130" s="152"/>
      <c r="AG130" s="152"/>
      <c r="AH130" s="152"/>
      <c r="AI130" s="152"/>
      <c r="AJ130" s="152"/>
      <c r="AK130" s="152"/>
      <c r="AL130" s="152"/>
      <c r="AM130" s="152"/>
      <c r="AN130" s="152"/>
      <c r="AO130" s="152"/>
      <c r="AP130" s="152"/>
      <c r="AQ130" s="152"/>
      <c r="AR130" s="152"/>
      <c r="AS130" s="152"/>
      <c r="AT130" s="152"/>
      <c r="AU130" s="152"/>
      <c r="AV130" s="152"/>
    </row>
    <row r="131" spans="1:48" ht="15.75" customHeight="1" x14ac:dyDescent="0.35">
      <c r="A131" s="223"/>
      <c r="B131" s="146"/>
      <c r="C131" s="237"/>
      <c r="D131" s="147"/>
      <c r="E131" s="148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6"/>
      <c r="AC131" s="152"/>
      <c r="AD131" s="152"/>
      <c r="AE131" s="152"/>
      <c r="AF131" s="152"/>
      <c r="AG131" s="152"/>
      <c r="AH131" s="152"/>
      <c r="AI131" s="152"/>
      <c r="AJ131" s="152"/>
      <c r="AK131" s="152"/>
      <c r="AL131" s="152"/>
      <c r="AM131" s="152"/>
      <c r="AN131" s="152"/>
      <c r="AO131" s="152"/>
      <c r="AP131" s="152"/>
      <c r="AQ131" s="152"/>
      <c r="AR131" s="152"/>
      <c r="AS131" s="152"/>
      <c r="AT131" s="152"/>
      <c r="AU131" s="152"/>
      <c r="AV131" s="152"/>
    </row>
    <row r="132" spans="1:48" ht="15.75" customHeight="1" x14ac:dyDescent="0.35">
      <c r="A132" s="223"/>
      <c r="B132" s="146"/>
      <c r="C132" s="237"/>
      <c r="D132" s="147"/>
      <c r="E132" s="148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6"/>
      <c r="AC132" s="152"/>
      <c r="AD132" s="152"/>
      <c r="AE132" s="152"/>
      <c r="AF132" s="152"/>
      <c r="AG132" s="152"/>
      <c r="AH132" s="152"/>
      <c r="AI132" s="152"/>
      <c r="AJ132" s="152"/>
      <c r="AK132" s="152"/>
      <c r="AL132" s="152"/>
      <c r="AM132" s="152"/>
      <c r="AN132" s="152"/>
      <c r="AO132" s="152"/>
      <c r="AP132" s="152"/>
      <c r="AQ132" s="152"/>
      <c r="AR132" s="152"/>
      <c r="AS132" s="152"/>
      <c r="AT132" s="152"/>
      <c r="AU132" s="152"/>
      <c r="AV132" s="152"/>
    </row>
    <row r="133" spans="1:48" ht="15.75" customHeight="1" x14ac:dyDescent="0.35">
      <c r="A133" s="223"/>
      <c r="B133" s="146"/>
      <c r="C133" s="237"/>
      <c r="D133" s="147"/>
      <c r="E133" s="148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6"/>
      <c r="AC133" s="152"/>
      <c r="AD133" s="152"/>
      <c r="AE133" s="152"/>
      <c r="AF133" s="152"/>
      <c r="AG133" s="152"/>
      <c r="AH133" s="152"/>
      <c r="AI133" s="152"/>
      <c r="AJ133" s="152"/>
      <c r="AK133" s="152"/>
      <c r="AL133" s="152"/>
      <c r="AM133" s="152"/>
      <c r="AN133" s="152"/>
      <c r="AO133" s="152"/>
      <c r="AP133" s="152"/>
      <c r="AQ133" s="152"/>
      <c r="AR133" s="152"/>
      <c r="AS133" s="152"/>
      <c r="AT133" s="152"/>
      <c r="AU133" s="152"/>
      <c r="AV133" s="152"/>
    </row>
    <row r="134" spans="1:48" ht="15.75" customHeight="1" x14ac:dyDescent="0.35">
      <c r="A134" s="223"/>
      <c r="B134" s="146"/>
      <c r="C134" s="237"/>
      <c r="D134" s="147"/>
      <c r="E134" s="148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6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52"/>
      <c r="AV134" s="152"/>
    </row>
    <row r="135" spans="1:48" ht="15.75" customHeight="1" x14ac:dyDescent="0.35">
      <c r="A135" s="223"/>
      <c r="B135" s="146"/>
      <c r="C135" s="237"/>
      <c r="D135" s="147"/>
      <c r="E135" s="148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6"/>
      <c r="AC135" s="152"/>
      <c r="AD135" s="152"/>
      <c r="AE135" s="152"/>
      <c r="AF135" s="152"/>
      <c r="AG135" s="152"/>
      <c r="AH135" s="152"/>
      <c r="AI135" s="152"/>
      <c r="AJ135" s="152"/>
      <c r="AK135" s="152"/>
      <c r="AL135" s="152"/>
      <c r="AM135" s="152"/>
      <c r="AN135" s="152"/>
      <c r="AO135" s="152"/>
      <c r="AP135" s="152"/>
      <c r="AQ135" s="152"/>
      <c r="AR135" s="152"/>
      <c r="AS135" s="152"/>
      <c r="AT135" s="152"/>
      <c r="AU135" s="152"/>
      <c r="AV135" s="152"/>
    </row>
    <row r="136" spans="1:48" ht="15.75" customHeight="1" x14ac:dyDescent="0.35">
      <c r="A136" s="223"/>
      <c r="B136" s="146"/>
      <c r="C136" s="237"/>
      <c r="D136" s="147"/>
      <c r="E136" s="148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6"/>
      <c r="AC136" s="152"/>
      <c r="AD136" s="152"/>
      <c r="AE136" s="152"/>
      <c r="AF136" s="152"/>
      <c r="AG136" s="152"/>
      <c r="AH136" s="152"/>
      <c r="AI136" s="152"/>
      <c r="AJ136" s="152"/>
      <c r="AK136" s="152"/>
      <c r="AL136" s="152"/>
      <c r="AM136" s="152"/>
      <c r="AN136" s="152"/>
      <c r="AO136" s="152"/>
      <c r="AP136" s="152"/>
      <c r="AQ136" s="152"/>
      <c r="AR136" s="152"/>
      <c r="AS136" s="152"/>
      <c r="AT136" s="152"/>
      <c r="AU136" s="152"/>
      <c r="AV136" s="152"/>
    </row>
    <row r="137" spans="1:48" ht="15.75" customHeight="1" x14ac:dyDescent="0.35">
      <c r="A137" s="223"/>
      <c r="B137" s="146"/>
      <c r="C137" s="237"/>
      <c r="D137" s="147"/>
      <c r="E137" s="148"/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6"/>
      <c r="AC137" s="152"/>
      <c r="AD137" s="152"/>
      <c r="AE137" s="152"/>
      <c r="AF137" s="152"/>
      <c r="AG137" s="152"/>
      <c r="AH137" s="152"/>
      <c r="AI137" s="152"/>
      <c r="AJ137" s="152"/>
      <c r="AK137" s="152"/>
      <c r="AL137" s="152"/>
      <c r="AM137" s="152"/>
      <c r="AN137" s="152"/>
      <c r="AO137" s="152"/>
      <c r="AP137" s="152"/>
      <c r="AQ137" s="152"/>
      <c r="AR137" s="152"/>
      <c r="AS137" s="152"/>
      <c r="AT137" s="152"/>
      <c r="AU137" s="152"/>
      <c r="AV137" s="152"/>
    </row>
    <row r="138" spans="1:48" ht="15.75" customHeight="1" x14ac:dyDescent="0.35">
      <c r="A138" s="223"/>
      <c r="B138" s="146"/>
      <c r="C138" s="237"/>
      <c r="D138" s="147"/>
      <c r="E138" s="148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6"/>
      <c r="AC138" s="152"/>
      <c r="AD138" s="152"/>
      <c r="AE138" s="152"/>
      <c r="AF138" s="152"/>
      <c r="AG138" s="152"/>
      <c r="AH138" s="152"/>
      <c r="AI138" s="152"/>
      <c r="AJ138" s="152"/>
      <c r="AK138" s="152"/>
      <c r="AL138" s="152"/>
      <c r="AM138" s="152"/>
      <c r="AN138" s="152"/>
      <c r="AO138" s="152"/>
      <c r="AP138" s="152"/>
      <c r="AQ138" s="152"/>
      <c r="AR138" s="152"/>
      <c r="AS138" s="152"/>
      <c r="AT138" s="152"/>
      <c r="AU138" s="152"/>
      <c r="AV138" s="152"/>
    </row>
    <row r="139" spans="1:48" ht="15.75" customHeight="1" x14ac:dyDescent="0.35">
      <c r="A139" s="223"/>
      <c r="B139" s="146"/>
      <c r="C139" s="237"/>
      <c r="D139" s="147"/>
      <c r="E139" s="148"/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6"/>
      <c r="AC139" s="152"/>
      <c r="AD139" s="152"/>
      <c r="AE139" s="152"/>
      <c r="AF139" s="152"/>
      <c r="AG139" s="152"/>
      <c r="AH139" s="152"/>
      <c r="AI139" s="152"/>
      <c r="AJ139" s="152"/>
      <c r="AK139" s="152"/>
      <c r="AL139" s="152"/>
      <c r="AM139" s="152"/>
      <c r="AN139" s="152"/>
      <c r="AO139" s="152"/>
      <c r="AP139" s="152"/>
      <c r="AQ139" s="152"/>
      <c r="AR139" s="152"/>
      <c r="AS139" s="152"/>
      <c r="AT139" s="152"/>
      <c r="AU139" s="152"/>
      <c r="AV139" s="152"/>
    </row>
    <row r="140" spans="1:48" ht="15.75" customHeight="1" x14ac:dyDescent="0.35">
      <c r="A140" s="223"/>
      <c r="B140" s="146"/>
      <c r="C140" s="237"/>
      <c r="D140" s="147"/>
      <c r="E140" s="148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6"/>
      <c r="AC140" s="152"/>
      <c r="AD140" s="152"/>
      <c r="AE140" s="152"/>
      <c r="AF140" s="152"/>
      <c r="AG140" s="152"/>
      <c r="AH140" s="152"/>
      <c r="AI140" s="152"/>
      <c r="AJ140" s="152"/>
      <c r="AK140" s="152"/>
      <c r="AL140" s="152"/>
      <c r="AM140" s="152"/>
      <c r="AN140" s="152"/>
      <c r="AO140" s="152"/>
      <c r="AP140" s="152"/>
      <c r="AQ140" s="152"/>
      <c r="AR140" s="152"/>
      <c r="AS140" s="152"/>
      <c r="AT140" s="152"/>
      <c r="AU140" s="152"/>
      <c r="AV140" s="152"/>
    </row>
    <row r="141" spans="1:48" ht="15.75" customHeight="1" x14ac:dyDescent="0.35">
      <c r="A141" s="223"/>
      <c r="B141" s="146"/>
      <c r="C141" s="237"/>
      <c r="D141" s="147"/>
      <c r="E141" s="148"/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6"/>
      <c r="AC141" s="152"/>
      <c r="AD141" s="152"/>
      <c r="AE141" s="152"/>
      <c r="AF141" s="152"/>
      <c r="AG141" s="152"/>
      <c r="AH141" s="152"/>
      <c r="AI141" s="152"/>
      <c r="AJ141" s="152"/>
      <c r="AK141" s="152"/>
      <c r="AL141" s="152"/>
      <c r="AM141" s="152"/>
      <c r="AN141" s="152"/>
      <c r="AO141" s="152"/>
      <c r="AP141" s="152"/>
      <c r="AQ141" s="152"/>
      <c r="AR141" s="152"/>
      <c r="AS141" s="152"/>
      <c r="AT141" s="152"/>
      <c r="AU141" s="152"/>
      <c r="AV141" s="152"/>
    </row>
    <row r="142" spans="1:48" ht="15.75" customHeight="1" x14ac:dyDescent="0.35">
      <c r="A142" s="223"/>
      <c r="B142" s="146"/>
      <c r="C142" s="237"/>
      <c r="D142" s="147"/>
      <c r="E142" s="148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6"/>
      <c r="AC142" s="152"/>
      <c r="AD142" s="152"/>
      <c r="AE142" s="152"/>
      <c r="AF142" s="152"/>
      <c r="AG142" s="152"/>
      <c r="AH142" s="152"/>
      <c r="AI142" s="152"/>
      <c r="AJ142" s="152"/>
      <c r="AK142" s="152"/>
      <c r="AL142" s="152"/>
      <c r="AM142" s="152"/>
      <c r="AN142" s="152"/>
      <c r="AO142" s="152"/>
      <c r="AP142" s="152"/>
      <c r="AQ142" s="152"/>
      <c r="AR142" s="152"/>
      <c r="AS142" s="152"/>
      <c r="AT142" s="152"/>
      <c r="AU142" s="152"/>
      <c r="AV142" s="152"/>
    </row>
    <row r="143" spans="1:48" ht="15.75" customHeight="1" x14ac:dyDescent="0.35">
      <c r="A143" s="223"/>
      <c r="B143" s="146"/>
      <c r="C143" s="237"/>
      <c r="D143" s="147"/>
      <c r="E143" s="148"/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6"/>
      <c r="AC143" s="152"/>
      <c r="AD143" s="152"/>
      <c r="AE143" s="152"/>
      <c r="AF143" s="152"/>
      <c r="AG143" s="152"/>
      <c r="AH143" s="152"/>
      <c r="AI143" s="152"/>
      <c r="AJ143" s="152"/>
      <c r="AK143" s="152"/>
      <c r="AL143" s="152"/>
      <c r="AM143" s="152"/>
      <c r="AN143" s="152"/>
      <c r="AO143" s="152"/>
      <c r="AP143" s="152"/>
      <c r="AQ143" s="152"/>
      <c r="AR143" s="152"/>
      <c r="AS143" s="152"/>
      <c r="AT143" s="152"/>
      <c r="AU143" s="152"/>
      <c r="AV143" s="152"/>
    </row>
    <row r="144" spans="1:48" ht="15.75" customHeight="1" x14ac:dyDescent="0.35">
      <c r="A144" s="223"/>
      <c r="B144" s="146"/>
      <c r="C144" s="237"/>
      <c r="D144" s="147"/>
      <c r="E144" s="148"/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6"/>
      <c r="AC144" s="152"/>
      <c r="AD144" s="152"/>
      <c r="AE144" s="152"/>
      <c r="AF144" s="152"/>
      <c r="AG144" s="152"/>
      <c r="AH144" s="152"/>
      <c r="AI144" s="152"/>
      <c r="AJ144" s="152"/>
      <c r="AK144" s="152"/>
      <c r="AL144" s="152"/>
      <c r="AM144" s="152"/>
      <c r="AN144" s="152"/>
      <c r="AO144" s="152"/>
      <c r="AP144" s="152"/>
      <c r="AQ144" s="152"/>
      <c r="AR144" s="152"/>
      <c r="AS144" s="152"/>
      <c r="AT144" s="152"/>
      <c r="AU144" s="152"/>
      <c r="AV144" s="152"/>
    </row>
    <row r="145" spans="1:48" ht="15.75" customHeight="1" x14ac:dyDescent="0.35">
      <c r="A145" s="223"/>
      <c r="B145" s="146"/>
      <c r="C145" s="237"/>
      <c r="D145" s="147"/>
      <c r="E145" s="148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6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  <c r="AS145" s="152"/>
      <c r="AT145" s="152"/>
      <c r="AU145" s="152"/>
      <c r="AV145" s="152"/>
    </row>
    <row r="146" spans="1:48" ht="15.75" customHeight="1" x14ac:dyDescent="0.35">
      <c r="A146" s="223"/>
      <c r="B146" s="146"/>
      <c r="C146" s="237"/>
      <c r="D146" s="147"/>
      <c r="E146" s="148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6"/>
      <c r="AC146" s="152"/>
      <c r="AD146" s="152"/>
      <c r="AE146" s="152"/>
      <c r="AF146" s="152"/>
      <c r="AG146" s="152"/>
      <c r="AH146" s="152"/>
      <c r="AI146" s="152"/>
      <c r="AJ146" s="152"/>
      <c r="AK146" s="152"/>
      <c r="AL146" s="152"/>
      <c r="AM146" s="152"/>
      <c r="AN146" s="152"/>
      <c r="AO146" s="152"/>
      <c r="AP146" s="152"/>
      <c r="AQ146" s="152"/>
      <c r="AR146" s="152"/>
      <c r="AS146" s="152"/>
      <c r="AT146" s="152"/>
      <c r="AU146" s="152"/>
      <c r="AV146" s="152"/>
    </row>
    <row r="147" spans="1:48" ht="15.75" customHeight="1" x14ac:dyDescent="0.35">
      <c r="A147" s="223"/>
      <c r="B147" s="146"/>
      <c r="C147" s="237"/>
      <c r="D147" s="147"/>
      <c r="E147" s="148"/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6"/>
      <c r="AC147" s="152"/>
      <c r="AD147" s="152"/>
      <c r="AE147" s="152"/>
      <c r="AF147" s="152"/>
      <c r="AG147" s="152"/>
      <c r="AH147" s="152"/>
      <c r="AI147" s="152"/>
      <c r="AJ147" s="152"/>
      <c r="AK147" s="152"/>
      <c r="AL147" s="152"/>
      <c r="AM147" s="152"/>
      <c r="AN147" s="152"/>
      <c r="AO147" s="152"/>
      <c r="AP147" s="152"/>
      <c r="AQ147" s="152"/>
      <c r="AR147" s="152"/>
      <c r="AS147" s="152"/>
      <c r="AT147" s="152"/>
      <c r="AU147" s="152"/>
      <c r="AV147" s="152"/>
    </row>
    <row r="148" spans="1:48" ht="15.75" customHeight="1" x14ac:dyDescent="0.35">
      <c r="A148" s="223"/>
      <c r="B148" s="146"/>
      <c r="C148" s="237"/>
      <c r="D148" s="147"/>
      <c r="E148" s="148"/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6"/>
      <c r="AC148" s="152"/>
      <c r="AD148" s="152"/>
      <c r="AE148" s="152"/>
      <c r="AF148" s="152"/>
      <c r="AG148" s="152"/>
      <c r="AH148" s="152"/>
      <c r="AI148" s="152"/>
      <c r="AJ148" s="152"/>
      <c r="AK148" s="152"/>
      <c r="AL148" s="152"/>
      <c r="AM148" s="152"/>
      <c r="AN148" s="152"/>
      <c r="AO148" s="152"/>
      <c r="AP148" s="152"/>
      <c r="AQ148" s="152"/>
      <c r="AR148" s="152"/>
      <c r="AS148" s="152"/>
      <c r="AT148" s="152"/>
      <c r="AU148" s="152"/>
      <c r="AV148" s="152"/>
    </row>
    <row r="149" spans="1:48" ht="15.75" customHeight="1" x14ac:dyDescent="0.35">
      <c r="A149" s="223"/>
      <c r="B149" s="146"/>
      <c r="C149" s="237"/>
      <c r="D149" s="147"/>
      <c r="E149" s="148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6"/>
      <c r="AC149" s="152"/>
      <c r="AD149" s="152"/>
      <c r="AE149" s="152"/>
      <c r="AF149" s="152"/>
      <c r="AG149" s="152"/>
      <c r="AH149" s="152"/>
      <c r="AI149" s="152"/>
      <c r="AJ149" s="152"/>
      <c r="AK149" s="152"/>
      <c r="AL149" s="152"/>
      <c r="AM149" s="152"/>
      <c r="AN149" s="152"/>
      <c r="AO149" s="152"/>
      <c r="AP149" s="152"/>
      <c r="AQ149" s="152"/>
      <c r="AR149" s="152"/>
      <c r="AS149" s="152"/>
      <c r="AT149" s="152"/>
      <c r="AU149" s="152"/>
      <c r="AV149" s="152"/>
    </row>
    <row r="150" spans="1:48" ht="15.75" customHeight="1" x14ac:dyDescent="0.35">
      <c r="A150" s="223"/>
      <c r="B150" s="146"/>
      <c r="C150" s="237"/>
      <c r="D150" s="147"/>
      <c r="E150" s="148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6"/>
      <c r="AC150" s="152"/>
      <c r="AD150" s="152"/>
      <c r="AE150" s="152"/>
      <c r="AF150" s="152"/>
      <c r="AG150" s="152"/>
      <c r="AH150" s="152"/>
      <c r="AI150" s="152"/>
      <c r="AJ150" s="152"/>
      <c r="AK150" s="152"/>
      <c r="AL150" s="152"/>
      <c r="AM150" s="152"/>
      <c r="AN150" s="152"/>
      <c r="AO150" s="152"/>
      <c r="AP150" s="152"/>
      <c r="AQ150" s="152"/>
      <c r="AR150" s="152"/>
      <c r="AS150" s="152"/>
      <c r="AT150" s="152"/>
      <c r="AU150" s="152"/>
      <c r="AV150" s="152"/>
    </row>
    <row r="151" spans="1:48" ht="15.75" customHeight="1" x14ac:dyDescent="0.35">
      <c r="A151" s="223"/>
      <c r="B151" s="146"/>
      <c r="C151" s="237"/>
      <c r="D151" s="147"/>
      <c r="E151" s="148"/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6"/>
      <c r="AC151" s="152"/>
      <c r="AD151" s="152"/>
      <c r="AE151" s="152"/>
      <c r="AF151" s="152"/>
      <c r="AG151" s="152"/>
      <c r="AH151" s="152"/>
      <c r="AI151" s="152"/>
      <c r="AJ151" s="152"/>
      <c r="AK151" s="152"/>
      <c r="AL151" s="152"/>
      <c r="AM151" s="152"/>
      <c r="AN151" s="152"/>
      <c r="AO151" s="152"/>
      <c r="AP151" s="152"/>
      <c r="AQ151" s="152"/>
      <c r="AR151" s="152"/>
      <c r="AS151" s="152"/>
      <c r="AT151" s="152"/>
      <c r="AU151" s="152"/>
      <c r="AV151" s="152"/>
    </row>
    <row r="152" spans="1:48" ht="15.75" customHeight="1" x14ac:dyDescent="0.35">
      <c r="A152" s="223"/>
      <c r="B152" s="146"/>
      <c r="C152" s="237"/>
      <c r="D152" s="147"/>
      <c r="E152" s="148"/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6"/>
      <c r="AC152" s="152"/>
      <c r="AD152" s="152"/>
      <c r="AE152" s="152"/>
      <c r="AF152" s="152"/>
      <c r="AG152" s="152"/>
      <c r="AH152" s="152"/>
      <c r="AI152" s="152"/>
      <c r="AJ152" s="152"/>
      <c r="AK152" s="152"/>
      <c r="AL152" s="152"/>
      <c r="AM152" s="152"/>
      <c r="AN152" s="152"/>
      <c r="AO152" s="152"/>
      <c r="AP152" s="152"/>
      <c r="AQ152" s="152"/>
      <c r="AR152" s="152"/>
      <c r="AS152" s="152"/>
      <c r="AT152" s="152"/>
      <c r="AU152" s="152"/>
      <c r="AV152" s="152"/>
    </row>
    <row r="153" spans="1:48" ht="15.75" customHeight="1" x14ac:dyDescent="0.35">
      <c r="A153" s="223"/>
      <c r="B153" s="146"/>
      <c r="C153" s="237"/>
      <c r="D153" s="147"/>
      <c r="E153" s="148"/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6"/>
      <c r="AC153" s="152"/>
      <c r="AD153" s="152"/>
      <c r="AE153" s="152"/>
      <c r="AF153" s="152"/>
      <c r="AG153" s="152"/>
      <c r="AH153" s="152"/>
      <c r="AI153" s="152"/>
      <c r="AJ153" s="152"/>
      <c r="AK153" s="152"/>
      <c r="AL153" s="152"/>
      <c r="AM153" s="152"/>
      <c r="AN153" s="152"/>
      <c r="AO153" s="152"/>
      <c r="AP153" s="152"/>
      <c r="AQ153" s="152"/>
      <c r="AR153" s="152"/>
      <c r="AS153" s="152"/>
      <c r="AT153" s="152"/>
      <c r="AU153" s="152"/>
      <c r="AV153" s="152"/>
    </row>
    <row r="154" spans="1:48" ht="15.75" customHeight="1" x14ac:dyDescent="0.35">
      <c r="A154" s="223"/>
      <c r="B154" s="146"/>
      <c r="C154" s="237"/>
      <c r="D154" s="147"/>
      <c r="E154" s="148"/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6"/>
      <c r="AC154" s="152"/>
      <c r="AD154" s="152"/>
      <c r="AE154" s="152"/>
      <c r="AF154" s="152"/>
      <c r="AG154" s="152"/>
      <c r="AH154" s="152"/>
      <c r="AI154" s="152"/>
      <c r="AJ154" s="152"/>
      <c r="AK154" s="152"/>
      <c r="AL154" s="152"/>
      <c r="AM154" s="152"/>
      <c r="AN154" s="152"/>
      <c r="AO154" s="152"/>
      <c r="AP154" s="152"/>
      <c r="AQ154" s="152"/>
      <c r="AR154" s="152"/>
      <c r="AS154" s="152"/>
      <c r="AT154" s="152"/>
      <c r="AU154" s="152"/>
      <c r="AV154" s="152"/>
    </row>
    <row r="155" spans="1:48" ht="15.75" customHeight="1" x14ac:dyDescent="0.35">
      <c r="A155" s="223"/>
      <c r="B155" s="146"/>
      <c r="C155" s="237"/>
      <c r="D155" s="147"/>
      <c r="E155" s="148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6"/>
      <c r="AC155" s="152"/>
      <c r="AD155" s="152"/>
      <c r="AE155" s="152"/>
      <c r="AF155" s="152"/>
      <c r="AG155" s="152"/>
      <c r="AH155" s="152"/>
      <c r="AI155" s="152"/>
      <c r="AJ155" s="152"/>
      <c r="AK155" s="152"/>
      <c r="AL155" s="152"/>
      <c r="AM155" s="152"/>
      <c r="AN155" s="152"/>
      <c r="AO155" s="152"/>
      <c r="AP155" s="152"/>
      <c r="AQ155" s="152"/>
      <c r="AR155" s="152"/>
      <c r="AS155" s="152"/>
      <c r="AT155" s="152"/>
      <c r="AU155" s="152"/>
      <c r="AV155" s="152"/>
    </row>
    <row r="156" spans="1:48" ht="15.75" customHeight="1" x14ac:dyDescent="0.35">
      <c r="A156" s="223"/>
      <c r="B156" s="146"/>
      <c r="C156" s="237"/>
      <c r="D156" s="147"/>
      <c r="E156" s="148"/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6"/>
      <c r="AC156" s="152"/>
      <c r="AD156" s="152"/>
      <c r="AE156" s="152"/>
      <c r="AF156" s="152"/>
      <c r="AG156" s="152"/>
      <c r="AH156" s="152"/>
      <c r="AI156" s="152"/>
      <c r="AJ156" s="152"/>
      <c r="AK156" s="152"/>
      <c r="AL156" s="152"/>
      <c r="AM156" s="152"/>
      <c r="AN156" s="152"/>
      <c r="AO156" s="152"/>
      <c r="AP156" s="152"/>
      <c r="AQ156" s="152"/>
      <c r="AR156" s="152"/>
      <c r="AS156" s="152"/>
      <c r="AT156" s="152"/>
      <c r="AU156" s="152"/>
      <c r="AV156" s="152"/>
    </row>
    <row r="157" spans="1:48" ht="15.75" customHeight="1" x14ac:dyDescent="0.35">
      <c r="A157" s="223"/>
      <c r="B157" s="146"/>
      <c r="C157" s="237"/>
      <c r="D157" s="147"/>
      <c r="E157" s="148"/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6"/>
      <c r="AC157" s="152"/>
      <c r="AD157" s="152"/>
      <c r="AE157" s="152"/>
      <c r="AF157" s="152"/>
      <c r="AG157" s="152"/>
      <c r="AH157" s="152"/>
      <c r="AI157" s="152"/>
      <c r="AJ157" s="152"/>
      <c r="AK157" s="152"/>
      <c r="AL157" s="152"/>
      <c r="AM157" s="152"/>
      <c r="AN157" s="152"/>
      <c r="AO157" s="152"/>
      <c r="AP157" s="152"/>
      <c r="AQ157" s="152"/>
      <c r="AR157" s="152"/>
      <c r="AS157" s="152"/>
      <c r="AT157" s="152"/>
      <c r="AU157" s="152"/>
      <c r="AV157" s="152"/>
    </row>
    <row r="158" spans="1:48" ht="15.75" customHeight="1" x14ac:dyDescent="0.35">
      <c r="A158" s="223"/>
      <c r="B158" s="146"/>
      <c r="C158" s="237"/>
      <c r="D158" s="147"/>
      <c r="E158" s="148"/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6"/>
      <c r="AC158" s="152"/>
      <c r="AD158" s="152"/>
      <c r="AE158" s="152"/>
      <c r="AF158" s="152"/>
      <c r="AG158" s="152"/>
      <c r="AH158" s="152"/>
      <c r="AI158" s="152"/>
      <c r="AJ158" s="152"/>
      <c r="AK158" s="152"/>
      <c r="AL158" s="152"/>
      <c r="AM158" s="152"/>
      <c r="AN158" s="152"/>
      <c r="AO158" s="152"/>
      <c r="AP158" s="152"/>
      <c r="AQ158" s="152"/>
      <c r="AR158" s="152"/>
      <c r="AS158" s="152"/>
      <c r="AT158" s="152"/>
      <c r="AU158" s="152"/>
      <c r="AV158" s="152"/>
    </row>
    <row r="159" spans="1:48" ht="15.75" customHeight="1" x14ac:dyDescent="0.35">
      <c r="A159" s="223"/>
      <c r="B159" s="146"/>
      <c r="C159" s="237"/>
      <c r="D159" s="147"/>
      <c r="E159" s="148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6"/>
      <c r="AC159" s="152"/>
      <c r="AD159" s="152"/>
      <c r="AE159" s="152"/>
      <c r="AF159" s="152"/>
      <c r="AG159" s="152"/>
      <c r="AH159" s="152"/>
      <c r="AI159" s="152"/>
      <c r="AJ159" s="152"/>
      <c r="AK159" s="152"/>
      <c r="AL159" s="152"/>
      <c r="AM159" s="152"/>
      <c r="AN159" s="152"/>
      <c r="AO159" s="152"/>
      <c r="AP159" s="152"/>
      <c r="AQ159" s="152"/>
      <c r="AR159" s="152"/>
      <c r="AS159" s="152"/>
      <c r="AT159" s="152"/>
      <c r="AU159" s="152"/>
      <c r="AV159" s="152"/>
    </row>
    <row r="160" spans="1:48" ht="15.75" customHeight="1" x14ac:dyDescent="0.35">
      <c r="A160" s="223"/>
      <c r="B160" s="146"/>
      <c r="C160" s="237"/>
      <c r="D160" s="147"/>
      <c r="E160" s="148"/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6"/>
      <c r="AC160" s="152"/>
      <c r="AD160" s="152"/>
      <c r="AE160" s="152"/>
      <c r="AF160" s="152"/>
      <c r="AG160" s="152"/>
      <c r="AH160" s="152"/>
      <c r="AI160" s="152"/>
      <c r="AJ160" s="152"/>
      <c r="AK160" s="152"/>
      <c r="AL160" s="152"/>
      <c r="AM160" s="152"/>
      <c r="AN160" s="152"/>
      <c r="AO160" s="152"/>
      <c r="AP160" s="152"/>
      <c r="AQ160" s="152"/>
      <c r="AR160" s="152"/>
      <c r="AS160" s="152"/>
      <c r="AT160" s="152"/>
      <c r="AU160" s="152"/>
      <c r="AV160" s="152"/>
    </row>
    <row r="161" spans="1:48" ht="15.75" customHeight="1" x14ac:dyDescent="0.35">
      <c r="A161" s="223"/>
      <c r="B161" s="146"/>
      <c r="C161" s="237"/>
      <c r="D161" s="147"/>
      <c r="E161" s="148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6"/>
      <c r="AC161" s="152"/>
      <c r="AD161" s="152"/>
      <c r="AE161" s="152"/>
      <c r="AF161" s="152"/>
      <c r="AG161" s="152"/>
      <c r="AH161" s="152"/>
      <c r="AI161" s="152"/>
      <c r="AJ161" s="152"/>
      <c r="AK161" s="152"/>
      <c r="AL161" s="152"/>
      <c r="AM161" s="152"/>
      <c r="AN161" s="152"/>
      <c r="AO161" s="152"/>
      <c r="AP161" s="152"/>
      <c r="AQ161" s="152"/>
      <c r="AR161" s="152"/>
      <c r="AS161" s="152"/>
      <c r="AT161" s="152"/>
      <c r="AU161" s="152"/>
      <c r="AV161" s="152"/>
    </row>
    <row r="162" spans="1:48" ht="15.75" customHeight="1" x14ac:dyDescent="0.35">
      <c r="A162" s="223"/>
      <c r="B162" s="146"/>
      <c r="C162" s="237"/>
      <c r="D162" s="147"/>
      <c r="E162" s="148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6"/>
      <c r="AC162" s="152"/>
      <c r="AD162" s="152"/>
      <c r="AE162" s="152"/>
      <c r="AF162" s="152"/>
      <c r="AG162" s="152"/>
      <c r="AH162" s="152"/>
      <c r="AI162" s="152"/>
      <c r="AJ162" s="152"/>
      <c r="AK162" s="152"/>
      <c r="AL162" s="152"/>
      <c r="AM162" s="152"/>
      <c r="AN162" s="152"/>
      <c r="AO162" s="152"/>
      <c r="AP162" s="152"/>
      <c r="AQ162" s="152"/>
      <c r="AR162" s="152"/>
      <c r="AS162" s="152"/>
      <c r="AT162" s="152"/>
      <c r="AU162" s="152"/>
      <c r="AV162" s="152"/>
    </row>
    <row r="163" spans="1:48" ht="15.75" customHeight="1" x14ac:dyDescent="0.35">
      <c r="A163" s="223"/>
      <c r="B163" s="146"/>
      <c r="C163" s="237"/>
      <c r="D163" s="147"/>
      <c r="E163" s="148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6"/>
      <c r="AC163" s="152"/>
      <c r="AD163" s="152"/>
      <c r="AE163" s="152"/>
      <c r="AF163" s="152"/>
      <c r="AG163" s="152"/>
      <c r="AH163" s="152"/>
      <c r="AI163" s="152"/>
      <c r="AJ163" s="152"/>
      <c r="AK163" s="152"/>
      <c r="AL163" s="152"/>
      <c r="AM163" s="152"/>
      <c r="AN163" s="152"/>
      <c r="AO163" s="152"/>
      <c r="AP163" s="152"/>
      <c r="AQ163" s="152"/>
      <c r="AR163" s="152"/>
      <c r="AS163" s="152"/>
      <c r="AT163" s="152"/>
      <c r="AU163" s="152"/>
      <c r="AV163" s="152"/>
    </row>
    <row r="164" spans="1:48" ht="15.75" customHeight="1" x14ac:dyDescent="0.35">
      <c r="A164" s="223"/>
      <c r="B164" s="146"/>
      <c r="C164" s="237"/>
      <c r="D164" s="147"/>
      <c r="E164" s="148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6"/>
      <c r="AC164" s="152"/>
      <c r="AD164" s="152"/>
      <c r="AE164" s="152"/>
      <c r="AF164" s="152"/>
      <c r="AG164" s="152"/>
      <c r="AH164" s="152"/>
      <c r="AI164" s="152"/>
      <c r="AJ164" s="152"/>
      <c r="AK164" s="152"/>
      <c r="AL164" s="152"/>
      <c r="AM164" s="152"/>
      <c r="AN164" s="152"/>
      <c r="AO164" s="152"/>
      <c r="AP164" s="152"/>
      <c r="AQ164" s="152"/>
      <c r="AR164" s="152"/>
      <c r="AS164" s="152"/>
      <c r="AT164" s="152"/>
      <c r="AU164" s="152"/>
      <c r="AV164" s="152"/>
    </row>
    <row r="165" spans="1:48" ht="15.75" customHeight="1" x14ac:dyDescent="0.35">
      <c r="A165" s="223"/>
      <c r="B165" s="146"/>
      <c r="C165" s="237"/>
      <c r="D165" s="147"/>
      <c r="E165" s="148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6"/>
      <c r="AC165" s="152"/>
      <c r="AD165" s="152"/>
      <c r="AE165" s="152"/>
      <c r="AF165" s="152"/>
      <c r="AG165" s="152"/>
      <c r="AH165" s="152"/>
      <c r="AI165" s="152"/>
      <c r="AJ165" s="152"/>
      <c r="AK165" s="152"/>
      <c r="AL165" s="152"/>
      <c r="AM165" s="152"/>
      <c r="AN165" s="152"/>
      <c r="AO165" s="152"/>
      <c r="AP165" s="152"/>
      <c r="AQ165" s="152"/>
      <c r="AR165" s="152"/>
      <c r="AS165" s="152"/>
      <c r="AT165" s="152"/>
      <c r="AU165" s="152"/>
      <c r="AV165" s="152"/>
    </row>
    <row r="166" spans="1:48" ht="15.75" customHeight="1" x14ac:dyDescent="0.35">
      <c r="A166" s="223"/>
      <c r="B166" s="146"/>
      <c r="C166" s="237"/>
      <c r="D166" s="147"/>
      <c r="E166" s="148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6"/>
      <c r="AC166" s="152"/>
      <c r="AD166" s="152"/>
      <c r="AE166" s="152"/>
      <c r="AF166" s="152"/>
      <c r="AG166" s="152"/>
      <c r="AH166" s="152"/>
      <c r="AI166" s="152"/>
      <c r="AJ166" s="152"/>
      <c r="AK166" s="152"/>
      <c r="AL166" s="152"/>
      <c r="AM166" s="152"/>
      <c r="AN166" s="152"/>
      <c r="AO166" s="152"/>
      <c r="AP166" s="152"/>
      <c r="AQ166" s="152"/>
      <c r="AR166" s="152"/>
      <c r="AS166" s="152"/>
      <c r="AT166" s="152"/>
      <c r="AU166" s="152"/>
      <c r="AV166" s="152"/>
    </row>
    <row r="167" spans="1:48" ht="15.75" customHeight="1" x14ac:dyDescent="0.35">
      <c r="A167" s="223"/>
      <c r="B167" s="146"/>
      <c r="C167" s="237"/>
      <c r="D167" s="147"/>
      <c r="E167" s="148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6"/>
      <c r="AC167" s="152"/>
      <c r="AD167" s="152"/>
      <c r="AE167" s="152"/>
      <c r="AF167" s="152"/>
      <c r="AG167" s="152"/>
      <c r="AH167" s="152"/>
      <c r="AI167" s="152"/>
      <c r="AJ167" s="152"/>
      <c r="AK167" s="152"/>
      <c r="AL167" s="152"/>
      <c r="AM167" s="152"/>
      <c r="AN167" s="152"/>
      <c r="AO167" s="152"/>
      <c r="AP167" s="152"/>
      <c r="AQ167" s="152"/>
      <c r="AR167" s="152"/>
      <c r="AS167" s="152"/>
      <c r="AT167" s="152"/>
      <c r="AU167" s="152"/>
      <c r="AV167" s="152"/>
    </row>
    <row r="168" spans="1:48" ht="15.75" customHeight="1" x14ac:dyDescent="0.35">
      <c r="A168" s="223"/>
      <c r="B168" s="146"/>
      <c r="C168" s="237"/>
      <c r="D168" s="147"/>
      <c r="E168" s="148"/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6"/>
      <c r="AC168" s="152"/>
      <c r="AD168" s="152"/>
      <c r="AE168" s="152"/>
      <c r="AF168" s="152"/>
      <c r="AG168" s="152"/>
      <c r="AH168" s="152"/>
      <c r="AI168" s="152"/>
      <c r="AJ168" s="152"/>
      <c r="AK168" s="152"/>
      <c r="AL168" s="152"/>
      <c r="AM168" s="152"/>
      <c r="AN168" s="152"/>
      <c r="AO168" s="152"/>
      <c r="AP168" s="152"/>
      <c r="AQ168" s="152"/>
      <c r="AR168" s="152"/>
      <c r="AS168" s="152"/>
      <c r="AT168" s="152"/>
      <c r="AU168" s="152"/>
      <c r="AV168" s="152"/>
    </row>
    <row r="169" spans="1:48" ht="15.75" customHeight="1" x14ac:dyDescent="0.35">
      <c r="A169" s="223"/>
      <c r="B169" s="146"/>
      <c r="C169" s="237"/>
      <c r="D169" s="147"/>
      <c r="E169" s="148"/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6"/>
      <c r="AC169" s="152"/>
      <c r="AD169" s="152"/>
      <c r="AE169" s="152"/>
      <c r="AF169" s="152"/>
      <c r="AG169" s="152"/>
      <c r="AH169" s="152"/>
      <c r="AI169" s="152"/>
      <c r="AJ169" s="152"/>
      <c r="AK169" s="152"/>
      <c r="AL169" s="152"/>
      <c r="AM169" s="152"/>
      <c r="AN169" s="152"/>
      <c r="AO169" s="152"/>
      <c r="AP169" s="152"/>
      <c r="AQ169" s="152"/>
      <c r="AR169" s="152"/>
      <c r="AS169" s="152"/>
      <c r="AT169" s="152"/>
      <c r="AU169" s="152"/>
      <c r="AV169" s="152"/>
    </row>
    <row r="170" spans="1:48" ht="15.75" customHeight="1" x14ac:dyDescent="0.35">
      <c r="A170" s="223"/>
      <c r="B170" s="146"/>
      <c r="C170" s="237"/>
      <c r="D170" s="147"/>
      <c r="E170" s="148"/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6"/>
      <c r="AC170" s="152"/>
      <c r="AD170" s="152"/>
      <c r="AE170" s="152"/>
      <c r="AF170" s="152"/>
      <c r="AG170" s="152"/>
      <c r="AH170" s="152"/>
      <c r="AI170" s="152"/>
      <c r="AJ170" s="152"/>
      <c r="AK170" s="152"/>
      <c r="AL170" s="152"/>
      <c r="AM170" s="152"/>
      <c r="AN170" s="152"/>
      <c r="AO170" s="152"/>
      <c r="AP170" s="152"/>
      <c r="AQ170" s="152"/>
      <c r="AR170" s="152"/>
      <c r="AS170" s="152"/>
      <c r="AT170" s="152"/>
      <c r="AU170" s="152"/>
      <c r="AV170" s="152"/>
    </row>
    <row r="171" spans="1:48" ht="15.75" customHeight="1" x14ac:dyDescent="0.35">
      <c r="A171" s="223"/>
      <c r="B171" s="146"/>
      <c r="C171" s="237"/>
      <c r="D171" s="147"/>
      <c r="E171" s="148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6"/>
      <c r="AC171" s="152"/>
      <c r="AD171" s="152"/>
      <c r="AE171" s="152"/>
      <c r="AF171" s="152"/>
      <c r="AG171" s="152"/>
      <c r="AH171" s="152"/>
      <c r="AI171" s="152"/>
      <c r="AJ171" s="152"/>
      <c r="AK171" s="152"/>
      <c r="AL171" s="152"/>
      <c r="AM171" s="152"/>
      <c r="AN171" s="152"/>
      <c r="AO171" s="152"/>
      <c r="AP171" s="152"/>
      <c r="AQ171" s="152"/>
      <c r="AR171" s="152"/>
      <c r="AS171" s="152"/>
      <c r="AT171" s="152"/>
      <c r="AU171" s="152"/>
      <c r="AV171" s="152"/>
    </row>
    <row r="172" spans="1:48" ht="15.75" customHeight="1" x14ac:dyDescent="0.35">
      <c r="A172" s="223"/>
      <c r="B172" s="146"/>
      <c r="C172" s="237"/>
      <c r="D172" s="147"/>
      <c r="E172" s="148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6"/>
      <c r="AC172" s="152"/>
      <c r="AD172" s="152"/>
      <c r="AE172" s="152"/>
      <c r="AF172" s="152"/>
      <c r="AG172" s="152"/>
      <c r="AH172" s="152"/>
      <c r="AI172" s="152"/>
      <c r="AJ172" s="152"/>
      <c r="AK172" s="152"/>
      <c r="AL172" s="152"/>
      <c r="AM172" s="152"/>
      <c r="AN172" s="152"/>
      <c r="AO172" s="152"/>
      <c r="AP172" s="152"/>
      <c r="AQ172" s="152"/>
      <c r="AR172" s="152"/>
      <c r="AS172" s="152"/>
      <c r="AT172" s="152"/>
      <c r="AU172" s="152"/>
      <c r="AV172" s="152"/>
    </row>
    <row r="173" spans="1:48" ht="15.75" customHeight="1" x14ac:dyDescent="0.35">
      <c r="A173" s="223"/>
      <c r="B173" s="146"/>
      <c r="C173" s="237"/>
      <c r="D173" s="147"/>
      <c r="E173" s="148"/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6"/>
      <c r="AC173" s="152"/>
      <c r="AD173" s="152"/>
      <c r="AE173" s="152"/>
      <c r="AF173" s="152"/>
      <c r="AG173" s="152"/>
      <c r="AH173" s="152"/>
      <c r="AI173" s="152"/>
      <c r="AJ173" s="152"/>
      <c r="AK173" s="152"/>
      <c r="AL173" s="152"/>
      <c r="AM173" s="152"/>
      <c r="AN173" s="152"/>
      <c r="AO173" s="152"/>
      <c r="AP173" s="152"/>
      <c r="AQ173" s="152"/>
      <c r="AR173" s="152"/>
      <c r="AS173" s="152"/>
      <c r="AT173" s="152"/>
      <c r="AU173" s="152"/>
      <c r="AV173" s="152"/>
    </row>
    <row r="174" spans="1:48" ht="15.75" customHeight="1" x14ac:dyDescent="0.35">
      <c r="A174" s="223"/>
      <c r="B174" s="146"/>
      <c r="C174" s="237"/>
      <c r="D174" s="147"/>
      <c r="E174" s="148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6"/>
      <c r="AC174" s="152"/>
      <c r="AD174" s="152"/>
      <c r="AE174" s="152"/>
      <c r="AF174" s="152"/>
      <c r="AG174" s="152"/>
      <c r="AH174" s="152"/>
      <c r="AI174" s="152"/>
      <c r="AJ174" s="152"/>
      <c r="AK174" s="152"/>
      <c r="AL174" s="152"/>
      <c r="AM174" s="152"/>
      <c r="AN174" s="152"/>
      <c r="AO174" s="152"/>
      <c r="AP174" s="152"/>
      <c r="AQ174" s="152"/>
      <c r="AR174" s="152"/>
      <c r="AS174" s="152"/>
      <c r="AT174" s="152"/>
      <c r="AU174" s="152"/>
      <c r="AV174" s="152"/>
    </row>
    <row r="175" spans="1:48" ht="15.75" customHeight="1" x14ac:dyDescent="0.35">
      <c r="A175" s="223"/>
      <c r="B175" s="146"/>
      <c r="C175" s="237"/>
      <c r="D175" s="147"/>
      <c r="E175" s="148"/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6"/>
      <c r="AC175" s="152"/>
      <c r="AD175" s="152"/>
      <c r="AE175" s="152"/>
      <c r="AF175" s="152"/>
      <c r="AG175" s="152"/>
      <c r="AH175" s="152"/>
      <c r="AI175" s="152"/>
      <c r="AJ175" s="152"/>
      <c r="AK175" s="152"/>
      <c r="AL175" s="152"/>
      <c r="AM175" s="152"/>
      <c r="AN175" s="152"/>
      <c r="AO175" s="152"/>
      <c r="AP175" s="152"/>
      <c r="AQ175" s="152"/>
      <c r="AR175" s="152"/>
      <c r="AS175" s="152"/>
      <c r="AT175" s="152"/>
      <c r="AU175" s="152"/>
      <c r="AV175" s="152"/>
    </row>
    <row r="176" spans="1:48" ht="15.75" customHeight="1" x14ac:dyDescent="0.35">
      <c r="A176" s="223"/>
      <c r="B176" s="146"/>
      <c r="C176" s="237"/>
      <c r="D176" s="147"/>
      <c r="E176" s="148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6"/>
      <c r="AC176" s="152"/>
      <c r="AD176" s="152"/>
      <c r="AE176" s="152"/>
      <c r="AF176" s="152"/>
      <c r="AG176" s="152"/>
      <c r="AH176" s="152"/>
      <c r="AI176" s="152"/>
      <c r="AJ176" s="152"/>
      <c r="AK176" s="152"/>
      <c r="AL176" s="152"/>
      <c r="AM176" s="152"/>
      <c r="AN176" s="152"/>
      <c r="AO176" s="152"/>
      <c r="AP176" s="152"/>
      <c r="AQ176" s="152"/>
      <c r="AR176" s="152"/>
      <c r="AS176" s="152"/>
      <c r="AT176" s="152"/>
      <c r="AU176" s="152"/>
      <c r="AV176" s="152"/>
    </row>
    <row r="177" spans="1:48" ht="15.75" customHeight="1" x14ac:dyDescent="0.35">
      <c r="A177" s="223"/>
      <c r="B177" s="146"/>
      <c r="C177" s="237"/>
      <c r="D177" s="147"/>
      <c r="E177" s="148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6"/>
      <c r="AC177" s="152"/>
      <c r="AD177" s="152"/>
      <c r="AE177" s="152"/>
      <c r="AF177" s="152"/>
      <c r="AG177" s="152"/>
      <c r="AH177" s="152"/>
      <c r="AI177" s="152"/>
      <c r="AJ177" s="152"/>
      <c r="AK177" s="152"/>
      <c r="AL177" s="152"/>
      <c r="AM177" s="152"/>
      <c r="AN177" s="152"/>
      <c r="AO177" s="152"/>
      <c r="AP177" s="152"/>
      <c r="AQ177" s="152"/>
      <c r="AR177" s="152"/>
      <c r="AS177" s="152"/>
      <c r="AT177" s="152"/>
      <c r="AU177" s="152"/>
      <c r="AV177" s="152"/>
    </row>
    <row r="178" spans="1:48" ht="15.75" customHeight="1" x14ac:dyDescent="0.35">
      <c r="A178" s="223"/>
      <c r="B178" s="146"/>
      <c r="C178" s="237"/>
      <c r="D178" s="147"/>
      <c r="E178" s="148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6"/>
      <c r="AC178" s="152"/>
      <c r="AD178" s="152"/>
      <c r="AE178" s="152"/>
      <c r="AF178" s="152"/>
      <c r="AG178" s="152"/>
      <c r="AH178" s="152"/>
      <c r="AI178" s="152"/>
      <c r="AJ178" s="152"/>
      <c r="AK178" s="152"/>
      <c r="AL178" s="152"/>
      <c r="AM178" s="152"/>
      <c r="AN178" s="152"/>
      <c r="AO178" s="152"/>
      <c r="AP178" s="152"/>
      <c r="AQ178" s="152"/>
      <c r="AR178" s="152"/>
      <c r="AS178" s="152"/>
      <c r="AT178" s="152"/>
      <c r="AU178" s="152"/>
      <c r="AV178" s="152"/>
    </row>
    <row r="179" spans="1:48" ht="15.75" customHeight="1" x14ac:dyDescent="0.35">
      <c r="A179" s="223"/>
      <c r="B179" s="146"/>
      <c r="C179" s="237"/>
      <c r="D179" s="147"/>
      <c r="E179" s="148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6"/>
      <c r="AC179" s="152"/>
      <c r="AD179" s="152"/>
      <c r="AE179" s="152"/>
      <c r="AF179" s="152"/>
      <c r="AG179" s="152"/>
      <c r="AH179" s="152"/>
      <c r="AI179" s="152"/>
      <c r="AJ179" s="152"/>
      <c r="AK179" s="152"/>
      <c r="AL179" s="152"/>
      <c r="AM179" s="152"/>
      <c r="AN179" s="152"/>
      <c r="AO179" s="152"/>
      <c r="AP179" s="152"/>
      <c r="AQ179" s="152"/>
      <c r="AR179" s="152"/>
      <c r="AS179" s="152"/>
      <c r="AT179" s="152"/>
      <c r="AU179" s="152"/>
      <c r="AV179" s="152"/>
    </row>
    <row r="180" spans="1:48" ht="15.75" customHeight="1" x14ac:dyDescent="0.35">
      <c r="A180" s="224"/>
      <c r="B180" s="27"/>
      <c r="C180" s="237"/>
      <c r="D180" s="127"/>
      <c r="E180" s="128"/>
      <c r="F180" s="111"/>
      <c r="G180" s="111"/>
      <c r="M180" s="111"/>
      <c r="N180" s="111"/>
      <c r="O180" s="111"/>
      <c r="P180" s="111"/>
      <c r="Q180" s="111"/>
      <c r="AB180" s="27"/>
    </row>
    <row r="181" spans="1:48" ht="15.75" customHeight="1" x14ac:dyDescent="0.35">
      <c r="A181" s="224"/>
      <c r="B181" s="27"/>
      <c r="C181" s="237"/>
      <c r="D181" s="127"/>
      <c r="E181" s="128"/>
      <c r="F181" s="111"/>
      <c r="G181" s="111"/>
      <c r="M181" s="111"/>
      <c r="N181" s="111"/>
      <c r="O181" s="111"/>
      <c r="P181" s="111"/>
      <c r="Q181" s="111"/>
      <c r="AB181" s="27"/>
    </row>
    <row r="182" spans="1:48" ht="15.75" customHeight="1" x14ac:dyDescent="0.35">
      <c r="A182" s="224"/>
      <c r="B182" s="27"/>
      <c r="C182" s="237"/>
      <c r="D182" s="127"/>
      <c r="E182" s="128"/>
      <c r="F182" s="111"/>
      <c r="G182" s="111"/>
      <c r="M182" s="111"/>
      <c r="N182" s="111"/>
      <c r="O182" s="111"/>
      <c r="P182" s="111"/>
      <c r="Q182" s="111"/>
      <c r="AB182" s="27"/>
    </row>
    <row r="183" spans="1:48" ht="15.75" customHeight="1" x14ac:dyDescent="0.35">
      <c r="A183" s="224"/>
      <c r="B183" s="27"/>
      <c r="C183" s="237"/>
      <c r="D183" s="127"/>
      <c r="E183" s="128"/>
      <c r="F183" s="111"/>
      <c r="G183" s="111"/>
      <c r="M183" s="111"/>
      <c r="N183" s="111"/>
      <c r="O183" s="111"/>
      <c r="P183" s="111"/>
      <c r="Q183" s="111"/>
      <c r="AB183" s="27"/>
    </row>
    <row r="184" spans="1:48" ht="15.75" customHeight="1" x14ac:dyDescent="0.35">
      <c r="A184" s="224"/>
      <c r="B184" s="27"/>
      <c r="C184" s="237"/>
      <c r="D184" s="127"/>
      <c r="E184" s="128"/>
      <c r="F184" s="111"/>
      <c r="G184" s="111"/>
      <c r="M184" s="111"/>
      <c r="N184" s="111"/>
      <c r="O184" s="111"/>
      <c r="P184" s="111"/>
      <c r="Q184" s="111"/>
      <c r="AB184" s="27"/>
    </row>
    <row r="185" spans="1:48" ht="15.75" customHeight="1" x14ac:dyDescent="0.35">
      <c r="A185" s="224"/>
      <c r="B185" s="27"/>
      <c r="C185" s="237"/>
      <c r="D185" s="127"/>
      <c r="E185" s="128"/>
      <c r="F185" s="111"/>
      <c r="G185" s="111"/>
      <c r="M185" s="111"/>
      <c r="N185" s="111"/>
      <c r="O185" s="111"/>
      <c r="P185" s="111"/>
      <c r="Q185" s="111"/>
      <c r="AB185" s="27"/>
    </row>
    <row r="186" spans="1:48" ht="15.75" customHeight="1" x14ac:dyDescent="0.35">
      <c r="A186" s="224"/>
      <c r="B186" s="27"/>
      <c r="C186" s="237"/>
      <c r="D186" s="127"/>
      <c r="E186" s="128"/>
      <c r="F186" s="111"/>
      <c r="G186" s="111"/>
      <c r="M186" s="111"/>
      <c r="N186" s="111"/>
      <c r="O186" s="111"/>
      <c r="P186" s="111"/>
      <c r="Q186" s="111"/>
      <c r="AB186" s="27"/>
    </row>
    <row r="187" spans="1:48" ht="15.75" customHeight="1" x14ac:dyDescent="0.35">
      <c r="A187" s="224"/>
      <c r="B187" s="27"/>
      <c r="C187" s="237"/>
      <c r="D187" s="127"/>
      <c r="E187" s="128"/>
      <c r="F187" s="111"/>
      <c r="G187" s="111"/>
      <c r="M187" s="111"/>
      <c r="N187" s="111"/>
      <c r="O187" s="111"/>
      <c r="P187" s="111"/>
      <c r="Q187" s="111"/>
      <c r="AB187" s="27"/>
    </row>
    <row r="188" spans="1:48" ht="15.75" customHeight="1" x14ac:dyDescent="0.35">
      <c r="A188" s="224"/>
      <c r="B188" s="27"/>
      <c r="C188" s="237"/>
      <c r="D188" s="127"/>
      <c r="E188" s="128"/>
      <c r="F188" s="111"/>
      <c r="G188" s="111"/>
      <c r="M188" s="111"/>
      <c r="N188" s="111"/>
      <c r="O188" s="111"/>
      <c r="P188" s="111"/>
      <c r="Q188" s="111"/>
      <c r="AB188" s="27"/>
    </row>
    <row r="189" spans="1:48" ht="15.75" customHeight="1" x14ac:dyDescent="0.35">
      <c r="A189" s="224"/>
      <c r="B189" s="27"/>
      <c r="C189" s="237"/>
      <c r="D189" s="127"/>
      <c r="E189" s="128"/>
      <c r="F189" s="111"/>
      <c r="G189" s="111"/>
      <c r="M189" s="111"/>
      <c r="N189" s="111"/>
      <c r="O189" s="111"/>
      <c r="P189" s="111"/>
      <c r="Q189" s="111"/>
      <c r="AB189" s="27"/>
    </row>
    <row r="190" spans="1:48" ht="15.75" customHeight="1" x14ac:dyDescent="0.35">
      <c r="A190" s="224"/>
      <c r="B190" s="27"/>
      <c r="C190" s="237"/>
      <c r="D190" s="127"/>
      <c r="E190" s="128"/>
      <c r="F190" s="111"/>
      <c r="G190" s="111"/>
      <c r="M190" s="111"/>
      <c r="N190" s="111"/>
      <c r="O190" s="111"/>
      <c r="P190" s="111"/>
      <c r="Q190" s="111"/>
      <c r="AB190" s="27"/>
    </row>
    <row r="191" spans="1:48" ht="15.75" customHeight="1" x14ac:dyDescent="0.35">
      <c r="A191" s="224"/>
      <c r="B191" s="27"/>
      <c r="C191" s="237"/>
      <c r="D191" s="127"/>
      <c r="E191" s="128"/>
      <c r="F191" s="111"/>
      <c r="G191" s="111"/>
      <c r="M191" s="111"/>
      <c r="N191" s="111"/>
      <c r="O191" s="111"/>
      <c r="P191" s="111"/>
      <c r="Q191" s="111"/>
      <c r="AB191" s="27"/>
    </row>
    <row r="192" spans="1:48" ht="15.75" customHeight="1" x14ac:dyDescent="0.35">
      <c r="A192" s="224"/>
      <c r="B192" s="27"/>
      <c r="C192" s="237"/>
      <c r="D192" s="127"/>
      <c r="E192" s="128"/>
      <c r="F192" s="111"/>
      <c r="G192" s="111"/>
      <c r="M192" s="111"/>
      <c r="N192" s="111"/>
      <c r="O192" s="111"/>
      <c r="P192" s="111"/>
      <c r="Q192" s="111"/>
      <c r="AB192" s="27"/>
    </row>
    <row r="193" spans="1:28" ht="15.75" customHeight="1" x14ac:dyDescent="0.35">
      <c r="A193" s="224"/>
      <c r="B193" s="27"/>
      <c r="C193" s="237"/>
      <c r="D193" s="127"/>
      <c r="E193" s="128"/>
      <c r="F193" s="111"/>
      <c r="G193" s="111"/>
      <c r="M193" s="111"/>
      <c r="N193" s="111"/>
      <c r="O193" s="111"/>
      <c r="P193" s="111"/>
      <c r="Q193" s="111"/>
      <c r="AB193" s="27"/>
    </row>
    <row r="194" spans="1:28" ht="15.75" customHeight="1" x14ac:dyDescent="0.35">
      <c r="A194" s="224"/>
      <c r="B194" s="27"/>
      <c r="C194" s="237"/>
      <c r="D194" s="127"/>
      <c r="E194" s="128"/>
      <c r="F194" s="111"/>
      <c r="G194" s="111"/>
      <c r="M194" s="111"/>
      <c r="N194" s="111"/>
      <c r="O194" s="111"/>
      <c r="P194" s="111"/>
      <c r="Q194" s="111"/>
      <c r="AB194" s="27"/>
    </row>
    <row r="195" spans="1:28" ht="15.75" customHeight="1" x14ac:dyDescent="0.35">
      <c r="A195" s="224"/>
      <c r="B195" s="27"/>
      <c r="C195" s="237"/>
      <c r="D195" s="127"/>
      <c r="E195" s="128"/>
      <c r="F195" s="111"/>
      <c r="G195" s="111"/>
      <c r="M195" s="111"/>
      <c r="N195" s="111"/>
      <c r="O195" s="111"/>
      <c r="P195" s="111"/>
      <c r="Q195" s="111"/>
      <c r="AB195" s="27"/>
    </row>
    <row r="196" spans="1:28" ht="15.75" customHeight="1" x14ac:dyDescent="0.35">
      <c r="A196" s="224"/>
      <c r="B196" s="27"/>
      <c r="C196" s="237"/>
      <c r="D196" s="127"/>
      <c r="E196" s="128"/>
      <c r="F196" s="111"/>
      <c r="G196" s="111"/>
      <c r="M196" s="111"/>
      <c r="N196" s="111"/>
      <c r="O196" s="111"/>
      <c r="P196" s="111"/>
      <c r="Q196" s="111"/>
      <c r="AB196" s="27"/>
    </row>
    <row r="197" spans="1:28" ht="15.75" customHeight="1" x14ac:dyDescent="0.35">
      <c r="A197" s="224"/>
      <c r="B197" s="27"/>
      <c r="C197" s="237"/>
      <c r="D197" s="127"/>
      <c r="E197" s="128"/>
      <c r="F197" s="111"/>
      <c r="G197" s="111"/>
      <c r="M197" s="111"/>
      <c r="N197" s="111"/>
      <c r="O197" s="111"/>
      <c r="P197" s="111"/>
      <c r="Q197" s="111"/>
      <c r="AB197" s="27"/>
    </row>
    <row r="198" spans="1:28" ht="15.75" customHeight="1" x14ac:dyDescent="0.35">
      <c r="A198" s="224"/>
      <c r="B198" s="27"/>
      <c r="C198" s="237"/>
      <c r="D198" s="127"/>
      <c r="E198" s="128"/>
      <c r="F198" s="111"/>
      <c r="G198" s="111"/>
      <c r="M198" s="111"/>
      <c r="N198" s="111"/>
      <c r="O198" s="111"/>
      <c r="P198" s="111"/>
      <c r="Q198" s="111"/>
      <c r="AB198" s="27"/>
    </row>
    <row r="199" spans="1:28" ht="15.75" customHeight="1" x14ac:dyDescent="0.35">
      <c r="A199" s="224"/>
      <c r="B199" s="27"/>
      <c r="C199" s="237"/>
      <c r="D199" s="127"/>
      <c r="E199" s="128"/>
      <c r="F199" s="111"/>
      <c r="G199" s="111"/>
      <c r="M199" s="111"/>
      <c r="N199" s="111"/>
      <c r="O199" s="111"/>
      <c r="P199" s="111"/>
      <c r="Q199" s="111"/>
      <c r="AB199" s="27"/>
    </row>
    <row r="200" spans="1:28" ht="15.75" customHeight="1" x14ac:dyDescent="0.35">
      <c r="A200" s="224"/>
      <c r="B200" s="27"/>
      <c r="C200" s="237"/>
      <c r="D200" s="127"/>
      <c r="E200" s="128"/>
      <c r="F200" s="111"/>
      <c r="G200" s="111"/>
      <c r="M200" s="111"/>
      <c r="N200" s="111"/>
      <c r="O200" s="111"/>
      <c r="P200" s="111"/>
      <c r="Q200" s="111"/>
      <c r="AB200" s="27"/>
    </row>
    <row r="201" spans="1:28" ht="15.75" customHeight="1" x14ac:dyDescent="0.35">
      <c r="A201" s="224"/>
      <c r="B201" s="27"/>
      <c r="C201" s="237"/>
      <c r="D201" s="127"/>
      <c r="E201" s="128"/>
      <c r="F201" s="111"/>
      <c r="G201" s="111"/>
      <c r="M201" s="111"/>
      <c r="N201" s="111"/>
      <c r="O201" s="111"/>
      <c r="P201" s="111"/>
      <c r="Q201" s="111"/>
      <c r="AB201" s="27"/>
    </row>
    <row r="202" spans="1:28" ht="15.75" customHeight="1" x14ac:dyDescent="0.35">
      <c r="A202" s="224"/>
      <c r="B202" s="27"/>
      <c r="C202" s="237"/>
      <c r="D202" s="127"/>
      <c r="E202" s="128"/>
      <c r="F202" s="111"/>
      <c r="G202" s="111"/>
      <c r="M202" s="111"/>
      <c r="N202" s="111"/>
      <c r="O202" s="111"/>
      <c r="P202" s="111"/>
      <c r="Q202" s="111"/>
      <c r="AB202" s="27"/>
    </row>
    <row r="203" spans="1:28" ht="15.75" customHeight="1" x14ac:dyDescent="0.35">
      <c r="A203" s="224"/>
      <c r="B203" s="27"/>
      <c r="C203" s="237"/>
      <c r="D203" s="127"/>
      <c r="E203" s="128"/>
      <c r="F203" s="111"/>
      <c r="G203" s="111"/>
      <c r="M203" s="111"/>
      <c r="N203" s="111"/>
      <c r="O203" s="111"/>
      <c r="P203" s="111"/>
      <c r="Q203" s="111"/>
      <c r="AB203" s="27"/>
    </row>
    <row r="204" spans="1:28" ht="15.75" customHeight="1" x14ac:dyDescent="0.35">
      <c r="A204" s="224"/>
      <c r="B204" s="27"/>
      <c r="C204" s="237"/>
      <c r="D204" s="127"/>
      <c r="E204" s="128"/>
      <c r="F204" s="111"/>
      <c r="G204" s="111"/>
      <c r="M204" s="111"/>
      <c r="N204" s="111"/>
      <c r="O204" s="111"/>
      <c r="P204" s="111"/>
      <c r="Q204" s="111"/>
      <c r="AB204" s="27"/>
    </row>
    <row r="205" spans="1:28" ht="15.75" customHeight="1" x14ac:dyDescent="0.35">
      <c r="A205" s="224"/>
      <c r="B205" s="27"/>
      <c r="C205" s="237"/>
      <c r="D205" s="127"/>
      <c r="E205" s="128"/>
      <c r="F205" s="111"/>
      <c r="G205" s="111"/>
      <c r="M205" s="111"/>
      <c r="N205" s="111"/>
      <c r="O205" s="111"/>
      <c r="P205" s="111"/>
      <c r="Q205" s="111"/>
      <c r="AB205" s="27"/>
    </row>
    <row r="206" spans="1:28" ht="15.75" customHeight="1" x14ac:dyDescent="0.35">
      <c r="A206" s="224"/>
      <c r="B206" s="27"/>
      <c r="C206" s="237"/>
      <c r="D206" s="127"/>
      <c r="E206" s="128"/>
      <c r="F206" s="111"/>
      <c r="G206" s="111"/>
      <c r="M206" s="111"/>
      <c r="N206" s="111"/>
      <c r="O206" s="111"/>
      <c r="P206" s="111"/>
      <c r="Q206" s="111"/>
      <c r="AB206" s="27"/>
    </row>
    <row r="207" spans="1:28" ht="15.75" customHeight="1" x14ac:dyDescent="0.35">
      <c r="A207" s="224"/>
      <c r="B207" s="27"/>
      <c r="C207" s="237"/>
      <c r="D207" s="127"/>
      <c r="E207" s="128"/>
      <c r="F207" s="111"/>
      <c r="G207" s="111"/>
      <c r="M207" s="111"/>
      <c r="N207" s="111"/>
      <c r="O207" s="111"/>
      <c r="P207" s="111"/>
      <c r="Q207" s="111"/>
      <c r="AB207" s="27"/>
    </row>
    <row r="208" spans="1:28" ht="15.75" customHeight="1" x14ac:dyDescent="0.35">
      <c r="A208" s="224"/>
      <c r="B208" s="27"/>
      <c r="C208" s="237"/>
      <c r="D208" s="127"/>
      <c r="E208" s="128"/>
      <c r="F208" s="111"/>
      <c r="G208" s="111"/>
      <c r="M208" s="111"/>
      <c r="N208" s="111"/>
      <c r="O208" s="111"/>
      <c r="P208" s="111"/>
      <c r="Q208" s="111"/>
      <c r="AB208" s="27"/>
    </row>
    <row r="209" spans="1:28" ht="15.75" customHeight="1" x14ac:dyDescent="0.35">
      <c r="A209" s="224"/>
      <c r="B209" s="27"/>
      <c r="C209" s="237"/>
      <c r="D209" s="127"/>
      <c r="E209" s="128"/>
      <c r="F209" s="111"/>
      <c r="G209" s="111"/>
      <c r="M209" s="111"/>
      <c r="N209" s="111"/>
      <c r="O209" s="111"/>
      <c r="P209" s="111"/>
      <c r="Q209" s="111"/>
      <c r="AB209" s="27"/>
    </row>
    <row r="210" spans="1:28" ht="15.75" customHeight="1" x14ac:dyDescent="0.35">
      <c r="A210" s="224"/>
      <c r="B210" s="27"/>
      <c r="C210" s="237"/>
      <c r="D210" s="127"/>
      <c r="E210" s="128"/>
      <c r="F210" s="111"/>
      <c r="G210" s="111"/>
      <c r="M210" s="111"/>
      <c r="N210" s="111"/>
      <c r="O210" s="111"/>
      <c r="P210" s="111"/>
      <c r="Q210" s="111"/>
      <c r="AB210" s="27"/>
    </row>
    <row r="211" spans="1:28" ht="15.75" customHeight="1" x14ac:dyDescent="0.35">
      <c r="A211" s="224"/>
      <c r="B211" s="27"/>
      <c r="C211" s="237"/>
      <c r="D211" s="127"/>
      <c r="E211" s="128"/>
      <c r="F211" s="111"/>
      <c r="G211" s="111"/>
      <c r="M211" s="111"/>
      <c r="N211" s="111"/>
      <c r="O211" s="111"/>
      <c r="P211" s="111"/>
      <c r="Q211" s="111"/>
      <c r="AB211" s="27"/>
    </row>
    <row r="212" spans="1:28" ht="15.75" customHeight="1" x14ac:dyDescent="0.35">
      <c r="A212" s="224"/>
      <c r="B212" s="27"/>
      <c r="C212" s="237"/>
      <c r="D212" s="127"/>
      <c r="E212" s="128"/>
      <c r="F212" s="111"/>
      <c r="G212" s="111"/>
      <c r="M212" s="111"/>
      <c r="N212" s="111"/>
      <c r="O212" s="111"/>
      <c r="P212" s="111"/>
      <c r="Q212" s="111"/>
      <c r="AB212" s="27"/>
    </row>
    <row r="213" spans="1:28" ht="15.75" customHeight="1" x14ac:dyDescent="0.35">
      <c r="A213" s="224"/>
      <c r="B213" s="27"/>
      <c r="C213" s="237"/>
      <c r="D213" s="127"/>
      <c r="E213" s="128"/>
      <c r="F213" s="111"/>
      <c r="G213" s="111"/>
      <c r="M213" s="111"/>
      <c r="N213" s="111"/>
      <c r="O213" s="111"/>
      <c r="P213" s="111"/>
      <c r="Q213" s="111"/>
      <c r="AB213" s="27"/>
    </row>
    <row r="214" spans="1:28" ht="15.75" customHeight="1" x14ac:dyDescent="0.35">
      <c r="A214" s="224"/>
      <c r="B214" s="27"/>
      <c r="C214" s="237"/>
      <c r="D214" s="127"/>
      <c r="E214" s="128"/>
      <c r="F214" s="111"/>
      <c r="G214" s="111"/>
      <c r="M214" s="111"/>
      <c r="N214" s="111"/>
      <c r="O214" s="111"/>
      <c r="P214" s="111"/>
      <c r="Q214" s="111"/>
      <c r="AB214" s="27"/>
    </row>
    <row r="215" spans="1:28" ht="15.75" customHeight="1" x14ac:dyDescent="0.35">
      <c r="A215" s="224"/>
      <c r="B215" s="27"/>
      <c r="C215" s="237"/>
      <c r="D215" s="127"/>
      <c r="E215" s="128"/>
      <c r="F215" s="111"/>
      <c r="G215" s="111"/>
      <c r="M215" s="111"/>
      <c r="N215" s="111"/>
      <c r="O215" s="111"/>
      <c r="P215" s="111"/>
      <c r="Q215" s="111"/>
      <c r="AB215" s="27"/>
    </row>
    <row r="216" spans="1:28" ht="15.75" customHeight="1" x14ac:dyDescent="0.35">
      <c r="A216" s="224"/>
      <c r="B216" s="27"/>
      <c r="C216" s="237"/>
      <c r="D216" s="127"/>
      <c r="E216" s="128"/>
      <c r="F216" s="111"/>
      <c r="G216" s="111"/>
      <c r="M216" s="111"/>
      <c r="N216" s="111"/>
      <c r="O216" s="111"/>
      <c r="P216" s="111"/>
      <c r="Q216" s="111"/>
      <c r="AB216" s="27"/>
    </row>
    <row r="217" spans="1:28" ht="15.75" customHeight="1" x14ac:dyDescent="0.35">
      <c r="A217" s="224"/>
      <c r="B217" s="27"/>
      <c r="C217" s="237"/>
      <c r="D217" s="127"/>
      <c r="E217" s="128"/>
      <c r="F217" s="111"/>
      <c r="G217" s="111"/>
      <c r="M217" s="111"/>
      <c r="N217" s="111"/>
      <c r="O217" s="111"/>
      <c r="P217" s="111"/>
      <c r="Q217" s="111"/>
      <c r="AB217" s="27"/>
    </row>
    <row r="218" spans="1:28" ht="15.75" customHeight="1" x14ac:dyDescent="0.35">
      <c r="A218" s="224"/>
      <c r="B218" s="27"/>
      <c r="C218" s="237"/>
      <c r="D218" s="127"/>
      <c r="E218" s="128"/>
      <c r="F218" s="111"/>
      <c r="G218" s="111"/>
      <c r="M218" s="111"/>
      <c r="N218" s="111"/>
      <c r="O218" s="111"/>
      <c r="P218" s="111"/>
      <c r="Q218" s="111"/>
      <c r="AB218" s="27"/>
    </row>
    <row r="219" spans="1:28" ht="15.75" customHeight="1" x14ac:dyDescent="0.35">
      <c r="A219" s="224"/>
      <c r="B219" s="27"/>
      <c r="C219" s="237"/>
      <c r="D219" s="127"/>
      <c r="E219" s="128"/>
      <c r="F219" s="111"/>
      <c r="G219" s="111"/>
      <c r="M219" s="111"/>
      <c r="N219" s="111"/>
      <c r="O219" s="111"/>
      <c r="P219" s="111"/>
      <c r="Q219" s="111"/>
      <c r="AB219" s="27"/>
    </row>
    <row r="220" spans="1:28" ht="15.75" customHeight="1" x14ac:dyDescent="0.35">
      <c r="A220" s="224"/>
      <c r="B220" s="27"/>
      <c r="C220" s="237"/>
      <c r="D220" s="127"/>
      <c r="E220" s="128"/>
      <c r="F220" s="111"/>
      <c r="G220" s="111"/>
      <c r="M220" s="111"/>
      <c r="N220" s="111"/>
      <c r="O220" s="111"/>
      <c r="P220" s="111"/>
      <c r="Q220" s="111"/>
      <c r="AB220" s="27"/>
    </row>
    <row r="221" spans="1:28" ht="15.75" customHeight="1" x14ac:dyDescent="0.35">
      <c r="A221" s="224"/>
      <c r="B221" s="27"/>
      <c r="C221" s="237"/>
      <c r="D221" s="127"/>
      <c r="E221" s="128"/>
      <c r="F221" s="111"/>
      <c r="G221" s="111"/>
      <c r="M221" s="111"/>
      <c r="N221" s="111"/>
      <c r="O221" s="111"/>
      <c r="P221" s="111"/>
      <c r="Q221" s="111"/>
      <c r="AB221" s="27"/>
    </row>
    <row r="222" spans="1:28" ht="15.75" customHeight="1" x14ac:dyDescent="0.35">
      <c r="A222" s="224"/>
      <c r="B222" s="27"/>
      <c r="C222" s="237"/>
      <c r="D222" s="127"/>
      <c r="E222" s="128"/>
      <c r="F222" s="111"/>
      <c r="G222" s="111"/>
      <c r="M222" s="111"/>
      <c r="N222" s="111"/>
      <c r="O222" s="111"/>
      <c r="P222" s="111"/>
      <c r="Q222" s="111"/>
      <c r="AB222" s="27"/>
    </row>
    <row r="223" spans="1:28" ht="15.75" customHeight="1" x14ac:dyDescent="0.35">
      <c r="A223" s="224"/>
      <c r="B223" s="27"/>
      <c r="C223" s="237"/>
      <c r="D223" s="127"/>
      <c r="E223" s="128"/>
      <c r="F223" s="111"/>
      <c r="G223" s="111"/>
      <c r="M223" s="111"/>
      <c r="N223" s="111"/>
      <c r="O223" s="111"/>
      <c r="P223" s="111"/>
      <c r="Q223" s="111"/>
      <c r="AB223" s="27"/>
    </row>
    <row r="224" spans="1:28" ht="15.75" customHeight="1" x14ac:dyDescent="0.35">
      <c r="A224" s="224"/>
      <c r="B224" s="27"/>
      <c r="C224" s="237"/>
      <c r="D224" s="127"/>
      <c r="E224" s="128"/>
      <c r="F224" s="111"/>
      <c r="G224" s="111"/>
      <c r="M224" s="111"/>
      <c r="N224" s="111"/>
      <c r="O224" s="111"/>
      <c r="P224" s="111"/>
      <c r="Q224" s="111"/>
      <c r="AB224" s="27"/>
    </row>
    <row r="225" spans="1:28" ht="15.75" customHeight="1" x14ac:dyDescent="0.35">
      <c r="A225" s="224"/>
      <c r="B225" s="27"/>
      <c r="C225" s="237"/>
      <c r="D225" s="127"/>
      <c r="E225" s="128"/>
      <c r="F225" s="111"/>
      <c r="G225" s="111"/>
      <c r="M225" s="111"/>
      <c r="N225" s="111"/>
      <c r="O225" s="111"/>
      <c r="P225" s="111"/>
      <c r="Q225" s="111"/>
      <c r="AB225" s="27"/>
    </row>
    <row r="226" spans="1:28" ht="15.75" customHeight="1" x14ac:dyDescent="0.35">
      <c r="A226" s="224"/>
      <c r="B226" s="27"/>
      <c r="C226" s="237"/>
      <c r="D226" s="127"/>
      <c r="E226" s="128"/>
      <c r="F226" s="111"/>
      <c r="G226" s="111"/>
      <c r="M226" s="111"/>
      <c r="N226" s="111"/>
      <c r="O226" s="111"/>
      <c r="P226" s="111"/>
      <c r="Q226" s="111"/>
      <c r="AB226" s="27"/>
    </row>
    <row r="227" spans="1:28" ht="15.75" customHeight="1" x14ac:dyDescent="0.35">
      <c r="A227" s="224"/>
      <c r="B227" s="27"/>
      <c r="C227" s="237"/>
      <c r="D227" s="127"/>
      <c r="E227" s="128"/>
      <c r="F227" s="111"/>
      <c r="G227" s="111"/>
      <c r="M227" s="111"/>
      <c r="N227" s="111"/>
      <c r="O227" s="111"/>
      <c r="P227" s="111"/>
      <c r="Q227" s="111"/>
      <c r="AB227" s="27"/>
    </row>
    <row r="228" spans="1:28" ht="15.75" customHeight="1" x14ac:dyDescent="0.35">
      <c r="A228" s="224"/>
      <c r="B228" s="27"/>
      <c r="C228" s="237"/>
      <c r="D228" s="127"/>
      <c r="E228" s="128"/>
      <c r="F228" s="111"/>
      <c r="G228" s="111"/>
      <c r="M228" s="111"/>
      <c r="N228" s="111"/>
      <c r="O228" s="111"/>
      <c r="P228" s="111"/>
      <c r="Q228" s="111"/>
      <c r="AB228" s="27"/>
    </row>
    <row r="229" spans="1:28" ht="15.75" customHeight="1" x14ac:dyDescent="0.35">
      <c r="A229" s="224"/>
      <c r="B229" s="27"/>
      <c r="C229" s="237"/>
      <c r="D229" s="127"/>
      <c r="E229" s="128"/>
      <c r="F229" s="111"/>
      <c r="G229" s="111"/>
      <c r="M229" s="111"/>
      <c r="N229" s="111"/>
      <c r="O229" s="111"/>
      <c r="P229" s="111"/>
      <c r="Q229" s="111"/>
      <c r="AB229" s="27"/>
    </row>
    <row r="230" spans="1:28" ht="15.75" customHeight="1" x14ac:dyDescent="0.35">
      <c r="A230" s="224"/>
      <c r="B230" s="27"/>
      <c r="C230" s="237"/>
      <c r="D230" s="127"/>
      <c r="E230" s="128"/>
      <c r="F230" s="111"/>
      <c r="G230" s="111"/>
      <c r="M230" s="111"/>
      <c r="N230" s="111"/>
      <c r="O230" s="111"/>
      <c r="P230" s="111"/>
      <c r="Q230" s="111"/>
      <c r="AB230" s="27"/>
    </row>
    <row r="231" spans="1:28" ht="15.75" customHeight="1" x14ac:dyDescent="0.35">
      <c r="A231" s="224"/>
      <c r="B231" s="27"/>
      <c r="C231" s="237"/>
      <c r="D231" s="127"/>
      <c r="E231" s="128"/>
      <c r="F231" s="111"/>
      <c r="G231" s="111"/>
      <c r="M231" s="111"/>
      <c r="N231" s="111"/>
      <c r="O231" s="111"/>
      <c r="P231" s="111"/>
      <c r="Q231" s="111"/>
      <c r="AB231" s="27"/>
    </row>
    <row r="232" spans="1:28" ht="15.75" customHeight="1" x14ac:dyDescent="0.35">
      <c r="A232" s="224"/>
      <c r="B232" s="27"/>
      <c r="C232" s="237"/>
      <c r="D232" s="127"/>
      <c r="E232" s="128"/>
      <c r="F232" s="111"/>
      <c r="G232" s="111"/>
      <c r="M232" s="111"/>
      <c r="N232" s="111"/>
      <c r="O232" s="111"/>
      <c r="P232" s="111"/>
      <c r="Q232" s="111"/>
      <c r="AB232" s="27"/>
    </row>
    <row r="233" spans="1:28" ht="15.75" customHeight="1" x14ac:dyDescent="0.35">
      <c r="A233" s="224"/>
      <c r="B233" s="27"/>
      <c r="C233" s="237"/>
      <c r="D233" s="127"/>
      <c r="E233" s="128"/>
      <c r="F233" s="111"/>
      <c r="G233" s="111"/>
      <c r="M233" s="111"/>
      <c r="N233" s="111"/>
      <c r="O233" s="111"/>
      <c r="P233" s="111"/>
      <c r="Q233" s="111"/>
      <c r="AB233" s="27"/>
    </row>
    <row r="234" spans="1:28" ht="15.75" customHeight="1" x14ac:dyDescent="0.35">
      <c r="A234" s="224"/>
      <c r="B234" s="27"/>
      <c r="C234" s="237"/>
      <c r="D234" s="127"/>
      <c r="E234" s="128"/>
      <c r="F234" s="111"/>
      <c r="G234" s="111"/>
      <c r="M234" s="111"/>
      <c r="N234" s="111"/>
      <c r="O234" s="111"/>
      <c r="P234" s="111"/>
      <c r="Q234" s="111"/>
      <c r="AB234" s="27"/>
    </row>
    <row r="235" spans="1:28" ht="15.75" customHeight="1" x14ac:dyDescent="0.35">
      <c r="A235" s="224"/>
      <c r="B235" s="27"/>
      <c r="C235" s="237"/>
      <c r="D235" s="127"/>
      <c r="E235" s="128"/>
      <c r="F235" s="111"/>
      <c r="G235" s="111"/>
      <c r="M235" s="111"/>
      <c r="N235" s="111"/>
      <c r="O235" s="111"/>
      <c r="P235" s="111"/>
      <c r="Q235" s="111"/>
      <c r="AB235" s="27"/>
    </row>
    <row r="236" spans="1:28" ht="15.75" customHeight="1" x14ac:dyDescent="0.35">
      <c r="A236" s="224"/>
      <c r="B236" s="27"/>
      <c r="C236" s="237"/>
      <c r="D236" s="127"/>
      <c r="E236" s="128"/>
      <c r="F236" s="111"/>
      <c r="G236" s="111"/>
      <c r="M236" s="111"/>
      <c r="N236" s="111"/>
      <c r="O236" s="111"/>
      <c r="P236" s="111"/>
      <c r="Q236" s="111"/>
      <c r="AB236" s="27"/>
    </row>
    <row r="237" spans="1:28" ht="15.75" customHeight="1" x14ac:dyDescent="0.35">
      <c r="A237" s="224"/>
      <c r="B237" s="27"/>
      <c r="C237" s="237"/>
      <c r="D237" s="127"/>
      <c r="E237" s="128"/>
      <c r="F237" s="111"/>
      <c r="G237" s="111"/>
      <c r="M237" s="111"/>
      <c r="N237" s="111"/>
      <c r="O237" s="111"/>
      <c r="P237" s="111"/>
      <c r="Q237" s="111"/>
      <c r="AB237" s="27"/>
    </row>
    <row r="238" spans="1:28" ht="15.75" customHeight="1" x14ac:dyDescent="0.35">
      <c r="A238" s="224"/>
      <c r="B238" s="27"/>
      <c r="C238" s="237"/>
      <c r="D238" s="127"/>
      <c r="E238" s="128"/>
      <c r="F238" s="111"/>
      <c r="G238" s="111"/>
      <c r="M238" s="111"/>
      <c r="N238" s="111"/>
      <c r="O238" s="111"/>
      <c r="P238" s="111"/>
      <c r="Q238" s="111"/>
      <c r="AB238" s="27"/>
    </row>
    <row r="239" spans="1:28" ht="15.75" customHeight="1" x14ac:dyDescent="0.35">
      <c r="A239" s="224"/>
      <c r="B239" s="27"/>
      <c r="C239" s="237"/>
      <c r="D239" s="127"/>
      <c r="E239" s="128"/>
      <c r="F239" s="111"/>
      <c r="G239" s="111"/>
      <c r="M239" s="111"/>
      <c r="N239" s="111"/>
      <c r="O239" s="111"/>
      <c r="P239" s="111"/>
      <c r="Q239" s="111"/>
      <c r="AB239" s="27"/>
    </row>
    <row r="240" spans="1:28" ht="15.75" customHeight="1" x14ac:dyDescent="0.35">
      <c r="A240" s="224"/>
      <c r="B240" s="27"/>
      <c r="C240" s="237"/>
      <c r="D240" s="127"/>
      <c r="E240" s="128"/>
      <c r="F240" s="111"/>
      <c r="G240" s="111"/>
      <c r="M240" s="111"/>
      <c r="N240" s="111"/>
      <c r="O240" s="111"/>
      <c r="P240" s="111"/>
      <c r="Q240" s="111"/>
      <c r="AB240" s="27"/>
    </row>
    <row r="241" spans="1:28" ht="15.75" customHeight="1" x14ac:dyDescent="0.35">
      <c r="A241" s="224"/>
      <c r="B241" s="27"/>
      <c r="C241" s="237"/>
      <c r="D241" s="127"/>
      <c r="E241" s="128"/>
      <c r="F241" s="111"/>
      <c r="G241" s="111"/>
      <c r="M241" s="111"/>
      <c r="N241" s="111"/>
      <c r="O241" s="111"/>
      <c r="P241" s="111"/>
      <c r="Q241" s="111"/>
      <c r="AB241" s="27"/>
    </row>
    <row r="242" spans="1:28" ht="15.75" customHeight="1" x14ac:dyDescent="0.35">
      <c r="A242" s="224"/>
      <c r="B242" s="27"/>
      <c r="C242" s="237"/>
      <c r="D242" s="127"/>
      <c r="E242" s="128"/>
      <c r="F242" s="111"/>
      <c r="G242" s="111"/>
      <c r="M242" s="111"/>
      <c r="N242" s="111"/>
      <c r="O242" s="111"/>
      <c r="P242" s="111"/>
      <c r="Q242" s="111"/>
      <c r="AB242" s="27"/>
    </row>
    <row r="243" spans="1:28" ht="15.75" customHeight="1" x14ac:dyDescent="0.35">
      <c r="A243" s="224"/>
      <c r="B243" s="27"/>
      <c r="C243" s="237"/>
      <c r="D243" s="127"/>
      <c r="E243" s="128"/>
      <c r="F243" s="111"/>
      <c r="G243" s="111"/>
      <c r="M243" s="111"/>
      <c r="N243" s="111"/>
      <c r="O243" s="111"/>
      <c r="P243" s="111"/>
      <c r="Q243" s="111"/>
      <c r="AB243" s="27"/>
    </row>
    <row r="244" spans="1:28" ht="15.75" customHeight="1" x14ac:dyDescent="0.35">
      <c r="A244" s="224"/>
      <c r="B244" s="27"/>
      <c r="C244" s="237"/>
      <c r="D244" s="127"/>
      <c r="E244" s="128"/>
      <c r="F244" s="111"/>
      <c r="G244" s="111"/>
      <c r="M244" s="111"/>
      <c r="N244" s="111"/>
      <c r="O244" s="111"/>
      <c r="P244" s="111"/>
      <c r="Q244" s="111"/>
      <c r="AB244" s="27"/>
    </row>
    <row r="245" spans="1:28" ht="15.75" customHeight="1" x14ac:dyDescent="0.35">
      <c r="A245" s="224"/>
      <c r="B245" s="27"/>
      <c r="C245" s="237"/>
      <c r="D245" s="127"/>
      <c r="E245" s="128"/>
      <c r="F245" s="111"/>
      <c r="G245" s="111"/>
      <c r="M245" s="111"/>
      <c r="N245" s="111"/>
      <c r="O245" s="111"/>
      <c r="P245" s="111"/>
      <c r="Q245" s="111"/>
      <c r="AB245" s="27"/>
    </row>
    <row r="246" spans="1:28" ht="15.75" customHeight="1" x14ac:dyDescent="0.35">
      <c r="A246" s="224"/>
      <c r="B246" s="27"/>
      <c r="C246" s="237"/>
      <c r="D246" s="127"/>
      <c r="E246" s="128"/>
      <c r="F246" s="111"/>
      <c r="G246" s="111"/>
      <c r="M246" s="111"/>
      <c r="N246" s="111"/>
      <c r="O246" s="111"/>
      <c r="P246" s="111"/>
      <c r="Q246" s="111"/>
      <c r="AB246" s="27"/>
    </row>
    <row r="247" spans="1:28" ht="15.75" customHeight="1" x14ac:dyDescent="0.35">
      <c r="A247" s="224"/>
      <c r="B247" s="27"/>
      <c r="C247" s="237"/>
      <c r="D247" s="127"/>
      <c r="E247" s="128"/>
      <c r="F247" s="111"/>
      <c r="G247" s="111"/>
      <c r="M247" s="111"/>
      <c r="N247" s="111"/>
      <c r="O247" s="111"/>
      <c r="P247" s="111"/>
      <c r="Q247" s="111"/>
      <c r="AB247" s="27"/>
    </row>
    <row r="248" spans="1:28" ht="15.75" customHeight="1" x14ac:dyDescent="0.35">
      <c r="A248" s="224"/>
      <c r="B248" s="27"/>
      <c r="C248" s="237"/>
      <c r="D248" s="127"/>
      <c r="E248" s="128"/>
      <c r="F248" s="111"/>
      <c r="G248" s="111"/>
      <c r="M248" s="111"/>
      <c r="N248" s="111"/>
      <c r="O248" s="111"/>
      <c r="P248" s="111"/>
      <c r="Q248" s="111"/>
      <c r="AB248" s="27"/>
    </row>
    <row r="249" spans="1:28" ht="15.75" customHeight="1" x14ac:dyDescent="0.35">
      <c r="A249" s="224"/>
      <c r="B249" s="27"/>
      <c r="C249" s="237"/>
      <c r="D249" s="127"/>
      <c r="E249" s="128"/>
      <c r="F249" s="111"/>
      <c r="G249" s="111"/>
      <c r="M249" s="111"/>
      <c r="N249" s="111"/>
      <c r="O249" s="111"/>
      <c r="P249" s="111"/>
      <c r="Q249" s="111"/>
      <c r="AB249" s="27"/>
    </row>
    <row r="250" spans="1:28" ht="15.75" customHeight="1" x14ac:dyDescent="0.35">
      <c r="A250" s="224"/>
      <c r="B250" s="27"/>
      <c r="C250" s="237"/>
      <c r="D250" s="127"/>
      <c r="E250" s="128"/>
      <c r="F250" s="111"/>
      <c r="G250" s="111"/>
      <c r="M250" s="111"/>
      <c r="N250" s="111"/>
      <c r="O250" s="111"/>
      <c r="P250" s="111"/>
      <c r="Q250" s="111"/>
      <c r="AB250" s="27"/>
    </row>
    <row r="251" spans="1:28" ht="15.75" customHeight="1" x14ac:dyDescent="0.35">
      <c r="A251" s="224"/>
      <c r="B251" s="27"/>
      <c r="C251" s="237"/>
      <c r="D251" s="127"/>
      <c r="E251" s="128"/>
      <c r="F251" s="111"/>
      <c r="G251" s="111"/>
      <c r="M251" s="111"/>
      <c r="N251" s="111"/>
      <c r="O251" s="111"/>
      <c r="P251" s="111"/>
      <c r="Q251" s="111"/>
      <c r="AB251" s="27"/>
    </row>
    <row r="252" spans="1:28" ht="15.75" customHeight="1" x14ac:dyDescent="0.35">
      <c r="A252" s="224"/>
      <c r="B252" s="27"/>
      <c r="C252" s="237"/>
      <c r="D252" s="127"/>
      <c r="E252" s="128"/>
      <c r="F252" s="111"/>
      <c r="G252" s="111"/>
      <c r="M252" s="111"/>
      <c r="N252" s="111"/>
      <c r="O252" s="111"/>
      <c r="P252" s="111"/>
      <c r="Q252" s="111"/>
      <c r="AB252" s="27"/>
    </row>
    <row r="253" spans="1:28" ht="15.75" customHeight="1" x14ac:dyDescent="0.35">
      <c r="A253" s="224"/>
      <c r="B253" s="27"/>
      <c r="C253" s="237"/>
      <c r="D253" s="127"/>
      <c r="E253" s="128"/>
      <c r="F253" s="111"/>
      <c r="G253" s="111"/>
      <c r="M253" s="111"/>
      <c r="N253" s="111"/>
      <c r="O253" s="111"/>
      <c r="P253" s="111"/>
      <c r="Q253" s="111"/>
      <c r="AB253" s="27"/>
    </row>
    <row r="254" spans="1:28" ht="15.75" customHeight="1" x14ac:dyDescent="0.35">
      <c r="A254" s="224"/>
      <c r="B254" s="27"/>
      <c r="C254" s="237"/>
      <c r="D254" s="127"/>
      <c r="E254" s="128"/>
      <c r="F254" s="111"/>
      <c r="G254" s="111"/>
      <c r="M254" s="111"/>
      <c r="N254" s="111"/>
      <c r="O254" s="111"/>
      <c r="P254" s="111"/>
      <c r="Q254" s="111"/>
      <c r="AB254" s="27"/>
    </row>
    <row r="255" spans="1:28" ht="15.75" customHeight="1" x14ac:dyDescent="0.35">
      <c r="A255" s="224"/>
      <c r="B255" s="27"/>
      <c r="C255" s="237"/>
      <c r="D255" s="127"/>
      <c r="E255" s="128"/>
      <c r="F255" s="111"/>
      <c r="G255" s="111"/>
      <c r="M255" s="111"/>
      <c r="N255" s="111"/>
      <c r="O255" s="111"/>
      <c r="P255" s="111"/>
      <c r="Q255" s="111"/>
      <c r="AB255" s="27"/>
    </row>
    <row r="256" spans="1:28" ht="15.75" customHeight="1" x14ac:dyDescent="0.35">
      <c r="A256" s="224"/>
      <c r="B256" s="27"/>
      <c r="C256" s="237"/>
      <c r="D256" s="127"/>
      <c r="E256" s="128"/>
      <c r="F256" s="111"/>
      <c r="G256" s="111"/>
      <c r="M256" s="111"/>
      <c r="N256" s="111"/>
      <c r="O256" s="111"/>
      <c r="P256" s="111"/>
      <c r="Q256" s="111"/>
      <c r="AB256" s="27"/>
    </row>
    <row r="257" spans="1:28" ht="15.75" customHeight="1" x14ac:dyDescent="0.35">
      <c r="A257" s="224"/>
      <c r="B257" s="27"/>
      <c r="C257" s="237"/>
      <c r="D257" s="127"/>
      <c r="E257" s="128"/>
      <c r="F257" s="111"/>
      <c r="G257" s="111"/>
      <c r="M257" s="111"/>
      <c r="N257" s="111"/>
      <c r="O257" s="111"/>
      <c r="P257" s="111"/>
      <c r="Q257" s="111"/>
      <c r="AB257" s="27"/>
    </row>
    <row r="258" spans="1:28" ht="15.75" customHeight="1" x14ac:dyDescent="0.35">
      <c r="A258" s="224"/>
      <c r="B258" s="27"/>
      <c r="C258" s="237"/>
      <c r="D258" s="127"/>
      <c r="E258" s="128"/>
      <c r="F258" s="111"/>
      <c r="G258" s="111"/>
      <c r="M258" s="111"/>
      <c r="N258" s="111"/>
      <c r="O258" s="111"/>
      <c r="P258" s="111"/>
      <c r="Q258" s="111"/>
      <c r="AB258" s="27"/>
    </row>
    <row r="259" spans="1:28" ht="15.75" customHeight="1" x14ac:dyDescent="0.35">
      <c r="A259" s="224"/>
      <c r="B259" s="27"/>
      <c r="C259" s="237"/>
      <c r="D259" s="127"/>
      <c r="E259" s="128"/>
      <c r="F259" s="111"/>
      <c r="G259" s="111"/>
      <c r="M259" s="111"/>
      <c r="N259" s="111"/>
      <c r="O259" s="111"/>
      <c r="P259" s="111"/>
      <c r="Q259" s="111"/>
      <c r="AB259" s="27"/>
    </row>
    <row r="260" spans="1:28" ht="15.75" customHeight="1" x14ac:dyDescent="0.35">
      <c r="A260" s="224"/>
      <c r="B260" s="27"/>
      <c r="C260" s="237"/>
      <c r="D260" s="127"/>
      <c r="E260" s="128"/>
      <c r="F260" s="111"/>
      <c r="G260" s="111"/>
      <c r="M260" s="111"/>
      <c r="N260" s="111"/>
      <c r="O260" s="111"/>
      <c r="P260" s="111"/>
      <c r="Q260" s="111"/>
      <c r="AB260" s="27"/>
    </row>
    <row r="261" spans="1:28" ht="15.75" customHeight="1" x14ac:dyDescent="0.35">
      <c r="A261" s="224"/>
      <c r="B261" s="27"/>
      <c r="C261" s="237"/>
      <c r="D261" s="127"/>
      <c r="E261" s="128"/>
      <c r="F261" s="111"/>
      <c r="G261" s="111"/>
      <c r="M261" s="111"/>
      <c r="N261" s="111"/>
      <c r="O261" s="111"/>
      <c r="P261" s="111"/>
      <c r="Q261" s="111"/>
      <c r="AB261" s="27"/>
    </row>
    <row r="262" spans="1:28" ht="15.75" customHeight="1" x14ac:dyDescent="0.35">
      <c r="A262" s="224"/>
      <c r="B262" s="27"/>
      <c r="C262" s="237"/>
      <c r="D262" s="127"/>
      <c r="E262" s="128"/>
      <c r="F262" s="111"/>
      <c r="G262" s="111"/>
      <c r="M262" s="111"/>
      <c r="N262" s="111"/>
      <c r="O262" s="111"/>
      <c r="P262" s="111"/>
      <c r="Q262" s="111"/>
      <c r="AB262" s="27"/>
    </row>
    <row r="263" spans="1:28" ht="15.75" customHeight="1" x14ac:dyDescent="0.35">
      <c r="A263" s="224"/>
      <c r="B263" s="27"/>
      <c r="C263" s="237"/>
      <c r="D263" s="127"/>
      <c r="E263" s="128"/>
      <c r="F263" s="111"/>
      <c r="G263" s="111"/>
      <c r="M263" s="111"/>
      <c r="N263" s="111"/>
      <c r="O263" s="111"/>
      <c r="P263" s="111"/>
      <c r="Q263" s="111"/>
      <c r="AB263" s="27"/>
    </row>
    <row r="264" spans="1:28" ht="15.75" customHeight="1" x14ac:dyDescent="0.35">
      <c r="A264" s="224"/>
      <c r="B264" s="27"/>
      <c r="C264" s="237"/>
      <c r="D264" s="127"/>
      <c r="E264" s="128"/>
      <c r="F264" s="111"/>
      <c r="G264" s="111"/>
      <c r="M264" s="111"/>
      <c r="N264" s="111"/>
      <c r="O264" s="111"/>
      <c r="P264" s="111"/>
      <c r="Q264" s="111"/>
      <c r="AB264" s="27"/>
    </row>
    <row r="265" spans="1:28" ht="15.75" customHeight="1" x14ac:dyDescent="0.35">
      <c r="A265" s="224"/>
      <c r="B265" s="27"/>
      <c r="C265" s="237"/>
      <c r="D265" s="127"/>
      <c r="E265" s="128"/>
      <c r="F265" s="111"/>
      <c r="G265" s="111"/>
      <c r="M265" s="111"/>
      <c r="N265" s="111"/>
      <c r="O265" s="111"/>
      <c r="P265" s="111"/>
      <c r="Q265" s="111"/>
      <c r="AB265" s="27"/>
    </row>
    <row r="266" spans="1:28" ht="15.75" customHeight="1" x14ac:dyDescent="0.35">
      <c r="A266" s="224"/>
      <c r="B266" s="27"/>
      <c r="C266" s="237"/>
      <c r="D266" s="127"/>
      <c r="E266" s="128"/>
      <c r="F266" s="111"/>
      <c r="G266" s="111"/>
      <c r="M266" s="111"/>
      <c r="N266" s="111"/>
      <c r="O266" s="111"/>
      <c r="P266" s="111"/>
      <c r="Q266" s="111"/>
      <c r="AB266" s="27"/>
    </row>
    <row r="267" spans="1:28" ht="15.75" customHeight="1" x14ac:dyDescent="0.35">
      <c r="A267" s="224"/>
      <c r="B267" s="27"/>
      <c r="C267" s="237"/>
      <c r="D267" s="127"/>
      <c r="E267" s="128"/>
      <c r="F267" s="111"/>
      <c r="G267" s="111"/>
      <c r="M267" s="111"/>
      <c r="N267" s="111"/>
      <c r="O267" s="111"/>
      <c r="P267" s="111"/>
      <c r="Q267" s="111"/>
      <c r="AB267" s="27"/>
    </row>
    <row r="268" spans="1:28" ht="15.75" customHeight="1" x14ac:dyDescent="0.35">
      <c r="A268" s="224"/>
      <c r="B268" s="27"/>
      <c r="C268" s="237"/>
      <c r="D268" s="127"/>
      <c r="E268" s="128"/>
      <c r="F268" s="111"/>
      <c r="G268" s="111"/>
      <c r="M268" s="111"/>
      <c r="N268" s="111"/>
      <c r="O268" s="111"/>
      <c r="P268" s="111"/>
      <c r="Q268" s="111"/>
      <c r="AB268" s="27"/>
    </row>
    <row r="269" spans="1:28" ht="15.75" customHeight="1" x14ac:dyDescent="0.35">
      <c r="A269" s="224"/>
      <c r="B269" s="27"/>
      <c r="C269" s="237"/>
      <c r="D269" s="127"/>
      <c r="E269" s="128"/>
      <c r="F269" s="111"/>
      <c r="G269" s="111"/>
      <c r="M269" s="111"/>
      <c r="N269" s="111"/>
      <c r="O269" s="111"/>
      <c r="P269" s="111"/>
      <c r="Q269" s="111"/>
      <c r="AB269" s="27"/>
    </row>
    <row r="270" spans="1:28" ht="15.75" customHeight="1" x14ac:dyDescent="0.35">
      <c r="A270" s="224"/>
      <c r="B270" s="27"/>
      <c r="C270" s="237"/>
      <c r="D270" s="127"/>
      <c r="E270" s="128"/>
      <c r="F270" s="111"/>
      <c r="G270" s="111"/>
      <c r="M270" s="111"/>
      <c r="N270" s="111"/>
      <c r="O270" s="111"/>
      <c r="P270" s="111"/>
      <c r="Q270" s="111"/>
      <c r="AB270" s="27"/>
    </row>
    <row r="271" spans="1:28" ht="15.75" customHeight="1" x14ac:dyDescent="0.35">
      <c r="A271" s="224"/>
      <c r="B271" s="27"/>
      <c r="C271" s="237"/>
      <c r="D271" s="127"/>
      <c r="E271" s="128"/>
      <c r="F271" s="111"/>
      <c r="G271" s="111"/>
      <c r="M271" s="111"/>
      <c r="N271" s="111"/>
      <c r="O271" s="111"/>
      <c r="P271" s="111"/>
      <c r="Q271" s="111"/>
      <c r="AB271" s="27"/>
    </row>
    <row r="272" spans="1:28" ht="15.75" customHeight="1" x14ac:dyDescent="0.35">
      <c r="A272" s="224"/>
      <c r="B272" s="27"/>
      <c r="C272" s="237"/>
      <c r="D272" s="127"/>
      <c r="E272" s="128"/>
      <c r="F272" s="111"/>
      <c r="G272" s="111"/>
      <c r="M272" s="111"/>
      <c r="N272" s="111"/>
      <c r="O272" s="111"/>
      <c r="P272" s="111"/>
      <c r="Q272" s="111"/>
      <c r="AB272" s="27"/>
    </row>
    <row r="273" spans="1:28" ht="15.75" customHeight="1" x14ac:dyDescent="0.35">
      <c r="A273" s="224"/>
      <c r="B273" s="27"/>
      <c r="C273" s="237"/>
      <c r="D273" s="127"/>
      <c r="E273" s="128"/>
      <c r="F273" s="111"/>
      <c r="G273" s="111"/>
      <c r="M273" s="111"/>
      <c r="N273" s="111"/>
      <c r="O273" s="111"/>
      <c r="P273" s="111"/>
      <c r="Q273" s="111"/>
      <c r="AB273" s="27"/>
    </row>
    <row r="274" spans="1:28" ht="15.75" customHeight="1" x14ac:dyDescent="0.35">
      <c r="A274" s="224"/>
      <c r="B274" s="27"/>
      <c r="C274" s="237"/>
      <c r="D274" s="127"/>
      <c r="E274" s="128"/>
      <c r="F274" s="111"/>
      <c r="G274" s="111"/>
      <c r="M274" s="111"/>
      <c r="N274" s="111"/>
      <c r="O274" s="111"/>
      <c r="P274" s="111"/>
      <c r="Q274" s="111"/>
      <c r="AB274" s="27"/>
    </row>
    <row r="275" spans="1:28" ht="15.75" customHeight="1" x14ac:dyDescent="0.35">
      <c r="A275" s="224"/>
      <c r="B275" s="27"/>
      <c r="C275" s="237"/>
      <c r="D275" s="127"/>
      <c r="E275" s="128"/>
      <c r="F275" s="111"/>
      <c r="G275" s="111"/>
      <c r="M275" s="111"/>
      <c r="N275" s="111"/>
      <c r="O275" s="111"/>
      <c r="P275" s="111"/>
      <c r="Q275" s="111"/>
      <c r="AB275" s="27"/>
    </row>
    <row r="276" spans="1:28" ht="15.75" customHeight="1" x14ac:dyDescent="0.35">
      <c r="A276" s="224"/>
      <c r="B276" s="27"/>
      <c r="C276" s="237"/>
      <c r="D276" s="127"/>
      <c r="E276" s="128"/>
      <c r="F276" s="111"/>
      <c r="G276" s="111"/>
      <c r="M276" s="111"/>
      <c r="N276" s="111"/>
      <c r="O276" s="111"/>
      <c r="P276" s="111"/>
      <c r="Q276" s="111"/>
      <c r="AB276" s="27"/>
    </row>
    <row r="277" spans="1:28" ht="15.75" customHeight="1" x14ac:dyDescent="0.35">
      <c r="A277" s="224"/>
      <c r="B277" s="27"/>
      <c r="C277" s="237"/>
      <c r="D277" s="127"/>
      <c r="E277" s="128"/>
      <c r="F277" s="111"/>
      <c r="G277" s="111"/>
      <c r="M277" s="111"/>
      <c r="N277" s="111"/>
      <c r="O277" s="111"/>
      <c r="P277" s="111"/>
      <c r="Q277" s="111"/>
      <c r="AB277" s="27"/>
    </row>
    <row r="278" spans="1:28" ht="15.75" customHeight="1" x14ac:dyDescent="0.35">
      <c r="A278" s="224"/>
      <c r="B278" s="27"/>
      <c r="C278" s="237"/>
      <c r="D278" s="127"/>
      <c r="E278" s="128"/>
      <c r="F278" s="111"/>
      <c r="G278" s="111"/>
      <c r="M278" s="111"/>
      <c r="N278" s="111"/>
      <c r="O278" s="111"/>
      <c r="P278" s="111"/>
      <c r="Q278" s="111"/>
      <c r="AB278" s="27"/>
    </row>
    <row r="279" spans="1:28" ht="15.75" customHeight="1" x14ac:dyDescent="0.35">
      <c r="A279" s="224"/>
      <c r="B279" s="27"/>
      <c r="C279" s="237"/>
      <c r="D279" s="127"/>
      <c r="E279" s="128"/>
      <c r="F279" s="111"/>
      <c r="G279" s="111"/>
      <c r="M279" s="111"/>
      <c r="N279" s="111"/>
      <c r="O279" s="111"/>
      <c r="P279" s="111"/>
      <c r="Q279" s="111"/>
      <c r="AB279" s="27"/>
    </row>
    <row r="280" spans="1:28" ht="15.75" customHeight="1" x14ac:dyDescent="0.35">
      <c r="A280" s="224"/>
      <c r="B280" s="27"/>
      <c r="C280" s="237"/>
      <c r="D280" s="127"/>
      <c r="E280" s="128"/>
      <c r="F280" s="111"/>
      <c r="G280" s="111"/>
      <c r="M280" s="111"/>
      <c r="N280" s="111"/>
      <c r="O280" s="111"/>
      <c r="P280" s="111"/>
      <c r="Q280" s="111"/>
      <c r="AB280" s="27"/>
    </row>
    <row r="281" spans="1:28" ht="15.75" customHeight="1" x14ac:dyDescent="0.35">
      <c r="A281" s="224"/>
      <c r="B281" s="27"/>
      <c r="C281" s="237"/>
      <c r="D281" s="127"/>
      <c r="E281" s="128"/>
      <c r="F281" s="111"/>
      <c r="G281" s="111"/>
      <c r="M281" s="111"/>
      <c r="N281" s="111"/>
      <c r="O281" s="111"/>
      <c r="P281" s="111"/>
      <c r="Q281" s="111"/>
      <c r="AB281" s="27"/>
    </row>
    <row r="282" spans="1:28" ht="15.75" customHeight="1" x14ac:dyDescent="0.35">
      <c r="A282" s="224"/>
      <c r="B282" s="27"/>
      <c r="C282" s="237"/>
      <c r="D282" s="127"/>
      <c r="E282" s="128"/>
      <c r="F282" s="111"/>
      <c r="G282" s="111"/>
      <c r="M282" s="111"/>
      <c r="N282" s="111"/>
      <c r="O282" s="111"/>
      <c r="P282" s="111"/>
      <c r="Q282" s="111"/>
      <c r="AB282" s="27"/>
    </row>
    <row r="283" spans="1:28" ht="15.75" customHeight="1" x14ac:dyDescent="0.35">
      <c r="A283" s="224"/>
      <c r="B283" s="27"/>
      <c r="C283" s="237"/>
      <c r="D283" s="127"/>
      <c r="E283" s="128"/>
      <c r="F283" s="111"/>
      <c r="G283" s="111"/>
      <c r="M283" s="111"/>
      <c r="N283" s="111"/>
      <c r="O283" s="111"/>
      <c r="P283" s="111"/>
      <c r="Q283" s="111"/>
      <c r="AB283" s="27"/>
    </row>
    <row r="284" spans="1:28" ht="15.75" customHeight="1" x14ac:dyDescent="0.35">
      <c r="A284" s="224"/>
      <c r="B284" s="27"/>
      <c r="C284" s="237"/>
      <c r="D284" s="127"/>
      <c r="E284" s="128"/>
      <c r="F284" s="111"/>
      <c r="G284" s="111"/>
      <c r="M284" s="111"/>
      <c r="N284" s="111"/>
      <c r="O284" s="111"/>
      <c r="P284" s="111"/>
      <c r="Q284" s="111"/>
      <c r="AB284" s="27"/>
    </row>
    <row r="285" spans="1:28" ht="15.75" customHeight="1" x14ac:dyDescent="0.35">
      <c r="A285" s="224"/>
      <c r="B285" s="27"/>
      <c r="C285" s="237"/>
      <c r="D285" s="127"/>
      <c r="E285" s="128"/>
      <c r="F285" s="111"/>
      <c r="G285" s="111"/>
      <c r="M285" s="111"/>
      <c r="N285" s="111"/>
      <c r="O285" s="111"/>
      <c r="P285" s="111"/>
      <c r="Q285" s="111"/>
      <c r="AB285" s="27"/>
    </row>
    <row r="286" spans="1:28" ht="15.75" customHeight="1" x14ac:dyDescent="0.35">
      <c r="A286" s="224"/>
      <c r="B286" s="27"/>
      <c r="C286" s="237"/>
      <c r="D286" s="127"/>
      <c r="E286" s="128"/>
      <c r="F286" s="111"/>
      <c r="G286" s="111"/>
      <c r="M286" s="111"/>
      <c r="N286" s="111"/>
      <c r="O286" s="111"/>
      <c r="P286" s="111"/>
      <c r="Q286" s="111"/>
      <c r="AB286" s="27"/>
    </row>
    <row r="287" spans="1:28" ht="15.75" customHeight="1" x14ac:dyDescent="0.35">
      <c r="A287" s="224"/>
      <c r="B287" s="27"/>
      <c r="C287" s="237"/>
      <c r="D287" s="127"/>
      <c r="E287" s="128"/>
      <c r="F287" s="111"/>
      <c r="G287" s="111"/>
      <c r="M287" s="111"/>
      <c r="N287" s="111"/>
      <c r="O287" s="111"/>
      <c r="P287" s="111"/>
      <c r="Q287" s="111"/>
      <c r="AB287" s="27"/>
    </row>
    <row r="288" spans="1:28" ht="15.75" customHeight="1" x14ac:dyDescent="0.35">
      <c r="A288" s="224"/>
      <c r="B288" s="27"/>
      <c r="C288" s="237"/>
      <c r="D288" s="127"/>
      <c r="E288" s="128"/>
      <c r="F288" s="111"/>
      <c r="G288" s="111"/>
      <c r="M288" s="111"/>
      <c r="N288" s="111"/>
      <c r="O288" s="111"/>
      <c r="P288" s="111"/>
      <c r="Q288" s="111"/>
      <c r="AB288" s="27"/>
    </row>
    <row r="289" spans="1:28" ht="15.75" customHeight="1" x14ac:dyDescent="0.35">
      <c r="A289" s="224"/>
      <c r="B289" s="27"/>
      <c r="C289" s="237"/>
      <c r="D289" s="127"/>
      <c r="E289" s="128"/>
      <c r="F289" s="111"/>
      <c r="G289" s="111"/>
      <c r="M289" s="111"/>
      <c r="N289" s="111"/>
      <c r="O289" s="111"/>
      <c r="P289" s="111"/>
      <c r="Q289" s="111"/>
      <c r="AB289" s="27"/>
    </row>
    <row r="290" spans="1:28" ht="15.75" customHeight="1" x14ac:dyDescent="0.35">
      <c r="A290" s="224"/>
      <c r="B290" s="27"/>
      <c r="C290" s="237"/>
      <c r="D290" s="127"/>
      <c r="E290" s="128"/>
      <c r="F290" s="111"/>
      <c r="G290" s="111"/>
      <c r="M290" s="111"/>
      <c r="N290" s="111"/>
      <c r="O290" s="111"/>
      <c r="P290" s="111"/>
      <c r="Q290" s="111"/>
      <c r="AB290" s="27"/>
    </row>
    <row r="291" spans="1:28" ht="15.75" customHeight="1" x14ac:dyDescent="0.35">
      <c r="A291" s="224"/>
      <c r="B291" s="27"/>
      <c r="C291" s="237"/>
      <c r="D291" s="127"/>
      <c r="E291" s="128"/>
      <c r="F291" s="111"/>
      <c r="G291" s="111"/>
      <c r="M291" s="111"/>
      <c r="N291" s="111"/>
      <c r="O291" s="111"/>
      <c r="P291" s="111"/>
      <c r="Q291" s="111"/>
      <c r="AB291" s="27"/>
    </row>
    <row r="292" spans="1:28" ht="15.75" customHeight="1" x14ac:dyDescent="0.35">
      <c r="A292" s="224"/>
      <c r="B292" s="27"/>
      <c r="C292" s="237"/>
      <c r="D292" s="127"/>
      <c r="E292" s="128"/>
      <c r="F292" s="111"/>
      <c r="G292" s="111"/>
      <c r="M292" s="111"/>
      <c r="N292" s="111"/>
      <c r="O292" s="111"/>
      <c r="P292" s="111"/>
      <c r="Q292" s="111"/>
      <c r="AB292" s="27"/>
    </row>
    <row r="293" spans="1:28" ht="15.75" customHeight="1" x14ac:dyDescent="0.35">
      <c r="A293" s="224"/>
      <c r="B293" s="27"/>
      <c r="C293" s="237"/>
      <c r="D293" s="127"/>
      <c r="E293" s="128"/>
      <c r="F293" s="111"/>
      <c r="G293" s="111"/>
      <c r="M293" s="111"/>
      <c r="N293" s="111"/>
      <c r="O293" s="111"/>
      <c r="P293" s="111"/>
      <c r="Q293" s="111"/>
      <c r="AB293" s="27"/>
    </row>
    <row r="294" spans="1:28" ht="15.75" customHeight="1" x14ac:dyDescent="0.35">
      <c r="A294" s="224"/>
      <c r="B294" s="27"/>
      <c r="C294" s="237"/>
      <c r="D294" s="127"/>
      <c r="E294" s="128"/>
      <c r="F294" s="111"/>
      <c r="G294" s="111"/>
      <c r="M294" s="111"/>
      <c r="N294" s="111"/>
      <c r="O294" s="111"/>
      <c r="P294" s="111"/>
      <c r="Q294" s="111"/>
      <c r="AB294" s="27"/>
    </row>
    <row r="295" spans="1:28" ht="15.75" customHeight="1" x14ac:dyDescent="0.35">
      <c r="A295" s="224"/>
      <c r="B295" s="27"/>
      <c r="C295" s="237"/>
      <c r="D295" s="127"/>
      <c r="E295" s="128"/>
      <c r="F295" s="111"/>
      <c r="G295" s="111"/>
      <c r="M295" s="111"/>
      <c r="N295" s="111"/>
      <c r="O295" s="111"/>
      <c r="P295" s="111"/>
      <c r="Q295" s="111"/>
      <c r="AB295" s="27"/>
    </row>
    <row r="296" spans="1:28" ht="15.75" customHeight="1" x14ac:dyDescent="0.35">
      <c r="A296" s="224"/>
      <c r="B296" s="27"/>
      <c r="C296" s="237"/>
      <c r="D296" s="127"/>
      <c r="E296" s="128"/>
      <c r="F296" s="111"/>
      <c r="G296" s="111"/>
      <c r="M296" s="111"/>
      <c r="N296" s="111"/>
      <c r="O296" s="111"/>
      <c r="P296" s="111"/>
      <c r="Q296" s="111"/>
      <c r="AB296" s="27"/>
    </row>
    <row r="297" spans="1:28" ht="15.75" customHeight="1" x14ac:dyDescent="0.35">
      <c r="A297" s="224"/>
      <c r="B297" s="27"/>
      <c r="C297" s="237"/>
      <c r="D297" s="127"/>
      <c r="E297" s="128"/>
      <c r="F297" s="111"/>
      <c r="G297" s="111"/>
      <c r="M297" s="111"/>
      <c r="N297" s="111"/>
      <c r="O297" s="111"/>
      <c r="P297" s="111"/>
      <c r="Q297" s="111"/>
      <c r="AB297" s="27"/>
    </row>
    <row r="298" spans="1:28" ht="15.75" customHeight="1" x14ac:dyDescent="0.35">
      <c r="A298" s="224"/>
      <c r="B298" s="27"/>
      <c r="C298" s="237"/>
      <c r="D298" s="127"/>
      <c r="E298" s="128"/>
      <c r="F298" s="111"/>
      <c r="G298" s="111"/>
      <c r="M298" s="111"/>
      <c r="N298" s="111"/>
      <c r="O298" s="111"/>
      <c r="P298" s="111"/>
      <c r="Q298" s="111"/>
      <c r="AB298" s="27"/>
    </row>
    <row r="299" spans="1:28" ht="15.75" customHeight="1" x14ac:dyDescent="0.35">
      <c r="A299" s="224"/>
      <c r="B299" s="27"/>
      <c r="C299" s="237"/>
      <c r="D299" s="127"/>
      <c r="E299" s="128"/>
      <c r="F299" s="111"/>
      <c r="G299" s="111"/>
      <c r="M299" s="111"/>
      <c r="N299" s="111"/>
      <c r="O299" s="111"/>
      <c r="P299" s="111"/>
      <c r="Q299" s="111"/>
      <c r="AB299" s="27"/>
    </row>
    <row r="300" spans="1:28" ht="15.75" customHeight="1" x14ac:dyDescent="0.35">
      <c r="A300" s="224"/>
      <c r="B300" s="27"/>
      <c r="C300" s="237"/>
      <c r="D300" s="127"/>
      <c r="E300" s="128"/>
      <c r="F300" s="111"/>
      <c r="G300" s="111"/>
      <c r="M300" s="111"/>
      <c r="N300" s="111"/>
      <c r="O300" s="111"/>
      <c r="P300" s="111"/>
      <c r="Q300" s="111"/>
      <c r="AB300" s="27"/>
    </row>
    <row r="301" spans="1:28" ht="15.75" customHeight="1" x14ac:dyDescent="0.35">
      <c r="A301" s="224"/>
      <c r="B301" s="27"/>
      <c r="C301" s="237"/>
      <c r="D301" s="127"/>
      <c r="E301" s="128"/>
      <c r="F301" s="111"/>
      <c r="G301" s="111"/>
      <c r="M301" s="111"/>
      <c r="N301" s="111"/>
      <c r="O301" s="111"/>
      <c r="P301" s="111"/>
      <c r="Q301" s="111"/>
      <c r="AB301" s="27"/>
    </row>
    <row r="302" spans="1:28" ht="15.75" customHeight="1" x14ac:dyDescent="0.35">
      <c r="A302" s="224"/>
      <c r="B302" s="27"/>
      <c r="C302" s="237"/>
      <c r="D302" s="127"/>
      <c r="E302" s="128"/>
      <c r="F302" s="111"/>
      <c r="G302" s="111"/>
      <c r="M302" s="111"/>
      <c r="N302" s="111"/>
      <c r="O302" s="111"/>
      <c r="P302" s="111"/>
      <c r="Q302" s="111"/>
      <c r="AB302" s="27"/>
    </row>
    <row r="303" spans="1:28" ht="15.75" customHeight="1" x14ac:dyDescent="0.35">
      <c r="A303" s="224"/>
      <c r="B303" s="27"/>
      <c r="C303" s="237"/>
      <c r="D303" s="127"/>
      <c r="E303" s="128"/>
      <c r="F303" s="111"/>
      <c r="G303" s="111"/>
      <c r="M303" s="111"/>
      <c r="N303" s="111"/>
      <c r="O303" s="111"/>
      <c r="P303" s="111"/>
      <c r="Q303" s="111"/>
      <c r="AB303" s="27"/>
    </row>
    <row r="304" spans="1:28" ht="15.75" customHeight="1" x14ac:dyDescent="0.35">
      <c r="A304" s="224"/>
      <c r="B304" s="27"/>
      <c r="C304" s="237"/>
      <c r="D304" s="127"/>
      <c r="E304" s="128"/>
      <c r="F304" s="111"/>
      <c r="G304" s="111"/>
      <c r="M304" s="111"/>
      <c r="N304" s="111"/>
      <c r="O304" s="111"/>
      <c r="P304" s="111"/>
      <c r="Q304" s="111"/>
      <c r="AB304" s="27"/>
    </row>
    <row r="305" spans="1:28" ht="15.75" customHeight="1" x14ac:dyDescent="0.35">
      <c r="A305" s="224"/>
      <c r="B305" s="27"/>
      <c r="C305" s="237"/>
      <c r="D305" s="127"/>
      <c r="E305" s="128"/>
      <c r="F305" s="111"/>
      <c r="G305" s="111"/>
      <c r="M305" s="111"/>
      <c r="N305" s="111"/>
      <c r="O305" s="111"/>
      <c r="P305" s="111"/>
      <c r="Q305" s="111"/>
      <c r="AB305" s="27"/>
    </row>
    <row r="306" spans="1:28" ht="15.75" customHeight="1" x14ac:dyDescent="0.35">
      <c r="A306" s="224"/>
      <c r="B306" s="27"/>
      <c r="C306" s="237"/>
      <c r="D306" s="127"/>
      <c r="E306" s="128"/>
      <c r="F306" s="111"/>
      <c r="G306" s="111"/>
      <c r="M306" s="111"/>
      <c r="N306" s="111"/>
      <c r="O306" s="111"/>
      <c r="P306" s="111"/>
      <c r="Q306" s="111"/>
      <c r="AB306" s="27"/>
    </row>
    <row r="307" spans="1:28" ht="15.75" customHeight="1" x14ac:dyDescent="0.35">
      <c r="A307" s="224"/>
      <c r="B307" s="27"/>
      <c r="C307" s="237"/>
      <c r="D307" s="127"/>
      <c r="E307" s="128"/>
      <c r="F307" s="111"/>
      <c r="G307" s="111"/>
      <c r="M307" s="111"/>
      <c r="N307" s="111"/>
      <c r="O307" s="111"/>
      <c r="P307" s="111"/>
      <c r="Q307" s="111"/>
      <c r="AB307" s="27"/>
    </row>
    <row r="308" spans="1:28" ht="15.75" customHeight="1" x14ac:dyDescent="0.35">
      <c r="A308" s="224"/>
      <c r="B308" s="27"/>
      <c r="C308" s="237"/>
      <c r="D308" s="127"/>
      <c r="E308" s="128"/>
      <c r="F308" s="111"/>
      <c r="G308" s="111"/>
      <c r="M308" s="111"/>
      <c r="N308" s="111"/>
      <c r="O308" s="111"/>
      <c r="P308" s="111"/>
      <c r="Q308" s="111"/>
      <c r="AB308" s="27"/>
    </row>
    <row r="309" spans="1:28" ht="15.75" customHeight="1" x14ac:dyDescent="0.35">
      <c r="A309" s="224"/>
      <c r="B309" s="27"/>
      <c r="C309" s="237"/>
      <c r="D309" s="127"/>
      <c r="E309" s="128"/>
      <c r="F309" s="111"/>
      <c r="G309" s="111"/>
      <c r="M309" s="111"/>
      <c r="N309" s="111"/>
      <c r="O309" s="111"/>
      <c r="P309" s="111"/>
      <c r="Q309" s="111"/>
      <c r="AB309" s="27"/>
    </row>
    <row r="310" spans="1:28" ht="15.75" customHeight="1" x14ac:dyDescent="0.35">
      <c r="A310" s="224"/>
      <c r="B310" s="27"/>
      <c r="C310" s="237"/>
      <c r="D310" s="127"/>
      <c r="E310" s="128"/>
      <c r="F310" s="111"/>
      <c r="G310" s="111"/>
      <c r="M310" s="111"/>
      <c r="N310" s="111"/>
      <c r="O310" s="111"/>
      <c r="P310" s="111"/>
      <c r="Q310" s="111"/>
      <c r="AB310" s="27"/>
    </row>
    <row r="311" spans="1:28" ht="15.75" customHeight="1" x14ac:dyDescent="0.35">
      <c r="A311" s="224"/>
      <c r="B311" s="27"/>
      <c r="C311" s="237"/>
      <c r="D311" s="127"/>
      <c r="E311" s="128"/>
      <c r="F311" s="111"/>
      <c r="G311" s="111"/>
      <c r="M311" s="111"/>
      <c r="N311" s="111"/>
      <c r="O311" s="111"/>
      <c r="P311" s="111"/>
      <c r="Q311" s="111"/>
      <c r="AB311" s="27"/>
    </row>
    <row r="312" spans="1:28" ht="15.75" customHeight="1" x14ac:dyDescent="0.35">
      <c r="A312" s="224"/>
      <c r="B312" s="27"/>
      <c r="C312" s="237"/>
      <c r="D312" s="127"/>
      <c r="E312" s="128"/>
      <c r="F312" s="111"/>
      <c r="G312" s="111"/>
      <c r="M312" s="111"/>
      <c r="N312" s="111"/>
      <c r="O312" s="111"/>
      <c r="P312" s="111"/>
      <c r="Q312" s="111"/>
      <c r="AB312" s="27"/>
    </row>
    <row r="313" spans="1:28" ht="15.75" customHeight="1" x14ac:dyDescent="0.35">
      <c r="A313" s="224"/>
      <c r="B313" s="27"/>
      <c r="C313" s="237"/>
      <c r="D313" s="127"/>
      <c r="E313" s="128"/>
      <c r="F313" s="111"/>
      <c r="G313" s="111"/>
      <c r="M313" s="111"/>
      <c r="N313" s="111"/>
      <c r="O313" s="111"/>
      <c r="P313" s="111"/>
      <c r="Q313" s="111"/>
      <c r="AB313" s="27"/>
    </row>
    <row r="314" spans="1:28" ht="15.75" customHeight="1" x14ac:dyDescent="0.35">
      <c r="A314" s="224"/>
      <c r="B314" s="27"/>
      <c r="C314" s="237"/>
      <c r="D314" s="127"/>
      <c r="E314" s="128"/>
      <c r="F314" s="111"/>
      <c r="G314" s="111"/>
      <c r="M314" s="111"/>
      <c r="N314" s="111"/>
      <c r="O314" s="111"/>
      <c r="P314" s="111"/>
      <c r="Q314" s="111"/>
      <c r="AB314" s="27"/>
    </row>
    <row r="315" spans="1:28" ht="15.75" customHeight="1" x14ac:dyDescent="0.35">
      <c r="A315" s="224"/>
      <c r="B315" s="27"/>
      <c r="C315" s="237"/>
      <c r="D315" s="127"/>
      <c r="E315" s="128"/>
      <c r="F315" s="111"/>
      <c r="G315" s="111"/>
      <c r="M315" s="111"/>
      <c r="N315" s="111"/>
      <c r="O315" s="111"/>
      <c r="P315" s="111"/>
      <c r="Q315" s="111"/>
      <c r="AB315" s="27"/>
    </row>
    <row r="316" spans="1:28" ht="15.75" customHeight="1" x14ac:dyDescent="0.35">
      <c r="A316" s="224"/>
      <c r="B316" s="27"/>
      <c r="C316" s="237"/>
      <c r="D316" s="127"/>
      <c r="E316" s="128"/>
      <c r="F316" s="111"/>
      <c r="G316" s="111"/>
      <c r="M316" s="111"/>
      <c r="N316" s="111"/>
      <c r="O316" s="111"/>
      <c r="P316" s="111"/>
      <c r="Q316" s="111"/>
      <c r="AB316" s="27"/>
    </row>
    <row r="317" spans="1:28" ht="15.75" customHeight="1" x14ac:dyDescent="0.35">
      <c r="A317" s="224"/>
      <c r="B317" s="27"/>
      <c r="C317" s="237"/>
      <c r="D317" s="127"/>
      <c r="E317" s="128"/>
      <c r="F317" s="111"/>
      <c r="G317" s="111"/>
      <c r="M317" s="111"/>
      <c r="N317" s="111"/>
      <c r="O317" s="111"/>
      <c r="P317" s="111"/>
      <c r="Q317" s="111"/>
      <c r="AB317" s="27"/>
    </row>
    <row r="318" spans="1:28" ht="15.75" customHeight="1" x14ac:dyDescent="0.35">
      <c r="A318" s="224"/>
      <c r="B318" s="27"/>
      <c r="C318" s="237"/>
      <c r="D318" s="127"/>
      <c r="E318" s="128"/>
      <c r="F318" s="111"/>
      <c r="G318" s="111"/>
      <c r="M318" s="111"/>
      <c r="N318" s="111"/>
      <c r="O318" s="111"/>
      <c r="P318" s="111"/>
      <c r="Q318" s="111"/>
      <c r="AB318" s="27"/>
    </row>
    <row r="319" spans="1:28" ht="15.75" customHeight="1" x14ac:dyDescent="0.35">
      <c r="A319" s="224"/>
      <c r="B319" s="27"/>
      <c r="C319" s="237"/>
      <c r="D319" s="127"/>
      <c r="E319" s="128"/>
      <c r="F319" s="111"/>
      <c r="G319" s="111"/>
      <c r="M319" s="111"/>
      <c r="N319" s="111"/>
      <c r="O319" s="111"/>
      <c r="P319" s="111"/>
      <c r="Q319" s="111"/>
      <c r="AB319" s="27"/>
    </row>
    <row r="320" spans="1:28" ht="15.75" customHeight="1" x14ac:dyDescent="0.35">
      <c r="A320" s="224"/>
      <c r="B320" s="27"/>
      <c r="C320" s="237"/>
      <c r="D320" s="127"/>
      <c r="E320" s="128"/>
      <c r="F320" s="111"/>
      <c r="G320" s="111"/>
      <c r="M320" s="111"/>
      <c r="N320" s="111"/>
      <c r="O320" s="111"/>
      <c r="P320" s="111"/>
      <c r="Q320" s="111"/>
      <c r="AB320" s="27"/>
    </row>
    <row r="321" spans="1:28" ht="15.75" customHeight="1" x14ac:dyDescent="0.35">
      <c r="A321" s="224"/>
      <c r="B321" s="27"/>
      <c r="C321" s="237"/>
      <c r="D321" s="127"/>
      <c r="E321" s="128"/>
      <c r="F321" s="111"/>
      <c r="G321" s="111"/>
      <c r="M321" s="111"/>
      <c r="N321" s="111"/>
      <c r="O321" s="111"/>
      <c r="P321" s="111"/>
      <c r="Q321" s="111"/>
      <c r="AB321" s="27"/>
    </row>
    <row r="322" spans="1:28" ht="15.75" customHeight="1" x14ac:dyDescent="0.35">
      <c r="A322" s="224"/>
      <c r="B322" s="27"/>
      <c r="C322" s="237"/>
      <c r="D322" s="127"/>
      <c r="E322" s="128"/>
      <c r="F322" s="111"/>
      <c r="G322" s="111"/>
      <c r="M322" s="111"/>
      <c r="N322" s="111"/>
      <c r="O322" s="111"/>
      <c r="P322" s="111"/>
      <c r="Q322" s="111"/>
      <c r="AB322" s="27"/>
    </row>
    <row r="323" spans="1:28" ht="15.75" customHeight="1" x14ac:dyDescent="0.35">
      <c r="A323" s="224"/>
      <c r="B323" s="27"/>
      <c r="C323" s="237"/>
      <c r="D323" s="127"/>
      <c r="E323" s="128"/>
      <c r="F323" s="111"/>
      <c r="G323" s="111"/>
      <c r="M323" s="111"/>
      <c r="N323" s="111"/>
      <c r="O323" s="111"/>
      <c r="P323" s="111"/>
      <c r="Q323" s="111"/>
      <c r="AB323" s="27"/>
    </row>
    <row r="324" spans="1:28" ht="15.75" customHeight="1" x14ac:dyDescent="0.35">
      <c r="A324" s="224"/>
      <c r="B324" s="27"/>
      <c r="C324" s="237"/>
      <c r="D324" s="127"/>
      <c r="E324" s="128"/>
      <c r="F324" s="111"/>
      <c r="G324" s="111"/>
      <c r="M324" s="111"/>
      <c r="N324" s="111"/>
      <c r="O324" s="111"/>
      <c r="P324" s="111"/>
      <c r="Q324" s="111"/>
      <c r="AB324" s="27"/>
    </row>
    <row r="325" spans="1:28" ht="15.75" customHeight="1" x14ac:dyDescent="0.35">
      <c r="A325" s="224"/>
      <c r="B325" s="27"/>
      <c r="C325" s="237"/>
      <c r="D325" s="127"/>
      <c r="E325" s="128"/>
      <c r="F325" s="111"/>
      <c r="G325" s="111"/>
      <c r="M325" s="111"/>
      <c r="N325" s="111"/>
      <c r="O325" s="111"/>
      <c r="P325" s="111"/>
      <c r="Q325" s="111"/>
      <c r="AB325" s="27"/>
    </row>
    <row r="326" spans="1:28" ht="15.75" customHeight="1" x14ac:dyDescent="0.35">
      <c r="A326" s="224"/>
      <c r="B326" s="27"/>
      <c r="C326" s="237"/>
      <c r="D326" s="127"/>
      <c r="E326" s="128"/>
      <c r="F326" s="111"/>
      <c r="G326" s="111"/>
      <c r="M326" s="111"/>
      <c r="N326" s="111"/>
      <c r="O326" s="111"/>
      <c r="P326" s="111"/>
      <c r="Q326" s="111"/>
      <c r="AB326" s="27"/>
    </row>
    <row r="327" spans="1:28" ht="15.75" customHeight="1" x14ac:dyDescent="0.35">
      <c r="A327" s="224"/>
      <c r="B327" s="27"/>
      <c r="C327" s="237"/>
      <c r="D327" s="127"/>
      <c r="E327" s="128"/>
      <c r="F327" s="111"/>
      <c r="G327" s="111"/>
      <c r="M327" s="111"/>
      <c r="N327" s="111"/>
      <c r="O327" s="111"/>
      <c r="P327" s="111"/>
      <c r="Q327" s="111"/>
      <c r="AB327" s="27"/>
    </row>
    <row r="328" spans="1:28" ht="15.75" customHeight="1" x14ac:dyDescent="0.35">
      <c r="A328" s="224"/>
      <c r="B328" s="27"/>
      <c r="C328" s="237"/>
      <c r="D328" s="127"/>
      <c r="E328" s="128"/>
      <c r="F328" s="111"/>
      <c r="G328" s="111"/>
      <c r="M328" s="111"/>
      <c r="N328" s="111"/>
      <c r="O328" s="111"/>
      <c r="P328" s="111"/>
      <c r="Q328" s="111"/>
      <c r="AB328" s="27"/>
    </row>
    <row r="329" spans="1:28" ht="15.75" customHeight="1" x14ac:dyDescent="0.35">
      <c r="A329" s="224"/>
      <c r="B329" s="27"/>
      <c r="C329" s="237"/>
      <c r="D329" s="127"/>
      <c r="E329" s="128"/>
      <c r="F329" s="111"/>
      <c r="G329" s="111"/>
      <c r="M329" s="111"/>
      <c r="N329" s="111"/>
      <c r="O329" s="111"/>
      <c r="P329" s="111"/>
      <c r="Q329" s="111"/>
      <c r="AB329" s="27"/>
    </row>
    <row r="330" spans="1:28" ht="15.75" customHeight="1" x14ac:dyDescent="0.35">
      <c r="A330" s="224"/>
      <c r="B330" s="27"/>
      <c r="C330" s="237"/>
      <c r="D330" s="127"/>
      <c r="E330" s="128"/>
      <c r="F330" s="111"/>
      <c r="G330" s="111"/>
      <c r="M330" s="111"/>
      <c r="N330" s="111"/>
      <c r="O330" s="111"/>
      <c r="P330" s="111"/>
      <c r="Q330" s="111"/>
      <c r="AB330" s="27"/>
    </row>
    <row r="331" spans="1:28" ht="15.75" customHeight="1" x14ac:dyDescent="0.35">
      <c r="A331" s="224"/>
      <c r="B331" s="27"/>
      <c r="C331" s="237"/>
      <c r="D331" s="127"/>
      <c r="E331" s="128"/>
      <c r="F331" s="111"/>
      <c r="G331" s="111"/>
      <c r="M331" s="111"/>
      <c r="N331" s="111"/>
      <c r="O331" s="111"/>
      <c r="P331" s="111"/>
      <c r="Q331" s="111"/>
      <c r="AB331" s="27"/>
    </row>
    <row r="332" spans="1:28" ht="15.75" customHeight="1" x14ac:dyDescent="0.35">
      <c r="A332" s="224"/>
      <c r="B332" s="27"/>
      <c r="C332" s="237"/>
      <c r="D332" s="127"/>
      <c r="E332" s="128"/>
      <c r="F332" s="111"/>
      <c r="G332" s="111"/>
      <c r="M332" s="111"/>
      <c r="N332" s="111"/>
      <c r="O332" s="111"/>
      <c r="P332" s="111"/>
      <c r="Q332" s="111"/>
      <c r="AB332" s="27"/>
    </row>
    <row r="333" spans="1:28" ht="15.75" customHeight="1" x14ac:dyDescent="0.35">
      <c r="A333" s="224"/>
      <c r="B333" s="27"/>
      <c r="C333" s="237"/>
      <c r="D333" s="127"/>
      <c r="E333" s="128"/>
      <c r="F333" s="111"/>
      <c r="G333" s="111"/>
      <c r="M333" s="111"/>
      <c r="N333" s="111"/>
      <c r="O333" s="111"/>
      <c r="P333" s="111"/>
      <c r="Q333" s="111"/>
      <c r="AB333" s="27"/>
    </row>
    <row r="334" spans="1:28" ht="15.75" customHeight="1" x14ac:dyDescent="0.35">
      <c r="A334" s="224"/>
      <c r="B334" s="27"/>
      <c r="C334" s="237"/>
      <c r="D334" s="127"/>
      <c r="E334" s="128"/>
      <c r="F334" s="111"/>
      <c r="G334" s="111"/>
      <c r="M334" s="111"/>
      <c r="N334" s="111"/>
      <c r="O334" s="111"/>
      <c r="P334" s="111"/>
      <c r="Q334" s="111"/>
      <c r="AB334" s="27"/>
    </row>
    <row r="335" spans="1:28" ht="15.75" customHeight="1" x14ac:dyDescent="0.35">
      <c r="A335" s="224"/>
      <c r="B335" s="27"/>
      <c r="C335" s="237"/>
      <c r="D335" s="127"/>
      <c r="E335" s="128"/>
      <c r="F335" s="111"/>
      <c r="G335" s="111"/>
      <c r="M335" s="111"/>
      <c r="N335" s="111"/>
      <c r="O335" s="111"/>
      <c r="P335" s="111"/>
      <c r="Q335" s="111"/>
      <c r="AB335" s="27"/>
    </row>
    <row r="336" spans="1:28" ht="15.75" customHeight="1" x14ac:dyDescent="0.35">
      <c r="A336" s="224"/>
      <c r="B336" s="27"/>
      <c r="C336" s="237"/>
      <c r="D336" s="127"/>
      <c r="E336" s="128"/>
      <c r="F336" s="111"/>
      <c r="G336" s="111"/>
      <c r="M336" s="111"/>
      <c r="N336" s="111"/>
      <c r="O336" s="111"/>
      <c r="P336" s="111"/>
      <c r="Q336" s="111"/>
      <c r="AB336" s="27"/>
    </row>
    <row r="337" spans="1:28" ht="15.75" customHeight="1" x14ac:dyDescent="0.35">
      <c r="A337" s="224"/>
      <c r="B337" s="27"/>
      <c r="C337" s="237"/>
      <c r="D337" s="127"/>
      <c r="E337" s="128"/>
      <c r="F337" s="111"/>
      <c r="G337" s="111"/>
      <c r="M337" s="111"/>
      <c r="N337" s="111"/>
      <c r="O337" s="111"/>
      <c r="P337" s="111"/>
      <c r="Q337" s="111"/>
      <c r="AB337" s="27"/>
    </row>
    <row r="338" spans="1:28" ht="15.75" customHeight="1" x14ac:dyDescent="0.35">
      <c r="A338" s="224"/>
      <c r="B338" s="27"/>
      <c r="C338" s="237"/>
      <c r="D338" s="127"/>
      <c r="E338" s="128"/>
      <c r="F338" s="111"/>
      <c r="G338" s="111"/>
      <c r="M338" s="111"/>
      <c r="N338" s="111"/>
      <c r="O338" s="111"/>
      <c r="P338" s="111"/>
      <c r="Q338" s="111"/>
      <c r="AB338" s="27"/>
    </row>
    <row r="339" spans="1:28" ht="15.75" customHeight="1" x14ac:dyDescent="0.35">
      <c r="A339" s="224"/>
      <c r="B339" s="27"/>
      <c r="C339" s="237"/>
      <c r="D339" s="127"/>
      <c r="E339" s="128"/>
      <c r="F339" s="111"/>
      <c r="G339" s="111"/>
      <c r="M339" s="111"/>
      <c r="N339" s="111"/>
      <c r="O339" s="111"/>
      <c r="P339" s="111"/>
      <c r="Q339" s="111"/>
      <c r="AB339" s="27"/>
    </row>
    <row r="340" spans="1:28" ht="15.75" customHeight="1" x14ac:dyDescent="0.35">
      <c r="A340" s="224"/>
      <c r="B340" s="27"/>
      <c r="C340" s="237"/>
      <c r="D340" s="127"/>
      <c r="E340" s="128"/>
      <c r="F340" s="111"/>
      <c r="G340" s="111"/>
      <c r="M340" s="111"/>
      <c r="N340" s="111"/>
      <c r="O340" s="111"/>
      <c r="P340" s="111"/>
      <c r="Q340" s="111"/>
      <c r="AB340" s="27"/>
    </row>
    <row r="341" spans="1:28" ht="15.75" customHeight="1" x14ac:dyDescent="0.35">
      <c r="A341" s="224"/>
      <c r="B341" s="27"/>
      <c r="C341" s="237"/>
      <c r="D341" s="127"/>
      <c r="E341" s="128"/>
      <c r="F341" s="111"/>
      <c r="G341" s="111"/>
      <c r="M341" s="111"/>
      <c r="N341" s="111"/>
      <c r="O341" s="111"/>
      <c r="P341" s="111"/>
      <c r="Q341" s="111"/>
      <c r="AB341" s="27"/>
    </row>
    <row r="342" spans="1:28" ht="15.75" customHeight="1" x14ac:dyDescent="0.35">
      <c r="A342" s="224"/>
      <c r="B342" s="27"/>
      <c r="C342" s="237"/>
      <c r="D342" s="127"/>
      <c r="E342" s="128"/>
      <c r="F342" s="111"/>
      <c r="G342" s="111"/>
      <c r="M342" s="111"/>
      <c r="N342" s="111"/>
      <c r="O342" s="111"/>
      <c r="P342" s="111"/>
      <c r="Q342" s="111"/>
      <c r="AB342" s="27"/>
    </row>
    <row r="343" spans="1:28" ht="15.75" customHeight="1" x14ac:dyDescent="0.35">
      <c r="A343" s="224"/>
      <c r="B343" s="27"/>
      <c r="C343" s="237"/>
      <c r="D343" s="127"/>
      <c r="E343" s="128"/>
      <c r="F343" s="111"/>
      <c r="G343" s="111"/>
      <c r="M343" s="111"/>
      <c r="N343" s="111"/>
      <c r="O343" s="111"/>
      <c r="P343" s="111"/>
      <c r="Q343" s="111"/>
      <c r="AB343" s="27"/>
    </row>
    <row r="344" spans="1:28" ht="15.75" customHeight="1" x14ac:dyDescent="0.35">
      <c r="A344" s="224"/>
      <c r="B344" s="27"/>
      <c r="C344" s="237"/>
      <c r="D344" s="127"/>
      <c r="E344" s="128"/>
      <c r="F344" s="111"/>
      <c r="G344" s="111"/>
      <c r="M344" s="111"/>
      <c r="N344" s="111"/>
      <c r="O344" s="111"/>
      <c r="P344" s="111"/>
      <c r="Q344" s="111"/>
      <c r="AB344" s="27"/>
    </row>
    <row r="345" spans="1:28" ht="15.75" customHeight="1" x14ac:dyDescent="0.35">
      <c r="A345" s="224"/>
      <c r="B345" s="27"/>
      <c r="C345" s="237"/>
      <c r="D345" s="127"/>
      <c r="E345" s="128"/>
      <c r="F345" s="111"/>
      <c r="G345" s="111"/>
      <c r="M345" s="111"/>
      <c r="N345" s="111"/>
      <c r="O345" s="111"/>
      <c r="P345" s="111"/>
      <c r="Q345" s="111"/>
      <c r="AB345" s="27"/>
    </row>
    <row r="346" spans="1:28" ht="15.75" customHeight="1" x14ac:dyDescent="0.35">
      <c r="A346" s="224"/>
      <c r="B346" s="27"/>
      <c r="C346" s="237"/>
      <c r="D346" s="127"/>
      <c r="E346" s="128"/>
      <c r="F346" s="111"/>
      <c r="G346" s="111"/>
      <c r="M346" s="111"/>
      <c r="N346" s="111"/>
      <c r="O346" s="111"/>
      <c r="P346" s="111"/>
      <c r="Q346" s="111"/>
      <c r="AB346" s="27"/>
    </row>
    <row r="347" spans="1:28" ht="15.75" customHeight="1" x14ac:dyDescent="0.35">
      <c r="A347" s="224"/>
      <c r="B347" s="27"/>
      <c r="C347" s="237"/>
      <c r="D347" s="127"/>
      <c r="E347" s="128"/>
      <c r="F347" s="111"/>
      <c r="G347" s="111"/>
      <c r="M347" s="111"/>
      <c r="N347" s="111"/>
      <c r="O347" s="111"/>
      <c r="P347" s="111"/>
      <c r="Q347" s="111"/>
      <c r="AB347" s="27"/>
    </row>
    <row r="348" spans="1:28" ht="15.75" customHeight="1" x14ac:dyDescent="0.35">
      <c r="A348" s="224"/>
      <c r="B348" s="27"/>
      <c r="C348" s="237"/>
      <c r="D348" s="127"/>
      <c r="E348" s="128"/>
      <c r="F348" s="111"/>
      <c r="G348" s="111"/>
      <c r="M348" s="111"/>
      <c r="N348" s="111"/>
      <c r="O348" s="111"/>
      <c r="P348" s="111"/>
      <c r="Q348" s="111"/>
      <c r="AB348" s="27"/>
    </row>
    <row r="349" spans="1:28" ht="15.75" customHeight="1" x14ac:dyDescent="0.35">
      <c r="A349" s="224"/>
      <c r="B349" s="27"/>
      <c r="C349" s="237"/>
      <c r="D349" s="127"/>
      <c r="E349" s="128"/>
      <c r="F349" s="111"/>
      <c r="G349" s="111"/>
      <c r="M349" s="111"/>
      <c r="N349" s="111"/>
      <c r="O349" s="111"/>
      <c r="P349" s="111"/>
      <c r="Q349" s="111"/>
      <c r="AB349" s="27"/>
    </row>
    <row r="350" spans="1:28" ht="15.75" customHeight="1" x14ac:dyDescent="0.35">
      <c r="A350" s="224"/>
      <c r="B350" s="27"/>
      <c r="C350" s="237"/>
      <c r="D350" s="127"/>
      <c r="E350" s="128"/>
      <c r="F350" s="111"/>
      <c r="G350" s="111"/>
      <c r="M350" s="111"/>
      <c r="N350" s="111"/>
      <c r="O350" s="111"/>
      <c r="P350" s="111"/>
      <c r="Q350" s="111"/>
      <c r="AB350" s="27"/>
    </row>
    <row r="351" spans="1:28" ht="15.75" customHeight="1" x14ac:dyDescent="0.35">
      <c r="A351" s="224"/>
      <c r="B351" s="27"/>
      <c r="C351" s="237"/>
      <c r="D351" s="127"/>
      <c r="E351" s="128"/>
      <c r="F351" s="111"/>
      <c r="G351" s="111"/>
      <c r="M351" s="111"/>
      <c r="N351" s="111"/>
      <c r="O351" s="111"/>
      <c r="P351" s="111"/>
      <c r="Q351" s="111"/>
      <c r="AB351" s="27"/>
    </row>
    <row r="352" spans="1:28" ht="15.75" customHeight="1" x14ac:dyDescent="0.35">
      <c r="A352" s="224"/>
      <c r="B352" s="27"/>
      <c r="C352" s="237"/>
      <c r="D352" s="127"/>
      <c r="E352" s="128"/>
      <c r="F352" s="111"/>
      <c r="G352" s="111"/>
      <c r="M352" s="111"/>
      <c r="N352" s="111"/>
      <c r="O352" s="111"/>
      <c r="P352" s="111"/>
      <c r="Q352" s="111"/>
      <c r="AB352" s="27"/>
    </row>
    <row r="353" spans="1:28" ht="15.75" customHeight="1" x14ac:dyDescent="0.35">
      <c r="A353" s="224"/>
      <c r="B353" s="27"/>
      <c r="C353" s="237"/>
      <c r="D353" s="127"/>
      <c r="E353" s="128"/>
      <c r="F353" s="111"/>
      <c r="G353" s="111"/>
      <c r="M353" s="111"/>
      <c r="N353" s="111"/>
      <c r="O353" s="111"/>
      <c r="P353" s="111"/>
      <c r="Q353" s="111"/>
      <c r="AB353" s="27"/>
    </row>
    <row r="354" spans="1:28" ht="15.75" customHeight="1" x14ac:dyDescent="0.35">
      <c r="A354" s="224"/>
      <c r="B354" s="27"/>
      <c r="C354" s="237"/>
      <c r="D354" s="127"/>
      <c r="E354" s="128"/>
      <c r="F354" s="111"/>
      <c r="G354" s="111"/>
      <c r="M354" s="111"/>
      <c r="N354" s="111"/>
      <c r="O354" s="111"/>
      <c r="P354" s="111"/>
      <c r="Q354" s="111"/>
      <c r="AB354" s="27"/>
    </row>
    <row r="355" spans="1:28" ht="15.75" customHeight="1" x14ac:dyDescent="0.35">
      <c r="A355" s="224"/>
      <c r="B355" s="27"/>
      <c r="C355" s="237"/>
      <c r="D355" s="127"/>
      <c r="E355" s="128"/>
      <c r="F355" s="111"/>
      <c r="G355" s="111"/>
      <c r="M355" s="111"/>
      <c r="N355" s="111"/>
      <c r="O355" s="111"/>
      <c r="P355" s="111"/>
      <c r="Q355" s="111"/>
      <c r="AB355" s="27"/>
    </row>
    <row r="356" spans="1:28" ht="15.75" customHeight="1" x14ac:dyDescent="0.35">
      <c r="A356" s="224"/>
      <c r="B356" s="27"/>
      <c r="C356" s="237"/>
      <c r="D356" s="127"/>
      <c r="E356" s="128"/>
      <c r="F356" s="111"/>
      <c r="G356" s="111"/>
      <c r="M356" s="111"/>
      <c r="N356" s="111"/>
      <c r="O356" s="111"/>
      <c r="P356" s="111"/>
      <c r="Q356" s="111"/>
      <c r="AB356" s="27"/>
    </row>
    <row r="357" spans="1:28" ht="15.75" customHeight="1" x14ac:dyDescent="0.35">
      <c r="A357" s="224"/>
      <c r="B357" s="27"/>
      <c r="C357" s="237"/>
      <c r="D357" s="127"/>
      <c r="E357" s="128"/>
      <c r="F357" s="111"/>
      <c r="G357" s="111"/>
      <c r="M357" s="111"/>
      <c r="N357" s="111"/>
      <c r="O357" s="111"/>
      <c r="P357" s="111"/>
      <c r="Q357" s="111"/>
      <c r="AB357" s="27"/>
    </row>
    <row r="358" spans="1:28" ht="15.75" customHeight="1" x14ac:dyDescent="0.35">
      <c r="A358" s="224"/>
      <c r="B358" s="27"/>
      <c r="C358" s="237"/>
      <c r="D358" s="127"/>
      <c r="E358" s="128"/>
      <c r="F358" s="111"/>
      <c r="G358" s="111"/>
      <c r="M358" s="111"/>
      <c r="N358" s="111"/>
      <c r="O358" s="111"/>
      <c r="P358" s="111"/>
      <c r="Q358" s="111"/>
      <c r="AB358" s="27"/>
    </row>
    <row r="359" spans="1:28" ht="15.75" customHeight="1" x14ac:dyDescent="0.35">
      <c r="A359" s="224"/>
      <c r="B359" s="27"/>
      <c r="C359" s="237"/>
      <c r="D359" s="127"/>
      <c r="E359" s="128"/>
      <c r="F359" s="111"/>
      <c r="G359" s="111"/>
      <c r="M359" s="111"/>
      <c r="N359" s="111"/>
      <c r="O359" s="111"/>
      <c r="P359" s="111"/>
      <c r="Q359" s="111"/>
      <c r="AB359" s="27"/>
    </row>
    <row r="360" spans="1:28" ht="15.75" customHeight="1" x14ac:dyDescent="0.35">
      <c r="A360" s="224"/>
      <c r="B360" s="27"/>
      <c r="C360" s="237"/>
      <c r="D360" s="127"/>
      <c r="E360" s="128"/>
      <c r="F360" s="111"/>
      <c r="G360" s="111"/>
      <c r="M360" s="111"/>
      <c r="N360" s="111"/>
      <c r="O360" s="111"/>
      <c r="P360" s="111"/>
      <c r="Q360" s="111"/>
      <c r="AB360" s="27"/>
    </row>
    <row r="361" spans="1:28" ht="15.75" customHeight="1" x14ac:dyDescent="0.35">
      <c r="A361" s="224"/>
      <c r="B361" s="27"/>
      <c r="C361" s="237"/>
      <c r="D361" s="127"/>
      <c r="E361" s="128"/>
      <c r="F361" s="111"/>
      <c r="G361" s="111"/>
      <c r="M361" s="111"/>
      <c r="N361" s="111"/>
      <c r="O361" s="111"/>
      <c r="P361" s="111"/>
      <c r="Q361" s="111"/>
      <c r="AB361" s="27"/>
    </row>
    <row r="362" spans="1:28" ht="15.75" customHeight="1" x14ac:dyDescent="0.35">
      <c r="A362" s="224"/>
      <c r="B362" s="27"/>
      <c r="C362" s="237"/>
      <c r="D362" s="127"/>
      <c r="E362" s="128"/>
      <c r="F362" s="111"/>
      <c r="G362" s="111"/>
      <c r="M362" s="111"/>
      <c r="N362" s="111"/>
      <c r="O362" s="111"/>
      <c r="P362" s="111"/>
      <c r="Q362" s="111"/>
      <c r="AB362" s="27"/>
    </row>
    <row r="363" spans="1:28" ht="15.75" customHeight="1" x14ac:dyDescent="0.35">
      <c r="A363" s="224"/>
      <c r="B363" s="27"/>
      <c r="C363" s="237"/>
      <c r="D363" s="127"/>
      <c r="E363" s="128"/>
      <c r="F363" s="111"/>
      <c r="G363" s="111"/>
      <c r="M363" s="111"/>
      <c r="N363" s="111"/>
      <c r="O363" s="111"/>
      <c r="P363" s="111"/>
      <c r="Q363" s="111"/>
      <c r="AB363" s="27"/>
    </row>
    <row r="364" spans="1:28" ht="15.75" customHeight="1" x14ac:dyDescent="0.35">
      <c r="A364" s="224"/>
      <c r="B364" s="27"/>
      <c r="C364" s="237"/>
      <c r="D364" s="127"/>
      <c r="E364" s="128"/>
      <c r="F364" s="111"/>
      <c r="G364" s="111"/>
      <c r="M364" s="111"/>
      <c r="N364" s="111"/>
      <c r="O364" s="111"/>
      <c r="P364" s="111"/>
      <c r="Q364" s="111"/>
      <c r="AB364" s="27"/>
    </row>
    <row r="365" spans="1:28" ht="15.75" customHeight="1" x14ac:dyDescent="0.35">
      <c r="A365" s="224"/>
      <c r="B365" s="27"/>
      <c r="C365" s="237"/>
      <c r="D365" s="127"/>
      <c r="E365" s="128"/>
      <c r="F365" s="111"/>
      <c r="G365" s="111"/>
      <c r="M365" s="111"/>
      <c r="N365" s="111"/>
      <c r="O365" s="111"/>
      <c r="P365" s="111"/>
      <c r="Q365" s="111"/>
      <c r="AB365" s="27"/>
    </row>
    <row r="366" spans="1:28" ht="15.75" customHeight="1" x14ac:dyDescent="0.35">
      <c r="A366" s="224"/>
      <c r="B366" s="27"/>
      <c r="C366" s="237"/>
      <c r="D366" s="127"/>
      <c r="E366" s="128"/>
      <c r="F366" s="111"/>
      <c r="G366" s="111"/>
      <c r="M366" s="111"/>
      <c r="N366" s="111"/>
      <c r="O366" s="111"/>
      <c r="P366" s="111"/>
      <c r="Q366" s="111"/>
      <c r="AB366" s="27"/>
    </row>
    <row r="367" spans="1:28" ht="15.75" customHeight="1" x14ac:dyDescent="0.35">
      <c r="A367" s="224"/>
      <c r="B367" s="27"/>
      <c r="C367" s="237"/>
      <c r="D367" s="127"/>
      <c r="E367" s="128"/>
      <c r="F367" s="111"/>
      <c r="G367" s="111"/>
      <c r="M367" s="111"/>
      <c r="N367" s="111"/>
      <c r="O367" s="111"/>
      <c r="P367" s="111"/>
      <c r="Q367" s="111"/>
      <c r="AB367" s="27"/>
    </row>
    <row r="368" spans="1:28" ht="15.75" customHeight="1" x14ac:dyDescent="0.35">
      <c r="A368" s="224"/>
      <c r="B368" s="27"/>
      <c r="C368" s="237"/>
      <c r="D368" s="127"/>
      <c r="E368" s="128"/>
      <c r="F368" s="111"/>
      <c r="G368" s="111"/>
      <c r="M368" s="111"/>
      <c r="N368" s="111"/>
      <c r="O368" s="111"/>
      <c r="P368" s="111"/>
      <c r="Q368" s="111"/>
      <c r="AB368" s="27"/>
    </row>
    <row r="369" spans="1:28" ht="15.75" customHeight="1" x14ac:dyDescent="0.35">
      <c r="A369" s="224"/>
      <c r="B369" s="27"/>
      <c r="C369" s="237"/>
      <c r="D369" s="127"/>
      <c r="E369" s="128"/>
      <c r="F369" s="111"/>
      <c r="G369" s="111"/>
      <c r="M369" s="111"/>
      <c r="N369" s="111"/>
      <c r="O369" s="111"/>
      <c r="P369" s="111"/>
      <c r="Q369" s="111"/>
      <c r="AB369" s="27"/>
    </row>
    <row r="370" spans="1:28" ht="15.75" customHeight="1" x14ac:dyDescent="0.35">
      <c r="A370" s="224"/>
      <c r="B370" s="27"/>
      <c r="C370" s="237"/>
      <c r="D370" s="127"/>
      <c r="E370" s="128"/>
      <c r="F370" s="111"/>
      <c r="G370" s="111"/>
      <c r="M370" s="111"/>
      <c r="N370" s="111"/>
      <c r="O370" s="111"/>
      <c r="P370" s="111"/>
      <c r="Q370" s="111"/>
      <c r="AB370" s="27"/>
    </row>
    <row r="371" spans="1:28" ht="15.75" customHeight="1" x14ac:dyDescent="0.35">
      <c r="A371" s="224"/>
      <c r="B371" s="27"/>
      <c r="C371" s="237"/>
      <c r="D371" s="127"/>
      <c r="E371" s="128"/>
      <c r="F371" s="111"/>
      <c r="G371" s="111"/>
      <c r="M371" s="111"/>
      <c r="N371" s="111"/>
      <c r="O371" s="111"/>
      <c r="P371" s="111"/>
      <c r="Q371" s="111"/>
      <c r="AB371" s="27"/>
    </row>
    <row r="372" spans="1:28" ht="15.75" customHeight="1" x14ac:dyDescent="0.35">
      <c r="A372" s="224"/>
      <c r="B372" s="27"/>
      <c r="C372" s="237"/>
      <c r="D372" s="127"/>
      <c r="E372" s="128"/>
      <c r="F372" s="111"/>
      <c r="G372" s="111"/>
      <c r="M372" s="111"/>
      <c r="N372" s="111"/>
      <c r="O372" s="111"/>
      <c r="P372" s="111"/>
      <c r="Q372" s="111"/>
      <c r="AB372" s="27"/>
    </row>
    <row r="373" spans="1:28" ht="15.75" customHeight="1" x14ac:dyDescent="0.35">
      <c r="A373" s="224"/>
      <c r="B373" s="27"/>
      <c r="C373" s="237"/>
      <c r="D373" s="127"/>
      <c r="E373" s="128"/>
      <c r="F373" s="111"/>
      <c r="G373" s="111"/>
      <c r="M373" s="111"/>
      <c r="N373" s="111"/>
      <c r="O373" s="111"/>
      <c r="P373" s="111"/>
      <c r="Q373" s="111"/>
      <c r="AB373" s="27"/>
    </row>
    <row r="374" spans="1:28" ht="15.75" customHeight="1" x14ac:dyDescent="0.35">
      <c r="A374" s="224"/>
      <c r="B374" s="27"/>
      <c r="C374" s="237"/>
      <c r="D374" s="127"/>
      <c r="E374" s="128"/>
      <c r="F374" s="111"/>
      <c r="G374" s="111"/>
      <c r="M374" s="111"/>
      <c r="N374" s="111"/>
      <c r="O374" s="111"/>
      <c r="P374" s="111"/>
      <c r="Q374" s="111"/>
      <c r="AB374" s="27"/>
    </row>
    <row r="375" spans="1:28" ht="15.75" customHeight="1" x14ac:dyDescent="0.35">
      <c r="A375" s="224"/>
      <c r="B375" s="27"/>
      <c r="C375" s="237"/>
      <c r="D375" s="127"/>
      <c r="E375" s="128"/>
      <c r="F375" s="111"/>
      <c r="G375" s="111"/>
      <c r="M375" s="111"/>
      <c r="N375" s="111"/>
      <c r="O375" s="111"/>
      <c r="P375" s="111"/>
      <c r="Q375" s="111"/>
      <c r="AB375" s="27"/>
    </row>
    <row r="376" spans="1:28" ht="15.75" customHeight="1" x14ac:dyDescent="0.35">
      <c r="A376" s="224"/>
      <c r="B376" s="27"/>
      <c r="C376" s="237"/>
      <c r="D376" s="127"/>
      <c r="E376" s="128"/>
      <c r="F376" s="111"/>
      <c r="G376" s="111"/>
      <c r="M376" s="111"/>
      <c r="N376" s="111"/>
      <c r="O376" s="111"/>
      <c r="P376" s="111"/>
      <c r="Q376" s="111"/>
      <c r="AB376" s="27"/>
    </row>
    <row r="377" spans="1:28" ht="15.75" customHeight="1" x14ac:dyDescent="0.35">
      <c r="A377" s="224"/>
      <c r="B377" s="27"/>
      <c r="C377" s="237"/>
      <c r="D377" s="127"/>
      <c r="E377" s="128"/>
      <c r="F377" s="111"/>
      <c r="G377" s="111"/>
      <c r="M377" s="111"/>
      <c r="N377" s="111"/>
      <c r="O377" s="111"/>
      <c r="P377" s="111"/>
      <c r="Q377" s="111"/>
      <c r="AB377" s="27"/>
    </row>
    <row r="378" spans="1:28" ht="15.75" customHeight="1" x14ac:dyDescent="0.35">
      <c r="A378" s="224"/>
      <c r="B378" s="27"/>
      <c r="C378" s="237"/>
      <c r="D378" s="127"/>
      <c r="E378" s="128"/>
      <c r="F378" s="111"/>
      <c r="G378" s="111"/>
      <c r="M378" s="111"/>
      <c r="N378" s="111"/>
      <c r="O378" s="111"/>
      <c r="P378" s="111"/>
      <c r="Q378" s="111"/>
      <c r="AB378" s="27"/>
    </row>
    <row r="379" spans="1:28" ht="15.75" customHeight="1" x14ac:dyDescent="0.35">
      <c r="A379" s="224"/>
      <c r="B379" s="27"/>
      <c r="C379" s="237"/>
      <c r="D379" s="127"/>
      <c r="E379" s="128"/>
      <c r="F379" s="111"/>
      <c r="G379" s="111"/>
      <c r="M379" s="111"/>
      <c r="N379" s="111"/>
      <c r="O379" s="111"/>
      <c r="P379" s="111"/>
      <c r="Q379" s="111"/>
      <c r="AB379" s="27"/>
    </row>
    <row r="380" spans="1:28" ht="15.75" customHeight="1" x14ac:dyDescent="0.35">
      <c r="A380" s="224"/>
      <c r="B380" s="27"/>
      <c r="C380" s="237"/>
      <c r="D380" s="127"/>
      <c r="E380" s="128"/>
      <c r="F380" s="111"/>
      <c r="G380" s="111"/>
      <c r="M380" s="111"/>
      <c r="N380" s="111"/>
      <c r="O380" s="111"/>
      <c r="P380" s="111"/>
      <c r="Q380" s="111"/>
      <c r="AB380" s="27"/>
    </row>
    <row r="381" spans="1:28" ht="15.75" customHeight="1" x14ac:dyDescent="0.35">
      <c r="A381" s="224"/>
      <c r="B381" s="27"/>
      <c r="C381" s="237"/>
      <c r="D381" s="127"/>
      <c r="E381" s="128"/>
      <c r="F381" s="111"/>
      <c r="G381" s="111"/>
      <c r="M381" s="111"/>
      <c r="N381" s="111"/>
      <c r="O381" s="111"/>
      <c r="P381" s="111"/>
      <c r="Q381" s="111"/>
      <c r="AB381" s="27"/>
    </row>
    <row r="382" spans="1:28" ht="15.75" customHeight="1" x14ac:dyDescent="0.35">
      <c r="A382" s="224"/>
      <c r="B382" s="27"/>
      <c r="C382" s="237"/>
      <c r="D382" s="127"/>
      <c r="E382" s="128"/>
      <c r="F382" s="111"/>
      <c r="G382" s="111"/>
      <c r="M382" s="111"/>
      <c r="N382" s="111"/>
      <c r="O382" s="111"/>
      <c r="P382" s="111"/>
      <c r="Q382" s="111"/>
      <c r="AB382" s="27"/>
    </row>
    <row r="383" spans="1:28" ht="15.75" customHeight="1" x14ac:dyDescent="0.35">
      <c r="A383" s="224"/>
      <c r="B383" s="27"/>
      <c r="C383" s="237"/>
      <c r="D383" s="127"/>
      <c r="E383" s="128"/>
      <c r="F383" s="111"/>
      <c r="G383" s="111"/>
      <c r="M383" s="111"/>
      <c r="N383" s="111"/>
      <c r="O383" s="111"/>
      <c r="P383" s="111"/>
      <c r="Q383" s="111"/>
      <c r="AB383" s="27"/>
    </row>
    <row r="384" spans="1:28" ht="15.75" customHeight="1" x14ac:dyDescent="0.35">
      <c r="A384" s="224"/>
      <c r="B384" s="27"/>
      <c r="C384" s="237"/>
      <c r="D384" s="127"/>
      <c r="E384" s="128"/>
      <c r="F384" s="111"/>
      <c r="G384" s="111"/>
      <c r="M384" s="111"/>
      <c r="N384" s="111"/>
      <c r="O384" s="111"/>
      <c r="P384" s="111"/>
      <c r="Q384" s="111"/>
      <c r="AB384" s="27"/>
    </row>
    <row r="385" spans="1:28" ht="15.75" customHeight="1" x14ac:dyDescent="0.35">
      <c r="A385" s="224"/>
      <c r="B385" s="27"/>
      <c r="C385" s="237"/>
      <c r="D385" s="127"/>
      <c r="E385" s="128"/>
      <c r="F385" s="111"/>
      <c r="G385" s="111"/>
      <c r="M385" s="111"/>
      <c r="N385" s="111"/>
      <c r="O385" s="111"/>
      <c r="P385" s="111"/>
      <c r="Q385" s="111"/>
      <c r="AB385" s="27"/>
    </row>
    <row r="386" spans="1:28" ht="15.75" customHeight="1" x14ac:dyDescent="0.35">
      <c r="A386" s="224"/>
      <c r="B386" s="27"/>
      <c r="C386" s="237"/>
      <c r="D386" s="127"/>
      <c r="E386" s="128"/>
      <c r="F386" s="111"/>
      <c r="G386" s="111"/>
      <c r="M386" s="111"/>
      <c r="N386" s="111"/>
      <c r="O386" s="111"/>
      <c r="P386" s="111"/>
      <c r="Q386" s="111"/>
      <c r="AB386" s="27"/>
    </row>
    <row r="387" spans="1:28" ht="15.75" customHeight="1" x14ac:dyDescent="0.35">
      <c r="A387" s="224"/>
      <c r="B387" s="27"/>
      <c r="C387" s="237"/>
      <c r="D387" s="127"/>
      <c r="E387" s="128"/>
      <c r="F387" s="111"/>
      <c r="G387" s="111"/>
      <c r="M387" s="111"/>
      <c r="N387" s="111"/>
      <c r="O387" s="111"/>
      <c r="P387" s="111"/>
      <c r="Q387" s="111"/>
      <c r="AB387" s="27"/>
    </row>
    <row r="388" spans="1:28" ht="15.75" customHeight="1" x14ac:dyDescent="0.35">
      <c r="A388" s="224"/>
      <c r="B388" s="27"/>
      <c r="C388" s="237"/>
      <c r="D388" s="127"/>
      <c r="E388" s="128"/>
      <c r="F388" s="111"/>
      <c r="G388" s="111"/>
      <c r="M388" s="111"/>
      <c r="N388" s="111"/>
      <c r="O388" s="111"/>
      <c r="P388" s="111"/>
      <c r="Q388" s="111"/>
      <c r="AB388" s="27"/>
    </row>
    <row r="389" spans="1:28" ht="15.75" customHeight="1" x14ac:dyDescent="0.35">
      <c r="A389" s="224"/>
      <c r="B389" s="27"/>
      <c r="C389" s="237"/>
      <c r="D389" s="127"/>
      <c r="E389" s="128"/>
      <c r="F389" s="111"/>
      <c r="G389" s="111"/>
      <c r="M389" s="111"/>
      <c r="N389" s="111"/>
      <c r="O389" s="111"/>
      <c r="P389" s="111"/>
      <c r="Q389" s="111"/>
      <c r="AB389" s="27"/>
    </row>
    <row r="390" spans="1:28" ht="15.75" customHeight="1" x14ac:dyDescent="0.35">
      <c r="A390" s="224"/>
      <c r="B390" s="27"/>
      <c r="C390" s="237"/>
      <c r="D390" s="127"/>
      <c r="E390" s="128"/>
      <c r="F390" s="111"/>
      <c r="G390" s="111"/>
      <c r="M390" s="111"/>
      <c r="N390" s="111"/>
      <c r="O390" s="111"/>
      <c r="P390" s="111"/>
      <c r="Q390" s="111"/>
      <c r="AB390" s="27"/>
    </row>
    <row r="391" spans="1:28" ht="15.75" customHeight="1" x14ac:dyDescent="0.35">
      <c r="A391" s="224"/>
      <c r="B391" s="27"/>
      <c r="C391" s="237"/>
      <c r="D391" s="127"/>
      <c r="E391" s="128"/>
      <c r="F391" s="111"/>
      <c r="G391" s="111"/>
      <c r="M391" s="111"/>
      <c r="N391" s="111"/>
      <c r="O391" s="111"/>
      <c r="P391" s="111"/>
      <c r="Q391" s="111"/>
      <c r="AB391" s="27"/>
    </row>
    <row r="392" spans="1:28" ht="15.75" customHeight="1" x14ac:dyDescent="0.35">
      <c r="A392" s="224"/>
      <c r="B392" s="27"/>
      <c r="C392" s="237"/>
      <c r="D392" s="127"/>
      <c r="E392" s="128"/>
      <c r="F392" s="111"/>
      <c r="G392" s="111"/>
      <c r="M392" s="111"/>
      <c r="N392" s="111"/>
      <c r="O392" s="111"/>
      <c r="P392" s="111"/>
      <c r="Q392" s="111"/>
      <c r="AB392" s="27"/>
    </row>
    <row r="393" spans="1:28" ht="15.75" customHeight="1" x14ac:dyDescent="0.35">
      <c r="A393" s="224"/>
      <c r="B393" s="27"/>
      <c r="C393" s="237"/>
      <c r="D393" s="127"/>
      <c r="E393" s="128"/>
      <c r="F393" s="111"/>
      <c r="G393" s="111"/>
      <c r="M393" s="111"/>
      <c r="N393" s="111"/>
      <c r="O393" s="111"/>
      <c r="P393" s="111"/>
      <c r="Q393" s="111"/>
      <c r="AB393" s="27"/>
    </row>
    <row r="394" spans="1:28" ht="15.75" customHeight="1" x14ac:dyDescent="0.35">
      <c r="A394" s="224"/>
      <c r="B394" s="27"/>
      <c r="C394" s="237"/>
      <c r="D394" s="127"/>
      <c r="E394" s="128"/>
      <c r="F394" s="111"/>
      <c r="G394" s="111"/>
      <c r="M394" s="111"/>
      <c r="N394" s="111"/>
      <c r="O394" s="111"/>
      <c r="P394" s="111"/>
      <c r="Q394" s="111"/>
      <c r="AB394" s="27"/>
    </row>
    <row r="395" spans="1:28" ht="15.75" customHeight="1" x14ac:dyDescent="0.35">
      <c r="A395" s="224"/>
      <c r="B395" s="27"/>
      <c r="C395" s="237"/>
      <c r="D395" s="127"/>
      <c r="E395" s="128"/>
      <c r="F395" s="111"/>
      <c r="G395" s="111"/>
      <c r="M395" s="111"/>
      <c r="N395" s="111"/>
      <c r="O395" s="111"/>
      <c r="P395" s="111"/>
      <c r="Q395" s="111"/>
      <c r="AB395" s="27"/>
    </row>
    <row r="396" spans="1:28" ht="15.75" customHeight="1" x14ac:dyDescent="0.35">
      <c r="A396" s="224"/>
      <c r="B396" s="27"/>
      <c r="C396" s="237"/>
      <c r="D396" s="127"/>
      <c r="E396" s="128"/>
      <c r="F396" s="111"/>
      <c r="G396" s="111"/>
      <c r="M396" s="111"/>
      <c r="N396" s="111"/>
      <c r="O396" s="111"/>
      <c r="P396" s="111"/>
      <c r="Q396" s="111"/>
      <c r="AB396" s="27"/>
    </row>
    <row r="397" spans="1:28" ht="15.75" customHeight="1" x14ac:dyDescent="0.35">
      <c r="A397" s="224"/>
      <c r="B397" s="27"/>
      <c r="C397" s="237"/>
      <c r="D397" s="127"/>
      <c r="E397" s="128"/>
      <c r="F397" s="111"/>
      <c r="G397" s="111"/>
      <c r="M397" s="111"/>
      <c r="N397" s="111"/>
      <c r="O397" s="111"/>
      <c r="P397" s="111"/>
      <c r="Q397" s="111"/>
      <c r="AB397" s="27"/>
    </row>
    <row r="398" spans="1:28" ht="15.75" customHeight="1" x14ac:dyDescent="0.35">
      <c r="A398" s="224"/>
      <c r="B398" s="27"/>
      <c r="C398" s="237"/>
      <c r="D398" s="127"/>
      <c r="E398" s="128"/>
      <c r="F398" s="111"/>
      <c r="G398" s="111"/>
      <c r="M398" s="111"/>
      <c r="N398" s="111"/>
      <c r="O398" s="111"/>
      <c r="P398" s="111"/>
      <c r="Q398" s="111"/>
      <c r="AB398" s="27"/>
    </row>
    <row r="399" spans="1:28" ht="15.75" customHeight="1" x14ac:dyDescent="0.35">
      <c r="A399" s="224"/>
      <c r="B399" s="27"/>
      <c r="C399" s="237"/>
      <c r="D399" s="127"/>
      <c r="E399" s="128"/>
      <c r="F399" s="111"/>
      <c r="G399" s="111"/>
      <c r="M399" s="111"/>
      <c r="N399" s="111"/>
      <c r="O399" s="111"/>
      <c r="P399" s="111"/>
      <c r="Q399" s="111"/>
      <c r="AB399" s="27"/>
    </row>
    <row r="400" spans="1:28" ht="15.75" customHeight="1" x14ac:dyDescent="0.35">
      <c r="A400" s="224"/>
      <c r="B400" s="27"/>
      <c r="C400" s="237"/>
      <c r="D400" s="127"/>
      <c r="E400" s="128"/>
      <c r="F400" s="111"/>
      <c r="G400" s="111"/>
      <c r="M400" s="111"/>
      <c r="N400" s="111"/>
      <c r="O400" s="111"/>
      <c r="P400" s="111"/>
      <c r="Q400" s="111"/>
      <c r="AB400" s="27"/>
    </row>
    <row r="401" spans="1:28" ht="15.75" customHeight="1" x14ac:dyDescent="0.35">
      <c r="A401" s="224"/>
      <c r="B401" s="27"/>
      <c r="C401" s="237"/>
      <c r="D401" s="127"/>
      <c r="E401" s="128"/>
      <c r="F401" s="111"/>
      <c r="G401" s="111"/>
      <c r="M401" s="111"/>
      <c r="N401" s="111"/>
      <c r="O401" s="111"/>
      <c r="P401" s="111"/>
      <c r="Q401" s="111"/>
      <c r="AB401" s="27"/>
    </row>
    <row r="402" spans="1:28" ht="15.75" customHeight="1" x14ac:dyDescent="0.35">
      <c r="A402" s="224"/>
      <c r="B402" s="27"/>
      <c r="C402" s="237"/>
      <c r="D402" s="127"/>
      <c r="E402" s="128"/>
      <c r="F402" s="111"/>
      <c r="G402" s="111"/>
      <c r="M402" s="111"/>
      <c r="N402" s="111"/>
      <c r="O402" s="111"/>
      <c r="P402" s="111"/>
      <c r="Q402" s="111"/>
      <c r="AB402" s="27"/>
    </row>
    <row r="403" spans="1:28" ht="15.75" customHeight="1" x14ac:dyDescent="0.35">
      <c r="A403" s="224"/>
      <c r="B403" s="27"/>
      <c r="C403" s="237"/>
      <c r="D403" s="127"/>
      <c r="E403" s="128"/>
      <c r="F403" s="111"/>
      <c r="G403" s="111"/>
      <c r="M403" s="111"/>
      <c r="N403" s="111"/>
      <c r="O403" s="111"/>
      <c r="P403" s="111"/>
      <c r="Q403" s="111"/>
      <c r="AB403" s="27"/>
    </row>
    <row r="404" spans="1:28" ht="15.75" customHeight="1" x14ac:dyDescent="0.35">
      <c r="A404" s="224"/>
      <c r="B404" s="27"/>
      <c r="C404" s="237"/>
      <c r="D404" s="127"/>
      <c r="E404" s="128"/>
      <c r="F404" s="111"/>
      <c r="G404" s="111"/>
      <c r="M404" s="111"/>
      <c r="N404" s="111"/>
      <c r="O404" s="111"/>
      <c r="P404" s="111"/>
      <c r="Q404" s="111"/>
      <c r="AB404" s="27"/>
    </row>
    <row r="405" spans="1:28" ht="15.75" customHeight="1" x14ac:dyDescent="0.35">
      <c r="A405" s="224"/>
      <c r="B405" s="27"/>
      <c r="C405" s="237"/>
      <c r="D405" s="127"/>
      <c r="E405" s="128"/>
      <c r="F405" s="111"/>
      <c r="G405" s="111"/>
      <c r="M405" s="111"/>
      <c r="N405" s="111"/>
      <c r="O405" s="111"/>
      <c r="P405" s="111"/>
      <c r="Q405" s="111"/>
      <c r="AB405" s="27"/>
    </row>
    <row r="406" spans="1:28" ht="15.75" customHeight="1" x14ac:dyDescent="0.35">
      <c r="A406" s="224"/>
      <c r="B406" s="27"/>
      <c r="C406" s="237"/>
      <c r="D406" s="127"/>
      <c r="E406" s="128"/>
      <c r="F406" s="111"/>
      <c r="G406" s="111"/>
      <c r="M406" s="111"/>
      <c r="N406" s="111"/>
      <c r="O406" s="111"/>
      <c r="P406" s="111"/>
      <c r="Q406" s="111"/>
      <c r="AB406" s="27"/>
    </row>
    <row r="407" spans="1:28" ht="15.75" customHeight="1" x14ac:dyDescent="0.35">
      <c r="A407" s="224"/>
      <c r="B407" s="27"/>
      <c r="C407" s="237"/>
      <c r="D407" s="127"/>
      <c r="E407" s="128"/>
      <c r="F407" s="111"/>
      <c r="G407" s="111"/>
      <c r="M407" s="111"/>
      <c r="N407" s="111"/>
      <c r="O407" s="111"/>
      <c r="P407" s="111"/>
      <c r="Q407" s="111"/>
      <c r="AB407" s="27"/>
    </row>
    <row r="408" spans="1:28" ht="15.75" customHeight="1" x14ac:dyDescent="0.35">
      <c r="A408" s="224"/>
      <c r="B408" s="27"/>
      <c r="C408" s="237"/>
      <c r="D408" s="127"/>
      <c r="E408" s="128"/>
      <c r="F408" s="111"/>
      <c r="G408" s="111"/>
      <c r="M408" s="111"/>
      <c r="N408" s="111"/>
      <c r="O408" s="111"/>
      <c r="P408" s="111"/>
      <c r="Q408" s="111"/>
      <c r="AB408" s="27"/>
    </row>
    <row r="409" spans="1:28" ht="15.75" customHeight="1" x14ac:dyDescent="0.35">
      <c r="A409" s="224"/>
      <c r="B409" s="27"/>
      <c r="C409" s="237"/>
      <c r="D409" s="127"/>
      <c r="E409" s="128"/>
      <c r="F409" s="111"/>
      <c r="G409" s="111"/>
      <c r="M409" s="111"/>
      <c r="N409" s="111"/>
      <c r="O409" s="111"/>
      <c r="P409" s="111"/>
      <c r="Q409" s="111"/>
      <c r="AB409" s="27"/>
    </row>
    <row r="410" spans="1:28" ht="15.75" customHeight="1" x14ac:dyDescent="0.35">
      <c r="A410" s="224"/>
      <c r="B410" s="27"/>
      <c r="C410" s="237"/>
      <c r="D410" s="127"/>
      <c r="E410" s="128"/>
      <c r="F410" s="111"/>
      <c r="G410" s="111"/>
      <c r="M410" s="111"/>
      <c r="N410" s="111"/>
      <c r="O410" s="111"/>
      <c r="P410" s="111"/>
      <c r="Q410" s="111"/>
      <c r="AB410" s="27"/>
    </row>
    <row r="411" spans="1:28" ht="15.75" customHeight="1" x14ac:dyDescent="0.35">
      <c r="A411" s="224"/>
      <c r="B411" s="27"/>
      <c r="C411" s="237"/>
      <c r="D411" s="127"/>
      <c r="E411" s="128"/>
      <c r="F411" s="111"/>
      <c r="G411" s="111"/>
      <c r="M411" s="111"/>
      <c r="N411" s="111"/>
      <c r="O411" s="111"/>
      <c r="P411" s="111"/>
      <c r="Q411" s="111"/>
      <c r="AB411" s="27"/>
    </row>
    <row r="412" spans="1:28" ht="15.75" customHeight="1" x14ac:dyDescent="0.35">
      <c r="A412" s="224"/>
      <c r="B412" s="27"/>
      <c r="C412" s="237"/>
      <c r="D412" s="127"/>
      <c r="E412" s="128"/>
      <c r="F412" s="111"/>
      <c r="G412" s="111"/>
      <c r="M412" s="111"/>
      <c r="N412" s="111"/>
      <c r="O412" s="111"/>
      <c r="P412" s="111"/>
      <c r="Q412" s="111"/>
      <c r="AB412" s="27"/>
    </row>
    <row r="413" spans="1:28" ht="15.75" customHeight="1" x14ac:dyDescent="0.35">
      <c r="A413" s="224"/>
      <c r="B413" s="27"/>
      <c r="C413" s="237"/>
      <c r="D413" s="127"/>
      <c r="E413" s="128"/>
      <c r="F413" s="111"/>
      <c r="G413" s="111"/>
      <c r="M413" s="111"/>
      <c r="N413" s="111"/>
      <c r="O413" s="111"/>
      <c r="P413" s="111"/>
      <c r="Q413" s="111"/>
      <c r="AB413" s="27"/>
    </row>
    <row r="414" spans="1:28" ht="15.75" customHeight="1" x14ac:dyDescent="0.35">
      <c r="A414" s="224"/>
      <c r="B414" s="27"/>
      <c r="C414" s="237"/>
      <c r="D414" s="127"/>
      <c r="E414" s="128"/>
      <c r="F414" s="111"/>
      <c r="G414" s="111"/>
      <c r="M414" s="111"/>
      <c r="N414" s="111"/>
      <c r="O414" s="111"/>
      <c r="P414" s="111"/>
      <c r="Q414" s="111"/>
      <c r="AB414" s="27"/>
    </row>
    <row r="415" spans="1:28" ht="15.75" customHeight="1" x14ac:dyDescent="0.35">
      <c r="A415" s="224"/>
      <c r="B415" s="27"/>
      <c r="C415" s="237"/>
      <c r="D415" s="127"/>
      <c r="E415" s="128"/>
      <c r="F415" s="111"/>
      <c r="G415" s="111"/>
      <c r="M415" s="111"/>
      <c r="N415" s="111"/>
      <c r="O415" s="111"/>
      <c r="P415" s="111"/>
      <c r="Q415" s="111"/>
      <c r="AB415" s="27"/>
    </row>
    <row r="416" spans="1:28" ht="15.75" customHeight="1" x14ac:dyDescent="0.35">
      <c r="A416" s="224"/>
      <c r="B416" s="27"/>
      <c r="C416" s="237"/>
      <c r="D416" s="127"/>
      <c r="E416" s="128"/>
      <c r="F416" s="111"/>
      <c r="G416" s="111"/>
      <c r="M416" s="111"/>
      <c r="N416" s="111"/>
      <c r="O416" s="111"/>
      <c r="P416" s="111"/>
      <c r="Q416" s="111"/>
      <c r="AB416" s="27"/>
    </row>
    <row r="417" spans="1:28" ht="15.75" customHeight="1" x14ac:dyDescent="0.35">
      <c r="A417" s="224"/>
      <c r="B417" s="27"/>
      <c r="C417" s="237"/>
      <c r="D417" s="127"/>
      <c r="E417" s="128"/>
      <c r="F417" s="111"/>
      <c r="G417" s="111"/>
      <c r="M417" s="111"/>
      <c r="N417" s="111"/>
      <c r="O417" s="111"/>
      <c r="P417" s="111"/>
      <c r="Q417" s="111"/>
      <c r="AB417" s="27"/>
    </row>
    <row r="418" spans="1:28" ht="15.75" customHeight="1" x14ac:dyDescent="0.35">
      <c r="A418" s="224"/>
      <c r="B418" s="27"/>
      <c r="C418" s="237"/>
      <c r="D418" s="127"/>
      <c r="E418" s="128"/>
      <c r="F418" s="111"/>
      <c r="G418" s="111"/>
      <c r="M418" s="111"/>
      <c r="N418" s="111"/>
      <c r="O418" s="111"/>
      <c r="P418" s="111"/>
      <c r="Q418" s="111"/>
      <c r="AB418" s="27"/>
    </row>
    <row r="419" spans="1:28" ht="15.75" customHeight="1" x14ac:dyDescent="0.35">
      <c r="A419" s="224"/>
      <c r="B419" s="27"/>
      <c r="C419" s="237"/>
      <c r="D419" s="127"/>
      <c r="E419" s="128"/>
      <c r="F419" s="111"/>
      <c r="G419" s="111"/>
      <c r="M419" s="111"/>
      <c r="N419" s="111"/>
      <c r="O419" s="111"/>
      <c r="P419" s="111"/>
      <c r="Q419" s="111"/>
      <c r="AB419" s="27"/>
    </row>
    <row r="420" spans="1:28" ht="15.75" customHeight="1" x14ac:dyDescent="0.35">
      <c r="A420" s="224"/>
      <c r="B420" s="27"/>
      <c r="C420" s="237"/>
      <c r="D420" s="127"/>
      <c r="E420" s="128"/>
      <c r="F420" s="111"/>
      <c r="G420" s="111"/>
      <c r="M420" s="111"/>
      <c r="N420" s="111"/>
      <c r="O420" s="111"/>
      <c r="P420" s="111"/>
      <c r="Q420" s="111"/>
      <c r="AB420" s="27"/>
    </row>
    <row r="421" spans="1:28" ht="15.75" customHeight="1" x14ac:dyDescent="0.35">
      <c r="A421" s="224"/>
      <c r="B421" s="27"/>
      <c r="C421" s="237"/>
      <c r="D421" s="127"/>
      <c r="E421" s="128"/>
      <c r="F421" s="111"/>
      <c r="G421" s="111"/>
      <c r="M421" s="111"/>
      <c r="N421" s="111"/>
      <c r="O421" s="111"/>
      <c r="P421" s="111"/>
      <c r="Q421" s="111"/>
      <c r="AB421" s="27"/>
    </row>
    <row r="422" spans="1:28" ht="15.75" customHeight="1" x14ac:dyDescent="0.35">
      <c r="A422" s="224"/>
      <c r="B422" s="27"/>
      <c r="C422" s="237"/>
      <c r="D422" s="127"/>
      <c r="E422" s="128"/>
      <c r="F422" s="111"/>
      <c r="G422" s="111"/>
      <c r="M422" s="111"/>
      <c r="N422" s="111"/>
      <c r="O422" s="111"/>
      <c r="P422" s="111"/>
      <c r="Q422" s="111"/>
      <c r="AB422" s="27"/>
    </row>
    <row r="423" spans="1:28" ht="15.75" customHeight="1" x14ac:dyDescent="0.35">
      <c r="A423" s="224"/>
      <c r="B423" s="27"/>
      <c r="C423" s="237"/>
      <c r="D423" s="127"/>
      <c r="E423" s="128"/>
      <c r="F423" s="111"/>
      <c r="G423" s="111"/>
      <c r="M423" s="111"/>
      <c r="N423" s="111"/>
      <c r="O423" s="111"/>
      <c r="P423" s="111"/>
      <c r="Q423" s="111"/>
      <c r="AB423" s="27"/>
    </row>
    <row r="424" spans="1:28" ht="15.75" customHeight="1" x14ac:dyDescent="0.35">
      <c r="A424" s="224"/>
      <c r="B424" s="27"/>
      <c r="C424" s="237"/>
      <c r="D424" s="127"/>
      <c r="E424" s="128"/>
      <c r="F424" s="111"/>
      <c r="G424" s="111"/>
      <c r="M424" s="111"/>
      <c r="N424" s="111"/>
      <c r="O424" s="111"/>
      <c r="P424" s="111"/>
      <c r="Q424" s="111"/>
      <c r="AB424" s="27"/>
    </row>
    <row r="425" spans="1:28" ht="15.75" customHeight="1" x14ac:dyDescent="0.35">
      <c r="A425" s="224"/>
      <c r="B425" s="27"/>
      <c r="C425" s="237"/>
      <c r="D425" s="127"/>
      <c r="E425" s="128"/>
      <c r="F425" s="111"/>
      <c r="G425" s="111"/>
      <c r="M425" s="111"/>
      <c r="N425" s="111"/>
      <c r="O425" s="111"/>
      <c r="P425" s="111"/>
      <c r="Q425" s="111"/>
      <c r="AB425" s="27"/>
    </row>
    <row r="426" spans="1:28" ht="15.75" customHeight="1" x14ac:dyDescent="0.35">
      <c r="A426" s="224"/>
      <c r="B426" s="27"/>
      <c r="C426" s="237"/>
      <c r="D426" s="127"/>
      <c r="E426" s="128"/>
      <c r="F426" s="111"/>
      <c r="G426" s="111"/>
      <c r="M426" s="111"/>
      <c r="N426" s="111"/>
      <c r="O426" s="111"/>
      <c r="P426" s="111"/>
      <c r="Q426" s="111"/>
      <c r="AB426" s="27"/>
    </row>
    <row r="427" spans="1:28" ht="15.75" customHeight="1" x14ac:dyDescent="0.35">
      <c r="A427" s="224"/>
      <c r="B427" s="27"/>
      <c r="C427" s="237"/>
      <c r="D427" s="127"/>
      <c r="E427" s="128"/>
      <c r="F427" s="111"/>
      <c r="G427" s="111"/>
      <c r="M427" s="111"/>
      <c r="N427" s="111"/>
      <c r="O427" s="111"/>
      <c r="P427" s="111"/>
      <c r="Q427" s="111"/>
      <c r="AB427" s="27"/>
    </row>
    <row r="428" spans="1:28" ht="15.75" customHeight="1" x14ac:dyDescent="0.35">
      <c r="A428" s="224"/>
      <c r="B428" s="27"/>
      <c r="C428" s="237"/>
      <c r="D428" s="127"/>
      <c r="E428" s="128"/>
      <c r="F428" s="111"/>
      <c r="G428" s="111"/>
      <c r="M428" s="111"/>
      <c r="N428" s="111"/>
      <c r="O428" s="111"/>
      <c r="P428" s="111"/>
      <c r="Q428" s="111"/>
      <c r="AB428" s="27"/>
    </row>
    <row r="429" spans="1:28" ht="15.75" customHeight="1" x14ac:dyDescent="0.35">
      <c r="A429" s="224"/>
      <c r="B429" s="27"/>
      <c r="C429" s="237"/>
      <c r="D429" s="127"/>
      <c r="E429" s="128"/>
      <c r="F429" s="111"/>
      <c r="G429" s="111"/>
      <c r="M429" s="111"/>
      <c r="N429" s="111"/>
      <c r="O429" s="111"/>
      <c r="P429" s="111"/>
      <c r="Q429" s="111"/>
      <c r="AB429" s="27"/>
    </row>
    <row r="430" spans="1:28" ht="15.75" customHeight="1" x14ac:dyDescent="0.35">
      <c r="A430" s="224"/>
      <c r="B430" s="27"/>
      <c r="C430" s="237"/>
      <c r="D430" s="127"/>
      <c r="E430" s="128"/>
      <c r="F430" s="111"/>
      <c r="G430" s="111"/>
      <c r="M430" s="111"/>
      <c r="N430" s="111"/>
      <c r="O430" s="111"/>
      <c r="P430" s="111"/>
      <c r="Q430" s="111"/>
      <c r="AB430" s="27"/>
    </row>
    <row r="431" spans="1:28" ht="15.75" customHeight="1" x14ac:dyDescent="0.35">
      <c r="A431" s="224"/>
      <c r="B431" s="27"/>
      <c r="C431" s="237"/>
      <c r="D431" s="127"/>
      <c r="E431" s="128"/>
      <c r="F431" s="111"/>
      <c r="G431" s="111"/>
      <c r="M431" s="111"/>
      <c r="N431" s="111"/>
      <c r="O431" s="111"/>
      <c r="P431" s="111"/>
      <c r="Q431" s="111"/>
      <c r="AB431" s="27"/>
    </row>
    <row r="432" spans="1:28" ht="15.75" customHeight="1" x14ac:dyDescent="0.35">
      <c r="A432" s="224"/>
      <c r="B432" s="27"/>
      <c r="C432" s="237"/>
      <c r="D432" s="127"/>
      <c r="E432" s="128"/>
      <c r="F432" s="111"/>
      <c r="G432" s="111"/>
      <c r="M432" s="111"/>
      <c r="N432" s="111"/>
      <c r="O432" s="111"/>
      <c r="P432" s="111"/>
      <c r="Q432" s="111"/>
      <c r="AB432" s="27"/>
    </row>
    <row r="433" spans="1:28" ht="15.75" customHeight="1" x14ac:dyDescent="0.35">
      <c r="A433" s="224"/>
      <c r="B433" s="27"/>
      <c r="C433" s="237"/>
      <c r="D433" s="127"/>
      <c r="E433" s="128"/>
      <c r="F433" s="111"/>
      <c r="G433" s="111"/>
      <c r="M433" s="111"/>
      <c r="N433" s="111"/>
      <c r="O433" s="111"/>
      <c r="P433" s="111"/>
      <c r="Q433" s="111"/>
      <c r="AB433" s="27"/>
    </row>
    <row r="434" spans="1:28" ht="15.75" customHeight="1" x14ac:dyDescent="0.35">
      <c r="A434" s="224"/>
      <c r="B434" s="27"/>
      <c r="C434" s="237"/>
      <c r="D434" s="127"/>
      <c r="E434" s="128"/>
      <c r="F434" s="111"/>
      <c r="G434" s="111"/>
      <c r="M434" s="111"/>
      <c r="N434" s="111"/>
      <c r="O434" s="111"/>
      <c r="P434" s="111"/>
      <c r="Q434" s="111"/>
      <c r="AB434" s="27"/>
    </row>
    <row r="435" spans="1:28" ht="15.75" customHeight="1" x14ac:dyDescent="0.35">
      <c r="A435" s="224"/>
      <c r="B435" s="27"/>
      <c r="C435" s="237"/>
      <c r="D435" s="127"/>
      <c r="E435" s="128"/>
      <c r="F435" s="111"/>
      <c r="G435" s="111"/>
      <c r="M435" s="111"/>
      <c r="N435" s="111"/>
      <c r="O435" s="111"/>
      <c r="P435" s="111"/>
      <c r="Q435" s="111"/>
      <c r="AB435" s="27"/>
    </row>
    <row r="436" spans="1:28" ht="15.75" customHeight="1" x14ac:dyDescent="0.35">
      <c r="A436" s="224"/>
      <c r="B436" s="27"/>
      <c r="C436" s="237"/>
      <c r="D436" s="127"/>
      <c r="E436" s="128"/>
      <c r="F436" s="111"/>
      <c r="G436" s="111"/>
      <c r="M436" s="111"/>
      <c r="N436" s="111"/>
      <c r="O436" s="111"/>
      <c r="P436" s="111"/>
      <c r="Q436" s="111"/>
      <c r="AB436" s="27"/>
    </row>
    <row r="437" spans="1:28" ht="15.75" customHeight="1" x14ac:dyDescent="0.35">
      <c r="A437" s="224"/>
      <c r="B437" s="27"/>
      <c r="C437" s="237"/>
      <c r="D437" s="127"/>
      <c r="E437" s="128"/>
      <c r="F437" s="111"/>
      <c r="G437" s="111"/>
      <c r="M437" s="111"/>
      <c r="N437" s="111"/>
      <c r="O437" s="111"/>
      <c r="P437" s="111"/>
      <c r="Q437" s="111"/>
      <c r="AB437" s="27"/>
    </row>
    <row r="438" spans="1:28" ht="15.75" customHeight="1" x14ac:dyDescent="0.35">
      <c r="A438" s="224"/>
      <c r="B438" s="27"/>
      <c r="C438" s="237"/>
      <c r="D438" s="127"/>
      <c r="E438" s="128"/>
      <c r="F438" s="111"/>
      <c r="G438" s="111"/>
      <c r="M438" s="111"/>
      <c r="N438" s="111"/>
      <c r="O438" s="111"/>
      <c r="P438" s="111"/>
      <c r="Q438" s="111"/>
      <c r="AB438" s="27"/>
    </row>
    <row r="439" spans="1:28" ht="15.75" customHeight="1" x14ac:dyDescent="0.35">
      <c r="A439" s="224"/>
      <c r="B439" s="27"/>
      <c r="C439" s="237"/>
      <c r="D439" s="127"/>
      <c r="E439" s="128"/>
      <c r="F439" s="111"/>
      <c r="G439" s="111"/>
      <c r="M439" s="111"/>
      <c r="N439" s="111"/>
      <c r="O439" s="111"/>
      <c r="P439" s="111"/>
      <c r="Q439" s="111"/>
      <c r="AB439" s="27"/>
    </row>
    <row r="440" spans="1:28" ht="15.75" customHeight="1" x14ac:dyDescent="0.35">
      <c r="A440" s="224"/>
      <c r="B440" s="27"/>
      <c r="C440" s="237"/>
      <c r="D440" s="127"/>
      <c r="E440" s="128"/>
      <c r="F440" s="111"/>
      <c r="G440" s="111"/>
      <c r="M440" s="111"/>
      <c r="N440" s="111"/>
      <c r="O440" s="111"/>
      <c r="P440" s="111"/>
      <c r="Q440" s="111"/>
      <c r="AB440" s="27"/>
    </row>
    <row r="441" spans="1:28" ht="15.75" customHeight="1" x14ac:dyDescent="0.35">
      <c r="A441" s="224"/>
      <c r="B441" s="27"/>
      <c r="C441" s="237"/>
      <c r="D441" s="127"/>
      <c r="E441" s="128"/>
      <c r="F441" s="111"/>
      <c r="G441" s="111"/>
      <c r="M441" s="111"/>
      <c r="N441" s="111"/>
      <c r="O441" s="111"/>
      <c r="P441" s="111"/>
      <c r="Q441" s="111"/>
      <c r="AB441" s="27"/>
    </row>
    <row r="442" spans="1:28" ht="15.75" customHeight="1" x14ac:dyDescent="0.35">
      <c r="A442" s="224"/>
      <c r="B442" s="27"/>
      <c r="C442" s="237"/>
      <c r="D442" s="127"/>
      <c r="E442" s="128"/>
      <c r="F442" s="111"/>
      <c r="G442" s="111"/>
      <c r="M442" s="111"/>
      <c r="N442" s="111"/>
      <c r="O442" s="111"/>
      <c r="P442" s="111"/>
      <c r="Q442" s="111"/>
      <c r="AB442" s="27"/>
    </row>
    <row r="443" spans="1:28" ht="15.75" customHeight="1" x14ac:dyDescent="0.35">
      <c r="A443" s="224"/>
      <c r="B443" s="27"/>
      <c r="C443" s="237"/>
      <c r="D443" s="127"/>
      <c r="E443" s="128"/>
      <c r="F443" s="111"/>
      <c r="G443" s="111"/>
      <c r="M443" s="111"/>
      <c r="N443" s="111"/>
      <c r="O443" s="111"/>
      <c r="P443" s="111"/>
      <c r="Q443" s="111"/>
      <c r="AB443" s="27"/>
    </row>
    <row r="444" spans="1:28" ht="15.75" customHeight="1" x14ac:dyDescent="0.35">
      <c r="A444" s="224"/>
      <c r="B444" s="27"/>
      <c r="C444" s="237"/>
      <c r="D444" s="127"/>
      <c r="E444" s="128"/>
      <c r="F444" s="111"/>
      <c r="G444" s="111"/>
      <c r="M444" s="111"/>
      <c r="N444" s="111"/>
      <c r="O444" s="111"/>
      <c r="P444" s="111"/>
      <c r="Q444" s="111"/>
      <c r="AB444" s="27"/>
    </row>
    <row r="445" spans="1:28" ht="15.75" customHeight="1" x14ac:dyDescent="0.35">
      <c r="A445" s="224"/>
      <c r="B445" s="27"/>
      <c r="C445" s="237"/>
      <c r="D445" s="127"/>
      <c r="E445" s="128"/>
      <c r="F445" s="111"/>
      <c r="G445" s="111"/>
      <c r="M445" s="111"/>
      <c r="N445" s="111"/>
      <c r="O445" s="111"/>
      <c r="P445" s="111"/>
      <c r="Q445" s="111"/>
      <c r="AB445" s="27"/>
    </row>
    <row r="446" spans="1:28" ht="15.75" customHeight="1" x14ac:dyDescent="0.35">
      <c r="A446" s="224"/>
      <c r="B446" s="27"/>
      <c r="C446" s="237"/>
      <c r="D446" s="127"/>
      <c r="E446" s="128"/>
      <c r="F446" s="111"/>
      <c r="G446" s="111"/>
      <c r="M446" s="111"/>
      <c r="N446" s="111"/>
      <c r="O446" s="111"/>
      <c r="P446" s="111"/>
      <c r="Q446" s="111"/>
      <c r="AB446" s="27"/>
    </row>
    <row r="447" spans="1:28" ht="15.75" customHeight="1" x14ac:dyDescent="0.35">
      <c r="A447" s="224"/>
      <c r="B447" s="27"/>
      <c r="C447" s="237"/>
      <c r="D447" s="127"/>
      <c r="E447" s="128"/>
      <c r="F447" s="111"/>
      <c r="G447" s="111"/>
      <c r="M447" s="111"/>
      <c r="N447" s="111"/>
      <c r="O447" s="111"/>
      <c r="P447" s="111"/>
      <c r="Q447" s="111"/>
      <c r="AB447" s="27"/>
    </row>
    <row r="448" spans="1:28" ht="15.75" customHeight="1" x14ac:dyDescent="0.35">
      <c r="A448" s="224"/>
      <c r="B448" s="27"/>
      <c r="C448" s="237"/>
      <c r="D448" s="127"/>
      <c r="E448" s="128"/>
      <c r="F448" s="111"/>
      <c r="G448" s="111"/>
      <c r="M448" s="111"/>
      <c r="N448" s="111"/>
      <c r="O448" s="111"/>
      <c r="P448" s="111"/>
      <c r="Q448" s="111"/>
      <c r="AB448" s="27"/>
    </row>
    <row r="449" spans="1:28" ht="15.75" customHeight="1" x14ac:dyDescent="0.35">
      <c r="A449" s="224"/>
      <c r="B449" s="27"/>
      <c r="C449" s="237"/>
      <c r="D449" s="127"/>
      <c r="E449" s="128"/>
      <c r="F449" s="111"/>
      <c r="G449" s="111"/>
      <c r="M449" s="111"/>
      <c r="N449" s="111"/>
      <c r="O449" s="111"/>
      <c r="P449" s="111"/>
      <c r="Q449" s="111"/>
      <c r="AB449" s="27"/>
    </row>
    <row r="450" spans="1:28" ht="15.75" customHeight="1" x14ac:dyDescent="0.35">
      <c r="A450" s="224"/>
      <c r="B450" s="27"/>
      <c r="C450" s="237"/>
      <c r="D450" s="127"/>
      <c r="E450" s="128"/>
      <c r="F450" s="111"/>
      <c r="G450" s="111"/>
      <c r="M450" s="111"/>
      <c r="N450" s="111"/>
      <c r="O450" s="111"/>
      <c r="P450" s="111"/>
      <c r="Q450" s="111"/>
      <c r="AB450" s="27"/>
    </row>
    <row r="451" spans="1:28" ht="15.75" customHeight="1" x14ac:dyDescent="0.35">
      <c r="A451" s="224"/>
      <c r="B451" s="27"/>
      <c r="C451" s="237"/>
      <c r="D451" s="127"/>
      <c r="E451" s="128"/>
      <c r="F451" s="111"/>
      <c r="G451" s="111"/>
      <c r="M451" s="111"/>
      <c r="N451" s="111"/>
      <c r="O451" s="111"/>
      <c r="P451" s="111"/>
      <c r="Q451" s="111"/>
      <c r="AB451" s="27"/>
    </row>
    <row r="452" spans="1:28" ht="15.75" customHeight="1" x14ac:dyDescent="0.35">
      <c r="A452" s="224"/>
      <c r="B452" s="27"/>
      <c r="C452" s="237"/>
      <c r="D452" s="127"/>
      <c r="E452" s="128"/>
      <c r="F452" s="111"/>
      <c r="G452" s="111"/>
      <c r="M452" s="111"/>
      <c r="N452" s="111"/>
      <c r="O452" s="111"/>
      <c r="P452" s="111"/>
      <c r="Q452" s="111"/>
      <c r="AB452" s="27"/>
    </row>
    <row r="453" spans="1:28" ht="15.75" customHeight="1" x14ac:dyDescent="0.35">
      <c r="A453" s="224"/>
      <c r="B453" s="27"/>
      <c r="C453" s="237"/>
      <c r="D453" s="127"/>
      <c r="E453" s="128"/>
      <c r="F453" s="111"/>
      <c r="G453" s="111"/>
      <c r="M453" s="111"/>
      <c r="N453" s="111"/>
      <c r="O453" s="111"/>
      <c r="P453" s="111"/>
      <c r="Q453" s="111"/>
      <c r="AB453" s="27"/>
    </row>
    <row r="454" spans="1:28" ht="15.75" customHeight="1" x14ac:dyDescent="0.35">
      <c r="A454" s="224"/>
      <c r="B454" s="27"/>
      <c r="C454" s="237"/>
      <c r="D454" s="127"/>
      <c r="E454" s="128"/>
      <c r="F454" s="111"/>
      <c r="G454" s="111"/>
      <c r="M454" s="111"/>
      <c r="N454" s="111"/>
      <c r="O454" s="111"/>
      <c r="P454" s="111"/>
      <c r="Q454" s="111"/>
      <c r="AB454" s="27"/>
    </row>
    <row r="455" spans="1:28" ht="15.75" customHeight="1" x14ac:dyDescent="0.35">
      <c r="A455" s="224"/>
      <c r="B455" s="27"/>
      <c r="C455" s="237"/>
      <c r="D455" s="127"/>
      <c r="E455" s="128"/>
      <c r="F455" s="111"/>
      <c r="G455" s="111"/>
      <c r="M455" s="111"/>
      <c r="N455" s="111"/>
      <c r="O455" s="111"/>
      <c r="P455" s="111"/>
      <c r="Q455" s="111"/>
      <c r="AB455" s="27"/>
    </row>
    <row r="456" spans="1:28" ht="15.75" customHeight="1" x14ac:dyDescent="0.35">
      <c r="A456" s="224"/>
      <c r="B456" s="27"/>
      <c r="C456" s="237"/>
      <c r="D456" s="127"/>
      <c r="E456" s="128"/>
      <c r="F456" s="111"/>
      <c r="G456" s="111"/>
      <c r="M456" s="111"/>
      <c r="N456" s="111"/>
      <c r="O456" s="111"/>
      <c r="P456" s="111"/>
      <c r="Q456" s="111"/>
      <c r="AB456" s="27"/>
    </row>
    <row r="457" spans="1:28" ht="15.75" customHeight="1" x14ac:dyDescent="0.35">
      <c r="A457" s="224"/>
      <c r="B457" s="27"/>
      <c r="C457" s="237"/>
      <c r="D457" s="127"/>
      <c r="E457" s="128"/>
      <c r="F457" s="111"/>
      <c r="G457" s="111"/>
      <c r="M457" s="111"/>
      <c r="N457" s="111"/>
      <c r="O457" s="111"/>
      <c r="P457" s="111"/>
      <c r="Q457" s="111"/>
      <c r="AB457" s="27"/>
    </row>
    <row r="458" spans="1:28" ht="15.75" customHeight="1" x14ac:dyDescent="0.35">
      <c r="A458" s="224"/>
      <c r="B458" s="27"/>
      <c r="C458" s="237"/>
      <c r="D458" s="127"/>
      <c r="E458" s="128"/>
      <c r="F458" s="111"/>
      <c r="G458" s="111"/>
      <c r="M458" s="111"/>
      <c r="N458" s="111"/>
      <c r="O458" s="111"/>
      <c r="P458" s="111"/>
      <c r="Q458" s="111"/>
      <c r="AB458" s="27"/>
    </row>
    <row r="459" spans="1:28" ht="15.75" customHeight="1" x14ac:dyDescent="0.35">
      <c r="A459" s="224"/>
      <c r="B459" s="27"/>
      <c r="C459" s="237"/>
      <c r="D459" s="127"/>
      <c r="E459" s="128"/>
      <c r="F459" s="111"/>
      <c r="G459" s="111"/>
      <c r="M459" s="111"/>
      <c r="N459" s="111"/>
      <c r="O459" s="111"/>
      <c r="P459" s="111"/>
      <c r="Q459" s="111"/>
      <c r="AB459" s="27"/>
    </row>
    <row r="460" spans="1:28" ht="15.75" customHeight="1" x14ac:dyDescent="0.35">
      <c r="A460" s="224"/>
      <c r="B460" s="27"/>
      <c r="C460" s="237"/>
      <c r="D460" s="127"/>
      <c r="E460" s="128"/>
      <c r="F460" s="111"/>
      <c r="G460" s="111"/>
      <c r="M460" s="111"/>
      <c r="N460" s="111"/>
      <c r="O460" s="111"/>
      <c r="P460" s="111"/>
      <c r="Q460" s="111"/>
      <c r="AB460" s="27"/>
    </row>
    <row r="461" spans="1:28" ht="15.75" customHeight="1" x14ac:dyDescent="0.35">
      <c r="A461" s="224"/>
      <c r="B461" s="27"/>
      <c r="C461" s="237"/>
      <c r="D461" s="127"/>
      <c r="E461" s="128"/>
      <c r="F461" s="111"/>
      <c r="G461" s="111"/>
      <c r="M461" s="111"/>
      <c r="N461" s="111"/>
      <c r="O461" s="111"/>
      <c r="P461" s="111"/>
      <c r="Q461" s="111"/>
      <c r="AB461" s="27"/>
    </row>
    <row r="462" spans="1:28" ht="15.75" customHeight="1" x14ac:dyDescent="0.35">
      <c r="A462" s="224"/>
      <c r="B462" s="27"/>
      <c r="C462" s="237"/>
      <c r="D462" s="127"/>
      <c r="E462" s="128"/>
      <c r="F462" s="111"/>
      <c r="G462" s="111"/>
      <c r="M462" s="111"/>
      <c r="N462" s="111"/>
      <c r="O462" s="111"/>
      <c r="P462" s="111"/>
      <c r="Q462" s="111"/>
      <c r="AB462" s="27"/>
    </row>
    <row r="463" spans="1:28" ht="15.75" customHeight="1" x14ac:dyDescent="0.35">
      <c r="A463" s="224"/>
      <c r="B463" s="27"/>
      <c r="C463" s="237"/>
      <c r="D463" s="127"/>
      <c r="E463" s="128"/>
      <c r="F463" s="111"/>
      <c r="G463" s="111"/>
      <c r="M463" s="111"/>
      <c r="N463" s="111"/>
      <c r="O463" s="111"/>
      <c r="P463" s="111"/>
      <c r="Q463" s="111"/>
      <c r="AB463" s="27"/>
    </row>
    <row r="464" spans="1:28" ht="15.75" customHeight="1" x14ac:dyDescent="0.35">
      <c r="A464" s="224"/>
      <c r="B464" s="27"/>
      <c r="C464" s="237"/>
      <c r="D464" s="127"/>
      <c r="E464" s="128"/>
      <c r="F464" s="111"/>
      <c r="G464" s="111"/>
      <c r="M464" s="111"/>
      <c r="N464" s="111"/>
      <c r="O464" s="111"/>
      <c r="P464" s="111"/>
      <c r="Q464" s="111"/>
      <c r="AB464" s="27"/>
    </row>
    <row r="465" spans="1:28" ht="15.75" customHeight="1" x14ac:dyDescent="0.35">
      <c r="A465" s="224"/>
      <c r="B465" s="27"/>
      <c r="C465" s="237"/>
      <c r="D465" s="127"/>
      <c r="E465" s="128"/>
      <c r="F465" s="111"/>
      <c r="G465" s="111"/>
      <c r="M465" s="111"/>
      <c r="N465" s="111"/>
      <c r="O465" s="111"/>
      <c r="P465" s="111"/>
      <c r="Q465" s="111"/>
      <c r="AB465" s="27"/>
    </row>
    <row r="466" spans="1:28" ht="15.75" customHeight="1" x14ac:dyDescent="0.35">
      <c r="A466" s="224"/>
      <c r="B466" s="27"/>
      <c r="C466" s="237"/>
      <c r="D466" s="127"/>
      <c r="E466" s="128"/>
      <c r="F466" s="111"/>
      <c r="G466" s="111"/>
      <c r="M466" s="111"/>
      <c r="N466" s="111"/>
      <c r="O466" s="111"/>
      <c r="P466" s="111"/>
      <c r="Q466" s="111"/>
      <c r="AB466" s="27"/>
    </row>
    <row r="467" spans="1:28" ht="15.75" customHeight="1" x14ac:dyDescent="0.35">
      <c r="A467" s="224"/>
      <c r="B467" s="27"/>
      <c r="C467" s="237"/>
      <c r="D467" s="127"/>
      <c r="E467" s="128"/>
      <c r="F467" s="111"/>
      <c r="G467" s="111"/>
      <c r="M467" s="111"/>
      <c r="N467" s="111"/>
      <c r="O467" s="111"/>
      <c r="P467" s="111"/>
      <c r="Q467" s="111"/>
      <c r="AB467" s="27"/>
    </row>
    <row r="468" spans="1:28" ht="15.75" customHeight="1" x14ac:dyDescent="0.35">
      <c r="A468" s="224"/>
      <c r="B468" s="27"/>
      <c r="C468" s="237"/>
      <c r="D468" s="127"/>
      <c r="E468" s="128"/>
      <c r="F468" s="111"/>
      <c r="G468" s="111"/>
      <c r="M468" s="111"/>
      <c r="N468" s="111"/>
      <c r="O468" s="111"/>
      <c r="P468" s="111"/>
      <c r="Q468" s="111"/>
      <c r="AB468" s="27"/>
    </row>
    <row r="469" spans="1:28" ht="15.75" customHeight="1" x14ac:dyDescent="0.35">
      <c r="A469" s="224"/>
      <c r="B469" s="27"/>
      <c r="C469" s="237"/>
      <c r="D469" s="127"/>
      <c r="E469" s="128"/>
      <c r="F469" s="111"/>
      <c r="G469" s="111"/>
      <c r="M469" s="111"/>
      <c r="N469" s="111"/>
      <c r="O469" s="111"/>
      <c r="P469" s="111"/>
      <c r="Q469" s="111"/>
      <c r="AB469" s="27"/>
    </row>
    <row r="470" spans="1:28" ht="15.75" customHeight="1" x14ac:dyDescent="0.35">
      <c r="A470" s="224"/>
      <c r="B470" s="27"/>
      <c r="C470" s="237"/>
      <c r="D470" s="127"/>
      <c r="E470" s="128"/>
      <c r="F470" s="111"/>
      <c r="G470" s="111"/>
      <c r="M470" s="111"/>
      <c r="N470" s="111"/>
      <c r="O470" s="111"/>
      <c r="P470" s="111"/>
      <c r="Q470" s="111"/>
      <c r="AB470" s="27"/>
    </row>
    <row r="471" spans="1:28" ht="15.75" customHeight="1" x14ac:dyDescent="0.35">
      <c r="A471" s="224"/>
      <c r="B471" s="27"/>
      <c r="C471" s="237"/>
      <c r="D471" s="127"/>
      <c r="E471" s="128"/>
      <c r="F471" s="111"/>
      <c r="G471" s="111"/>
      <c r="M471" s="111"/>
      <c r="N471" s="111"/>
      <c r="O471" s="111"/>
      <c r="P471" s="111"/>
      <c r="Q471" s="111"/>
      <c r="AB471" s="27"/>
    </row>
    <row r="472" spans="1:28" ht="15.75" customHeight="1" x14ac:dyDescent="0.35">
      <c r="A472" s="224"/>
      <c r="B472" s="27"/>
      <c r="C472" s="237"/>
      <c r="D472" s="127"/>
      <c r="E472" s="128"/>
      <c r="F472" s="111"/>
      <c r="G472" s="111"/>
      <c r="M472" s="111"/>
      <c r="N472" s="111"/>
      <c r="O472" s="111"/>
      <c r="P472" s="111"/>
      <c r="Q472" s="111"/>
      <c r="AB472" s="27"/>
    </row>
    <row r="473" spans="1:28" ht="15.75" customHeight="1" x14ac:dyDescent="0.35">
      <c r="A473" s="224"/>
      <c r="B473" s="27"/>
      <c r="C473" s="237"/>
      <c r="D473" s="127"/>
      <c r="E473" s="128"/>
      <c r="F473" s="111"/>
      <c r="G473" s="111"/>
      <c r="M473" s="111"/>
      <c r="N473" s="111"/>
      <c r="O473" s="111"/>
      <c r="P473" s="111"/>
      <c r="Q473" s="111"/>
      <c r="AB473" s="27"/>
    </row>
    <row r="474" spans="1:28" ht="15.75" customHeight="1" x14ac:dyDescent="0.35">
      <c r="A474" s="224"/>
      <c r="B474" s="27"/>
      <c r="C474" s="237"/>
      <c r="D474" s="127"/>
      <c r="E474" s="128"/>
      <c r="F474" s="111"/>
      <c r="G474" s="111"/>
      <c r="M474" s="111"/>
      <c r="N474" s="111"/>
      <c r="O474" s="111"/>
      <c r="P474" s="111"/>
      <c r="Q474" s="111"/>
      <c r="AB474" s="27"/>
    </row>
    <row r="475" spans="1:28" ht="15.75" customHeight="1" x14ac:dyDescent="0.35">
      <c r="A475" s="224"/>
      <c r="B475" s="27"/>
      <c r="C475" s="237"/>
      <c r="D475" s="127"/>
      <c r="E475" s="128"/>
      <c r="F475" s="111"/>
      <c r="G475" s="111"/>
      <c r="M475" s="111"/>
      <c r="N475" s="111"/>
      <c r="O475" s="111"/>
      <c r="P475" s="111"/>
      <c r="Q475" s="111"/>
      <c r="AB475" s="27"/>
    </row>
    <row r="476" spans="1:28" ht="15.75" customHeight="1" x14ac:dyDescent="0.35">
      <c r="A476" s="224"/>
      <c r="B476" s="27"/>
      <c r="C476" s="237"/>
      <c r="D476" s="127"/>
      <c r="E476" s="128"/>
      <c r="F476" s="111"/>
      <c r="G476" s="111"/>
      <c r="M476" s="111"/>
      <c r="N476" s="111"/>
      <c r="O476" s="111"/>
      <c r="P476" s="111"/>
      <c r="Q476" s="111"/>
      <c r="AB476" s="27"/>
    </row>
    <row r="477" spans="1:28" ht="15.75" customHeight="1" x14ac:dyDescent="0.35">
      <c r="A477" s="224"/>
      <c r="B477" s="27"/>
      <c r="C477" s="237"/>
      <c r="D477" s="127"/>
      <c r="E477" s="128"/>
      <c r="F477" s="111"/>
      <c r="G477" s="111"/>
      <c r="M477" s="111"/>
      <c r="N477" s="111"/>
      <c r="O477" s="111"/>
      <c r="P477" s="111"/>
      <c r="Q477" s="111"/>
      <c r="AB477" s="27"/>
    </row>
    <row r="478" spans="1:28" ht="15.75" customHeight="1" x14ac:dyDescent="0.35">
      <c r="A478" s="224"/>
      <c r="B478" s="27"/>
      <c r="C478" s="237"/>
      <c r="D478" s="127"/>
      <c r="E478" s="128"/>
      <c r="F478" s="111"/>
      <c r="G478" s="111"/>
      <c r="M478" s="111"/>
      <c r="N478" s="111"/>
      <c r="O478" s="111"/>
      <c r="P478" s="111"/>
      <c r="Q478" s="111"/>
      <c r="AB478" s="27"/>
    </row>
    <row r="479" spans="1:28" ht="15.75" customHeight="1" x14ac:dyDescent="0.35">
      <c r="A479" s="224"/>
      <c r="B479" s="27"/>
      <c r="C479" s="237"/>
      <c r="D479" s="127"/>
      <c r="E479" s="128"/>
      <c r="F479" s="111"/>
      <c r="G479" s="111"/>
      <c r="M479" s="111"/>
      <c r="N479" s="111"/>
      <c r="O479" s="111"/>
      <c r="P479" s="111"/>
      <c r="Q479" s="111"/>
      <c r="AB479" s="27"/>
    </row>
    <row r="480" spans="1:28" ht="15.75" customHeight="1" x14ac:dyDescent="0.35">
      <c r="A480" s="224"/>
      <c r="B480" s="27"/>
      <c r="C480" s="237"/>
      <c r="D480" s="127"/>
      <c r="E480" s="128"/>
      <c r="F480" s="111"/>
      <c r="G480" s="111"/>
      <c r="M480" s="111"/>
      <c r="N480" s="111"/>
      <c r="O480" s="111"/>
      <c r="P480" s="111"/>
      <c r="Q480" s="111"/>
      <c r="AB480" s="27"/>
    </row>
    <row r="481" spans="1:28" ht="15.75" customHeight="1" x14ac:dyDescent="0.35">
      <c r="A481" s="224"/>
      <c r="B481" s="27"/>
      <c r="C481" s="237"/>
      <c r="D481" s="127"/>
      <c r="E481" s="128"/>
      <c r="F481" s="111"/>
      <c r="G481" s="111"/>
      <c r="M481" s="111"/>
      <c r="N481" s="111"/>
      <c r="O481" s="111"/>
      <c r="P481" s="111"/>
      <c r="Q481" s="111"/>
      <c r="AB481" s="27"/>
    </row>
    <row r="482" spans="1:28" ht="15.75" customHeight="1" x14ac:dyDescent="0.35">
      <c r="A482" s="224"/>
      <c r="B482" s="27"/>
      <c r="C482" s="237"/>
      <c r="D482" s="127"/>
      <c r="E482" s="128"/>
      <c r="F482" s="111"/>
      <c r="G482" s="111"/>
      <c r="M482" s="111"/>
      <c r="N482" s="111"/>
      <c r="O482" s="111"/>
      <c r="P482" s="111"/>
      <c r="Q482" s="111"/>
      <c r="AB482" s="27"/>
    </row>
    <row r="483" spans="1:28" ht="15.75" customHeight="1" x14ac:dyDescent="0.35">
      <c r="A483" s="224"/>
      <c r="B483" s="27"/>
      <c r="C483" s="237"/>
      <c r="D483" s="127"/>
      <c r="E483" s="128"/>
      <c r="F483" s="111"/>
      <c r="G483" s="111"/>
      <c r="M483" s="111"/>
      <c r="N483" s="111"/>
      <c r="O483" s="111"/>
      <c r="P483" s="111"/>
      <c r="Q483" s="111"/>
      <c r="AB483" s="27"/>
    </row>
    <row r="484" spans="1:28" ht="15.75" customHeight="1" x14ac:dyDescent="0.35">
      <c r="A484" s="224"/>
      <c r="B484" s="27"/>
      <c r="C484" s="237"/>
      <c r="D484" s="127"/>
      <c r="E484" s="128"/>
      <c r="F484" s="111"/>
      <c r="G484" s="111"/>
      <c r="M484" s="111"/>
      <c r="N484" s="111"/>
      <c r="O484" s="111"/>
      <c r="P484" s="111"/>
      <c r="Q484" s="111"/>
      <c r="AB484" s="27"/>
    </row>
    <row r="485" spans="1:28" ht="15.75" customHeight="1" x14ac:dyDescent="0.35">
      <c r="A485" s="224"/>
      <c r="B485" s="27"/>
      <c r="C485" s="237"/>
      <c r="D485" s="127"/>
      <c r="E485" s="128"/>
      <c r="F485" s="111"/>
      <c r="G485" s="111"/>
      <c r="M485" s="111"/>
      <c r="N485" s="111"/>
      <c r="O485" s="111"/>
      <c r="P485" s="111"/>
      <c r="Q485" s="111"/>
      <c r="AB485" s="27"/>
    </row>
    <row r="486" spans="1:28" ht="15.75" customHeight="1" x14ac:dyDescent="0.35">
      <c r="A486" s="224"/>
      <c r="B486" s="27"/>
      <c r="C486" s="237"/>
      <c r="D486" s="127"/>
      <c r="E486" s="128"/>
      <c r="F486" s="111"/>
      <c r="G486" s="111"/>
      <c r="M486" s="111"/>
      <c r="N486" s="111"/>
      <c r="O486" s="111"/>
      <c r="P486" s="111"/>
      <c r="Q486" s="111"/>
      <c r="AB486" s="27"/>
    </row>
    <row r="487" spans="1:28" ht="15.75" customHeight="1" x14ac:dyDescent="0.35">
      <c r="A487" s="224"/>
      <c r="B487" s="27"/>
      <c r="C487" s="237"/>
      <c r="D487" s="127"/>
      <c r="E487" s="128"/>
      <c r="F487" s="111"/>
      <c r="G487" s="111"/>
      <c r="M487" s="111"/>
      <c r="N487" s="111"/>
      <c r="O487" s="111"/>
      <c r="P487" s="111"/>
      <c r="Q487" s="111"/>
      <c r="AB487" s="27"/>
    </row>
    <row r="488" spans="1:28" ht="15.75" customHeight="1" x14ac:dyDescent="0.35">
      <c r="A488" s="224"/>
      <c r="B488" s="27"/>
      <c r="C488" s="237"/>
      <c r="D488" s="127"/>
      <c r="E488" s="128"/>
      <c r="F488" s="111"/>
      <c r="G488" s="111"/>
      <c r="M488" s="111"/>
      <c r="N488" s="111"/>
      <c r="O488" s="111"/>
      <c r="P488" s="111"/>
      <c r="Q488" s="111"/>
      <c r="AB488" s="27"/>
    </row>
    <row r="489" spans="1:28" ht="15.75" customHeight="1" x14ac:dyDescent="0.35">
      <c r="A489" s="224"/>
      <c r="B489" s="27"/>
      <c r="C489" s="237"/>
      <c r="D489" s="127"/>
      <c r="E489" s="128"/>
      <c r="F489" s="111"/>
      <c r="G489" s="111"/>
      <c r="M489" s="111"/>
      <c r="N489" s="111"/>
      <c r="O489" s="111"/>
      <c r="P489" s="111"/>
      <c r="Q489" s="111"/>
      <c r="AB489" s="27"/>
    </row>
    <row r="490" spans="1:28" ht="15.75" customHeight="1" x14ac:dyDescent="0.35">
      <c r="A490" s="224"/>
      <c r="B490" s="27"/>
      <c r="C490" s="237"/>
      <c r="D490" s="127"/>
      <c r="E490" s="128"/>
      <c r="F490" s="111"/>
      <c r="G490" s="111"/>
      <c r="M490" s="111"/>
      <c r="N490" s="111"/>
      <c r="O490" s="111"/>
      <c r="P490" s="111"/>
      <c r="Q490" s="111"/>
      <c r="AB490" s="27"/>
    </row>
    <row r="491" spans="1:28" ht="15.75" customHeight="1" x14ac:dyDescent="0.35">
      <c r="A491" s="224"/>
      <c r="B491" s="27"/>
      <c r="C491" s="237"/>
      <c r="D491" s="127"/>
      <c r="E491" s="128"/>
      <c r="F491" s="111"/>
      <c r="G491" s="111"/>
      <c r="M491" s="111"/>
      <c r="N491" s="111"/>
      <c r="O491" s="111"/>
      <c r="P491" s="111"/>
      <c r="Q491" s="111"/>
      <c r="AB491" s="27"/>
    </row>
    <row r="492" spans="1:28" ht="15.75" customHeight="1" x14ac:dyDescent="0.35">
      <c r="A492" s="224"/>
      <c r="B492" s="27"/>
      <c r="C492" s="237"/>
      <c r="D492" s="127"/>
      <c r="E492" s="128"/>
      <c r="F492" s="111"/>
      <c r="G492" s="111"/>
      <c r="M492" s="111"/>
      <c r="N492" s="111"/>
      <c r="O492" s="111"/>
      <c r="P492" s="111"/>
      <c r="Q492" s="111"/>
      <c r="AB492" s="27"/>
    </row>
    <row r="493" spans="1:28" ht="15.75" customHeight="1" x14ac:dyDescent="0.35">
      <c r="A493" s="224"/>
      <c r="B493" s="27"/>
      <c r="C493" s="237"/>
      <c r="D493" s="127"/>
      <c r="E493" s="128"/>
      <c r="F493" s="111"/>
      <c r="G493" s="111"/>
      <c r="M493" s="111"/>
      <c r="N493" s="111"/>
      <c r="O493" s="111"/>
      <c r="P493" s="111"/>
      <c r="Q493" s="111"/>
      <c r="AB493" s="27"/>
    </row>
    <row r="494" spans="1:28" ht="15.75" customHeight="1" x14ac:dyDescent="0.35">
      <c r="A494" s="224"/>
      <c r="B494" s="27"/>
      <c r="C494" s="237"/>
      <c r="D494" s="127"/>
      <c r="E494" s="128"/>
      <c r="F494" s="111"/>
      <c r="G494" s="111"/>
      <c r="M494" s="111"/>
      <c r="N494" s="111"/>
      <c r="O494" s="111"/>
      <c r="P494" s="111"/>
      <c r="Q494" s="111"/>
      <c r="AB494" s="27"/>
    </row>
    <row r="495" spans="1:28" ht="15.75" customHeight="1" x14ac:dyDescent="0.35">
      <c r="A495" s="224"/>
      <c r="B495" s="27"/>
      <c r="C495" s="237"/>
      <c r="D495" s="127"/>
      <c r="E495" s="128"/>
      <c r="F495" s="111"/>
      <c r="G495" s="111"/>
      <c r="M495" s="111"/>
      <c r="N495" s="111"/>
      <c r="O495" s="111"/>
      <c r="P495" s="111"/>
      <c r="Q495" s="111"/>
      <c r="AB495" s="27"/>
    </row>
    <row r="496" spans="1:28" ht="15.75" customHeight="1" x14ac:dyDescent="0.35">
      <c r="A496" s="224"/>
      <c r="B496" s="27"/>
      <c r="C496" s="237"/>
      <c r="D496" s="127"/>
      <c r="E496" s="128"/>
      <c r="F496" s="111"/>
      <c r="G496" s="111"/>
      <c r="M496" s="111"/>
      <c r="N496" s="111"/>
      <c r="O496" s="111"/>
      <c r="P496" s="111"/>
      <c r="Q496" s="111"/>
      <c r="AB496" s="27"/>
    </row>
    <row r="497" spans="1:28" ht="15.75" customHeight="1" x14ac:dyDescent="0.35">
      <c r="A497" s="224"/>
      <c r="B497" s="27"/>
      <c r="C497" s="237"/>
      <c r="D497" s="127"/>
      <c r="E497" s="128"/>
      <c r="F497" s="111"/>
      <c r="G497" s="111"/>
      <c r="M497" s="111"/>
      <c r="N497" s="111"/>
      <c r="O497" s="111"/>
      <c r="P497" s="111"/>
      <c r="Q497" s="111"/>
      <c r="AB497" s="27"/>
    </row>
    <row r="498" spans="1:28" ht="15.75" customHeight="1" x14ac:dyDescent="0.35">
      <c r="A498" s="224"/>
      <c r="B498" s="27"/>
      <c r="C498" s="237"/>
      <c r="D498" s="127"/>
      <c r="E498" s="128"/>
      <c r="F498" s="111"/>
      <c r="G498" s="111"/>
      <c r="M498" s="111"/>
      <c r="N498" s="111"/>
      <c r="O498" s="111"/>
      <c r="P498" s="111"/>
      <c r="Q498" s="111"/>
      <c r="AB498" s="27"/>
    </row>
    <row r="499" spans="1:28" ht="15.75" customHeight="1" x14ac:dyDescent="0.35">
      <c r="A499" s="224"/>
      <c r="B499" s="27"/>
      <c r="C499" s="237"/>
      <c r="D499" s="127"/>
      <c r="E499" s="128"/>
      <c r="F499" s="111"/>
      <c r="G499" s="111"/>
      <c r="M499" s="111"/>
      <c r="N499" s="111"/>
      <c r="O499" s="111"/>
      <c r="P499" s="111"/>
      <c r="Q499" s="111"/>
      <c r="AB499" s="27"/>
    </row>
    <row r="500" spans="1:28" ht="15.75" customHeight="1" x14ac:dyDescent="0.35">
      <c r="A500" s="224"/>
      <c r="B500" s="27"/>
      <c r="C500" s="237"/>
      <c r="D500" s="127"/>
      <c r="E500" s="128"/>
      <c r="F500" s="111"/>
      <c r="G500" s="111"/>
      <c r="M500" s="111"/>
      <c r="N500" s="111"/>
      <c r="O500" s="111"/>
      <c r="P500" s="111"/>
      <c r="Q500" s="111"/>
      <c r="AB500" s="27"/>
    </row>
    <row r="501" spans="1:28" ht="15.75" customHeight="1" x14ac:dyDescent="0.35">
      <c r="A501" s="224"/>
      <c r="B501" s="27"/>
      <c r="C501" s="237"/>
      <c r="D501" s="127"/>
      <c r="E501" s="128"/>
      <c r="F501" s="111"/>
      <c r="G501" s="111"/>
      <c r="M501" s="111"/>
      <c r="N501" s="111"/>
      <c r="O501" s="111"/>
      <c r="P501" s="111"/>
      <c r="Q501" s="111"/>
      <c r="AB501" s="27"/>
    </row>
    <row r="502" spans="1:28" ht="15.75" customHeight="1" x14ac:dyDescent="0.35">
      <c r="A502" s="224"/>
      <c r="B502" s="27"/>
      <c r="C502" s="237"/>
      <c r="D502" s="127"/>
      <c r="E502" s="128"/>
      <c r="F502" s="111"/>
      <c r="G502" s="111"/>
      <c r="M502" s="111"/>
      <c r="N502" s="111"/>
      <c r="O502" s="111"/>
      <c r="P502" s="111"/>
      <c r="Q502" s="111"/>
      <c r="AB502" s="27"/>
    </row>
    <row r="503" spans="1:28" ht="15.75" customHeight="1" x14ac:dyDescent="0.35">
      <c r="A503" s="224"/>
      <c r="B503" s="27"/>
      <c r="C503" s="237"/>
      <c r="D503" s="127"/>
      <c r="E503" s="128"/>
      <c r="F503" s="111"/>
      <c r="G503" s="111"/>
      <c r="M503" s="111"/>
      <c r="N503" s="111"/>
      <c r="O503" s="111"/>
      <c r="P503" s="111"/>
      <c r="Q503" s="111"/>
      <c r="AB503" s="27"/>
    </row>
    <row r="504" spans="1:28" ht="15.75" customHeight="1" x14ac:dyDescent="0.35">
      <c r="A504" s="224"/>
      <c r="B504" s="27"/>
      <c r="C504" s="237"/>
      <c r="D504" s="127"/>
      <c r="E504" s="128"/>
      <c r="F504" s="111"/>
      <c r="G504" s="111"/>
      <c r="M504" s="111"/>
      <c r="N504" s="111"/>
      <c r="O504" s="111"/>
      <c r="P504" s="111"/>
      <c r="Q504" s="111"/>
      <c r="AB504" s="27"/>
    </row>
    <row r="505" spans="1:28" ht="15.75" customHeight="1" x14ac:dyDescent="0.35">
      <c r="A505" s="224"/>
      <c r="B505" s="27"/>
      <c r="C505" s="237"/>
      <c r="D505" s="127"/>
      <c r="E505" s="128"/>
      <c r="F505" s="111"/>
      <c r="G505" s="111"/>
      <c r="M505" s="111"/>
      <c r="N505" s="111"/>
      <c r="O505" s="111"/>
      <c r="P505" s="111"/>
      <c r="Q505" s="111"/>
      <c r="AB505" s="27"/>
    </row>
    <row r="506" spans="1:28" ht="15.75" customHeight="1" x14ac:dyDescent="0.35">
      <c r="A506" s="224"/>
      <c r="B506" s="27"/>
      <c r="C506" s="237"/>
      <c r="D506" s="127"/>
      <c r="E506" s="128"/>
      <c r="F506" s="111"/>
      <c r="G506" s="111"/>
      <c r="M506" s="111"/>
      <c r="N506" s="111"/>
      <c r="O506" s="111"/>
      <c r="P506" s="111"/>
      <c r="Q506" s="111"/>
      <c r="AB506" s="27"/>
    </row>
    <row r="507" spans="1:28" ht="15.75" customHeight="1" x14ac:dyDescent="0.35">
      <c r="A507" s="224"/>
      <c r="B507" s="27"/>
      <c r="C507" s="237"/>
      <c r="D507" s="127"/>
      <c r="E507" s="128"/>
      <c r="F507" s="111"/>
      <c r="G507" s="111"/>
      <c r="M507" s="111"/>
      <c r="N507" s="111"/>
      <c r="O507" s="111"/>
      <c r="P507" s="111"/>
      <c r="Q507" s="111"/>
      <c r="AB507" s="27"/>
    </row>
    <row r="508" spans="1:28" ht="15.75" customHeight="1" x14ac:dyDescent="0.35">
      <c r="A508" s="224"/>
      <c r="B508" s="27"/>
      <c r="C508" s="237"/>
      <c r="D508" s="127"/>
      <c r="E508" s="128"/>
      <c r="F508" s="111"/>
      <c r="G508" s="111"/>
      <c r="M508" s="111"/>
      <c r="N508" s="111"/>
      <c r="O508" s="111"/>
      <c r="P508" s="111"/>
      <c r="Q508" s="111"/>
      <c r="AB508" s="27"/>
    </row>
    <row r="509" spans="1:28" ht="15.75" customHeight="1" x14ac:dyDescent="0.35">
      <c r="A509" s="224"/>
      <c r="B509" s="27"/>
      <c r="C509" s="237"/>
      <c r="D509" s="127"/>
      <c r="E509" s="128"/>
      <c r="F509" s="111"/>
      <c r="G509" s="111"/>
      <c r="M509" s="111"/>
      <c r="N509" s="111"/>
      <c r="O509" s="111"/>
      <c r="P509" s="111"/>
      <c r="Q509" s="111"/>
      <c r="AB509" s="27"/>
    </row>
    <row r="510" spans="1:28" ht="15.75" customHeight="1" x14ac:dyDescent="0.35">
      <c r="A510" s="224"/>
      <c r="B510" s="27"/>
      <c r="C510" s="237"/>
      <c r="D510" s="127"/>
      <c r="E510" s="128"/>
      <c r="F510" s="111"/>
      <c r="G510" s="111"/>
      <c r="M510" s="111"/>
      <c r="N510" s="111"/>
      <c r="O510" s="111"/>
      <c r="P510" s="111"/>
      <c r="Q510" s="111"/>
      <c r="AB510" s="27"/>
    </row>
    <row r="511" spans="1:28" ht="15.75" customHeight="1" x14ac:dyDescent="0.35">
      <c r="A511" s="224"/>
      <c r="B511" s="27"/>
      <c r="C511" s="237"/>
      <c r="D511" s="127"/>
      <c r="E511" s="128"/>
      <c r="F511" s="111"/>
      <c r="G511" s="111"/>
      <c r="M511" s="111"/>
      <c r="N511" s="111"/>
      <c r="O511" s="111"/>
      <c r="P511" s="111"/>
      <c r="Q511" s="111"/>
      <c r="AB511" s="27"/>
    </row>
    <row r="512" spans="1:28" ht="15.75" customHeight="1" x14ac:dyDescent="0.35">
      <c r="A512" s="224"/>
      <c r="B512" s="27"/>
      <c r="C512" s="237"/>
      <c r="D512" s="127"/>
      <c r="E512" s="128"/>
      <c r="F512" s="111"/>
      <c r="G512" s="111"/>
      <c r="M512" s="111"/>
      <c r="N512" s="111"/>
      <c r="O512" s="111"/>
      <c r="P512" s="111"/>
      <c r="Q512" s="111"/>
      <c r="AB512" s="27"/>
    </row>
    <row r="513" spans="1:28" ht="15.75" customHeight="1" x14ac:dyDescent="0.35">
      <c r="A513" s="224"/>
      <c r="B513" s="27"/>
      <c r="C513" s="237"/>
      <c r="D513" s="127"/>
      <c r="E513" s="128"/>
      <c r="F513" s="111"/>
      <c r="G513" s="111"/>
      <c r="M513" s="111"/>
      <c r="N513" s="111"/>
      <c r="O513" s="111"/>
      <c r="P513" s="111"/>
      <c r="Q513" s="111"/>
      <c r="AB513" s="27"/>
    </row>
    <row r="514" spans="1:28" ht="15.75" customHeight="1" x14ac:dyDescent="0.35">
      <c r="A514" s="224"/>
      <c r="B514" s="27"/>
      <c r="C514" s="237"/>
      <c r="D514" s="127"/>
      <c r="E514" s="128"/>
      <c r="F514" s="111"/>
      <c r="G514" s="111"/>
      <c r="M514" s="111"/>
      <c r="N514" s="111"/>
      <c r="O514" s="111"/>
      <c r="P514" s="111"/>
      <c r="Q514" s="111"/>
      <c r="AB514" s="27"/>
    </row>
    <row r="515" spans="1:28" ht="15.75" customHeight="1" x14ac:dyDescent="0.35">
      <c r="A515" s="224"/>
      <c r="B515" s="27"/>
      <c r="C515" s="237"/>
      <c r="D515" s="127"/>
      <c r="E515" s="128"/>
      <c r="F515" s="111"/>
      <c r="G515" s="111"/>
      <c r="M515" s="111"/>
      <c r="N515" s="111"/>
      <c r="O515" s="111"/>
      <c r="P515" s="111"/>
      <c r="Q515" s="111"/>
      <c r="AB515" s="27"/>
    </row>
    <row r="516" spans="1:28" ht="15.75" customHeight="1" x14ac:dyDescent="0.35">
      <c r="A516" s="224"/>
      <c r="B516" s="27"/>
      <c r="C516" s="237"/>
      <c r="D516" s="127"/>
      <c r="E516" s="128"/>
      <c r="F516" s="111"/>
      <c r="G516" s="111"/>
      <c r="M516" s="111"/>
      <c r="N516" s="111"/>
      <c r="O516" s="111"/>
      <c r="P516" s="111"/>
      <c r="Q516" s="111"/>
      <c r="AB516" s="27"/>
    </row>
    <row r="517" spans="1:28" ht="15.75" customHeight="1" x14ac:dyDescent="0.35">
      <c r="A517" s="224"/>
      <c r="B517" s="27"/>
      <c r="C517" s="237"/>
      <c r="D517" s="127"/>
      <c r="E517" s="128"/>
      <c r="F517" s="111"/>
      <c r="G517" s="111"/>
      <c r="M517" s="111"/>
      <c r="N517" s="111"/>
      <c r="O517" s="111"/>
      <c r="P517" s="111"/>
      <c r="Q517" s="111"/>
      <c r="AB517" s="27"/>
    </row>
    <row r="518" spans="1:28" ht="15.75" customHeight="1" x14ac:dyDescent="0.35">
      <c r="A518" s="224"/>
      <c r="B518" s="27"/>
      <c r="C518" s="237"/>
      <c r="D518" s="127"/>
      <c r="E518" s="128"/>
      <c r="F518" s="111"/>
      <c r="G518" s="111"/>
      <c r="M518" s="111"/>
      <c r="N518" s="111"/>
      <c r="O518" s="111"/>
      <c r="P518" s="111"/>
      <c r="Q518" s="111"/>
      <c r="AB518" s="27"/>
    </row>
    <row r="519" spans="1:28" ht="15.75" customHeight="1" x14ac:dyDescent="0.35">
      <c r="A519" s="224"/>
      <c r="B519" s="27"/>
      <c r="C519" s="237"/>
      <c r="D519" s="127"/>
      <c r="E519" s="128"/>
      <c r="F519" s="111"/>
      <c r="G519" s="111"/>
      <c r="M519" s="111"/>
      <c r="N519" s="111"/>
      <c r="O519" s="111"/>
      <c r="P519" s="111"/>
      <c r="Q519" s="111"/>
      <c r="AB519" s="27"/>
    </row>
    <row r="520" spans="1:28" ht="15.75" customHeight="1" x14ac:dyDescent="0.35">
      <c r="A520" s="224"/>
      <c r="B520" s="27"/>
      <c r="C520" s="237"/>
      <c r="D520" s="127"/>
      <c r="E520" s="128"/>
      <c r="F520" s="111"/>
      <c r="G520" s="111"/>
      <c r="M520" s="111"/>
      <c r="N520" s="111"/>
      <c r="O520" s="111"/>
      <c r="P520" s="111"/>
      <c r="Q520" s="111"/>
      <c r="AB520" s="27"/>
    </row>
    <row r="521" spans="1:28" ht="15.75" customHeight="1" x14ac:dyDescent="0.35">
      <c r="A521" s="224"/>
      <c r="B521" s="27"/>
      <c r="C521" s="237"/>
      <c r="D521" s="127"/>
      <c r="E521" s="128"/>
      <c r="F521" s="111"/>
      <c r="G521" s="111"/>
      <c r="M521" s="111"/>
      <c r="N521" s="111"/>
      <c r="O521" s="111"/>
      <c r="P521" s="111"/>
      <c r="Q521" s="111"/>
      <c r="AB521" s="27"/>
    </row>
    <row r="522" spans="1:28" ht="15.75" customHeight="1" x14ac:dyDescent="0.35">
      <c r="A522" s="224"/>
      <c r="B522" s="27"/>
      <c r="C522" s="237"/>
      <c r="D522" s="127"/>
      <c r="E522" s="128"/>
      <c r="F522" s="111"/>
      <c r="G522" s="111"/>
      <c r="M522" s="111"/>
      <c r="N522" s="111"/>
      <c r="O522" s="111"/>
      <c r="P522" s="111"/>
      <c r="Q522" s="111"/>
      <c r="AB522" s="27"/>
    </row>
    <row r="523" spans="1:28" ht="15.75" customHeight="1" x14ac:dyDescent="0.35">
      <c r="A523" s="224"/>
      <c r="B523" s="27"/>
      <c r="C523" s="237"/>
      <c r="D523" s="127"/>
      <c r="E523" s="128"/>
      <c r="F523" s="111"/>
      <c r="G523" s="111"/>
      <c r="M523" s="111"/>
      <c r="N523" s="111"/>
      <c r="O523" s="111"/>
      <c r="P523" s="111"/>
      <c r="Q523" s="111"/>
      <c r="AB523" s="27"/>
    </row>
    <row r="524" spans="1:28" ht="15.75" customHeight="1" x14ac:dyDescent="0.35">
      <c r="A524" s="224"/>
      <c r="B524" s="27"/>
      <c r="C524" s="237"/>
      <c r="D524" s="127"/>
      <c r="E524" s="128"/>
      <c r="F524" s="111"/>
      <c r="G524" s="111"/>
      <c r="M524" s="111"/>
      <c r="N524" s="111"/>
      <c r="O524" s="111"/>
      <c r="P524" s="111"/>
      <c r="Q524" s="111"/>
      <c r="AB524" s="27"/>
    </row>
    <row r="525" spans="1:28" ht="15.75" customHeight="1" x14ac:dyDescent="0.35">
      <c r="A525" s="224"/>
      <c r="B525" s="27"/>
      <c r="C525" s="237"/>
      <c r="D525" s="127"/>
      <c r="E525" s="128"/>
      <c r="F525" s="111"/>
      <c r="G525" s="111"/>
      <c r="M525" s="111"/>
      <c r="N525" s="111"/>
      <c r="O525" s="111"/>
      <c r="P525" s="111"/>
      <c r="Q525" s="111"/>
      <c r="AB525" s="27"/>
    </row>
    <row r="526" spans="1:28" ht="15.75" customHeight="1" x14ac:dyDescent="0.35">
      <c r="A526" s="224"/>
      <c r="B526" s="27"/>
      <c r="C526" s="237"/>
      <c r="D526" s="127"/>
      <c r="E526" s="128"/>
      <c r="F526" s="111"/>
      <c r="G526" s="111"/>
      <c r="M526" s="111"/>
      <c r="N526" s="111"/>
      <c r="O526" s="111"/>
      <c r="P526" s="111"/>
      <c r="Q526" s="111"/>
      <c r="AB526" s="27"/>
    </row>
    <row r="527" spans="1:28" ht="15.75" customHeight="1" x14ac:dyDescent="0.35">
      <c r="A527" s="224"/>
      <c r="B527" s="27"/>
      <c r="C527" s="237"/>
      <c r="D527" s="127"/>
      <c r="E527" s="128"/>
      <c r="F527" s="111"/>
      <c r="G527" s="111"/>
      <c r="M527" s="111"/>
      <c r="N527" s="111"/>
      <c r="O527" s="111"/>
      <c r="P527" s="111"/>
      <c r="Q527" s="111"/>
      <c r="AB527" s="27"/>
    </row>
    <row r="528" spans="1:28" ht="15.75" customHeight="1" x14ac:dyDescent="0.35">
      <c r="A528" s="224"/>
      <c r="B528" s="27"/>
      <c r="C528" s="237"/>
      <c r="D528" s="127"/>
      <c r="E528" s="128"/>
      <c r="F528" s="111"/>
      <c r="G528" s="111"/>
      <c r="M528" s="111"/>
      <c r="N528" s="111"/>
      <c r="O528" s="111"/>
      <c r="P528" s="111"/>
      <c r="Q528" s="111"/>
      <c r="AB528" s="27"/>
    </row>
    <row r="529" spans="1:28" ht="15.75" customHeight="1" x14ac:dyDescent="0.35">
      <c r="A529" s="224"/>
      <c r="B529" s="27"/>
      <c r="C529" s="237"/>
      <c r="D529" s="127"/>
      <c r="E529" s="128"/>
      <c r="F529" s="111"/>
      <c r="G529" s="111"/>
      <c r="M529" s="111"/>
      <c r="N529" s="111"/>
      <c r="O529" s="111"/>
      <c r="P529" s="111"/>
      <c r="Q529" s="111"/>
      <c r="AB529" s="27"/>
    </row>
    <row r="530" spans="1:28" ht="15.75" customHeight="1" x14ac:dyDescent="0.35">
      <c r="A530" s="224"/>
      <c r="B530" s="27"/>
      <c r="C530" s="237"/>
      <c r="D530" s="127"/>
      <c r="E530" s="128"/>
      <c r="F530" s="111"/>
      <c r="G530" s="111"/>
      <c r="M530" s="111"/>
      <c r="N530" s="111"/>
      <c r="O530" s="111"/>
      <c r="P530" s="111"/>
      <c r="Q530" s="111"/>
      <c r="AB530" s="27"/>
    </row>
    <row r="531" spans="1:28" ht="15.75" customHeight="1" x14ac:dyDescent="0.35">
      <c r="A531" s="224"/>
      <c r="B531" s="27"/>
      <c r="C531" s="237"/>
      <c r="D531" s="127"/>
      <c r="E531" s="128"/>
      <c r="F531" s="111"/>
      <c r="G531" s="111"/>
      <c r="M531" s="111"/>
      <c r="N531" s="111"/>
      <c r="O531" s="111"/>
      <c r="P531" s="111"/>
      <c r="Q531" s="111"/>
      <c r="AB531" s="27"/>
    </row>
    <row r="532" spans="1:28" ht="15.75" customHeight="1" x14ac:dyDescent="0.35">
      <c r="A532" s="224"/>
      <c r="B532" s="27"/>
      <c r="C532" s="237"/>
      <c r="D532" s="127"/>
      <c r="E532" s="128"/>
      <c r="F532" s="111"/>
      <c r="G532" s="111"/>
      <c r="M532" s="111"/>
      <c r="N532" s="111"/>
      <c r="O532" s="111"/>
      <c r="P532" s="111"/>
      <c r="Q532" s="111"/>
      <c r="AB532" s="27"/>
    </row>
    <row r="533" spans="1:28" ht="15.75" customHeight="1" x14ac:dyDescent="0.35">
      <c r="A533" s="224"/>
      <c r="B533" s="27"/>
      <c r="C533" s="237"/>
      <c r="D533" s="127"/>
      <c r="E533" s="128"/>
      <c r="F533" s="111"/>
      <c r="G533" s="111"/>
      <c r="M533" s="111"/>
      <c r="N533" s="111"/>
      <c r="O533" s="111"/>
      <c r="P533" s="111"/>
      <c r="Q533" s="111"/>
      <c r="AB533" s="27"/>
    </row>
    <row r="534" spans="1:28" ht="15.75" customHeight="1" x14ac:dyDescent="0.35">
      <c r="A534" s="224"/>
      <c r="B534" s="27"/>
      <c r="C534" s="237"/>
      <c r="D534" s="127"/>
      <c r="E534" s="128"/>
      <c r="F534" s="111"/>
      <c r="G534" s="111"/>
      <c r="M534" s="111"/>
      <c r="N534" s="111"/>
      <c r="O534" s="111"/>
      <c r="P534" s="111"/>
      <c r="Q534" s="111"/>
      <c r="AB534" s="27"/>
    </row>
    <row r="535" spans="1:28" ht="15.75" customHeight="1" x14ac:dyDescent="0.35">
      <c r="A535" s="224"/>
      <c r="B535" s="27"/>
      <c r="C535" s="237"/>
      <c r="D535" s="127"/>
      <c r="E535" s="128"/>
      <c r="F535" s="111"/>
      <c r="G535" s="111"/>
      <c r="M535" s="111"/>
      <c r="N535" s="111"/>
      <c r="O535" s="111"/>
      <c r="P535" s="111"/>
      <c r="Q535" s="111"/>
      <c r="AB535" s="27"/>
    </row>
    <row r="536" spans="1:28" ht="15.75" customHeight="1" x14ac:dyDescent="0.35">
      <c r="A536" s="224"/>
      <c r="B536" s="27"/>
      <c r="C536" s="237"/>
      <c r="D536" s="127"/>
      <c r="E536" s="128"/>
      <c r="F536" s="111"/>
      <c r="G536" s="111"/>
      <c r="M536" s="111"/>
      <c r="N536" s="111"/>
      <c r="O536" s="111"/>
      <c r="P536" s="111"/>
      <c r="Q536" s="111"/>
      <c r="AB536" s="27"/>
    </row>
    <row r="537" spans="1:28" ht="15.75" customHeight="1" x14ac:dyDescent="0.35">
      <c r="A537" s="224"/>
      <c r="B537" s="27"/>
      <c r="C537" s="237"/>
      <c r="D537" s="127"/>
      <c r="E537" s="128"/>
      <c r="F537" s="111"/>
      <c r="G537" s="111"/>
      <c r="M537" s="111"/>
      <c r="N537" s="111"/>
      <c r="O537" s="111"/>
      <c r="P537" s="111"/>
      <c r="Q537" s="111"/>
      <c r="AB537" s="27"/>
    </row>
    <row r="538" spans="1:28" ht="15.75" customHeight="1" x14ac:dyDescent="0.35">
      <c r="A538" s="224"/>
      <c r="B538" s="27"/>
      <c r="C538" s="237"/>
      <c r="D538" s="127"/>
      <c r="E538" s="128"/>
      <c r="F538" s="111"/>
      <c r="G538" s="111"/>
      <c r="M538" s="111"/>
      <c r="N538" s="111"/>
      <c r="O538" s="111"/>
      <c r="P538" s="111"/>
      <c r="Q538" s="111"/>
      <c r="AB538" s="27"/>
    </row>
    <row r="539" spans="1:28" ht="15.75" customHeight="1" x14ac:dyDescent="0.35">
      <c r="A539" s="224"/>
      <c r="B539" s="27"/>
      <c r="C539" s="237"/>
      <c r="D539" s="127"/>
      <c r="E539" s="128"/>
      <c r="F539" s="111"/>
      <c r="G539" s="111"/>
      <c r="M539" s="111"/>
      <c r="N539" s="111"/>
      <c r="O539" s="111"/>
      <c r="P539" s="111"/>
      <c r="Q539" s="111"/>
      <c r="AB539" s="27"/>
    </row>
    <row r="540" spans="1:28" ht="15.75" customHeight="1" x14ac:dyDescent="0.35">
      <c r="A540" s="224"/>
      <c r="B540" s="27"/>
      <c r="C540" s="237"/>
      <c r="D540" s="127"/>
      <c r="E540" s="128"/>
      <c r="F540" s="111"/>
      <c r="G540" s="111"/>
      <c r="M540" s="111"/>
      <c r="N540" s="111"/>
      <c r="O540" s="111"/>
      <c r="P540" s="111"/>
      <c r="Q540" s="111"/>
      <c r="AB540" s="27"/>
    </row>
    <row r="541" spans="1:28" ht="15.75" customHeight="1" x14ac:dyDescent="0.35">
      <c r="A541" s="224"/>
      <c r="B541" s="27"/>
      <c r="C541" s="237"/>
      <c r="D541" s="127"/>
      <c r="E541" s="128"/>
      <c r="F541" s="111"/>
      <c r="G541" s="111"/>
      <c r="M541" s="111"/>
      <c r="N541" s="111"/>
      <c r="O541" s="111"/>
      <c r="P541" s="111"/>
      <c r="Q541" s="111"/>
      <c r="AB541" s="27"/>
    </row>
    <row r="542" spans="1:28" ht="15.75" customHeight="1" x14ac:dyDescent="0.35">
      <c r="A542" s="224"/>
      <c r="B542" s="27"/>
      <c r="C542" s="237"/>
      <c r="D542" s="127"/>
      <c r="E542" s="128"/>
      <c r="F542" s="111"/>
      <c r="G542" s="111"/>
      <c r="M542" s="111"/>
      <c r="N542" s="111"/>
      <c r="O542" s="111"/>
      <c r="P542" s="111"/>
      <c r="Q542" s="111"/>
      <c r="AB542" s="27"/>
    </row>
    <row r="543" spans="1:28" ht="15.75" customHeight="1" x14ac:dyDescent="0.35">
      <c r="A543" s="224"/>
      <c r="B543" s="27"/>
      <c r="C543" s="237"/>
      <c r="D543" s="127"/>
      <c r="E543" s="128"/>
      <c r="F543" s="111"/>
      <c r="G543" s="111"/>
      <c r="M543" s="111"/>
      <c r="N543" s="111"/>
      <c r="O543" s="111"/>
      <c r="P543" s="111"/>
      <c r="Q543" s="111"/>
      <c r="AB543" s="27"/>
    </row>
    <row r="544" spans="1:28" ht="15.75" customHeight="1" x14ac:dyDescent="0.35">
      <c r="A544" s="224"/>
      <c r="B544" s="27"/>
      <c r="C544" s="237"/>
      <c r="D544" s="127"/>
      <c r="E544" s="128"/>
      <c r="F544" s="111"/>
      <c r="G544" s="111"/>
      <c r="M544" s="111"/>
      <c r="N544" s="111"/>
      <c r="O544" s="111"/>
      <c r="P544" s="111"/>
      <c r="Q544" s="111"/>
      <c r="AB544" s="27"/>
    </row>
    <row r="545" spans="1:28" ht="15.75" customHeight="1" x14ac:dyDescent="0.35">
      <c r="A545" s="224"/>
      <c r="B545" s="27"/>
      <c r="C545" s="237"/>
      <c r="D545" s="127"/>
      <c r="E545" s="128"/>
      <c r="F545" s="111"/>
      <c r="G545" s="111"/>
      <c r="M545" s="111"/>
      <c r="N545" s="111"/>
      <c r="O545" s="111"/>
      <c r="P545" s="111"/>
      <c r="Q545" s="111"/>
      <c r="AB545" s="27"/>
    </row>
    <row r="546" spans="1:28" ht="15.75" customHeight="1" x14ac:dyDescent="0.35">
      <c r="A546" s="224"/>
      <c r="B546" s="27"/>
      <c r="C546" s="237"/>
      <c r="D546" s="127"/>
      <c r="E546" s="128"/>
      <c r="F546" s="111"/>
      <c r="G546" s="111"/>
      <c r="M546" s="111"/>
      <c r="N546" s="111"/>
      <c r="O546" s="111"/>
      <c r="P546" s="111"/>
      <c r="Q546" s="111"/>
      <c r="AB546" s="27"/>
    </row>
    <row r="547" spans="1:28" ht="15.75" customHeight="1" x14ac:dyDescent="0.35">
      <c r="A547" s="224"/>
      <c r="B547" s="27"/>
      <c r="C547" s="237"/>
      <c r="D547" s="127"/>
      <c r="E547" s="128"/>
      <c r="F547" s="111"/>
      <c r="G547" s="111"/>
      <c r="M547" s="111"/>
      <c r="N547" s="111"/>
      <c r="O547" s="111"/>
      <c r="P547" s="111"/>
      <c r="Q547" s="111"/>
      <c r="AB547" s="27"/>
    </row>
    <row r="548" spans="1:28" ht="15.75" customHeight="1" x14ac:dyDescent="0.35">
      <c r="A548" s="224"/>
      <c r="B548" s="27"/>
      <c r="C548" s="237"/>
      <c r="D548" s="127"/>
      <c r="E548" s="128"/>
      <c r="F548" s="111"/>
      <c r="G548" s="111"/>
      <c r="M548" s="111"/>
      <c r="N548" s="111"/>
      <c r="O548" s="111"/>
      <c r="P548" s="111"/>
      <c r="Q548" s="111"/>
      <c r="AB548" s="27"/>
    </row>
    <row r="549" spans="1:28" ht="15.75" customHeight="1" x14ac:dyDescent="0.35">
      <c r="A549" s="224"/>
      <c r="B549" s="27"/>
      <c r="C549" s="237"/>
      <c r="D549" s="127"/>
      <c r="E549" s="128"/>
      <c r="F549" s="111"/>
      <c r="G549" s="111"/>
      <c r="M549" s="111"/>
      <c r="N549" s="111"/>
      <c r="O549" s="111"/>
      <c r="P549" s="111"/>
      <c r="Q549" s="111"/>
      <c r="AB549" s="27"/>
    </row>
    <row r="550" spans="1:28" ht="15.75" customHeight="1" x14ac:dyDescent="0.35">
      <c r="A550" s="224"/>
      <c r="B550" s="27"/>
      <c r="C550" s="237"/>
      <c r="D550" s="127"/>
      <c r="E550" s="128"/>
      <c r="F550" s="111"/>
      <c r="G550" s="111"/>
      <c r="M550" s="111"/>
      <c r="N550" s="111"/>
      <c r="O550" s="111"/>
      <c r="P550" s="111"/>
      <c r="Q550" s="111"/>
      <c r="AB550" s="27"/>
    </row>
    <row r="551" spans="1:28" ht="15.75" customHeight="1" x14ac:dyDescent="0.35">
      <c r="A551" s="224"/>
      <c r="B551" s="27"/>
      <c r="C551" s="237"/>
      <c r="D551" s="127"/>
      <c r="E551" s="128"/>
      <c r="F551" s="111"/>
      <c r="G551" s="111"/>
      <c r="M551" s="111"/>
      <c r="N551" s="111"/>
      <c r="O551" s="111"/>
      <c r="P551" s="111"/>
      <c r="Q551" s="111"/>
      <c r="AB551" s="27"/>
    </row>
    <row r="552" spans="1:28" ht="15.75" customHeight="1" x14ac:dyDescent="0.35">
      <c r="A552" s="224"/>
      <c r="B552" s="27"/>
      <c r="C552" s="237"/>
      <c r="D552" s="127"/>
      <c r="E552" s="128"/>
      <c r="F552" s="111"/>
      <c r="G552" s="111"/>
      <c r="M552" s="111"/>
      <c r="N552" s="111"/>
      <c r="O552" s="111"/>
      <c r="P552" s="111"/>
      <c r="Q552" s="111"/>
      <c r="AB552" s="27"/>
    </row>
    <row r="553" spans="1:28" ht="15.75" customHeight="1" x14ac:dyDescent="0.35">
      <c r="A553" s="224"/>
      <c r="B553" s="27"/>
      <c r="C553" s="237"/>
      <c r="D553" s="127"/>
      <c r="E553" s="128"/>
      <c r="F553" s="111"/>
      <c r="G553" s="111"/>
      <c r="M553" s="111"/>
      <c r="N553" s="111"/>
      <c r="O553" s="111"/>
      <c r="P553" s="111"/>
      <c r="Q553" s="111"/>
      <c r="AB553" s="27"/>
    </row>
    <row r="554" spans="1:28" ht="15.75" customHeight="1" x14ac:dyDescent="0.35">
      <c r="A554" s="224"/>
      <c r="B554" s="27"/>
      <c r="C554" s="237"/>
      <c r="D554" s="127"/>
      <c r="E554" s="128"/>
      <c r="F554" s="111"/>
      <c r="G554" s="111"/>
      <c r="M554" s="111"/>
      <c r="N554" s="111"/>
      <c r="O554" s="111"/>
      <c r="P554" s="111"/>
      <c r="Q554" s="111"/>
      <c r="AB554" s="27"/>
    </row>
    <row r="555" spans="1:28" ht="15.75" customHeight="1" x14ac:dyDescent="0.35">
      <c r="A555" s="224"/>
      <c r="B555" s="27"/>
      <c r="C555" s="237"/>
      <c r="D555" s="127"/>
      <c r="E555" s="128"/>
      <c r="F555" s="111"/>
      <c r="G555" s="111"/>
      <c r="M555" s="111"/>
      <c r="N555" s="111"/>
      <c r="O555" s="111"/>
      <c r="P555" s="111"/>
      <c r="Q555" s="111"/>
      <c r="AB555" s="27"/>
    </row>
    <row r="556" spans="1:28" ht="15.75" customHeight="1" x14ac:dyDescent="0.35">
      <c r="A556" s="224"/>
      <c r="B556" s="27"/>
      <c r="C556" s="237"/>
      <c r="D556" s="127"/>
      <c r="E556" s="128"/>
      <c r="F556" s="111"/>
      <c r="G556" s="111"/>
      <c r="M556" s="111"/>
      <c r="N556" s="111"/>
      <c r="O556" s="111"/>
      <c r="P556" s="111"/>
      <c r="Q556" s="111"/>
      <c r="AB556" s="27"/>
    </row>
    <row r="557" spans="1:28" ht="15.75" customHeight="1" x14ac:dyDescent="0.35">
      <c r="A557" s="224"/>
      <c r="B557" s="27"/>
      <c r="C557" s="237"/>
      <c r="D557" s="127"/>
      <c r="E557" s="128"/>
      <c r="F557" s="111"/>
      <c r="G557" s="111"/>
      <c r="M557" s="111"/>
      <c r="N557" s="111"/>
      <c r="O557" s="111"/>
      <c r="P557" s="111"/>
      <c r="Q557" s="111"/>
      <c r="AB557" s="27"/>
    </row>
    <row r="558" spans="1:28" ht="15.75" customHeight="1" x14ac:dyDescent="0.35">
      <c r="A558" s="224"/>
      <c r="B558" s="27"/>
      <c r="C558" s="237"/>
      <c r="D558" s="127"/>
      <c r="E558" s="128"/>
      <c r="F558" s="111"/>
      <c r="G558" s="111"/>
      <c r="M558" s="111"/>
      <c r="N558" s="111"/>
      <c r="O558" s="111"/>
      <c r="P558" s="111"/>
      <c r="Q558" s="111"/>
      <c r="AB558" s="27"/>
    </row>
    <row r="559" spans="1:28" ht="15.75" customHeight="1" x14ac:dyDescent="0.35">
      <c r="A559" s="224"/>
      <c r="B559" s="27"/>
      <c r="C559" s="237"/>
      <c r="D559" s="127"/>
      <c r="E559" s="128"/>
      <c r="F559" s="111"/>
      <c r="G559" s="111"/>
      <c r="M559" s="111"/>
      <c r="N559" s="111"/>
      <c r="O559" s="111"/>
      <c r="P559" s="111"/>
      <c r="Q559" s="111"/>
      <c r="AB559" s="27"/>
    </row>
    <row r="560" spans="1:28" ht="15.75" customHeight="1" x14ac:dyDescent="0.35">
      <c r="A560" s="224"/>
      <c r="B560" s="27"/>
      <c r="C560" s="237"/>
      <c r="D560" s="127"/>
      <c r="E560" s="128"/>
      <c r="F560" s="111"/>
      <c r="G560" s="111"/>
      <c r="M560" s="111"/>
      <c r="N560" s="111"/>
      <c r="O560" s="111"/>
      <c r="P560" s="111"/>
      <c r="Q560" s="111"/>
      <c r="AB560" s="27"/>
    </row>
    <row r="561" spans="1:28" ht="15.75" customHeight="1" x14ac:dyDescent="0.35">
      <c r="A561" s="224"/>
      <c r="B561" s="27"/>
      <c r="C561" s="237"/>
      <c r="D561" s="127"/>
      <c r="E561" s="128"/>
      <c r="F561" s="111"/>
      <c r="G561" s="111"/>
      <c r="M561" s="111"/>
      <c r="N561" s="111"/>
      <c r="O561" s="111"/>
      <c r="P561" s="111"/>
      <c r="Q561" s="111"/>
      <c r="AB561" s="27"/>
    </row>
    <row r="562" spans="1:28" ht="15.75" customHeight="1" x14ac:dyDescent="0.35">
      <c r="A562" s="224"/>
      <c r="B562" s="27"/>
      <c r="C562" s="237"/>
      <c r="D562" s="127"/>
      <c r="E562" s="128"/>
      <c r="F562" s="111"/>
      <c r="G562" s="111"/>
      <c r="M562" s="111"/>
      <c r="N562" s="111"/>
      <c r="O562" s="111"/>
      <c r="P562" s="111"/>
      <c r="Q562" s="111"/>
      <c r="AB562" s="27"/>
    </row>
    <row r="563" spans="1:28" ht="15.75" customHeight="1" x14ac:dyDescent="0.35">
      <c r="A563" s="224"/>
      <c r="B563" s="27"/>
      <c r="C563" s="237"/>
      <c r="D563" s="127"/>
      <c r="E563" s="128"/>
      <c r="F563" s="111"/>
      <c r="G563" s="111"/>
      <c r="M563" s="111"/>
      <c r="N563" s="111"/>
      <c r="O563" s="111"/>
      <c r="P563" s="111"/>
      <c r="Q563" s="111"/>
      <c r="AB563" s="27"/>
    </row>
    <row r="564" spans="1:28" ht="15.75" customHeight="1" x14ac:dyDescent="0.35">
      <c r="A564" s="224"/>
      <c r="B564" s="27"/>
      <c r="C564" s="237"/>
      <c r="D564" s="127"/>
      <c r="E564" s="128"/>
      <c r="F564" s="111"/>
      <c r="G564" s="111"/>
      <c r="M564" s="111"/>
      <c r="N564" s="111"/>
      <c r="O564" s="111"/>
      <c r="P564" s="111"/>
      <c r="Q564" s="111"/>
      <c r="AB564" s="27"/>
    </row>
    <row r="565" spans="1:28" ht="15.75" customHeight="1" x14ac:dyDescent="0.35">
      <c r="A565" s="224"/>
      <c r="B565" s="27"/>
      <c r="C565" s="237"/>
      <c r="D565" s="127"/>
      <c r="E565" s="128"/>
      <c r="F565" s="111"/>
      <c r="G565" s="111"/>
      <c r="M565" s="111"/>
      <c r="N565" s="111"/>
      <c r="O565" s="111"/>
      <c r="P565" s="111"/>
      <c r="Q565" s="111"/>
      <c r="AB565" s="27"/>
    </row>
    <row r="566" spans="1:28" ht="15.75" customHeight="1" x14ac:dyDescent="0.35">
      <c r="A566" s="224"/>
      <c r="B566" s="27"/>
      <c r="C566" s="237"/>
      <c r="D566" s="127"/>
      <c r="E566" s="128"/>
      <c r="F566" s="111"/>
      <c r="G566" s="111"/>
      <c r="M566" s="111"/>
      <c r="N566" s="111"/>
      <c r="O566" s="111"/>
      <c r="P566" s="111"/>
      <c r="Q566" s="111"/>
      <c r="AB566" s="27"/>
    </row>
    <row r="567" spans="1:28" ht="15.75" customHeight="1" x14ac:dyDescent="0.35">
      <c r="A567" s="224"/>
      <c r="B567" s="27"/>
      <c r="C567" s="237"/>
      <c r="D567" s="127"/>
      <c r="E567" s="128"/>
      <c r="F567" s="111"/>
      <c r="G567" s="111"/>
      <c r="M567" s="111"/>
      <c r="N567" s="111"/>
      <c r="O567" s="111"/>
      <c r="P567" s="111"/>
      <c r="Q567" s="111"/>
      <c r="AB567" s="27"/>
    </row>
    <row r="568" spans="1:28" ht="15.75" customHeight="1" x14ac:dyDescent="0.35">
      <c r="A568" s="224"/>
      <c r="B568" s="27"/>
      <c r="C568" s="237"/>
      <c r="D568" s="127"/>
      <c r="E568" s="128"/>
      <c r="F568" s="111"/>
      <c r="G568" s="111"/>
      <c r="M568" s="111"/>
      <c r="N568" s="111"/>
      <c r="O568" s="111"/>
      <c r="P568" s="111"/>
      <c r="Q568" s="111"/>
      <c r="AB568" s="27"/>
    </row>
    <row r="569" spans="1:28" ht="15.75" customHeight="1" x14ac:dyDescent="0.35">
      <c r="A569" s="224"/>
      <c r="B569" s="27"/>
      <c r="C569" s="237"/>
      <c r="D569" s="127"/>
      <c r="E569" s="128"/>
      <c r="F569" s="111"/>
      <c r="G569" s="111"/>
      <c r="M569" s="111"/>
      <c r="N569" s="111"/>
      <c r="O569" s="111"/>
      <c r="P569" s="111"/>
      <c r="Q569" s="111"/>
      <c r="AB569" s="27"/>
    </row>
    <row r="570" spans="1:28" ht="15.75" customHeight="1" x14ac:dyDescent="0.35">
      <c r="A570" s="224"/>
      <c r="B570" s="27"/>
      <c r="C570" s="237"/>
      <c r="D570" s="127"/>
      <c r="E570" s="128"/>
      <c r="F570" s="111"/>
      <c r="G570" s="111"/>
      <c r="M570" s="111"/>
      <c r="N570" s="111"/>
      <c r="O570" s="111"/>
      <c r="P570" s="111"/>
      <c r="Q570" s="111"/>
      <c r="AB570" s="27"/>
    </row>
    <row r="571" spans="1:28" ht="15.75" customHeight="1" x14ac:dyDescent="0.35">
      <c r="A571" s="224"/>
      <c r="B571" s="27"/>
      <c r="C571" s="237"/>
      <c r="D571" s="127"/>
      <c r="E571" s="128"/>
      <c r="F571" s="111"/>
      <c r="G571" s="111"/>
      <c r="M571" s="111"/>
      <c r="N571" s="111"/>
      <c r="O571" s="111"/>
      <c r="P571" s="111"/>
      <c r="Q571" s="111"/>
      <c r="AB571" s="27"/>
    </row>
    <row r="572" spans="1:28" ht="15.75" customHeight="1" x14ac:dyDescent="0.35">
      <c r="A572" s="224"/>
      <c r="B572" s="27"/>
      <c r="C572" s="237"/>
      <c r="D572" s="127"/>
      <c r="E572" s="128"/>
      <c r="F572" s="111"/>
      <c r="G572" s="111"/>
      <c r="M572" s="111"/>
      <c r="N572" s="111"/>
      <c r="O572" s="111"/>
      <c r="P572" s="111"/>
      <c r="Q572" s="111"/>
      <c r="AB572" s="27"/>
    </row>
    <row r="573" spans="1:28" ht="15.75" customHeight="1" x14ac:dyDescent="0.35">
      <c r="A573" s="224"/>
      <c r="B573" s="27"/>
      <c r="C573" s="237"/>
      <c r="D573" s="127"/>
      <c r="E573" s="128"/>
      <c r="F573" s="111"/>
      <c r="G573" s="111"/>
      <c r="M573" s="111"/>
      <c r="N573" s="111"/>
      <c r="O573" s="111"/>
      <c r="P573" s="111"/>
      <c r="Q573" s="111"/>
      <c r="AB573" s="27"/>
    </row>
    <row r="574" spans="1:28" ht="15.75" customHeight="1" x14ac:dyDescent="0.35">
      <c r="A574" s="224"/>
      <c r="B574" s="27"/>
      <c r="C574" s="237"/>
      <c r="D574" s="127"/>
      <c r="E574" s="128"/>
      <c r="F574" s="111"/>
      <c r="G574" s="111"/>
      <c r="M574" s="111"/>
      <c r="N574" s="111"/>
      <c r="O574" s="111"/>
      <c r="P574" s="111"/>
      <c r="Q574" s="111"/>
      <c r="AB574" s="27"/>
    </row>
    <row r="575" spans="1:28" ht="15.75" customHeight="1" x14ac:dyDescent="0.35">
      <c r="A575" s="224"/>
      <c r="B575" s="27"/>
      <c r="C575" s="237"/>
      <c r="D575" s="127"/>
      <c r="E575" s="128"/>
      <c r="F575" s="111"/>
      <c r="G575" s="111"/>
      <c r="M575" s="111"/>
      <c r="N575" s="111"/>
      <c r="O575" s="111"/>
      <c r="P575" s="111"/>
      <c r="Q575" s="111"/>
      <c r="AB575" s="27"/>
    </row>
    <row r="576" spans="1:28" ht="15.75" customHeight="1" x14ac:dyDescent="0.35">
      <c r="A576" s="224"/>
      <c r="B576" s="27"/>
      <c r="C576" s="237"/>
      <c r="D576" s="127"/>
      <c r="E576" s="128"/>
      <c r="F576" s="111"/>
      <c r="G576" s="111"/>
      <c r="M576" s="111"/>
      <c r="N576" s="111"/>
      <c r="O576" s="111"/>
      <c r="P576" s="111"/>
      <c r="Q576" s="111"/>
      <c r="AB576" s="27"/>
    </row>
    <row r="577" spans="1:28" ht="15.75" customHeight="1" x14ac:dyDescent="0.35">
      <c r="A577" s="224"/>
      <c r="B577" s="27"/>
      <c r="C577" s="237"/>
      <c r="D577" s="127"/>
      <c r="E577" s="128"/>
      <c r="F577" s="111"/>
      <c r="G577" s="111"/>
      <c r="M577" s="111"/>
      <c r="N577" s="111"/>
      <c r="O577" s="111"/>
      <c r="P577" s="111"/>
      <c r="Q577" s="111"/>
      <c r="AB577" s="27"/>
    </row>
    <row r="578" spans="1:28" ht="15.75" customHeight="1" x14ac:dyDescent="0.35">
      <c r="A578" s="224"/>
      <c r="B578" s="27"/>
      <c r="C578" s="237"/>
      <c r="D578" s="127"/>
      <c r="E578" s="128"/>
      <c r="F578" s="111"/>
      <c r="G578" s="111"/>
      <c r="M578" s="111"/>
      <c r="N578" s="111"/>
      <c r="O578" s="111"/>
      <c r="P578" s="111"/>
      <c r="Q578" s="111"/>
      <c r="AB578" s="27"/>
    </row>
    <row r="579" spans="1:28" ht="15.75" customHeight="1" x14ac:dyDescent="0.35">
      <c r="A579" s="224"/>
      <c r="B579" s="27"/>
      <c r="C579" s="237"/>
      <c r="D579" s="127"/>
      <c r="E579" s="128"/>
      <c r="F579" s="111"/>
      <c r="G579" s="111"/>
      <c r="M579" s="111"/>
      <c r="N579" s="111"/>
      <c r="O579" s="111"/>
      <c r="P579" s="111"/>
      <c r="Q579" s="111"/>
      <c r="AB579" s="27"/>
    </row>
    <row r="580" spans="1:28" ht="15.75" customHeight="1" x14ac:dyDescent="0.35">
      <c r="A580" s="224"/>
      <c r="B580" s="27"/>
      <c r="C580" s="237"/>
      <c r="D580" s="127"/>
      <c r="E580" s="128"/>
      <c r="F580" s="111"/>
      <c r="G580" s="111"/>
      <c r="M580" s="111"/>
      <c r="N580" s="111"/>
      <c r="O580" s="111"/>
      <c r="P580" s="111"/>
      <c r="Q580" s="111"/>
      <c r="AB580" s="27"/>
    </row>
    <row r="581" spans="1:28" ht="15.75" customHeight="1" x14ac:dyDescent="0.35">
      <c r="A581" s="224"/>
      <c r="B581" s="27"/>
      <c r="C581" s="237"/>
      <c r="D581" s="127"/>
      <c r="E581" s="128"/>
      <c r="F581" s="111"/>
      <c r="G581" s="111"/>
      <c r="M581" s="111"/>
      <c r="N581" s="111"/>
      <c r="O581" s="111"/>
      <c r="P581" s="111"/>
      <c r="Q581" s="111"/>
      <c r="AB581" s="27"/>
    </row>
    <row r="582" spans="1:28" ht="15.75" customHeight="1" x14ac:dyDescent="0.35">
      <c r="A582" s="224"/>
      <c r="B582" s="27"/>
      <c r="C582" s="237"/>
      <c r="D582" s="127"/>
      <c r="E582" s="128"/>
      <c r="F582" s="111"/>
      <c r="G582" s="111"/>
      <c r="M582" s="111"/>
      <c r="N582" s="111"/>
      <c r="O582" s="111"/>
      <c r="P582" s="111"/>
      <c r="Q582" s="111"/>
      <c r="AB582" s="27"/>
    </row>
    <row r="583" spans="1:28" ht="15.75" customHeight="1" x14ac:dyDescent="0.35">
      <c r="A583" s="224"/>
      <c r="B583" s="27"/>
      <c r="C583" s="237"/>
      <c r="D583" s="127"/>
      <c r="E583" s="128"/>
      <c r="F583" s="111"/>
      <c r="G583" s="111"/>
      <c r="M583" s="111"/>
      <c r="N583" s="111"/>
      <c r="O583" s="111"/>
      <c r="P583" s="111"/>
      <c r="Q583" s="111"/>
      <c r="AB583" s="27"/>
    </row>
    <row r="584" spans="1:28" ht="15.75" customHeight="1" x14ac:dyDescent="0.35">
      <c r="A584" s="224"/>
      <c r="B584" s="27"/>
      <c r="C584" s="237"/>
      <c r="D584" s="127"/>
      <c r="E584" s="128"/>
      <c r="F584" s="111"/>
      <c r="G584" s="111"/>
      <c r="M584" s="111"/>
      <c r="N584" s="111"/>
      <c r="O584" s="111"/>
      <c r="P584" s="111"/>
      <c r="Q584" s="111"/>
      <c r="AB584" s="27"/>
    </row>
    <row r="585" spans="1:28" ht="15.75" customHeight="1" x14ac:dyDescent="0.35">
      <c r="A585" s="224"/>
      <c r="B585" s="27"/>
      <c r="C585" s="237"/>
      <c r="D585" s="127"/>
      <c r="E585" s="128"/>
      <c r="F585" s="111"/>
      <c r="G585" s="111"/>
      <c r="M585" s="111"/>
      <c r="N585" s="111"/>
      <c r="O585" s="111"/>
      <c r="P585" s="111"/>
      <c r="Q585" s="111"/>
      <c r="AB585" s="27"/>
    </row>
    <row r="586" spans="1:28" ht="15.75" customHeight="1" x14ac:dyDescent="0.35">
      <c r="A586" s="224"/>
      <c r="B586" s="27"/>
      <c r="C586" s="237"/>
      <c r="D586" s="127"/>
      <c r="E586" s="128"/>
      <c r="F586" s="111"/>
      <c r="G586" s="111"/>
      <c r="M586" s="111"/>
      <c r="N586" s="111"/>
      <c r="O586" s="111"/>
      <c r="P586" s="111"/>
      <c r="Q586" s="111"/>
      <c r="AB586" s="27"/>
    </row>
    <row r="587" spans="1:28" ht="15.75" customHeight="1" x14ac:dyDescent="0.35">
      <c r="A587" s="224"/>
      <c r="B587" s="27"/>
      <c r="C587" s="237"/>
      <c r="D587" s="127"/>
      <c r="E587" s="128"/>
      <c r="F587" s="111"/>
      <c r="G587" s="111"/>
      <c r="M587" s="111"/>
      <c r="N587" s="111"/>
      <c r="O587" s="111"/>
      <c r="P587" s="111"/>
      <c r="Q587" s="111"/>
      <c r="AB587" s="27"/>
    </row>
    <row r="588" spans="1:28" ht="15.75" customHeight="1" x14ac:dyDescent="0.35">
      <c r="A588" s="224"/>
      <c r="B588" s="27"/>
      <c r="C588" s="237"/>
      <c r="D588" s="127"/>
      <c r="E588" s="128"/>
      <c r="F588" s="111"/>
      <c r="G588" s="111"/>
      <c r="M588" s="111"/>
      <c r="N588" s="111"/>
      <c r="O588" s="111"/>
      <c r="P588" s="111"/>
      <c r="Q588" s="111"/>
      <c r="AB588" s="27"/>
    </row>
    <row r="589" spans="1:28" ht="15.75" customHeight="1" x14ac:dyDescent="0.35">
      <c r="A589" s="224"/>
      <c r="B589" s="27"/>
      <c r="C589" s="237"/>
      <c r="D589" s="127"/>
      <c r="E589" s="128"/>
      <c r="F589" s="111"/>
      <c r="G589" s="111"/>
      <c r="M589" s="111"/>
      <c r="N589" s="111"/>
      <c r="O589" s="111"/>
      <c r="P589" s="111"/>
      <c r="Q589" s="111"/>
      <c r="AB589" s="27"/>
    </row>
    <row r="590" spans="1:28" ht="15.75" customHeight="1" x14ac:dyDescent="0.35">
      <c r="A590" s="224"/>
      <c r="B590" s="27"/>
      <c r="C590" s="237"/>
      <c r="D590" s="127"/>
      <c r="E590" s="128"/>
      <c r="F590" s="111"/>
      <c r="G590" s="111"/>
      <c r="M590" s="111"/>
      <c r="N590" s="111"/>
      <c r="O590" s="111"/>
      <c r="P590" s="111"/>
      <c r="Q590" s="111"/>
      <c r="AB590" s="27"/>
    </row>
    <row r="591" spans="1:28" ht="15.75" customHeight="1" x14ac:dyDescent="0.35">
      <c r="A591" s="224"/>
      <c r="B591" s="27"/>
      <c r="C591" s="237"/>
      <c r="D591" s="127"/>
      <c r="E591" s="128"/>
      <c r="F591" s="111"/>
      <c r="G591" s="111"/>
      <c r="M591" s="111"/>
      <c r="N591" s="111"/>
      <c r="O591" s="111"/>
      <c r="P591" s="111"/>
      <c r="Q591" s="111"/>
      <c r="AB591" s="27"/>
    </row>
    <row r="592" spans="1:28" ht="15.75" customHeight="1" x14ac:dyDescent="0.35">
      <c r="A592" s="224"/>
      <c r="B592" s="27"/>
      <c r="C592" s="237"/>
      <c r="D592" s="127"/>
      <c r="E592" s="128"/>
      <c r="F592" s="111"/>
      <c r="G592" s="111"/>
      <c r="M592" s="111"/>
      <c r="N592" s="111"/>
      <c r="O592" s="111"/>
      <c r="P592" s="111"/>
      <c r="Q592" s="111"/>
      <c r="AB592" s="27"/>
    </row>
    <row r="593" spans="1:28" ht="15.75" customHeight="1" x14ac:dyDescent="0.35">
      <c r="A593" s="224"/>
      <c r="B593" s="27"/>
      <c r="C593" s="237"/>
      <c r="D593" s="127"/>
      <c r="E593" s="128"/>
      <c r="F593" s="111"/>
      <c r="G593" s="111"/>
      <c r="M593" s="111"/>
      <c r="N593" s="111"/>
      <c r="O593" s="111"/>
      <c r="P593" s="111"/>
      <c r="Q593" s="111"/>
      <c r="AB593" s="27"/>
    </row>
    <row r="594" spans="1:28" ht="15.75" customHeight="1" x14ac:dyDescent="0.35">
      <c r="A594" s="224"/>
      <c r="B594" s="27"/>
      <c r="C594" s="237"/>
      <c r="D594" s="127"/>
      <c r="E594" s="128"/>
      <c r="F594" s="111"/>
      <c r="G594" s="111"/>
      <c r="M594" s="111"/>
      <c r="N594" s="111"/>
      <c r="O594" s="111"/>
      <c r="P594" s="111"/>
      <c r="Q594" s="111"/>
      <c r="AB594" s="27"/>
    </row>
    <row r="595" spans="1:28" ht="15.75" customHeight="1" x14ac:dyDescent="0.35">
      <c r="A595" s="224"/>
      <c r="B595" s="27"/>
      <c r="C595" s="237"/>
      <c r="D595" s="127"/>
      <c r="E595" s="128"/>
      <c r="F595" s="111"/>
      <c r="G595" s="111"/>
      <c r="M595" s="111"/>
      <c r="N595" s="111"/>
      <c r="O595" s="111"/>
      <c r="P595" s="111"/>
      <c r="Q595" s="111"/>
      <c r="AB595" s="27"/>
    </row>
    <row r="596" spans="1:28" ht="15.75" customHeight="1" x14ac:dyDescent="0.35">
      <c r="A596" s="224"/>
      <c r="B596" s="27"/>
      <c r="C596" s="237"/>
      <c r="D596" s="127"/>
      <c r="E596" s="128"/>
      <c r="F596" s="111"/>
      <c r="G596" s="111"/>
      <c r="M596" s="111"/>
      <c r="N596" s="111"/>
      <c r="O596" s="111"/>
      <c r="P596" s="111"/>
      <c r="Q596" s="111"/>
      <c r="AB596" s="27"/>
    </row>
    <row r="597" spans="1:28" ht="15.75" customHeight="1" x14ac:dyDescent="0.35">
      <c r="A597" s="224"/>
      <c r="B597" s="27"/>
      <c r="C597" s="237"/>
      <c r="D597" s="127"/>
      <c r="E597" s="128"/>
      <c r="F597" s="111"/>
      <c r="G597" s="111"/>
      <c r="M597" s="111"/>
      <c r="N597" s="111"/>
      <c r="O597" s="111"/>
      <c r="P597" s="111"/>
      <c r="Q597" s="111"/>
      <c r="AB597" s="27"/>
    </row>
    <row r="598" spans="1:28" ht="15.75" customHeight="1" x14ac:dyDescent="0.35">
      <c r="A598" s="224"/>
      <c r="B598" s="27"/>
      <c r="C598" s="237"/>
      <c r="D598" s="127"/>
      <c r="E598" s="128"/>
      <c r="F598" s="111"/>
      <c r="G598" s="111"/>
      <c r="M598" s="111"/>
      <c r="N598" s="111"/>
      <c r="O598" s="111"/>
      <c r="P598" s="111"/>
      <c r="Q598" s="111"/>
      <c r="AB598" s="27"/>
    </row>
    <row r="599" spans="1:28" ht="15.75" customHeight="1" x14ac:dyDescent="0.35">
      <c r="A599" s="224"/>
      <c r="B599" s="27"/>
      <c r="C599" s="237"/>
      <c r="D599" s="127"/>
      <c r="E599" s="128"/>
      <c r="F599" s="111"/>
      <c r="G599" s="111"/>
      <c r="M599" s="111"/>
      <c r="N599" s="111"/>
      <c r="O599" s="111"/>
      <c r="P599" s="111"/>
      <c r="Q599" s="111"/>
      <c r="AB599" s="27"/>
    </row>
    <row r="600" spans="1:28" ht="15.75" customHeight="1" x14ac:dyDescent="0.35">
      <c r="A600" s="224"/>
      <c r="B600" s="27"/>
      <c r="C600" s="237"/>
      <c r="D600" s="127"/>
      <c r="E600" s="128"/>
      <c r="F600" s="111"/>
      <c r="G600" s="111"/>
      <c r="M600" s="111"/>
      <c r="N600" s="111"/>
      <c r="O600" s="111"/>
      <c r="P600" s="111"/>
      <c r="Q600" s="111"/>
      <c r="AB600" s="27"/>
    </row>
    <row r="601" spans="1:28" ht="15.75" customHeight="1" x14ac:dyDescent="0.35">
      <c r="A601" s="224"/>
      <c r="B601" s="27"/>
      <c r="C601" s="237"/>
      <c r="D601" s="127"/>
      <c r="E601" s="128"/>
      <c r="F601" s="111"/>
      <c r="G601" s="111"/>
      <c r="M601" s="111"/>
      <c r="N601" s="111"/>
      <c r="O601" s="111"/>
      <c r="P601" s="111"/>
      <c r="Q601" s="111"/>
      <c r="AB601" s="27"/>
    </row>
    <row r="602" spans="1:28" ht="15.75" customHeight="1" x14ac:dyDescent="0.35">
      <c r="A602" s="224"/>
      <c r="B602" s="27"/>
      <c r="C602" s="237"/>
      <c r="D602" s="127"/>
      <c r="E602" s="128"/>
      <c r="F602" s="111"/>
      <c r="G602" s="111"/>
      <c r="M602" s="111"/>
      <c r="N602" s="111"/>
      <c r="O602" s="111"/>
      <c r="P602" s="111"/>
      <c r="Q602" s="111"/>
      <c r="AB602" s="27"/>
    </row>
    <row r="603" spans="1:28" ht="15.75" customHeight="1" x14ac:dyDescent="0.35">
      <c r="A603" s="224"/>
      <c r="B603" s="27"/>
      <c r="C603" s="237"/>
      <c r="D603" s="127"/>
      <c r="E603" s="128"/>
      <c r="F603" s="111"/>
      <c r="G603" s="111"/>
      <c r="M603" s="111"/>
      <c r="N603" s="111"/>
      <c r="O603" s="111"/>
      <c r="P603" s="111"/>
      <c r="Q603" s="111"/>
      <c r="AB603" s="27"/>
    </row>
    <row r="604" spans="1:28" ht="15.75" customHeight="1" x14ac:dyDescent="0.35">
      <c r="A604" s="224"/>
      <c r="B604" s="27"/>
      <c r="C604" s="237"/>
      <c r="D604" s="127"/>
      <c r="E604" s="128"/>
      <c r="F604" s="111"/>
      <c r="G604" s="111"/>
      <c r="M604" s="111"/>
      <c r="N604" s="111"/>
      <c r="O604" s="111"/>
      <c r="P604" s="111"/>
      <c r="Q604" s="111"/>
      <c r="AB604" s="27"/>
    </row>
    <row r="605" spans="1:28" ht="15.75" customHeight="1" x14ac:dyDescent="0.35">
      <c r="A605" s="224"/>
      <c r="B605" s="27"/>
      <c r="C605" s="237"/>
      <c r="D605" s="127"/>
      <c r="E605" s="128"/>
      <c r="F605" s="111"/>
      <c r="G605" s="111"/>
      <c r="M605" s="111"/>
      <c r="N605" s="111"/>
      <c r="O605" s="111"/>
      <c r="P605" s="111"/>
      <c r="Q605" s="111"/>
      <c r="AB605" s="27"/>
    </row>
    <row r="606" spans="1:28" ht="15.75" customHeight="1" x14ac:dyDescent="0.35">
      <c r="A606" s="224"/>
      <c r="B606" s="27"/>
      <c r="C606" s="237"/>
      <c r="D606" s="127"/>
      <c r="E606" s="128"/>
      <c r="F606" s="111"/>
      <c r="G606" s="111"/>
      <c r="M606" s="111"/>
      <c r="N606" s="111"/>
      <c r="O606" s="111"/>
      <c r="P606" s="111"/>
      <c r="Q606" s="111"/>
      <c r="AB606" s="27"/>
    </row>
    <row r="607" spans="1:28" ht="15.75" customHeight="1" x14ac:dyDescent="0.35">
      <c r="A607" s="224"/>
      <c r="B607" s="27"/>
      <c r="C607" s="237"/>
      <c r="D607" s="127"/>
      <c r="E607" s="128"/>
      <c r="F607" s="111"/>
      <c r="G607" s="111"/>
      <c r="M607" s="111"/>
      <c r="N607" s="111"/>
      <c r="O607" s="111"/>
      <c r="P607" s="111"/>
      <c r="Q607" s="111"/>
      <c r="AB607" s="27"/>
    </row>
    <row r="608" spans="1:28" ht="15.75" customHeight="1" x14ac:dyDescent="0.35">
      <c r="A608" s="224"/>
      <c r="B608" s="27"/>
      <c r="C608" s="237"/>
      <c r="D608" s="127"/>
      <c r="E608" s="128"/>
      <c r="F608" s="111"/>
      <c r="G608" s="111"/>
      <c r="M608" s="111"/>
      <c r="N608" s="111"/>
      <c r="O608" s="111"/>
      <c r="P608" s="111"/>
      <c r="Q608" s="111"/>
      <c r="AB608" s="27"/>
    </row>
    <row r="609" spans="1:28" ht="15.75" customHeight="1" x14ac:dyDescent="0.35">
      <c r="A609" s="224"/>
      <c r="B609" s="27"/>
      <c r="C609" s="237"/>
      <c r="D609" s="127"/>
      <c r="E609" s="128"/>
      <c r="F609" s="111"/>
      <c r="G609" s="111"/>
      <c r="M609" s="111"/>
      <c r="N609" s="111"/>
      <c r="O609" s="111"/>
      <c r="P609" s="111"/>
      <c r="Q609" s="111"/>
      <c r="AB609" s="27"/>
    </row>
    <row r="610" spans="1:28" ht="15.75" customHeight="1" x14ac:dyDescent="0.35">
      <c r="A610" s="224"/>
      <c r="B610" s="27"/>
      <c r="C610" s="237"/>
      <c r="D610" s="127"/>
      <c r="E610" s="128"/>
      <c r="F610" s="111"/>
      <c r="G610" s="111"/>
      <c r="M610" s="111"/>
      <c r="N610" s="111"/>
      <c r="O610" s="111"/>
      <c r="P610" s="111"/>
      <c r="Q610" s="111"/>
      <c r="AB610" s="27"/>
    </row>
    <row r="611" spans="1:28" ht="15.75" customHeight="1" x14ac:dyDescent="0.35">
      <c r="A611" s="224"/>
      <c r="B611" s="27"/>
      <c r="C611" s="237"/>
      <c r="D611" s="127"/>
      <c r="E611" s="128"/>
      <c r="F611" s="111"/>
      <c r="G611" s="111"/>
      <c r="M611" s="111"/>
      <c r="N611" s="111"/>
      <c r="O611" s="111"/>
      <c r="P611" s="111"/>
      <c r="Q611" s="111"/>
      <c r="AB611" s="27"/>
    </row>
    <row r="612" spans="1:28" ht="15.75" customHeight="1" x14ac:dyDescent="0.35">
      <c r="A612" s="224"/>
      <c r="B612" s="27"/>
      <c r="C612" s="237"/>
      <c r="D612" s="127"/>
      <c r="E612" s="128"/>
      <c r="F612" s="111"/>
      <c r="G612" s="111"/>
      <c r="M612" s="111"/>
      <c r="N612" s="111"/>
      <c r="O612" s="111"/>
      <c r="P612" s="111"/>
      <c r="Q612" s="111"/>
      <c r="AB612" s="27"/>
    </row>
    <row r="613" spans="1:28" ht="15.75" customHeight="1" x14ac:dyDescent="0.35">
      <c r="A613" s="224"/>
      <c r="B613" s="27"/>
      <c r="C613" s="237"/>
      <c r="D613" s="127"/>
      <c r="E613" s="128"/>
      <c r="F613" s="111"/>
      <c r="G613" s="111"/>
      <c r="M613" s="111"/>
      <c r="N613" s="111"/>
      <c r="O613" s="111"/>
      <c r="P613" s="111"/>
      <c r="Q613" s="111"/>
      <c r="AB613" s="27"/>
    </row>
    <row r="614" spans="1:28" ht="15.75" customHeight="1" x14ac:dyDescent="0.35">
      <c r="A614" s="224"/>
      <c r="B614" s="27"/>
      <c r="C614" s="237"/>
      <c r="D614" s="127"/>
      <c r="E614" s="128"/>
      <c r="F614" s="111"/>
      <c r="G614" s="111"/>
      <c r="M614" s="111"/>
      <c r="N614" s="111"/>
      <c r="O614" s="111"/>
      <c r="P614" s="111"/>
      <c r="Q614" s="111"/>
      <c r="AB614" s="27"/>
    </row>
    <row r="615" spans="1:28" ht="15.75" customHeight="1" x14ac:dyDescent="0.35">
      <c r="A615" s="224"/>
      <c r="B615" s="27"/>
      <c r="C615" s="237"/>
      <c r="D615" s="127"/>
      <c r="E615" s="128"/>
      <c r="F615" s="111"/>
      <c r="G615" s="111"/>
      <c r="M615" s="111"/>
      <c r="N615" s="111"/>
      <c r="O615" s="111"/>
      <c r="P615" s="111"/>
      <c r="Q615" s="111"/>
      <c r="AB615" s="27"/>
    </row>
    <row r="616" spans="1:28" ht="15.75" customHeight="1" x14ac:dyDescent="0.35">
      <c r="A616" s="224"/>
      <c r="B616" s="27"/>
      <c r="C616" s="237"/>
      <c r="D616" s="127"/>
      <c r="E616" s="128"/>
      <c r="F616" s="111"/>
      <c r="G616" s="111"/>
      <c r="M616" s="111"/>
      <c r="N616" s="111"/>
      <c r="O616" s="111"/>
      <c r="P616" s="111"/>
      <c r="Q616" s="111"/>
      <c r="AB616" s="27"/>
    </row>
    <row r="617" spans="1:28" ht="15.75" customHeight="1" x14ac:dyDescent="0.35">
      <c r="A617" s="224"/>
      <c r="B617" s="27"/>
      <c r="C617" s="237"/>
      <c r="D617" s="127"/>
      <c r="E617" s="128"/>
      <c r="F617" s="111"/>
      <c r="G617" s="111"/>
      <c r="M617" s="111"/>
      <c r="N617" s="111"/>
      <c r="O617" s="111"/>
      <c r="P617" s="111"/>
      <c r="Q617" s="111"/>
      <c r="AB617" s="27"/>
    </row>
    <row r="618" spans="1:28" ht="15.75" customHeight="1" x14ac:dyDescent="0.35">
      <c r="A618" s="224"/>
      <c r="B618" s="27"/>
      <c r="C618" s="237"/>
      <c r="D618" s="127"/>
      <c r="E618" s="128"/>
      <c r="F618" s="111"/>
      <c r="G618" s="111"/>
      <c r="M618" s="111"/>
      <c r="N618" s="111"/>
      <c r="O618" s="111"/>
      <c r="P618" s="111"/>
      <c r="Q618" s="111"/>
      <c r="AB618" s="27"/>
    </row>
    <row r="619" spans="1:28" ht="15.75" customHeight="1" x14ac:dyDescent="0.35">
      <c r="A619" s="224"/>
      <c r="B619" s="27"/>
      <c r="C619" s="237"/>
      <c r="D619" s="127"/>
      <c r="E619" s="128"/>
      <c r="F619" s="111"/>
      <c r="G619" s="111"/>
      <c r="M619" s="111"/>
      <c r="N619" s="111"/>
      <c r="O619" s="111"/>
      <c r="P619" s="111"/>
      <c r="Q619" s="111"/>
      <c r="AB619" s="27"/>
    </row>
    <row r="620" spans="1:28" ht="15.75" customHeight="1" x14ac:dyDescent="0.35">
      <c r="A620" s="224"/>
      <c r="B620" s="27"/>
      <c r="C620" s="237"/>
      <c r="D620" s="127"/>
      <c r="E620" s="128"/>
      <c r="F620" s="111"/>
      <c r="G620" s="111"/>
      <c r="M620" s="111"/>
      <c r="N620" s="111"/>
      <c r="O620" s="111"/>
      <c r="P620" s="111"/>
      <c r="Q620" s="111"/>
      <c r="AB620" s="27"/>
    </row>
    <row r="621" spans="1:28" ht="15.75" customHeight="1" x14ac:dyDescent="0.35">
      <c r="A621" s="224"/>
      <c r="B621" s="27"/>
      <c r="C621" s="237"/>
      <c r="D621" s="127"/>
      <c r="E621" s="128"/>
      <c r="F621" s="111"/>
      <c r="G621" s="111"/>
      <c r="M621" s="111"/>
      <c r="N621" s="111"/>
      <c r="O621" s="111"/>
      <c r="P621" s="111"/>
      <c r="Q621" s="111"/>
      <c r="AB621" s="27"/>
    </row>
    <row r="622" spans="1:28" ht="15.75" customHeight="1" x14ac:dyDescent="0.35">
      <c r="A622" s="224"/>
      <c r="B622" s="27"/>
      <c r="C622" s="237"/>
      <c r="D622" s="127"/>
      <c r="E622" s="128"/>
      <c r="F622" s="111"/>
      <c r="G622" s="111"/>
      <c r="M622" s="111"/>
      <c r="N622" s="111"/>
      <c r="O622" s="111"/>
      <c r="P622" s="111"/>
      <c r="Q622" s="111"/>
      <c r="AB622" s="27"/>
    </row>
    <row r="623" spans="1:28" ht="15.75" customHeight="1" x14ac:dyDescent="0.35">
      <c r="A623" s="224"/>
      <c r="B623" s="27"/>
      <c r="C623" s="237"/>
      <c r="D623" s="127"/>
      <c r="E623" s="128"/>
      <c r="F623" s="111"/>
      <c r="G623" s="111"/>
      <c r="M623" s="111"/>
      <c r="N623" s="111"/>
      <c r="O623" s="111"/>
      <c r="P623" s="111"/>
      <c r="Q623" s="111"/>
      <c r="AB623" s="27"/>
    </row>
    <row r="624" spans="1:28" ht="15.75" customHeight="1" x14ac:dyDescent="0.35">
      <c r="A624" s="224"/>
      <c r="B624" s="27"/>
      <c r="C624" s="237"/>
      <c r="D624" s="127"/>
      <c r="E624" s="128"/>
      <c r="F624" s="111"/>
      <c r="G624" s="111"/>
      <c r="M624" s="111"/>
      <c r="N624" s="111"/>
      <c r="O624" s="111"/>
      <c r="P624" s="111"/>
      <c r="Q624" s="111"/>
      <c r="AB624" s="27"/>
    </row>
    <row r="625" spans="1:28" ht="15.75" customHeight="1" x14ac:dyDescent="0.35">
      <c r="A625" s="224"/>
      <c r="B625" s="27"/>
      <c r="C625" s="237"/>
      <c r="D625" s="127"/>
      <c r="E625" s="128"/>
      <c r="F625" s="111"/>
      <c r="G625" s="111"/>
      <c r="M625" s="111"/>
      <c r="N625" s="111"/>
      <c r="O625" s="111"/>
      <c r="P625" s="111"/>
      <c r="Q625" s="111"/>
      <c r="AB625" s="27"/>
    </row>
    <row r="626" spans="1:28" ht="15.75" customHeight="1" x14ac:dyDescent="0.35">
      <c r="A626" s="224"/>
      <c r="B626" s="27"/>
      <c r="C626" s="237"/>
      <c r="D626" s="127"/>
      <c r="E626" s="128"/>
      <c r="F626" s="111"/>
      <c r="G626" s="111"/>
      <c r="M626" s="111"/>
      <c r="N626" s="111"/>
      <c r="O626" s="111"/>
      <c r="P626" s="111"/>
      <c r="Q626" s="111"/>
      <c r="AB626" s="27"/>
    </row>
    <row r="627" spans="1:28" ht="15.75" customHeight="1" x14ac:dyDescent="0.35">
      <c r="A627" s="224"/>
      <c r="B627" s="27"/>
      <c r="C627" s="237"/>
      <c r="D627" s="127"/>
      <c r="E627" s="128"/>
      <c r="F627" s="111"/>
      <c r="G627" s="111"/>
      <c r="M627" s="111"/>
      <c r="N627" s="111"/>
      <c r="O627" s="111"/>
      <c r="P627" s="111"/>
      <c r="Q627" s="111"/>
      <c r="AB627" s="27"/>
    </row>
    <row r="628" spans="1:28" ht="15.75" customHeight="1" x14ac:dyDescent="0.35">
      <c r="A628" s="224"/>
      <c r="B628" s="27"/>
      <c r="C628" s="237"/>
      <c r="D628" s="127"/>
      <c r="E628" s="128"/>
      <c r="F628" s="111"/>
      <c r="G628" s="111"/>
      <c r="M628" s="111"/>
      <c r="N628" s="111"/>
      <c r="O628" s="111"/>
      <c r="P628" s="111"/>
      <c r="Q628" s="111"/>
      <c r="AB628" s="27"/>
    </row>
    <row r="629" spans="1:28" ht="15.75" customHeight="1" x14ac:dyDescent="0.35">
      <c r="A629" s="224"/>
      <c r="B629" s="27"/>
      <c r="C629" s="237"/>
      <c r="D629" s="127"/>
      <c r="E629" s="128"/>
      <c r="F629" s="111"/>
      <c r="G629" s="111"/>
      <c r="M629" s="111"/>
      <c r="N629" s="111"/>
      <c r="O629" s="111"/>
      <c r="P629" s="111"/>
      <c r="Q629" s="111"/>
      <c r="AB629" s="27"/>
    </row>
    <row r="630" spans="1:28" ht="15.75" customHeight="1" x14ac:dyDescent="0.35">
      <c r="A630" s="224"/>
      <c r="B630" s="27"/>
      <c r="C630" s="237"/>
      <c r="D630" s="127"/>
      <c r="E630" s="128"/>
      <c r="F630" s="111"/>
      <c r="G630" s="111"/>
      <c r="M630" s="111"/>
      <c r="N630" s="111"/>
      <c r="O630" s="111"/>
      <c r="P630" s="111"/>
      <c r="Q630" s="111"/>
      <c r="AB630" s="27"/>
    </row>
    <row r="631" spans="1:28" ht="15.75" customHeight="1" x14ac:dyDescent="0.35">
      <c r="A631" s="224"/>
      <c r="B631" s="27"/>
      <c r="C631" s="237"/>
      <c r="D631" s="127"/>
      <c r="E631" s="128"/>
      <c r="F631" s="111"/>
      <c r="G631" s="111"/>
      <c r="M631" s="111"/>
      <c r="N631" s="111"/>
      <c r="O631" s="111"/>
      <c r="P631" s="111"/>
      <c r="Q631" s="111"/>
      <c r="AB631" s="27"/>
    </row>
    <row r="632" spans="1:28" ht="15.75" customHeight="1" x14ac:dyDescent="0.35">
      <c r="A632" s="224"/>
      <c r="B632" s="27"/>
      <c r="C632" s="237"/>
      <c r="D632" s="127"/>
      <c r="E632" s="128"/>
      <c r="F632" s="111"/>
      <c r="G632" s="111"/>
      <c r="M632" s="111"/>
      <c r="N632" s="111"/>
      <c r="O632" s="111"/>
      <c r="P632" s="111"/>
      <c r="Q632" s="111"/>
      <c r="AB632" s="27"/>
    </row>
    <row r="633" spans="1:28" ht="15.75" customHeight="1" x14ac:dyDescent="0.35">
      <c r="A633" s="224"/>
      <c r="B633" s="27"/>
      <c r="C633" s="237"/>
      <c r="D633" s="127"/>
      <c r="E633" s="128"/>
      <c r="F633" s="111"/>
      <c r="G633" s="111"/>
      <c r="M633" s="111"/>
      <c r="N633" s="111"/>
      <c r="O633" s="111"/>
      <c r="P633" s="111"/>
      <c r="Q633" s="111"/>
      <c r="AB633" s="27"/>
    </row>
    <row r="634" spans="1:28" ht="15.75" customHeight="1" x14ac:dyDescent="0.35">
      <c r="A634" s="224"/>
      <c r="B634" s="27"/>
      <c r="C634" s="237"/>
      <c r="D634" s="127"/>
      <c r="E634" s="128"/>
      <c r="F634" s="111"/>
      <c r="G634" s="111"/>
      <c r="M634" s="111"/>
      <c r="N634" s="111"/>
      <c r="O634" s="111"/>
      <c r="P634" s="111"/>
      <c r="Q634" s="111"/>
      <c r="AB634" s="27"/>
    </row>
    <row r="635" spans="1:28" ht="15.75" customHeight="1" x14ac:dyDescent="0.35">
      <c r="A635" s="224"/>
      <c r="B635" s="27"/>
      <c r="C635" s="237"/>
      <c r="D635" s="127"/>
      <c r="E635" s="128"/>
      <c r="F635" s="111"/>
      <c r="G635" s="111"/>
      <c r="M635" s="111"/>
      <c r="N635" s="111"/>
      <c r="O635" s="111"/>
      <c r="P635" s="111"/>
      <c r="Q635" s="111"/>
      <c r="AB635" s="27"/>
    </row>
    <row r="636" spans="1:28" ht="15.75" customHeight="1" x14ac:dyDescent="0.35">
      <c r="A636" s="224"/>
      <c r="B636" s="27"/>
      <c r="C636" s="237"/>
      <c r="D636" s="127"/>
      <c r="E636" s="128"/>
      <c r="F636" s="111"/>
      <c r="G636" s="111"/>
      <c r="M636" s="111"/>
      <c r="N636" s="111"/>
      <c r="O636" s="111"/>
      <c r="P636" s="111"/>
      <c r="Q636" s="111"/>
      <c r="AB636" s="27"/>
    </row>
    <row r="637" spans="1:28" ht="15.75" customHeight="1" x14ac:dyDescent="0.35">
      <c r="A637" s="224"/>
      <c r="B637" s="27"/>
      <c r="C637" s="237"/>
      <c r="D637" s="127"/>
      <c r="E637" s="128"/>
      <c r="F637" s="111"/>
      <c r="G637" s="111"/>
      <c r="M637" s="111"/>
      <c r="N637" s="111"/>
      <c r="O637" s="111"/>
      <c r="P637" s="111"/>
      <c r="Q637" s="111"/>
      <c r="AB637" s="27"/>
    </row>
    <row r="638" spans="1:28" ht="15.75" customHeight="1" x14ac:dyDescent="0.35">
      <c r="A638" s="224"/>
      <c r="B638" s="27"/>
      <c r="C638" s="237"/>
      <c r="D638" s="127"/>
      <c r="E638" s="128"/>
      <c r="F638" s="111"/>
      <c r="G638" s="111"/>
      <c r="M638" s="111"/>
      <c r="N638" s="111"/>
      <c r="O638" s="111"/>
      <c r="P638" s="111"/>
      <c r="Q638" s="111"/>
      <c r="AB638" s="27"/>
    </row>
    <row r="639" spans="1:28" ht="15.75" customHeight="1" x14ac:dyDescent="0.35">
      <c r="A639" s="224"/>
      <c r="B639" s="27"/>
      <c r="C639" s="237"/>
      <c r="D639" s="127"/>
      <c r="E639" s="128"/>
      <c r="F639" s="111"/>
      <c r="G639" s="111"/>
      <c r="M639" s="111"/>
      <c r="N639" s="111"/>
      <c r="O639" s="111"/>
      <c r="P639" s="111"/>
      <c r="Q639" s="111"/>
      <c r="AB639" s="27"/>
    </row>
    <row r="640" spans="1:28" ht="15.75" customHeight="1" x14ac:dyDescent="0.35">
      <c r="A640" s="224"/>
      <c r="B640" s="27"/>
      <c r="C640" s="237"/>
      <c r="D640" s="127"/>
      <c r="E640" s="128"/>
      <c r="F640" s="111"/>
      <c r="G640" s="111"/>
      <c r="M640" s="111"/>
      <c r="N640" s="111"/>
      <c r="O640" s="111"/>
      <c r="P640" s="111"/>
      <c r="Q640" s="111"/>
      <c r="AB640" s="27"/>
    </row>
    <row r="641" spans="1:28" ht="15.75" customHeight="1" x14ac:dyDescent="0.35">
      <c r="A641" s="224"/>
      <c r="B641" s="27"/>
      <c r="C641" s="237"/>
      <c r="D641" s="127"/>
      <c r="E641" s="128"/>
      <c r="F641" s="111"/>
      <c r="G641" s="111"/>
      <c r="M641" s="111"/>
      <c r="N641" s="111"/>
      <c r="O641" s="111"/>
      <c r="P641" s="111"/>
      <c r="Q641" s="111"/>
      <c r="AB641" s="27"/>
    </row>
    <row r="642" spans="1:28" ht="15.75" customHeight="1" x14ac:dyDescent="0.35">
      <c r="A642" s="224"/>
      <c r="B642" s="27"/>
      <c r="C642" s="237"/>
      <c r="D642" s="127"/>
      <c r="E642" s="128"/>
      <c r="F642" s="111"/>
      <c r="G642" s="111"/>
      <c r="M642" s="111"/>
      <c r="N642" s="111"/>
      <c r="O642" s="111"/>
      <c r="P642" s="111"/>
      <c r="Q642" s="111"/>
      <c r="AB642" s="27"/>
    </row>
    <row r="643" spans="1:28" ht="15.75" customHeight="1" x14ac:dyDescent="0.35">
      <c r="A643" s="224"/>
      <c r="B643" s="27"/>
      <c r="C643" s="237"/>
      <c r="D643" s="127"/>
      <c r="E643" s="128"/>
      <c r="F643" s="111"/>
      <c r="G643" s="111"/>
      <c r="M643" s="111"/>
      <c r="N643" s="111"/>
      <c r="O643" s="111"/>
      <c r="P643" s="111"/>
      <c r="Q643" s="111"/>
      <c r="AB643" s="27"/>
    </row>
    <row r="644" spans="1:28" ht="15.75" customHeight="1" x14ac:dyDescent="0.35">
      <c r="A644" s="224"/>
      <c r="B644" s="27"/>
      <c r="C644" s="237"/>
      <c r="D644" s="127"/>
      <c r="E644" s="128"/>
      <c r="F644" s="111"/>
      <c r="G644" s="111"/>
      <c r="M644" s="111"/>
      <c r="N644" s="111"/>
      <c r="O644" s="111"/>
      <c r="P644" s="111"/>
      <c r="Q644" s="111"/>
      <c r="AB644" s="27"/>
    </row>
    <row r="645" spans="1:28" ht="15.75" customHeight="1" x14ac:dyDescent="0.35">
      <c r="A645" s="224"/>
      <c r="B645" s="27"/>
      <c r="C645" s="237"/>
      <c r="D645" s="127"/>
      <c r="E645" s="128"/>
      <c r="F645" s="111"/>
      <c r="G645" s="111"/>
      <c r="M645" s="111"/>
      <c r="N645" s="111"/>
      <c r="O645" s="111"/>
      <c r="P645" s="111"/>
      <c r="Q645" s="111"/>
      <c r="AB645" s="27"/>
    </row>
    <row r="646" spans="1:28" ht="15.75" customHeight="1" x14ac:dyDescent="0.35">
      <c r="A646" s="224"/>
      <c r="B646" s="27"/>
      <c r="C646" s="237"/>
      <c r="D646" s="127"/>
      <c r="E646" s="128"/>
      <c r="F646" s="111"/>
      <c r="G646" s="111"/>
      <c r="M646" s="111"/>
      <c r="N646" s="111"/>
      <c r="O646" s="111"/>
      <c r="P646" s="111"/>
      <c r="Q646" s="111"/>
      <c r="AB646" s="27"/>
    </row>
    <row r="647" spans="1:28" ht="15.75" customHeight="1" x14ac:dyDescent="0.35">
      <c r="A647" s="224"/>
      <c r="B647" s="27"/>
      <c r="C647" s="237"/>
      <c r="D647" s="127"/>
      <c r="E647" s="128"/>
      <c r="F647" s="111"/>
      <c r="G647" s="111"/>
      <c r="M647" s="111"/>
      <c r="N647" s="111"/>
      <c r="O647" s="111"/>
      <c r="P647" s="111"/>
      <c r="Q647" s="111"/>
      <c r="AB647" s="27"/>
    </row>
    <row r="648" spans="1:28" ht="15.75" customHeight="1" x14ac:dyDescent="0.35">
      <c r="A648" s="224"/>
      <c r="B648" s="27"/>
      <c r="C648" s="237"/>
      <c r="D648" s="127"/>
      <c r="E648" s="128"/>
      <c r="F648" s="111"/>
      <c r="G648" s="111"/>
      <c r="M648" s="111"/>
      <c r="N648" s="111"/>
      <c r="O648" s="111"/>
      <c r="P648" s="111"/>
      <c r="Q648" s="111"/>
      <c r="AB648" s="27"/>
    </row>
    <row r="649" spans="1:28" ht="15.75" customHeight="1" x14ac:dyDescent="0.35">
      <c r="A649" s="224"/>
      <c r="B649" s="27"/>
      <c r="C649" s="237"/>
      <c r="D649" s="127"/>
      <c r="E649" s="128"/>
      <c r="F649" s="111"/>
      <c r="G649" s="111"/>
      <c r="M649" s="111"/>
      <c r="N649" s="111"/>
      <c r="O649" s="111"/>
      <c r="P649" s="111"/>
      <c r="Q649" s="111"/>
      <c r="AB649" s="27"/>
    </row>
    <row r="650" spans="1:28" ht="15.75" customHeight="1" x14ac:dyDescent="0.35">
      <c r="A650" s="224"/>
      <c r="B650" s="27"/>
      <c r="C650" s="237"/>
      <c r="D650" s="127"/>
      <c r="E650" s="128"/>
      <c r="F650" s="111"/>
      <c r="G650" s="111"/>
      <c r="M650" s="111"/>
      <c r="N650" s="111"/>
      <c r="O650" s="111"/>
      <c r="P650" s="111"/>
      <c r="Q650" s="111"/>
      <c r="AB650" s="27"/>
    </row>
    <row r="651" spans="1:28" ht="15.75" customHeight="1" x14ac:dyDescent="0.35">
      <c r="A651" s="224"/>
      <c r="B651" s="27"/>
      <c r="C651" s="237"/>
      <c r="D651" s="127"/>
      <c r="E651" s="128"/>
      <c r="F651" s="111"/>
      <c r="G651" s="111"/>
      <c r="M651" s="111"/>
      <c r="N651" s="111"/>
      <c r="O651" s="111"/>
      <c r="P651" s="111"/>
      <c r="Q651" s="111"/>
      <c r="AB651" s="27"/>
    </row>
    <row r="652" spans="1:28" ht="15.75" customHeight="1" x14ac:dyDescent="0.35">
      <c r="A652" s="224"/>
      <c r="B652" s="27"/>
      <c r="C652" s="237"/>
      <c r="D652" s="127"/>
      <c r="E652" s="128"/>
      <c r="F652" s="111"/>
      <c r="G652" s="111"/>
      <c r="M652" s="111"/>
      <c r="N652" s="111"/>
      <c r="O652" s="111"/>
      <c r="P652" s="111"/>
      <c r="Q652" s="111"/>
      <c r="AB652" s="27"/>
    </row>
    <row r="653" spans="1:28" ht="15.75" customHeight="1" x14ac:dyDescent="0.35">
      <c r="A653" s="224"/>
      <c r="B653" s="27"/>
      <c r="C653" s="237"/>
      <c r="D653" s="127"/>
      <c r="E653" s="128"/>
      <c r="F653" s="111"/>
      <c r="G653" s="111"/>
      <c r="M653" s="111"/>
      <c r="N653" s="111"/>
      <c r="O653" s="111"/>
      <c r="P653" s="111"/>
      <c r="Q653" s="111"/>
      <c r="AB653" s="27"/>
    </row>
    <row r="654" spans="1:28" ht="15.75" customHeight="1" x14ac:dyDescent="0.35">
      <c r="A654" s="224"/>
      <c r="B654" s="27"/>
      <c r="C654" s="237"/>
      <c r="D654" s="127"/>
      <c r="E654" s="128"/>
      <c r="F654" s="111"/>
      <c r="G654" s="111"/>
      <c r="M654" s="111"/>
      <c r="N654" s="111"/>
      <c r="O654" s="111"/>
      <c r="P654" s="111"/>
      <c r="Q654" s="111"/>
      <c r="AB654" s="27"/>
    </row>
  </sheetData>
  <mergeCells count="1">
    <mergeCell ref="F5:U5"/>
  </mergeCells>
  <pageMargins left="0.7" right="0.7" top="0.75" bottom="0.75" header="0.511811023622047" footer="0.511811023622047"/>
  <pageSetup paperSize="9" scale="85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B8DE-41ED-4471-8B0D-F4B4172F42AB}">
  <dimension ref="A1:O607"/>
  <sheetViews>
    <sheetView zoomScale="80" zoomScaleNormal="80" workbookViewId="0">
      <pane xSplit="3" ySplit="1" topLeftCell="D2" activePane="bottomRight" state="frozen"/>
      <selection pane="topRight" activeCell="F1" sqref="F1"/>
      <selection pane="bottomLeft" activeCell="A8" sqref="A8"/>
      <selection pane="bottomRight" activeCell="F11" sqref="F11"/>
    </sheetView>
  </sheetViews>
  <sheetFormatPr defaultColWidth="14.42578125" defaultRowHeight="17.25" x14ac:dyDescent="0.35"/>
  <cols>
    <col min="1" max="1" width="4.42578125" style="129" customWidth="1"/>
    <col min="2" max="2" width="15.7109375" style="23" customWidth="1"/>
    <col min="3" max="3" width="15.7109375" style="133" customWidth="1"/>
    <col min="4" max="5" width="15.7109375" style="112" customWidth="1"/>
    <col min="6" max="11" width="14.42578125" style="112"/>
    <col min="12" max="12" width="15.7109375" style="112" customWidth="1"/>
    <col min="13" max="13" width="42.140625" style="23" customWidth="1"/>
    <col min="14" max="14" width="14.42578125" style="23"/>
    <col min="15" max="15" width="14.42578125" style="112"/>
    <col min="16" max="16384" width="14.42578125" style="23"/>
  </cols>
  <sheetData>
    <row r="1" spans="1:15" ht="23.25" x14ac:dyDescent="0.35">
      <c r="A1" s="215" t="s">
        <v>61</v>
      </c>
      <c r="B1" s="208"/>
      <c r="C1" s="208"/>
      <c r="D1" s="208"/>
      <c r="E1"/>
    </row>
    <row r="2" spans="1:15" ht="19.5" customHeight="1" x14ac:dyDescent="0.35">
      <c r="A2" s="126"/>
      <c r="B2" s="27"/>
      <c r="C2" s="132"/>
    </row>
    <row r="3" spans="1:15" ht="49.5" customHeight="1" x14ac:dyDescent="0.35">
      <c r="A3" s="126"/>
      <c r="B3" s="27"/>
      <c r="C3" s="132" t="s">
        <v>62</v>
      </c>
      <c r="D3" s="139" t="s">
        <v>64</v>
      </c>
      <c r="E3" s="139" t="s">
        <v>75</v>
      </c>
      <c r="F3" s="139" t="s">
        <v>144</v>
      </c>
      <c r="G3" s="139" t="s">
        <v>139</v>
      </c>
      <c r="H3" s="139" t="s">
        <v>52</v>
      </c>
      <c r="I3" s="139" t="s">
        <v>65</v>
      </c>
      <c r="J3" s="139" t="s">
        <v>74</v>
      </c>
      <c r="K3" s="139" t="s">
        <v>73</v>
      </c>
      <c r="L3" s="112" t="s">
        <v>36</v>
      </c>
      <c r="M3" s="137" t="s">
        <v>37</v>
      </c>
      <c r="N3" s="138"/>
      <c r="O3" s="112" t="s">
        <v>62</v>
      </c>
    </row>
    <row r="4" spans="1:15" ht="19.5" customHeight="1" x14ac:dyDescent="0.35">
      <c r="A4" s="126"/>
      <c r="B4" s="27" t="s">
        <v>27</v>
      </c>
      <c r="C4" s="132">
        <f>+O19</f>
        <v>162772.73333333334</v>
      </c>
      <c r="D4" s="112">
        <f>+' EXPENSES'!V34+' EXPENSES'!V39</f>
        <v>36513.706666666672</v>
      </c>
      <c r="H4" s="112">
        <f>+' EXPENSES'!V45</f>
        <v>1030</v>
      </c>
      <c r="K4" s="112">
        <f>SUM(D4:J4)</f>
        <v>37543.706666666672</v>
      </c>
      <c r="L4" s="112">
        <f>+C4+K4</f>
        <v>200316.44</v>
      </c>
      <c r="M4" s="165" t="s">
        <v>59</v>
      </c>
      <c r="N4" s="166">
        <v>320301.15333333332</v>
      </c>
      <c r="O4" s="125">
        <f t="shared" ref="O4:O18" si="0">+N4/4</f>
        <v>80075.28833333333</v>
      </c>
    </row>
    <row r="5" spans="1:15" ht="19.5" customHeight="1" x14ac:dyDescent="0.35">
      <c r="A5" s="126"/>
      <c r="B5" s="27" t="s">
        <v>30</v>
      </c>
      <c r="C5" s="132">
        <f>+C4</f>
        <v>162772.73333333334</v>
      </c>
      <c r="D5" s="112">
        <f>+' EXPENSES'!W34+' EXPENSES'!W39</f>
        <v>67807.913333333345</v>
      </c>
      <c r="F5" s="112">
        <v>800</v>
      </c>
      <c r="G5" s="112">
        <f>+' EXPENSES'!W55</f>
        <v>7762.5</v>
      </c>
      <c r="I5" s="112" t="e">
        <f>+' EXPENSES'!#REF!</f>
        <v>#REF!</v>
      </c>
      <c r="K5" s="112" t="e">
        <f t="shared" ref="K5:K7" si="1">SUM(D5:J5)</f>
        <v>#REF!</v>
      </c>
      <c r="L5" s="112" t="e">
        <f>+C5+K5</f>
        <v>#REF!</v>
      </c>
      <c r="M5" s="165" t="s">
        <v>41</v>
      </c>
      <c r="N5" s="166">
        <v>21000</v>
      </c>
      <c r="O5" s="125">
        <f t="shared" si="0"/>
        <v>5250</v>
      </c>
    </row>
    <row r="6" spans="1:15" ht="19.5" customHeight="1" x14ac:dyDescent="0.35">
      <c r="A6" s="126"/>
      <c r="B6" s="27" t="s">
        <v>28</v>
      </c>
      <c r="C6" s="132">
        <f>+C5</f>
        <v>162772.73333333334</v>
      </c>
      <c r="D6" s="112">
        <f>+' EXPENSES'!X34+' EXPENSES'!X39</f>
        <v>40272.266666666663</v>
      </c>
      <c r="F6" s="112">
        <v>1600</v>
      </c>
      <c r="G6" s="112">
        <f>+' EXPENSES'!X55</f>
        <v>15525</v>
      </c>
      <c r="H6" s="112">
        <f>+' EXPENSES'!X48</f>
        <v>0</v>
      </c>
      <c r="J6" s="112" t="e">
        <f>+' EXPENSES'!X43+' EXPENSES'!#REF!</f>
        <v>#REF!</v>
      </c>
      <c r="K6" s="112" t="e">
        <f t="shared" si="1"/>
        <v>#REF!</v>
      </c>
      <c r="L6" s="112" t="e">
        <f t="shared" ref="L6:L7" si="2">+C6+K6</f>
        <v>#REF!</v>
      </c>
      <c r="M6" s="165" t="s">
        <v>43</v>
      </c>
      <c r="N6" s="166">
        <v>3946</v>
      </c>
      <c r="O6" s="125">
        <f t="shared" si="0"/>
        <v>986.5</v>
      </c>
    </row>
    <row r="7" spans="1:15" ht="19.5" customHeight="1" x14ac:dyDescent="0.35">
      <c r="A7" s="126"/>
      <c r="B7" s="27" t="s">
        <v>29</v>
      </c>
      <c r="C7" s="132">
        <f>+C6</f>
        <v>162772.73333333334</v>
      </c>
      <c r="D7" s="112">
        <f>+' EXPENSES'!Y34+' EXPENSES'!Y39</f>
        <v>44850</v>
      </c>
      <c r="I7" s="112">
        <f>+' EXPENSES'!Y42+' EXPENSES'!Y29</f>
        <v>30856</v>
      </c>
      <c r="K7" s="112">
        <f t="shared" si="1"/>
        <v>75706</v>
      </c>
      <c r="L7" s="112">
        <f t="shared" si="2"/>
        <v>238478.73333333334</v>
      </c>
      <c r="M7" s="165" t="s">
        <v>60</v>
      </c>
      <c r="N7" s="166">
        <v>184126.8</v>
      </c>
      <c r="O7" s="125">
        <f t="shared" si="0"/>
        <v>46031.7</v>
      </c>
    </row>
    <row r="8" spans="1:15" ht="19.5" customHeight="1" x14ac:dyDescent="0.35">
      <c r="A8" s="126"/>
      <c r="B8" s="27"/>
      <c r="C8" s="132"/>
      <c r="L8" s="112" t="e">
        <f>SUM(L4:L7)</f>
        <v>#REF!</v>
      </c>
      <c r="M8" s="165" t="s">
        <v>45</v>
      </c>
      <c r="N8" s="166">
        <v>62895.1</v>
      </c>
      <c r="O8" s="125">
        <f t="shared" si="0"/>
        <v>15723.775</v>
      </c>
    </row>
    <row r="9" spans="1:15" ht="19.5" customHeight="1" x14ac:dyDescent="0.35">
      <c r="A9" s="126"/>
      <c r="B9" s="27"/>
      <c r="C9" s="132"/>
      <c r="L9" s="112">
        <f>+' EXPENSES'!E4</f>
        <v>906670.82000000007</v>
      </c>
      <c r="M9" s="167" t="s">
        <v>46</v>
      </c>
      <c r="N9" s="166">
        <v>24273.599999999999</v>
      </c>
      <c r="O9" s="125">
        <f t="shared" si="0"/>
        <v>6068.4</v>
      </c>
    </row>
    <row r="10" spans="1:15" ht="19.5" customHeight="1" x14ac:dyDescent="0.35">
      <c r="A10" s="126"/>
      <c r="B10" s="27"/>
      <c r="C10" s="132"/>
      <c r="L10" s="112" t="e">
        <f>+L8-L9</f>
        <v>#REF!</v>
      </c>
      <c r="M10" s="165" t="s">
        <v>47</v>
      </c>
      <c r="N10" s="166">
        <v>2424.6</v>
      </c>
      <c r="O10" s="125">
        <f t="shared" si="0"/>
        <v>606.15</v>
      </c>
    </row>
    <row r="11" spans="1:15" ht="19.5" customHeight="1" x14ac:dyDescent="0.35">
      <c r="A11" s="126"/>
      <c r="B11" s="27"/>
      <c r="C11" s="132"/>
      <c r="M11" s="165" t="s">
        <v>48</v>
      </c>
      <c r="N11" s="166">
        <v>0</v>
      </c>
      <c r="O11" s="125">
        <f t="shared" si="0"/>
        <v>0</v>
      </c>
    </row>
    <row r="12" spans="1:15" ht="19.5" customHeight="1" x14ac:dyDescent="0.35">
      <c r="A12" s="126"/>
      <c r="B12" s="27"/>
      <c r="C12" s="132"/>
      <c r="L12" s="112">
        <f>+L9/63.25/4</f>
        <v>3583.679130434783</v>
      </c>
      <c r="M12" s="165" t="s">
        <v>72</v>
      </c>
      <c r="N12" s="166">
        <v>0</v>
      </c>
      <c r="O12" s="125">
        <f t="shared" si="0"/>
        <v>0</v>
      </c>
    </row>
    <row r="13" spans="1:15" ht="19.5" customHeight="1" x14ac:dyDescent="0.35">
      <c r="A13" s="126"/>
      <c r="B13" s="27"/>
      <c r="C13" s="132"/>
      <c r="M13" s="165" t="s">
        <v>49</v>
      </c>
      <c r="N13" s="166">
        <v>0</v>
      </c>
      <c r="O13" s="125">
        <f t="shared" si="0"/>
        <v>0</v>
      </c>
    </row>
    <row r="14" spans="1:15" ht="19.5" customHeight="1" x14ac:dyDescent="0.35">
      <c r="A14" s="126"/>
      <c r="B14" s="27"/>
      <c r="C14" s="132"/>
      <c r="M14" s="165" t="s">
        <v>50</v>
      </c>
      <c r="N14" s="166">
        <v>5125.68</v>
      </c>
      <c r="O14" s="125">
        <f t="shared" si="0"/>
        <v>1281.42</v>
      </c>
    </row>
    <row r="15" spans="1:15" ht="19.5" customHeight="1" x14ac:dyDescent="0.35">
      <c r="A15" s="126"/>
      <c r="B15" s="27"/>
      <c r="C15" s="132"/>
      <c r="M15" s="165" t="s">
        <v>51</v>
      </c>
      <c r="N15" s="166">
        <v>14263</v>
      </c>
      <c r="O15" s="125">
        <f t="shared" si="0"/>
        <v>3565.75</v>
      </c>
    </row>
    <row r="16" spans="1:15" ht="19.5" customHeight="1" x14ac:dyDescent="0.35">
      <c r="A16" s="126"/>
      <c r="B16" s="27"/>
      <c r="C16" s="132"/>
      <c r="M16" s="165" t="s">
        <v>52</v>
      </c>
      <c r="N16" s="166">
        <v>12735</v>
      </c>
      <c r="O16" s="125">
        <f t="shared" si="0"/>
        <v>3183.75</v>
      </c>
    </row>
    <row r="17" spans="1:15" ht="19.5" customHeight="1" x14ac:dyDescent="0.35">
      <c r="A17" s="126"/>
      <c r="B17" s="27"/>
      <c r="C17" s="132"/>
      <c r="M17" s="150" t="s">
        <v>53</v>
      </c>
      <c r="N17" s="166">
        <v>0</v>
      </c>
      <c r="O17" s="125">
        <f t="shared" si="0"/>
        <v>0</v>
      </c>
    </row>
    <row r="18" spans="1:15" ht="19.5" customHeight="1" x14ac:dyDescent="0.35">
      <c r="A18" s="126"/>
      <c r="B18" s="27"/>
      <c r="C18" s="132"/>
      <c r="M18" s="165" t="s">
        <v>80</v>
      </c>
      <c r="N18" s="166">
        <v>0</v>
      </c>
      <c r="O18" s="125">
        <f t="shared" si="0"/>
        <v>0</v>
      </c>
    </row>
    <row r="19" spans="1:15" ht="19.5" customHeight="1" x14ac:dyDescent="0.35">
      <c r="A19" s="126"/>
      <c r="B19" s="27"/>
      <c r="C19" s="132"/>
      <c r="M19" s="165"/>
      <c r="N19" s="166">
        <f>SUM(N4:N18)</f>
        <v>651090.93333333335</v>
      </c>
      <c r="O19" s="125">
        <f>SUM(O4:O18)</f>
        <v>162772.73333333334</v>
      </c>
    </row>
    <row r="20" spans="1:15" ht="19.5" customHeight="1" x14ac:dyDescent="0.35">
      <c r="A20" s="126"/>
      <c r="B20" s="27"/>
      <c r="C20" s="132"/>
      <c r="M20" s="165"/>
      <c r="N20" s="166"/>
      <c r="O20" s="125"/>
    </row>
    <row r="21" spans="1:15" ht="19.5" customHeight="1" x14ac:dyDescent="0.35">
      <c r="A21" s="126"/>
      <c r="B21" s="27"/>
      <c r="C21" s="132"/>
      <c r="M21" s="165"/>
      <c r="N21" s="166"/>
      <c r="O21" s="125"/>
    </row>
    <row r="22" spans="1:15" ht="19.5" customHeight="1" x14ac:dyDescent="0.35">
      <c r="A22" s="126"/>
      <c r="B22" s="27"/>
      <c r="C22" s="132"/>
      <c r="M22" s="165"/>
      <c r="N22" s="166"/>
      <c r="O22" s="125"/>
    </row>
    <row r="23" spans="1:15" ht="19.5" customHeight="1" x14ac:dyDescent="0.35">
      <c r="A23" s="126"/>
      <c r="B23" s="27"/>
      <c r="C23" s="132"/>
      <c r="M23" s="165"/>
      <c r="N23" s="138"/>
      <c r="O23" s="125"/>
    </row>
    <row r="24" spans="1:15" ht="19.5" customHeight="1" x14ac:dyDescent="0.35">
      <c r="A24" s="126"/>
      <c r="B24" s="27"/>
      <c r="C24" s="132"/>
      <c r="M24" s="165" t="s">
        <v>54</v>
      </c>
      <c r="N24" s="125" t="e">
        <f>+' EXPENSES'!#REF!</f>
        <v>#REF!</v>
      </c>
      <c r="O24" s="125" t="e">
        <f>+N24</f>
        <v>#REF!</v>
      </c>
    </row>
    <row r="25" spans="1:15" ht="19.5" customHeight="1" x14ac:dyDescent="0.35">
      <c r="A25" s="126"/>
      <c r="B25" s="27"/>
      <c r="C25" s="132"/>
      <c r="M25" s="165" t="s">
        <v>55</v>
      </c>
      <c r="N25" s="125" t="e">
        <f>+' EXPENSES'!#REF!</f>
        <v>#REF!</v>
      </c>
      <c r="O25" s="125" t="e">
        <f>+N25</f>
        <v>#REF!</v>
      </c>
    </row>
    <row r="26" spans="1:15" ht="19.5" customHeight="1" x14ac:dyDescent="0.35">
      <c r="A26" s="126"/>
      <c r="B26" s="27"/>
      <c r="C26" s="132"/>
      <c r="M26" s="165" t="s">
        <v>56</v>
      </c>
      <c r="N26" s="125" t="e">
        <f>+' EXPENSES'!#REF!</f>
        <v>#REF!</v>
      </c>
      <c r="O26" s="125" t="e">
        <f>+N26</f>
        <v>#REF!</v>
      </c>
    </row>
    <row r="27" spans="1:15" ht="19.5" customHeight="1" x14ac:dyDescent="0.35">
      <c r="A27" s="126"/>
      <c r="B27" s="27"/>
      <c r="C27" s="132"/>
      <c r="M27" s="165" t="s">
        <v>57</v>
      </c>
      <c r="N27" s="125" t="e">
        <f>+' EXPENSES'!#REF!</f>
        <v>#REF!</v>
      </c>
      <c r="O27" s="125" t="e">
        <f>+N27</f>
        <v>#REF!</v>
      </c>
    </row>
    <row r="28" spans="1:15" ht="19.5" customHeight="1" x14ac:dyDescent="0.35">
      <c r="A28" s="126"/>
      <c r="B28" s="27"/>
      <c r="C28" s="132"/>
      <c r="N28" s="112" t="e">
        <f>+N19+N24+N25+N26+N27</f>
        <v>#REF!</v>
      </c>
    </row>
    <row r="29" spans="1:15" ht="19.5" customHeight="1" x14ac:dyDescent="0.35">
      <c r="A29" s="126"/>
      <c r="B29" s="27"/>
      <c r="C29" s="132"/>
    </row>
    <row r="30" spans="1:15" ht="19.5" customHeight="1" x14ac:dyDescent="0.35">
      <c r="A30" s="126"/>
      <c r="B30" s="27"/>
      <c r="C30" s="132"/>
      <c r="N30" s="112" t="e">
        <f>+' EXPENSES'!#REF!</f>
        <v>#REF!</v>
      </c>
    </row>
    <row r="31" spans="1:15" ht="19.5" customHeight="1" x14ac:dyDescent="0.35">
      <c r="A31" s="126"/>
      <c r="B31" s="27"/>
      <c r="C31" s="132"/>
      <c r="N31" s="112" t="e">
        <f>+N28-N30</f>
        <v>#REF!</v>
      </c>
    </row>
    <row r="32" spans="1:15" ht="19.5" customHeight="1" x14ac:dyDescent="0.35">
      <c r="A32" s="126"/>
      <c r="B32" s="27"/>
      <c r="C32" s="132"/>
    </row>
    <row r="33" spans="1:3" ht="19.5" customHeight="1" x14ac:dyDescent="0.35">
      <c r="A33" s="126"/>
      <c r="B33" s="27"/>
      <c r="C33" s="132"/>
    </row>
    <row r="34" spans="1:3" ht="19.5" customHeight="1" x14ac:dyDescent="0.35">
      <c r="A34" s="126"/>
      <c r="B34" s="27"/>
      <c r="C34" s="132"/>
    </row>
    <row r="35" spans="1:3" ht="19.5" customHeight="1" x14ac:dyDescent="0.35">
      <c r="A35" s="126"/>
      <c r="B35" s="27"/>
      <c r="C35" s="132"/>
    </row>
    <row r="36" spans="1:3" ht="19.5" customHeight="1" x14ac:dyDescent="0.35">
      <c r="A36" s="126"/>
      <c r="B36" s="27"/>
      <c r="C36" s="132"/>
    </row>
    <row r="37" spans="1:3" ht="19.5" customHeight="1" x14ac:dyDescent="0.35">
      <c r="A37" s="126"/>
      <c r="B37" s="27"/>
      <c r="C37" s="132"/>
    </row>
    <row r="38" spans="1:3" ht="19.5" customHeight="1" x14ac:dyDescent="0.35">
      <c r="A38" s="126"/>
      <c r="B38" s="27"/>
      <c r="C38" s="132"/>
    </row>
    <row r="39" spans="1:3" ht="19.5" customHeight="1" x14ac:dyDescent="0.35">
      <c r="A39" s="126"/>
      <c r="B39" s="27"/>
      <c r="C39" s="132"/>
    </row>
    <row r="40" spans="1:3" ht="19.5" customHeight="1" x14ac:dyDescent="0.35">
      <c r="A40" s="126"/>
      <c r="B40" s="27"/>
      <c r="C40" s="132"/>
    </row>
    <row r="41" spans="1:3" ht="19.5" customHeight="1" x14ac:dyDescent="0.35">
      <c r="A41" s="126"/>
      <c r="B41" s="27"/>
      <c r="C41" s="132"/>
    </row>
    <row r="42" spans="1:3" ht="19.5" customHeight="1" x14ac:dyDescent="0.35">
      <c r="A42" s="126"/>
      <c r="B42" s="27"/>
      <c r="C42" s="132"/>
    </row>
    <row r="43" spans="1:3" ht="19.5" customHeight="1" x14ac:dyDescent="0.35">
      <c r="A43" s="126"/>
      <c r="B43" s="27"/>
      <c r="C43" s="132"/>
    </row>
    <row r="44" spans="1:3" ht="15.75" customHeight="1" x14ac:dyDescent="0.35">
      <c r="A44" s="126"/>
      <c r="B44" s="27"/>
      <c r="C44" s="132"/>
    </row>
    <row r="45" spans="1:3" ht="15.75" customHeight="1" x14ac:dyDescent="0.35">
      <c r="A45" s="126"/>
      <c r="B45" s="27"/>
      <c r="C45" s="132"/>
    </row>
    <row r="46" spans="1:3" ht="15.75" customHeight="1" x14ac:dyDescent="0.35">
      <c r="A46" s="126"/>
      <c r="B46" s="27"/>
      <c r="C46" s="132"/>
    </row>
    <row r="47" spans="1:3" ht="15.75" customHeight="1" x14ac:dyDescent="0.35">
      <c r="A47" s="126"/>
      <c r="B47" s="27"/>
      <c r="C47" s="132"/>
    </row>
    <row r="48" spans="1:3" ht="15.75" customHeight="1" x14ac:dyDescent="0.35">
      <c r="A48" s="126"/>
      <c r="B48" s="27"/>
      <c r="C48" s="132"/>
    </row>
    <row r="49" spans="1:3" ht="15.75" customHeight="1" x14ac:dyDescent="0.35">
      <c r="A49" s="126"/>
      <c r="B49" s="27"/>
      <c r="C49" s="132"/>
    </row>
    <row r="50" spans="1:3" ht="15.75" customHeight="1" x14ac:dyDescent="0.35">
      <c r="A50" s="126"/>
      <c r="B50" s="27"/>
      <c r="C50" s="132"/>
    </row>
    <row r="51" spans="1:3" ht="15.75" customHeight="1" x14ac:dyDescent="0.35">
      <c r="A51" s="126"/>
      <c r="B51" s="27"/>
      <c r="C51" s="132"/>
    </row>
    <row r="52" spans="1:3" ht="15.75" customHeight="1" x14ac:dyDescent="0.35">
      <c r="A52" s="126"/>
      <c r="B52" s="27"/>
      <c r="C52" s="132"/>
    </row>
    <row r="53" spans="1:3" ht="15.75" customHeight="1" x14ac:dyDescent="0.35">
      <c r="A53" s="126"/>
      <c r="B53" s="27"/>
      <c r="C53" s="132"/>
    </row>
    <row r="54" spans="1:3" ht="15.75" customHeight="1" x14ac:dyDescent="0.35">
      <c r="A54" s="126"/>
      <c r="B54" s="27"/>
      <c r="C54" s="132"/>
    </row>
    <row r="55" spans="1:3" ht="15.75" customHeight="1" x14ac:dyDescent="0.35">
      <c r="A55" s="126"/>
      <c r="B55" s="27"/>
      <c r="C55" s="132"/>
    </row>
    <row r="56" spans="1:3" ht="15.75" customHeight="1" x14ac:dyDescent="0.35">
      <c r="A56" s="126"/>
      <c r="B56" s="27"/>
      <c r="C56" s="132"/>
    </row>
    <row r="57" spans="1:3" ht="15.75" customHeight="1" x14ac:dyDescent="0.35">
      <c r="A57" s="126"/>
      <c r="B57" s="27"/>
      <c r="C57" s="132"/>
    </row>
    <row r="58" spans="1:3" ht="15.75" customHeight="1" x14ac:dyDescent="0.35">
      <c r="A58" s="126"/>
      <c r="B58" s="27"/>
      <c r="C58" s="132"/>
    </row>
    <row r="59" spans="1:3" ht="15.75" customHeight="1" x14ac:dyDescent="0.35">
      <c r="A59" s="126"/>
      <c r="B59" s="27"/>
      <c r="C59" s="132"/>
    </row>
    <row r="60" spans="1:3" ht="15.75" customHeight="1" x14ac:dyDescent="0.35">
      <c r="A60" s="126"/>
      <c r="B60" s="27"/>
      <c r="C60" s="132"/>
    </row>
    <row r="61" spans="1:3" ht="15.75" customHeight="1" x14ac:dyDescent="0.35">
      <c r="A61" s="126"/>
      <c r="B61" s="27"/>
      <c r="C61" s="132"/>
    </row>
    <row r="62" spans="1:3" ht="15.75" customHeight="1" x14ac:dyDescent="0.35">
      <c r="A62" s="126"/>
      <c r="B62" s="27"/>
      <c r="C62" s="132"/>
    </row>
    <row r="63" spans="1:3" ht="15.75" customHeight="1" x14ac:dyDescent="0.35">
      <c r="A63" s="126"/>
      <c r="B63" s="27"/>
      <c r="C63" s="132"/>
    </row>
    <row r="64" spans="1:3" ht="15.75" customHeight="1" x14ac:dyDescent="0.35">
      <c r="A64" s="126"/>
      <c r="B64" s="27"/>
      <c r="C64" s="132"/>
    </row>
    <row r="65" spans="1:3" ht="15.75" customHeight="1" x14ac:dyDescent="0.35">
      <c r="A65" s="126"/>
      <c r="B65" s="27"/>
      <c r="C65" s="132"/>
    </row>
    <row r="66" spans="1:3" ht="15.75" customHeight="1" x14ac:dyDescent="0.35">
      <c r="A66" s="126"/>
      <c r="B66" s="27"/>
      <c r="C66" s="132"/>
    </row>
    <row r="67" spans="1:3" ht="15.75" customHeight="1" x14ac:dyDescent="0.35">
      <c r="A67" s="126"/>
      <c r="B67" s="27"/>
      <c r="C67" s="132"/>
    </row>
    <row r="68" spans="1:3" ht="15.75" customHeight="1" x14ac:dyDescent="0.35">
      <c r="A68" s="126"/>
      <c r="B68" s="27"/>
      <c r="C68" s="132"/>
    </row>
    <row r="69" spans="1:3" ht="15.75" customHeight="1" x14ac:dyDescent="0.35">
      <c r="A69" s="126"/>
      <c r="B69" s="27"/>
      <c r="C69" s="132"/>
    </row>
    <row r="70" spans="1:3" ht="15.75" customHeight="1" x14ac:dyDescent="0.35">
      <c r="A70" s="126"/>
      <c r="B70" s="27"/>
      <c r="C70" s="132"/>
    </row>
    <row r="71" spans="1:3" ht="15.75" customHeight="1" x14ac:dyDescent="0.35">
      <c r="A71" s="126"/>
      <c r="B71" s="27"/>
      <c r="C71" s="132"/>
    </row>
    <row r="72" spans="1:3" ht="15.75" customHeight="1" x14ac:dyDescent="0.35">
      <c r="A72" s="126"/>
      <c r="B72" s="27"/>
      <c r="C72" s="132"/>
    </row>
    <row r="73" spans="1:3" ht="15.75" customHeight="1" x14ac:dyDescent="0.35">
      <c r="A73" s="126"/>
      <c r="B73" s="27"/>
      <c r="C73" s="132"/>
    </row>
    <row r="74" spans="1:3" ht="15.75" customHeight="1" x14ac:dyDescent="0.35">
      <c r="A74" s="126"/>
      <c r="B74" s="27"/>
      <c r="C74" s="132"/>
    </row>
    <row r="75" spans="1:3" ht="15.75" customHeight="1" x14ac:dyDescent="0.35">
      <c r="A75" s="126"/>
      <c r="B75" s="27"/>
      <c r="C75" s="132"/>
    </row>
    <row r="76" spans="1:3" ht="15.75" customHeight="1" x14ac:dyDescent="0.35">
      <c r="A76" s="126"/>
      <c r="B76" s="27"/>
      <c r="C76" s="132"/>
    </row>
    <row r="77" spans="1:3" ht="15.75" customHeight="1" x14ac:dyDescent="0.35">
      <c r="A77" s="126"/>
      <c r="B77" s="27"/>
      <c r="C77" s="132"/>
    </row>
    <row r="78" spans="1:3" ht="15.75" customHeight="1" x14ac:dyDescent="0.35">
      <c r="A78" s="126"/>
      <c r="B78" s="27"/>
      <c r="C78" s="132"/>
    </row>
    <row r="79" spans="1:3" ht="15.75" customHeight="1" x14ac:dyDescent="0.35">
      <c r="A79" s="126"/>
      <c r="B79" s="27"/>
      <c r="C79" s="132"/>
    </row>
    <row r="80" spans="1:3" ht="15.75" customHeight="1" x14ac:dyDescent="0.35">
      <c r="A80" s="126"/>
      <c r="B80" s="27"/>
      <c r="C80" s="132"/>
    </row>
    <row r="81" spans="1:3" ht="15.75" customHeight="1" x14ac:dyDescent="0.35">
      <c r="A81" s="126"/>
      <c r="B81" s="27"/>
      <c r="C81" s="132"/>
    </row>
    <row r="82" spans="1:3" ht="15.75" customHeight="1" x14ac:dyDescent="0.35">
      <c r="A82" s="126"/>
      <c r="B82" s="27"/>
      <c r="C82" s="132"/>
    </row>
    <row r="83" spans="1:3" ht="15.75" customHeight="1" x14ac:dyDescent="0.35">
      <c r="A83" s="126"/>
      <c r="B83" s="27"/>
      <c r="C83" s="132"/>
    </row>
    <row r="84" spans="1:3" ht="15.75" customHeight="1" x14ac:dyDescent="0.35">
      <c r="A84" s="126"/>
      <c r="B84" s="27"/>
      <c r="C84" s="132"/>
    </row>
    <row r="85" spans="1:3" ht="15.75" customHeight="1" x14ac:dyDescent="0.35">
      <c r="A85" s="126"/>
      <c r="B85" s="27"/>
      <c r="C85" s="132"/>
    </row>
    <row r="86" spans="1:3" ht="15.75" customHeight="1" x14ac:dyDescent="0.35">
      <c r="A86" s="126"/>
      <c r="B86" s="27"/>
      <c r="C86" s="132"/>
    </row>
    <row r="87" spans="1:3" ht="15.75" customHeight="1" x14ac:dyDescent="0.35">
      <c r="A87" s="126"/>
      <c r="B87" s="27"/>
      <c r="C87" s="132"/>
    </row>
    <row r="88" spans="1:3" ht="15.75" customHeight="1" x14ac:dyDescent="0.35">
      <c r="A88" s="126"/>
      <c r="B88" s="27"/>
      <c r="C88" s="132"/>
    </row>
    <row r="89" spans="1:3" ht="15.75" customHeight="1" x14ac:dyDescent="0.35">
      <c r="A89" s="126"/>
      <c r="B89" s="27"/>
      <c r="C89" s="132"/>
    </row>
    <row r="90" spans="1:3" ht="15.75" customHeight="1" x14ac:dyDescent="0.35">
      <c r="A90" s="126"/>
      <c r="B90" s="27"/>
      <c r="C90" s="132"/>
    </row>
    <row r="91" spans="1:3" ht="15.75" customHeight="1" x14ac:dyDescent="0.35">
      <c r="A91" s="126"/>
      <c r="B91" s="27"/>
      <c r="C91" s="132"/>
    </row>
    <row r="92" spans="1:3" ht="15.75" customHeight="1" x14ac:dyDescent="0.35">
      <c r="A92" s="126"/>
      <c r="B92" s="27"/>
      <c r="C92" s="132"/>
    </row>
    <row r="93" spans="1:3" ht="15.75" customHeight="1" x14ac:dyDescent="0.35">
      <c r="A93" s="126"/>
      <c r="B93" s="27"/>
      <c r="C93" s="132"/>
    </row>
    <row r="94" spans="1:3" ht="15.75" customHeight="1" x14ac:dyDescent="0.35">
      <c r="A94" s="126"/>
      <c r="B94" s="27"/>
      <c r="C94" s="132"/>
    </row>
    <row r="95" spans="1:3" ht="15.75" customHeight="1" x14ac:dyDescent="0.35">
      <c r="A95" s="126"/>
      <c r="B95" s="27"/>
      <c r="C95" s="132"/>
    </row>
    <row r="96" spans="1:3" ht="15.75" customHeight="1" x14ac:dyDescent="0.35">
      <c r="A96" s="126"/>
      <c r="B96" s="27"/>
      <c r="C96" s="132"/>
    </row>
    <row r="97" spans="1:3" ht="15.75" customHeight="1" x14ac:dyDescent="0.35">
      <c r="A97" s="126"/>
      <c r="B97" s="27"/>
      <c r="C97" s="132"/>
    </row>
    <row r="98" spans="1:3" ht="15.75" customHeight="1" x14ac:dyDescent="0.35">
      <c r="A98" s="126"/>
      <c r="B98" s="27"/>
      <c r="C98" s="132"/>
    </row>
    <row r="99" spans="1:3" ht="15.75" customHeight="1" x14ac:dyDescent="0.35">
      <c r="A99" s="126"/>
      <c r="B99" s="27"/>
      <c r="C99" s="132"/>
    </row>
    <row r="100" spans="1:3" ht="15.75" customHeight="1" x14ac:dyDescent="0.35">
      <c r="A100" s="126"/>
      <c r="B100" s="27"/>
      <c r="C100" s="132"/>
    </row>
    <row r="101" spans="1:3" ht="15.75" customHeight="1" x14ac:dyDescent="0.35">
      <c r="A101" s="126"/>
      <c r="B101" s="27"/>
      <c r="C101" s="132"/>
    </row>
    <row r="102" spans="1:3" ht="15.75" customHeight="1" x14ac:dyDescent="0.35">
      <c r="A102" s="126"/>
      <c r="B102" s="27"/>
      <c r="C102" s="132"/>
    </row>
    <row r="103" spans="1:3" ht="15.75" customHeight="1" x14ac:dyDescent="0.35">
      <c r="A103" s="126"/>
      <c r="B103" s="27"/>
      <c r="C103" s="132"/>
    </row>
    <row r="104" spans="1:3" ht="15.75" customHeight="1" x14ac:dyDescent="0.35">
      <c r="A104" s="126"/>
      <c r="B104" s="27"/>
      <c r="C104" s="132"/>
    </row>
    <row r="105" spans="1:3" ht="15.75" customHeight="1" x14ac:dyDescent="0.35">
      <c r="A105" s="126"/>
      <c r="B105" s="27"/>
      <c r="C105" s="132"/>
    </row>
    <row r="106" spans="1:3" ht="15.75" customHeight="1" x14ac:dyDescent="0.35">
      <c r="A106" s="126"/>
      <c r="B106" s="27"/>
      <c r="C106" s="132"/>
    </row>
    <row r="107" spans="1:3" ht="15.75" customHeight="1" x14ac:dyDescent="0.35">
      <c r="A107" s="126"/>
      <c r="B107" s="27"/>
      <c r="C107" s="132"/>
    </row>
    <row r="108" spans="1:3" ht="15.75" customHeight="1" x14ac:dyDescent="0.35">
      <c r="A108" s="126"/>
      <c r="B108" s="27"/>
      <c r="C108" s="132"/>
    </row>
    <row r="109" spans="1:3" ht="15.75" customHeight="1" x14ac:dyDescent="0.35">
      <c r="A109" s="126"/>
      <c r="B109" s="27"/>
      <c r="C109" s="132"/>
    </row>
    <row r="110" spans="1:3" ht="15.75" customHeight="1" x14ac:dyDescent="0.35">
      <c r="A110" s="126"/>
      <c r="B110" s="27"/>
      <c r="C110" s="132"/>
    </row>
    <row r="111" spans="1:3" ht="15.75" customHeight="1" x14ac:dyDescent="0.35">
      <c r="A111" s="126"/>
      <c r="B111" s="27"/>
      <c r="C111" s="132"/>
    </row>
    <row r="112" spans="1:3" ht="15.75" customHeight="1" x14ac:dyDescent="0.35">
      <c r="A112" s="126"/>
      <c r="B112" s="27"/>
      <c r="C112" s="132"/>
    </row>
    <row r="113" spans="1:3" ht="15.75" customHeight="1" x14ac:dyDescent="0.35">
      <c r="A113" s="126"/>
      <c r="B113" s="27"/>
      <c r="C113" s="132"/>
    </row>
    <row r="114" spans="1:3" ht="15.75" customHeight="1" x14ac:dyDescent="0.35">
      <c r="A114" s="126"/>
      <c r="B114" s="27"/>
      <c r="C114" s="132"/>
    </row>
    <row r="115" spans="1:3" ht="15.75" customHeight="1" x14ac:dyDescent="0.35">
      <c r="A115" s="126"/>
      <c r="B115" s="27"/>
      <c r="C115" s="132"/>
    </row>
    <row r="116" spans="1:3" ht="15.75" customHeight="1" x14ac:dyDescent="0.35">
      <c r="A116" s="126"/>
      <c r="B116" s="27"/>
      <c r="C116" s="132"/>
    </row>
    <row r="117" spans="1:3" ht="15.75" customHeight="1" x14ac:dyDescent="0.35">
      <c r="A117" s="126"/>
      <c r="B117" s="27"/>
      <c r="C117" s="132"/>
    </row>
    <row r="118" spans="1:3" ht="15.75" customHeight="1" x14ac:dyDescent="0.35">
      <c r="A118" s="126"/>
      <c r="B118" s="27"/>
      <c r="C118" s="132"/>
    </row>
    <row r="119" spans="1:3" ht="15.75" customHeight="1" x14ac:dyDescent="0.35">
      <c r="A119" s="126"/>
      <c r="B119" s="27"/>
      <c r="C119" s="132"/>
    </row>
    <row r="120" spans="1:3" ht="15.75" customHeight="1" x14ac:dyDescent="0.35">
      <c r="A120" s="126"/>
      <c r="B120" s="27"/>
      <c r="C120" s="132"/>
    </row>
    <row r="121" spans="1:3" ht="15.75" customHeight="1" x14ac:dyDescent="0.35">
      <c r="A121" s="126"/>
      <c r="B121" s="27"/>
      <c r="C121" s="132"/>
    </row>
    <row r="122" spans="1:3" ht="15.75" customHeight="1" x14ac:dyDescent="0.35">
      <c r="A122" s="126"/>
      <c r="B122" s="27"/>
      <c r="C122" s="132"/>
    </row>
    <row r="123" spans="1:3" ht="15.75" customHeight="1" x14ac:dyDescent="0.35">
      <c r="A123" s="126"/>
      <c r="B123" s="27"/>
      <c r="C123" s="132"/>
    </row>
    <row r="124" spans="1:3" ht="15.75" customHeight="1" x14ac:dyDescent="0.35">
      <c r="A124" s="126"/>
      <c r="B124" s="27"/>
      <c r="C124" s="132"/>
    </row>
    <row r="125" spans="1:3" ht="15.75" customHeight="1" x14ac:dyDescent="0.35">
      <c r="A125" s="126"/>
      <c r="B125" s="27"/>
      <c r="C125" s="132"/>
    </row>
    <row r="126" spans="1:3" ht="15.75" customHeight="1" x14ac:dyDescent="0.35">
      <c r="A126" s="126"/>
      <c r="B126" s="27"/>
      <c r="C126" s="132"/>
    </row>
    <row r="127" spans="1:3" ht="15.75" customHeight="1" x14ac:dyDescent="0.35">
      <c r="A127" s="126"/>
      <c r="B127" s="27"/>
      <c r="C127" s="132"/>
    </row>
    <row r="128" spans="1:3" ht="15.75" customHeight="1" x14ac:dyDescent="0.35">
      <c r="A128" s="126"/>
      <c r="B128" s="27"/>
      <c r="C128" s="132"/>
    </row>
    <row r="129" spans="1:3" ht="15.75" customHeight="1" x14ac:dyDescent="0.35">
      <c r="A129" s="126"/>
      <c r="B129" s="27"/>
      <c r="C129" s="132"/>
    </row>
    <row r="130" spans="1:3" ht="15.75" customHeight="1" x14ac:dyDescent="0.35">
      <c r="A130" s="126"/>
      <c r="B130" s="27"/>
      <c r="C130" s="132"/>
    </row>
    <row r="131" spans="1:3" ht="15.75" customHeight="1" x14ac:dyDescent="0.35">
      <c r="A131" s="126"/>
      <c r="B131" s="27"/>
      <c r="C131" s="132"/>
    </row>
    <row r="132" spans="1:3" ht="15.75" customHeight="1" x14ac:dyDescent="0.35">
      <c r="A132" s="126"/>
      <c r="B132" s="27"/>
      <c r="C132" s="132"/>
    </row>
    <row r="133" spans="1:3" ht="15.75" customHeight="1" x14ac:dyDescent="0.35">
      <c r="A133" s="126"/>
      <c r="B133" s="27"/>
      <c r="C133" s="132"/>
    </row>
    <row r="134" spans="1:3" ht="15.75" customHeight="1" x14ac:dyDescent="0.35">
      <c r="A134" s="126"/>
      <c r="B134" s="27"/>
      <c r="C134" s="132"/>
    </row>
    <row r="135" spans="1:3" ht="15.75" customHeight="1" x14ac:dyDescent="0.35">
      <c r="A135" s="126"/>
      <c r="B135" s="27"/>
      <c r="C135" s="132"/>
    </row>
    <row r="136" spans="1:3" ht="15.75" customHeight="1" x14ac:dyDescent="0.35">
      <c r="A136" s="126"/>
      <c r="B136" s="27"/>
      <c r="C136" s="132"/>
    </row>
    <row r="137" spans="1:3" ht="15.75" customHeight="1" x14ac:dyDescent="0.35">
      <c r="A137" s="126"/>
      <c r="B137" s="27"/>
      <c r="C137" s="132"/>
    </row>
    <row r="138" spans="1:3" ht="15.75" customHeight="1" x14ac:dyDescent="0.35">
      <c r="A138" s="126"/>
      <c r="B138" s="27"/>
      <c r="C138" s="132"/>
    </row>
    <row r="139" spans="1:3" ht="15.75" customHeight="1" x14ac:dyDescent="0.35">
      <c r="A139" s="126"/>
      <c r="B139" s="27"/>
      <c r="C139" s="132"/>
    </row>
    <row r="140" spans="1:3" ht="15.75" customHeight="1" x14ac:dyDescent="0.35">
      <c r="A140" s="126"/>
      <c r="B140" s="27"/>
      <c r="C140" s="132"/>
    </row>
    <row r="141" spans="1:3" ht="15.75" customHeight="1" x14ac:dyDescent="0.35">
      <c r="A141" s="126"/>
      <c r="B141" s="27"/>
      <c r="C141" s="132"/>
    </row>
    <row r="142" spans="1:3" ht="15.75" customHeight="1" x14ac:dyDescent="0.35">
      <c r="A142" s="126"/>
      <c r="B142" s="27"/>
      <c r="C142" s="132"/>
    </row>
    <row r="143" spans="1:3" ht="15.75" customHeight="1" x14ac:dyDescent="0.35">
      <c r="A143" s="126"/>
      <c r="B143" s="27"/>
      <c r="C143" s="132"/>
    </row>
    <row r="144" spans="1:3" ht="15.75" customHeight="1" x14ac:dyDescent="0.35">
      <c r="A144" s="126"/>
      <c r="B144" s="27"/>
      <c r="C144" s="132"/>
    </row>
    <row r="145" spans="1:3" ht="15.75" customHeight="1" x14ac:dyDescent="0.35">
      <c r="A145" s="126"/>
      <c r="B145" s="27"/>
      <c r="C145" s="132"/>
    </row>
    <row r="146" spans="1:3" ht="15.75" customHeight="1" x14ac:dyDescent="0.35">
      <c r="A146" s="126"/>
      <c r="B146" s="27"/>
      <c r="C146" s="132"/>
    </row>
    <row r="147" spans="1:3" ht="15.75" customHeight="1" x14ac:dyDescent="0.35">
      <c r="A147" s="126"/>
      <c r="B147" s="27"/>
      <c r="C147" s="132"/>
    </row>
    <row r="148" spans="1:3" ht="15.75" customHeight="1" x14ac:dyDescent="0.35">
      <c r="A148" s="126"/>
      <c r="B148" s="27"/>
      <c r="C148" s="132"/>
    </row>
    <row r="149" spans="1:3" ht="15.75" customHeight="1" x14ac:dyDescent="0.35">
      <c r="A149" s="126"/>
      <c r="B149" s="27"/>
      <c r="C149" s="132"/>
    </row>
    <row r="150" spans="1:3" ht="15.75" customHeight="1" x14ac:dyDescent="0.35">
      <c r="A150" s="126"/>
      <c r="B150" s="27"/>
      <c r="C150" s="132"/>
    </row>
    <row r="151" spans="1:3" ht="15.75" customHeight="1" x14ac:dyDescent="0.35">
      <c r="A151" s="126"/>
      <c r="B151" s="27"/>
      <c r="C151" s="132"/>
    </row>
    <row r="152" spans="1:3" ht="15.75" customHeight="1" x14ac:dyDescent="0.35">
      <c r="A152" s="126"/>
      <c r="B152" s="27"/>
      <c r="C152" s="132"/>
    </row>
    <row r="153" spans="1:3" ht="15.75" customHeight="1" x14ac:dyDescent="0.35">
      <c r="A153" s="126"/>
      <c r="B153" s="27"/>
      <c r="C153" s="132"/>
    </row>
    <row r="154" spans="1:3" ht="15.75" customHeight="1" x14ac:dyDescent="0.35">
      <c r="A154" s="126"/>
      <c r="B154" s="27"/>
      <c r="C154" s="132"/>
    </row>
    <row r="155" spans="1:3" ht="15.75" customHeight="1" x14ac:dyDescent="0.35">
      <c r="A155" s="126"/>
      <c r="B155" s="27"/>
      <c r="C155" s="132"/>
    </row>
    <row r="156" spans="1:3" ht="15.75" customHeight="1" x14ac:dyDescent="0.35">
      <c r="A156" s="126"/>
      <c r="B156" s="27"/>
      <c r="C156" s="132"/>
    </row>
    <row r="157" spans="1:3" ht="15.75" customHeight="1" x14ac:dyDescent="0.35">
      <c r="A157" s="126"/>
      <c r="B157" s="27"/>
      <c r="C157" s="132"/>
    </row>
    <row r="158" spans="1:3" ht="15.75" customHeight="1" x14ac:dyDescent="0.35">
      <c r="A158" s="126"/>
      <c r="B158" s="27"/>
      <c r="C158" s="132"/>
    </row>
    <row r="159" spans="1:3" ht="15.75" customHeight="1" x14ac:dyDescent="0.35">
      <c r="A159" s="126"/>
      <c r="B159" s="27"/>
      <c r="C159" s="132"/>
    </row>
    <row r="160" spans="1:3" ht="15.75" customHeight="1" x14ac:dyDescent="0.35">
      <c r="A160" s="126"/>
      <c r="B160" s="27"/>
      <c r="C160" s="132"/>
    </row>
    <row r="161" spans="1:3" ht="15.75" customHeight="1" x14ac:dyDescent="0.35">
      <c r="A161" s="126"/>
      <c r="B161" s="27"/>
      <c r="C161" s="132"/>
    </row>
    <row r="162" spans="1:3" ht="15.75" customHeight="1" x14ac:dyDescent="0.35">
      <c r="A162" s="126"/>
      <c r="B162" s="27"/>
      <c r="C162" s="132"/>
    </row>
    <row r="163" spans="1:3" ht="15.75" customHeight="1" x14ac:dyDescent="0.35">
      <c r="A163" s="126"/>
      <c r="B163" s="27"/>
      <c r="C163" s="132"/>
    </row>
    <row r="164" spans="1:3" ht="15.75" customHeight="1" x14ac:dyDescent="0.35">
      <c r="A164" s="126"/>
      <c r="B164" s="27"/>
      <c r="C164" s="132"/>
    </row>
    <row r="165" spans="1:3" ht="15.75" customHeight="1" x14ac:dyDescent="0.35">
      <c r="A165" s="126"/>
      <c r="B165" s="27"/>
      <c r="C165" s="132"/>
    </row>
    <row r="166" spans="1:3" ht="15.75" customHeight="1" x14ac:dyDescent="0.35">
      <c r="A166" s="126"/>
      <c r="B166" s="27"/>
      <c r="C166" s="132"/>
    </row>
    <row r="167" spans="1:3" ht="15.75" customHeight="1" x14ac:dyDescent="0.35">
      <c r="A167" s="126"/>
      <c r="B167" s="27"/>
      <c r="C167" s="132"/>
    </row>
    <row r="168" spans="1:3" ht="15.75" customHeight="1" x14ac:dyDescent="0.35">
      <c r="A168" s="126"/>
      <c r="B168" s="27"/>
      <c r="C168" s="132"/>
    </row>
    <row r="169" spans="1:3" ht="15.75" customHeight="1" x14ac:dyDescent="0.35">
      <c r="A169" s="126"/>
      <c r="B169" s="27"/>
      <c r="C169" s="132"/>
    </row>
    <row r="170" spans="1:3" ht="15.75" customHeight="1" x14ac:dyDescent="0.35">
      <c r="A170" s="126"/>
      <c r="B170" s="27"/>
      <c r="C170" s="132"/>
    </row>
    <row r="171" spans="1:3" ht="15.75" customHeight="1" x14ac:dyDescent="0.35">
      <c r="A171" s="126"/>
      <c r="B171" s="27"/>
      <c r="C171" s="132"/>
    </row>
    <row r="172" spans="1:3" ht="15.75" customHeight="1" x14ac:dyDescent="0.35">
      <c r="A172" s="126"/>
      <c r="B172" s="27"/>
      <c r="C172" s="132"/>
    </row>
    <row r="173" spans="1:3" ht="15.75" customHeight="1" x14ac:dyDescent="0.35">
      <c r="A173" s="126"/>
      <c r="B173" s="27"/>
      <c r="C173" s="132"/>
    </row>
    <row r="174" spans="1:3" ht="15.75" customHeight="1" x14ac:dyDescent="0.35">
      <c r="A174" s="126"/>
      <c r="B174" s="27"/>
      <c r="C174" s="132"/>
    </row>
    <row r="175" spans="1:3" ht="15.75" customHeight="1" x14ac:dyDescent="0.35">
      <c r="A175" s="126"/>
      <c r="B175" s="27"/>
      <c r="C175" s="132"/>
    </row>
    <row r="176" spans="1:3" ht="15.75" customHeight="1" x14ac:dyDescent="0.35">
      <c r="A176" s="126"/>
      <c r="B176" s="27"/>
      <c r="C176" s="132"/>
    </row>
    <row r="177" spans="1:3" ht="15.75" customHeight="1" x14ac:dyDescent="0.35">
      <c r="A177" s="126"/>
      <c r="B177" s="27"/>
      <c r="C177" s="132"/>
    </row>
    <row r="178" spans="1:3" ht="15.75" customHeight="1" x14ac:dyDescent="0.35">
      <c r="A178" s="126"/>
      <c r="B178" s="27"/>
      <c r="C178" s="132"/>
    </row>
    <row r="179" spans="1:3" ht="15.75" customHeight="1" x14ac:dyDescent="0.35">
      <c r="A179" s="126"/>
      <c r="B179" s="27"/>
      <c r="C179" s="132"/>
    </row>
    <row r="180" spans="1:3" ht="15.75" customHeight="1" x14ac:dyDescent="0.35">
      <c r="A180" s="126"/>
      <c r="B180" s="27"/>
      <c r="C180" s="132"/>
    </row>
    <row r="181" spans="1:3" ht="15.75" customHeight="1" x14ac:dyDescent="0.35">
      <c r="A181" s="126"/>
      <c r="B181" s="27"/>
      <c r="C181" s="132"/>
    </row>
    <row r="182" spans="1:3" ht="15.75" customHeight="1" x14ac:dyDescent="0.35">
      <c r="A182" s="126"/>
      <c r="B182" s="27"/>
      <c r="C182" s="132"/>
    </row>
    <row r="183" spans="1:3" ht="15.75" customHeight="1" x14ac:dyDescent="0.35">
      <c r="A183" s="126"/>
      <c r="B183" s="27"/>
      <c r="C183" s="132"/>
    </row>
    <row r="184" spans="1:3" ht="15.75" customHeight="1" x14ac:dyDescent="0.35">
      <c r="A184" s="126"/>
      <c r="B184" s="27"/>
      <c r="C184" s="132"/>
    </row>
    <row r="185" spans="1:3" ht="15.75" customHeight="1" x14ac:dyDescent="0.35">
      <c r="A185" s="126"/>
      <c r="B185" s="27"/>
      <c r="C185" s="132"/>
    </row>
    <row r="186" spans="1:3" ht="15.75" customHeight="1" x14ac:dyDescent="0.35">
      <c r="A186" s="126"/>
      <c r="B186" s="27"/>
      <c r="C186" s="132"/>
    </row>
    <row r="187" spans="1:3" ht="15.75" customHeight="1" x14ac:dyDescent="0.35">
      <c r="A187" s="126"/>
      <c r="B187" s="27"/>
      <c r="C187" s="132"/>
    </row>
    <row r="188" spans="1:3" ht="15.75" customHeight="1" x14ac:dyDescent="0.35">
      <c r="A188" s="126"/>
      <c r="B188" s="27"/>
      <c r="C188" s="132"/>
    </row>
    <row r="189" spans="1:3" ht="15.75" customHeight="1" x14ac:dyDescent="0.35">
      <c r="A189" s="126"/>
      <c r="B189" s="27"/>
      <c r="C189" s="132"/>
    </row>
    <row r="190" spans="1:3" ht="15.75" customHeight="1" x14ac:dyDescent="0.35">
      <c r="A190" s="126"/>
      <c r="B190" s="27"/>
      <c r="C190" s="132"/>
    </row>
    <row r="191" spans="1:3" ht="15.75" customHeight="1" x14ac:dyDescent="0.35">
      <c r="A191" s="126"/>
      <c r="B191" s="27"/>
      <c r="C191" s="132"/>
    </row>
    <row r="192" spans="1:3" ht="15.75" customHeight="1" x14ac:dyDescent="0.35">
      <c r="A192" s="126"/>
      <c r="B192" s="27"/>
      <c r="C192" s="132"/>
    </row>
    <row r="193" spans="1:3" ht="15.75" customHeight="1" x14ac:dyDescent="0.35">
      <c r="A193" s="126"/>
      <c r="B193" s="27"/>
      <c r="C193" s="132"/>
    </row>
    <row r="194" spans="1:3" ht="15.75" customHeight="1" x14ac:dyDescent="0.35">
      <c r="A194" s="126"/>
      <c r="B194" s="27"/>
      <c r="C194" s="132"/>
    </row>
    <row r="195" spans="1:3" ht="15.75" customHeight="1" x14ac:dyDescent="0.35">
      <c r="A195" s="126"/>
      <c r="B195" s="27"/>
      <c r="C195" s="132"/>
    </row>
    <row r="196" spans="1:3" ht="15.75" customHeight="1" x14ac:dyDescent="0.35">
      <c r="A196" s="126"/>
      <c r="B196" s="27"/>
      <c r="C196" s="132"/>
    </row>
    <row r="197" spans="1:3" ht="15.75" customHeight="1" x14ac:dyDescent="0.35">
      <c r="A197" s="126"/>
      <c r="B197" s="27"/>
      <c r="C197" s="132"/>
    </row>
    <row r="198" spans="1:3" ht="15.75" customHeight="1" x14ac:dyDescent="0.35">
      <c r="A198" s="126"/>
      <c r="B198" s="27"/>
      <c r="C198" s="132"/>
    </row>
    <row r="199" spans="1:3" ht="15.75" customHeight="1" x14ac:dyDescent="0.35">
      <c r="A199" s="126"/>
      <c r="B199" s="27"/>
      <c r="C199" s="132"/>
    </row>
    <row r="200" spans="1:3" ht="15.75" customHeight="1" x14ac:dyDescent="0.35">
      <c r="A200" s="126"/>
      <c r="B200" s="27"/>
      <c r="C200" s="132"/>
    </row>
    <row r="201" spans="1:3" ht="15.75" customHeight="1" x14ac:dyDescent="0.35">
      <c r="A201" s="126"/>
      <c r="B201" s="27"/>
      <c r="C201" s="132"/>
    </row>
    <row r="202" spans="1:3" ht="15.75" customHeight="1" x14ac:dyDescent="0.35">
      <c r="A202" s="126"/>
      <c r="B202" s="27"/>
      <c r="C202" s="132"/>
    </row>
    <row r="203" spans="1:3" ht="15.75" customHeight="1" x14ac:dyDescent="0.35">
      <c r="A203" s="126"/>
      <c r="B203" s="27"/>
      <c r="C203" s="132"/>
    </row>
    <row r="204" spans="1:3" ht="15.75" customHeight="1" x14ac:dyDescent="0.35">
      <c r="A204" s="126"/>
      <c r="B204" s="27"/>
      <c r="C204" s="132"/>
    </row>
    <row r="205" spans="1:3" ht="15.75" customHeight="1" x14ac:dyDescent="0.35">
      <c r="A205" s="126"/>
      <c r="B205" s="27"/>
      <c r="C205" s="132"/>
    </row>
    <row r="206" spans="1:3" ht="15.75" customHeight="1" x14ac:dyDescent="0.35">
      <c r="A206" s="126"/>
      <c r="B206" s="27"/>
      <c r="C206" s="132"/>
    </row>
    <row r="207" spans="1:3" ht="15.75" customHeight="1" x14ac:dyDescent="0.35">
      <c r="A207" s="126"/>
      <c r="B207" s="27"/>
      <c r="C207" s="132"/>
    </row>
    <row r="208" spans="1:3" ht="15.75" customHeight="1" x14ac:dyDescent="0.35">
      <c r="A208" s="126"/>
      <c r="B208" s="27"/>
      <c r="C208" s="132"/>
    </row>
    <row r="209" spans="1:3" ht="15.75" customHeight="1" x14ac:dyDescent="0.35">
      <c r="A209" s="126"/>
      <c r="B209" s="27"/>
      <c r="C209" s="132"/>
    </row>
    <row r="210" spans="1:3" ht="15.75" customHeight="1" x14ac:dyDescent="0.35">
      <c r="A210" s="126"/>
      <c r="B210" s="27"/>
      <c r="C210" s="132"/>
    </row>
    <row r="211" spans="1:3" ht="15.75" customHeight="1" x14ac:dyDescent="0.35">
      <c r="A211" s="126"/>
      <c r="B211" s="27"/>
      <c r="C211" s="132"/>
    </row>
    <row r="212" spans="1:3" ht="15.75" customHeight="1" x14ac:dyDescent="0.35">
      <c r="A212" s="126"/>
      <c r="B212" s="27"/>
      <c r="C212" s="132"/>
    </row>
    <row r="213" spans="1:3" ht="15.75" customHeight="1" x14ac:dyDescent="0.35">
      <c r="A213" s="126"/>
      <c r="B213" s="27"/>
      <c r="C213" s="132"/>
    </row>
    <row r="214" spans="1:3" ht="15.75" customHeight="1" x14ac:dyDescent="0.35">
      <c r="A214" s="126"/>
      <c r="B214" s="27"/>
      <c r="C214" s="132"/>
    </row>
    <row r="215" spans="1:3" ht="15.75" customHeight="1" x14ac:dyDescent="0.35">
      <c r="A215" s="126"/>
      <c r="B215" s="27"/>
      <c r="C215" s="132"/>
    </row>
    <row r="216" spans="1:3" ht="15.75" customHeight="1" x14ac:dyDescent="0.35">
      <c r="A216" s="126"/>
      <c r="B216" s="27"/>
      <c r="C216" s="132"/>
    </row>
    <row r="217" spans="1:3" ht="15.75" customHeight="1" x14ac:dyDescent="0.35">
      <c r="A217" s="126"/>
      <c r="B217" s="27"/>
      <c r="C217" s="132"/>
    </row>
    <row r="218" spans="1:3" ht="15.75" customHeight="1" x14ac:dyDescent="0.35">
      <c r="A218" s="126"/>
      <c r="B218" s="27"/>
      <c r="C218" s="132"/>
    </row>
    <row r="219" spans="1:3" ht="15.75" customHeight="1" x14ac:dyDescent="0.35">
      <c r="A219" s="126"/>
      <c r="B219" s="27"/>
      <c r="C219" s="132"/>
    </row>
    <row r="220" spans="1:3" ht="15.75" customHeight="1" x14ac:dyDescent="0.35">
      <c r="A220" s="126"/>
      <c r="B220" s="27"/>
      <c r="C220" s="132"/>
    </row>
    <row r="221" spans="1:3" ht="15.75" customHeight="1" x14ac:dyDescent="0.35">
      <c r="A221" s="126"/>
      <c r="B221" s="27"/>
      <c r="C221" s="132"/>
    </row>
    <row r="222" spans="1:3" ht="15.75" customHeight="1" x14ac:dyDescent="0.35">
      <c r="A222" s="126"/>
      <c r="B222" s="27"/>
      <c r="C222" s="132"/>
    </row>
    <row r="223" spans="1:3" ht="15.75" customHeight="1" x14ac:dyDescent="0.35">
      <c r="A223" s="126"/>
      <c r="B223" s="27"/>
      <c r="C223" s="132"/>
    </row>
    <row r="224" spans="1:3" ht="15.75" customHeight="1" x14ac:dyDescent="0.35">
      <c r="A224" s="126"/>
      <c r="B224" s="27"/>
      <c r="C224" s="132"/>
    </row>
    <row r="225" spans="1:3" ht="15.75" customHeight="1" x14ac:dyDescent="0.35">
      <c r="A225" s="126"/>
      <c r="B225" s="27"/>
      <c r="C225" s="132"/>
    </row>
    <row r="226" spans="1:3" ht="15.75" customHeight="1" x14ac:dyDescent="0.35">
      <c r="A226" s="126"/>
      <c r="B226" s="27"/>
      <c r="C226" s="132"/>
    </row>
    <row r="227" spans="1:3" ht="15.75" customHeight="1" x14ac:dyDescent="0.35">
      <c r="A227" s="126"/>
      <c r="B227" s="27"/>
      <c r="C227" s="132"/>
    </row>
    <row r="228" spans="1:3" ht="15.75" customHeight="1" x14ac:dyDescent="0.35">
      <c r="A228" s="126"/>
      <c r="B228" s="27"/>
      <c r="C228" s="132"/>
    </row>
    <row r="229" spans="1:3" ht="15.75" customHeight="1" x14ac:dyDescent="0.35">
      <c r="A229" s="126"/>
      <c r="B229" s="27"/>
      <c r="C229" s="132"/>
    </row>
    <row r="230" spans="1:3" ht="15.75" customHeight="1" x14ac:dyDescent="0.35">
      <c r="A230" s="126"/>
      <c r="B230" s="27"/>
      <c r="C230" s="132"/>
    </row>
    <row r="231" spans="1:3" ht="15.75" customHeight="1" x14ac:dyDescent="0.35">
      <c r="A231" s="126"/>
      <c r="B231" s="27"/>
      <c r="C231" s="132"/>
    </row>
    <row r="232" spans="1:3" ht="15.75" customHeight="1" x14ac:dyDescent="0.35">
      <c r="A232" s="126"/>
      <c r="B232" s="27"/>
      <c r="C232" s="132"/>
    </row>
    <row r="233" spans="1:3" ht="15.75" customHeight="1" x14ac:dyDescent="0.35">
      <c r="A233" s="126"/>
      <c r="B233" s="27"/>
      <c r="C233" s="132"/>
    </row>
    <row r="234" spans="1:3" ht="15.75" customHeight="1" x14ac:dyDescent="0.35">
      <c r="A234" s="126"/>
      <c r="B234" s="27"/>
      <c r="C234" s="132"/>
    </row>
    <row r="235" spans="1:3" ht="15.75" customHeight="1" x14ac:dyDescent="0.35">
      <c r="A235" s="126"/>
      <c r="B235" s="27"/>
      <c r="C235" s="132"/>
    </row>
    <row r="236" spans="1:3" ht="15.75" customHeight="1" x14ac:dyDescent="0.35">
      <c r="A236" s="126"/>
      <c r="B236" s="27"/>
      <c r="C236" s="132"/>
    </row>
    <row r="237" spans="1:3" ht="15.75" customHeight="1" x14ac:dyDescent="0.35">
      <c r="A237" s="126"/>
      <c r="B237" s="27"/>
      <c r="C237" s="132"/>
    </row>
    <row r="238" spans="1:3" ht="15.75" customHeight="1" x14ac:dyDescent="0.35">
      <c r="A238" s="126"/>
      <c r="B238" s="27"/>
      <c r="C238" s="132"/>
    </row>
    <row r="239" spans="1:3" ht="15.75" customHeight="1" x14ac:dyDescent="0.35">
      <c r="A239" s="126"/>
      <c r="B239" s="27"/>
      <c r="C239" s="132"/>
    </row>
    <row r="240" spans="1:3" ht="15.75" customHeight="1" x14ac:dyDescent="0.35">
      <c r="A240" s="126"/>
      <c r="B240" s="27"/>
      <c r="C240" s="132"/>
    </row>
    <row r="241" spans="1:3" ht="15.75" customHeight="1" x14ac:dyDescent="0.35">
      <c r="A241" s="126"/>
      <c r="B241" s="27"/>
      <c r="C241" s="132"/>
    </row>
    <row r="242" spans="1:3" ht="15.75" customHeight="1" x14ac:dyDescent="0.35">
      <c r="A242" s="126"/>
      <c r="B242" s="27"/>
      <c r="C242" s="132"/>
    </row>
    <row r="243" spans="1:3" ht="15.75" customHeight="1" x14ac:dyDescent="0.35">
      <c r="A243" s="126"/>
      <c r="B243" s="27"/>
      <c r="C243" s="132"/>
    </row>
    <row r="244" spans="1:3" ht="15.75" customHeight="1" x14ac:dyDescent="0.35">
      <c r="A244" s="126"/>
      <c r="B244" s="27"/>
      <c r="C244" s="132"/>
    </row>
    <row r="245" spans="1:3" ht="15.75" customHeight="1" x14ac:dyDescent="0.35">
      <c r="A245" s="126"/>
      <c r="B245" s="27"/>
      <c r="C245" s="132"/>
    </row>
    <row r="246" spans="1:3" ht="15.75" customHeight="1" x14ac:dyDescent="0.35">
      <c r="A246" s="126"/>
      <c r="B246" s="27"/>
      <c r="C246" s="132"/>
    </row>
    <row r="247" spans="1:3" ht="15.75" customHeight="1" x14ac:dyDescent="0.35">
      <c r="A247" s="126"/>
      <c r="B247" s="27"/>
      <c r="C247" s="132"/>
    </row>
    <row r="248" spans="1:3" ht="15.75" customHeight="1" x14ac:dyDescent="0.35">
      <c r="A248" s="126"/>
      <c r="B248" s="27"/>
      <c r="C248" s="132"/>
    </row>
    <row r="249" spans="1:3" ht="15.75" customHeight="1" x14ac:dyDescent="0.35">
      <c r="A249" s="126"/>
      <c r="B249" s="27"/>
      <c r="C249" s="132"/>
    </row>
    <row r="250" spans="1:3" ht="15.75" customHeight="1" x14ac:dyDescent="0.35">
      <c r="A250" s="126"/>
      <c r="B250" s="27"/>
      <c r="C250" s="132"/>
    </row>
    <row r="251" spans="1:3" ht="15.75" customHeight="1" x14ac:dyDescent="0.35">
      <c r="A251" s="126"/>
      <c r="B251" s="27"/>
      <c r="C251" s="132"/>
    </row>
    <row r="252" spans="1:3" ht="15.75" customHeight="1" x14ac:dyDescent="0.35">
      <c r="A252" s="126"/>
      <c r="B252" s="27"/>
      <c r="C252" s="132"/>
    </row>
    <row r="253" spans="1:3" ht="15.75" customHeight="1" x14ac:dyDescent="0.35">
      <c r="A253" s="126"/>
      <c r="B253" s="27"/>
      <c r="C253" s="132"/>
    </row>
    <row r="254" spans="1:3" ht="15.75" customHeight="1" x14ac:dyDescent="0.35">
      <c r="A254" s="126"/>
      <c r="B254" s="27"/>
      <c r="C254" s="132"/>
    </row>
    <row r="255" spans="1:3" ht="15.75" customHeight="1" x14ac:dyDescent="0.35">
      <c r="A255" s="126"/>
      <c r="B255" s="27"/>
      <c r="C255" s="132"/>
    </row>
    <row r="256" spans="1:3" ht="15.75" customHeight="1" x14ac:dyDescent="0.35">
      <c r="A256" s="126"/>
      <c r="B256" s="27"/>
      <c r="C256" s="132"/>
    </row>
    <row r="257" spans="1:3" ht="15.75" customHeight="1" x14ac:dyDescent="0.35">
      <c r="A257" s="126"/>
      <c r="B257" s="27"/>
      <c r="C257" s="132"/>
    </row>
    <row r="258" spans="1:3" ht="15.75" customHeight="1" x14ac:dyDescent="0.35">
      <c r="A258" s="126"/>
      <c r="B258" s="27"/>
      <c r="C258" s="132"/>
    </row>
    <row r="259" spans="1:3" ht="15.75" customHeight="1" x14ac:dyDescent="0.35">
      <c r="A259" s="126"/>
      <c r="B259" s="27"/>
      <c r="C259" s="132"/>
    </row>
    <row r="260" spans="1:3" ht="15.75" customHeight="1" x14ac:dyDescent="0.35">
      <c r="A260" s="126"/>
      <c r="B260" s="27"/>
      <c r="C260" s="132"/>
    </row>
    <row r="261" spans="1:3" ht="15.75" customHeight="1" x14ac:dyDescent="0.35">
      <c r="A261" s="126"/>
      <c r="B261" s="27"/>
      <c r="C261" s="132"/>
    </row>
    <row r="262" spans="1:3" ht="15.75" customHeight="1" x14ac:dyDescent="0.35">
      <c r="A262" s="126"/>
      <c r="B262" s="27"/>
      <c r="C262" s="132"/>
    </row>
    <row r="263" spans="1:3" ht="15.75" customHeight="1" x14ac:dyDescent="0.35">
      <c r="A263" s="126"/>
      <c r="B263" s="27"/>
      <c r="C263" s="132"/>
    </row>
    <row r="264" spans="1:3" ht="15.75" customHeight="1" x14ac:dyDescent="0.35">
      <c r="A264" s="126"/>
      <c r="B264" s="27"/>
      <c r="C264" s="132"/>
    </row>
    <row r="265" spans="1:3" ht="15.75" customHeight="1" x14ac:dyDescent="0.35">
      <c r="A265" s="126"/>
      <c r="B265" s="27"/>
      <c r="C265" s="132"/>
    </row>
    <row r="266" spans="1:3" ht="15.75" customHeight="1" x14ac:dyDescent="0.35">
      <c r="A266" s="126"/>
      <c r="B266" s="27"/>
      <c r="C266" s="132"/>
    </row>
    <row r="267" spans="1:3" ht="15.75" customHeight="1" x14ac:dyDescent="0.35">
      <c r="A267" s="126"/>
      <c r="B267" s="27"/>
      <c r="C267" s="132"/>
    </row>
    <row r="268" spans="1:3" ht="15.75" customHeight="1" x14ac:dyDescent="0.35">
      <c r="A268" s="126"/>
      <c r="B268" s="27"/>
      <c r="C268" s="132"/>
    </row>
    <row r="269" spans="1:3" ht="15.75" customHeight="1" x14ac:dyDescent="0.35">
      <c r="A269" s="126"/>
      <c r="B269" s="27"/>
      <c r="C269" s="132"/>
    </row>
    <row r="270" spans="1:3" ht="15.75" customHeight="1" x14ac:dyDescent="0.35">
      <c r="A270" s="126"/>
      <c r="B270" s="27"/>
      <c r="C270" s="132"/>
    </row>
    <row r="271" spans="1:3" ht="15.75" customHeight="1" x14ac:dyDescent="0.35">
      <c r="A271" s="126"/>
      <c r="B271" s="27"/>
      <c r="C271" s="132"/>
    </row>
    <row r="272" spans="1:3" ht="15.75" customHeight="1" x14ac:dyDescent="0.35">
      <c r="A272" s="126"/>
      <c r="B272" s="27"/>
      <c r="C272" s="132"/>
    </row>
    <row r="273" spans="1:3" ht="15.75" customHeight="1" x14ac:dyDescent="0.35">
      <c r="A273" s="126"/>
      <c r="B273" s="27"/>
      <c r="C273" s="132"/>
    </row>
    <row r="274" spans="1:3" ht="15.75" customHeight="1" x14ac:dyDescent="0.35">
      <c r="A274" s="126"/>
      <c r="B274" s="27"/>
      <c r="C274" s="132"/>
    </row>
    <row r="275" spans="1:3" ht="15.75" customHeight="1" x14ac:dyDescent="0.35">
      <c r="A275" s="126"/>
      <c r="B275" s="27"/>
      <c r="C275" s="132"/>
    </row>
    <row r="276" spans="1:3" ht="15.75" customHeight="1" x14ac:dyDescent="0.35">
      <c r="A276" s="126"/>
      <c r="B276" s="27"/>
      <c r="C276" s="132"/>
    </row>
    <row r="277" spans="1:3" ht="15.75" customHeight="1" x14ac:dyDescent="0.35">
      <c r="A277" s="126"/>
      <c r="B277" s="27"/>
      <c r="C277" s="132"/>
    </row>
    <row r="278" spans="1:3" ht="15.75" customHeight="1" x14ac:dyDescent="0.35">
      <c r="A278" s="126"/>
      <c r="B278" s="27"/>
      <c r="C278" s="132"/>
    </row>
    <row r="279" spans="1:3" ht="15.75" customHeight="1" x14ac:dyDescent="0.35">
      <c r="A279" s="126"/>
      <c r="B279" s="27"/>
      <c r="C279" s="132"/>
    </row>
    <row r="280" spans="1:3" ht="15.75" customHeight="1" x14ac:dyDescent="0.35">
      <c r="A280" s="126"/>
      <c r="B280" s="27"/>
      <c r="C280" s="132"/>
    </row>
    <row r="281" spans="1:3" ht="15.75" customHeight="1" x14ac:dyDescent="0.35">
      <c r="A281" s="126"/>
      <c r="B281" s="27"/>
      <c r="C281" s="132"/>
    </row>
    <row r="282" spans="1:3" ht="15.75" customHeight="1" x14ac:dyDescent="0.35">
      <c r="A282" s="126"/>
      <c r="B282" s="27"/>
      <c r="C282" s="132"/>
    </row>
    <row r="283" spans="1:3" ht="15.75" customHeight="1" x14ac:dyDescent="0.35">
      <c r="A283" s="126"/>
      <c r="B283" s="27"/>
      <c r="C283" s="132"/>
    </row>
    <row r="284" spans="1:3" ht="15.75" customHeight="1" x14ac:dyDescent="0.35">
      <c r="A284" s="126"/>
      <c r="B284" s="27"/>
      <c r="C284" s="132"/>
    </row>
    <row r="285" spans="1:3" ht="15.75" customHeight="1" x14ac:dyDescent="0.35">
      <c r="A285" s="126"/>
      <c r="B285" s="27"/>
      <c r="C285" s="132"/>
    </row>
    <row r="286" spans="1:3" ht="15.75" customHeight="1" x14ac:dyDescent="0.35">
      <c r="A286" s="126"/>
      <c r="B286" s="27"/>
      <c r="C286" s="132"/>
    </row>
    <row r="287" spans="1:3" ht="15.75" customHeight="1" x14ac:dyDescent="0.35">
      <c r="A287" s="126"/>
      <c r="B287" s="27"/>
      <c r="C287" s="132"/>
    </row>
    <row r="288" spans="1:3" ht="15.75" customHeight="1" x14ac:dyDescent="0.35">
      <c r="A288" s="126"/>
      <c r="B288" s="27"/>
      <c r="C288" s="132"/>
    </row>
    <row r="289" spans="1:3" ht="15.75" customHeight="1" x14ac:dyDescent="0.35">
      <c r="A289" s="126"/>
      <c r="B289" s="27"/>
      <c r="C289" s="132"/>
    </row>
    <row r="290" spans="1:3" ht="15.75" customHeight="1" x14ac:dyDescent="0.35">
      <c r="A290" s="126"/>
      <c r="B290" s="27"/>
      <c r="C290" s="132"/>
    </row>
    <row r="291" spans="1:3" ht="15.75" customHeight="1" x14ac:dyDescent="0.35">
      <c r="A291" s="126"/>
      <c r="B291" s="27"/>
      <c r="C291" s="132"/>
    </row>
    <row r="292" spans="1:3" ht="15.75" customHeight="1" x14ac:dyDescent="0.35">
      <c r="A292" s="126"/>
      <c r="B292" s="27"/>
      <c r="C292" s="132"/>
    </row>
    <row r="293" spans="1:3" ht="15.75" customHeight="1" x14ac:dyDescent="0.35">
      <c r="A293" s="126"/>
      <c r="B293" s="27"/>
      <c r="C293" s="132"/>
    </row>
    <row r="294" spans="1:3" ht="15.75" customHeight="1" x14ac:dyDescent="0.35">
      <c r="A294" s="126"/>
      <c r="B294" s="27"/>
      <c r="C294" s="132"/>
    </row>
    <row r="295" spans="1:3" ht="15.75" customHeight="1" x14ac:dyDescent="0.35">
      <c r="A295" s="126"/>
      <c r="B295" s="27"/>
      <c r="C295" s="132"/>
    </row>
    <row r="296" spans="1:3" ht="15.75" customHeight="1" x14ac:dyDescent="0.35">
      <c r="A296" s="126"/>
      <c r="B296" s="27"/>
      <c r="C296" s="132"/>
    </row>
    <row r="297" spans="1:3" ht="15.75" customHeight="1" x14ac:dyDescent="0.35">
      <c r="A297" s="126"/>
      <c r="B297" s="27"/>
      <c r="C297" s="132"/>
    </row>
    <row r="298" spans="1:3" ht="15.75" customHeight="1" x14ac:dyDescent="0.35">
      <c r="A298" s="126"/>
      <c r="B298" s="27"/>
      <c r="C298" s="132"/>
    </row>
    <row r="299" spans="1:3" ht="15.75" customHeight="1" x14ac:dyDescent="0.35">
      <c r="A299" s="126"/>
      <c r="B299" s="27"/>
      <c r="C299" s="132"/>
    </row>
    <row r="300" spans="1:3" ht="15.75" customHeight="1" x14ac:dyDescent="0.35">
      <c r="A300" s="126"/>
      <c r="B300" s="27"/>
      <c r="C300" s="132"/>
    </row>
    <row r="301" spans="1:3" ht="15.75" customHeight="1" x14ac:dyDescent="0.35">
      <c r="A301" s="126"/>
      <c r="B301" s="27"/>
      <c r="C301" s="132"/>
    </row>
    <row r="302" spans="1:3" ht="15.75" customHeight="1" x14ac:dyDescent="0.35">
      <c r="A302" s="126"/>
      <c r="B302" s="27"/>
      <c r="C302" s="132"/>
    </row>
    <row r="303" spans="1:3" ht="15.75" customHeight="1" x14ac:dyDescent="0.35">
      <c r="A303" s="126"/>
      <c r="B303" s="27"/>
      <c r="C303" s="132"/>
    </row>
    <row r="304" spans="1:3" ht="15.75" customHeight="1" x14ac:dyDescent="0.35">
      <c r="A304" s="126"/>
      <c r="B304" s="27"/>
      <c r="C304" s="132"/>
    </row>
    <row r="305" spans="1:3" ht="15.75" customHeight="1" x14ac:dyDescent="0.35">
      <c r="A305" s="126"/>
      <c r="B305" s="27"/>
      <c r="C305" s="132"/>
    </row>
    <row r="306" spans="1:3" ht="15.75" customHeight="1" x14ac:dyDescent="0.35">
      <c r="A306" s="126"/>
      <c r="B306" s="27"/>
      <c r="C306" s="132"/>
    </row>
    <row r="307" spans="1:3" ht="15.75" customHeight="1" x14ac:dyDescent="0.35">
      <c r="A307" s="126"/>
      <c r="B307" s="27"/>
      <c r="C307" s="132"/>
    </row>
    <row r="308" spans="1:3" ht="15.75" customHeight="1" x14ac:dyDescent="0.35">
      <c r="A308" s="126"/>
      <c r="B308" s="27"/>
      <c r="C308" s="132"/>
    </row>
    <row r="309" spans="1:3" ht="15.75" customHeight="1" x14ac:dyDescent="0.35">
      <c r="A309" s="126"/>
      <c r="B309" s="27"/>
      <c r="C309" s="132"/>
    </row>
    <row r="310" spans="1:3" ht="15.75" customHeight="1" x14ac:dyDescent="0.35">
      <c r="A310" s="126"/>
      <c r="B310" s="27"/>
      <c r="C310" s="132"/>
    </row>
    <row r="311" spans="1:3" ht="15.75" customHeight="1" x14ac:dyDescent="0.35">
      <c r="A311" s="126"/>
      <c r="B311" s="27"/>
      <c r="C311" s="132"/>
    </row>
    <row r="312" spans="1:3" ht="15.75" customHeight="1" x14ac:dyDescent="0.35">
      <c r="A312" s="126"/>
      <c r="B312" s="27"/>
      <c r="C312" s="132"/>
    </row>
    <row r="313" spans="1:3" ht="15.75" customHeight="1" x14ac:dyDescent="0.35">
      <c r="A313" s="126"/>
      <c r="B313" s="27"/>
      <c r="C313" s="132"/>
    </row>
    <row r="314" spans="1:3" ht="15.75" customHeight="1" x14ac:dyDescent="0.35">
      <c r="A314" s="126"/>
      <c r="B314" s="27"/>
      <c r="C314" s="132"/>
    </row>
    <row r="315" spans="1:3" ht="15.75" customHeight="1" x14ac:dyDescent="0.35">
      <c r="A315" s="126"/>
      <c r="B315" s="27"/>
      <c r="C315" s="132"/>
    </row>
    <row r="316" spans="1:3" ht="15.75" customHeight="1" x14ac:dyDescent="0.35">
      <c r="A316" s="126"/>
      <c r="B316" s="27"/>
      <c r="C316" s="132"/>
    </row>
    <row r="317" spans="1:3" ht="15.75" customHeight="1" x14ac:dyDescent="0.35">
      <c r="A317" s="126"/>
      <c r="B317" s="27"/>
      <c r="C317" s="132"/>
    </row>
    <row r="318" spans="1:3" ht="15.75" customHeight="1" x14ac:dyDescent="0.35">
      <c r="A318" s="126"/>
      <c r="B318" s="27"/>
      <c r="C318" s="132"/>
    </row>
    <row r="319" spans="1:3" ht="15.75" customHeight="1" x14ac:dyDescent="0.35">
      <c r="A319" s="126"/>
      <c r="B319" s="27"/>
      <c r="C319" s="132"/>
    </row>
    <row r="320" spans="1:3" ht="15.75" customHeight="1" x14ac:dyDescent="0.35">
      <c r="A320" s="126"/>
      <c r="B320" s="27"/>
      <c r="C320" s="132"/>
    </row>
    <row r="321" spans="1:3" ht="15.75" customHeight="1" x14ac:dyDescent="0.35">
      <c r="A321" s="126"/>
      <c r="B321" s="27"/>
      <c r="C321" s="132"/>
    </row>
    <row r="322" spans="1:3" ht="15.75" customHeight="1" x14ac:dyDescent="0.35">
      <c r="A322" s="126"/>
      <c r="B322" s="27"/>
      <c r="C322" s="132"/>
    </row>
    <row r="323" spans="1:3" ht="15.75" customHeight="1" x14ac:dyDescent="0.35">
      <c r="A323" s="126"/>
      <c r="B323" s="27"/>
      <c r="C323" s="132"/>
    </row>
    <row r="324" spans="1:3" ht="15.75" customHeight="1" x14ac:dyDescent="0.35">
      <c r="A324" s="126"/>
      <c r="B324" s="27"/>
      <c r="C324" s="132"/>
    </row>
    <row r="325" spans="1:3" ht="15.75" customHeight="1" x14ac:dyDescent="0.35">
      <c r="A325" s="126"/>
      <c r="B325" s="27"/>
      <c r="C325" s="132"/>
    </row>
    <row r="326" spans="1:3" ht="15.75" customHeight="1" x14ac:dyDescent="0.35">
      <c r="A326" s="126"/>
      <c r="B326" s="27"/>
      <c r="C326" s="132"/>
    </row>
    <row r="327" spans="1:3" ht="15.75" customHeight="1" x14ac:dyDescent="0.35">
      <c r="A327" s="126"/>
      <c r="B327" s="27"/>
      <c r="C327" s="132"/>
    </row>
    <row r="328" spans="1:3" ht="15.75" customHeight="1" x14ac:dyDescent="0.35">
      <c r="A328" s="126"/>
      <c r="B328" s="27"/>
      <c r="C328" s="132"/>
    </row>
    <row r="329" spans="1:3" ht="15.75" customHeight="1" x14ac:dyDescent="0.35">
      <c r="A329" s="126"/>
      <c r="B329" s="27"/>
      <c r="C329" s="132"/>
    </row>
    <row r="330" spans="1:3" ht="15.75" customHeight="1" x14ac:dyDescent="0.35">
      <c r="A330" s="126"/>
      <c r="B330" s="27"/>
      <c r="C330" s="132"/>
    </row>
    <row r="331" spans="1:3" ht="15.75" customHeight="1" x14ac:dyDescent="0.35">
      <c r="A331" s="126"/>
      <c r="B331" s="27"/>
      <c r="C331" s="132"/>
    </row>
    <row r="332" spans="1:3" ht="15.75" customHeight="1" x14ac:dyDescent="0.35">
      <c r="A332" s="126"/>
      <c r="B332" s="27"/>
      <c r="C332" s="132"/>
    </row>
    <row r="333" spans="1:3" ht="15.75" customHeight="1" x14ac:dyDescent="0.35">
      <c r="A333" s="126"/>
      <c r="B333" s="27"/>
      <c r="C333" s="132"/>
    </row>
    <row r="334" spans="1:3" ht="15.75" customHeight="1" x14ac:dyDescent="0.35">
      <c r="A334" s="126"/>
      <c r="B334" s="27"/>
      <c r="C334" s="132"/>
    </row>
    <row r="335" spans="1:3" ht="15.75" customHeight="1" x14ac:dyDescent="0.35">
      <c r="A335" s="126"/>
      <c r="B335" s="27"/>
      <c r="C335" s="132"/>
    </row>
    <row r="336" spans="1:3" ht="15.75" customHeight="1" x14ac:dyDescent="0.35">
      <c r="A336" s="126"/>
      <c r="B336" s="27"/>
      <c r="C336" s="132"/>
    </row>
    <row r="337" spans="1:3" ht="15.75" customHeight="1" x14ac:dyDescent="0.35">
      <c r="A337" s="126"/>
      <c r="B337" s="27"/>
      <c r="C337" s="132"/>
    </row>
    <row r="338" spans="1:3" ht="15.75" customHeight="1" x14ac:dyDescent="0.35">
      <c r="A338" s="126"/>
      <c r="B338" s="27"/>
      <c r="C338" s="132"/>
    </row>
    <row r="339" spans="1:3" ht="15.75" customHeight="1" x14ac:dyDescent="0.35">
      <c r="A339" s="126"/>
      <c r="B339" s="27"/>
      <c r="C339" s="132"/>
    </row>
    <row r="340" spans="1:3" ht="15.75" customHeight="1" x14ac:dyDescent="0.35">
      <c r="A340" s="126"/>
      <c r="B340" s="27"/>
      <c r="C340" s="132"/>
    </row>
    <row r="341" spans="1:3" ht="15.75" customHeight="1" x14ac:dyDescent="0.35">
      <c r="A341" s="126"/>
      <c r="B341" s="27"/>
      <c r="C341" s="132"/>
    </row>
    <row r="342" spans="1:3" ht="15.75" customHeight="1" x14ac:dyDescent="0.35">
      <c r="A342" s="126"/>
      <c r="B342" s="27"/>
      <c r="C342" s="132"/>
    </row>
    <row r="343" spans="1:3" ht="15.75" customHeight="1" x14ac:dyDescent="0.35">
      <c r="A343" s="126"/>
      <c r="B343" s="27"/>
      <c r="C343" s="132"/>
    </row>
    <row r="344" spans="1:3" ht="15.75" customHeight="1" x14ac:dyDescent="0.35">
      <c r="A344" s="126"/>
      <c r="B344" s="27"/>
      <c r="C344" s="132"/>
    </row>
    <row r="345" spans="1:3" ht="15.75" customHeight="1" x14ac:dyDescent="0.35">
      <c r="A345" s="126"/>
      <c r="B345" s="27"/>
      <c r="C345" s="132"/>
    </row>
    <row r="346" spans="1:3" ht="15.75" customHeight="1" x14ac:dyDescent="0.35">
      <c r="A346" s="126"/>
      <c r="B346" s="27"/>
      <c r="C346" s="132"/>
    </row>
    <row r="347" spans="1:3" ht="15.75" customHeight="1" x14ac:dyDescent="0.35">
      <c r="A347" s="126"/>
      <c r="B347" s="27"/>
      <c r="C347" s="132"/>
    </row>
    <row r="348" spans="1:3" ht="15.75" customHeight="1" x14ac:dyDescent="0.35">
      <c r="A348" s="126"/>
      <c r="B348" s="27"/>
      <c r="C348" s="132"/>
    </row>
    <row r="349" spans="1:3" ht="15.75" customHeight="1" x14ac:dyDescent="0.35">
      <c r="A349" s="126"/>
      <c r="B349" s="27"/>
      <c r="C349" s="132"/>
    </row>
    <row r="350" spans="1:3" ht="15.75" customHeight="1" x14ac:dyDescent="0.35">
      <c r="A350" s="126"/>
      <c r="B350" s="27"/>
      <c r="C350" s="132"/>
    </row>
    <row r="351" spans="1:3" ht="15.75" customHeight="1" x14ac:dyDescent="0.35">
      <c r="A351" s="126"/>
      <c r="B351" s="27"/>
      <c r="C351" s="132"/>
    </row>
    <row r="352" spans="1:3" ht="15.75" customHeight="1" x14ac:dyDescent="0.35">
      <c r="A352" s="126"/>
      <c r="B352" s="27"/>
      <c r="C352" s="132"/>
    </row>
    <row r="353" spans="1:3" ht="15.75" customHeight="1" x14ac:dyDescent="0.35">
      <c r="A353" s="126"/>
      <c r="B353" s="27"/>
      <c r="C353" s="132"/>
    </row>
    <row r="354" spans="1:3" ht="15.75" customHeight="1" x14ac:dyDescent="0.35">
      <c r="A354" s="126"/>
      <c r="B354" s="27"/>
      <c r="C354" s="132"/>
    </row>
    <row r="355" spans="1:3" ht="15.75" customHeight="1" x14ac:dyDescent="0.35">
      <c r="A355" s="126"/>
      <c r="B355" s="27"/>
      <c r="C355" s="132"/>
    </row>
    <row r="356" spans="1:3" ht="15.75" customHeight="1" x14ac:dyDescent="0.35">
      <c r="A356" s="126"/>
      <c r="B356" s="27"/>
      <c r="C356" s="132"/>
    </row>
    <row r="357" spans="1:3" ht="15.75" customHeight="1" x14ac:dyDescent="0.35">
      <c r="A357" s="126"/>
      <c r="B357" s="27"/>
      <c r="C357" s="132"/>
    </row>
    <row r="358" spans="1:3" ht="15.75" customHeight="1" x14ac:dyDescent="0.35">
      <c r="A358" s="126"/>
      <c r="B358" s="27"/>
      <c r="C358" s="132"/>
    </row>
    <row r="359" spans="1:3" ht="15.75" customHeight="1" x14ac:dyDescent="0.35">
      <c r="A359" s="126"/>
      <c r="B359" s="27"/>
      <c r="C359" s="132"/>
    </row>
    <row r="360" spans="1:3" ht="15.75" customHeight="1" x14ac:dyDescent="0.35">
      <c r="A360" s="126"/>
      <c r="B360" s="27"/>
      <c r="C360" s="132"/>
    </row>
    <row r="361" spans="1:3" ht="15.75" customHeight="1" x14ac:dyDescent="0.35">
      <c r="A361" s="126"/>
      <c r="B361" s="27"/>
      <c r="C361" s="132"/>
    </row>
    <row r="362" spans="1:3" ht="15.75" customHeight="1" x14ac:dyDescent="0.35">
      <c r="A362" s="126"/>
      <c r="B362" s="27"/>
      <c r="C362" s="132"/>
    </row>
    <row r="363" spans="1:3" ht="15.75" customHeight="1" x14ac:dyDescent="0.35">
      <c r="A363" s="126"/>
      <c r="B363" s="27"/>
      <c r="C363" s="132"/>
    </row>
    <row r="364" spans="1:3" ht="15.75" customHeight="1" x14ac:dyDescent="0.35">
      <c r="A364" s="126"/>
      <c r="B364" s="27"/>
      <c r="C364" s="132"/>
    </row>
    <row r="365" spans="1:3" ht="15.75" customHeight="1" x14ac:dyDescent="0.35">
      <c r="A365" s="126"/>
      <c r="B365" s="27"/>
      <c r="C365" s="132"/>
    </row>
    <row r="366" spans="1:3" ht="15.75" customHeight="1" x14ac:dyDescent="0.35">
      <c r="A366" s="126"/>
      <c r="B366" s="27"/>
      <c r="C366" s="132"/>
    </row>
    <row r="367" spans="1:3" ht="15.75" customHeight="1" x14ac:dyDescent="0.35">
      <c r="A367" s="126"/>
      <c r="B367" s="27"/>
      <c r="C367" s="132"/>
    </row>
    <row r="368" spans="1:3" ht="15.75" customHeight="1" x14ac:dyDescent="0.35">
      <c r="A368" s="126"/>
      <c r="B368" s="27"/>
      <c r="C368" s="132"/>
    </row>
    <row r="369" spans="1:3" ht="15.75" customHeight="1" x14ac:dyDescent="0.35">
      <c r="A369" s="126"/>
      <c r="B369" s="27"/>
      <c r="C369" s="132"/>
    </row>
    <row r="370" spans="1:3" ht="15.75" customHeight="1" x14ac:dyDescent="0.35">
      <c r="A370" s="126"/>
      <c r="B370" s="27"/>
      <c r="C370" s="132"/>
    </row>
    <row r="371" spans="1:3" ht="15.75" customHeight="1" x14ac:dyDescent="0.35">
      <c r="A371" s="126"/>
      <c r="B371" s="27"/>
      <c r="C371" s="132"/>
    </row>
    <row r="372" spans="1:3" ht="15.75" customHeight="1" x14ac:dyDescent="0.35">
      <c r="A372" s="126"/>
      <c r="B372" s="27"/>
      <c r="C372" s="132"/>
    </row>
    <row r="373" spans="1:3" ht="15.75" customHeight="1" x14ac:dyDescent="0.35">
      <c r="A373" s="126"/>
      <c r="B373" s="27"/>
      <c r="C373" s="132"/>
    </row>
    <row r="374" spans="1:3" ht="15.75" customHeight="1" x14ac:dyDescent="0.35">
      <c r="A374" s="126"/>
      <c r="B374" s="27"/>
      <c r="C374" s="132"/>
    </row>
    <row r="375" spans="1:3" ht="15.75" customHeight="1" x14ac:dyDescent="0.35">
      <c r="A375" s="126"/>
      <c r="B375" s="27"/>
      <c r="C375" s="132"/>
    </row>
    <row r="376" spans="1:3" ht="15.75" customHeight="1" x14ac:dyDescent="0.35">
      <c r="A376" s="126"/>
      <c r="B376" s="27"/>
      <c r="C376" s="132"/>
    </row>
    <row r="377" spans="1:3" ht="15.75" customHeight="1" x14ac:dyDescent="0.35">
      <c r="A377" s="126"/>
      <c r="B377" s="27"/>
      <c r="C377" s="132"/>
    </row>
    <row r="378" spans="1:3" ht="15.75" customHeight="1" x14ac:dyDescent="0.35">
      <c r="A378" s="126"/>
      <c r="B378" s="27"/>
      <c r="C378" s="132"/>
    </row>
    <row r="379" spans="1:3" ht="15.75" customHeight="1" x14ac:dyDescent="0.35">
      <c r="A379" s="126"/>
      <c r="B379" s="27"/>
      <c r="C379" s="132"/>
    </row>
    <row r="380" spans="1:3" ht="15.75" customHeight="1" x14ac:dyDescent="0.35">
      <c r="A380" s="126"/>
      <c r="B380" s="27"/>
      <c r="C380" s="132"/>
    </row>
    <row r="381" spans="1:3" ht="15.75" customHeight="1" x14ac:dyDescent="0.35">
      <c r="A381" s="126"/>
      <c r="B381" s="27"/>
      <c r="C381" s="132"/>
    </row>
    <row r="382" spans="1:3" ht="15.75" customHeight="1" x14ac:dyDescent="0.35">
      <c r="A382" s="126"/>
      <c r="B382" s="27"/>
      <c r="C382" s="132"/>
    </row>
    <row r="383" spans="1:3" ht="15.75" customHeight="1" x14ac:dyDescent="0.35">
      <c r="A383" s="126"/>
      <c r="B383" s="27"/>
      <c r="C383" s="132"/>
    </row>
    <row r="384" spans="1:3" ht="15.75" customHeight="1" x14ac:dyDescent="0.35">
      <c r="A384" s="126"/>
      <c r="B384" s="27"/>
      <c r="C384" s="132"/>
    </row>
    <row r="385" spans="1:3" ht="15.75" customHeight="1" x14ac:dyDescent="0.35">
      <c r="A385" s="126"/>
      <c r="B385" s="27"/>
      <c r="C385" s="132"/>
    </row>
    <row r="386" spans="1:3" ht="15.75" customHeight="1" x14ac:dyDescent="0.35">
      <c r="A386" s="126"/>
      <c r="B386" s="27"/>
      <c r="C386" s="132"/>
    </row>
    <row r="387" spans="1:3" ht="15.75" customHeight="1" x14ac:dyDescent="0.35">
      <c r="A387" s="126"/>
      <c r="B387" s="27"/>
      <c r="C387" s="132"/>
    </row>
    <row r="388" spans="1:3" ht="15.75" customHeight="1" x14ac:dyDescent="0.35">
      <c r="A388" s="126"/>
      <c r="B388" s="27"/>
      <c r="C388" s="132"/>
    </row>
    <row r="389" spans="1:3" ht="15.75" customHeight="1" x14ac:dyDescent="0.35">
      <c r="A389" s="126"/>
      <c r="B389" s="27"/>
      <c r="C389" s="132"/>
    </row>
    <row r="390" spans="1:3" ht="15.75" customHeight="1" x14ac:dyDescent="0.35">
      <c r="A390" s="126"/>
      <c r="B390" s="27"/>
      <c r="C390" s="132"/>
    </row>
    <row r="391" spans="1:3" ht="15.75" customHeight="1" x14ac:dyDescent="0.35">
      <c r="A391" s="126"/>
      <c r="B391" s="27"/>
      <c r="C391" s="132"/>
    </row>
    <row r="392" spans="1:3" ht="15.75" customHeight="1" x14ac:dyDescent="0.35">
      <c r="A392" s="126"/>
      <c r="B392" s="27"/>
      <c r="C392" s="132"/>
    </row>
    <row r="393" spans="1:3" ht="15.75" customHeight="1" x14ac:dyDescent="0.35">
      <c r="A393" s="126"/>
      <c r="B393" s="27"/>
      <c r="C393" s="132"/>
    </row>
    <row r="394" spans="1:3" ht="15.75" customHeight="1" x14ac:dyDescent="0.35">
      <c r="A394" s="126"/>
      <c r="B394" s="27"/>
      <c r="C394" s="132"/>
    </row>
    <row r="395" spans="1:3" ht="15.75" customHeight="1" x14ac:dyDescent="0.35">
      <c r="A395" s="126"/>
      <c r="B395" s="27"/>
      <c r="C395" s="132"/>
    </row>
    <row r="396" spans="1:3" ht="15.75" customHeight="1" x14ac:dyDescent="0.35">
      <c r="A396" s="126"/>
      <c r="B396" s="27"/>
      <c r="C396" s="132"/>
    </row>
    <row r="397" spans="1:3" ht="15.75" customHeight="1" x14ac:dyDescent="0.35">
      <c r="A397" s="126"/>
      <c r="B397" s="27"/>
      <c r="C397" s="132"/>
    </row>
    <row r="398" spans="1:3" ht="15.75" customHeight="1" x14ac:dyDescent="0.35">
      <c r="A398" s="126"/>
      <c r="B398" s="27"/>
      <c r="C398" s="132"/>
    </row>
    <row r="399" spans="1:3" ht="15.75" customHeight="1" x14ac:dyDescent="0.35">
      <c r="A399" s="126"/>
      <c r="B399" s="27"/>
      <c r="C399" s="132"/>
    </row>
    <row r="400" spans="1:3" ht="15.75" customHeight="1" x14ac:dyDescent="0.35">
      <c r="A400" s="126"/>
      <c r="B400" s="27"/>
      <c r="C400" s="132"/>
    </row>
    <row r="401" spans="1:3" ht="15.75" customHeight="1" x14ac:dyDescent="0.35">
      <c r="A401" s="126"/>
      <c r="B401" s="27"/>
      <c r="C401" s="132"/>
    </row>
    <row r="402" spans="1:3" ht="15.75" customHeight="1" x14ac:dyDescent="0.35">
      <c r="A402" s="126"/>
      <c r="B402" s="27"/>
      <c r="C402" s="132"/>
    </row>
    <row r="403" spans="1:3" ht="15.75" customHeight="1" x14ac:dyDescent="0.35">
      <c r="A403" s="126"/>
      <c r="B403" s="27"/>
      <c r="C403" s="132"/>
    </row>
    <row r="404" spans="1:3" ht="15.75" customHeight="1" x14ac:dyDescent="0.35">
      <c r="A404" s="126"/>
      <c r="B404" s="27"/>
      <c r="C404" s="132"/>
    </row>
    <row r="405" spans="1:3" ht="15.75" customHeight="1" x14ac:dyDescent="0.35">
      <c r="A405" s="126"/>
      <c r="B405" s="27"/>
      <c r="C405" s="132"/>
    </row>
    <row r="406" spans="1:3" ht="15.75" customHeight="1" x14ac:dyDescent="0.35">
      <c r="A406" s="126"/>
      <c r="B406" s="27"/>
      <c r="C406" s="132"/>
    </row>
    <row r="407" spans="1:3" ht="15.75" customHeight="1" x14ac:dyDescent="0.35">
      <c r="A407" s="126"/>
      <c r="B407" s="27"/>
      <c r="C407" s="132"/>
    </row>
    <row r="408" spans="1:3" ht="15.75" customHeight="1" x14ac:dyDescent="0.35">
      <c r="A408" s="126"/>
      <c r="B408" s="27"/>
      <c r="C408" s="132"/>
    </row>
    <row r="409" spans="1:3" ht="15.75" customHeight="1" x14ac:dyDescent="0.35">
      <c r="A409" s="126"/>
      <c r="B409" s="27"/>
      <c r="C409" s="132"/>
    </row>
    <row r="410" spans="1:3" ht="15.75" customHeight="1" x14ac:dyDescent="0.35">
      <c r="A410" s="126"/>
      <c r="B410" s="27"/>
      <c r="C410" s="132"/>
    </row>
    <row r="411" spans="1:3" ht="15.75" customHeight="1" x14ac:dyDescent="0.35">
      <c r="A411" s="126"/>
      <c r="B411" s="27"/>
      <c r="C411" s="132"/>
    </row>
    <row r="412" spans="1:3" ht="15.75" customHeight="1" x14ac:dyDescent="0.35">
      <c r="A412" s="126"/>
      <c r="B412" s="27"/>
      <c r="C412" s="132"/>
    </row>
    <row r="413" spans="1:3" ht="15.75" customHeight="1" x14ac:dyDescent="0.35">
      <c r="A413" s="126"/>
      <c r="B413" s="27"/>
      <c r="C413" s="132"/>
    </row>
    <row r="414" spans="1:3" ht="15.75" customHeight="1" x14ac:dyDescent="0.35">
      <c r="A414" s="126"/>
      <c r="B414" s="27"/>
      <c r="C414" s="132"/>
    </row>
    <row r="415" spans="1:3" ht="15.75" customHeight="1" x14ac:dyDescent="0.35">
      <c r="A415" s="126"/>
      <c r="B415" s="27"/>
      <c r="C415" s="132"/>
    </row>
    <row r="416" spans="1:3" ht="15.75" customHeight="1" x14ac:dyDescent="0.35">
      <c r="A416" s="126"/>
      <c r="B416" s="27"/>
      <c r="C416" s="132"/>
    </row>
    <row r="417" spans="1:3" ht="15.75" customHeight="1" x14ac:dyDescent="0.35">
      <c r="A417" s="126"/>
      <c r="B417" s="27"/>
      <c r="C417" s="132"/>
    </row>
    <row r="418" spans="1:3" ht="15.75" customHeight="1" x14ac:dyDescent="0.35">
      <c r="A418" s="126"/>
      <c r="B418" s="27"/>
      <c r="C418" s="132"/>
    </row>
    <row r="419" spans="1:3" ht="15.75" customHeight="1" x14ac:dyDescent="0.35">
      <c r="A419" s="126"/>
      <c r="B419" s="27"/>
      <c r="C419" s="132"/>
    </row>
    <row r="420" spans="1:3" ht="15.75" customHeight="1" x14ac:dyDescent="0.35">
      <c r="A420" s="126"/>
      <c r="B420" s="27"/>
      <c r="C420" s="132"/>
    </row>
    <row r="421" spans="1:3" ht="15.75" customHeight="1" x14ac:dyDescent="0.35">
      <c r="A421" s="126"/>
      <c r="B421" s="27"/>
      <c r="C421" s="132"/>
    </row>
    <row r="422" spans="1:3" ht="15.75" customHeight="1" x14ac:dyDescent="0.35">
      <c r="A422" s="126"/>
      <c r="B422" s="27"/>
      <c r="C422" s="132"/>
    </row>
    <row r="423" spans="1:3" ht="15.75" customHeight="1" x14ac:dyDescent="0.35">
      <c r="A423" s="126"/>
      <c r="B423" s="27"/>
      <c r="C423" s="132"/>
    </row>
    <row r="424" spans="1:3" ht="15.75" customHeight="1" x14ac:dyDescent="0.35">
      <c r="A424" s="126"/>
      <c r="B424" s="27"/>
      <c r="C424" s="132"/>
    </row>
    <row r="425" spans="1:3" ht="15.75" customHeight="1" x14ac:dyDescent="0.35">
      <c r="A425" s="126"/>
      <c r="B425" s="27"/>
      <c r="C425" s="132"/>
    </row>
    <row r="426" spans="1:3" ht="15.75" customHeight="1" x14ac:dyDescent="0.35">
      <c r="A426" s="126"/>
      <c r="B426" s="27"/>
      <c r="C426" s="132"/>
    </row>
    <row r="427" spans="1:3" ht="15.75" customHeight="1" x14ac:dyDescent="0.35">
      <c r="A427" s="126"/>
      <c r="B427" s="27"/>
      <c r="C427" s="132"/>
    </row>
    <row r="428" spans="1:3" ht="15.75" customHeight="1" x14ac:dyDescent="0.35">
      <c r="A428" s="126"/>
      <c r="B428" s="27"/>
      <c r="C428" s="132"/>
    </row>
    <row r="429" spans="1:3" ht="15.75" customHeight="1" x14ac:dyDescent="0.35">
      <c r="A429" s="126"/>
      <c r="B429" s="27"/>
      <c r="C429" s="132"/>
    </row>
    <row r="430" spans="1:3" ht="15.75" customHeight="1" x14ac:dyDescent="0.35">
      <c r="A430" s="126"/>
      <c r="B430" s="27"/>
      <c r="C430" s="132"/>
    </row>
    <row r="431" spans="1:3" ht="15.75" customHeight="1" x14ac:dyDescent="0.35">
      <c r="A431" s="126"/>
      <c r="B431" s="27"/>
      <c r="C431" s="132"/>
    </row>
    <row r="432" spans="1:3" ht="15.75" customHeight="1" x14ac:dyDescent="0.35">
      <c r="A432" s="126"/>
      <c r="B432" s="27"/>
      <c r="C432" s="132"/>
    </row>
    <row r="433" spans="1:3" ht="15.75" customHeight="1" x14ac:dyDescent="0.35">
      <c r="A433" s="126"/>
      <c r="B433" s="27"/>
      <c r="C433" s="132"/>
    </row>
    <row r="434" spans="1:3" ht="15.75" customHeight="1" x14ac:dyDescent="0.35">
      <c r="A434" s="126"/>
      <c r="B434" s="27"/>
      <c r="C434" s="132"/>
    </row>
    <row r="435" spans="1:3" ht="15.75" customHeight="1" x14ac:dyDescent="0.35">
      <c r="A435" s="126"/>
      <c r="B435" s="27"/>
      <c r="C435" s="132"/>
    </row>
    <row r="436" spans="1:3" ht="15.75" customHeight="1" x14ac:dyDescent="0.35">
      <c r="A436" s="126"/>
      <c r="B436" s="27"/>
      <c r="C436" s="132"/>
    </row>
    <row r="437" spans="1:3" ht="15.75" customHeight="1" x14ac:dyDescent="0.35">
      <c r="A437" s="126"/>
      <c r="B437" s="27"/>
      <c r="C437" s="132"/>
    </row>
    <row r="438" spans="1:3" ht="15.75" customHeight="1" x14ac:dyDescent="0.35">
      <c r="A438" s="126"/>
      <c r="B438" s="27"/>
      <c r="C438" s="132"/>
    </row>
    <row r="439" spans="1:3" ht="15.75" customHeight="1" x14ac:dyDescent="0.35">
      <c r="A439" s="126"/>
      <c r="B439" s="27"/>
      <c r="C439" s="132"/>
    </row>
    <row r="440" spans="1:3" ht="15.75" customHeight="1" x14ac:dyDescent="0.35">
      <c r="A440" s="126"/>
      <c r="B440" s="27"/>
      <c r="C440" s="132"/>
    </row>
    <row r="441" spans="1:3" ht="15.75" customHeight="1" x14ac:dyDescent="0.35">
      <c r="A441" s="126"/>
      <c r="B441" s="27"/>
      <c r="C441" s="132"/>
    </row>
    <row r="442" spans="1:3" ht="15.75" customHeight="1" x14ac:dyDescent="0.35">
      <c r="A442" s="126"/>
      <c r="B442" s="27"/>
      <c r="C442" s="132"/>
    </row>
    <row r="443" spans="1:3" ht="15.75" customHeight="1" x14ac:dyDescent="0.35">
      <c r="A443" s="126"/>
      <c r="B443" s="27"/>
      <c r="C443" s="132"/>
    </row>
    <row r="444" spans="1:3" ht="15.75" customHeight="1" x14ac:dyDescent="0.35">
      <c r="A444" s="126"/>
      <c r="B444" s="27"/>
      <c r="C444" s="132"/>
    </row>
    <row r="445" spans="1:3" ht="15.75" customHeight="1" x14ac:dyDescent="0.35">
      <c r="A445" s="126"/>
      <c r="B445" s="27"/>
      <c r="C445" s="132"/>
    </row>
    <row r="446" spans="1:3" ht="15.75" customHeight="1" x14ac:dyDescent="0.35">
      <c r="A446" s="126"/>
      <c r="B446" s="27"/>
      <c r="C446" s="132"/>
    </row>
    <row r="447" spans="1:3" ht="15.75" customHeight="1" x14ac:dyDescent="0.35">
      <c r="A447" s="126"/>
      <c r="B447" s="27"/>
      <c r="C447" s="132"/>
    </row>
    <row r="448" spans="1:3" ht="15.75" customHeight="1" x14ac:dyDescent="0.35">
      <c r="A448" s="126"/>
      <c r="B448" s="27"/>
      <c r="C448" s="132"/>
    </row>
    <row r="449" spans="1:3" ht="15.75" customHeight="1" x14ac:dyDescent="0.35">
      <c r="A449" s="126"/>
      <c r="B449" s="27"/>
      <c r="C449" s="132"/>
    </row>
    <row r="450" spans="1:3" ht="15.75" customHeight="1" x14ac:dyDescent="0.35">
      <c r="A450" s="126"/>
      <c r="B450" s="27"/>
      <c r="C450" s="132"/>
    </row>
    <row r="451" spans="1:3" ht="15.75" customHeight="1" x14ac:dyDescent="0.35">
      <c r="A451" s="126"/>
      <c r="B451" s="27"/>
      <c r="C451" s="132"/>
    </row>
    <row r="452" spans="1:3" ht="15.75" customHeight="1" x14ac:dyDescent="0.35">
      <c r="A452" s="126"/>
      <c r="B452" s="27"/>
      <c r="C452" s="132"/>
    </row>
    <row r="453" spans="1:3" ht="15.75" customHeight="1" x14ac:dyDescent="0.35">
      <c r="A453" s="126"/>
      <c r="B453" s="27"/>
      <c r="C453" s="132"/>
    </row>
    <row r="454" spans="1:3" ht="15.75" customHeight="1" x14ac:dyDescent="0.35">
      <c r="A454" s="126"/>
      <c r="B454" s="27"/>
      <c r="C454" s="132"/>
    </row>
    <row r="455" spans="1:3" ht="15.75" customHeight="1" x14ac:dyDescent="0.35">
      <c r="A455" s="126"/>
      <c r="B455" s="27"/>
      <c r="C455" s="132"/>
    </row>
    <row r="456" spans="1:3" ht="15.75" customHeight="1" x14ac:dyDescent="0.35">
      <c r="A456" s="126"/>
      <c r="B456" s="27"/>
      <c r="C456" s="132"/>
    </row>
    <row r="457" spans="1:3" ht="15.75" customHeight="1" x14ac:dyDescent="0.35">
      <c r="A457" s="126"/>
      <c r="B457" s="27"/>
      <c r="C457" s="132"/>
    </row>
    <row r="458" spans="1:3" ht="15.75" customHeight="1" x14ac:dyDescent="0.35">
      <c r="A458" s="126"/>
      <c r="B458" s="27"/>
      <c r="C458" s="132"/>
    </row>
    <row r="459" spans="1:3" ht="15.75" customHeight="1" x14ac:dyDescent="0.35">
      <c r="A459" s="126"/>
      <c r="B459" s="27"/>
      <c r="C459" s="132"/>
    </row>
    <row r="460" spans="1:3" ht="15.75" customHeight="1" x14ac:dyDescent="0.35">
      <c r="A460" s="126"/>
      <c r="B460" s="27"/>
      <c r="C460" s="132"/>
    </row>
    <row r="461" spans="1:3" ht="15.75" customHeight="1" x14ac:dyDescent="0.35">
      <c r="A461" s="126"/>
      <c r="B461" s="27"/>
      <c r="C461" s="132"/>
    </row>
    <row r="462" spans="1:3" ht="15.75" customHeight="1" x14ac:dyDescent="0.35">
      <c r="A462" s="126"/>
      <c r="B462" s="27"/>
      <c r="C462" s="132"/>
    </row>
    <row r="463" spans="1:3" ht="15.75" customHeight="1" x14ac:dyDescent="0.35">
      <c r="A463" s="126"/>
      <c r="B463" s="27"/>
      <c r="C463" s="132"/>
    </row>
    <row r="464" spans="1:3" ht="15.75" customHeight="1" x14ac:dyDescent="0.35">
      <c r="A464" s="126"/>
      <c r="B464" s="27"/>
      <c r="C464" s="132"/>
    </row>
    <row r="465" spans="1:3" ht="15.75" customHeight="1" x14ac:dyDescent="0.35">
      <c r="A465" s="126"/>
      <c r="B465" s="27"/>
      <c r="C465" s="132"/>
    </row>
    <row r="466" spans="1:3" ht="15.75" customHeight="1" x14ac:dyDescent="0.35">
      <c r="A466" s="126"/>
      <c r="B466" s="27"/>
      <c r="C466" s="132"/>
    </row>
    <row r="467" spans="1:3" ht="15.75" customHeight="1" x14ac:dyDescent="0.35">
      <c r="A467" s="126"/>
      <c r="B467" s="27"/>
      <c r="C467" s="132"/>
    </row>
    <row r="468" spans="1:3" ht="15.75" customHeight="1" x14ac:dyDescent="0.35">
      <c r="A468" s="126"/>
      <c r="B468" s="27"/>
      <c r="C468" s="132"/>
    </row>
    <row r="469" spans="1:3" ht="15.75" customHeight="1" x14ac:dyDescent="0.35">
      <c r="A469" s="126"/>
      <c r="B469" s="27"/>
      <c r="C469" s="132"/>
    </row>
    <row r="470" spans="1:3" ht="15.75" customHeight="1" x14ac:dyDescent="0.35">
      <c r="A470" s="126"/>
      <c r="B470" s="27"/>
      <c r="C470" s="132"/>
    </row>
    <row r="471" spans="1:3" ht="15.75" customHeight="1" x14ac:dyDescent="0.35">
      <c r="A471" s="126"/>
      <c r="B471" s="27"/>
      <c r="C471" s="132"/>
    </row>
    <row r="472" spans="1:3" ht="15.75" customHeight="1" x14ac:dyDescent="0.35">
      <c r="A472" s="126"/>
      <c r="B472" s="27"/>
      <c r="C472" s="132"/>
    </row>
    <row r="473" spans="1:3" ht="15.75" customHeight="1" x14ac:dyDescent="0.35">
      <c r="A473" s="126"/>
      <c r="B473" s="27"/>
      <c r="C473" s="132"/>
    </row>
    <row r="474" spans="1:3" ht="15.75" customHeight="1" x14ac:dyDescent="0.35">
      <c r="A474" s="126"/>
      <c r="B474" s="27"/>
      <c r="C474" s="132"/>
    </row>
    <row r="475" spans="1:3" ht="15.75" customHeight="1" x14ac:dyDescent="0.35">
      <c r="A475" s="126"/>
      <c r="B475" s="27"/>
      <c r="C475" s="132"/>
    </row>
    <row r="476" spans="1:3" ht="15.75" customHeight="1" x14ac:dyDescent="0.35">
      <c r="A476" s="126"/>
      <c r="B476" s="27"/>
      <c r="C476" s="132"/>
    </row>
    <row r="477" spans="1:3" ht="15.75" customHeight="1" x14ac:dyDescent="0.35">
      <c r="A477" s="126"/>
      <c r="B477" s="27"/>
      <c r="C477" s="132"/>
    </row>
    <row r="478" spans="1:3" ht="15.75" customHeight="1" x14ac:dyDescent="0.35">
      <c r="A478" s="126"/>
      <c r="B478" s="27"/>
      <c r="C478" s="132"/>
    </row>
    <row r="479" spans="1:3" ht="15.75" customHeight="1" x14ac:dyDescent="0.35">
      <c r="A479" s="126"/>
      <c r="B479" s="27"/>
      <c r="C479" s="132"/>
    </row>
    <row r="480" spans="1:3" ht="15.75" customHeight="1" x14ac:dyDescent="0.35">
      <c r="A480" s="126"/>
      <c r="B480" s="27"/>
      <c r="C480" s="132"/>
    </row>
    <row r="481" spans="1:3" ht="15.75" customHeight="1" x14ac:dyDescent="0.35">
      <c r="A481" s="126"/>
      <c r="B481" s="27"/>
      <c r="C481" s="132"/>
    </row>
    <row r="482" spans="1:3" ht="15.75" customHeight="1" x14ac:dyDescent="0.35">
      <c r="A482" s="126"/>
      <c r="B482" s="27"/>
      <c r="C482" s="132"/>
    </row>
    <row r="483" spans="1:3" ht="15.75" customHeight="1" x14ac:dyDescent="0.35">
      <c r="A483" s="126"/>
      <c r="B483" s="27"/>
      <c r="C483" s="132"/>
    </row>
    <row r="484" spans="1:3" ht="15.75" customHeight="1" x14ac:dyDescent="0.35">
      <c r="A484" s="126"/>
      <c r="B484" s="27"/>
      <c r="C484" s="132"/>
    </row>
    <row r="485" spans="1:3" ht="15.75" customHeight="1" x14ac:dyDescent="0.35">
      <c r="A485" s="126"/>
      <c r="B485" s="27"/>
      <c r="C485" s="132"/>
    </row>
    <row r="486" spans="1:3" ht="15.75" customHeight="1" x14ac:dyDescent="0.35">
      <c r="A486" s="126"/>
      <c r="B486" s="27"/>
      <c r="C486" s="132"/>
    </row>
    <row r="487" spans="1:3" ht="15.75" customHeight="1" x14ac:dyDescent="0.35">
      <c r="A487" s="126"/>
      <c r="B487" s="27"/>
      <c r="C487" s="132"/>
    </row>
    <row r="488" spans="1:3" ht="15.75" customHeight="1" x14ac:dyDescent="0.35">
      <c r="A488" s="126"/>
      <c r="B488" s="27"/>
      <c r="C488" s="132"/>
    </row>
    <row r="489" spans="1:3" ht="15.75" customHeight="1" x14ac:dyDescent="0.35">
      <c r="A489" s="126"/>
      <c r="B489" s="27"/>
      <c r="C489" s="132"/>
    </row>
    <row r="490" spans="1:3" ht="15.75" customHeight="1" x14ac:dyDescent="0.35">
      <c r="A490" s="126"/>
      <c r="B490" s="27"/>
      <c r="C490" s="132"/>
    </row>
    <row r="491" spans="1:3" ht="15.75" customHeight="1" x14ac:dyDescent="0.35">
      <c r="A491" s="126"/>
      <c r="B491" s="27"/>
      <c r="C491" s="132"/>
    </row>
    <row r="492" spans="1:3" ht="15.75" customHeight="1" x14ac:dyDescent="0.35">
      <c r="A492" s="126"/>
      <c r="B492" s="27"/>
      <c r="C492" s="132"/>
    </row>
    <row r="493" spans="1:3" ht="15.75" customHeight="1" x14ac:dyDescent="0.35">
      <c r="A493" s="126"/>
      <c r="B493" s="27"/>
      <c r="C493" s="132"/>
    </row>
    <row r="494" spans="1:3" ht="15.75" customHeight="1" x14ac:dyDescent="0.35">
      <c r="A494" s="126"/>
      <c r="B494" s="27"/>
      <c r="C494" s="132"/>
    </row>
    <row r="495" spans="1:3" ht="15.75" customHeight="1" x14ac:dyDescent="0.35">
      <c r="A495" s="126"/>
      <c r="B495" s="27"/>
      <c r="C495" s="132"/>
    </row>
    <row r="496" spans="1:3" ht="15.75" customHeight="1" x14ac:dyDescent="0.35">
      <c r="A496" s="126"/>
      <c r="B496" s="27"/>
      <c r="C496" s="132"/>
    </row>
    <row r="497" spans="1:3" ht="15.75" customHeight="1" x14ac:dyDescent="0.35">
      <c r="A497" s="126"/>
      <c r="B497" s="27"/>
      <c r="C497" s="132"/>
    </row>
    <row r="498" spans="1:3" ht="15.75" customHeight="1" x14ac:dyDescent="0.35">
      <c r="A498" s="126"/>
      <c r="B498" s="27"/>
      <c r="C498" s="132"/>
    </row>
    <row r="499" spans="1:3" ht="15.75" customHeight="1" x14ac:dyDescent="0.35">
      <c r="A499" s="126"/>
      <c r="B499" s="27"/>
      <c r="C499" s="132"/>
    </row>
    <row r="500" spans="1:3" ht="15.75" customHeight="1" x14ac:dyDescent="0.35">
      <c r="A500" s="126"/>
      <c r="B500" s="27"/>
      <c r="C500" s="132"/>
    </row>
    <row r="501" spans="1:3" ht="15.75" customHeight="1" x14ac:dyDescent="0.35">
      <c r="A501" s="126"/>
      <c r="B501" s="27"/>
      <c r="C501" s="132"/>
    </row>
    <row r="502" spans="1:3" ht="15.75" customHeight="1" x14ac:dyDescent="0.35">
      <c r="A502" s="126"/>
      <c r="B502" s="27"/>
      <c r="C502" s="132"/>
    </row>
    <row r="503" spans="1:3" ht="15.75" customHeight="1" x14ac:dyDescent="0.35">
      <c r="A503" s="126"/>
      <c r="B503" s="27"/>
      <c r="C503" s="132"/>
    </row>
    <row r="504" spans="1:3" ht="15.75" customHeight="1" x14ac:dyDescent="0.35">
      <c r="A504" s="126"/>
      <c r="B504" s="27"/>
      <c r="C504" s="132"/>
    </row>
    <row r="505" spans="1:3" ht="15.75" customHeight="1" x14ac:dyDescent="0.35">
      <c r="A505" s="126"/>
      <c r="B505" s="27"/>
      <c r="C505" s="132"/>
    </row>
    <row r="506" spans="1:3" ht="15.75" customHeight="1" x14ac:dyDescent="0.35">
      <c r="A506" s="126"/>
      <c r="B506" s="27"/>
      <c r="C506" s="132"/>
    </row>
    <row r="507" spans="1:3" ht="15.75" customHeight="1" x14ac:dyDescent="0.35">
      <c r="A507" s="126"/>
      <c r="B507" s="27"/>
      <c r="C507" s="132"/>
    </row>
    <row r="508" spans="1:3" ht="15.75" customHeight="1" x14ac:dyDescent="0.35">
      <c r="A508" s="126"/>
      <c r="B508" s="27"/>
      <c r="C508" s="132"/>
    </row>
    <row r="509" spans="1:3" ht="15.75" customHeight="1" x14ac:dyDescent="0.35">
      <c r="A509" s="126"/>
      <c r="B509" s="27"/>
      <c r="C509" s="132"/>
    </row>
    <row r="510" spans="1:3" ht="15.75" customHeight="1" x14ac:dyDescent="0.35">
      <c r="A510" s="126"/>
      <c r="B510" s="27"/>
      <c r="C510" s="132"/>
    </row>
    <row r="511" spans="1:3" ht="15.75" customHeight="1" x14ac:dyDescent="0.35">
      <c r="A511" s="126"/>
      <c r="B511" s="27"/>
      <c r="C511" s="132"/>
    </row>
    <row r="512" spans="1:3" ht="15.75" customHeight="1" x14ac:dyDescent="0.35">
      <c r="A512" s="126"/>
      <c r="B512" s="27"/>
      <c r="C512" s="132"/>
    </row>
    <row r="513" spans="1:3" ht="15.75" customHeight="1" x14ac:dyDescent="0.35">
      <c r="A513" s="126"/>
      <c r="B513" s="27"/>
      <c r="C513" s="132"/>
    </row>
    <row r="514" spans="1:3" ht="15.75" customHeight="1" x14ac:dyDescent="0.35">
      <c r="A514" s="126"/>
      <c r="B514" s="27"/>
      <c r="C514" s="132"/>
    </row>
    <row r="515" spans="1:3" ht="15.75" customHeight="1" x14ac:dyDescent="0.35">
      <c r="A515" s="126"/>
      <c r="B515" s="27"/>
      <c r="C515" s="132"/>
    </row>
    <row r="516" spans="1:3" ht="15.75" customHeight="1" x14ac:dyDescent="0.35">
      <c r="A516" s="126"/>
      <c r="B516" s="27"/>
      <c r="C516" s="132"/>
    </row>
    <row r="517" spans="1:3" ht="15.75" customHeight="1" x14ac:dyDescent="0.35">
      <c r="A517" s="126"/>
      <c r="B517" s="27"/>
      <c r="C517" s="132"/>
    </row>
    <row r="518" spans="1:3" ht="15.75" customHeight="1" x14ac:dyDescent="0.35">
      <c r="A518" s="126"/>
      <c r="B518" s="27"/>
      <c r="C518" s="132"/>
    </row>
    <row r="519" spans="1:3" ht="15.75" customHeight="1" x14ac:dyDescent="0.35">
      <c r="A519" s="126"/>
      <c r="B519" s="27"/>
      <c r="C519" s="132"/>
    </row>
    <row r="520" spans="1:3" ht="15.75" customHeight="1" x14ac:dyDescent="0.35">
      <c r="A520" s="126"/>
      <c r="B520" s="27"/>
      <c r="C520" s="132"/>
    </row>
    <row r="521" spans="1:3" ht="15.75" customHeight="1" x14ac:dyDescent="0.35">
      <c r="A521" s="126"/>
      <c r="B521" s="27"/>
      <c r="C521" s="132"/>
    </row>
    <row r="522" spans="1:3" ht="15.75" customHeight="1" x14ac:dyDescent="0.35">
      <c r="A522" s="126"/>
      <c r="B522" s="27"/>
      <c r="C522" s="132"/>
    </row>
    <row r="523" spans="1:3" ht="15.75" customHeight="1" x14ac:dyDescent="0.35">
      <c r="A523" s="126"/>
      <c r="B523" s="27"/>
      <c r="C523" s="132"/>
    </row>
    <row r="524" spans="1:3" ht="15.75" customHeight="1" x14ac:dyDescent="0.35">
      <c r="A524" s="126"/>
      <c r="B524" s="27"/>
      <c r="C524" s="132"/>
    </row>
    <row r="525" spans="1:3" ht="15.75" customHeight="1" x14ac:dyDescent="0.35">
      <c r="A525" s="126"/>
      <c r="B525" s="27"/>
      <c r="C525" s="132"/>
    </row>
    <row r="526" spans="1:3" ht="15.75" customHeight="1" x14ac:dyDescent="0.35">
      <c r="A526" s="126"/>
      <c r="B526" s="27"/>
      <c r="C526" s="132"/>
    </row>
    <row r="527" spans="1:3" ht="15.75" customHeight="1" x14ac:dyDescent="0.35">
      <c r="A527" s="126"/>
      <c r="B527" s="27"/>
      <c r="C527" s="132"/>
    </row>
    <row r="528" spans="1:3" ht="15.75" customHeight="1" x14ac:dyDescent="0.35">
      <c r="A528" s="126"/>
      <c r="B528" s="27"/>
      <c r="C528" s="132"/>
    </row>
    <row r="529" spans="1:3" ht="15.75" customHeight="1" x14ac:dyDescent="0.35">
      <c r="A529" s="126"/>
      <c r="B529" s="27"/>
      <c r="C529" s="132"/>
    </row>
    <row r="530" spans="1:3" ht="15.75" customHeight="1" x14ac:dyDescent="0.35">
      <c r="A530" s="126"/>
      <c r="B530" s="27"/>
      <c r="C530" s="132"/>
    </row>
    <row r="531" spans="1:3" ht="15.75" customHeight="1" x14ac:dyDescent="0.35">
      <c r="A531" s="126"/>
      <c r="B531" s="27"/>
      <c r="C531" s="132"/>
    </row>
    <row r="532" spans="1:3" ht="15.75" customHeight="1" x14ac:dyDescent="0.35">
      <c r="A532" s="126"/>
      <c r="B532" s="27"/>
      <c r="C532" s="132"/>
    </row>
    <row r="533" spans="1:3" ht="15.75" customHeight="1" x14ac:dyDescent="0.35">
      <c r="A533" s="126"/>
      <c r="B533" s="27"/>
      <c r="C533" s="132"/>
    </row>
    <row r="534" spans="1:3" ht="15.75" customHeight="1" x14ac:dyDescent="0.35">
      <c r="A534" s="126"/>
      <c r="B534" s="27"/>
      <c r="C534" s="132"/>
    </row>
    <row r="535" spans="1:3" ht="15.75" customHeight="1" x14ac:dyDescent="0.35">
      <c r="A535" s="126"/>
      <c r="B535" s="27"/>
      <c r="C535" s="132"/>
    </row>
    <row r="536" spans="1:3" ht="15.75" customHeight="1" x14ac:dyDescent="0.35">
      <c r="A536" s="126"/>
      <c r="B536" s="27"/>
      <c r="C536" s="132"/>
    </row>
    <row r="537" spans="1:3" ht="15.75" customHeight="1" x14ac:dyDescent="0.35">
      <c r="A537" s="126"/>
      <c r="B537" s="27"/>
      <c r="C537" s="132"/>
    </row>
    <row r="538" spans="1:3" ht="15.75" customHeight="1" x14ac:dyDescent="0.35">
      <c r="A538" s="126"/>
      <c r="B538" s="27"/>
      <c r="C538" s="132"/>
    </row>
    <row r="539" spans="1:3" ht="15.75" customHeight="1" x14ac:dyDescent="0.35">
      <c r="A539" s="126"/>
      <c r="B539" s="27"/>
      <c r="C539" s="132"/>
    </row>
    <row r="540" spans="1:3" ht="15.75" customHeight="1" x14ac:dyDescent="0.35">
      <c r="A540" s="126"/>
      <c r="B540" s="27"/>
      <c r="C540" s="132"/>
    </row>
    <row r="541" spans="1:3" ht="15.75" customHeight="1" x14ac:dyDescent="0.35">
      <c r="A541" s="126"/>
      <c r="B541" s="27"/>
      <c r="C541" s="132"/>
    </row>
    <row r="542" spans="1:3" ht="15.75" customHeight="1" x14ac:dyDescent="0.35">
      <c r="A542" s="126"/>
      <c r="B542" s="27"/>
      <c r="C542" s="132"/>
    </row>
    <row r="543" spans="1:3" ht="15.75" customHeight="1" x14ac:dyDescent="0.35">
      <c r="A543" s="126"/>
      <c r="B543" s="27"/>
      <c r="C543" s="132"/>
    </row>
    <row r="544" spans="1:3" ht="15.75" customHeight="1" x14ac:dyDescent="0.35">
      <c r="A544" s="126"/>
      <c r="B544" s="27"/>
      <c r="C544" s="132"/>
    </row>
    <row r="545" spans="1:3" ht="15.75" customHeight="1" x14ac:dyDescent="0.35">
      <c r="A545" s="126"/>
      <c r="B545" s="27"/>
      <c r="C545" s="132"/>
    </row>
    <row r="546" spans="1:3" ht="15.75" customHeight="1" x14ac:dyDescent="0.35">
      <c r="A546" s="126"/>
      <c r="B546" s="27"/>
      <c r="C546" s="132"/>
    </row>
    <row r="547" spans="1:3" ht="15.75" customHeight="1" x14ac:dyDescent="0.35">
      <c r="A547" s="126"/>
      <c r="B547" s="27"/>
      <c r="C547" s="132"/>
    </row>
    <row r="548" spans="1:3" ht="15.75" customHeight="1" x14ac:dyDescent="0.35">
      <c r="A548" s="126"/>
      <c r="B548" s="27"/>
      <c r="C548" s="132"/>
    </row>
    <row r="549" spans="1:3" ht="15.75" customHeight="1" x14ac:dyDescent="0.35">
      <c r="A549" s="126"/>
      <c r="B549" s="27"/>
      <c r="C549" s="132"/>
    </row>
    <row r="550" spans="1:3" ht="15.75" customHeight="1" x14ac:dyDescent="0.35">
      <c r="A550" s="126"/>
      <c r="B550" s="27"/>
      <c r="C550" s="132"/>
    </row>
    <row r="551" spans="1:3" ht="15.75" customHeight="1" x14ac:dyDescent="0.35">
      <c r="A551" s="126"/>
      <c r="B551" s="27"/>
      <c r="C551" s="132"/>
    </row>
    <row r="552" spans="1:3" ht="15.75" customHeight="1" x14ac:dyDescent="0.35">
      <c r="A552" s="126"/>
      <c r="B552" s="27"/>
      <c r="C552" s="132"/>
    </row>
    <row r="553" spans="1:3" ht="15.75" customHeight="1" x14ac:dyDescent="0.35">
      <c r="A553" s="126"/>
      <c r="B553" s="27"/>
      <c r="C553" s="132"/>
    </row>
    <row r="554" spans="1:3" ht="15.75" customHeight="1" x14ac:dyDescent="0.35">
      <c r="A554" s="126"/>
      <c r="B554" s="27"/>
      <c r="C554" s="132"/>
    </row>
    <row r="555" spans="1:3" ht="15.75" customHeight="1" x14ac:dyDescent="0.35">
      <c r="A555" s="126"/>
      <c r="B555" s="27"/>
      <c r="C555" s="132"/>
    </row>
    <row r="556" spans="1:3" ht="15.75" customHeight="1" x14ac:dyDescent="0.35">
      <c r="A556" s="126"/>
      <c r="B556" s="27"/>
      <c r="C556" s="132"/>
    </row>
    <row r="557" spans="1:3" ht="15.75" customHeight="1" x14ac:dyDescent="0.35">
      <c r="A557" s="126"/>
      <c r="B557" s="27"/>
      <c r="C557" s="132"/>
    </row>
    <row r="558" spans="1:3" ht="15.75" customHeight="1" x14ac:dyDescent="0.35">
      <c r="A558" s="126"/>
      <c r="B558" s="27"/>
      <c r="C558" s="132"/>
    </row>
    <row r="559" spans="1:3" ht="15.75" customHeight="1" x14ac:dyDescent="0.35">
      <c r="A559" s="126"/>
      <c r="B559" s="27"/>
      <c r="C559" s="132"/>
    </row>
    <row r="560" spans="1:3" ht="15.75" customHeight="1" x14ac:dyDescent="0.35">
      <c r="A560" s="126"/>
      <c r="B560" s="27"/>
      <c r="C560" s="132"/>
    </row>
    <row r="561" spans="1:3" ht="15.75" customHeight="1" x14ac:dyDescent="0.35">
      <c r="A561" s="126"/>
      <c r="B561" s="27"/>
      <c r="C561" s="132"/>
    </row>
    <row r="562" spans="1:3" ht="15.75" customHeight="1" x14ac:dyDescent="0.35">
      <c r="A562" s="126"/>
      <c r="B562" s="27"/>
      <c r="C562" s="132"/>
    </row>
    <row r="563" spans="1:3" ht="15.75" customHeight="1" x14ac:dyDescent="0.35">
      <c r="A563" s="126"/>
      <c r="B563" s="27"/>
      <c r="C563" s="132"/>
    </row>
    <row r="564" spans="1:3" ht="15.75" customHeight="1" x14ac:dyDescent="0.35">
      <c r="A564" s="126"/>
      <c r="B564" s="27"/>
      <c r="C564" s="132"/>
    </row>
    <row r="565" spans="1:3" ht="15.75" customHeight="1" x14ac:dyDescent="0.35">
      <c r="A565" s="126"/>
      <c r="B565" s="27"/>
      <c r="C565" s="132"/>
    </row>
    <row r="566" spans="1:3" ht="15.75" customHeight="1" x14ac:dyDescent="0.35">
      <c r="A566" s="126"/>
      <c r="B566" s="27"/>
      <c r="C566" s="132"/>
    </row>
    <row r="567" spans="1:3" ht="15.75" customHeight="1" x14ac:dyDescent="0.35">
      <c r="A567" s="126"/>
      <c r="B567" s="27"/>
      <c r="C567" s="132"/>
    </row>
    <row r="568" spans="1:3" ht="15.75" customHeight="1" x14ac:dyDescent="0.35">
      <c r="A568" s="126"/>
      <c r="B568" s="27"/>
      <c r="C568" s="132"/>
    </row>
    <row r="569" spans="1:3" ht="15.75" customHeight="1" x14ac:dyDescent="0.35">
      <c r="A569" s="126"/>
      <c r="B569" s="27"/>
      <c r="C569" s="132"/>
    </row>
    <row r="570" spans="1:3" ht="15.75" customHeight="1" x14ac:dyDescent="0.35">
      <c r="A570" s="126"/>
      <c r="B570" s="27"/>
      <c r="C570" s="132"/>
    </row>
    <row r="571" spans="1:3" ht="15.75" customHeight="1" x14ac:dyDescent="0.35">
      <c r="A571" s="126"/>
      <c r="B571" s="27"/>
      <c r="C571" s="132"/>
    </row>
    <row r="572" spans="1:3" ht="15.75" customHeight="1" x14ac:dyDescent="0.35">
      <c r="A572" s="126"/>
      <c r="B572" s="27"/>
      <c r="C572" s="132"/>
    </row>
    <row r="573" spans="1:3" ht="15.75" customHeight="1" x14ac:dyDescent="0.35">
      <c r="A573" s="126"/>
      <c r="B573" s="27"/>
      <c r="C573" s="132"/>
    </row>
    <row r="574" spans="1:3" ht="15.75" customHeight="1" x14ac:dyDescent="0.35">
      <c r="A574" s="126"/>
      <c r="B574" s="27"/>
      <c r="C574" s="132"/>
    </row>
    <row r="575" spans="1:3" ht="15.75" customHeight="1" x14ac:dyDescent="0.35">
      <c r="A575" s="126"/>
      <c r="B575" s="27"/>
      <c r="C575" s="132"/>
    </row>
    <row r="576" spans="1:3" ht="15.75" customHeight="1" x14ac:dyDescent="0.35">
      <c r="A576" s="126"/>
      <c r="B576" s="27"/>
      <c r="C576" s="132"/>
    </row>
    <row r="577" spans="1:3" ht="15.75" customHeight="1" x14ac:dyDescent="0.35">
      <c r="A577" s="126"/>
      <c r="B577" s="27"/>
      <c r="C577" s="132"/>
    </row>
    <row r="578" spans="1:3" ht="15.75" customHeight="1" x14ac:dyDescent="0.35">
      <c r="A578" s="126"/>
      <c r="B578" s="27"/>
      <c r="C578" s="132"/>
    </row>
    <row r="579" spans="1:3" ht="15.75" customHeight="1" x14ac:dyDescent="0.35">
      <c r="A579" s="126"/>
      <c r="B579" s="27"/>
      <c r="C579" s="132"/>
    </row>
    <row r="580" spans="1:3" ht="15.75" customHeight="1" x14ac:dyDescent="0.35">
      <c r="A580" s="126"/>
      <c r="B580" s="27"/>
      <c r="C580" s="132"/>
    </row>
    <row r="581" spans="1:3" ht="15.75" customHeight="1" x14ac:dyDescent="0.35">
      <c r="A581" s="126"/>
      <c r="B581" s="27"/>
      <c r="C581" s="132"/>
    </row>
    <row r="582" spans="1:3" ht="15.75" customHeight="1" x14ac:dyDescent="0.35">
      <c r="A582" s="126"/>
      <c r="B582" s="27"/>
      <c r="C582" s="132"/>
    </row>
    <row r="583" spans="1:3" ht="15.75" customHeight="1" x14ac:dyDescent="0.35">
      <c r="A583" s="126"/>
      <c r="B583" s="27"/>
      <c r="C583" s="132"/>
    </row>
    <row r="584" spans="1:3" ht="15.75" customHeight="1" x14ac:dyDescent="0.35">
      <c r="A584" s="126"/>
      <c r="B584" s="27"/>
      <c r="C584" s="132"/>
    </row>
    <row r="585" spans="1:3" ht="15.75" customHeight="1" x14ac:dyDescent="0.35">
      <c r="A585" s="126"/>
      <c r="B585" s="27"/>
      <c r="C585" s="132"/>
    </row>
    <row r="586" spans="1:3" ht="15.75" customHeight="1" x14ac:dyDescent="0.35">
      <c r="A586" s="126"/>
      <c r="B586" s="27"/>
      <c r="C586" s="132"/>
    </row>
    <row r="587" spans="1:3" ht="15.75" customHeight="1" x14ac:dyDescent="0.35">
      <c r="A587" s="126"/>
      <c r="B587" s="27"/>
      <c r="C587" s="132"/>
    </row>
    <row r="588" spans="1:3" ht="15.75" customHeight="1" x14ac:dyDescent="0.35">
      <c r="A588" s="126"/>
      <c r="B588" s="27"/>
      <c r="C588" s="132"/>
    </row>
    <row r="589" spans="1:3" ht="15.75" customHeight="1" x14ac:dyDescent="0.35">
      <c r="A589" s="126"/>
      <c r="B589" s="27"/>
      <c r="C589" s="132"/>
    </row>
    <row r="590" spans="1:3" ht="15.75" customHeight="1" x14ac:dyDescent="0.35">
      <c r="A590" s="126"/>
      <c r="B590" s="27"/>
      <c r="C590" s="132"/>
    </row>
    <row r="591" spans="1:3" ht="15.75" customHeight="1" x14ac:dyDescent="0.35">
      <c r="A591" s="126"/>
      <c r="B591" s="27"/>
      <c r="C591" s="132"/>
    </row>
    <row r="592" spans="1:3" ht="15.75" customHeight="1" x14ac:dyDescent="0.35">
      <c r="A592" s="126"/>
      <c r="B592" s="27"/>
      <c r="C592" s="132"/>
    </row>
    <row r="593" spans="1:3" ht="15.75" customHeight="1" x14ac:dyDescent="0.35">
      <c r="A593" s="126"/>
      <c r="B593" s="27"/>
      <c r="C593" s="132"/>
    </row>
    <row r="594" spans="1:3" ht="15.75" customHeight="1" x14ac:dyDescent="0.35">
      <c r="A594" s="126"/>
      <c r="B594" s="27"/>
      <c r="C594" s="132"/>
    </row>
    <row r="595" spans="1:3" ht="15.75" customHeight="1" x14ac:dyDescent="0.35">
      <c r="A595" s="126"/>
      <c r="B595" s="27"/>
      <c r="C595" s="132"/>
    </row>
    <row r="596" spans="1:3" ht="15.75" customHeight="1" x14ac:dyDescent="0.35">
      <c r="A596" s="126"/>
      <c r="B596" s="27"/>
      <c r="C596" s="132"/>
    </row>
    <row r="597" spans="1:3" ht="15.75" customHeight="1" x14ac:dyDescent="0.35">
      <c r="A597" s="126"/>
      <c r="B597" s="27"/>
      <c r="C597" s="132"/>
    </row>
    <row r="598" spans="1:3" ht="15.75" customHeight="1" x14ac:dyDescent="0.35">
      <c r="A598" s="126"/>
      <c r="B598" s="27"/>
      <c r="C598" s="132"/>
    </row>
    <row r="599" spans="1:3" ht="15.75" customHeight="1" x14ac:dyDescent="0.35">
      <c r="A599" s="126"/>
      <c r="B599" s="27"/>
      <c r="C599" s="132"/>
    </row>
    <row r="600" spans="1:3" ht="15.75" customHeight="1" x14ac:dyDescent="0.35">
      <c r="A600" s="126"/>
      <c r="B600" s="27"/>
      <c r="C600" s="132"/>
    </row>
    <row r="601" spans="1:3" ht="15.75" customHeight="1" x14ac:dyDescent="0.35">
      <c r="A601" s="126"/>
      <c r="B601" s="27"/>
      <c r="C601" s="132"/>
    </row>
    <row r="602" spans="1:3" ht="15.75" customHeight="1" x14ac:dyDescent="0.35">
      <c r="A602" s="126"/>
      <c r="B602" s="27"/>
      <c r="C602" s="132"/>
    </row>
    <row r="603" spans="1:3" ht="15.75" customHeight="1" x14ac:dyDescent="0.35">
      <c r="A603" s="126"/>
      <c r="B603" s="27"/>
      <c r="C603" s="132"/>
    </row>
    <row r="604" spans="1:3" ht="15.75" customHeight="1" x14ac:dyDescent="0.35">
      <c r="A604" s="126"/>
      <c r="B604" s="27"/>
      <c r="C604" s="132"/>
    </row>
    <row r="605" spans="1:3" ht="15.75" customHeight="1" x14ac:dyDescent="0.35">
      <c r="A605" s="126"/>
      <c r="B605" s="27"/>
      <c r="C605" s="132"/>
    </row>
    <row r="606" spans="1:3" ht="15.75" customHeight="1" x14ac:dyDescent="0.35">
      <c r="A606" s="126"/>
      <c r="B606" s="27"/>
      <c r="C606" s="132"/>
    </row>
    <row r="607" spans="1:3" ht="15.75" customHeight="1" x14ac:dyDescent="0.35">
      <c r="A607" s="126"/>
      <c r="B607" s="27"/>
      <c r="C607" s="132"/>
    </row>
  </sheetData>
  <mergeCells count="1">
    <mergeCell ref="A1:D1"/>
  </mergeCells>
  <pageMargins left="0.7" right="0.7" top="0.75" bottom="0.75" header="0.511811023622047" footer="0.511811023622047"/>
  <pageSetup paperSize="9" scale="85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9CF05-7E16-4003-8586-99DD0F6FF07C}">
  <dimension ref="A1:AY520"/>
  <sheetViews>
    <sheetView zoomScale="80" zoomScaleNormal="80" workbookViewId="0">
      <pane xSplit="3" ySplit="2" topLeftCell="D3" activePane="bottomRight" state="frozen"/>
      <selection pane="topRight" activeCell="F1" sqref="F1"/>
      <selection pane="bottomLeft" activeCell="A4" sqref="A4"/>
      <selection pane="bottomRight" activeCell="C5" sqref="C5"/>
    </sheetView>
  </sheetViews>
  <sheetFormatPr defaultColWidth="14.42578125" defaultRowHeight="17.25" x14ac:dyDescent="0.35"/>
  <cols>
    <col min="1" max="1" width="4.7109375" style="23" customWidth="1"/>
    <col min="2" max="2" width="19.5703125" style="90" customWidth="1"/>
    <col min="3" max="3" width="22.85546875" style="101" customWidth="1"/>
    <col min="4" max="4" width="23.85546875" style="23" customWidth="1"/>
    <col min="5" max="16384" width="14.42578125" style="23"/>
  </cols>
  <sheetData>
    <row r="1" spans="1:51" ht="23.25" x14ac:dyDescent="0.35">
      <c r="A1" s="38" t="s">
        <v>32</v>
      </c>
      <c r="B1" s="85"/>
      <c r="C1" s="91"/>
    </row>
    <row r="2" spans="1:51" ht="66.599999999999994" customHeight="1" x14ac:dyDescent="0.35">
      <c r="A2" s="24"/>
      <c r="B2" s="86" t="s">
        <v>24</v>
      </c>
      <c r="C2" s="92" t="s">
        <v>25</v>
      </c>
      <c r="D2" s="23">
        <v>63.25</v>
      </c>
    </row>
    <row r="3" spans="1:51" ht="19.899999999999999" customHeight="1" x14ac:dyDescent="0.35">
      <c r="A3" s="24"/>
      <c r="B3" s="86"/>
      <c r="C3" s="92"/>
    </row>
    <row r="4" spans="1:51" ht="19.899999999999999" customHeight="1" x14ac:dyDescent="0.35">
      <c r="A4" s="24"/>
      <c r="B4" s="87">
        <v>46023</v>
      </c>
      <c r="C4" s="93" t="e">
        <f>+' EXPENSES'!#REF!</f>
        <v>#REF!</v>
      </c>
      <c r="D4" s="102" t="e">
        <f>+C4/$D$2</f>
        <v>#REF!</v>
      </c>
    </row>
    <row r="5" spans="1:51" ht="19.5" customHeight="1" x14ac:dyDescent="0.35">
      <c r="A5" s="78"/>
      <c r="B5" s="87">
        <v>46055</v>
      </c>
      <c r="C5" s="94"/>
      <c r="D5" s="102">
        <f t="shared" ref="D5:D15" si="0">+C5/$D$2</f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</row>
    <row r="6" spans="1:51" ht="19.5" customHeight="1" x14ac:dyDescent="0.35">
      <c r="A6" s="25"/>
      <c r="B6" s="87">
        <v>46087</v>
      </c>
      <c r="C6" s="95"/>
      <c r="D6" s="102">
        <f t="shared" si="0"/>
        <v>0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1:51" ht="19.5" customHeight="1" x14ac:dyDescent="0.35">
      <c r="A7" s="25"/>
      <c r="B7" s="87">
        <v>46119</v>
      </c>
      <c r="C7" s="94"/>
      <c r="D7" s="102">
        <f t="shared" si="0"/>
        <v>0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</row>
    <row r="8" spans="1:51" ht="19.5" customHeight="1" x14ac:dyDescent="0.35">
      <c r="A8" s="25"/>
      <c r="B8" s="87">
        <v>46151</v>
      </c>
      <c r="C8" s="94"/>
      <c r="D8" s="102">
        <f t="shared" si="0"/>
        <v>0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</row>
    <row r="9" spans="1:51" ht="19.5" customHeight="1" x14ac:dyDescent="0.35">
      <c r="A9" s="25"/>
      <c r="B9" s="87">
        <v>46183</v>
      </c>
      <c r="C9" s="95"/>
      <c r="D9" s="102">
        <f t="shared" si="0"/>
        <v>0</v>
      </c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</row>
    <row r="10" spans="1:51" ht="19.5" customHeight="1" x14ac:dyDescent="0.35">
      <c r="A10" s="25"/>
      <c r="B10" s="87">
        <v>46215</v>
      </c>
      <c r="C10" s="94"/>
      <c r="D10" s="102">
        <f t="shared" si="0"/>
        <v>0</v>
      </c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</row>
    <row r="11" spans="1:51" ht="19.5" customHeight="1" x14ac:dyDescent="0.35">
      <c r="A11" s="25"/>
      <c r="B11" s="87">
        <v>46247</v>
      </c>
      <c r="C11" s="94"/>
      <c r="D11" s="102">
        <f t="shared" si="0"/>
        <v>0</v>
      </c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</row>
    <row r="12" spans="1:51" ht="19.5" customHeight="1" x14ac:dyDescent="0.35">
      <c r="A12" s="25"/>
      <c r="B12" s="87">
        <v>46279</v>
      </c>
      <c r="C12" s="95"/>
      <c r="D12" s="102">
        <f t="shared" si="0"/>
        <v>0</v>
      </c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</row>
    <row r="13" spans="1:51" ht="19.5" customHeight="1" x14ac:dyDescent="0.35">
      <c r="A13" s="25"/>
      <c r="B13" s="87">
        <v>46311</v>
      </c>
      <c r="C13" s="94"/>
      <c r="D13" s="102">
        <f t="shared" si="0"/>
        <v>0</v>
      </c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</row>
    <row r="14" spans="1:51" ht="19.5" customHeight="1" x14ac:dyDescent="0.35">
      <c r="A14" s="25"/>
      <c r="B14" s="87">
        <v>46343</v>
      </c>
      <c r="C14" s="95"/>
      <c r="D14" s="102">
        <f t="shared" si="0"/>
        <v>0</v>
      </c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</row>
    <row r="15" spans="1:51" ht="19.5" customHeight="1" x14ac:dyDescent="0.35">
      <c r="A15" s="25"/>
      <c r="B15" s="87">
        <v>46375</v>
      </c>
      <c r="C15" s="96"/>
      <c r="D15" s="102">
        <f t="shared" si="0"/>
        <v>0</v>
      </c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</row>
    <row r="16" spans="1:51" ht="19.5" customHeight="1" thickBot="1" x14ac:dyDescent="0.4">
      <c r="A16" s="25"/>
      <c r="B16" s="88"/>
      <c r="C16" s="97" t="e">
        <f>SUM(C4:C15)</f>
        <v>#REF!</v>
      </c>
      <c r="D16" s="103" t="e">
        <f>SUM(D4:D15)</f>
        <v>#REF!</v>
      </c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</row>
    <row r="17" spans="1:51" ht="19.5" customHeight="1" thickTop="1" x14ac:dyDescent="0.35">
      <c r="A17" s="25"/>
      <c r="B17" s="88"/>
      <c r="C17" s="98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</row>
    <row r="18" spans="1:51" ht="29.45" customHeight="1" x14ac:dyDescent="0.35">
      <c r="A18" s="25"/>
      <c r="B18" s="88" t="s">
        <v>26</v>
      </c>
      <c r="C18" s="99" t="e">
        <f>+C16/9</f>
        <v>#REF!</v>
      </c>
      <c r="D18" s="104" t="e">
        <f>+D16/9</f>
        <v>#REF!</v>
      </c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</row>
    <row r="19" spans="1:51" ht="15.75" customHeight="1" x14ac:dyDescent="0.35">
      <c r="A19" s="27"/>
      <c r="B19" s="89"/>
      <c r="C19" s="100"/>
    </row>
    <row r="20" spans="1:51" ht="15.75" customHeight="1" x14ac:dyDescent="0.35">
      <c r="A20" s="27"/>
      <c r="B20" s="89"/>
      <c r="C20" s="100"/>
    </row>
    <row r="21" spans="1:51" ht="15.75" customHeight="1" x14ac:dyDescent="0.35">
      <c r="A21" s="27"/>
      <c r="B21" s="89"/>
      <c r="C21" s="100"/>
    </row>
    <row r="22" spans="1:51" ht="15.75" customHeight="1" x14ac:dyDescent="0.35">
      <c r="A22" s="27"/>
      <c r="B22" s="89"/>
      <c r="C22" s="100"/>
    </row>
    <row r="23" spans="1:51" ht="15.75" customHeight="1" x14ac:dyDescent="0.35">
      <c r="A23" s="27"/>
      <c r="B23" s="89"/>
      <c r="C23" s="100"/>
    </row>
    <row r="24" spans="1:51" ht="15.75" customHeight="1" x14ac:dyDescent="0.35">
      <c r="A24" s="27"/>
      <c r="B24" s="89"/>
      <c r="C24" s="100"/>
    </row>
    <row r="25" spans="1:51" ht="15.75" customHeight="1" x14ac:dyDescent="0.35">
      <c r="A25" s="27"/>
      <c r="B25" s="89"/>
      <c r="C25" s="100"/>
    </row>
    <row r="26" spans="1:51" ht="15.75" customHeight="1" x14ac:dyDescent="0.35">
      <c r="A26" s="27"/>
      <c r="B26" s="89"/>
      <c r="C26" s="100"/>
    </row>
    <row r="27" spans="1:51" ht="15.75" customHeight="1" x14ac:dyDescent="0.35">
      <c r="A27" s="27"/>
      <c r="B27" s="89"/>
      <c r="C27" s="100"/>
    </row>
    <row r="28" spans="1:51" ht="15.75" customHeight="1" x14ac:dyDescent="0.35">
      <c r="A28" s="27"/>
      <c r="B28" s="89"/>
      <c r="C28" s="100"/>
    </row>
    <row r="29" spans="1:51" ht="15.75" customHeight="1" x14ac:dyDescent="0.35">
      <c r="A29" s="27"/>
      <c r="B29" s="89"/>
      <c r="C29" s="100"/>
    </row>
    <row r="30" spans="1:51" ht="15.75" customHeight="1" x14ac:dyDescent="0.35">
      <c r="A30" s="27"/>
      <c r="B30" s="89"/>
      <c r="C30" s="100"/>
    </row>
    <row r="31" spans="1:51" ht="15.75" customHeight="1" x14ac:dyDescent="0.35">
      <c r="A31" s="27"/>
      <c r="B31" s="89"/>
      <c r="C31" s="100"/>
    </row>
    <row r="32" spans="1:51" ht="15.75" customHeight="1" x14ac:dyDescent="0.35">
      <c r="A32" s="27"/>
      <c r="B32" s="89"/>
      <c r="C32" s="100"/>
    </row>
    <row r="33" spans="1:3" ht="15.75" customHeight="1" x14ac:dyDescent="0.35">
      <c r="A33" s="27"/>
      <c r="B33" s="89"/>
      <c r="C33" s="100"/>
    </row>
    <row r="34" spans="1:3" ht="15.75" customHeight="1" x14ac:dyDescent="0.35">
      <c r="A34" s="27"/>
      <c r="B34" s="89"/>
      <c r="C34" s="100"/>
    </row>
    <row r="35" spans="1:3" ht="15.75" customHeight="1" x14ac:dyDescent="0.35">
      <c r="A35" s="27"/>
      <c r="B35" s="89"/>
      <c r="C35" s="100"/>
    </row>
    <row r="36" spans="1:3" ht="15.75" customHeight="1" x14ac:dyDescent="0.35">
      <c r="A36" s="27"/>
      <c r="B36" s="89"/>
      <c r="C36" s="100"/>
    </row>
    <row r="37" spans="1:3" ht="15.75" customHeight="1" x14ac:dyDescent="0.35">
      <c r="A37" s="27"/>
      <c r="B37" s="89"/>
      <c r="C37" s="100"/>
    </row>
    <row r="38" spans="1:3" ht="15.75" customHeight="1" x14ac:dyDescent="0.35">
      <c r="A38" s="27"/>
      <c r="B38" s="89"/>
      <c r="C38" s="100"/>
    </row>
    <row r="39" spans="1:3" ht="15.75" customHeight="1" x14ac:dyDescent="0.35">
      <c r="A39" s="27"/>
      <c r="B39" s="89"/>
      <c r="C39" s="100"/>
    </row>
    <row r="40" spans="1:3" ht="15.75" customHeight="1" x14ac:dyDescent="0.35">
      <c r="A40" s="27"/>
      <c r="B40" s="89"/>
      <c r="C40" s="100"/>
    </row>
    <row r="41" spans="1:3" ht="15.75" customHeight="1" x14ac:dyDescent="0.35">
      <c r="A41" s="27"/>
      <c r="B41" s="89"/>
      <c r="C41" s="100"/>
    </row>
    <row r="42" spans="1:3" ht="15.75" customHeight="1" x14ac:dyDescent="0.35">
      <c r="A42" s="27"/>
      <c r="B42" s="89"/>
      <c r="C42" s="100"/>
    </row>
    <row r="43" spans="1:3" ht="15.75" customHeight="1" x14ac:dyDescent="0.35">
      <c r="A43" s="27"/>
      <c r="B43" s="89"/>
      <c r="C43" s="100"/>
    </row>
    <row r="44" spans="1:3" ht="15.75" customHeight="1" x14ac:dyDescent="0.35">
      <c r="A44" s="27"/>
      <c r="B44" s="89"/>
      <c r="C44" s="100"/>
    </row>
    <row r="45" spans="1:3" ht="15.75" customHeight="1" x14ac:dyDescent="0.35">
      <c r="A45" s="27"/>
      <c r="B45" s="89"/>
      <c r="C45" s="100"/>
    </row>
    <row r="46" spans="1:3" ht="15.75" customHeight="1" x14ac:dyDescent="0.35">
      <c r="A46" s="27"/>
      <c r="B46" s="89"/>
      <c r="C46" s="100"/>
    </row>
    <row r="47" spans="1:3" ht="15.75" customHeight="1" x14ac:dyDescent="0.35">
      <c r="A47" s="27"/>
      <c r="B47" s="89"/>
      <c r="C47" s="100"/>
    </row>
    <row r="48" spans="1:3" ht="15.75" customHeight="1" x14ac:dyDescent="0.35">
      <c r="A48" s="27"/>
      <c r="B48" s="89"/>
      <c r="C48" s="100"/>
    </row>
    <row r="49" spans="1:3" ht="15.75" customHeight="1" x14ac:dyDescent="0.35">
      <c r="A49" s="27"/>
      <c r="B49" s="89"/>
      <c r="C49" s="100"/>
    </row>
    <row r="50" spans="1:3" ht="15.75" customHeight="1" x14ac:dyDescent="0.35">
      <c r="A50" s="27"/>
      <c r="B50" s="89"/>
      <c r="C50" s="100"/>
    </row>
    <row r="51" spans="1:3" ht="15.75" customHeight="1" x14ac:dyDescent="0.35">
      <c r="A51" s="27"/>
      <c r="B51" s="89"/>
      <c r="C51" s="100"/>
    </row>
    <row r="52" spans="1:3" ht="15.75" customHeight="1" x14ac:dyDescent="0.35">
      <c r="A52" s="27"/>
      <c r="B52" s="89"/>
      <c r="C52" s="100"/>
    </row>
    <row r="53" spans="1:3" ht="15.75" customHeight="1" x14ac:dyDescent="0.35">
      <c r="A53" s="27"/>
      <c r="B53" s="89"/>
      <c r="C53" s="100"/>
    </row>
    <row r="54" spans="1:3" ht="15.75" customHeight="1" x14ac:dyDescent="0.35">
      <c r="A54" s="27"/>
      <c r="B54" s="89"/>
      <c r="C54" s="100"/>
    </row>
    <row r="55" spans="1:3" ht="15.75" customHeight="1" x14ac:dyDescent="0.35">
      <c r="A55" s="27"/>
      <c r="B55" s="89"/>
      <c r="C55" s="100"/>
    </row>
    <row r="56" spans="1:3" ht="15.75" customHeight="1" x14ac:dyDescent="0.35">
      <c r="A56" s="27"/>
      <c r="B56" s="89"/>
      <c r="C56" s="100"/>
    </row>
    <row r="57" spans="1:3" ht="15.75" customHeight="1" x14ac:dyDescent="0.35">
      <c r="A57" s="27"/>
      <c r="B57" s="89"/>
      <c r="C57" s="100"/>
    </row>
    <row r="58" spans="1:3" ht="15.75" customHeight="1" x14ac:dyDescent="0.35">
      <c r="A58" s="27"/>
      <c r="B58" s="89"/>
      <c r="C58" s="100"/>
    </row>
    <row r="59" spans="1:3" ht="15.75" customHeight="1" x14ac:dyDescent="0.35">
      <c r="A59" s="27"/>
      <c r="B59" s="89"/>
      <c r="C59" s="100"/>
    </row>
    <row r="60" spans="1:3" ht="15.75" customHeight="1" x14ac:dyDescent="0.35">
      <c r="A60" s="27"/>
      <c r="B60" s="89"/>
      <c r="C60" s="100"/>
    </row>
    <row r="61" spans="1:3" ht="15.75" customHeight="1" x14ac:dyDescent="0.35">
      <c r="A61" s="27"/>
      <c r="B61" s="89"/>
      <c r="C61" s="100"/>
    </row>
    <row r="62" spans="1:3" ht="15.75" customHeight="1" x14ac:dyDescent="0.35">
      <c r="A62" s="27"/>
      <c r="B62" s="89"/>
      <c r="C62" s="100"/>
    </row>
    <row r="63" spans="1:3" ht="15.75" customHeight="1" x14ac:dyDescent="0.35">
      <c r="A63" s="27"/>
      <c r="B63" s="89"/>
      <c r="C63" s="100"/>
    </row>
    <row r="64" spans="1:3" ht="15.75" customHeight="1" x14ac:dyDescent="0.35">
      <c r="A64" s="27"/>
      <c r="B64" s="89"/>
      <c r="C64" s="100"/>
    </row>
    <row r="65" spans="1:3" ht="15.75" customHeight="1" x14ac:dyDescent="0.35">
      <c r="A65" s="27"/>
      <c r="B65" s="89"/>
      <c r="C65" s="100"/>
    </row>
    <row r="66" spans="1:3" ht="15.75" customHeight="1" x14ac:dyDescent="0.35">
      <c r="A66" s="27"/>
      <c r="B66" s="89"/>
      <c r="C66" s="100"/>
    </row>
    <row r="67" spans="1:3" ht="15.75" customHeight="1" x14ac:dyDescent="0.35">
      <c r="A67" s="27"/>
      <c r="B67" s="89"/>
      <c r="C67" s="100"/>
    </row>
    <row r="68" spans="1:3" ht="15.75" customHeight="1" x14ac:dyDescent="0.35">
      <c r="A68" s="27"/>
      <c r="B68" s="89"/>
      <c r="C68" s="100"/>
    </row>
    <row r="69" spans="1:3" ht="15.75" customHeight="1" x14ac:dyDescent="0.35">
      <c r="A69" s="27"/>
      <c r="B69" s="89"/>
      <c r="C69" s="100"/>
    </row>
    <row r="70" spans="1:3" ht="15.75" customHeight="1" x14ac:dyDescent="0.35">
      <c r="A70" s="27"/>
      <c r="B70" s="89"/>
      <c r="C70" s="100"/>
    </row>
    <row r="71" spans="1:3" ht="15.75" customHeight="1" x14ac:dyDescent="0.35">
      <c r="A71" s="27"/>
      <c r="B71" s="89"/>
      <c r="C71" s="100"/>
    </row>
    <row r="72" spans="1:3" ht="15.75" customHeight="1" x14ac:dyDescent="0.35">
      <c r="A72" s="27"/>
      <c r="B72" s="89"/>
      <c r="C72" s="100"/>
    </row>
    <row r="73" spans="1:3" ht="15.75" customHeight="1" x14ac:dyDescent="0.35">
      <c r="A73" s="27"/>
      <c r="B73" s="89"/>
      <c r="C73" s="100"/>
    </row>
    <row r="74" spans="1:3" ht="15.75" customHeight="1" x14ac:dyDescent="0.35">
      <c r="A74" s="27"/>
      <c r="B74" s="89"/>
      <c r="C74" s="100"/>
    </row>
    <row r="75" spans="1:3" ht="15.75" customHeight="1" x14ac:dyDescent="0.35">
      <c r="A75" s="27"/>
      <c r="B75" s="89"/>
      <c r="C75" s="100"/>
    </row>
    <row r="76" spans="1:3" ht="15.75" customHeight="1" x14ac:dyDescent="0.35">
      <c r="A76" s="27"/>
      <c r="B76" s="89"/>
      <c r="C76" s="100"/>
    </row>
    <row r="77" spans="1:3" ht="15.75" customHeight="1" x14ac:dyDescent="0.35">
      <c r="A77" s="27"/>
      <c r="B77" s="89"/>
      <c r="C77" s="100"/>
    </row>
    <row r="78" spans="1:3" ht="15.75" customHeight="1" x14ac:dyDescent="0.35">
      <c r="A78" s="27"/>
      <c r="B78" s="89"/>
      <c r="C78" s="100"/>
    </row>
    <row r="79" spans="1:3" ht="15.75" customHeight="1" x14ac:dyDescent="0.35">
      <c r="A79" s="27"/>
      <c r="B79" s="89"/>
      <c r="C79" s="100"/>
    </row>
    <row r="80" spans="1:3" ht="15.75" customHeight="1" x14ac:dyDescent="0.35">
      <c r="A80" s="27"/>
      <c r="B80" s="89"/>
      <c r="C80" s="100"/>
    </row>
    <row r="81" spans="1:3" ht="15.75" customHeight="1" x14ac:dyDescent="0.35">
      <c r="A81" s="27"/>
      <c r="B81" s="89"/>
      <c r="C81" s="100"/>
    </row>
    <row r="82" spans="1:3" ht="15.75" customHeight="1" x14ac:dyDescent="0.35">
      <c r="A82" s="27"/>
      <c r="B82" s="89"/>
      <c r="C82" s="100"/>
    </row>
    <row r="83" spans="1:3" ht="15.75" customHeight="1" x14ac:dyDescent="0.35">
      <c r="A83" s="27"/>
      <c r="B83" s="89"/>
      <c r="C83" s="100"/>
    </row>
    <row r="84" spans="1:3" ht="15.75" customHeight="1" x14ac:dyDescent="0.35">
      <c r="A84" s="27"/>
      <c r="B84" s="89"/>
      <c r="C84" s="100"/>
    </row>
    <row r="85" spans="1:3" ht="15.75" customHeight="1" x14ac:dyDescent="0.35">
      <c r="A85" s="27"/>
      <c r="B85" s="89"/>
      <c r="C85" s="100"/>
    </row>
    <row r="86" spans="1:3" ht="15.75" customHeight="1" x14ac:dyDescent="0.35">
      <c r="A86" s="27"/>
      <c r="B86" s="89"/>
      <c r="C86" s="100"/>
    </row>
    <row r="87" spans="1:3" ht="15.75" customHeight="1" x14ac:dyDescent="0.35">
      <c r="A87" s="27"/>
      <c r="B87" s="89"/>
      <c r="C87" s="100"/>
    </row>
    <row r="88" spans="1:3" ht="15.75" customHeight="1" x14ac:dyDescent="0.35">
      <c r="A88" s="27"/>
      <c r="B88" s="89"/>
      <c r="C88" s="100"/>
    </row>
    <row r="89" spans="1:3" ht="15.75" customHeight="1" x14ac:dyDescent="0.35">
      <c r="A89" s="27"/>
      <c r="B89" s="89"/>
      <c r="C89" s="100"/>
    </row>
    <row r="90" spans="1:3" ht="15.75" customHeight="1" x14ac:dyDescent="0.35">
      <c r="A90" s="27"/>
      <c r="B90" s="89"/>
      <c r="C90" s="100"/>
    </row>
    <row r="91" spans="1:3" ht="15.75" customHeight="1" x14ac:dyDescent="0.35">
      <c r="A91" s="27"/>
      <c r="B91" s="89"/>
      <c r="C91" s="100"/>
    </row>
    <row r="92" spans="1:3" ht="15.75" customHeight="1" x14ac:dyDescent="0.35">
      <c r="A92" s="27"/>
      <c r="B92" s="89"/>
      <c r="C92" s="100"/>
    </row>
    <row r="93" spans="1:3" ht="15.75" customHeight="1" x14ac:dyDescent="0.35">
      <c r="A93" s="27"/>
      <c r="B93" s="89"/>
      <c r="C93" s="100"/>
    </row>
    <row r="94" spans="1:3" ht="15.75" customHeight="1" x14ac:dyDescent="0.35">
      <c r="A94" s="27"/>
      <c r="B94" s="89"/>
      <c r="C94" s="100"/>
    </row>
    <row r="95" spans="1:3" ht="15.75" customHeight="1" x14ac:dyDescent="0.35">
      <c r="A95" s="27"/>
      <c r="B95" s="89"/>
      <c r="C95" s="100"/>
    </row>
    <row r="96" spans="1:3" ht="15.75" customHeight="1" x14ac:dyDescent="0.35">
      <c r="A96" s="27"/>
      <c r="B96" s="89"/>
      <c r="C96" s="100"/>
    </row>
    <row r="97" spans="1:3" ht="15.75" customHeight="1" x14ac:dyDescent="0.35">
      <c r="A97" s="27"/>
      <c r="B97" s="89"/>
      <c r="C97" s="100"/>
    </row>
    <row r="98" spans="1:3" ht="15.75" customHeight="1" x14ac:dyDescent="0.35">
      <c r="A98" s="27"/>
      <c r="B98" s="89"/>
      <c r="C98" s="100"/>
    </row>
    <row r="99" spans="1:3" ht="15.75" customHeight="1" x14ac:dyDescent="0.35">
      <c r="A99" s="27"/>
      <c r="B99" s="89"/>
      <c r="C99" s="100"/>
    </row>
    <row r="100" spans="1:3" ht="15.75" customHeight="1" x14ac:dyDescent="0.35">
      <c r="A100" s="27"/>
      <c r="B100" s="89"/>
      <c r="C100" s="100"/>
    </row>
    <row r="101" spans="1:3" ht="15.75" customHeight="1" x14ac:dyDescent="0.35">
      <c r="A101" s="27"/>
      <c r="B101" s="89"/>
      <c r="C101" s="100"/>
    </row>
    <row r="102" spans="1:3" ht="15.75" customHeight="1" x14ac:dyDescent="0.35">
      <c r="A102" s="27"/>
      <c r="B102" s="89"/>
      <c r="C102" s="100"/>
    </row>
    <row r="103" spans="1:3" ht="15.75" customHeight="1" x14ac:dyDescent="0.35">
      <c r="A103" s="27"/>
      <c r="B103" s="89"/>
      <c r="C103" s="100"/>
    </row>
    <row r="104" spans="1:3" ht="15.75" customHeight="1" x14ac:dyDescent="0.35">
      <c r="A104" s="27"/>
      <c r="B104" s="89"/>
      <c r="C104" s="100"/>
    </row>
    <row r="105" spans="1:3" ht="15.75" customHeight="1" x14ac:dyDescent="0.35">
      <c r="A105" s="27"/>
      <c r="B105" s="89"/>
      <c r="C105" s="100"/>
    </row>
    <row r="106" spans="1:3" ht="15.75" customHeight="1" x14ac:dyDescent="0.35">
      <c r="A106" s="27"/>
      <c r="B106" s="89"/>
      <c r="C106" s="100"/>
    </row>
    <row r="107" spans="1:3" ht="15.75" customHeight="1" x14ac:dyDescent="0.35">
      <c r="A107" s="27"/>
      <c r="B107" s="89"/>
      <c r="C107" s="100"/>
    </row>
    <row r="108" spans="1:3" ht="15.75" customHeight="1" x14ac:dyDescent="0.35">
      <c r="A108" s="27"/>
      <c r="B108" s="89"/>
      <c r="C108" s="100"/>
    </row>
    <row r="109" spans="1:3" ht="15.75" customHeight="1" x14ac:dyDescent="0.35">
      <c r="A109" s="27"/>
      <c r="B109" s="89"/>
      <c r="C109" s="100"/>
    </row>
    <row r="110" spans="1:3" ht="15.75" customHeight="1" x14ac:dyDescent="0.35">
      <c r="A110" s="27"/>
      <c r="B110" s="89"/>
      <c r="C110" s="100"/>
    </row>
    <row r="111" spans="1:3" ht="15.75" customHeight="1" x14ac:dyDescent="0.35">
      <c r="A111" s="27"/>
      <c r="B111" s="89"/>
      <c r="C111" s="100"/>
    </row>
    <row r="112" spans="1:3" ht="15.75" customHeight="1" x14ac:dyDescent="0.35">
      <c r="A112" s="27"/>
      <c r="B112" s="89"/>
      <c r="C112" s="100"/>
    </row>
    <row r="113" spans="1:3" ht="15.75" customHeight="1" x14ac:dyDescent="0.35">
      <c r="A113" s="27"/>
      <c r="B113" s="89"/>
      <c r="C113" s="100"/>
    </row>
    <row r="114" spans="1:3" ht="15.75" customHeight="1" x14ac:dyDescent="0.35">
      <c r="A114" s="27"/>
      <c r="B114" s="89"/>
      <c r="C114" s="100"/>
    </row>
    <row r="115" spans="1:3" ht="15.75" customHeight="1" x14ac:dyDescent="0.35">
      <c r="A115" s="27"/>
      <c r="B115" s="89"/>
      <c r="C115" s="100"/>
    </row>
    <row r="116" spans="1:3" ht="15.75" customHeight="1" x14ac:dyDescent="0.35">
      <c r="A116" s="27"/>
      <c r="B116" s="89"/>
      <c r="C116" s="100"/>
    </row>
    <row r="117" spans="1:3" ht="15.75" customHeight="1" x14ac:dyDescent="0.35">
      <c r="A117" s="27"/>
      <c r="B117" s="89"/>
      <c r="C117" s="100"/>
    </row>
    <row r="118" spans="1:3" ht="15.75" customHeight="1" x14ac:dyDescent="0.35">
      <c r="A118" s="27"/>
      <c r="B118" s="89"/>
      <c r="C118" s="100"/>
    </row>
    <row r="119" spans="1:3" ht="15.75" customHeight="1" x14ac:dyDescent="0.35">
      <c r="A119" s="27"/>
      <c r="B119" s="89"/>
      <c r="C119" s="100"/>
    </row>
    <row r="120" spans="1:3" ht="15.75" customHeight="1" x14ac:dyDescent="0.35">
      <c r="A120" s="27"/>
      <c r="B120" s="89"/>
      <c r="C120" s="100"/>
    </row>
    <row r="121" spans="1:3" ht="15.75" customHeight="1" x14ac:dyDescent="0.35">
      <c r="A121" s="27"/>
      <c r="B121" s="89"/>
      <c r="C121" s="100"/>
    </row>
    <row r="122" spans="1:3" ht="15.75" customHeight="1" x14ac:dyDescent="0.35">
      <c r="A122" s="27"/>
      <c r="B122" s="89"/>
      <c r="C122" s="100"/>
    </row>
    <row r="123" spans="1:3" ht="15.75" customHeight="1" x14ac:dyDescent="0.35">
      <c r="A123" s="27"/>
      <c r="B123" s="89"/>
      <c r="C123" s="100"/>
    </row>
    <row r="124" spans="1:3" ht="15.75" customHeight="1" x14ac:dyDescent="0.35">
      <c r="A124" s="27"/>
      <c r="B124" s="89"/>
      <c r="C124" s="100"/>
    </row>
    <row r="125" spans="1:3" ht="15.75" customHeight="1" x14ac:dyDescent="0.35">
      <c r="A125" s="27"/>
      <c r="B125" s="89"/>
      <c r="C125" s="100"/>
    </row>
    <row r="126" spans="1:3" ht="15.75" customHeight="1" x14ac:dyDescent="0.35">
      <c r="A126" s="27"/>
      <c r="B126" s="89"/>
      <c r="C126" s="100"/>
    </row>
    <row r="127" spans="1:3" ht="15.75" customHeight="1" x14ac:dyDescent="0.35">
      <c r="A127" s="27"/>
      <c r="B127" s="89"/>
      <c r="C127" s="100"/>
    </row>
    <row r="128" spans="1:3" ht="15.75" customHeight="1" x14ac:dyDescent="0.35">
      <c r="A128" s="27"/>
      <c r="B128" s="89"/>
      <c r="C128" s="100"/>
    </row>
    <row r="129" spans="1:3" ht="15.75" customHeight="1" x14ac:dyDescent="0.35">
      <c r="A129" s="27"/>
      <c r="B129" s="89"/>
      <c r="C129" s="100"/>
    </row>
    <row r="130" spans="1:3" ht="15.75" customHeight="1" x14ac:dyDescent="0.35">
      <c r="A130" s="27"/>
      <c r="B130" s="89"/>
      <c r="C130" s="100"/>
    </row>
    <row r="131" spans="1:3" ht="15.75" customHeight="1" x14ac:dyDescent="0.35">
      <c r="A131" s="27"/>
      <c r="B131" s="89"/>
      <c r="C131" s="100"/>
    </row>
    <row r="132" spans="1:3" ht="15.75" customHeight="1" x14ac:dyDescent="0.35">
      <c r="A132" s="27"/>
      <c r="B132" s="89"/>
      <c r="C132" s="100"/>
    </row>
    <row r="133" spans="1:3" ht="15.75" customHeight="1" x14ac:dyDescent="0.35">
      <c r="A133" s="27"/>
      <c r="B133" s="89"/>
      <c r="C133" s="100"/>
    </row>
    <row r="134" spans="1:3" ht="15.75" customHeight="1" x14ac:dyDescent="0.35">
      <c r="A134" s="27"/>
      <c r="B134" s="89"/>
      <c r="C134" s="100"/>
    </row>
    <row r="135" spans="1:3" ht="15.75" customHeight="1" x14ac:dyDescent="0.35">
      <c r="A135" s="27"/>
      <c r="B135" s="89"/>
      <c r="C135" s="100"/>
    </row>
    <row r="136" spans="1:3" ht="15.75" customHeight="1" x14ac:dyDescent="0.35">
      <c r="A136" s="27"/>
      <c r="B136" s="89"/>
      <c r="C136" s="100"/>
    </row>
    <row r="137" spans="1:3" ht="15.75" customHeight="1" x14ac:dyDescent="0.35">
      <c r="A137" s="27"/>
      <c r="B137" s="89"/>
      <c r="C137" s="100"/>
    </row>
    <row r="138" spans="1:3" ht="15.75" customHeight="1" x14ac:dyDescent="0.35">
      <c r="A138" s="27"/>
      <c r="B138" s="89"/>
      <c r="C138" s="100"/>
    </row>
    <row r="139" spans="1:3" ht="15.75" customHeight="1" x14ac:dyDescent="0.35">
      <c r="A139" s="27"/>
      <c r="B139" s="89"/>
      <c r="C139" s="100"/>
    </row>
    <row r="140" spans="1:3" ht="15.75" customHeight="1" x14ac:dyDescent="0.35">
      <c r="A140" s="27"/>
      <c r="B140" s="89"/>
      <c r="C140" s="100"/>
    </row>
    <row r="141" spans="1:3" ht="15.75" customHeight="1" x14ac:dyDescent="0.35">
      <c r="A141" s="27"/>
      <c r="B141" s="89"/>
      <c r="C141" s="100"/>
    </row>
    <row r="142" spans="1:3" ht="15.75" customHeight="1" x14ac:dyDescent="0.35">
      <c r="A142" s="27"/>
      <c r="B142" s="89"/>
      <c r="C142" s="100"/>
    </row>
    <row r="143" spans="1:3" ht="15.75" customHeight="1" x14ac:dyDescent="0.35">
      <c r="A143" s="27"/>
      <c r="B143" s="89"/>
      <c r="C143" s="100"/>
    </row>
    <row r="144" spans="1:3" ht="15.75" customHeight="1" x14ac:dyDescent="0.35">
      <c r="A144" s="27"/>
      <c r="B144" s="89"/>
      <c r="C144" s="100"/>
    </row>
    <row r="145" spans="1:3" ht="15.75" customHeight="1" x14ac:dyDescent="0.35">
      <c r="A145" s="27"/>
      <c r="B145" s="89"/>
      <c r="C145" s="100"/>
    </row>
    <row r="146" spans="1:3" ht="15.75" customHeight="1" x14ac:dyDescent="0.35">
      <c r="A146" s="27"/>
      <c r="B146" s="89"/>
      <c r="C146" s="100"/>
    </row>
    <row r="147" spans="1:3" ht="15.75" customHeight="1" x14ac:dyDescent="0.35">
      <c r="A147" s="27"/>
      <c r="B147" s="89"/>
      <c r="C147" s="100"/>
    </row>
    <row r="148" spans="1:3" ht="15.75" customHeight="1" x14ac:dyDescent="0.35">
      <c r="A148" s="27"/>
      <c r="B148" s="89"/>
      <c r="C148" s="100"/>
    </row>
    <row r="149" spans="1:3" ht="15.75" customHeight="1" x14ac:dyDescent="0.35">
      <c r="A149" s="27"/>
      <c r="B149" s="89"/>
      <c r="C149" s="100"/>
    </row>
    <row r="150" spans="1:3" ht="15.75" customHeight="1" x14ac:dyDescent="0.35">
      <c r="A150" s="27"/>
      <c r="B150" s="89"/>
      <c r="C150" s="100"/>
    </row>
    <row r="151" spans="1:3" ht="15.75" customHeight="1" x14ac:dyDescent="0.35">
      <c r="A151" s="27"/>
      <c r="B151" s="89"/>
      <c r="C151" s="100"/>
    </row>
    <row r="152" spans="1:3" ht="15.75" customHeight="1" x14ac:dyDescent="0.35">
      <c r="A152" s="27"/>
      <c r="B152" s="89"/>
      <c r="C152" s="100"/>
    </row>
    <row r="153" spans="1:3" ht="15.75" customHeight="1" x14ac:dyDescent="0.35">
      <c r="A153" s="27"/>
      <c r="B153" s="89"/>
      <c r="C153" s="100"/>
    </row>
    <row r="154" spans="1:3" ht="15.75" customHeight="1" x14ac:dyDescent="0.35">
      <c r="A154" s="27"/>
      <c r="B154" s="89"/>
      <c r="C154" s="100"/>
    </row>
    <row r="155" spans="1:3" ht="15.75" customHeight="1" x14ac:dyDescent="0.35">
      <c r="A155" s="27"/>
      <c r="B155" s="89"/>
      <c r="C155" s="100"/>
    </row>
    <row r="156" spans="1:3" ht="15.75" customHeight="1" x14ac:dyDescent="0.35">
      <c r="A156" s="27"/>
      <c r="B156" s="89"/>
      <c r="C156" s="100"/>
    </row>
    <row r="157" spans="1:3" ht="15.75" customHeight="1" x14ac:dyDescent="0.35">
      <c r="A157" s="27"/>
      <c r="B157" s="89"/>
      <c r="C157" s="100"/>
    </row>
    <row r="158" spans="1:3" ht="15.75" customHeight="1" x14ac:dyDescent="0.35">
      <c r="A158" s="27"/>
      <c r="B158" s="89"/>
      <c r="C158" s="100"/>
    </row>
    <row r="159" spans="1:3" ht="15.75" customHeight="1" x14ac:dyDescent="0.35">
      <c r="A159" s="27"/>
      <c r="B159" s="89"/>
      <c r="C159" s="100"/>
    </row>
    <row r="160" spans="1:3" ht="15.75" customHeight="1" x14ac:dyDescent="0.35">
      <c r="A160" s="27"/>
      <c r="B160" s="89"/>
      <c r="C160" s="100"/>
    </row>
    <row r="161" spans="1:3" ht="15.75" customHeight="1" x14ac:dyDescent="0.35">
      <c r="A161" s="27"/>
      <c r="B161" s="89"/>
      <c r="C161" s="100"/>
    </row>
    <row r="162" spans="1:3" ht="15.75" customHeight="1" x14ac:dyDescent="0.35">
      <c r="A162" s="27"/>
      <c r="B162" s="89"/>
      <c r="C162" s="100"/>
    </row>
    <row r="163" spans="1:3" ht="15.75" customHeight="1" x14ac:dyDescent="0.35">
      <c r="A163" s="27"/>
      <c r="B163" s="89"/>
      <c r="C163" s="100"/>
    </row>
    <row r="164" spans="1:3" ht="15.75" customHeight="1" x14ac:dyDescent="0.35">
      <c r="A164" s="27"/>
      <c r="B164" s="89"/>
      <c r="C164" s="100"/>
    </row>
    <row r="165" spans="1:3" ht="15.75" customHeight="1" x14ac:dyDescent="0.35">
      <c r="A165" s="27"/>
      <c r="B165" s="89"/>
      <c r="C165" s="100"/>
    </row>
    <row r="166" spans="1:3" ht="15.75" customHeight="1" x14ac:dyDescent="0.35">
      <c r="A166" s="27"/>
      <c r="B166" s="89"/>
      <c r="C166" s="100"/>
    </row>
    <row r="167" spans="1:3" ht="15.75" customHeight="1" x14ac:dyDescent="0.35">
      <c r="A167" s="27"/>
      <c r="B167" s="89"/>
      <c r="C167" s="100"/>
    </row>
    <row r="168" spans="1:3" ht="15.75" customHeight="1" x14ac:dyDescent="0.35">
      <c r="A168" s="27"/>
      <c r="B168" s="89"/>
      <c r="C168" s="100"/>
    </row>
    <row r="169" spans="1:3" ht="15.75" customHeight="1" x14ac:dyDescent="0.35">
      <c r="A169" s="27"/>
      <c r="B169" s="89"/>
      <c r="C169" s="100"/>
    </row>
    <row r="170" spans="1:3" ht="15.75" customHeight="1" x14ac:dyDescent="0.35">
      <c r="A170" s="27"/>
      <c r="B170" s="89"/>
      <c r="C170" s="100"/>
    </row>
    <row r="171" spans="1:3" ht="15.75" customHeight="1" x14ac:dyDescent="0.35">
      <c r="A171" s="27"/>
      <c r="B171" s="89"/>
      <c r="C171" s="100"/>
    </row>
    <row r="172" spans="1:3" ht="15.75" customHeight="1" x14ac:dyDescent="0.35">
      <c r="A172" s="27"/>
      <c r="B172" s="89"/>
      <c r="C172" s="100"/>
    </row>
    <row r="173" spans="1:3" ht="15.75" customHeight="1" x14ac:dyDescent="0.35">
      <c r="A173" s="27"/>
      <c r="B173" s="89"/>
      <c r="C173" s="100"/>
    </row>
    <row r="174" spans="1:3" ht="15.75" customHeight="1" x14ac:dyDescent="0.35">
      <c r="A174" s="27"/>
      <c r="B174" s="89"/>
      <c r="C174" s="100"/>
    </row>
    <row r="175" spans="1:3" ht="15.75" customHeight="1" x14ac:dyDescent="0.35">
      <c r="A175" s="27"/>
      <c r="B175" s="89"/>
      <c r="C175" s="100"/>
    </row>
    <row r="176" spans="1:3" ht="15.75" customHeight="1" x14ac:dyDescent="0.35">
      <c r="A176" s="27"/>
      <c r="B176" s="89"/>
      <c r="C176" s="100"/>
    </row>
    <row r="177" spans="1:3" ht="15.75" customHeight="1" x14ac:dyDescent="0.35">
      <c r="A177" s="27"/>
      <c r="B177" s="89"/>
      <c r="C177" s="100"/>
    </row>
    <row r="178" spans="1:3" ht="15.75" customHeight="1" x14ac:dyDescent="0.35">
      <c r="A178" s="27"/>
      <c r="B178" s="89"/>
      <c r="C178" s="100"/>
    </row>
    <row r="179" spans="1:3" ht="15.75" customHeight="1" x14ac:dyDescent="0.35">
      <c r="A179" s="27"/>
      <c r="B179" s="89"/>
      <c r="C179" s="100"/>
    </row>
    <row r="180" spans="1:3" ht="15.75" customHeight="1" x14ac:dyDescent="0.35">
      <c r="A180" s="27"/>
      <c r="B180" s="89"/>
      <c r="C180" s="100"/>
    </row>
    <row r="181" spans="1:3" ht="15.75" customHeight="1" x14ac:dyDescent="0.35">
      <c r="A181" s="27"/>
      <c r="B181" s="89"/>
      <c r="C181" s="100"/>
    </row>
    <row r="182" spans="1:3" ht="15.75" customHeight="1" x14ac:dyDescent="0.35">
      <c r="A182" s="27"/>
      <c r="B182" s="89"/>
      <c r="C182" s="100"/>
    </row>
    <row r="183" spans="1:3" ht="15.75" customHeight="1" x14ac:dyDescent="0.35">
      <c r="A183" s="27"/>
      <c r="B183" s="89"/>
      <c r="C183" s="100"/>
    </row>
    <row r="184" spans="1:3" ht="15.75" customHeight="1" x14ac:dyDescent="0.35">
      <c r="A184" s="27"/>
      <c r="B184" s="89"/>
      <c r="C184" s="100"/>
    </row>
    <row r="185" spans="1:3" ht="15.75" customHeight="1" x14ac:dyDescent="0.35">
      <c r="A185" s="27"/>
      <c r="B185" s="89"/>
      <c r="C185" s="100"/>
    </row>
    <row r="186" spans="1:3" ht="15.75" customHeight="1" x14ac:dyDescent="0.35">
      <c r="A186" s="27"/>
      <c r="B186" s="89"/>
      <c r="C186" s="100"/>
    </row>
    <row r="187" spans="1:3" ht="15.75" customHeight="1" x14ac:dyDescent="0.35">
      <c r="A187" s="27"/>
      <c r="B187" s="89"/>
      <c r="C187" s="100"/>
    </row>
    <row r="188" spans="1:3" ht="15.75" customHeight="1" x14ac:dyDescent="0.35">
      <c r="A188" s="27"/>
      <c r="B188" s="89"/>
      <c r="C188" s="100"/>
    </row>
    <row r="189" spans="1:3" ht="15.75" customHeight="1" x14ac:dyDescent="0.35">
      <c r="A189" s="27"/>
      <c r="B189" s="89"/>
      <c r="C189" s="100"/>
    </row>
    <row r="190" spans="1:3" ht="15.75" customHeight="1" x14ac:dyDescent="0.35">
      <c r="A190" s="27"/>
      <c r="B190" s="89"/>
      <c r="C190" s="100"/>
    </row>
    <row r="191" spans="1:3" ht="15.75" customHeight="1" x14ac:dyDescent="0.35">
      <c r="A191" s="27"/>
      <c r="B191" s="89"/>
      <c r="C191" s="100"/>
    </row>
    <row r="192" spans="1:3" ht="15.75" customHeight="1" x14ac:dyDescent="0.35">
      <c r="A192" s="27"/>
      <c r="B192" s="89"/>
      <c r="C192" s="100"/>
    </row>
    <row r="193" spans="1:3" ht="15.75" customHeight="1" x14ac:dyDescent="0.35">
      <c r="A193" s="27"/>
      <c r="B193" s="89"/>
      <c r="C193" s="100"/>
    </row>
    <row r="194" spans="1:3" ht="15.75" customHeight="1" x14ac:dyDescent="0.35">
      <c r="A194" s="27"/>
      <c r="B194" s="89"/>
      <c r="C194" s="100"/>
    </row>
    <row r="195" spans="1:3" ht="15.75" customHeight="1" x14ac:dyDescent="0.35">
      <c r="A195" s="27"/>
      <c r="B195" s="89"/>
      <c r="C195" s="100"/>
    </row>
    <row r="196" spans="1:3" ht="15.75" customHeight="1" x14ac:dyDescent="0.35">
      <c r="A196" s="27"/>
      <c r="B196" s="89"/>
      <c r="C196" s="100"/>
    </row>
    <row r="197" spans="1:3" ht="15.75" customHeight="1" x14ac:dyDescent="0.35">
      <c r="A197" s="27"/>
      <c r="B197" s="89"/>
      <c r="C197" s="100"/>
    </row>
    <row r="198" spans="1:3" ht="15.75" customHeight="1" x14ac:dyDescent="0.35">
      <c r="A198" s="27"/>
      <c r="B198" s="89"/>
      <c r="C198" s="100"/>
    </row>
    <row r="199" spans="1:3" ht="15.75" customHeight="1" x14ac:dyDescent="0.35">
      <c r="A199" s="27"/>
      <c r="B199" s="89"/>
      <c r="C199" s="100"/>
    </row>
    <row r="200" spans="1:3" ht="15.75" customHeight="1" x14ac:dyDescent="0.35">
      <c r="A200" s="27"/>
      <c r="B200" s="89"/>
      <c r="C200" s="100"/>
    </row>
    <row r="201" spans="1:3" ht="15.75" customHeight="1" x14ac:dyDescent="0.35">
      <c r="A201" s="27"/>
      <c r="B201" s="89"/>
      <c r="C201" s="100"/>
    </row>
    <row r="202" spans="1:3" ht="15.75" customHeight="1" x14ac:dyDescent="0.35">
      <c r="A202" s="27"/>
      <c r="B202" s="89"/>
      <c r="C202" s="100"/>
    </row>
    <row r="203" spans="1:3" ht="15.75" customHeight="1" x14ac:dyDescent="0.35">
      <c r="A203" s="27"/>
      <c r="B203" s="89"/>
      <c r="C203" s="100"/>
    </row>
    <row r="204" spans="1:3" ht="15.75" customHeight="1" x14ac:dyDescent="0.35">
      <c r="A204" s="27"/>
      <c r="B204" s="89"/>
      <c r="C204" s="100"/>
    </row>
    <row r="205" spans="1:3" ht="15.75" customHeight="1" x14ac:dyDescent="0.35">
      <c r="A205" s="27"/>
      <c r="B205" s="89"/>
      <c r="C205" s="100"/>
    </row>
    <row r="206" spans="1:3" ht="15.75" customHeight="1" x14ac:dyDescent="0.35">
      <c r="A206" s="27"/>
      <c r="B206" s="89"/>
      <c r="C206" s="100"/>
    </row>
    <row r="207" spans="1:3" ht="15.75" customHeight="1" x14ac:dyDescent="0.35">
      <c r="A207" s="27"/>
      <c r="B207" s="89"/>
      <c r="C207" s="100"/>
    </row>
    <row r="208" spans="1:3" ht="15.75" customHeight="1" x14ac:dyDescent="0.35">
      <c r="A208" s="27"/>
      <c r="B208" s="89"/>
      <c r="C208" s="100"/>
    </row>
    <row r="209" spans="1:3" ht="15.75" customHeight="1" x14ac:dyDescent="0.35">
      <c r="A209" s="27"/>
      <c r="B209" s="89"/>
      <c r="C209" s="100"/>
    </row>
    <row r="210" spans="1:3" ht="15.75" customHeight="1" x14ac:dyDescent="0.35">
      <c r="A210" s="27"/>
      <c r="B210" s="89"/>
      <c r="C210" s="100"/>
    </row>
    <row r="211" spans="1:3" ht="15.75" customHeight="1" x14ac:dyDescent="0.35">
      <c r="A211" s="27"/>
      <c r="B211" s="89"/>
      <c r="C211" s="100"/>
    </row>
    <row r="212" spans="1:3" ht="15.75" customHeight="1" x14ac:dyDescent="0.35">
      <c r="A212" s="27"/>
      <c r="B212" s="89"/>
      <c r="C212" s="100"/>
    </row>
    <row r="213" spans="1:3" ht="15.75" customHeight="1" x14ac:dyDescent="0.35">
      <c r="A213" s="27"/>
      <c r="B213" s="89"/>
      <c r="C213" s="100"/>
    </row>
    <row r="214" spans="1:3" ht="15.75" customHeight="1" x14ac:dyDescent="0.35">
      <c r="A214" s="27"/>
      <c r="B214" s="89"/>
      <c r="C214" s="100"/>
    </row>
    <row r="215" spans="1:3" ht="15.75" customHeight="1" x14ac:dyDescent="0.35">
      <c r="A215" s="27"/>
      <c r="B215" s="89"/>
      <c r="C215" s="100"/>
    </row>
    <row r="216" spans="1:3" ht="15.75" customHeight="1" x14ac:dyDescent="0.35">
      <c r="A216" s="27"/>
      <c r="B216" s="89"/>
      <c r="C216" s="100"/>
    </row>
    <row r="217" spans="1:3" ht="15.75" customHeight="1" x14ac:dyDescent="0.35">
      <c r="A217" s="27"/>
      <c r="B217" s="89"/>
      <c r="C217" s="100"/>
    </row>
    <row r="218" spans="1:3" ht="15.75" customHeight="1" x14ac:dyDescent="0.35">
      <c r="A218" s="27"/>
      <c r="B218" s="89"/>
      <c r="C218" s="100"/>
    </row>
    <row r="219" spans="1:3" ht="15.75" customHeight="1" x14ac:dyDescent="0.35">
      <c r="A219" s="27"/>
      <c r="B219" s="89"/>
      <c r="C219" s="100"/>
    </row>
    <row r="220" spans="1:3" ht="15.75" customHeight="1" x14ac:dyDescent="0.35">
      <c r="A220" s="27"/>
      <c r="B220" s="89"/>
      <c r="C220" s="100"/>
    </row>
    <row r="221" spans="1:3" ht="15.75" customHeight="1" x14ac:dyDescent="0.35">
      <c r="A221" s="27"/>
      <c r="B221" s="89"/>
      <c r="C221" s="100"/>
    </row>
    <row r="222" spans="1:3" ht="15.75" customHeight="1" x14ac:dyDescent="0.35">
      <c r="A222" s="27"/>
      <c r="B222" s="89"/>
      <c r="C222" s="100"/>
    </row>
    <row r="223" spans="1:3" ht="15.75" customHeight="1" x14ac:dyDescent="0.35">
      <c r="A223" s="27"/>
      <c r="B223" s="89"/>
      <c r="C223" s="100"/>
    </row>
    <row r="224" spans="1:3" ht="15.75" customHeight="1" x14ac:dyDescent="0.35">
      <c r="A224" s="27"/>
      <c r="B224" s="89"/>
      <c r="C224" s="100"/>
    </row>
    <row r="225" spans="1:3" ht="15.75" customHeight="1" x14ac:dyDescent="0.35">
      <c r="A225" s="27"/>
      <c r="B225" s="89"/>
      <c r="C225" s="100"/>
    </row>
    <row r="226" spans="1:3" ht="15.75" customHeight="1" x14ac:dyDescent="0.35">
      <c r="A226" s="27"/>
      <c r="B226" s="89"/>
      <c r="C226" s="100"/>
    </row>
    <row r="227" spans="1:3" ht="15.75" customHeight="1" x14ac:dyDescent="0.35">
      <c r="A227" s="27"/>
      <c r="B227" s="89"/>
      <c r="C227" s="100"/>
    </row>
    <row r="228" spans="1:3" ht="15.75" customHeight="1" x14ac:dyDescent="0.35">
      <c r="A228" s="27"/>
      <c r="B228" s="89"/>
      <c r="C228" s="100"/>
    </row>
    <row r="229" spans="1:3" ht="15.75" customHeight="1" x14ac:dyDescent="0.35">
      <c r="A229" s="27"/>
      <c r="B229" s="89"/>
      <c r="C229" s="100"/>
    </row>
    <row r="230" spans="1:3" ht="15.75" customHeight="1" x14ac:dyDescent="0.35">
      <c r="A230" s="27"/>
      <c r="B230" s="89"/>
      <c r="C230" s="100"/>
    </row>
    <row r="231" spans="1:3" ht="15.75" customHeight="1" x14ac:dyDescent="0.35">
      <c r="A231" s="27"/>
      <c r="B231" s="89"/>
      <c r="C231" s="100"/>
    </row>
    <row r="232" spans="1:3" ht="15.75" customHeight="1" x14ac:dyDescent="0.35">
      <c r="A232" s="27"/>
      <c r="B232" s="89"/>
      <c r="C232" s="100"/>
    </row>
    <row r="233" spans="1:3" ht="15.75" customHeight="1" x14ac:dyDescent="0.35">
      <c r="A233" s="27"/>
      <c r="B233" s="89"/>
      <c r="C233" s="100"/>
    </row>
    <row r="234" spans="1:3" ht="15.75" customHeight="1" x14ac:dyDescent="0.35">
      <c r="A234" s="27"/>
      <c r="B234" s="89"/>
      <c r="C234" s="100"/>
    </row>
    <row r="235" spans="1:3" ht="15.75" customHeight="1" x14ac:dyDescent="0.35">
      <c r="A235" s="27"/>
      <c r="B235" s="89"/>
      <c r="C235" s="100"/>
    </row>
    <row r="236" spans="1:3" ht="15.75" customHeight="1" x14ac:dyDescent="0.35">
      <c r="A236" s="27"/>
      <c r="B236" s="89"/>
      <c r="C236" s="100"/>
    </row>
    <row r="237" spans="1:3" ht="15.75" customHeight="1" x14ac:dyDescent="0.35">
      <c r="A237" s="27"/>
      <c r="B237" s="89"/>
      <c r="C237" s="100"/>
    </row>
    <row r="238" spans="1:3" ht="15.75" customHeight="1" x14ac:dyDescent="0.35">
      <c r="A238" s="27"/>
      <c r="B238" s="89"/>
      <c r="C238" s="100"/>
    </row>
    <row r="239" spans="1:3" ht="15.75" customHeight="1" x14ac:dyDescent="0.35">
      <c r="A239" s="27"/>
      <c r="B239" s="89"/>
      <c r="C239" s="100"/>
    </row>
    <row r="240" spans="1:3" ht="15.75" customHeight="1" x14ac:dyDescent="0.35">
      <c r="A240" s="27"/>
      <c r="B240" s="89"/>
      <c r="C240" s="100"/>
    </row>
    <row r="241" spans="1:3" ht="15.75" customHeight="1" x14ac:dyDescent="0.35">
      <c r="A241" s="27"/>
      <c r="B241" s="89"/>
      <c r="C241" s="100"/>
    </row>
    <row r="242" spans="1:3" ht="15.75" customHeight="1" x14ac:dyDescent="0.35">
      <c r="A242" s="27"/>
      <c r="B242" s="89"/>
      <c r="C242" s="100"/>
    </row>
    <row r="243" spans="1:3" ht="15.75" customHeight="1" x14ac:dyDescent="0.35">
      <c r="A243" s="27"/>
      <c r="B243" s="89"/>
      <c r="C243" s="100"/>
    </row>
    <row r="244" spans="1:3" ht="15.75" customHeight="1" x14ac:dyDescent="0.35">
      <c r="A244" s="27"/>
      <c r="B244" s="89"/>
      <c r="C244" s="100"/>
    </row>
    <row r="245" spans="1:3" ht="15.75" customHeight="1" x14ac:dyDescent="0.35">
      <c r="A245" s="27"/>
      <c r="B245" s="89"/>
      <c r="C245" s="100"/>
    </row>
    <row r="246" spans="1:3" ht="15.75" customHeight="1" x14ac:dyDescent="0.35">
      <c r="A246" s="27"/>
      <c r="B246" s="89"/>
      <c r="C246" s="100"/>
    </row>
    <row r="247" spans="1:3" ht="15.75" customHeight="1" x14ac:dyDescent="0.35">
      <c r="A247" s="27"/>
      <c r="B247" s="89"/>
      <c r="C247" s="100"/>
    </row>
    <row r="248" spans="1:3" ht="15.75" customHeight="1" x14ac:dyDescent="0.35">
      <c r="A248" s="27"/>
      <c r="B248" s="89"/>
      <c r="C248" s="100"/>
    </row>
    <row r="249" spans="1:3" ht="15.75" customHeight="1" x14ac:dyDescent="0.35">
      <c r="A249" s="27"/>
      <c r="B249" s="89"/>
      <c r="C249" s="100"/>
    </row>
    <row r="250" spans="1:3" ht="15.75" customHeight="1" x14ac:dyDescent="0.35">
      <c r="A250" s="27"/>
      <c r="B250" s="89"/>
      <c r="C250" s="100"/>
    </row>
    <row r="251" spans="1:3" ht="15.75" customHeight="1" x14ac:dyDescent="0.35">
      <c r="A251" s="27"/>
      <c r="B251" s="89"/>
      <c r="C251" s="100"/>
    </row>
    <row r="252" spans="1:3" ht="15.75" customHeight="1" x14ac:dyDescent="0.35">
      <c r="A252" s="27"/>
      <c r="B252" s="89"/>
      <c r="C252" s="100"/>
    </row>
    <row r="253" spans="1:3" ht="15.75" customHeight="1" x14ac:dyDescent="0.35">
      <c r="A253" s="27"/>
      <c r="B253" s="89"/>
      <c r="C253" s="100"/>
    </row>
    <row r="254" spans="1:3" ht="15.75" customHeight="1" x14ac:dyDescent="0.35">
      <c r="A254" s="27"/>
      <c r="B254" s="89"/>
      <c r="C254" s="100"/>
    </row>
    <row r="255" spans="1:3" ht="15.75" customHeight="1" x14ac:dyDescent="0.35">
      <c r="A255" s="27"/>
      <c r="B255" s="89"/>
      <c r="C255" s="100"/>
    </row>
    <row r="256" spans="1:3" ht="15.75" customHeight="1" x14ac:dyDescent="0.35">
      <c r="A256" s="27"/>
      <c r="B256" s="89"/>
      <c r="C256" s="100"/>
    </row>
    <row r="257" spans="1:3" ht="15.75" customHeight="1" x14ac:dyDescent="0.35">
      <c r="A257" s="27"/>
      <c r="B257" s="89"/>
      <c r="C257" s="100"/>
    </row>
    <row r="258" spans="1:3" ht="15.75" customHeight="1" x14ac:dyDescent="0.35">
      <c r="A258" s="27"/>
      <c r="B258" s="89"/>
      <c r="C258" s="100"/>
    </row>
    <row r="259" spans="1:3" ht="15.75" customHeight="1" x14ac:dyDescent="0.35">
      <c r="A259" s="27"/>
      <c r="B259" s="89"/>
      <c r="C259" s="100"/>
    </row>
    <row r="260" spans="1:3" ht="15.75" customHeight="1" x14ac:dyDescent="0.35">
      <c r="A260" s="27"/>
      <c r="B260" s="89"/>
      <c r="C260" s="100"/>
    </row>
    <row r="261" spans="1:3" ht="15.75" customHeight="1" x14ac:dyDescent="0.35">
      <c r="A261" s="27"/>
      <c r="B261" s="89"/>
      <c r="C261" s="100"/>
    </row>
    <row r="262" spans="1:3" ht="15.75" customHeight="1" x14ac:dyDescent="0.35">
      <c r="A262" s="27"/>
      <c r="B262" s="89"/>
      <c r="C262" s="100"/>
    </row>
    <row r="263" spans="1:3" ht="15.75" customHeight="1" x14ac:dyDescent="0.35">
      <c r="A263" s="27"/>
      <c r="B263" s="89"/>
      <c r="C263" s="100"/>
    </row>
    <row r="264" spans="1:3" ht="15.75" customHeight="1" x14ac:dyDescent="0.35">
      <c r="A264" s="27"/>
      <c r="B264" s="89"/>
      <c r="C264" s="100"/>
    </row>
    <row r="265" spans="1:3" ht="15.75" customHeight="1" x14ac:dyDescent="0.35">
      <c r="A265" s="27"/>
      <c r="B265" s="89"/>
      <c r="C265" s="100"/>
    </row>
    <row r="266" spans="1:3" ht="15.75" customHeight="1" x14ac:dyDescent="0.35">
      <c r="A266" s="27"/>
      <c r="B266" s="89"/>
      <c r="C266" s="100"/>
    </row>
    <row r="267" spans="1:3" ht="15.75" customHeight="1" x14ac:dyDescent="0.35">
      <c r="A267" s="27"/>
      <c r="B267" s="89"/>
      <c r="C267" s="100"/>
    </row>
    <row r="268" spans="1:3" ht="15.75" customHeight="1" x14ac:dyDescent="0.35">
      <c r="A268" s="27"/>
      <c r="B268" s="89"/>
      <c r="C268" s="100"/>
    </row>
    <row r="269" spans="1:3" ht="15.75" customHeight="1" x14ac:dyDescent="0.35">
      <c r="A269" s="27"/>
      <c r="B269" s="89"/>
      <c r="C269" s="100"/>
    </row>
    <row r="270" spans="1:3" ht="15.75" customHeight="1" x14ac:dyDescent="0.35">
      <c r="A270" s="27"/>
      <c r="B270" s="89"/>
      <c r="C270" s="100"/>
    </row>
    <row r="271" spans="1:3" ht="15.75" customHeight="1" x14ac:dyDescent="0.35">
      <c r="A271" s="27"/>
      <c r="B271" s="89"/>
      <c r="C271" s="100"/>
    </row>
    <row r="272" spans="1:3" ht="15.75" customHeight="1" x14ac:dyDescent="0.35">
      <c r="A272" s="27"/>
      <c r="B272" s="89"/>
      <c r="C272" s="100"/>
    </row>
    <row r="273" spans="1:3" ht="15.75" customHeight="1" x14ac:dyDescent="0.35">
      <c r="A273" s="27"/>
      <c r="B273" s="89"/>
      <c r="C273" s="100"/>
    </row>
    <row r="274" spans="1:3" ht="15.75" customHeight="1" x14ac:dyDescent="0.35">
      <c r="A274" s="27"/>
      <c r="B274" s="89"/>
      <c r="C274" s="100"/>
    </row>
    <row r="275" spans="1:3" ht="15.75" customHeight="1" x14ac:dyDescent="0.35">
      <c r="A275" s="27"/>
      <c r="B275" s="89"/>
      <c r="C275" s="100"/>
    </row>
    <row r="276" spans="1:3" ht="15.75" customHeight="1" x14ac:dyDescent="0.35">
      <c r="A276" s="27"/>
      <c r="B276" s="89"/>
      <c r="C276" s="100"/>
    </row>
    <row r="277" spans="1:3" ht="15.75" customHeight="1" x14ac:dyDescent="0.35">
      <c r="A277" s="27"/>
      <c r="B277" s="89"/>
      <c r="C277" s="100"/>
    </row>
    <row r="278" spans="1:3" ht="15.75" customHeight="1" x14ac:dyDescent="0.35">
      <c r="A278" s="27"/>
      <c r="B278" s="89"/>
      <c r="C278" s="100"/>
    </row>
    <row r="279" spans="1:3" ht="15.75" customHeight="1" x14ac:dyDescent="0.35">
      <c r="A279" s="27"/>
      <c r="B279" s="89"/>
      <c r="C279" s="100"/>
    </row>
    <row r="280" spans="1:3" ht="15.75" customHeight="1" x14ac:dyDescent="0.35">
      <c r="A280" s="27"/>
      <c r="B280" s="89"/>
      <c r="C280" s="100"/>
    </row>
    <row r="281" spans="1:3" ht="15.75" customHeight="1" x14ac:dyDescent="0.35">
      <c r="A281" s="27"/>
      <c r="B281" s="89"/>
      <c r="C281" s="100"/>
    </row>
    <row r="282" spans="1:3" ht="15.75" customHeight="1" x14ac:dyDescent="0.35">
      <c r="A282" s="27"/>
      <c r="B282" s="89"/>
      <c r="C282" s="100"/>
    </row>
    <row r="283" spans="1:3" ht="15.75" customHeight="1" x14ac:dyDescent="0.35">
      <c r="A283" s="27"/>
      <c r="B283" s="89"/>
      <c r="C283" s="100"/>
    </row>
    <row r="284" spans="1:3" ht="15.75" customHeight="1" x14ac:dyDescent="0.35">
      <c r="A284" s="27"/>
      <c r="B284" s="89"/>
      <c r="C284" s="100"/>
    </row>
    <row r="285" spans="1:3" ht="15.75" customHeight="1" x14ac:dyDescent="0.35">
      <c r="A285" s="27"/>
      <c r="B285" s="89"/>
      <c r="C285" s="100"/>
    </row>
    <row r="286" spans="1:3" ht="15.75" customHeight="1" x14ac:dyDescent="0.35">
      <c r="A286" s="27"/>
      <c r="B286" s="89"/>
      <c r="C286" s="100"/>
    </row>
    <row r="287" spans="1:3" ht="15.75" customHeight="1" x14ac:dyDescent="0.35">
      <c r="A287" s="27"/>
      <c r="B287" s="89"/>
      <c r="C287" s="100"/>
    </row>
    <row r="288" spans="1:3" ht="15.75" customHeight="1" x14ac:dyDescent="0.35">
      <c r="A288" s="27"/>
      <c r="B288" s="89"/>
      <c r="C288" s="100"/>
    </row>
    <row r="289" spans="1:3" ht="15.75" customHeight="1" x14ac:dyDescent="0.35">
      <c r="A289" s="27"/>
      <c r="B289" s="89"/>
      <c r="C289" s="100"/>
    </row>
    <row r="290" spans="1:3" ht="15.75" customHeight="1" x14ac:dyDescent="0.35">
      <c r="A290" s="27"/>
      <c r="B290" s="89"/>
      <c r="C290" s="100"/>
    </row>
    <row r="291" spans="1:3" ht="15.75" customHeight="1" x14ac:dyDescent="0.35">
      <c r="A291" s="27"/>
      <c r="B291" s="89"/>
      <c r="C291" s="100"/>
    </row>
    <row r="292" spans="1:3" ht="15.75" customHeight="1" x14ac:dyDescent="0.35">
      <c r="A292" s="27"/>
      <c r="B292" s="89"/>
      <c r="C292" s="100"/>
    </row>
    <row r="293" spans="1:3" ht="15.75" customHeight="1" x14ac:dyDescent="0.35">
      <c r="A293" s="27"/>
      <c r="B293" s="89"/>
      <c r="C293" s="100"/>
    </row>
    <row r="294" spans="1:3" ht="15.75" customHeight="1" x14ac:dyDescent="0.35">
      <c r="A294" s="27"/>
      <c r="B294" s="89"/>
      <c r="C294" s="100"/>
    </row>
    <row r="295" spans="1:3" ht="15.75" customHeight="1" x14ac:dyDescent="0.35">
      <c r="A295" s="27"/>
      <c r="B295" s="89"/>
      <c r="C295" s="100"/>
    </row>
    <row r="296" spans="1:3" ht="15.75" customHeight="1" x14ac:dyDescent="0.35">
      <c r="A296" s="27"/>
      <c r="B296" s="89"/>
      <c r="C296" s="100"/>
    </row>
    <row r="297" spans="1:3" ht="15.75" customHeight="1" x14ac:dyDescent="0.35">
      <c r="A297" s="27"/>
      <c r="B297" s="89"/>
      <c r="C297" s="100"/>
    </row>
    <row r="298" spans="1:3" ht="15.75" customHeight="1" x14ac:dyDescent="0.35">
      <c r="A298" s="27"/>
      <c r="B298" s="89"/>
      <c r="C298" s="100"/>
    </row>
    <row r="299" spans="1:3" ht="15.75" customHeight="1" x14ac:dyDescent="0.35">
      <c r="A299" s="27"/>
      <c r="B299" s="89"/>
      <c r="C299" s="100"/>
    </row>
    <row r="300" spans="1:3" ht="15.75" customHeight="1" x14ac:dyDescent="0.35">
      <c r="A300" s="27"/>
      <c r="B300" s="89"/>
      <c r="C300" s="100"/>
    </row>
    <row r="301" spans="1:3" ht="15.75" customHeight="1" x14ac:dyDescent="0.35">
      <c r="A301" s="27"/>
      <c r="B301" s="89"/>
      <c r="C301" s="100"/>
    </row>
    <row r="302" spans="1:3" ht="15.75" customHeight="1" x14ac:dyDescent="0.35">
      <c r="A302" s="27"/>
      <c r="B302" s="89"/>
      <c r="C302" s="100"/>
    </row>
    <row r="303" spans="1:3" ht="15.75" customHeight="1" x14ac:dyDescent="0.35">
      <c r="A303" s="27"/>
      <c r="B303" s="89"/>
      <c r="C303" s="100"/>
    </row>
    <row r="304" spans="1:3" ht="15.75" customHeight="1" x14ac:dyDescent="0.35">
      <c r="A304" s="27"/>
      <c r="B304" s="89"/>
      <c r="C304" s="100"/>
    </row>
    <row r="305" spans="1:3" ht="15.75" customHeight="1" x14ac:dyDescent="0.35">
      <c r="A305" s="27"/>
      <c r="B305" s="89"/>
      <c r="C305" s="100"/>
    </row>
    <row r="306" spans="1:3" ht="15.75" customHeight="1" x14ac:dyDescent="0.35">
      <c r="A306" s="27"/>
      <c r="B306" s="89"/>
      <c r="C306" s="100"/>
    </row>
    <row r="307" spans="1:3" ht="15.75" customHeight="1" x14ac:dyDescent="0.35">
      <c r="A307" s="27"/>
      <c r="B307" s="89"/>
      <c r="C307" s="100"/>
    </row>
    <row r="308" spans="1:3" ht="15.75" customHeight="1" x14ac:dyDescent="0.35">
      <c r="A308" s="27"/>
      <c r="B308" s="89"/>
      <c r="C308" s="100"/>
    </row>
    <row r="309" spans="1:3" ht="15.75" customHeight="1" x14ac:dyDescent="0.35">
      <c r="A309" s="27"/>
      <c r="B309" s="89"/>
      <c r="C309" s="100"/>
    </row>
    <row r="310" spans="1:3" ht="15.75" customHeight="1" x14ac:dyDescent="0.35">
      <c r="A310" s="27"/>
      <c r="B310" s="89"/>
      <c r="C310" s="100"/>
    </row>
    <row r="311" spans="1:3" ht="15.75" customHeight="1" x14ac:dyDescent="0.35">
      <c r="A311" s="27"/>
      <c r="B311" s="89"/>
      <c r="C311" s="100"/>
    </row>
    <row r="312" spans="1:3" ht="15.75" customHeight="1" x14ac:dyDescent="0.35">
      <c r="A312" s="27"/>
      <c r="B312" s="89"/>
      <c r="C312" s="100"/>
    </row>
    <row r="313" spans="1:3" ht="15.75" customHeight="1" x14ac:dyDescent="0.35">
      <c r="A313" s="27"/>
      <c r="B313" s="89"/>
      <c r="C313" s="100"/>
    </row>
    <row r="314" spans="1:3" ht="15.75" customHeight="1" x14ac:dyDescent="0.35">
      <c r="A314" s="27"/>
      <c r="B314" s="89"/>
      <c r="C314" s="100"/>
    </row>
    <row r="315" spans="1:3" ht="15.75" customHeight="1" x14ac:dyDescent="0.35">
      <c r="A315" s="27"/>
      <c r="B315" s="89"/>
      <c r="C315" s="100"/>
    </row>
    <row r="316" spans="1:3" ht="15.75" customHeight="1" x14ac:dyDescent="0.35">
      <c r="A316" s="27"/>
      <c r="B316" s="89"/>
      <c r="C316" s="100"/>
    </row>
    <row r="317" spans="1:3" ht="15.75" customHeight="1" x14ac:dyDescent="0.35">
      <c r="A317" s="27"/>
      <c r="B317" s="89"/>
      <c r="C317" s="100"/>
    </row>
    <row r="318" spans="1:3" ht="15.75" customHeight="1" x14ac:dyDescent="0.35">
      <c r="A318" s="27"/>
      <c r="B318" s="89"/>
      <c r="C318" s="100"/>
    </row>
    <row r="319" spans="1:3" ht="15.75" customHeight="1" x14ac:dyDescent="0.35">
      <c r="A319" s="27"/>
      <c r="B319" s="89"/>
      <c r="C319" s="100"/>
    </row>
    <row r="320" spans="1:3" ht="15.75" customHeight="1" x14ac:dyDescent="0.35">
      <c r="A320" s="27"/>
      <c r="B320" s="89"/>
      <c r="C320" s="100"/>
    </row>
    <row r="321" spans="1:3" ht="15.75" customHeight="1" x14ac:dyDescent="0.35">
      <c r="A321" s="27"/>
      <c r="B321" s="89"/>
      <c r="C321" s="100"/>
    </row>
    <row r="322" spans="1:3" ht="15.75" customHeight="1" x14ac:dyDescent="0.35">
      <c r="A322" s="27"/>
      <c r="B322" s="89"/>
      <c r="C322" s="100"/>
    </row>
    <row r="323" spans="1:3" ht="15.75" customHeight="1" x14ac:dyDescent="0.35">
      <c r="A323" s="27"/>
      <c r="B323" s="89"/>
      <c r="C323" s="100"/>
    </row>
    <row r="324" spans="1:3" ht="15.75" customHeight="1" x14ac:dyDescent="0.35">
      <c r="A324" s="27"/>
      <c r="B324" s="89"/>
      <c r="C324" s="100"/>
    </row>
    <row r="325" spans="1:3" ht="15.75" customHeight="1" x14ac:dyDescent="0.35">
      <c r="A325" s="27"/>
      <c r="B325" s="89"/>
      <c r="C325" s="100"/>
    </row>
    <row r="326" spans="1:3" ht="15.75" customHeight="1" x14ac:dyDescent="0.35">
      <c r="A326" s="27"/>
      <c r="B326" s="89"/>
      <c r="C326" s="100"/>
    </row>
    <row r="327" spans="1:3" ht="15.75" customHeight="1" x14ac:dyDescent="0.35">
      <c r="A327" s="27"/>
      <c r="B327" s="89"/>
      <c r="C327" s="100"/>
    </row>
    <row r="328" spans="1:3" ht="15.75" customHeight="1" x14ac:dyDescent="0.35">
      <c r="A328" s="27"/>
      <c r="B328" s="89"/>
      <c r="C328" s="100"/>
    </row>
    <row r="329" spans="1:3" ht="15.75" customHeight="1" x14ac:dyDescent="0.35">
      <c r="A329" s="27"/>
      <c r="B329" s="89"/>
      <c r="C329" s="100"/>
    </row>
    <row r="330" spans="1:3" ht="15.75" customHeight="1" x14ac:dyDescent="0.35">
      <c r="A330" s="27"/>
      <c r="B330" s="89"/>
      <c r="C330" s="100"/>
    </row>
    <row r="331" spans="1:3" ht="15.75" customHeight="1" x14ac:dyDescent="0.35">
      <c r="A331" s="27"/>
      <c r="B331" s="89"/>
      <c r="C331" s="100"/>
    </row>
    <row r="332" spans="1:3" ht="15.75" customHeight="1" x14ac:dyDescent="0.35">
      <c r="A332" s="27"/>
      <c r="B332" s="89"/>
      <c r="C332" s="100"/>
    </row>
    <row r="333" spans="1:3" ht="15.75" customHeight="1" x14ac:dyDescent="0.35">
      <c r="A333" s="27"/>
      <c r="B333" s="89"/>
      <c r="C333" s="100"/>
    </row>
    <row r="334" spans="1:3" ht="15.75" customHeight="1" x14ac:dyDescent="0.35">
      <c r="A334" s="27"/>
      <c r="B334" s="89"/>
      <c r="C334" s="100"/>
    </row>
    <row r="335" spans="1:3" ht="15.75" customHeight="1" x14ac:dyDescent="0.35">
      <c r="A335" s="27"/>
      <c r="B335" s="89"/>
      <c r="C335" s="100"/>
    </row>
    <row r="336" spans="1:3" ht="15.75" customHeight="1" x14ac:dyDescent="0.35">
      <c r="A336" s="27"/>
      <c r="B336" s="89"/>
      <c r="C336" s="100"/>
    </row>
    <row r="337" spans="1:3" ht="15.75" customHeight="1" x14ac:dyDescent="0.35">
      <c r="A337" s="27"/>
      <c r="B337" s="89"/>
      <c r="C337" s="100"/>
    </row>
    <row r="338" spans="1:3" ht="15.75" customHeight="1" x14ac:dyDescent="0.35">
      <c r="A338" s="27"/>
      <c r="B338" s="89"/>
      <c r="C338" s="100"/>
    </row>
    <row r="339" spans="1:3" ht="15.75" customHeight="1" x14ac:dyDescent="0.35">
      <c r="A339" s="27"/>
      <c r="B339" s="89"/>
      <c r="C339" s="100"/>
    </row>
    <row r="340" spans="1:3" ht="15.75" customHeight="1" x14ac:dyDescent="0.35">
      <c r="A340" s="27"/>
      <c r="B340" s="89"/>
      <c r="C340" s="100"/>
    </row>
    <row r="341" spans="1:3" ht="15.75" customHeight="1" x14ac:dyDescent="0.35">
      <c r="A341" s="27"/>
      <c r="B341" s="89"/>
      <c r="C341" s="100"/>
    </row>
    <row r="342" spans="1:3" ht="15.75" customHeight="1" x14ac:dyDescent="0.35">
      <c r="A342" s="27"/>
      <c r="B342" s="89"/>
      <c r="C342" s="100"/>
    </row>
    <row r="343" spans="1:3" ht="15.75" customHeight="1" x14ac:dyDescent="0.35">
      <c r="A343" s="27"/>
      <c r="B343" s="89"/>
      <c r="C343" s="100"/>
    </row>
    <row r="344" spans="1:3" ht="15.75" customHeight="1" x14ac:dyDescent="0.35">
      <c r="A344" s="27"/>
      <c r="B344" s="89"/>
      <c r="C344" s="100"/>
    </row>
    <row r="345" spans="1:3" ht="15.75" customHeight="1" x14ac:dyDescent="0.35">
      <c r="A345" s="27"/>
      <c r="B345" s="89"/>
      <c r="C345" s="100"/>
    </row>
    <row r="346" spans="1:3" ht="15.75" customHeight="1" x14ac:dyDescent="0.35">
      <c r="A346" s="27"/>
      <c r="B346" s="89"/>
      <c r="C346" s="100"/>
    </row>
    <row r="347" spans="1:3" ht="15.75" customHeight="1" x14ac:dyDescent="0.35">
      <c r="A347" s="27"/>
      <c r="B347" s="89"/>
      <c r="C347" s="100"/>
    </row>
    <row r="348" spans="1:3" ht="15.75" customHeight="1" x14ac:dyDescent="0.35">
      <c r="A348" s="27"/>
      <c r="B348" s="89"/>
      <c r="C348" s="100"/>
    </row>
    <row r="349" spans="1:3" ht="15.75" customHeight="1" x14ac:dyDescent="0.35">
      <c r="A349" s="27"/>
      <c r="B349" s="89"/>
      <c r="C349" s="100"/>
    </row>
    <row r="350" spans="1:3" ht="15.75" customHeight="1" x14ac:dyDescent="0.35">
      <c r="A350" s="27"/>
      <c r="B350" s="89"/>
      <c r="C350" s="100"/>
    </row>
    <row r="351" spans="1:3" ht="15.75" customHeight="1" x14ac:dyDescent="0.35">
      <c r="A351" s="27"/>
      <c r="B351" s="89"/>
      <c r="C351" s="100"/>
    </row>
    <row r="352" spans="1:3" ht="15.75" customHeight="1" x14ac:dyDescent="0.35">
      <c r="A352" s="27"/>
      <c r="B352" s="89"/>
      <c r="C352" s="100"/>
    </row>
    <row r="353" spans="1:3" ht="15.75" customHeight="1" x14ac:dyDescent="0.35">
      <c r="A353" s="27"/>
      <c r="B353" s="89"/>
      <c r="C353" s="100"/>
    </row>
    <row r="354" spans="1:3" ht="15.75" customHeight="1" x14ac:dyDescent="0.35">
      <c r="A354" s="27"/>
      <c r="B354" s="89"/>
      <c r="C354" s="100"/>
    </row>
    <row r="355" spans="1:3" ht="15.75" customHeight="1" x14ac:dyDescent="0.35">
      <c r="A355" s="27"/>
      <c r="B355" s="89"/>
      <c r="C355" s="100"/>
    </row>
    <row r="356" spans="1:3" ht="15.75" customHeight="1" x14ac:dyDescent="0.35">
      <c r="A356" s="27"/>
      <c r="B356" s="89"/>
      <c r="C356" s="100"/>
    </row>
    <row r="357" spans="1:3" ht="15.75" customHeight="1" x14ac:dyDescent="0.35">
      <c r="A357" s="27"/>
      <c r="B357" s="89"/>
      <c r="C357" s="100"/>
    </row>
    <row r="358" spans="1:3" ht="15.75" customHeight="1" x14ac:dyDescent="0.35">
      <c r="A358" s="27"/>
      <c r="B358" s="89"/>
      <c r="C358" s="100"/>
    </row>
    <row r="359" spans="1:3" ht="15.75" customHeight="1" x14ac:dyDescent="0.35">
      <c r="A359" s="27"/>
      <c r="B359" s="89"/>
      <c r="C359" s="100"/>
    </row>
    <row r="360" spans="1:3" ht="15.75" customHeight="1" x14ac:dyDescent="0.35">
      <c r="A360" s="27"/>
      <c r="B360" s="89"/>
      <c r="C360" s="100"/>
    </row>
    <row r="361" spans="1:3" ht="15.75" customHeight="1" x14ac:dyDescent="0.35">
      <c r="A361" s="27"/>
      <c r="B361" s="89"/>
      <c r="C361" s="100"/>
    </row>
    <row r="362" spans="1:3" ht="15.75" customHeight="1" x14ac:dyDescent="0.35">
      <c r="A362" s="27"/>
      <c r="B362" s="89"/>
      <c r="C362" s="100"/>
    </row>
    <row r="363" spans="1:3" ht="15.75" customHeight="1" x14ac:dyDescent="0.35">
      <c r="A363" s="27"/>
      <c r="B363" s="89"/>
      <c r="C363" s="100"/>
    </row>
    <row r="364" spans="1:3" ht="15.75" customHeight="1" x14ac:dyDescent="0.35">
      <c r="A364" s="27"/>
      <c r="B364" s="89"/>
      <c r="C364" s="100"/>
    </row>
    <row r="365" spans="1:3" ht="15.75" customHeight="1" x14ac:dyDescent="0.35">
      <c r="A365" s="27"/>
      <c r="B365" s="89"/>
      <c r="C365" s="100"/>
    </row>
    <row r="366" spans="1:3" ht="15.75" customHeight="1" x14ac:dyDescent="0.35">
      <c r="A366" s="27"/>
      <c r="B366" s="89"/>
      <c r="C366" s="100"/>
    </row>
    <row r="367" spans="1:3" ht="15.75" customHeight="1" x14ac:dyDescent="0.35">
      <c r="A367" s="27"/>
      <c r="B367" s="89"/>
      <c r="C367" s="100"/>
    </row>
    <row r="368" spans="1:3" ht="15.75" customHeight="1" x14ac:dyDescent="0.35">
      <c r="A368" s="27"/>
      <c r="B368" s="89"/>
      <c r="C368" s="100"/>
    </row>
    <row r="369" spans="1:3" ht="15.75" customHeight="1" x14ac:dyDescent="0.35">
      <c r="A369" s="27"/>
      <c r="B369" s="89"/>
      <c r="C369" s="100"/>
    </row>
    <row r="370" spans="1:3" ht="15.75" customHeight="1" x14ac:dyDescent="0.35">
      <c r="A370" s="27"/>
      <c r="B370" s="89"/>
      <c r="C370" s="100"/>
    </row>
    <row r="371" spans="1:3" ht="15.75" customHeight="1" x14ac:dyDescent="0.35">
      <c r="A371" s="27"/>
      <c r="B371" s="89"/>
      <c r="C371" s="100"/>
    </row>
    <row r="372" spans="1:3" ht="15.75" customHeight="1" x14ac:dyDescent="0.35">
      <c r="A372" s="27"/>
      <c r="B372" s="89"/>
      <c r="C372" s="100"/>
    </row>
    <row r="373" spans="1:3" ht="15.75" customHeight="1" x14ac:dyDescent="0.35">
      <c r="A373" s="27"/>
      <c r="B373" s="89"/>
      <c r="C373" s="100"/>
    </row>
    <row r="374" spans="1:3" ht="15.75" customHeight="1" x14ac:dyDescent="0.35">
      <c r="A374" s="27"/>
      <c r="B374" s="89"/>
      <c r="C374" s="100"/>
    </row>
    <row r="375" spans="1:3" ht="15.75" customHeight="1" x14ac:dyDescent="0.35">
      <c r="A375" s="27"/>
      <c r="B375" s="89"/>
      <c r="C375" s="100"/>
    </row>
    <row r="376" spans="1:3" ht="15.75" customHeight="1" x14ac:dyDescent="0.35">
      <c r="A376" s="27"/>
      <c r="B376" s="89"/>
      <c r="C376" s="100"/>
    </row>
    <row r="377" spans="1:3" ht="15.75" customHeight="1" x14ac:dyDescent="0.35">
      <c r="A377" s="27"/>
      <c r="B377" s="89"/>
      <c r="C377" s="100"/>
    </row>
    <row r="378" spans="1:3" ht="15.75" customHeight="1" x14ac:dyDescent="0.35">
      <c r="A378" s="27"/>
      <c r="B378" s="89"/>
      <c r="C378" s="100"/>
    </row>
    <row r="379" spans="1:3" ht="15.75" customHeight="1" x14ac:dyDescent="0.35">
      <c r="A379" s="27"/>
      <c r="B379" s="89"/>
      <c r="C379" s="100"/>
    </row>
    <row r="380" spans="1:3" ht="15.75" customHeight="1" x14ac:dyDescent="0.35">
      <c r="A380" s="27"/>
      <c r="B380" s="89"/>
      <c r="C380" s="100"/>
    </row>
    <row r="381" spans="1:3" ht="15.75" customHeight="1" x14ac:dyDescent="0.35">
      <c r="A381" s="27"/>
      <c r="B381" s="89"/>
      <c r="C381" s="100"/>
    </row>
    <row r="382" spans="1:3" ht="15.75" customHeight="1" x14ac:dyDescent="0.35">
      <c r="A382" s="27"/>
      <c r="B382" s="89"/>
      <c r="C382" s="100"/>
    </row>
    <row r="383" spans="1:3" ht="15.75" customHeight="1" x14ac:dyDescent="0.35">
      <c r="A383" s="27"/>
      <c r="B383" s="89"/>
      <c r="C383" s="100"/>
    </row>
    <row r="384" spans="1:3" ht="15.75" customHeight="1" x14ac:dyDescent="0.35">
      <c r="A384" s="27"/>
      <c r="B384" s="89"/>
      <c r="C384" s="100"/>
    </row>
    <row r="385" spans="1:3" ht="15.75" customHeight="1" x14ac:dyDescent="0.35">
      <c r="A385" s="27"/>
      <c r="B385" s="89"/>
      <c r="C385" s="100"/>
    </row>
    <row r="386" spans="1:3" ht="15.75" customHeight="1" x14ac:dyDescent="0.35">
      <c r="A386" s="27"/>
      <c r="B386" s="89"/>
      <c r="C386" s="100"/>
    </row>
    <row r="387" spans="1:3" ht="15.75" customHeight="1" x14ac:dyDescent="0.35">
      <c r="A387" s="27"/>
      <c r="B387" s="89"/>
      <c r="C387" s="100"/>
    </row>
    <row r="388" spans="1:3" ht="15.75" customHeight="1" x14ac:dyDescent="0.35">
      <c r="A388" s="27"/>
      <c r="B388" s="89"/>
      <c r="C388" s="100"/>
    </row>
    <row r="389" spans="1:3" ht="15.75" customHeight="1" x14ac:dyDescent="0.35">
      <c r="A389" s="27"/>
      <c r="B389" s="89"/>
      <c r="C389" s="100"/>
    </row>
    <row r="390" spans="1:3" ht="15.75" customHeight="1" x14ac:dyDescent="0.35">
      <c r="A390" s="27"/>
      <c r="B390" s="89"/>
      <c r="C390" s="100"/>
    </row>
    <row r="391" spans="1:3" ht="15.75" customHeight="1" x14ac:dyDescent="0.35">
      <c r="A391" s="27"/>
      <c r="B391" s="89"/>
      <c r="C391" s="100"/>
    </row>
    <row r="392" spans="1:3" ht="15.75" customHeight="1" x14ac:dyDescent="0.35">
      <c r="A392" s="27"/>
      <c r="B392" s="89"/>
      <c r="C392" s="100"/>
    </row>
    <row r="393" spans="1:3" ht="15.75" customHeight="1" x14ac:dyDescent="0.35">
      <c r="A393" s="27"/>
      <c r="B393" s="89"/>
      <c r="C393" s="100"/>
    </row>
    <row r="394" spans="1:3" ht="15.75" customHeight="1" x14ac:dyDescent="0.35">
      <c r="A394" s="27"/>
      <c r="B394" s="89"/>
      <c r="C394" s="100"/>
    </row>
    <row r="395" spans="1:3" ht="15.75" customHeight="1" x14ac:dyDescent="0.35">
      <c r="A395" s="27"/>
      <c r="B395" s="89"/>
      <c r="C395" s="100"/>
    </row>
    <row r="396" spans="1:3" ht="15.75" customHeight="1" x14ac:dyDescent="0.35">
      <c r="A396" s="27"/>
      <c r="B396" s="89"/>
      <c r="C396" s="100"/>
    </row>
    <row r="397" spans="1:3" ht="15.75" customHeight="1" x14ac:dyDescent="0.35">
      <c r="A397" s="27"/>
      <c r="B397" s="89"/>
      <c r="C397" s="100"/>
    </row>
    <row r="398" spans="1:3" ht="15.75" customHeight="1" x14ac:dyDescent="0.35">
      <c r="A398" s="27"/>
      <c r="B398" s="89"/>
      <c r="C398" s="100"/>
    </row>
    <row r="399" spans="1:3" ht="15.75" customHeight="1" x14ac:dyDescent="0.35">
      <c r="A399" s="27"/>
      <c r="B399" s="89"/>
      <c r="C399" s="100"/>
    </row>
    <row r="400" spans="1:3" ht="15.75" customHeight="1" x14ac:dyDescent="0.35">
      <c r="A400" s="27"/>
      <c r="B400" s="89"/>
      <c r="C400" s="100"/>
    </row>
    <row r="401" spans="1:3" ht="15.75" customHeight="1" x14ac:dyDescent="0.35">
      <c r="A401" s="27"/>
      <c r="B401" s="89"/>
      <c r="C401" s="100"/>
    </row>
    <row r="402" spans="1:3" ht="15.75" customHeight="1" x14ac:dyDescent="0.35">
      <c r="A402" s="27"/>
      <c r="B402" s="89"/>
      <c r="C402" s="100"/>
    </row>
    <row r="403" spans="1:3" ht="15.75" customHeight="1" x14ac:dyDescent="0.35">
      <c r="A403" s="27"/>
      <c r="B403" s="89"/>
      <c r="C403" s="100"/>
    </row>
    <row r="404" spans="1:3" ht="15.75" customHeight="1" x14ac:dyDescent="0.35">
      <c r="A404" s="27"/>
      <c r="B404" s="89"/>
      <c r="C404" s="100"/>
    </row>
    <row r="405" spans="1:3" ht="15.75" customHeight="1" x14ac:dyDescent="0.35">
      <c r="A405" s="27"/>
      <c r="B405" s="89"/>
      <c r="C405" s="100"/>
    </row>
    <row r="406" spans="1:3" ht="15.75" customHeight="1" x14ac:dyDescent="0.35">
      <c r="A406" s="27"/>
      <c r="B406" s="89"/>
      <c r="C406" s="100"/>
    </row>
    <row r="407" spans="1:3" ht="15.75" customHeight="1" x14ac:dyDescent="0.35">
      <c r="A407" s="27"/>
      <c r="B407" s="89"/>
      <c r="C407" s="100"/>
    </row>
    <row r="408" spans="1:3" ht="15.75" customHeight="1" x14ac:dyDescent="0.35">
      <c r="A408" s="27"/>
      <c r="B408" s="89"/>
      <c r="C408" s="100"/>
    </row>
    <row r="409" spans="1:3" ht="15.75" customHeight="1" x14ac:dyDescent="0.35">
      <c r="A409" s="27"/>
      <c r="B409" s="89"/>
      <c r="C409" s="100"/>
    </row>
    <row r="410" spans="1:3" ht="15.75" customHeight="1" x14ac:dyDescent="0.35">
      <c r="A410" s="27"/>
      <c r="B410" s="89"/>
      <c r="C410" s="100"/>
    </row>
    <row r="411" spans="1:3" ht="15.75" customHeight="1" x14ac:dyDescent="0.35">
      <c r="A411" s="27"/>
      <c r="B411" s="89"/>
      <c r="C411" s="100"/>
    </row>
    <row r="412" spans="1:3" ht="15.75" customHeight="1" x14ac:dyDescent="0.35">
      <c r="A412" s="27"/>
      <c r="B412" s="89"/>
      <c r="C412" s="100"/>
    </row>
    <row r="413" spans="1:3" ht="15.75" customHeight="1" x14ac:dyDescent="0.35">
      <c r="A413" s="27"/>
      <c r="B413" s="89"/>
      <c r="C413" s="100"/>
    </row>
    <row r="414" spans="1:3" ht="15.75" customHeight="1" x14ac:dyDescent="0.35">
      <c r="A414" s="27"/>
      <c r="B414" s="89"/>
      <c r="C414" s="100"/>
    </row>
    <row r="415" spans="1:3" ht="15.75" customHeight="1" x14ac:dyDescent="0.35">
      <c r="A415" s="27"/>
      <c r="B415" s="89"/>
      <c r="C415" s="100"/>
    </row>
    <row r="416" spans="1:3" ht="15.75" customHeight="1" x14ac:dyDescent="0.35">
      <c r="A416" s="27"/>
      <c r="B416" s="89"/>
      <c r="C416" s="100"/>
    </row>
    <row r="417" spans="1:3" ht="15.75" customHeight="1" x14ac:dyDescent="0.35">
      <c r="A417" s="27"/>
      <c r="B417" s="89"/>
      <c r="C417" s="100"/>
    </row>
    <row r="418" spans="1:3" ht="15.75" customHeight="1" x14ac:dyDescent="0.35">
      <c r="A418" s="27"/>
      <c r="B418" s="89"/>
      <c r="C418" s="100"/>
    </row>
    <row r="419" spans="1:3" ht="15.75" customHeight="1" x14ac:dyDescent="0.35">
      <c r="A419" s="27"/>
      <c r="B419" s="89"/>
      <c r="C419" s="100"/>
    </row>
    <row r="420" spans="1:3" ht="15.75" customHeight="1" x14ac:dyDescent="0.35">
      <c r="A420" s="27"/>
      <c r="B420" s="89"/>
      <c r="C420" s="100"/>
    </row>
    <row r="421" spans="1:3" ht="15.75" customHeight="1" x14ac:dyDescent="0.35">
      <c r="A421" s="27"/>
      <c r="B421" s="89"/>
      <c r="C421" s="100"/>
    </row>
    <row r="422" spans="1:3" ht="15.75" customHeight="1" x14ac:dyDescent="0.35">
      <c r="A422" s="27"/>
      <c r="B422" s="89"/>
      <c r="C422" s="100"/>
    </row>
    <row r="423" spans="1:3" ht="15.75" customHeight="1" x14ac:dyDescent="0.35">
      <c r="A423" s="27"/>
      <c r="B423" s="89"/>
      <c r="C423" s="100"/>
    </row>
    <row r="424" spans="1:3" ht="15.75" customHeight="1" x14ac:dyDescent="0.35">
      <c r="A424" s="27"/>
      <c r="B424" s="89"/>
      <c r="C424" s="100"/>
    </row>
    <row r="425" spans="1:3" ht="15.75" customHeight="1" x14ac:dyDescent="0.35">
      <c r="A425" s="27"/>
      <c r="B425" s="89"/>
      <c r="C425" s="100"/>
    </row>
    <row r="426" spans="1:3" ht="15.75" customHeight="1" x14ac:dyDescent="0.35">
      <c r="A426" s="27"/>
      <c r="B426" s="89"/>
      <c r="C426" s="100"/>
    </row>
    <row r="427" spans="1:3" ht="15.75" customHeight="1" x14ac:dyDescent="0.35">
      <c r="A427" s="27"/>
      <c r="B427" s="89"/>
      <c r="C427" s="100"/>
    </row>
    <row r="428" spans="1:3" ht="15.75" customHeight="1" x14ac:dyDescent="0.35">
      <c r="A428" s="27"/>
      <c r="B428" s="89"/>
      <c r="C428" s="100"/>
    </row>
    <row r="429" spans="1:3" ht="15.75" customHeight="1" x14ac:dyDescent="0.35">
      <c r="A429" s="27"/>
      <c r="B429" s="89"/>
      <c r="C429" s="100"/>
    </row>
    <row r="430" spans="1:3" ht="15.75" customHeight="1" x14ac:dyDescent="0.35">
      <c r="A430" s="27"/>
      <c r="B430" s="89"/>
      <c r="C430" s="100"/>
    </row>
    <row r="431" spans="1:3" ht="15.75" customHeight="1" x14ac:dyDescent="0.35">
      <c r="A431" s="27"/>
      <c r="B431" s="89"/>
      <c r="C431" s="100"/>
    </row>
    <row r="432" spans="1:3" ht="15.75" customHeight="1" x14ac:dyDescent="0.35">
      <c r="A432" s="27"/>
      <c r="B432" s="89"/>
      <c r="C432" s="100"/>
    </row>
    <row r="433" spans="1:3" ht="15.75" customHeight="1" x14ac:dyDescent="0.35">
      <c r="A433" s="27"/>
      <c r="B433" s="89"/>
      <c r="C433" s="100"/>
    </row>
    <row r="434" spans="1:3" ht="15.75" customHeight="1" x14ac:dyDescent="0.35">
      <c r="A434" s="27"/>
      <c r="B434" s="89"/>
      <c r="C434" s="100"/>
    </row>
    <row r="435" spans="1:3" ht="15.75" customHeight="1" x14ac:dyDescent="0.35">
      <c r="A435" s="27"/>
      <c r="B435" s="89"/>
      <c r="C435" s="100"/>
    </row>
    <row r="436" spans="1:3" ht="15.75" customHeight="1" x14ac:dyDescent="0.35">
      <c r="A436" s="27"/>
      <c r="B436" s="89"/>
      <c r="C436" s="100"/>
    </row>
    <row r="437" spans="1:3" ht="15.75" customHeight="1" x14ac:dyDescent="0.35">
      <c r="A437" s="27"/>
      <c r="B437" s="89"/>
      <c r="C437" s="100"/>
    </row>
    <row r="438" spans="1:3" ht="15.75" customHeight="1" x14ac:dyDescent="0.35">
      <c r="A438" s="27"/>
      <c r="B438" s="89"/>
      <c r="C438" s="100"/>
    </row>
    <row r="439" spans="1:3" ht="15.75" customHeight="1" x14ac:dyDescent="0.35">
      <c r="A439" s="27"/>
      <c r="B439" s="89"/>
      <c r="C439" s="100"/>
    </row>
    <row r="440" spans="1:3" ht="15.75" customHeight="1" x14ac:dyDescent="0.35">
      <c r="A440" s="27"/>
      <c r="B440" s="89"/>
      <c r="C440" s="100"/>
    </row>
    <row r="441" spans="1:3" ht="15.75" customHeight="1" x14ac:dyDescent="0.35">
      <c r="A441" s="27"/>
      <c r="B441" s="89"/>
      <c r="C441" s="100"/>
    </row>
    <row r="442" spans="1:3" ht="15.75" customHeight="1" x14ac:dyDescent="0.35">
      <c r="A442" s="27"/>
      <c r="B442" s="89"/>
      <c r="C442" s="100"/>
    </row>
    <row r="443" spans="1:3" ht="15.75" customHeight="1" x14ac:dyDescent="0.35">
      <c r="A443" s="27"/>
      <c r="B443" s="89"/>
      <c r="C443" s="100"/>
    </row>
    <row r="444" spans="1:3" ht="15.75" customHeight="1" x14ac:dyDescent="0.35">
      <c r="A444" s="27"/>
      <c r="B444" s="89"/>
      <c r="C444" s="100"/>
    </row>
    <row r="445" spans="1:3" ht="15.75" customHeight="1" x14ac:dyDescent="0.35">
      <c r="A445" s="27"/>
      <c r="B445" s="89"/>
      <c r="C445" s="100"/>
    </row>
    <row r="446" spans="1:3" ht="15.75" customHeight="1" x14ac:dyDescent="0.35">
      <c r="A446" s="27"/>
      <c r="B446" s="89"/>
      <c r="C446" s="100"/>
    </row>
    <row r="447" spans="1:3" ht="15.75" customHeight="1" x14ac:dyDescent="0.35">
      <c r="A447" s="27"/>
      <c r="B447" s="89"/>
      <c r="C447" s="100"/>
    </row>
    <row r="448" spans="1:3" ht="15.75" customHeight="1" x14ac:dyDescent="0.35">
      <c r="A448" s="27"/>
      <c r="B448" s="89"/>
      <c r="C448" s="100"/>
    </row>
    <row r="449" spans="1:3" ht="15.75" customHeight="1" x14ac:dyDescent="0.35">
      <c r="A449" s="27"/>
      <c r="B449" s="89"/>
      <c r="C449" s="100"/>
    </row>
    <row r="450" spans="1:3" ht="15.75" customHeight="1" x14ac:dyDescent="0.35">
      <c r="A450" s="27"/>
      <c r="B450" s="89"/>
      <c r="C450" s="100"/>
    </row>
    <row r="451" spans="1:3" ht="15.75" customHeight="1" x14ac:dyDescent="0.35">
      <c r="A451" s="27"/>
      <c r="B451" s="89"/>
      <c r="C451" s="100"/>
    </row>
    <row r="452" spans="1:3" ht="15.75" customHeight="1" x14ac:dyDescent="0.35">
      <c r="A452" s="27"/>
      <c r="B452" s="89"/>
      <c r="C452" s="100"/>
    </row>
    <row r="453" spans="1:3" ht="15.75" customHeight="1" x14ac:dyDescent="0.35">
      <c r="A453" s="27"/>
      <c r="B453" s="89"/>
      <c r="C453" s="100"/>
    </row>
    <row r="454" spans="1:3" ht="15.75" customHeight="1" x14ac:dyDescent="0.35">
      <c r="A454" s="27"/>
      <c r="B454" s="89"/>
      <c r="C454" s="100"/>
    </row>
    <row r="455" spans="1:3" ht="15.75" customHeight="1" x14ac:dyDescent="0.35">
      <c r="A455" s="27"/>
      <c r="B455" s="89"/>
      <c r="C455" s="100"/>
    </row>
    <row r="456" spans="1:3" ht="15.75" customHeight="1" x14ac:dyDescent="0.35">
      <c r="A456" s="27"/>
      <c r="B456" s="89"/>
      <c r="C456" s="100"/>
    </row>
    <row r="457" spans="1:3" ht="15.75" customHeight="1" x14ac:dyDescent="0.35">
      <c r="A457" s="27"/>
      <c r="B457" s="89"/>
      <c r="C457" s="100"/>
    </row>
    <row r="458" spans="1:3" ht="15.75" customHeight="1" x14ac:dyDescent="0.35">
      <c r="A458" s="27"/>
      <c r="B458" s="89"/>
      <c r="C458" s="100"/>
    </row>
    <row r="459" spans="1:3" ht="15.75" customHeight="1" x14ac:dyDescent="0.35">
      <c r="A459" s="27"/>
      <c r="B459" s="89"/>
      <c r="C459" s="100"/>
    </row>
    <row r="460" spans="1:3" ht="15.75" customHeight="1" x14ac:dyDescent="0.35">
      <c r="A460" s="27"/>
      <c r="B460" s="89"/>
      <c r="C460" s="100"/>
    </row>
    <row r="461" spans="1:3" ht="15.75" customHeight="1" x14ac:dyDescent="0.35">
      <c r="A461" s="27"/>
      <c r="B461" s="89"/>
      <c r="C461" s="100"/>
    </row>
    <row r="462" spans="1:3" ht="15.75" customHeight="1" x14ac:dyDescent="0.35">
      <c r="A462" s="27"/>
      <c r="B462" s="89"/>
      <c r="C462" s="100"/>
    </row>
    <row r="463" spans="1:3" ht="15.75" customHeight="1" x14ac:dyDescent="0.35">
      <c r="A463" s="27"/>
      <c r="B463" s="89"/>
      <c r="C463" s="100"/>
    </row>
    <row r="464" spans="1:3" ht="15.75" customHeight="1" x14ac:dyDescent="0.35">
      <c r="A464" s="27"/>
      <c r="B464" s="89"/>
      <c r="C464" s="100"/>
    </row>
    <row r="465" spans="1:3" ht="15.75" customHeight="1" x14ac:dyDescent="0.35">
      <c r="A465" s="27"/>
      <c r="B465" s="89"/>
      <c r="C465" s="100"/>
    </row>
    <row r="466" spans="1:3" ht="15.75" customHeight="1" x14ac:dyDescent="0.35">
      <c r="A466" s="27"/>
      <c r="B466" s="89"/>
      <c r="C466" s="100"/>
    </row>
    <row r="467" spans="1:3" ht="15.75" customHeight="1" x14ac:dyDescent="0.35">
      <c r="A467" s="27"/>
      <c r="B467" s="89"/>
      <c r="C467" s="100"/>
    </row>
    <row r="468" spans="1:3" ht="15.75" customHeight="1" x14ac:dyDescent="0.35">
      <c r="A468" s="27"/>
      <c r="B468" s="89"/>
      <c r="C468" s="100"/>
    </row>
    <row r="469" spans="1:3" ht="15.75" customHeight="1" x14ac:dyDescent="0.35">
      <c r="A469" s="27"/>
      <c r="B469" s="89"/>
      <c r="C469" s="100"/>
    </row>
    <row r="470" spans="1:3" ht="15.75" customHeight="1" x14ac:dyDescent="0.35">
      <c r="A470" s="27"/>
      <c r="B470" s="89"/>
      <c r="C470" s="100"/>
    </row>
    <row r="471" spans="1:3" ht="15.75" customHeight="1" x14ac:dyDescent="0.35">
      <c r="A471" s="27"/>
      <c r="B471" s="89"/>
      <c r="C471" s="100"/>
    </row>
    <row r="472" spans="1:3" ht="15.75" customHeight="1" x14ac:dyDescent="0.35">
      <c r="A472" s="27"/>
      <c r="B472" s="89"/>
      <c r="C472" s="100"/>
    </row>
    <row r="473" spans="1:3" ht="15.75" customHeight="1" x14ac:dyDescent="0.35">
      <c r="A473" s="27"/>
      <c r="B473" s="89"/>
      <c r="C473" s="100"/>
    </row>
    <row r="474" spans="1:3" ht="15.75" customHeight="1" x14ac:dyDescent="0.35">
      <c r="A474" s="27"/>
      <c r="B474" s="89"/>
      <c r="C474" s="100"/>
    </row>
    <row r="475" spans="1:3" ht="15.75" customHeight="1" x14ac:dyDescent="0.35">
      <c r="A475" s="27"/>
      <c r="B475" s="89"/>
      <c r="C475" s="100"/>
    </row>
    <row r="476" spans="1:3" ht="15.75" customHeight="1" x14ac:dyDescent="0.35">
      <c r="A476" s="27"/>
      <c r="B476" s="89"/>
      <c r="C476" s="100"/>
    </row>
    <row r="477" spans="1:3" ht="15.75" customHeight="1" x14ac:dyDescent="0.35">
      <c r="A477" s="27"/>
      <c r="B477" s="89"/>
      <c r="C477" s="100"/>
    </row>
    <row r="478" spans="1:3" ht="15.75" customHeight="1" x14ac:dyDescent="0.35">
      <c r="A478" s="27"/>
      <c r="B478" s="89"/>
      <c r="C478" s="100"/>
    </row>
    <row r="479" spans="1:3" ht="15.75" customHeight="1" x14ac:dyDescent="0.35">
      <c r="A479" s="27"/>
      <c r="B479" s="89"/>
      <c r="C479" s="100"/>
    </row>
    <row r="480" spans="1:3" ht="15.75" customHeight="1" x14ac:dyDescent="0.35">
      <c r="A480" s="27"/>
      <c r="B480" s="89"/>
      <c r="C480" s="100"/>
    </row>
    <row r="481" spans="1:3" ht="15.75" customHeight="1" x14ac:dyDescent="0.35">
      <c r="A481" s="27"/>
      <c r="B481" s="89"/>
      <c r="C481" s="100"/>
    </row>
    <row r="482" spans="1:3" ht="15.75" customHeight="1" x14ac:dyDescent="0.35">
      <c r="A482" s="27"/>
      <c r="B482" s="89"/>
      <c r="C482" s="100"/>
    </row>
    <row r="483" spans="1:3" ht="15.75" customHeight="1" x14ac:dyDescent="0.35">
      <c r="A483" s="27"/>
      <c r="B483" s="89"/>
      <c r="C483" s="100"/>
    </row>
    <row r="484" spans="1:3" ht="15.75" customHeight="1" x14ac:dyDescent="0.35">
      <c r="A484" s="27"/>
      <c r="B484" s="89"/>
      <c r="C484" s="100"/>
    </row>
    <row r="485" spans="1:3" ht="15.75" customHeight="1" x14ac:dyDescent="0.35">
      <c r="A485" s="27"/>
      <c r="B485" s="89"/>
      <c r="C485" s="100"/>
    </row>
    <row r="486" spans="1:3" ht="15.75" customHeight="1" x14ac:dyDescent="0.35">
      <c r="A486" s="27"/>
      <c r="B486" s="89"/>
      <c r="C486" s="100"/>
    </row>
    <row r="487" spans="1:3" ht="15.75" customHeight="1" x14ac:dyDescent="0.35">
      <c r="A487" s="27"/>
      <c r="B487" s="89"/>
      <c r="C487" s="100"/>
    </row>
    <row r="488" spans="1:3" ht="15.75" customHeight="1" x14ac:dyDescent="0.35">
      <c r="A488" s="27"/>
      <c r="B488" s="89"/>
      <c r="C488" s="100"/>
    </row>
    <row r="489" spans="1:3" ht="15.75" customHeight="1" x14ac:dyDescent="0.35">
      <c r="A489" s="27"/>
      <c r="B489" s="89"/>
      <c r="C489" s="100"/>
    </row>
    <row r="490" spans="1:3" ht="15.75" customHeight="1" x14ac:dyDescent="0.35">
      <c r="A490" s="27"/>
      <c r="B490" s="89"/>
      <c r="C490" s="100"/>
    </row>
    <row r="491" spans="1:3" ht="15.75" customHeight="1" x14ac:dyDescent="0.35">
      <c r="A491" s="27"/>
      <c r="B491" s="89"/>
      <c r="C491" s="100"/>
    </row>
    <row r="492" spans="1:3" ht="15.75" customHeight="1" x14ac:dyDescent="0.35">
      <c r="A492" s="27"/>
      <c r="B492" s="89"/>
      <c r="C492" s="100"/>
    </row>
    <row r="493" spans="1:3" ht="15.75" customHeight="1" x14ac:dyDescent="0.35">
      <c r="A493" s="27"/>
      <c r="B493" s="89"/>
      <c r="C493" s="100"/>
    </row>
    <row r="494" spans="1:3" ht="15.75" customHeight="1" x14ac:dyDescent="0.35">
      <c r="A494" s="27"/>
      <c r="B494" s="89"/>
      <c r="C494" s="100"/>
    </row>
    <row r="495" spans="1:3" ht="15.75" customHeight="1" x14ac:dyDescent="0.35">
      <c r="A495" s="27"/>
      <c r="B495" s="89"/>
      <c r="C495" s="100"/>
    </row>
    <row r="496" spans="1:3" ht="15.75" customHeight="1" x14ac:dyDescent="0.35">
      <c r="A496" s="27"/>
      <c r="B496" s="89"/>
      <c r="C496" s="100"/>
    </row>
    <row r="497" spans="1:3" ht="15.75" customHeight="1" x14ac:dyDescent="0.35">
      <c r="A497" s="27"/>
      <c r="B497" s="89"/>
      <c r="C497" s="100"/>
    </row>
    <row r="498" spans="1:3" ht="15.75" customHeight="1" x14ac:dyDescent="0.35">
      <c r="A498" s="27"/>
      <c r="B498" s="89"/>
      <c r="C498" s="100"/>
    </row>
    <row r="499" spans="1:3" ht="15.75" customHeight="1" x14ac:dyDescent="0.35">
      <c r="A499" s="27"/>
      <c r="B499" s="89"/>
      <c r="C499" s="100"/>
    </row>
    <row r="500" spans="1:3" ht="15.75" customHeight="1" x14ac:dyDescent="0.35">
      <c r="A500" s="27"/>
      <c r="B500" s="89"/>
      <c r="C500" s="100"/>
    </row>
    <row r="501" spans="1:3" ht="15.75" customHeight="1" x14ac:dyDescent="0.35">
      <c r="A501" s="27"/>
      <c r="B501" s="89"/>
      <c r="C501" s="100"/>
    </row>
    <row r="502" spans="1:3" ht="15.75" customHeight="1" x14ac:dyDescent="0.35">
      <c r="A502" s="27"/>
      <c r="B502" s="89"/>
      <c r="C502" s="100"/>
    </row>
    <row r="503" spans="1:3" ht="15.75" customHeight="1" x14ac:dyDescent="0.35">
      <c r="A503" s="27"/>
      <c r="B503" s="89"/>
      <c r="C503" s="100"/>
    </row>
    <row r="504" spans="1:3" ht="15.75" customHeight="1" x14ac:dyDescent="0.35">
      <c r="A504" s="27"/>
      <c r="B504" s="89"/>
      <c r="C504" s="100"/>
    </row>
    <row r="505" spans="1:3" ht="15.75" customHeight="1" x14ac:dyDescent="0.35">
      <c r="A505" s="27"/>
      <c r="B505" s="89"/>
      <c r="C505" s="100"/>
    </row>
    <row r="506" spans="1:3" ht="15.75" customHeight="1" x14ac:dyDescent="0.35">
      <c r="A506" s="27"/>
      <c r="B506" s="89"/>
      <c r="C506" s="100"/>
    </row>
    <row r="507" spans="1:3" ht="15.75" customHeight="1" x14ac:dyDescent="0.35">
      <c r="A507" s="27"/>
      <c r="B507" s="89"/>
      <c r="C507" s="100"/>
    </row>
    <row r="508" spans="1:3" ht="15.75" customHeight="1" x14ac:dyDescent="0.35">
      <c r="A508" s="27"/>
      <c r="B508" s="89"/>
      <c r="C508" s="100"/>
    </row>
    <row r="509" spans="1:3" ht="15.75" customHeight="1" x14ac:dyDescent="0.35">
      <c r="A509" s="27"/>
      <c r="B509" s="89"/>
      <c r="C509" s="100"/>
    </row>
    <row r="510" spans="1:3" ht="15.75" customHeight="1" x14ac:dyDescent="0.35">
      <c r="A510" s="27"/>
      <c r="B510" s="89"/>
      <c r="C510" s="100"/>
    </row>
    <row r="511" spans="1:3" ht="15.75" customHeight="1" x14ac:dyDescent="0.35">
      <c r="A511" s="27"/>
      <c r="B511" s="89"/>
      <c r="C511" s="100"/>
    </row>
    <row r="512" spans="1:3" ht="15.75" customHeight="1" x14ac:dyDescent="0.35">
      <c r="A512" s="27"/>
      <c r="B512" s="89"/>
      <c r="C512" s="100"/>
    </row>
    <row r="513" spans="1:3" ht="15.75" customHeight="1" x14ac:dyDescent="0.35">
      <c r="A513" s="27"/>
      <c r="B513" s="89"/>
      <c r="C513" s="100"/>
    </row>
    <row r="514" spans="1:3" ht="15.75" customHeight="1" x14ac:dyDescent="0.35">
      <c r="A514" s="27"/>
      <c r="B514" s="89"/>
      <c r="C514" s="100"/>
    </row>
    <row r="515" spans="1:3" ht="15.75" customHeight="1" x14ac:dyDescent="0.35">
      <c r="A515" s="27"/>
      <c r="B515" s="89"/>
      <c r="C515" s="100"/>
    </row>
    <row r="516" spans="1:3" ht="15.75" customHeight="1" x14ac:dyDescent="0.35">
      <c r="A516" s="27"/>
      <c r="B516" s="89"/>
      <c r="C516" s="100"/>
    </row>
    <row r="517" spans="1:3" ht="15.75" customHeight="1" x14ac:dyDescent="0.35">
      <c r="A517" s="27"/>
      <c r="B517" s="89"/>
      <c r="C517" s="100"/>
    </row>
    <row r="518" spans="1:3" ht="15.75" customHeight="1" x14ac:dyDescent="0.35">
      <c r="A518" s="27"/>
      <c r="B518" s="89"/>
      <c r="C518" s="100"/>
    </row>
    <row r="519" spans="1:3" ht="15.75" customHeight="1" x14ac:dyDescent="0.35">
      <c r="A519" s="27"/>
      <c r="B519" s="89"/>
      <c r="C519" s="100"/>
    </row>
    <row r="520" spans="1:3" ht="15.75" customHeight="1" x14ac:dyDescent="0.35">
      <c r="A520" s="27"/>
      <c r="B520" s="89"/>
      <c r="C520" s="100"/>
    </row>
  </sheetData>
  <pageMargins left="0.7" right="0.7" top="0.75" bottom="0.75" header="0.511811023622047" footer="0.511811023622047"/>
  <pageSetup paperSize="9" scale="85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INCOME</vt:lpstr>
      <vt:lpstr>RECON</vt:lpstr>
      <vt:lpstr> EXPENSES</vt:lpstr>
      <vt:lpstr> EXPENSES HOUSE</vt:lpstr>
      <vt:lpstr>MONTHLY FOR THE YEAR</vt:lpstr>
      <vt:lpstr>RECON!Print_Area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dc:description/>
  <cp:lastModifiedBy>Chris Schnell</cp:lastModifiedBy>
  <cp:revision>2</cp:revision>
  <cp:lastPrinted>2026-01-20T06:48:50Z</cp:lastPrinted>
  <dcterms:created xsi:type="dcterms:W3CDTF">2020-05-26T08:43:05Z</dcterms:created>
  <dcterms:modified xsi:type="dcterms:W3CDTF">2026-05-05T10:31:16Z</dcterms:modified>
  <dc:language>en-US</dc:language>
</cp:coreProperties>
</file>