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ndco\Accounts 2026\Landco Accounts 2026\03 MARCH ACCOUNTS\"/>
    </mc:Choice>
  </mc:AlternateContent>
  <xr:revisionPtr revIDLastSave="0" documentId="13_ncr:1_{585A47A9-A6CC-4D11-B9E2-4AC998FFCF02}" xr6:coauthVersionLast="47" xr6:coauthVersionMax="47" xr10:uidLastSave="{00000000-0000-0000-0000-000000000000}"/>
  <bookViews>
    <workbookView xWindow="0" yWindow="360" windowWidth="20730" windowHeight="11040" tabRatio="500" activeTab="1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INCOME!#REF!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6" i="26" l="1"/>
  <c r="Q25" i="26"/>
  <c r="H46" i="26"/>
  <c r="F46" i="26"/>
  <c r="Y46" i="26"/>
  <c r="X46" i="26"/>
  <c r="V46" i="26"/>
  <c r="W46" i="26"/>
  <c r="E2" i="26" l="1"/>
  <c r="F68" i="26"/>
  <c r="R67" i="26"/>
  <c r="E66" i="26"/>
  <c r="L65" i="26"/>
  <c r="G64" i="26"/>
  <c r="G63" i="26"/>
  <c r="S60" i="26"/>
  <c r="X59" i="26"/>
  <c r="G56" i="26"/>
  <c r="I55" i="26"/>
  <c r="E61" i="26"/>
  <c r="T61" i="26" s="1"/>
  <c r="E58" i="26"/>
  <c r="S58" i="26" s="1"/>
  <c r="E3" i="26" l="1"/>
  <c r="H54" i="26" l="1"/>
  <c r="AA54" i="26" s="1"/>
  <c r="AC54" i="26" s="1"/>
  <c r="L53" i="26"/>
  <c r="AA53" i="26" s="1"/>
  <c r="AC53" i="26" s="1"/>
  <c r="K52" i="26"/>
  <c r="AA52" i="26" s="1"/>
  <c r="AC52" i="26" s="1"/>
  <c r="Q50" i="26"/>
  <c r="AA50" i="26" s="1"/>
  <c r="AC50" i="26" s="1"/>
  <c r="I51" i="26"/>
  <c r="AA51" i="26" s="1"/>
  <c r="AC51" i="26" s="1"/>
  <c r="I49" i="26"/>
  <c r="Q48" i="26"/>
  <c r="Y45" i="26"/>
  <c r="R44" i="26"/>
  <c r="L43" i="26"/>
  <c r="K42" i="26"/>
  <c r="T41" i="26"/>
  <c r="T40" i="26"/>
  <c r="S38" i="26"/>
  <c r="H37" i="26"/>
  <c r="L36" i="26"/>
  <c r="J35" i="26"/>
  <c r="I34" i="26"/>
  <c r="X30" i="26"/>
  <c r="Z32" i="26"/>
  <c r="I31" i="26"/>
  <c r="Y29" i="26"/>
  <c r="S28" i="26"/>
  <c r="L27" i="26"/>
  <c r="I24" i="26"/>
  <c r="J23" i="26"/>
  <c r="I22" i="26"/>
  <c r="S21" i="26"/>
  <c r="M20" i="26"/>
  <c r="H19" i="26"/>
  <c r="I18" i="26"/>
  <c r="I16" i="26"/>
  <c r="S15" i="26"/>
  <c r="R14" i="26"/>
  <c r="L13" i="26"/>
  <c r="I12" i="26"/>
  <c r="H11" i="26"/>
  <c r="I10" i="26"/>
  <c r="H9" i="26"/>
  <c r="I8" i="26"/>
  <c r="H7" i="26"/>
  <c r="AD33" i="26" s="1"/>
  <c r="AA46" i="26" l="1"/>
  <c r="J7" i="28"/>
  <c r="J8" i="28"/>
  <c r="D8" i="28" s="1"/>
  <c r="H8" i="28"/>
  <c r="D7" i="22"/>
  <c r="F8" i="22"/>
  <c r="C22" i="22" l="1"/>
  <c r="C24" i="22" l="1"/>
  <c r="C21" i="22" l="1"/>
  <c r="J17" i="22" l="1"/>
  <c r="J16" i="22"/>
  <c r="G21" i="22" l="1"/>
  <c r="G23" i="22"/>
  <c r="H4" i="27" l="1"/>
  <c r="G6" i="27"/>
  <c r="G5" i="27"/>
  <c r="O19" i="27"/>
  <c r="AA14" i="26"/>
  <c r="AC14" i="26" s="1"/>
  <c r="AA39" i="26"/>
  <c r="AC39" i="26" s="1"/>
  <c r="AA40" i="26" l="1"/>
  <c r="D7" i="27" l="1"/>
  <c r="D6" i="27"/>
  <c r="D4" i="27"/>
  <c r="D5" i="27"/>
  <c r="AA15" i="26"/>
  <c r="AC15" i="26" s="1"/>
  <c r="I7" i="27" l="1"/>
  <c r="AA38" i="26"/>
  <c r="AC38" i="26" s="1"/>
  <c r="C12" i="22"/>
  <c r="G13" i="22"/>
  <c r="K24" i="22"/>
  <c r="K23" i="22"/>
  <c r="K22" i="22"/>
  <c r="K27" i="22" s="1"/>
  <c r="K31" i="22" s="1"/>
  <c r="J22" i="22"/>
  <c r="J31" i="22" s="1"/>
  <c r="C23" i="22" l="1"/>
  <c r="AC40" i="26" l="1"/>
  <c r="AA41" i="26"/>
  <c r="AC41" i="26" s="1"/>
  <c r="AA42" i="26"/>
  <c r="AC42" i="26" s="1"/>
  <c r="AA43" i="26"/>
  <c r="AC43" i="26" s="1"/>
  <c r="H6" i="27" l="1"/>
  <c r="AA37" i="26" l="1"/>
  <c r="AC37" i="26" s="1"/>
  <c r="I18" i="22" l="1"/>
  <c r="J18" i="22"/>
  <c r="I5" i="27" l="1"/>
  <c r="O13" i="27" l="1"/>
  <c r="K5" i="27" l="1"/>
  <c r="N25" i="27"/>
  <c r="O25" i="27" s="1"/>
  <c r="K4" i="27" l="1"/>
  <c r="N24" i="27"/>
  <c r="AA64" i="26"/>
  <c r="AC64" i="26" s="1"/>
  <c r="AA65" i="26"/>
  <c r="AC65" i="26" s="1"/>
  <c r="AA66" i="26"/>
  <c r="AC66" i="26" s="1"/>
  <c r="AA67" i="26"/>
  <c r="AC67" i="26" s="1"/>
  <c r="AA69" i="26"/>
  <c r="AC69" i="26" s="1"/>
  <c r="AA70" i="26"/>
  <c r="AC70" i="26" s="1"/>
  <c r="AA71" i="26"/>
  <c r="AC71" i="26" s="1"/>
  <c r="O24" i="27" l="1"/>
  <c r="N19" i="27" l="1"/>
  <c r="O12" i="27" l="1"/>
  <c r="J6" i="27"/>
  <c r="N26" i="27"/>
  <c r="AA68" i="26"/>
  <c r="AC68" i="26" s="1"/>
  <c r="K7" i="27" l="1"/>
  <c r="O26" i="27"/>
  <c r="K14" i="22"/>
  <c r="K15" i="22"/>
  <c r="N30" i="27" l="1"/>
  <c r="C4" i="24"/>
  <c r="K6" i="27"/>
  <c r="N27" i="27" l="1"/>
  <c r="AA12" i="26"/>
  <c r="AC12" i="26" s="1"/>
  <c r="AA26" i="26"/>
  <c r="AC26" i="26" s="1"/>
  <c r="AA33" i="26"/>
  <c r="AC33" i="26" s="1"/>
  <c r="AA45" i="26"/>
  <c r="AC45" i="26" s="1"/>
  <c r="AC46" i="26"/>
  <c r="AA47" i="26"/>
  <c r="AC47" i="26" s="1"/>
  <c r="AA48" i="26"/>
  <c r="AC48" i="26" s="1"/>
  <c r="AA49" i="26"/>
  <c r="AC49" i="26" s="1"/>
  <c r="AA55" i="26"/>
  <c r="AC55" i="26" s="1"/>
  <c r="AA56" i="26"/>
  <c r="AC56" i="26" s="1"/>
  <c r="AA57" i="26"/>
  <c r="AC57" i="26" s="1"/>
  <c r="AA58" i="26"/>
  <c r="AC58" i="26" s="1"/>
  <c r="AA59" i="26"/>
  <c r="AC59" i="26" s="1"/>
  <c r="AA60" i="26"/>
  <c r="AC60" i="26" s="1"/>
  <c r="AA61" i="26"/>
  <c r="AC61" i="26" s="1"/>
  <c r="AA62" i="26"/>
  <c r="AC62" i="26" s="1"/>
  <c r="AA63" i="26"/>
  <c r="AC63" i="26" s="1"/>
  <c r="AA44" i="26"/>
  <c r="AC44" i="26" s="1"/>
  <c r="AA36" i="26"/>
  <c r="AC36" i="26" s="1"/>
  <c r="AA32" i="26"/>
  <c r="AC32" i="26" s="1"/>
  <c r="AA31" i="26"/>
  <c r="AC31" i="26" s="1"/>
  <c r="AA30" i="26"/>
  <c r="AC30" i="26" s="1"/>
  <c r="AA29" i="26"/>
  <c r="AC29" i="26" s="1"/>
  <c r="AA25" i="26"/>
  <c r="AC25" i="26" s="1"/>
  <c r="AA24" i="26"/>
  <c r="AC24" i="26" s="1"/>
  <c r="AA22" i="26"/>
  <c r="AC22" i="26" s="1"/>
  <c r="AA21" i="26"/>
  <c r="AC21" i="26" s="1"/>
  <c r="AA19" i="26"/>
  <c r="AC19" i="26" s="1"/>
  <c r="AA17" i="26"/>
  <c r="AC17" i="26" s="1"/>
  <c r="AA13" i="26"/>
  <c r="AC13" i="26" s="1"/>
  <c r="AA34" i="26"/>
  <c r="AC34" i="26" s="1"/>
  <c r="AA28" i="26"/>
  <c r="AC28" i="26" s="1"/>
  <c r="AA23" i="26"/>
  <c r="AC23" i="26" s="1"/>
  <c r="AA20" i="26"/>
  <c r="AC20" i="26" s="1"/>
  <c r="AA18" i="26"/>
  <c r="AC18" i="26" s="1"/>
  <c r="AA16" i="26"/>
  <c r="AC16" i="26" s="1"/>
  <c r="AA10" i="26"/>
  <c r="AC10" i="26" s="1"/>
  <c r="AA9" i="26"/>
  <c r="AC9" i="26" s="1"/>
  <c r="O27" i="27" l="1"/>
  <c r="N28" i="27"/>
  <c r="AA35" i="26"/>
  <c r="AC35" i="26" s="1"/>
  <c r="AA11" i="26"/>
  <c r="AC11" i="26" s="1"/>
  <c r="AA7" i="26"/>
  <c r="AA27" i="26"/>
  <c r="AC27" i="26" s="1"/>
  <c r="AA8" i="26"/>
  <c r="AC8" i="26" s="1"/>
  <c r="O5" i="27" l="1"/>
  <c r="O6" i="27"/>
  <c r="O7" i="27"/>
  <c r="O8" i="27"/>
  <c r="O9" i="27"/>
  <c r="O10" i="27"/>
  <c r="O11" i="27"/>
  <c r="O14" i="27"/>
  <c r="O15" i="27"/>
  <c r="O16" i="27"/>
  <c r="O17" i="27"/>
  <c r="O18" i="27"/>
  <c r="O4" i="27"/>
  <c r="C4" i="27" l="1"/>
  <c r="L4" i="27" s="1"/>
  <c r="E4" i="22" l="1"/>
  <c r="C5" i="27"/>
  <c r="L5" i="27" s="1"/>
  <c r="E5" i="22" s="1"/>
  <c r="C6" i="27" l="1"/>
  <c r="L6" i="27" s="1"/>
  <c r="E6" i="22" s="1"/>
  <c r="C7" i="27" l="1"/>
  <c r="L7" i="27" s="1"/>
  <c r="E7" i="22" s="1"/>
  <c r="L8" i="27" l="1"/>
  <c r="E3" i="28" l="1"/>
  <c r="F3" i="28" s="1"/>
  <c r="E2" i="28"/>
  <c r="F2" i="28" s="1"/>
  <c r="E4" i="28"/>
  <c r="F4" i="28" s="1"/>
  <c r="E1" i="28" l="1"/>
  <c r="F1" i="28"/>
  <c r="G5" i="28" s="1"/>
  <c r="E5" i="28"/>
  <c r="F5" i="28" s="1"/>
  <c r="D25" i="22" l="1"/>
  <c r="D21" i="22" l="1"/>
  <c r="AC7" i="26" l="1"/>
  <c r="E4" i="26" l="1"/>
  <c r="G4" i="26" l="1"/>
  <c r="H4" i="26" s="1"/>
  <c r="L9" i="27"/>
  <c r="L12" i="27" s="1"/>
  <c r="F5" i="22" l="1"/>
  <c r="F7" i="22"/>
  <c r="F6" i="22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s="1"/>
  <c r="K13" i="22" s="1"/>
  <c r="C18" i="22" l="1"/>
  <c r="E18" i="22" l="1"/>
  <c r="D18" i="22"/>
  <c r="J19" i="22" l="1"/>
  <c r="C16" i="24" l="1"/>
  <c r="C18" i="24" s="1"/>
  <c r="D11" i="24"/>
  <c r="D16" i="24" s="1"/>
  <c r="D18" i="24" s="1"/>
  <c r="W3" i="26" l="1"/>
  <c r="D22" i="22" l="1"/>
  <c r="H5" i="22"/>
  <c r="D23" i="22" l="1"/>
  <c r="H6" i="22"/>
  <c r="L10" i="27" l="1"/>
  <c r="N31" i="27"/>
  <c r="E9" i="22" l="1"/>
  <c r="B16" i="22" s="1"/>
  <c r="F4" i="22" l="1"/>
  <c r="H4" i="22" s="1"/>
  <c r="F9" i="22" l="1"/>
  <c r="B17" i="22" l="1"/>
  <c r="B18" i="22" l="1"/>
  <c r="C19" i="22" s="1"/>
  <c r="K12" i="22" l="1"/>
  <c r="G18" i="22"/>
  <c r="H16" i="22" l="1"/>
  <c r="K16" i="22" l="1"/>
  <c r="H7" i="22" l="1"/>
  <c r="D24" i="22"/>
  <c r="D26" i="22" s="1"/>
  <c r="C26" i="22"/>
  <c r="G22" i="22" l="1"/>
  <c r="H17" i="22"/>
  <c r="K17" i="22" l="1"/>
  <c r="K19" i="22" s="1"/>
  <c r="H18" i="22"/>
  <c r="H19" i="22" s="1"/>
  <c r="H22" i="22"/>
  <c r="G26" i="22"/>
  <c r="G29" i="22" s="1"/>
</calcChain>
</file>

<file path=xl/sharedStrings.xml><?xml version="1.0" encoding="utf-8"?>
<sst xmlns="http://schemas.openxmlformats.org/spreadsheetml/2006/main" count="322" uniqueCount="171">
  <si>
    <t>LANDCO INCOME</t>
  </si>
  <si>
    <t>DATE</t>
  </si>
  <si>
    <t>NAME</t>
  </si>
  <si>
    <t>ACCOMODATION</t>
  </si>
  <si>
    <t>BANK</t>
  </si>
  <si>
    <t>WARREN STEAD</t>
  </si>
  <si>
    <t>H1</t>
  </si>
  <si>
    <t>H2</t>
  </si>
  <si>
    <t>H3</t>
  </si>
  <si>
    <t>H4</t>
  </si>
  <si>
    <t>Total</t>
  </si>
  <si>
    <t>NEGU</t>
  </si>
  <si>
    <t>PAYMENTS</t>
  </si>
  <si>
    <t>BALANCE</t>
  </si>
  <si>
    <t>CASH</t>
  </si>
  <si>
    <t>HOUSE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</si>
  <si>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</si>
  <si>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</si>
  <si>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</si>
  <si>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</si>
  <si>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</si>
  <si>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</si>
  <si>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</si>
  <si>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</si>
  <si>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WARREN COHEN INVESTMENT</t>
  </si>
  <si>
    <t>MONTH</t>
  </si>
  <si>
    <t>EXPENSES</t>
  </si>
  <si>
    <t>AVERAGE</t>
  </si>
  <si>
    <t>CASA LUZ</t>
  </si>
  <si>
    <t>CASA CAJU</t>
  </si>
  <si>
    <t>CASA COCO</t>
  </si>
  <si>
    <t>CASA AURORA</t>
  </si>
  <si>
    <t>NEGO</t>
  </si>
  <si>
    <t>LANDCO EXPENSES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</si>
  <si>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</si>
  <si>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</si>
  <si>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</si>
  <si>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</si>
  <si>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</si>
  <si>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</si>
  <si>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</si>
  <si>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</si>
  <si>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</si>
  <si>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</si>
  <si>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</si>
  <si>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</si>
  <si>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</si>
  <si>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</si>
  <si>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</si>
  <si>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</si>
  <si>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</si>
  <si>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</si>
  <si>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</si>
  <si>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</si>
  <si>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</si>
  <si>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</si>
  <si>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</si>
  <si>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</si>
  <si>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</si>
  <si>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</si>
  <si>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SALARIES &amp; WAGES</t>
  </si>
  <si>
    <t>ADMIN CHARGES (BDO &amp; ANDRISA ENS )</t>
  </si>
  <si>
    <t>LANDCO BANK EXPENSES PER HOUSE</t>
  </si>
  <si>
    <t>SHARED</t>
  </si>
  <si>
    <t>SUSPENSE</t>
  </si>
  <si>
    <t>CASUAL WORKERS AND ALLOWANCE</t>
  </si>
  <si>
    <t xml:space="preserve">SALARIES </t>
  </si>
  <si>
    <t>HOUSEHOLD EQUIPMENT</t>
  </si>
  <si>
    <t>TAFY</t>
  </si>
  <si>
    <t>BANK/PRE-PAID &amp; $</t>
  </si>
  <si>
    <t>EQUIPMENT</t>
  </si>
  <si>
    <t>IRPS</t>
  </si>
  <si>
    <t>INSS</t>
  </si>
  <si>
    <t xml:space="preserve">EQUIPMENT PRESSURE PUMP X 2 </t>
  </si>
  <si>
    <t>TOTAL PERSONAL</t>
  </si>
  <si>
    <t>PETROL  &amp; BATTERY</t>
  </si>
  <si>
    <t>EXPENSES BY GUESTS</t>
  </si>
  <si>
    <t>COMMUNITY</t>
  </si>
  <si>
    <t>COMMUNITY DONATION</t>
  </si>
  <si>
    <t xml:space="preserve">received Jan </t>
  </si>
  <si>
    <t xml:space="preserve">ALEX </t>
  </si>
  <si>
    <t>WARREN COHEN</t>
  </si>
  <si>
    <t>RECEIVED IN METS</t>
  </si>
  <si>
    <t>ANDRISA CASH</t>
  </si>
  <si>
    <t xml:space="preserve">NEGU </t>
  </si>
  <si>
    <t>RECEIVED TO REPLAY BURGARY</t>
  </si>
  <si>
    <t>STARLINK FOR FEB</t>
  </si>
  <si>
    <t>BOAT CLEANING MATERIAL</t>
  </si>
  <si>
    <t>END FEB</t>
  </si>
  <si>
    <t>DOLLAR CASH</t>
  </si>
  <si>
    <t>BANK MTS &amp; $</t>
  </si>
  <si>
    <t>BOAT SKIPPERS CLEANING</t>
  </si>
  <si>
    <t>BALANCE END FEB</t>
  </si>
  <si>
    <t>INCOME MARCH</t>
  </si>
  <si>
    <t>EXPENSES MARCH</t>
  </si>
  <si>
    <t>TOTAL END MARCH</t>
  </si>
  <si>
    <t>SHAREHOLDERS ACCOUNTS END  MARCH</t>
  </si>
  <si>
    <t>TAFY ELIANA</t>
  </si>
  <si>
    <t>JELSON</t>
  </si>
  <si>
    <t xml:space="preserve">BANK CHARGES </t>
  </si>
  <si>
    <t>BANK CHARGES</t>
  </si>
  <si>
    <t>EMILIO ADVANCE</t>
  </si>
  <si>
    <t>CALDERON ADVANCE</t>
  </si>
  <si>
    <t>VARNISH</t>
  </si>
  <si>
    <t>GENERAL EXPENSES</t>
  </si>
  <si>
    <t>DIESEL MMR0998</t>
  </si>
  <si>
    <t>MOTOR VEHICLE LANDCO</t>
  </si>
  <si>
    <t>TOILET PAPER</t>
  </si>
  <si>
    <t>BANK CHARGES SINDICATO BEB</t>
  </si>
  <si>
    <t>ELECTRICITY</t>
  </si>
  <si>
    <t>GAS &amp; ELECTRISITY</t>
  </si>
  <si>
    <t>IRPS DIFFERENCE</t>
  </si>
  <si>
    <t>CHLOOR</t>
  </si>
  <si>
    <t>SWIMMING POOL CHEMICALS</t>
  </si>
  <si>
    <t>PLASTIC DE LUXO</t>
  </si>
  <si>
    <t>CARTO DEBITO</t>
  </si>
  <si>
    <t>ACCOUNTING</t>
  </si>
  <si>
    <t>ADMIN AND ACCOUNTING</t>
  </si>
  <si>
    <t>INSURANCE</t>
  </si>
  <si>
    <t>BALDE PARA CONSTRUTOR</t>
  </si>
  <si>
    <t>CLEANING MATERIAL</t>
  </si>
  <si>
    <t>BATTERY PRADO H4</t>
  </si>
  <si>
    <t>MOTOR VEHICLES EXPENSES</t>
  </si>
  <si>
    <t>SEALER H3</t>
  </si>
  <si>
    <t>TRANSFER DOLLARS TO METICAIS</t>
  </si>
  <si>
    <t>SALARY MARCH</t>
  </si>
  <si>
    <t>ADMIN FEE</t>
  </si>
  <si>
    <t>ACCOUNTING AND ADMIN</t>
  </si>
  <si>
    <t>LIGHTS OUTSIDE</t>
  </si>
  <si>
    <t>GENERAL MAITENANCE</t>
  </si>
  <si>
    <t>SINDICATO</t>
  </si>
  <si>
    <t xml:space="preserve">SOAP, JAVEL </t>
  </si>
  <si>
    <t>IPRA 2026</t>
  </si>
  <si>
    <t>LAND TAX</t>
  </si>
  <si>
    <t xml:space="preserve">TAE </t>
  </si>
  <si>
    <t>DIESEL GENERATOR</t>
  </si>
  <si>
    <t>ELECTRISITY</t>
  </si>
  <si>
    <t>Q20 OIL ANTI RUST</t>
  </si>
  <si>
    <t>GENERAL MAINTRENANCE</t>
  </si>
  <si>
    <t>DIESEL TOYOTA AKL491MP</t>
  </si>
  <si>
    <t>DIESEL PRADO HOUSE 4</t>
  </si>
  <si>
    <t>INSURANCE VEHICLES</t>
  </si>
  <si>
    <t>WORKMENS COMPENSATIO</t>
  </si>
  <si>
    <t>GAS FEBRUARY</t>
  </si>
  <si>
    <t>GLOBES</t>
  </si>
  <si>
    <t>\</t>
  </si>
  <si>
    <t xml:space="preserve">IMPRA </t>
  </si>
  <si>
    <t>INSURANCE JETSKI</t>
  </si>
  <si>
    <t>INSURANCE TRAILER</t>
  </si>
  <si>
    <t>COLLECT BUDGIE AT AIRPORT 25 FEB</t>
  </si>
  <si>
    <t>HANDY ANDY, SUNLIGHT DOVE SOAP GUEST</t>
  </si>
  <si>
    <t>FIX INTERNET OF CASA CAJU</t>
  </si>
  <si>
    <t>Geraldo rubish Landco</t>
  </si>
  <si>
    <t>2 X ROAD CERTIFICATES @ 3000 EACH</t>
  </si>
  <si>
    <t>FOOD WORKERS</t>
  </si>
  <si>
    <t>CASUALS GARDEN ABLUTION PLUS PLANTS</t>
  </si>
  <si>
    <t>PAVERS ABLUTION BLOCK</t>
  </si>
  <si>
    <t>INSPECTION FEE MARINTINE BOATS</t>
  </si>
  <si>
    <t>PETROL ALLOWANCE</t>
  </si>
  <si>
    <t>Alex</t>
  </si>
  <si>
    <t>Airport Shattle</t>
  </si>
  <si>
    <t>Workers</t>
  </si>
  <si>
    <t>Guestd</t>
  </si>
  <si>
    <t xml:space="preserve">Internet </t>
  </si>
  <si>
    <t>Rubis removal</t>
  </si>
  <si>
    <t>Road</t>
  </si>
  <si>
    <t>Garden</t>
  </si>
  <si>
    <t>Pefro</t>
  </si>
  <si>
    <t>Marintime</t>
  </si>
  <si>
    <t>Andrisa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</si>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</sst>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-* #,##0.00_-;\-* #,##0.00_-;_-* \-??_-;_-@_-"/>
    <numFmt numFmtId="168" formatCode="_-* #,##0.00_-;\-* #,##0.00_-;_-* \-??_-;_-@"/>
    <numFmt numFmtId="169" formatCode="[$-3009]dd\-mmm\-yy"/>
    <numFmt numFmtId="170" formatCode="[$MZN]\ #,##0.00"/>
    <numFmt numFmtId="171" formatCode="&quot;$&quot;#,##0.00"/>
    <numFmt numFmtId="172" formatCode="[$-409]mmm\-yy;@"/>
    <numFmt numFmtId="173" formatCode="[$-409]dd\-mmm\-yy;@"/>
    <numFmt numFmtId="174" formatCode="[$-409]d\-mmm\-yy"/>
    <numFmt numFmtId="175" formatCode="_-* #,##0.00_-;\-* #,##0.00_-;_-* &quot;-&quot;??_-;_-@"/>
    <numFmt numFmtId="176" formatCode="[$$-409]#,##0.00"/>
  </numFmts>
  <fonts count="72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0"/>
      <color rgb="FF000000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164" fontId="27" fillId="0" borderId="0" applyBorder="0" applyProtection="0"/>
    <xf numFmtId="165" fontId="27" fillId="0" borderId="0" applyBorder="0" applyProtection="0"/>
    <xf numFmtId="166" fontId="27" fillId="0" borderId="0" applyBorder="0" applyProtection="0"/>
    <xf numFmtId="164" fontId="27" fillId="0" borderId="0" applyBorder="0" applyProtection="0"/>
    <xf numFmtId="166" fontId="27" fillId="0" borderId="0" applyBorder="0" applyProtection="0"/>
    <xf numFmtId="167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4" fontId="27" fillId="0" borderId="0" applyBorder="0" applyProtection="0"/>
    <xf numFmtId="164" fontId="27" fillId="0" borderId="0" applyBorder="0" applyProtection="0"/>
    <xf numFmtId="0" fontId="16" fillId="0" borderId="0"/>
    <xf numFmtId="0" fontId="16" fillId="0" borderId="0"/>
    <xf numFmtId="0" fontId="27" fillId="0" borderId="0"/>
    <xf numFmtId="0" fontId="16" fillId="0" borderId="0"/>
    <xf numFmtId="0" fontId="2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9" fontId="27" fillId="0" borderId="0" applyBorder="0" applyProtection="0"/>
    <xf numFmtId="0" fontId="29" fillId="0" borderId="0"/>
    <xf numFmtId="0" fontId="15" fillId="0" borderId="0"/>
    <xf numFmtId="0" fontId="34" fillId="0" borderId="0"/>
    <xf numFmtId="0" fontId="14" fillId="0" borderId="0"/>
    <xf numFmtId="0" fontId="33" fillId="0" borderId="0"/>
    <xf numFmtId="164" fontId="33" fillId="0" borderId="0" applyBorder="0" applyAlignment="0" applyProtection="0"/>
    <xf numFmtId="164" fontId="33" fillId="0" borderId="0" applyBorder="0" applyAlignment="0" applyProtection="0"/>
    <xf numFmtId="0" fontId="33" fillId="0" borderId="0"/>
    <xf numFmtId="0" fontId="35" fillId="0" borderId="0"/>
    <xf numFmtId="0" fontId="36" fillId="0" borderId="0"/>
    <xf numFmtId="0" fontId="13" fillId="0" borderId="0"/>
    <xf numFmtId="0" fontId="37" fillId="0" borderId="0"/>
    <xf numFmtId="167" fontId="33" fillId="0" borderId="0" applyBorder="0" applyAlignment="0" applyProtection="0"/>
    <xf numFmtId="0" fontId="12" fillId="0" borderId="0"/>
    <xf numFmtId="0" fontId="39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</cellStyleXfs>
  <cellXfs count="234">
    <xf numFmtId="0" fontId="0" fillId="0" borderId="0" xfId="0"/>
    <xf numFmtId="0" fontId="19" fillId="0" borderId="0" xfId="0" applyFont="1"/>
    <xf numFmtId="4" fontId="19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4" fontId="21" fillId="0" borderId="0" xfId="0" applyNumberFormat="1" applyFont="1"/>
    <xf numFmtId="0" fontId="21" fillId="2" borderId="0" xfId="0" applyFont="1" applyFill="1"/>
    <xf numFmtId="0" fontId="19" fillId="2" borderId="0" xfId="0" applyFont="1" applyFill="1"/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2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4" fontId="22" fillId="0" borderId="0" xfId="0" applyNumberFormat="1" applyFont="1"/>
    <xf numFmtId="4" fontId="22" fillId="0" borderId="1" xfId="0" applyNumberFormat="1" applyFont="1" applyBorder="1"/>
    <xf numFmtId="168" fontId="22" fillId="2" borderId="0" xfId="0" applyNumberFormat="1" applyFont="1" applyFill="1"/>
    <xf numFmtId="0" fontId="22" fillId="3" borderId="2" xfId="0" applyFont="1" applyFill="1" applyBorder="1" applyAlignment="1">
      <alignment horizontal="center"/>
    </xf>
    <xf numFmtId="0" fontId="22" fillId="3" borderId="2" xfId="0" applyFont="1" applyFill="1" applyBorder="1"/>
    <xf numFmtId="169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0" borderId="2" xfId="0" applyFont="1" applyBorder="1"/>
    <xf numFmtId="4" fontId="19" fillId="0" borderId="2" xfId="0" applyNumberFormat="1" applyFont="1" applyBorder="1"/>
    <xf numFmtId="0" fontId="22" fillId="0" borderId="0" xfId="0" applyFont="1"/>
    <xf numFmtId="170" fontId="0" fillId="0" borderId="0" xfId="0" applyNumberFormat="1"/>
    <xf numFmtId="0" fontId="23" fillId="0" borderId="0" xfId="0" applyFont="1"/>
    <xf numFmtId="168" fontId="1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5" fillId="0" borderId="0" xfId="0" applyFont="1" applyAlignment="1">
      <alignment horizontal="center"/>
    </xf>
    <xf numFmtId="1" fontId="20" fillId="0" borderId="0" xfId="0" applyNumberFormat="1" applyFont="1"/>
    <xf numFmtId="1" fontId="19" fillId="0" borderId="0" xfId="0" applyNumberFormat="1" applyFont="1" applyAlignment="1">
      <alignment horizontal="left"/>
    </xf>
    <xf numFmtId="1" fontId="19" fillId="2" borderId="0" xfId="0" applyNumberFormat="1" applyFont="1" applyFill="1"/>
    <xf numFmtId="1" fontId="22" fillId="0" borderId="0" xfId="0" applyNumberFormat="1" applyFont="1" applyAlignment="1">
      <alignment horizontal="left"/>
    </xf>
    <xf numFmtId="1" fontId="22" fillId="3" borderId="2" xfId="0" applyNumberFormat="1" applyFont="1" applyFill="1" applyBorder="1" applyAlignment="1">
      <alignment horizontal="center"/>
    </xf>
    <xf numFmtId="1" fontId="19" fillId="0" borderId="0" xfId="0" applyNumberFormat="1" applyFont="1"/>
    <xf numFmtId="0" fontId="24" fillId="0" borderId="0" xfId="0" applyFont="1"/>
    <xf numFmtId="171" fontId="19" fillId="0" borderId="0" xfId="0" applyNumberFormat="1" applyFont="1"/>
    <xf numFmtId="171" fontId="22" fillId="3" borderId="3" xfId="0" applyNumberFormat="1" applyFont="1" applyFill="1" applyBorder="1"/>
    <xf numFmtId="171" fontId="19" fillId="0" borderId="2" xfId="0" applyNumberFormat="1" applyFont="1" applyBorder="1"/>
    <xf numFmtId="0" fontId="38" fillId="5" borderId="0" xfId="0" applyFont="1" applyFill="1"/>
    <xf numFmtId="0" fontId="9" fillId="0" borderId="0" xfId="41"/>
    <xf numFmtId="0" fontId="9" fillId="4" borderId="0" xfId="41" applyFill="1"/>
    <xf numFmtId="0" fontId="40" fillId="0" borderId="0" xfId="41" applyFont="1"/>
    <xf numFmtId="4" fontId="9" fillId="0" borderId="0" xfId="41" applyNumberFormat="1"/>
    <xf numFmtId="0" fontId="9" fillId="4" borderId="6" xfId="41" applyFill="1" applyBorder="1" applyAlignment="1">
      <alignment horizontal="center"/>
    </xf>
    <xf numFmtId="0" fontId="9" fillId="4" borderId="7" xfId="41" applyFill="1" applyBorder="1" applyAlignment="1">
      <alignment horizontal="center"/>
    </xf>
    <xf numFmtId="0" fontId="9" fillId="4" borderId="0" xfId="41" applyFill="1" applyAlignment="1">
      <alignment horizontal="center"/>
    </xf>
    <xf numFmtId="4" fontId="9" fillId="0" borderId="10" xfId="41" applyNumberFormat="1" applyBorder="1"/>
    <xf numFmtId="4" fontId="41" fillId="0" borderId="0" xfId="41" applyNumberFormat="1" applyFont="1"/>
    <xf numFmtId="4" fontId="9" fillId="0" borderId="11" xfId="41" applyNumberFormat="1" applyBorder="1"/>
    <xf numFmtId="4" fontId="41" fillId="0" borderId="12" xfId="41" applyNumberFormat="1" applyFont="1" applyBorder="1"/>
    <xf numFmtId="4" fontId="9" fillId="0" borderId="13" xfId="41" applyNumberFormat="1" applyBorder="1"/>
    <xf numFmtId="4" fontId="42" fillId="4" borderId="10" xfId="41" applyNumberFormat="1" applyFont="1" applyFill="1" applyBorder="1"/>
    <xf numFmtId="4" fontId="43" fillId="4" borderId="0" xfId="41" applyNumberFormat="1" applyFont="1" applyFill="1"/>
    <xf numFmtId="4" fontId="9" fillId="4" borderId="0" xfId="41" applyNumberFormat="1" applyFill="1"/>
    <xf numFmtId="4" fontId="9" fillId="4" borderId="11" xfId="41" applyNumberFormat="1" applyFill="1" applyBorder="1"/>
    <xf numFmtId="4" fontId="43" fillId="0" borderId="13" xfId="41" applyNumberFormat="1" applyFont="1" applyBorder="1"/>
    <xf numFmtId="4" fontId="43" fillId="0" borderId="12" xfId="41" applyNumberFormat="1" applyFont="1" applyBorder="1"/>
    <xf numFmtId="4" fontId="9" fillId="4" borderId="10" xfId="41" applyNumberFormat="1" applyFill="1" applyBorder="1"/>
    <xf numFmtId="4" fontId="44" fillId="0" borderId="12" xfId="41" applyNumberFormat="1" applyFont="1" applyBorder="1"/>
    <xf numFmtId="4" fontId="9" fillId="0" borderId="12" xfId="41" applyNumberFormat="1" applyBorder="1"/>
    <xf numFmtId="4" fontId="45" fillId="0" borderId="12" xfId="41" applyNumberFormat="1" applyFont="1" applyBorder="1"/>
    <xf numFmtId="4" fontId="46" fillId="0" borderId="12" xfId="41" applyNumberFormat="1" applyFont="1" applyBorder="1"/>
    <xf numFmtId="4" fontId="31" fillId="6" borderId="14" xfId="41" applyNumberFormat="1" applyFont="1" applyFill="1" applyBorder="1" applyAlignment="1">
      <alignment horizontal="right" vertical="center"/>
    </xf>
    <xf numFmtId="4" fontId="31" fillId="6" borderId="15" xfId="41" applyNumberFormat="1" applyFont="1" applyFill="1" applyBorder="1" applyAlignment="1">
      <alignment horizontal="right" vertical="center"/>
    </xf>
    <xf numFmtId="4" fontId="9" fillId="7" borderId="13" xfId="41" applyNumberFormat="1" applyFill="1" applyBorder="1"/>
    <xf numFmtId="4" fontId="9" fillId="0" borderId="16" xfId="41" applyNumberFormat="1" applyBorder="1"/>
    <xf numFmtId="4" fontId="9" fillId="4" borderId="18" xfId="41" applyNumberFormat="1" applyFill="1" applyBorder="1"/>
    <xf numFmtId="4" fontId="9" fillId="4" borderId="19" xfId="41" applyNumberFormat="1" applyFill="1" applyBorder="1"/>
    <xf numFmtId="4" fontId="45" fillId="4" borderId="20" xfId="41" applyNumberFormat="1" applyFont="1" applyFill="1" applyBorder="1"/>
    <xf numFmtId="4" fontId="45" fillId="4" borderId="19" xfId="41" applyNumberFormat="1" applyFont="1" applyFill="1" applyBorder="1"/>
    <xf numFmtId="4" fontId="9" fillId="4" borderId="21" xfId="41" applyNumberFormat="1" applyFill="1" applyBorder="1"/>
    <xf numFmtId="0" fontId="40" fillId="0" borderId="0" xfId="41" applyFont="1" applyAlignment="1">
      <alignment wrapText="1"/>
    </xf>
    <xf numFmtId="4" fontId="43" fillId="4" borderId="12" xfId="41" applyNumberFormat="1" applyFont="1" applyFill="1" applyBorder="1"/>
    <xf numFmtId="4" fontId="0" fillId="0" borderId="2" xfId="0" applyNumberFormat="1" applyBorder="1" applyAlignment="1">
      <alignment horizontal="center"/>
    </xf>
    <xf numFmtId="4" fontId="9" fillId="9" borderId="10" xfId="41" applyNumberFormat="1" applyFill="1" applyBorder="1"/>
    <xf numFmtId="4" fontId="9" fillId="9" borderId="17" xfId="41" applyNumberFormat="1" applyFill="1" applyBorder="1"/>
    <xf numFmtId="0" fontId="7" fillId="0" borderId="0" xfId="41" applyFont="1"/>
    <xf numFmtId="4" fontId="9" fillId="0" borderId="22" xfId="41" applyNumberFormat="1" applyBorder="1"/>
    <xf numFmtId="171" fontId="9" fillId="0" borderId="0" xfId="41" applyNumberFormat="1"/>
    <xf numFmtId="171" fontId="9" fillId="0" borderId="22" xfId="41" applyNumberFormat="1" applyBorder="1"/>
    <xf numFmtId="172" fontId="24" fillId="0" borderId="0" xfId="0" applyNumberFormat="1" applyFont="1" applyAlignment="1">
      <alignment horizontal="center"/>
    </xf>
    <xf numFmtId="172" fontId="17" fillId="0" borderId="2" xfId="0" applyNumberFormat="1" applyFont="1" applyBorder="1" applyAlignment="1">
      <alignment horizontal="center"/>
    </xf>
    <xf numFmtId="172" fontId="28" fillId="0" borderId="2" xfId="0" applyNumberFormat="1" applyFont="1" applyBorder="1" applyAlignment="1">
      <alignment horizontal="center" vertical="center"/>
    </xf>
    <xf numFmtId="172" fontId="0" fillId="0" borderId="2" xfId="0" applyNumberFormat="1" applyBorder="1" applyAlignment="1">
      <alignment horizontal="center"/>
    </xf>
    <xf numFmtId="172" fontId="25" fillId="0" borderId="0" xfId="0" applyNumberFormat="1" applyFont="1" applyAlignment="1">
      <alignment horizontal="center"/>
    </xf>
    <xf numFmtId="172" fontId="23" fillId="0" borderId="0" xfId="0" applyNumberFormat="1" applyFont="1" applyAlignment="1">
      <alignment horizontal="center"/>
    </xf>
    <xf numFmtId="170" fontId="17" fillId="0" borderId="0" xfId="0" applyNumberFormat="1" applyFont="1" applyAlignment="1">
      <alignment horizontal="right"/>
    </xf>
    <xf numFmtId="170" fontId="26" fillId="0" borderId="2" xfId="0" applyNumberFormat="1" applyFont="1" applyBorder="1" applyAlignment="1">
      <alignment horizontal="right"/>
    </xf>
    <xf numFmtId="170" fontId="28" fillId="4" borderId="2" xfId="0" applyNumberFormat="1" applyFont="1" applyFill="1" applyBorder="1" applyAlignment="1">
      <alignment horizontal="right"/>
    </xf>
    <xf numFmtId="170" fontId="28" fillId="2" borderId="2" xfId="0" applyNumberFormat="1" applyFont="1" applyFill="1" applyBorder="1" applyAlignment="1">
      <alignment horizontal="right"/>
    </xf>
    <xf numFmtId="170" fontId="28" fillId="0" borderId="2" xfId="0" applyNumberFormat="1" applyFont="1" applyBorder="1" applyAlignment="1">
      <alignment horizontal="right"/>
    </xf>
    <xf numFmtId="170" fontId="28" fillId="8" borderId="2" xfId="0" applyNumberFormat="1" applyFont="1" applyFill="1" applyBorder="1" applyAlignment="1">
      <alignment horizontal="right"/>
    </xf>
    <xf numFmtId="170" fontId="30" fillId="0" borderId="4" xfId="43" applyNumberFormat="1" applyFont="1" applyBorder="1" applyAlignment="1">
      <alignment horizontal="center"/>
    </xf>
    <xf numFmtId="170" fontId="30" fillId="0" borderId="23" xfId="43" applyNumberFormat="1" applyFont="1" applyBorder="1" applyAlignment="1">
      <alignment horizontal="center"/>
    </xf>
    <xf numFmtId="170" fontId="0" fillId="0" borderId="2" xfId="0" applyNumberFormat="1" applyBorder="1" applyAlignment="1">
      <alignment horizontal="right"/>
    </xf>
    <xf numFmtId="170" fontId="25" fillId="0" borderId="0" xfId="0" applyNumberFormat="1" applyFont="1" applyAlignment="1">
      <alignment horizontal="right"/>
    </xf>
    <xf numFmtId="170" fontId="23" fillId="0" borderId="0" xfId="0" applyNumberFormat="1" applyFont="1" applyAlignment="1">
      <alignment horizontal="right"/>
    </xf>
    <xf numFmtId="171" fontId="23" fillId="0" borderId="2" xfId="0" applyNumberFormat="1" applyFont="1" applyBorder="1"/>
    <xf numFmtId="171" fontId="23" fillId="0" borderId="24" xfId="0" applyNumberFormat="1" applyFont="1" applyBorder="1"/>
    <xf numFmtId="171" fontId="0" fillId="0" borderId="2" xfId="0" applyNumberFormat="1" applyBorder="1"/>
    <xf numFmtId="0" fontId="6" fillId="0" borderId="0" xfId="41" applyFont="1"/>
    <xf numFmtId="0" fontId="4" fillId="0" borderId="0" xfId="41" applyFont="1"/>
    <xf numFmtId="0" fontId="32" fillId="0" borderId="0" xfId="41" applyFont="1"/>
    <xf numFmtId="0" fontId="47" fillId="0" borderId="0" xfId="41" applyFont="1"/>
    <xf numFmtId="1" fontId="24" fillId="0" borderId="0" xfId="0" applyNumberFormat="1" applyFont="1"/>
    <xf numFmtId="0" fontId="16" fillId="0" borderId="0" xfId="0" applyFont="1"/>
    <xf numFmtId="4" fontId="17" fillId="0" borderId="0" xfId="0" applyNumberFormat="1" applyFont="1" applyAlignment="1">
      <alignment horizontal="right"/>
    </xf>
    <xf numFmtId="4" fontId="25" fillId="0" borderId="0" xfId="0" applyNumberFormat="1" applyFont="1"/>
    <xf numFmtId="4" fontId="23" fillId="0" borderId="0" xfId="0" applyNumberFormat="1" applyFont="1"/>
    <xf numFmtId="4" fontId="3" fillId="0" borderId="0" xfId="45" applyNumberFormat="1"/>
    <xf numFmtId="0" fontId="17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4" fontId="48" fillId="0" borderId="0" xfId="0" applyNumberFormat="1" applyFont="1" applyAlignment="1">
      <alignment horizontal="right"/>
    </xf>
    <xf numFmtId="173" fontId="17" fillId="0" borderId="0" xfId="0" applyNumberFormat="1" applyFont="1" applyAlignment="1">
      <alignment horizontal="center"/>
    </xf>
    <xf numFmtId="173" fontId="17" fillId="0" borderId="2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4" fontId="26" fillId="0" borderId="2" xfId="0" applyNumberFormat="1" applyFont="1" applyBorder="1" applyAlignment="1">
      <alignment horizontal="right"/>
    </xf>
    <xf numFmtId="4" fontId="25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0" fillId="0" borderId="2" xfId="0" applyFont="1" applyBorder="1" applyAlignment="1">
      <alignment horizontal="center" wrapText="1"/>
    </xf>
    <xf numFmtId="4" fontId="51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3" fillId="0" borderId="2" xfId="0" applyNumberFormat="1" applyFont="1" applyBorder="1" applyAlignment="1">
      <alignment wrapText="1"/>
    </xf>
    <xf numFmtId="0" fontId="26" fillId="0" borderId="2" xfId="0" applyFont="1" applyBorder="1" applyAlignment="1">
      <alignment horizontal="center" wrapText="1"/>
    </xf>
    <xf numFmtId="4" fontId="23" fillId="0" borderId="2" xfId="0" applyNumberFormat="1" applyFont="1" applyBorder="1"/>
    <xf numFmtId="173" fontId="25" fillId="0" borderId="0" xfId="0" applyNumberFormat="1" applyFont="1" applyAlignment="1">
      <alignment horizontal="center"/>
    </xf>
    <xf numFmtId="0" fontId="25" fillId="2" borderId="0" xfId="0" applyFont="1" applyFill="1"/>
    <xf numFmtId="4" fontId="25" fillId="0" borderId="0" xfId="0" applyNumberFormat="1" applyFont="1" applyAlignment="1">
      <alignment horizontal="right"/>
    </xf>
    <xf numFmtId="173" fontId="23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center"/>
    </xf>
    <xf numFmtId="176" fontId="19" fillId="0" borderId="0" xfId="0" applyNumberFormat="1" applyFont="1"/>
    <xf numFmtId="1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52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3" fillId="0" borderId="0" xfId="0" applyNumberFormat="1" applyFont="1" applyAlignment="1">
      <alignment wrapText="1"/>
    </xf>
    <xf numFmtId="0" fontId="53" fillId="0" borderId="0" xfId="41" applyFont="1"/>
    <xf numFmtId="0" fontId="54" fillId="0" borderId="0" xfId="0" applyFont="1"/>
    <xf numFmtId="0" fontId="56" fillId="2" borderId="2" xfId="0" applyFont="1" applyFill="1" applyBorder="1" applyAlignment="1">
      <alignment horizontal="center"/>
    </xf>
    <xf numFmtId="4" fontId="55" fillId="0" borderId="2" xfId="0" applyNumberFormat="1" applyFont="1" applyBorder="1" applyAlignment="1">
      <alignment vertical="center"/>
    </xf>
    <xf numFmtId="4" fontId="55" fillId="4" borderId="2" xfId="0" applyNumberFormat="1" applyFont="1" applyFill="1" applyBorder="1" applyAlignment="1">
      <alignment vertical="center"/>
    </xf>
    <xf numFmtId="4" fontId="57" fillId="8" borderId="2" xfId="0" applyNumberFormat="1" applyFont="1" applyFill="1" applyBorder="1" applyAlignment="1">
      <alignment horizontal="right"/>
    </xf>
    <xf numFmtId="173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55" fillId="2" borderId="0" xfId="0" applyFont="1" applyFill="1"/>
    <xf numFmtId="4" fontId="55" fillId="0" borderId="0" xfId="0" applyNumberFormat="1" applyFont="1" applyAlignment="1">
      <alignment horizontal="right"/>
    </xf>
    <xf numFmtId="4" fontId="55" fillId="0" borderId="0" xfId="0" applyNumberFormat="1" applyFont="1"/>
    <xf numFmtId="0" fontId="55" fillId="2" borderId="2" xfId="0" applyFont="1" applyFill="1" applyBorder="1" applyAlignment="1">
      <alignment wrapText="1"/>
    </xf>
    <xf numFmtId="4" fontId="55" fillId="0" borderId="2" xfId="0" applyNumberFormat="1" applyFont="1" applyBorder="1" applyAlignment="1">
      <alignment horizontal="left" wrapText="1"/>
    </xf>
    <xf numFmtId="0" fontId="55" fillId="0" borderId="0" xfId="0" applyFont="1"/>
    <xf numFmtId="4" fontId="55" fillId="4" borderId="2" xfId="0" applyNumberFormat="1" applyFont="1" applyFill="1" applyBorder="1" applyAlignment="1">
      <alignment wrapText="1"/>
    </xf>
    <xf numFmtId="4" fontId="55" fillId="8" borderId="2" xfId="0" applyNumberFormat="1" applyFont="1" applyFill="1" applyBorder="1" applyAlignment="1">
      <alignment wrapText="1"/>
    </xf>
    <xf numFmtId="4" fontId="55" fillId="4" borderId="2" xfId="0" applyNumberFormat="1" applyFont="1" applyFill="1" applyBorder="1" applyAlignment="1">
      <alignment horizontal="left" wrapText="1"/>
    </xf>
    <xf numFmtId="0" fontId="55" fillId="8" borderId="2" xfId="0" applyFont="1" applyFill="1" applyBorder="1" applyAlignment="1">
      <alignment wrapText="1"/>
    </xf>
    <xf numFmtId="0" fontId="55" fillId="4" borderId="2" xfId="0" applyFont="1" applyFill="1" applyBorder="1" applyAlignment="1">
      <alignment horizontal="center" wrapText="1"/>
    </xf>
    <xf numFmtId="4" fontId="55" fillId="4" borderId="2" xfId="0" applyNumberFormat="1" applyFont="1" applyFill="1" applyBorder="1" applyAlignment="1">
      <alignment horizontal="center" wrapText="1"/>
    </xf>
    <xf numFmtId="4" fontId="55" fillId="0" borderId="2" xfId="0" applyNumberFormat="1" applyFont="1" applyBorder="1"/>
    <xf numFmtId="168" fontId="55" fillId="2" borderId="2" xfId="0" applyNumberFormat="1" applyFont="1" applyFill="1" applyBorder="1" applyAlignment="1">
      <alignment horizontal="center"/>
    </xf>
    <xf numFmtId="4" fontId="55" fillId="4" borderId="2" xfId="29" applyNumberFormat="1" applyFont="1" applyFill="1" applyBorder="1" applyAlignment="1" applyProtection="1">
      <alignment horizontal="right"/>
    </xf>
    <xf numFmtId="4" fontId="55" fillId="4" borderId="2" xfId="0" applyNumberFormat="1" applyFont="1" applyFill="1" applyBorder="1"/>
    <xf numFmtId="4" fontId="55" fillId="4" borderId="0" xfId="0" applyNumberFormat="1" applyFont="1" applyFill="1"/>
    <xf numFmtId="0" fontId="55" fillId="4" borderId="0" xfId="0" applyFont="1" applyFill="1"/>
    <xf numFmtId="4" fontId="55" fillId="0" borderId="3" xfId="0" applyNumberFormat="1" applyFont="1" applyBorder="1" applyAlignment="1">
      <alignment vertical="center"/>
    </xf>
    <xf numFmtId="0" fontId="55" fillId="2" borderId="2" xfId="0" applyFont="1" applyFill="1" applyBorder="1"/>
    <xf numFmtId="4" fontId="55" fillId="0" borderId="2" xfId="0" applyNumberFormat="1" applyFont="1" applyBorder="1" applyAlignment="1">
      <alignment horizontal="right"/>
    </xf>
    <xf numFmtId="0" fontId="55" fillId="2" borderId="2" xfId="0" applyFont="1" applyFill="1" applyBorder="1" applyAlignment="1">
      <alignment horizontal="left" vertical="center" wrapText="1"/>
    </xf>
    <xf numFmtId="174" fontId="58" fillId="4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" fontId="58" fillId="0" borderId="2" xfId="0" applyNumberFormat="1" applyFont="1" applyBorder="1" applyAlignment="1">
      <alignment vertical="center"/>
    </xf>
    <xf numFmtId="4" fontId="58" fillId="4" borderId="2" xfId="0" applyNumberFormat="1" applyFont="1" applyFill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4" fontId="28" fillId="2" borderId="2" xfId="0" applyNumberFormat="1" applyFont="1" applyFill="1" applyBorder="1" applyAlignment="1">
      <alignment vertical="center"/>
    </xf>
    <xf numFmtId="174" fontId="59" fillId="0" borderId="3" xfId="0" applyNumberFormat="1" applyFont="1" applyBorder="1" applyAlignment="1">
      <alignment horizontal="right" vertical="center"/>
    </xf>
    <xf numFmtId="174" fontId="60" fillId="0" borderId="2" xfId="0" applyNumberFormat="1" applyFont="1" applyBorder="1" applyAlignment="1">
      <alignment horizontal="right"/>
    </xf>
    <xf numFmtId="0" fontId="59" fillId="0" borderId="3" xfId="0" applyFont="1" applyBorder="1" applyAlignment="1">
      <alignment horizontal="left" vertical="center"/>
    </xf>
    <xf numFmtId="0" fontId="60" fillId="0" borderId="2" xfId="0" applyFont="1" applyBorder="1"/>
    <xf numFmtId="0" fontId="59" fillId="0" borderId="2" xfId="0" applyFont="1" applyBorder="1"/>
    <xf numFmtId="0" fontId="60" fillId="0" borderId="2" xfId="0" applyFont="1" applyBorder="1" applyAlignment="1">
      <alignment horizontal="left" vertical="center"/>
    </xf>
    <xf numFmtId="4" fontId="59" fillId="4" borderId="3" xfId="0" applyNumberFormat="1" applyFont="1" applyFill="1" applyBorder="1" applyAlignment="1">
      <alignment horizontal="right" vertical="center"/>
    </xf>
    <xf numFmtId="167" fontId="60" fillId="4" borderId="2" xfId="35" applyFont="1" applyFill="1" applyBorder="1" applyAlignment="1" applyProtection="1">
      <alignment horizontal="center"/>
    </xf>
    <xf numFmtId="4" fontId="28" fillId="4" borderId="2" xfId="0" applyNumberFormat="1" applyFont="1" applyFill="1" applyBorder="1" applyAlignment="1">
      <alignment horizontal="right"/>
    </xf>
    <xf numFmtId="4" fontId="28" fillId="2" borderId="2" xfId="0" applyNumberFormat="1" applyFont="1" applyFill="1" applyBorder="1" applyAlignment="1">
      <alignment horizontal="right"/>
    </xf>
    <xf numFmtId="4" fontId="28" fillId="8" borderId="2" xfId="0" applyNumberFormat="1" applyFont="1" applyFill="1" applyBorder="1" applyAlignment="1">
      <alignment horizontal="right"/>
    </xf>
    <xf numFmtId="4" fontId="58" fillId="4" borderId="2" xfId="0" applyNumberFormat="1" applyFont="1" applyFill="1" applyBorder="1" applyAlignment="1">
      <alignment horizontal="right"/>
    </xf>
    <xf numFmtId="4" fontId="61" fillId="0" borderId="2" xfId="0" applyNumberFormat="1" applyFont="1" applyBorder="1" applyAlignment="1">
      <alignment horizontal="right"/>
    </xf>
    <xf numFmtId="4" fontId="55" fillId="4" borderId="2" xfId="0" applyNumberFormat="1" applyFont="1" applyFill="1" applyBorder="1" applyAlignment="1">
      <alignment horizontal="right" wrapText="1"/>
    </xf>
    <xf numFmtId="0" fontId="31" fillId="0" borderId="29" xfId="19" applyFont="1" applyBorder="1" applyAlignment="1">
      <alignment horizontal="left" vertical="center"/>
    </xf>
    <xf numFmtId="0" fontId="31" fillId="0" borderId="2" xfId="19" applyFont="1" applyBorder="1" applyAlignment="1">
      <alignment horizontal="left" vertical="center"/>
    </xf>
    <xf numFmtId="43" fontId="55" fillId="0" borderId="0" xfId="0" applyNumberFormat="1" applyFont="1"/>
    <xf numFmtId="4" fontId="66" fillId="0" borderId="0" xfId="0" applyNumberFormat="1" applyFont="1"/>
    <xf numFmtId="170" fontId="66" fillId="0" borderId="0" xfId="0" applyNumberFormat="1" applyFont="1"/>
    <xf numFmtId="176" fontId="66" fillId="0" borderId="0" xfId="0" applyNumberFormat="1" applyFont="1"/>
    <xf numFmtId="170" fontId="67" fillId="0" borderId="0" xfId="0" applyNumberFormat="1" applyFont="1"/>
    <xf numFmtId="170" fontId="67" fillId="0" borderId="0" xfId="0" applyNumberFormat="1" applyFont="1" applyAlignment="1">
      <alignment wrapText="1"/>
    </xf>
    <xf numFmtId="4" fontId="68" fillId="0" borderId="0" xfId="0" applyNumberFormat="1" applyFont="1"/>
    <xf numFmtId="4" fontId="69" fillId="0" borderId="0" xfId="0" applyNumberFormat="1" applyFont="1"/>
    <xf numFmtId="176" fontId="68" fillId="0" borderId="0" xfId="0" applyNumberFormat="1" applyFont="1"/>
    <xf numFmtId="174" fontId="70" fillId="0" borderId="2" xfId="0" applyNumberFormat="1" applyFont="1" applyBorder="1" applyAlignment="1">
      <alignment horizontal="center" vertical="center"/>
    </xf>
    <xf numFmtId="167" fontId="60" fillId="0" borderId="2" xfId="35" applyFont="1" applyBorder="1" applyAlignment="1" applyProtection="1">
      <alignment horizontal="center"/>
    </xf>
    <xf numFmtId="4" fontId="58" fillId="4" borderId="28" xfId="0" applyNumberFormat="1" applyFont="1" applyFill="1" applyBorder="1" applyAlignment="1">
      <alignment horizontal="right"/>
    </xf>
    <xf numFmtId="0" fontId="1" fillId="0" borderId="0" xfId="41" applyFont="1"/>
    <xf numFmtId="174" fontId="33" fillId="0" borderId="0" xfId="0" applyNumberFormat="1" applyFont="1" applyAlignment="1">
      <alignment horizontal="center" vertical="center"/>
    </xf>
    <xf numFmtId="4" fontId="58" fillId="4" borderId="30" xfId="0" applyNumberFormat="1" applyFont="1" applyFill="1" applyBorder="1" applyAlignment="1">
      <alignment vertical="center"/>
    </xf>
    <xf numFmtId="0" fontId="71" fillId="0" borderId="29" xfId="0" applyFont="1" applyBorder="1" applyAlignment="1">
      <alignment horizontal="left" vertical="center"/>
    </xf>
    <xf numFmtId="0" fontId="33" fillId="0" borderId="2" xfId="0" applyFont="1" applyBorder="1" applyAlignment="1">
      <alignment vertical="center"/>
    </xf>
    <xf numFmtId="4" fontId="55" fillId="4" borderId="27" xfId="29" applyNumberFormat="1" applyFont="1" applyFill="1" applyBorder="1" applyAlignment="1" applyProtection="1">
      <alignment horizontal="right"/>
    </xf>
    <xf numFmtId="0" fontId="62" fillId="0" borderId="2" xfId="0" applyFont="1" applyBorder="1" applyAlignment="1">
      <alignment horizontal="left"/>
    </xf>
    <xf numFmtId="4" fontId="62" fillId="0" borderId="2" xfId="0" applyNumberFormat="1" applyFont="1" applyBorder="1" applyAlignment="1">
      <alignment horizontal="right"/>
    </xf>
    <xf numFmtId="0" fontId="53" fillId="0" borderId="2" xfId="0" applyFont="1" applyBorder="1"/>
    <xf numFmtId="175" fontId="53" fillId="4" borderId="2" xfId="0" applyNumberFormat="1" applyFont="1" applyFill="1" applyBorder="1" applyAlignment="1">
      <alignment horizontal="center"/>
    </xf>
    <xf numFmtId="0" fontId="53" fillId="0" borderId="2" xfId="0" applyFont="1" applyBorder="1" applyAlignment="1">
      <alignment horizontal="left" wrapText="1"/>
    </xf>
    <xf numFmtId="175" fontId="53" fillId="0" borderId="2" xfId="0" applyNumberFormat="1" applyFont="1" applyBorder="1" applyAlignment="1">
      <alignment horizontal="center"/>
    </xf>
    <xf numFmtId="0" fontId="53" fillId="0" borderId="2" xfId="0" applyFont="1" applyBorder="1" applyAlignment="1">
      <alignment horizontal="left"/>
    </xf>
    <xf numFmtId="175" fontId="63" fillId="0" borderId="2" xfId="0" applyNumberFormat="1" applyFont="1" applyBorder="1" applyAlignment="1">
      <alignment horizontal="center"/>
    </xf>
    <xf numFmtId="0" fontId="32" fillId="0" borderId="2" xfId="21" applyFont="1" applyBorder="1" applyAlignment="1">
      <alignment horizontal="left" vertical="center"/>
    </xf>
    <xf numFmtId="4" fontId="59" fillId="4" borderId="2" xfId="0" applyNumberFormat="1" applyFont="1" applyFill="1" applyBorder="1" applyAlignment="1">
      <alignment horizontal="right" vertical="center"/>
    </xf>
    <xf numFmtId="175" fontId="55" fillId="0" borderId="0" xfId="0" applyNumberFormat="1" applyFont="1"/>
    <xf numFmtId="17" fontId="64" fillId="0" borderId="0" xfId="41" applyNumberFormat="1" applyFont="1" applyAlignment="1">
      <alignment horizontal="center"/>
    </xf>
    <xf numFmtId="17" fontId="65" fillId="0" borderId="0" xfId="0" applyNumberFormat="1" applyFont="1" applyAlignment="1">
      <alignment horizontal="center"/>
    </xf>
    <xf numFmtId="4" fontId="68" fillId="0" borderId="0" xfId="0" applyNumberFormat="1" applyFont="1"/>
    <xf numFmtId="0" fontId="0" fillId="0" borderId="0" xfId="0"/>
    <xf numFmtId="0" fontId="5" fillId="0" borderId="0" xfId="41" applyFont="1"/>
    <xf numFmtId="0" fontId="9" fillId="4" borderId="5" xfId="4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8" xfId="4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8" xfId="41" applyFont="1" applyBorder="1" applyAlignment="1">
      <alignment horizontal="center"/>
    </xf>
    <xf numFmtId="4" fontId="49" fillId="0" borderId="25" xfId="0" applyNumberFormat="1" applyFont="1" applyBorder="1" applyAlignment="1">
      <alignment horizontal="center"/>
    </xf>
    <xf numFmtId="0" fontId="0" fillId="0" borderId="26" xfId="0" applyBorder="1"/>
    <xf numFmtId="1" fontId="24" fillId="0" borderId="0" xfId="0" applyNumberFormat="1" applyFont="1"/>
  </cellXfs>
  <cellStyles count="47"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Relationship Id="rId1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BDO%20Accounts%202026\02%20BDO%20Bank%20Control%202026.xlsx" TargetMode="External"/><Relationship Id="rId1" Type="http://schemas.openxmlformats.org/officeDocument/2006/relationships/externalLinkPath" Target="file:///C:\Users\Andrisa\Dropbox\Andrisa\Landco\Accounts%202026\BDO%20Accounts%202026\02%20BDO%20Bank%20Contro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2%20Shareholders\02%20LUZ%20TAFY%202026.xlsx" TargetMode="External"/><Relationship Id="rId1" Type="http://schemas.openxmlformats.org/officeDocument/2006/relationships/externalLinkPath" Target="file:///C:\Users\Andrisa\Dropbox\Andrisa\Landco\Accounts%202026\Shareholders%202026\02%20Shareholders\02%20LUZ%20TAF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2%20Shareholders\02%20AURORA%20STEAD%202026.xlsx" TargetMode="External"/><Relationship Id="rId1" Type="http://schemas.openxmlformats.org/officeDocument/2006/relationships/externalLinkPath" Target="file:///C:\Users\Andrisa\Dropbox\Andrisa\Landco\Accounts%202026\Shareholders%202026\02%20Shareholders\02%20AURORA%20STEAD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2%20CAJU%20KEVIN%202026.xlsx" TargetMode="External"/><Relationship Id="rId1" Type="http://schemas.openxmlformats.org/officeDocument/2006/relationships/externalLinkPath" Target="file:///C:\Users\Andrisa\Dropbox\Andrisa\Landco\Accounts%202026\Shareholders%202026\02%20CAJU%20KEVIN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Shareholders%202026\02%20Shareholders\02%20COCO%20COHEN2026.xlsx" TargetMode="External"/><Relationship Id="rId1" Type="http://schemas.openxmlformats.org/officeDocument/2006/relationships/externalLinkPath" Target="file:///C:\Users\Andrisa\Dropbox\Andrisa\Landco\Accounts%202026\Shareholders%202026\02%20Shareholders\02%20COCO%20COHEN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11">
          <cell r="F11">
            <v>335000</v>
          </cell>
        </row>
      </sheetData>
      <sheetData sheetId="3">
        <row r="8">
          <cell r="F8">
            <v>212720</v>
          </cell>
        </row>
        <row r="9">
          <cell r="F9">
            <v>344944.46250000014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>
        <row r="34">
          <cell r="I34">
            <v>-895798.415862069</v>
          </cell>
        </row>
      </sheetData>
      <sheetData sheetId="1"/>
      <sheetData sheetId="2"/>
      <sheetData sheetId="3"/>
      <sheetData sheetId="4">
        <row r="7">
          <cell r="I7">
            <v>227192.10250000001</v>
          </cell>
        </row>
      </sheetData>
      <sheetData sheetId="5">
        <row r="5">
          <cell r="J5">
            <v>670125.74999999988</v>
          </cell>
        </row>
        <row r="6">
          <cell r="J6">
            <v>258025.81000000017</v>
          </cell>
        </row>
      </sheetData>
      <sheetData sheetId="6">
        <row r="7">
          <cell r="G7">
            <v>27289.8</v>
          </cell>
        </row>
        <row r="8">
          <cell r="G8">
            <v>-18889.39</v>
          </cell>
        </row>
      </sheetData>
      <sheetData sheetId="7">
        <row r="7">
          <cell r="G7">
            <v>0</v>
          </cell>
        </row>
        <row r="8">
          <cell r="G8">
            <v>32537.27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307122.14580000041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488315.50249999994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19">
          <cell r="F19">
            <v>307359.51249999995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-86324.15750000003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49"/>
  <sheetViews>
    <sheetView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7" sqref="A7:XFD54"/>
    </sheetView>
  </sheetViews>
  <sheetFormatPr defaultColWidth="14.42578125" defaultRowHeight="15" x14ac:dyDescent="0.3"/>
  <cols>
    <col min="1" max="1" width="11" style="1" customWidth="1"/>
    <col min="2" max="2" width="11" style="34" customWidth="1"/>
    <col min="3" max="3" width="51.5703125" style="1" customWidth="1"/>
    <col min="4" max="4" width="20.7109375" style="2" customWidth="1"/>
    <col min="5" max="6" width="15.7109375" style="1" customWidth="1"/>
    <col min="7" max="7" width="15.7109375" style="2" customWidth="1"/>
    <col min="8" max="9" width="15.7109375" style="1" customWidth="1"/>
    <col min="10" max="10" width="15.7109375" style="36" customWidth="1"/>
    <col min="11" max="11" width="15.7109375" style="1" customWidth="1"/>
    <col min="12" max="12" width="14.42578125" style="2"/>
    <col min="13" max="13" width="17" style="2" customWidth="1"/>
    <col min="14" max="16384" width="14.42578125" style="1"/>
  </cols>
  <sheetData>
    <row r="1" spans="1:11" ht="39" customHeight="1" x14ac:dyDescent="0.7">
      <c r="A1" s="3" t="s">
        <v>0</v>
      </c>
      <c r="B1" s="29"/>
      <c r="C1" s="4"/>
      <c r="D1" s="4" t="s">
        <v>6</v>
      </c>
      <c r="E1" s="2" t="e">
        <f>+#REF!</f>
        <v>#REF!</v>
      </c>
      <c r="F1" s="134" t="e">
        <f>+E1/63.25</f>
        <v>#REF!</v>
      </c>
    </row>
    <row r="2" spans="1:11" ht="15.75" customHeight="1" x14ac:dyDescent="0.3">
      <c r="A2" s="5"/>
      <c r="B2" s="30"/>
      <c r="D2" s="4" t="s">
        <v>7</v>
      </c>
      <c r="E2" s="2" t="e">
        <f>+#REF!</f>
        <v>#REF!</v>
      </c>
      <c r="F2" s="134" t="e">
        <f t="shared" ref="F2:F4" si="0">+E2/63.25</f>
        <v>#REF!</v>
      </c>
      <c r="G2" s="6"/>
      <c r="H2" s="7"/>
      <c r="I2" s="7"/>
    </row>
    <row r="3" spans="1:11" x14ac:dyDescent="0.3">
      <c r="A3" s="8"/>
      <c r="B3" s="31"/>
      <c r="C3" s="9"/>
      <c r="D3" s="4" t="s">
        <v>8</v>
      </c>
      <c r="E3" s="2" t="e">
        <f>+#REF!</f>
        <v>#REF!</v>
      </c>
      <c r="F3" s="134" t="e">
        <f t="shared" si="0"/>
        <v>#REF!</v>
      </c>
      <c r="G3" s="6"/>
      <c r="H3" s="10"/>
      <c r="I3" s="10"/>
    </row>
    <row r="4" spans="1:11" x14ac:dyDescent="0.3">
      <c r="A4" s="8"/>
      <c r="B4" s="31"/>
      <c r="C4" s="9"/>
      <c r="D4" s="4" t="s">
        <v>9</v>
      </c>
      <c r="E4" s="2" t="e">
        <f>+#REF!</f>
        <v>#REF!</v>
      </c>
      <c r="F4" s="134" t="e">
        <f t="shared" si="0"/>
        <v>#REF!</v>
      </c>
      <c r="G4" s="6"/>
      <c r="H4" s="10"/>
      <c r="I4" s="10"/>
    </row>
    <row r="5" spans="1:11" x14ac:dyDescent="0.3">
      <c r="A5" s="11"/>
      <c r="B5" s="32"/>
      <c r="C5" s="12"/>
      <c r="D5" s="4"/>
      <c r="E5" s="13" t="e">
        <f>SUM(E1:E4)</f>
        <v>#REF!</v>
      </c>
      <c r="F5" s="134" t="e">
        <f>+E5/63.25</f>
        <v>#REF!</v>
      </c>
      <c r="G5" s="14" t="e">
        <f>SUM(F1:F4)</f>
        <v>#REF!</v>
      </c>
      <c r="H5" s="15"/>
      <c r="I5" s="15"/>
    </row>
    <row r="6" spans="1:11" ht="17.25" customHeight="1" x14ac:dyDescent="0.3">
      <c r="A6" s="16" t="s">
        <v>1</v>
      </c>
      <c r="B6" s="33" t="s">
        <v>15</v>
      </c>
      <c r="C6" s="16" t="s">
        <v>2</v>
      </c>
      <c r="D6" s="17" t="s">
        <v>3</v>
      </c>
      <c r="E6" s="16" t="s">
        <v>6</v>
      </c>
      <c r="F6" s="17" t="s">
        <v>7</v>
      </c>
      <c r="G6" s="17" t="s">
        <v>8</v>
      </c>
      <c r="H6" s="17" t="s">
        <v>9</v>
      </c>
      <c r="I6" s="17" t="s">
        <v>17</v>
      </c>
      <c r="J6" s="37" t="s">
        <v>16</v>
      </c>
      <c r="K6" s="39" t="s">
        <v>18</v>
      </c>
    </row>
    <row r="7" spans="1:11" ht="15.75" customHeight="1" x14ac:dyDescent="0.3">
      <c r="A7" s="18">
        <v>46097</v>
      </c>
      <c r="B7" s="135">
        <v>1</v>
      </c>
      <c r="C7" s="136" t="s">
        <v>97</v>
      </c>
      <c r="D7" s="21">
        <v>38400</v>
      </c>
      <c r="E7" s="21">
        <v>38400</v>
      </c>
      <c r="F7" s="21"/>
      <c r="G7" s="21"/>
      <c r="H7" s="21"/>
      <c r="I7" s="20"/>
      <c r="J7" s="38">
        <f>+D7/63.25</f>
        <v>607.11462450592887</v>
      </c>
      <c r="K7" s="21"/>
    </row>
    <row r="8" spans="1:11" ht="15.75" customHeight="1" x14ac:dyDescent="0.3">
      <c r="A8" s="18">
        <v>46097</v>
      </c>
      <c r="B8" s="135">
        <v>4</v>
      </c>
      <c r="C8" s="19" t="s">
        <v>24</v>
      </c>
      <c r="D8" s="21">
        <f>+J8*67</f>
        <v>1407000</v>
      </c>
      <c r="E8" s="21"/>
      <c r="F8" s="21"/>
      <c r="G8" s="21"/>
      <c r="H8" s="21">
        <f>21000*63.25</f>
        <v>1328250</v>
      </c>
      <c r="I8" s="20"/>
      <c r="J8" s="38">
        <f>+H8/63.25</f>
        <v>21000</v>
      </c>
      <c r="K8" s="21"/>
    </row>
    <row r="9" spans="1:11" ht="15.75" customHeight="1" x14ac:dyDescent="0.3"/>
    <row r="10" spans="1:11" ht="15.75" customHeight="1" x14ac:dyDescent="0.3"/>
    <row r="11" spans="1:11" ht="15.75" customHeight="1" x14ac:dyDescent="0.3"/>
    <row r="12" spans="1:11" ht="15.75" customHeight="1" x14ac:dyDescent="0.3"/>
    <row r="13" spans="1:11" ht="15.75" customHeight="1" x14ac:dyDescent="0.3"/>
    <row r="14" spans="1:11" ht="15.75" customHeight="1" x14ac:dyDescent="0.3"/>
    <row r="15" spans="1:11" ht="15.75" customHeight="1" x14ac:dyDescent="0.3"/>
    <row r="16" spans="1:11" ht="15.75" customHeight="1" x14ac:dyDescent="0.3"/>
    <row r="17" spans="1:9" ht="15.75" customHeight="1" x14ac:dyDescent="0.3"/>
    <row r="18" spans="1:9" ht="15.75" customHeight="1" x14ac:dyDescent="0.3"/>
    <row r="19" spans="1:9" ht="15.75" customHeight="1" x14ac:dyDescent="0.3"/>
    <row r="20" spans="1:9" ht="15.75" customHeight="1" x14ac:dyDescent="0.3"/>
    <row r="21" spans="1:9" ht="15.75" customHeight="1" x14ac:dyDescent="0.3">
      <c r="A21" s="5"/>
      <c r="B21" s="30"/>
      <c r="C21" s="4"/>
      <c r="I21" s="22"/>
    </row>
    <row r="22" spans="1:9" ht="15.75" customHeight="1" x14ac:dyDescent="0.3">
      <c r="A22" s="5"/>
      <c r="B22" s="30"/>
      <c r="C22" s="4"/>
      <c r="I22" s="22"/>
    </row>
    <row r="23" spans="1:9" ht="15.75" customHeight="1" x14ac:dyDescent="0.3">
      <c r="A23" s="5"/>
      <c r="B23" s="30"/>
      <c r="C23" s="4"/>
      <c r="I23" s="22"/>
    </row>
    <row r="24" spans="1:9" ht="15.75" customHeight="1" x14ac:dyDescent="0.3">
      <c r="A24" s="5"/>
      <c r="B24" s="30"/>
      <c r="C24" s="4"/>
      <c r="I24" s="22"/>
    </row>
    <row r="25" spans="1:9" ht="15.75" customHeight="1" x14ac:dyDescent="0.3">
      <c r="A25" s="5"/>
      <c r="B25" s="30"/>
      <c r="C25" s="4"/>
      <c r="I25" s="22"/>
    </row>
    <row r="26" spans="1:9" ht="15.75" customHeight="1" x14ac:dyDescent="0.3">
      <c r="A26" s="5"/>
      <c r="B26" s="30"/>
      <c r="C26" s="4"/>
      <c r="I26" s="22"/>
    </row>
    <row r="27" spans="1:9" ht="15.75" customHeight="1" x14ac:dyDescent="0.3">
      <c r="A27" s="5"/>
      <c r="B27" s="30"/>
      <c r="C27" s="4"/>
      <c r="I27" s="22"/>
    </row>
    <row r="28" spans="1:9" ht="15.75" customHeight="1" x14ac:dyDescent="0.3">
      <c r="A28" s="5"/>
      <c r="B28" s="30"/>
      <c r="C28" s="4"/>
      <c r="I28" s="22"/>
    </row>
    <row r="29" spans="1:9" ht="15.75" customHeight="1" x14ac:dyDescent="0.3">
      <c r="A29" s="5"/>
      <c r="B29" s="30"/>
      <c r="C29" s="4"/>
      <c r="I29" s="22"/>
    </row>
    <row r="30" spans="1:9" ht="15.75" customHeight="1" x14ac:dyDescent="0.3">
      <c r="A30" s="5"/>
      <c r="B30" s="30"/>
      <c r="C30" s="4"/>
      <c r="I30" s="22"/>
    </row>
    <row r="31" spans="1:9" ht="15.75" customHeight="1" x14ac:dyDescent="0.3">
      <c r="A31" s="5"/>
      <c r="B31" s="30"/>
      <c r="C31" s="4"/>
      <c r="I31" s="22"/>
    </row>
    <row r="32" spans="1:9" ht="15.75" customHeight="1" x14ac:dyDescent="0.3">
      <c r="A32" s="5"/>
      <c r="B32" s="30"/>
      <c r="C32" s="4"/>
      <c r="I32" s="22"/>
    </row>
    <row r="33" spans="1:9" ht="15.75" customHeight="1" x14ac:dyDescent="0.3">
      <c r="A33" s="5"/>
      <c r="B33" s="30"/>
      <c r="C33" s="4"/>
      <c r="I33" s="22"/>
    </row>
    <row r="34" spans="1:9" ht="15.75" customHeight="1" x14ac:dyDescent="0.3">
      <c r="A34" s="5"/>
      <c r="B34" s="30"/>
      <c r="C34" s="4"/>
      <c r="I34" s="22"/>
    </row>
    <row r="35" spans="1:9" ht="15.75" customHeight="1" x14ac:dyDescent="0.3">
      <c r="A35" s="5"/>
      <c r="B35" s="30"/>
      <c r="C35" s="4"/>
      <c r="I35" s="22"/>
    </row>
    <row r="36" spans="1:9" ht="15.75" customHeight="1" x14ac:dyDescent="0.3">
      <c r="A36" s="5"/>
      <c r="B36" s="30"/>
      <c r="C36" s="4"/>
      <c r="I36" s="22"/>
    </row>
    <row r="37" spans="1:9" ht="15.75" customHeight="1" x14ac:dyDescent="0.3">
      <c r="A37" s="5"/>
      <c r="B37" s="30"/>
      <c r="C37" s="4"/>
      <c r="I37" s="22"/>
    </row>
    <row r="38" spans="1:9" ht="15.75" customHeight="1" x14ac:dyDescent="0.3">
      <c r="A38" s="5"/>
      <c r="B38" s="30"/>
      <c r="C38" s="4"/>
      <c r="I38" s="22"/>
    </row>
    <row r="39" spans="1:9" ht="15.75" customHeight="1" x14ac:dyDescent="0.3">
      <c r="A39" s="5"/>
      <c r="B39" s="30"/>
      <c r="C39" s="4"/>
      <c r="I39" s="22"/>
    </row>
    <row r="40" spans="1:9" ht="15.75" customHeight="1" x14ac:dyDescent="0.3">
      <c r="A40" s="5"/>
      <c r="B40" s="30"/>
      <c r="C40" s="4"/>
      <c r="I40" s="22"/>
    </row>
    <row r="41" spans="1:9" ht="15.75" customHeight="1" x14ac:dyDescent="0.3">
      <c r="A41" s="5"/>
      <c r="B41" s="30"/>
      <c r="C41" s="4"/>
      <c r="I41" s="22"/>
    </row>
    <row r="42" spans="1:9" ht="15.75" customHeight="1" x14ac:dyDescent="0.3">
      <c r="A42" s="5"/>
      <c r="B42" s="30"/>
      <c r="C42" s="4"/>
      <c r="I42" s="22"/>
    </row>
    <row r="43" spans="1:9" ht="15.75" customHeight="1" x14ac:dyDescent="0.3">
      <c r="A43" s="5"/>
      <c r="B43" s="30"/>
      <c r="C43" s="4"/>
      <c r="I43" s="22"/>
    </row>
    <row r="44" spans="1:9" ht="15.75" customHeight="1" x14ac:dyDescent="0.3">
      <c r="A44" s="5"/>
      <c r="B44" s="30"/>
      <c r="C44" s="4"/>
      <c r="I44" s="22"/>
    </row>
    <row r="45" spans="1:9" ht="15.75" customHeight="1" x14ac:dyDescent="0.3">
      <c r="A45" s="5"/>
      <c r="B45" s="30"/>
      <c r="C45" s="4"/>
      <c r="I45" s="22"/>
    </row>
    <row r="46" spans="1:9" ht="15.75" customHeight="1" x14ac:dyDescent="0.3">
      <c r="A46" s="5"/>
      <c r="B46" s="30"/>
      <c r="C46" s="4"/>
      <c r="I46" s="22"/>
    </row>
    <row r="47" spans="1:9" ht="15.75" customHeight="1" x14ac:dyDescent="0.3">
      <c r="A47" s="5"/>
      <c r="B47" s="30"/>
      <c r="C47" s="4"/>
      <c r="I47" s="22"/>
    </row>
    <row r="48" spans="1:9" ht="15.75" customHeight="1" x14ac:dyDescent="0.3">
      <c r="A48" s="5"/>
      <c r="B48" s="30"/>
      <c r="C48" s="4"/>
      <c r="I48" s="22"/>
    </row>
    <row r="49" spans="1:9" ht="15.75" customHeight="1" x14ac:dyDescent="0.3">
      <c r="A49" s="5"/>
      <c r="B49" s="30"/>
      <c r="C49" s="4"/>
      <c r="I49" s="22"/>
    </row>
    <row r="50" spans="1:9" ht="15.75" customHeight="1" x14ac:dyDescent="0.3">
      <c r="A50" s="5"/>
      <c r="B50" s="30"/>
      <c r="C50" s="4"/>
      <c r="I50" s="22"/>
    </row>
    <row r="51" spans="1:9" ht="15.75" customHeight="1" x14ac:dyDescent="0.3">
      <c r="A51" s="5"/>
      <c r="B51" s="30"/>
      <c r="C51" s="4"/>
      <c r="I51" s="22"/>
    </row>
    <row r="52" spans="1:9" ht="15.75" customHeight="1" x14ac:dyDescent="0.3">
      <c r="A52" s="5"/>
      <c r="B52" s="30"/>
      <c r="C52" s="4"/>
      <c r="I52" s="22"/>
    </row>
    <row r="53" spans="1:9" ht="15.75" customHeight="1" x14ac:dyDescent="0.3">
      <c r="A53" s="5"/>
      <c r="B53" s="30"/>
      <c r="C53" s="4"/>
      <c r="I53" s="22"/>
    </row>
    <row r="54" spans="1:9" ht="15.75" customHeight="1" x14ac:dyDescent="0.3">
      <c r="A54" s="5"/>
      <c r="B54" s="30"/>
      <c r="C54" s="4"/>
      <c r="I54" s="22"/>
    </row>
    <row r="55" spans="1:9" ht="15.75" customHeight="1" x14ac:dyDescent="0.3">
      <c r="A55" s="5"/>
      <c r="B55" s="30"/>
      <c r="C55" s="4"/>
      <c r="I55" s="22"/>
    </row>
    <row r="56" spans="1:9" ht="15.75" customHeight="1" x14ac:dyDescent="0.3">
      <c r="A56" s="5"/>
      <c r="B56" s="30"/>
      <c r="C56" s="4"/>
      <c r="I56" s="22"/>
    </row>
    <row r="57" spans="1:9" ht="15.75" customHeight="1" x14ac:dyDescent="0.3">
      <c r="A57" s="5"/>
      <c r="B57" s="30"/>
      <c r="C57" s="4"/>
      <c r="I57" s="22"/>
    </row>
    <row r="58" spans="1:9" ht="15.75" customHeight="1" x14ac:dyDescent="0.3">
      <c r="A58" s="5"/>
      <c r="B58" s="30"/>
      <c r="C58" s="4"/>
      <c r="I58" s="22"/>
    </row>
    <row r="59" spans="1:9" ht="15.75" customHeight="1" x14ac:dyDescent="0.3">
      <c r="A59" s="5"/>
      <c r="B59" s="30"/>
      <c r="C59" s="4"/>
      <c r="I59" s="22"/>
    </row>
    <row r="60" spans="1:9" ht="15.75" customHeight="1" x14ac:dyDescent="0.3">
      <c r="A60" s="5"/>
      <c r="B60" s="30"/>
      <c r="C60" s="4"/>
      <c r="I60" s="22"/>
    </row>
    <row r="61" spans="1:9" ht="15.75" customHeight="1" x14ac:dyDescent="0.3">
      <c r="A61" s="5"/>
      <c r="B61" s="30"/>
      <c r="C61" s="4"/>
      <c r="I61" s="22"/>
    </row>
    <row r="62" spans="1:9" ht="15.75" customHeight="1" x14ac:dyDescent="0.3">
      <c r="A62" s="5"/>
      <c r="B62" s="30"/>
      <c r="C62" s="4"/>
      <c r="I62" s="22"/>
    </row>
    <row r="63" spans="1:9" ht="15.75" customHeight="1" x14ac:dyDescent="0.3">
      <c r="A63" s="5"/>
      <c r="B63" s="30"/>
      <c r="C63" s="4"/>
      <c r="I63" s="22"/>
    </row>
    <row r="64" spans="1:9" ht="15.75" customHeight="1" x14ac:dyDescent="0.3">
      <c r="A64" s="5"/>
      <c r="B64" s="30"/>
      <c r="C64" s="4"/>
      <c r="I64" s="22"/>
    </row>
    <row r="65" spans="1:9" ht="15.75" customHeight="1" x14ac:dyDescent="0.3">
      <c r="A65" s="5"/>
      <c r="B65" s="30"/>
      <c r="C65" s="4"/>
      <c r="I65" s="22"/>
    </row>
    <row r="66" spans="1:9" ht="15.75" customHeight="1" x14ac:dyDescent="0.3">
      <c r="A66" s="5"/>
      <c r="B66" s="30"/>
      <c r="C66" s="4"/>
      <c r="I66" s="22"/>
    </row>
    <row r="67" spans="1:9" ht="15.75" customHeight="1" x14ac:dyDescent="0.3">
      <c r="A67" s="5"/>
      <c r="B67" s="30"/>
      <c r="C67" s="4"/>
      <c r="I67" s="22"/>
    </row>
    <row r="68" spans="1:9" ht="15.75" customHeight="1" x14ac:dyDescent="0.3">
      <c r="A68" s="5"/>
      <c r="B68" s="30"/>
      <c r="C68" s="4"/>
      <c r="I68" s="22"/>
    </row>
    <row r="69" spans="1:9" ht="15.75" customHeight="1" x14ac:dyDescent="0.3">
      <c r="A69" s="5"/>
      <c r="B69" s="30"/>
      <c r="C69" s="4"/>
      <c r="I69" s="22"/>
    </row>
    <row r="70" spans="1:9" ht="15.75" customHeight="1" x14ac:dyDescent="0.3">
      <c r="A70" s="5"/>
      <c r="B70" s="30"/>
      <c r="C70" s="4"/>
      <c r="I70" s="22"/>
    </row>
    <row r="71" spans="1:9" ht="15.75" customHeight="1" x14ac:dyDescent="0.3">
      <c r="A71" s="5"/>
      <c r="B71" s="30"/>
      <c r="C71" s="4"/>
      <c r="I71" s="22"/>
    </row>
    <row r="72" spans="1:9" ht="15.75" customHeight="1" x14ac:dyDescent="0.3">
      <c r="A72" s="5"/>
      <c r="B72" s="30"/>
      <c r="C72" s="4"/>
      <c r="I72" s="22"/>
    </row>
    <row r="73" spans="1:9" ht="15.75" customHeight="1" x14ac:dyDescent="0.3">
      <c r="A73" s="5"/>
      <c r="B73" s="30"/>
      <c r="C73" s="4"/>
      <c r="I73" s="22"/>
    </row>
    <row r="74" spans="1:9" ht="15.75" customHeight="1" x14ac:dyDescent="0.3">
      <c r="A74" s="5"/>
      <c r="B74" s="30"/>
      <c r="C74" s="4"/>
      <c r="I74" s="22"/>
    </row>
    <row r="75" spans="1:9" ht="15.75" customHeight="1" x14ac:dyDescent="0.3">
      <c r="A75" s="5"/>
      <c r="B75" s="30"/>
      <c r="C75" s="4"/>
      <c r="I75" s="22"/>
    </row>
    <row r="76" spans="1:9" ht="15.75" customHeight="1" x14ac:dyDescent="0.3">
      <c r="A76" s="5"/>
      <c r="B76" s="30"/>
      <c r="C76" s="4"/>
      <c r="I76" s="22"/>
    </row>
    <row r="77" spans="1:9" ht="15.75" customHeight="1" x14ac:dyDescent="0.3">
      <c r="A77" s="5"/>
      <c r="B77" s="30"/>
      <c r="C77" s="4"/>
      <c r="I77" s="22"/>
    </row>
    <row r="78" spans="1:9" ht="15.75" customHeight="1" x14ac:dyDescent="0.3">
      <c r="A78" s="5"/>
      <c r="B78" s="30"/>
      <c r="C78" s="4"/>
      <c r="I78" s="22"/>
    </row>
    <row r="79" spans="1:9" ht="15.75" customHeight="1" x14ac:dyDescent="0.3">
      <c r="A79" s="5"/>
      <c r="B79" s="30"/>
      <c r="C79" s="4"/>
      <c r="I79" s="22"/>
    </row>
    <row r="80" spans="1:9" ht="15.75" customHeight="1" x14ac:dyDescent="0.3">
      <c r="A80" s="5"/>
      <c r="B80" s="30"/>
      <c r="C80" s="4"/>
      <c r="I80" s="22"/>
    </row>
    <row r="81" spans="1:9" ht="15.75" customHeight="1" x14ac:dyDescent="0.3">
      <c r="A81" s="5"/>
      <c r="B81" s="30"/>
      <c r="C81" s="4"/>
      <c r="I81" s="22"/>
    </row>
    <row r="82" spans="1:9" ht="15.75" customHeight="1" x14ac:dyDescent="0.3">
      <c r="A82" s="5"/>
      <c r="B82" s="30"/>
      <c r="C82" s="4"/>
      <c r="I82" s="22"/>
    </row>
    <row r="83" spans="1:9" ht="15.75" customHeight="1" x14ac:dyDescent="0.3">
      <c r="A83" s="5"/>
      <c r="B83" s="30"/>
      <c r="C83" s="4"/>
      <c r="I83" s="22"/>
    </row>
    <row r="84" spans="1:9" ht="15.75" customHeight="1" x14ac:dyDescent="0.3">
      <c r="A84" s="5"/>
      <c r="B84" s="30"/>
      <c r="C84" s="4"/>
      <c r="I84" s="22"/>
    </row>
    <row r="85" spans="1:9" ht="15.75" customHeight="1" x14ac:dyDescent="0.3">
      <c r="A85" s="5"/>
      <c r="B85" s="30"/>
      <c r="C85" s="4"/>
      <c r="I85" s="22"/>
    </row>
    <row r="86" spans="1:9" ht="15.75" customHeight="1" x14ac:dyDescent="0.3">
      <c r="A86" s="5"/>
      <c r="B86" s="30"/>
      <c r="C86" s="4"/>
      <c r="I86" s="22"/>
    </row>
    <row r="87" spans="1:9" ht="15.75" customHeight="1" x14ac:dyDescent="0.3">
      <c r="A87" s="5"/>
      <c r="B87" s="30"/>
      <c r="C87" s="4"/>
      <c r="I87" s="22"/>
    </row>
    <row r="88" spans="1:9" ht="15.75" customHeight="1" x14ac:dyDescent="0.3">
      <c r="A88" s="5"/>
      <c r="B88" s="30"/>
      <c r="C88" s="4"/>
      <c r="I88" s="22"/>
    </row>
    <row r="89" spans="1:9" ht="15.75" customHeight="1" x14ac:dyDescent="0.3">
      <c r="A89" s="5"/>
      <c r="B89" s="30"/>
      <c r="C89" s="4"/>
      <c r="I89" s="22"/>
    </row>
    <row r="90" spans="1:9" ht="15.75" customHeight="1" x14ac:dyDescent="0.3">
      <c r="A90" s="5"/>
      <c r="B90" s="30"/>
      <c r="C90" s="4"/>
      <c r="I90" s="22"/>
    </row>
    <row r="91" spans="1:9" ht="15.75" customHeight="1" x14ac:dyDescent="0.3">
      <c r="A91" s="5"/>
      <c r="B91" s="30"/>
      <c r="C91" s="4"/>
      <c r="I91" s="22"/>
    </row>
    <row r="92" spans="1:9" ht="15.75" customHeight="1" x14ac:dyDescent="0.3">
      <c r="A92" s="5"/>
      <c r="B92" s="30"/>
      <c r="C92" s="4"/>
      <c r="I92" s="22"/>
    </row>
    <row r="93" spans="1:9" ht="15.75" customHeight="1" x14ac:dyDescent="0.3">
      <c r="A93" s="5"/>
      <c r="B93" s="30"/>
      <c r="C93" s="4"/>
      <c r="I93" s="22"/>
    </row>
    <row r="94" spans="1:9" ht="15.75" customHeight="1" x14ac:dyDescent="0.3">
      <c r="A94" s="5"/>
      <c r="B94" s="30"/>
      <c r="C94" s="4"/>
      <c r="I94" s="22"/>
    </row>
    <row r="95" spans="1:9" ht="15.75" customHeight="1" x14ac:dyDescent="0.3">
      <c r="A95" s="5"/>
      <c r="B95" s="30"/>
      <c r="C95" s="4"/>
      <c r="I95" s="22"/>
    </row>
    <row r="96" spans="1:9" ht="15.75" customHeight="1" x14ac:dyDescent="0.3">
      <c r="A96" s="5"/>
      <c r="B96" s="30"/>
      <c r="C96" s="4"/>
      <c r="I96" s="22"/>
    </row>
    <row r="97" spans="1:9" ht="15.75" customHeight="1" x14ac:dyDescent="0.3">
      <c r="A97" s="5"/>
      <c r="B97" s="30"/>
      <c r="C97" s="4"/>
      <c r="I97" s="22"/>
    </row>
    <row r="98" spans="1:9" ht="15.75" customHeight="1" x14ac:dyDescent="0.3">
      <c r="A98" s="5"/>
      <c r="B98" s="30"/>
      <c r="C98" s="4"/>
      <c r="I98" s="22"/>
    </row>
    <row r="99" spans="1:9" ht="15.75" customHeight="1" x14ac:dyDescent="0.3">
      <c r="A99" s="5"/>
      <c r="B99" s="30"/>
      <c r="C99" s="4"/>
      <c r="I99" s="22"/>
    </row>
    <row r="100" spans="1:9" ht="15.75" customHeight="1" x14ac:dyDescent="0.3">
      <c r="A100" s="5"/>
      <c r="B100" s="30"/>
      <c r="C100" s="4"/>
      <c r="I100" s="22"/>
    </row>
    <row r="101" spans="1:9" ht="15.75" customHeight="1" x14ac:dyDescent="0.3">
      <c r="A101" s="5"/>
      <c r="B101" s="30"/>
      <c r="C101" s="4"/>
      <c r="I101" s="22"/>
    </row>
    <row r="102" spans="1:9" ht="15.75" customHeight="1" x14ac:dyDescent="0.3">
      <c r="A102" s="5"/>
      <c r="B102" s="30"/>
      <c r="C102" s="4"/>
      <c r="I102" s="22"/>
    </row>
    <row r="103" spans="1:9" ht="15.75" customHeight="1" x14ac:dyDescent="0.3">
      <c r="A103" s="5"/>
      <c r="B103" s="30"/>
      <c r="C103" s="4"/>
      <c r="I103" s="22"/>
    </row>
    <row r="104" spans="1:9" ht="15.75" customHeight="1" x14ac:dyDescent="0.3">
      <c r="A104" s="5"/>
      <c r="B104" s="30"/>
      <c r="C104" s="4"/>
      <c r="I104" s="22"/>
    </row>
    <row r="105" spans="1:9" ht="15.75" customHeight="1" x14ac:dyDescent="0.3">
      <c r="A105" s="5"/>
      <c r="B105" s="30"/>
      <c r="C105" s="4"/>
      <c r="I105" s="22"/>
    </row>
    <row r="106" spans="1:9" ht="15.75" customHeight="1" x14ac:dyDescent="0.3">
      <c r="A106" s="5"/>
      <c r="B106" s="30"/>
      <c r="C106" s="4"/>
      <c r="I106" s="22"/>
    </row>
    <row r="107" spans="1:9" ht="15.75" customHeight="1" x14ac:dyDescent="0.3">
      <c r="A107" s="5"/>
      <c r="B107" s="30"/>
      <c r="C107" s="4"/>
      <c r="I107" s="22"/>
    </row>
    <row r="108" spans="1:9" ht="15.75" customHeight="1" x14ac:dyDescent="0.3">
      <c r="A108" s="5"/>
      <c r="B108" s="30"/>
      <c r="C108" s="4"/>
      <c r="I108" s="22"/>
    </row>
    <row r="109" spans="1:9" ht="15.75" customHeight="1" x14ac:dyDescent="0.3">
      <c r="A109" s="5"/>
      <c r="B109" s="30"/>
      <c r="C109" s="4"/>
      <c r="I109" s="22"/>
    </row>
    <row r="110" spans="1:9" ht="15.75" customHeight="1" x14ac:dyDescent="0.3">
      <c r="A110" s="5"/>
      <c r="B110" s="30"/>
      <c r="C110" s="4"/>
      <c r="I110" s="22"/>
    </row>
    <row r="111" spans="1:9" ht="15.75" customHeight="1" x14ac:dyDescent="0.3">
      <c r="A111" s="5"/>
      <c r="B111" s="30"/>
      <c r="C111" s="4"/>
      <c r="I111" s="22"/>
    </row>
    <row r="112" spans="1:9" ht="15.75" customHeight="1" x14ac:dyDescent="0.3">
      <c r="A112" s="5"/>
      <c r="B112" s="30"/>
      <c r="C112" s="4"/>
      <c r="I112" s="22"/>
    </row>
    <row r="113" spans="1:9" ht="15.75" customHeight="1" x14ac:dyDescent="0.3">
      <c r="A113" s="5"/>
      <c r="B113" s="30"/>
      <c r="C113" s="4"/>
      <c r="I113" s="22"/>
    </row>
    <row r="114" spans="1:9" ht="15.75" customHeight="1" x14ac:dyDescent="0.3">
      <c r="A114" s="5"/>
      <c r="B114" s="30"/>
      <c r="C114" s="4"/>
      <c r="I114" s="22"/>
    </row>
    <row r="115" spans="1:9" ht="15.75" customHeight="1" x14ac:dyDescent="0.3">
      <c r="A115" s="5"/>
      <c r="B115" s="30"/>
      <c r="C115" s="4"/>
      <c r="I115" s="22"/>
    </row>
    <row r="116" spans="1:9" ht="15.75" customHeight="1" x14ac:dyDescent="0.3">
      <c r="A116" s="5"/>
      <c r="B116" s="30"/>
      <c r="C116" s="4"/>
      <c r="I116" s="22"/>
    </row>
    <row r="117" spans="1:9" ht="15.75" customHeight="1" x14ac:dyDescent="0.3">
      <c r="A117" s="5"/>
      <c r="B117" s="30"/>
      <c r="C117" s="4"/>
      <c r="I117" s="22"/>
    </row>
    <row r="118" spans="1:9" ht="15.75" customHeight="1" x14ac:dyDescent="0.3">
      <c r="A118" s="5"/>
      <c r="B118" s="30"/>
      <c r="C118" s="4"/>
      <c r="I118" s="22"/>
    </row>
    <row r="119" spans="1:9" ht="15.75" customHeight="1" x14ac:dyDescent="0.3">
      <c r="A119" s="5"/>
      <c r="B119" s="30"/>
      <c r="C119" s="4"/>
      <c r="I119" s="22"/>
    </row>
    <row r="120" spans="1:9" ht="15.75" customHeight="1" x14ac:dyDescent="0.3">
      <c r="A120" s="5"/>
      <c r="B120" s="30"/>
      <c r="C120" s="4"/>
      <c r="I120" s="22"/>
    </row>
    <row r="121" spans="1:9" ht="15.75" customHeight="1" x14ac:dyDescent="0.3">
      <c r="A121" s="5"/>
      <c r="B121" s="30"/>
      <c r="C121" s="4"/>
      <c r="I121" s="22"/>
    </row>
    <row r="122" spans="1:9" ht="15.75" customHeight="1" x14ac:dyDescent="0.3">
      <c r="A122" s="5"/>
      <c r="B122" s="30"/>
      <c r="C122" s="4"/>
      <c r="I122" s="22"/>
    </row>
    <row r="123" spans="1:9" ht="15.75" customHeight="1" x14ac:dyDescent="0.3">
      <c r="A123" s="5"/>
      <c r="B123" s="30"/>
      <c r="C123" s="4"/>
      <c r="I123" s="22"/>
    </row>
    <row r="124" spans="1:9" ht="15.75" customHeight="1" x14ac:dyDescent="0.3">
      <c r="A124" s="5"/>
      <c r="B124" s="30"/>
      <c r="C124" s="4"/>
      <c r="I124" s="22"/>
    </row>
    <row r="125" spans="1:9" ht="15.75" customHeight="1" x14ac:dyDescent="0.3">
      <c r="A125" s="5"/>
      <c r="B125" s="30"/>
      <c r="C125" s="4"/>
      <c r="I125" s="22"/>
    </row>
    <row r="126" spans="1:9" ht="15.75" customHeight="1" x14ac:dyDescent="0.3">
      <c r="A126" s="5"/>
      <c r="B126" s="30"/>
      <c r="C126" s="4"/>
      <c r="I126" s="22"/>
    </row>
    <row r="127" spans="1:9" ht="15.75" customHeight="1" x14ac:dyDescent="0.3">
      <c r="A127" s="5"/>
      <c r="B127" s="30"/>
      <c r="C127" s="4"/>
      <c r="I127" s="22"/>
    </row>
    <row r="128" spans="1:9" ht="15.75" customHeight="1" x14ac:dyDescent="0.3">
      <c r="A128" s="5"/>
      <c r="B128" s="30"/>
      <c r="C128" s="4"/>
      <c r="I128" s="22"/>
    </row>
    <row r="129" spans="1:9" ht="15.75" customHeight="1" x14ac:dyDescent="0.3">
      <c r="A129" s="5"/>
      <c r="B129" s="30"/>
      <c r="C129" s="4"/>
      <c r="I129" s="22"/>
    </row>
    <row r="130" spans="1:9" ht="15.75" customHeight="1" x14ac:dyDescent="0.3">
      <c r="A130" s="5"/>
      <c r="B130" s="30"/>
      <c r="C130" s="4"/>
      <c r="I130" s="22"/>
    </row>
    <row r="131" spans="1:9" ht="15.75" customHeight="1" x14ac:dyDescent="0.3">
      <c r="A131" s="5"/>
      <c r="B131" s="30"/>
      <c r="C131" s="4"/>
      <c r="I131" s="22"/>
    </row>
    <row r="132" spans="1:9" ht="15.75" customHeight="1" x14ac:dyDescent="0.3">
      <c r="A132" s="5"/>
      <c r="B132" s="30"/>
      <c r="C132" s="4"/>
      <c r="I132" s="22"/>
    </row>
    <row r="133" spans="1:9" ht="15.75" customHeight="1" x14ac:dyDescent="0.3">
      <c r="A133" s="5"/>
      <c r="B133" s="30"/>
      <c r="C133" s="4"/>
      <c r="I133" s="22"/>
    </row>
    <row r="134" spans="1:9" ht="15.75" customHeight="1" x14ac:dyDescent="0.3">
      <c r="A134" s="5"/>
      <c r="B134" s="30"/>
      <c r="C134" s="4"/>
      <c r="I134" s="22"/>
    </row>
    <row r="135" spans="1:9" ht="15.75" customHeight="1" x14ac:dyDescent="0.3">
      <c r="A135" s="5"/>
      <c r="B135" s="30"/>
      <c r="C135" s="4"/>
      <c r="I135" s="22"/>
    </row>
    <row r="136" spans="1:9" ht="15.75" customHeight="1" x14ac:dyDescent="0.3">
      <c r="A136" s="5"/>
      <c r="B136" s="30"/>
      <c r="C136" s="4"/>
      <c r="I136" s="22"/>
    </row>
    <row r="137" spans="1:9" ht="15.75" customHeight="1" x14ac:dyDescent="0.3">
      <c r="A137" s="5"/>
      <c r="B137" s="30"/>
      <c r="C137" s="4"/>
      <c r="I137" s="22"/>
    </row>
    <row r="138" spans="1:9" ht="15.75" customHeight="1" x14ac:dyDescent="0.3">
      <c r="A138" s="5"/>
      <c r="B138" s="30"/>
      <c r="C138" s="4"/>
      <c r="I138" s="22"/>
    </row>
    <row r="139" spans="1:9" ht="15.75" customHeight="1" x14ac:dyDescent="0.3">
      <c r="A139" s="5"/>
      <c r="B139" s="30"/>
      <c r="C139" s="4"/>
      <c r="I139" s="22"/>
    </row>
    <row r="140" spans="1:9" ht="15.75" customHeight="1" x14ac:dyDescent="0.3">
      <c r="A140" s="5"/>
      <c r="B140" s="30"/>
      <c r="C140" s="4"/>
      <c r="I140" s="22"/>
    </row>
    <row r="141" spans="1:9" ht="15.75" customHeight="1" x14ac:dyDescent="0.3">
      <c r="A141" s="5"/>
      <c r="B141" s="30"/>
      <c r="C141" s="4"/>
      <c r="I141" s="22"/>
    </row>
    <row r="142" spans="1:9" ht="15.75" customHeight="1" x14ac:dyDescent="0.3">
      <c r="A142" s="5"/>
      <c r="B142" s="30"/>
      <c r="C142" s="4"/>
      <c r="I142" s="22"/>
    </row>
    <row r="143" spans="1:9" ht="15.75" customHeight="1" x14ac:dyDescent="0.3">
      <c r="A143" s="5"/>
      <c r="B143" s="30"/>
      <c r="C143" s="4"/>
      <c r="I143" s="22"/>
    </row>
    <row r="144" spans="1:9" ht="15.75" customHeight="1" x14ac:dyDescent="0.3">
      <c r="A144" s="5"/>
      <c r="B144" s="30"/>
      <c r="C144" s="4"/>
      <c r="I144" s="22"/>
    </row>
    <row r="145" spans="1:9" ht="15.75" customHeight="1" x14ac:dyDescent="0.3">
      <c r="A145" s="5"/>
      <c r="B145" s="30"/>
      <c r="C145" s="4"/>
      <c r="I145" s="22"/>
    </row>
    <row r="146" spans="1:9" ht="15.75" customHeight="1" x14ac:dyDescent="0.3">
      <c r="A146" s="5"/>
      <c r="B146" s="30"/>
      <c r="C146" s="4"/>
      <c r="I146" s="22"/>
    </row>
    <row r="147" spans="1:9" ht="15.75" customHeight="1" x14ac:dyDescent="0.3">
      <c r="A147" s="5"/>
      <c r="B147" s="30"/>
      <c r="C147" s="4"/>
      <c r="I147" s="22"/>
    </row>
    <row r="148" spans="1:9" ht="15.75" customHeight="1" x14ac:dyDescent="0.3">
      <c r="A148" s="5"/>
      <c r="B148" s="30"/>
      <c r="C148" s="4"/>
      <c r="I148" s="22"/>
    </row>
    <row r="149" spans="1:9" ht="15.75" customHeight="1" x14ac:dyDescent="0.3">
      <c r="A149" s="5"/>
      <c r="B149" s="30"/>
      <c r="C149" s="4"/>
      <c r="I149" s="22"/>
    </row>
    <row r="150" spans="1:9" ht="15.75" customHeight="1" x14ac:dyDescent="0.3">
      <c r="A150" s="5"/>
      <c r="B150" s="30"/>
      <c r="C150" s="4"/>
      <c r="I150" s="22"/>
    </row>
    <row r="151" spans="1:9" ht="15.75" customHeight="1" x14ac:dyDescent="0.3">
      <c r="A151" s="5"/>
      <c r="B151" s="30"/>
      <c r="C151" s="4"/>
      <c r="I151" s="22"/>
    </row>
    <row r="152" spans="1:9" ht="15.75" customHeight="1" x14ac:dyDescent="0.3">
      <c r="A152" s="5"/>
      <c r="B152" s="30"/>
      <c r="C152" s="4"/>
      <c r="I152" s="22"/>
    </row>
    <row r="153" spans="1:9" ht="15.75" customHeight="1" x14ac:dyDescent="0.3">
      <c r="A153" s="5"/>
      <c r="B153" s="30"/>
      <c r="C153" s="4"/>
      <c r="I153" s="22"/>
    </row>
    <row r="154" spans="1:9" ht="15.75" customHeight="1" x14ac:dyDescent="0.3">
      <c r="A154" s="5"/>
      <c r="B154" s="30"/>
      <c r="C154" s="4"/>
      <c r="I154" s="22"/>
    </row>
    <row r="155" spans="1:9" ht="15.75" customHeight="1" x14ac:dyDescent="0.3">
      <c r="A155" s="5"/>
      <c r="B155" s="30"/>
      <c r="C155" s="4"/>
      <c r="I155" s="22"/>
    </row>
    <row r="156" spans="1:9" ht="15.75" customHeight="1" x14ac:dyDescent="0.3">
      <c r="A156" s="5"/>
      <c r="B156" s="30"/>
      <c r="C156" s="4"/>
      <c r="I156" s="22"/>
    </row>
    <row r="157" spans="1:9" ht="15.75" customHeight="1" x14ac:dyDescent="0.3">
      <c r="A157" s="5"/>
      <c r="B157" s="30"/>
      <c r="C157" s="4"/>
      <c r="I157" s="22"/>
    </row>
    <row r="158" spans="1:9" ht="15.75" customHeight="1" x14ac:dyDescent="0.3">
      <c r="A158" s="5"/>
      <c r="B158" s="30"/>
      <c r="C158" s="4"/>
      <c r="I158" s="22"/>
    </row>
    <row r="159" spans="1:9" ht="15.75" customHeight="1" x14ac:dyDescent="0.3">
      <c r="A159" s="5"/>
      <c r="B159" s="30"/>
      <c r="C159" s="4"/>
      <c r="I159" s="22"/>
    </row>
    <row r="160" spans="1:9" ht="15.75" customHeight="1" x14ac:dyDescent="0.3">
      <c r="A160" s="5"/>
      <c r="B160" s="30"/>
      <c r="C160" s="4"/>
      <c r="I160" s="22"/>
    </row>
    <row r="161" spans="1:9" ht="15.75" customHeight="1" x14ac:dyDescent="0.3">
      <c r="A161" s="5"/>
      <c r="B161" s="30"/>
      <c r="C161" s="4"/>
      <c r="I161" s="22"/>
    </row>
    <row r="162" spans="1:9" ht="15.75" customHeight="1" x14ac:dyDescent="0.3">
      <c r="A162" s="5"/>
      <c r="B162" s="30"/>
      <c r="C162" s="4"/>
      <c r="I162" s="22"/>
    </row>
    <row r="163" spans="1:9" ht="15.75" customHeight="1" x14ac:dyDescent="0.3">
      <c r="A163" s="5"/>
      <c r="B163" s="30"/>
      <c r="C163" s="4"/>
      <c r="I163" s="22"/>
    </row>
    <row r="164" spans="1:9" ht="15.75" customHeight="1" x14ac:dyDescent="0.3">
      <c r="A164" s="5"/>
      <c r="B164" s="30"/>
      <c r="C164" s="4"/>
      <c r="I164" s="22"/>
    </row>
    <row r="165" spans="1:9" ht="15.75" customHeight="1" x14ac:dyDescent="0.3">
      <c r="A165" s="5"/>
      <c r="B165" s="30"/>
      <c r="C165" s="4"/>
      <c r="I165" s="22"/>
    </row>
    <row r="166" spans="1:9" ht="15.75" customHeight="1" x14ac:dyDescent="0.3">
      <c r="A166" s="5"/>
      <c r="B166" s="30"/>
      <c r="C166" s="4"/>
      <c r="I166" s="22"/>
    </row>
    <row r="167" spans="1:9" ht="15.75" customHeight="1" x14ac:dyDescent="0.3">
      <c r="A167" s="5"/>
      <c r="B167" s="30"/>
      <c r="C167" s="4"/>
      <c r="I167" s="22"/>
    </row>
    <row r="168" spans="1:9" ht="15.75" customHeight="1" x14ac:dyDescent="0.3">
      <c r="A168" s="5"/>
      <c r="B168" s="30"/>
      <c r="C168" s="4"/>
      <c r="I168" s="22"/>
    </row>
    <row r="169" spans="1:9" ht="15.75" customHeight="1" x14ac:dyDescent="0.3">
      <c r="A169" s="5"/>
      <c r="B169" s="30"/>
      <c r="C169" s="4"/>
      <c r="I169" s="22"/>
    </row>
    <row r="170" spans="1:9" ht="15.75" customHeight="1" x14ac:dyDescent="0.3">
      <c r="A170" s="5"/>
      <c r="B170" s="30"/>
      <c r="C170" s="4"/>
      <c r="I170" s="22"/>
    </row>
    <row r="171" spans="1:9" ht="15.75" customHeight="1" x14ac:dyDescent="0.3">
      <c r="A171" s="5"/>
      <c r="B171" s="30"/>
      <c r="C171" s="4"/>
      <c r="I171" s="22"/>
    </row>
    <row r="172" spans="1:9" ht="15.75" customHeight="1" x14ac:dyDescent="0.3">
      <c r="A172" s="5"/>
      <c r="B172" s="30"/>
      <c r="C172" s="4"/>
      <c r="I172" s="22"/>
    </row>
    <row r="173" spans="1:9" ht="15.75" customHeight="1" x14ac:dyDescent="0.3">
      <c r="A173" s="5"/>
      <c r="B173" s="30"/>
      <c r="C173" s="4"/>
      <c r="I173" s="22"/>
    </row>
    <row r="174" spans="1:9" ht="15.75" customHeight="1" x14ac:dyDescent="0.3">
      <c r="A174" s="5"/>
      <c r="B174" s="30"/>
      <c r="C174" s="4"/>
      <c r="I174" s="22"/>
    </row>
    <row r="175" spans="1:9" ht="15.75" customHeight="1" x14ac:dyDescent="0.3">
      <c r="A175" s="5"/>
      <c r="B175" s="30"/>
      <c r="C175" s="4"/>
      <c r="I175" s="22"/>
    </row>
    <row r="176" spans="1:9" ht="15.75" customHeight="1" x14ac:dyDescent="0.3">
      <c r="A176" s="5"/>
      <c r="B176" s="30"/>
      <c r="C176" s="4"/>
      <c r="I176" s="22"/>
    </row>
    <row r="177" spans="1:9" ht="15.75" customHeight="1" x14ac:dyDescent="0.3">
      <c r="A177" s="5"/>
      <c r="B177" s="30"/>
      <c r="C177" s="4"/>
      <c r="I177" s="22"/>
    </row>
    <row r="178" spans="1:9" ht="15.75" customHeight="1" x14ac:dyDescent="0.3">
      <c r="A178" s="5"/>
      <c r="B178" s="30"/>
      <c r="C178" s="4"/>
      <c r="I178" s="22"/>
    </row>
    <row r="179" spans="1:9" ht="15.75" customHeight="1" x14ac:dyDescent="0.3">
      <c r="A179" s="5"/>
      <c r="B179" s="30"/>
      <c r="C179" s="4"/>
      <c r="I179" s="22"/>
    </row>
    <row r="180" spans="1:9" ht="15.75" customHeight="1" x14ac:dyDescent="0.3">
      <c r="A180" s="5"/>
      <c r="B180" s="30"/>
      <c r="C180" s="4"/>
      <c r="I180" s="22"/>
    </row>
    <row r="181" spans="1:9" ht="15.75" customHeight="1" x14ac:dyDescent="0.3">
      <c r="A181" s="5"/>
      <c r="B181" s="30"/>
      <c r="C181" s="4"/>
      <c r="I181" s="22"/>
    </row>
    <row r="182" spans="1:9" ht="15.75" customHeight="1" x14ac:dyDescent="0.3">
      <c r="A182" s="5"/>
      <c r="B182" s="30"/>
      <c r="C182" s="4"/>
      <c r="I182" s="22"/>
    </row>
    <row r="183" spans="1:9" ht="15.75" customHeight="1" x14ac:dyDescent="0.3">
      <c r="A183" s="5"/>
      <c r="B183" s="30"/>
      <c r="C183" s="4"/>
      <c r="I183" s="22"/>
    </row>
    <row r="184" spans="1:9" ht="15.75" customHeight="1" x14ac:dyDescent="0.3">
      <c r="A184" s="5"/>
      <c r="B184" s="30"/>
      <c r="C184" s="4"/>
      <c r="I184" s="22"/>
    </row>
    <row r="185" spans="1:9" ht="15.75" customHeight="1" x14ac:dyDescent="0.3">
      <c r="A185" s="5"/>
      <c r="B185" s="30"/>
      <c r="C185" s="4"/>
      <c r="I185" s="22"/>
    </row>
    <row r="186" spans="1:9" ht="15.75" customHeight="1" x14ac:dyDescent="0.3">
      <c r="A186" s="5"/>
      <c r="B186" s="30"/>
      <c r="C186" s="4"/>
      <c r="I186" s="22"/>
    </row>
    <row r="187" spans="1:9" ht="15.75" customHeight="1" x14ac:dyDescent="0.3">
      <c r="A187" s="5"/>
      <c r="B187" s="30"/>
      <c r="C187" s="4"/>
      <c r="I187" s="22"/>
    </row>
    <row r="188" spans="1:9" ht="15.75" customHeight="1" x14ac:dyDescent="0.3">
      <c r="A188" s="5"/>
      <c r="B188" s="30"/>
      <c r="C188" s="4"/>
      <c r="I188" s="22"/>
    </row>
    <row r="189" spans="1:9" ht="15.75" customHeight="1" x14ac:dyDescent="0.3">
      <c r="A189" s="5"/>
      <c r="B189" s="30"/>
      <c r="C189" s="4"/>
      <c r="I189" s="22"/>
    </row>
    <row r="190" spans="1:9" ht="15.75" customHeight="1" x14ac:dyDescent="0.3">
      <c r="A190" s="5"/>
      <c r="B190" s="30"/>
      <c r="C190" s="4"/>
      <c r="I190" s="22"/>
    </row>
    <row r="191" spans="1:9" ht="15.75" customHeight="1" x14ac:dyDescent="0.3">
      <c r="A191" s="5"/>
      <c r="B191" s="30"/>
      <c r="C191" s="4"/>
      <c r="I191" s="22"/>
    </row>
    <row r="192" spans="1:9" ht="15.75" customHeight="1" x14ac:dyDescent="0.3">
      <c r="A192" s="5"/>
      <c r="B192" s="30"/>
      <c r="C192" s="4"/>
      <c r="I192" s="22"/>
    </row>
    <row r="193" spans="1:9" ht="15.75" customHeight="1" x14ac:dyDescent="0.3">
      <c r="A193" s="5"/>
      <c r="B193" s="30"/>
      <c r="C193" s="4"/>
      <c r="I193" s="22"/>
    </row>
    <row r="194" spans="1:9" ht="15.75" customHeight="1" x14ac:dyDescent="0.3">
      <c r="A194" s="5"/>
      <c r="B194" s="30"/>
      <c r="C194" s="4"/>
      <c r="I194" s="22"/>
    </row>
    <row r="195" spans="1:9" ht="15.75" customHeight="1" x14ac:dyDescent="0.3">
      <c r="A195" s="5"/>
      <c r="B195" s="30"/>
      <c r="C195" s="4"/>
      <c r="I195" s="22"/>
    </row>
    <row r="196" spans="1:9" ht="15.75" customHeight="1" x14ac:dyDescent="0.3">
      <c r="A196" s="5"/>
      <c r="B196" s="30"/>
      <c r="C196" s="4"/>
      <c r="I196" s="22"/>
    </row>
    <row r="197" spans="1:9" ht="15.75" customHeight="1" x14ac:dyDescent="0.3">
      <c r="A197" s="5"/>
      <c r="B197" s="30"/>
      <c r="C197" s="4"/>
      <c r="I197" s="22"/>
    </row>
    <row r="198" spans="1:9" ht="15.75" customHeight="1" x14ac:dyDescent="0.3">
      <c r="A198" s="5"/>
      <c r="B198" s="30"/>
      <c r="C198" s="4"/>
      <c r="I198" s="22"/>
    </row>
    <row r="199" spans="1:9" ht="15.75" customHeight="1" x14ac:dyDescent="0.3">
      <c r="A199" s="5"/>
      <c r="B199" s="30"/>
      <c r="C199" s="4"/>
      <c r="I199" s="22"/>
    </row>
    <row r="200" spans="1:9" ht="15.75" customHeight="1" x14ac:dyDescent="0.3">
      <c r="A200" s="5"/>
      <c r="B200" s="30"/>
      <c r="C200" s="4"/>
      <c r="I200" s="22"/>
    </row>
    <row r="201" spans="1:9" ht="15.75" customHeight="1" x14ac:dyDescent="0.3">
      <c r="A201" s="5"/>
      <c r="B201" s="30"/>
      <c r="C201" s="4"/>
      <c r="I201" s="22"/>
    </row>
    <row r="202" spans="1:9" ht="15.75" customHeight="1" x14ac:dyDescent="0.3">
      <c r="A202" s="5"/>
      <c r="B202" s="30"/>
      <c r="C202" s="4"/>
      <c r="I202" s="22"/>
    </row>
    <row r="203" spans="1:9" ht="15.75" customHeight="1" x14ac:dyDescent="0.3">
      <c r="A203" s="5"/>
      <c r="B203" s="30"/>
      <c r="C203" s="4"/>
      <c r="I203" s="22"/>
    </row>
    <row r="204" spans="1:9" ht="15.75" customHeight="1" x14ac:dyDescent="0.3">
      <c r="A204" s="5"/>
      <c r="B204" s="30"/>
      <c r="C204" s="4"/>
      <c r="I204" s="22"/>
    </row>
    <row r="205" spans="1:9" ht="15.75" customHeight="1" x14ac:dyDescent="0.3">
      <c r="A205" s="5"/>
      <c r="B205" s="30"/>
      <c r="C205" s="4"/>
      <c r="I205" s="22"/>
    </row>
    <row r="206" spans="1:9" ht="15.75" customHeight="1" x14ac:dyDescent="0.3">
      <c r="A206" s="5"/>
      <c r="B206" s="30"/>
      <c r="C206" s="4"/>
      <c r="I206" s="22"/>
    </row>
    <row r="207" spans="1:9" ht="15.75" customHeight="1" x14ac:dyDescent="0.3">
      <c r="A207" s="5"/>
      <c r="B207" s="30"/>
      <c r="C207" s="4"/>
      <c r="I207" s="22"/>
    </row>
    <row r="208" spans="1:9" ht="15.75" customHeight="1" x14ac:dyDescent="0.3">
      <c r="A208" s="5"/>
      <c r="B208" s="30"/>
      <c r="C208" s="4"/>
      <c r="I208" s="22"/>
    </row>
    <row r="209" spans="1:9" ht="15.75" customHeight="1" x14ac:dyDescent="0.3">
      <c r="A209" s="5"/>
      <c r="B209" s="30"/>
      <c r="C209" s="4"/>
      <c r="I209" s="22"/>
    </row>
    <row r="210" spans="1:9" ht="15.75" customHeight="1" x14ac:dyDescent="0.3">
      <c r="A210" s="5"/>
      <c r="B210" s="30"/>
      <c r="C210" s="4"/>
      <c r="I210" s="22"/>
    </row>
    <row r="211" spans="1:9" ht="15.75" customHeight="1" x14ac:dyDescent="0.3">
      <c r="A211" s="5"/>
      <c r="B211" s="30"/>
      <c r="C211" s="4"/>
      <c r="I211" s="22"/>
    </row>
    <row r="212" spans="1:9" ht="15.75" customHeight="1" x14ac:dyDescent="0.3">
      <c r="A212" s="5"/>
      <c r="B212" s="30"/>
      <c r="C212" s="4"/>
      <c r="I212" s="22"/>
    </row>
    <row r="213" spans="1:9" ht="15.75" customHeight="1" x14ac:dyDescent="0.3">
      <c r="A213" s="5"/>
      <c r="B213" s="30"/>
      <c r="C213" s="4"/>
      <c r="I213" s="22"/>
    </row>
    <row r="214" spans="1:9" ht="15.75" customHeight="1" x14ac:dyDescent="0.3">
      <c r="A214" s="5"/>
      <c r="B214" s="30"/>
      <c r="C214" s="4"/>
      <c r="I214" s="22"/>
    </row>
    <row r="215" spans="1:9" ht="15.75" customHeight="1" x14ac:dyDescent="0.3">
      <c r="A215" s="5"/>
      <c r="B215" s="30"/>
      <c r="C215" s="4"/>
      <c r="I215" s="22"/>
    </row>
    <row r="216" spans="1:9" ht="15.75" customHeight="1" x14ac:dyDescent="0.3">
      <c r="A216" s="5"/>
      <c r="B216" s="30"/>
      <c r="C216" s="4"/>
      <c r="I216" s="22"/>
    </row>
    <row r="217" spans="1:9" ht="15.75" customHeight="1" x14ac:dyDescent="0.3">
      <c r="A217" s="5"/>
      <c r="B217" s="30"/>
      <c r="C217" s="4"/>
      <c r="I217" s="22"/>
    </row>
    <row r="218" spans="1:9" ht="15.75" customHeight="1" x14ac:dyDescent="0.3">
      <c r="A218" s="5"/>
      <c r="B218" s="30"/>
      <c r="C218" s="4"/>
      <c r="I218" s="22"/>
    </row>
    <row r="219" spans="1:9" ht="15.75" customHeight="1" x14ac:dyDescent="0.3">
      <c r="A219" s="5"/>
      <c r="B219" s="30"/>
      <c r="C219" s="4"/>
      <c r="I219" s="22"/>
    </row>
    <row r="220" spans="1:9" ht="15.75" customHeight="1" x14ac:dyDescent="0.3">
      <c r="A220" s="5"/>
      <c r="B220" s="30"/>
      <c r="C220" s="4"/>
      <c r="I220" s="22"/>
    </row>
    <row r="221" spans="1:9" ht="15.75" customHeight="1" x14ac:dyDescent="0.3">
      <c r="A221" s="5"/>
      <c r="B221" s="30"/>
      <c r="C221" s="4"/>
      <c r="I221" s="22"/>
    </row>
    <row r="222" spans="1:9" ht="15.75" customHeight="1" x14ac:dyDescent="0.3">
      <c r="A222" s="5"/>
      <c r="B222" s="30"/>
      <c r="C222" s="4"/>
      <c r="I222" s="22"/>
    </row>
    <row r="223" spans="1:9" ht="15.75" customHeight="1" x14ac:dyDescent="0.3">
      <c r="A223" s="5"/>
      <c r="B223" s="30"/>
      <c r="C223" s="4"/>
      <c r="I223" s="22"/>
    </row>
    <row r="224" spans="1:9" ht="15.75" customHeight="1" x14ac:dyDescent="0.3">
      <c r="A224" s="5"/>
      <c r="B224" s="30"/>
      <c r="C224" s="4"/>
      <c r="I224" s="22"/>
    </row>
    <row r="225" spans="1:9" ht="15.75" customHeight="1" x14ac:dyDescent="0.3">
      <c r="A225" s="5"/>
      <c r="B225" s="30"/>
      <c r="C225" s="4"/>
      <c r="I225" s="22"/>
    </row>
    <row r="226" spans="1:9" ht="15.75" customHeight="1" x14ac:dyDescent="0.3">
      <c r="A226" s="5"/>
      <c r="B226" s="30"/>
      <c r="C226" s="4"/>
      <c r="I226" s="22"/>
    </row>
    <row r="227" spans="1:9" ht="15.75" customHeight="1" x14ac:dyDescent="0.3">
      <c r="A227" s="5"/>
      <c r="B227" s="30"/>
      <c r="C227" s="4"/>
      <c r="I227" s="22"/>
    </row>
    <row r="228" spans="1:9" ht="15.75" customHeight="1" x14ac:dyDescent="0.3">
      <c r="A228" s="5"/>
      <c r="B228" s="30"/>
      <c r="C228" s="4"/>
      <c r="I228" s="22"/>
    </row>
    <row r="229" spans="1:9" ht="15.75" customHeight="1" x14ac:dyDescent="0.3">
      <c r="A229" s="5"/>
      <c r="B229" s="30"/>
      <c r="C229" s="4"/>
      <c r="I229" s="22"/>
    </row>
    <row r="230" spans="1:9" ht="15.75" customHeight="1" x14ac:dyDescent="0.3">
      <c r="A230" s="5"/>
      <c r="B230" s="30"/>
      <c r="C230" s="4"/>
      <c r="I230" s="22"/>
    </row>
    <row r="231" spans="1:9" ht="15.75" customHeight="1" x14ac:dyDescent="0.3">
      <c r="A231" s="5"/>
      <c r="B231" s="30"/>
      <c r="C231" s="4"/>
      <c r="I231" s="22"/>
    </row>
    <row r="232" spans="1:9" ht="15.75" customHeight="1" x14ac:dyDescent="0.3">
      <c r="A232" s="5"/>
      <c r="B232" s="30"/>
      <c r="C232" s="4"/>
      <c r="I232" s="22"/>
    </row>
    <row r="233" spans="1:9" ht="15.75" customHeight="1" x14ac:dyDescent="0.3">
      <c r="A233" s="5"/>
      <c r="B233" s="30"/>
      <c r="C233" s="4"/>
      <c r="I233" s="22"/>
    </row>
    <row r="234" spans="1:9" ht="15.75" customHeight="1" x14ac:dyDescent="0.3">
      <c r="A234" s="5"/>
      <c r="B234" s="30"/>
      <c r="C234" s="4"/>
      <c r="I234" s="22"/>
    </row>
    <row r="235" spans="1:9" ht="15.75" customHeight="1" x14ac:dyDescent="0.3">
      <c r="A235" s="5"/>
      <c r="B235" s="30"/>
      <c r="C235" s="4"/>
      <c r="I235" s="22"/>
    </row>
    <row r="236" spans="1:9" ht="15.75" customHeight="1" x14ac:dyDescent="0.3">
      <c r="A236" s="5"/>
      <c r="B236" s="30"/>
      <c r="C236" s="4"/>
      <c r="I236" s="22"/>
    </row>
    <row r="237" spans="1:9" ht="15.75" customHeight="1" x14ac:dyDescent="0.3">
      <c r="A237" s="5"/>
      <c r="B237" s="30"/>
      <c r="C237" s="4"/>
      <c r="I237" s="22"/>
    </row>
    <row r="238" spans="1:9" ht="15.75" customHeight="1" x14ac:dyDescent="0.3">
      <c r="A238" s="5"/>
      <c r="B238" s="30"/>
      <c r="C238" s="4"/>
      <c r="I238" s="22"/>
    </row>
    <row r="239" spans="1:9" ht="15.75" customHeight="1" x14ac:dyDescent="0.3">
      <c r="A239" s="5"/>
      <c r="B239" s="30"/>
      <c r="C239" s="4"/>
      <c r="I239" s="22"/>
    </row>
    <row r="240" spans="1:9" ht="15.75" customHeight="1" x14ac:dyDescent="0.3">
      <c r="A240" s="5"/>
      <c r="B240" s="30"/>
      <c r="C240" s="4"/>
      <c r="I240" s="22"/>
    </row>
    <row r="241" spans="1:9" ht="15.75" customHeight="1" x14ac:dyDescent="0.3">
      <c r="A241" s="5"/>
      <c r="B241" s="30"/>
      <c r="C241" s="4"/>
      <c r="I241" s="22"/>
    </row>
    <row r="242" spans="1:9" ht="15.75" customHeight="1" x14ac:dyDescent="0.3">
      <c r="A242" s="5"/>
      <c r="B242" s="30"/>
      <c r="C242" s="4"/>
      <c r="I242" s="22"/>
    </row>
    <row r="243" spans="1:9" ht="15.75" customHeight="1" x14ac:dyDescent="0.3">
      <c r="A243" s="5"/>
      <c r="B243" s="30"/>
      <c r="C243" s="4"/>
      <c r="I243" s="22"/>
    </row>
    <row r="244" spans="1:9" ht="15.75" customHeight="1" x14ac:dyDescent="0.3">
      <c r="A244" s="5"/>
      <c r="B244" s="30"/>
      <c r="C244" s="4"/>
      <c r="I244" s="22"/>
    </row>
    <row r="245" spans="1:9" ht="15.75" customHeight="1" x14ac:dyDescent="0.3">
      <c r="A245" s="5"/>
      <c r="B245" s="30"/>
      <c r="C245" s="4"/>
      <c r="I245" s="22"/>
    </row>
    <row r="246" spans="1:9" ht="15.75" customHeight="1" x14ac:dyDescent="0.3">
      <c r="A246" s="5"/>
      <c r="B246" s="30"/>
      <c r="C246" s="4"/>
      <c r="I246" s="22"/>
    </row>
    <row r="247" spans="1:9" ht="15.75" customHeight="1" x14ac:dyDescent="0.3">
      <c r="A247" s="5"/>
      <c r="B247" s="30"/>
      <c r="C247" s="4"/>
      <c r="I247" s="22"/>
    </row>
    <row r="248" spans="1:9" ht="15.75" customHeight="1" x14ac:dyDescent="0.3">
      <c r="A248" s="5"/>
      <c r="B248" s="30"/>
      <c r="C248" s="4"/>
      <c r="I248" s="22"/>
    </row>
    <row r="249" spans="1:9" ht="15.75" customHeight="1" x14ac:dyDescent="0.3">
      <c r="A249" s="5"/>
      <c r="B249" s="30"/>
      <c r="C249" s="4"/>
      <c r="I249" s="22"/>
    </row>
    <row r="250" spans="1:9" ht="15.75" customHeight="1" x14ac:dyDescent="0.3">
      <c r="A250" s="5"/>
      <c r="B250" s="30"/>
      <c r="C250" s="4"/>
      <c r="I250" s="22"/>
    </row>
    <row r="251" spans="1:9" ht="15.75" customHeight="1" x14ac:dyDescent="0.3">
      <c r="A251" s="5"/>
      <c r="B251" s="30"/>
      <c r="C251" s="4"/>
      <c r="I251" s="22"/>
    </row>
    <row r="252" spans="1:9" ht="15.75" customHeight="1" x14ac:dyDescent="0.3">
      <c r="A252" s="5"/>
      <c r="B252" s="30"/>
      <c r="C252" s="4"/>
      <c r="I252" s="22"/>
    </row>
    <row r="253" spans="1:9" ht="15.75" customHeight="1" x14ac:dyDescent="0.3">
      <c r="A253" s="5"/>
      <c r="B253" s="30"/>
      <c r="C253" s="4"/>
      <c r="I253" s="22"/>
    </row>
    <row r="254" spans="1:9" ht="15.75" customHeight="1" x14ac:dyDescent="0.3">
      <c r="A254" s="5"/>
      <c r="B254" s="30"/>
      <c r="C254" s="4"/>
      <c r="I254" s="22"/>
    </row>
    <row r="255" spans="1:9" ht="15.75" customHeight="1" x14ac:dyDescent="0.3">
      <c r="A255" s="5"/>
      <c r="B255" s="30"/>
      <c r="C255" s="4"/>
      <c r="I255" s="22"/>
    </row>
    <row r="256" spans="1:9" ht="15.75" customHeight="1" x14ac:dyDescent="0.3">
      <c r="A256" s="5"/>
      <c r="B256" s="30"/>
      <c r="C256" s="4"/>
      <c r="I256" s="22"/>
    </row>
    <row r="257" spans="1:9" ht="15.75" customHeight="1" x14ac:dyDescent="0.3">
      <c r="A257" s="5"/>
      <c r="B257" s="30"/>
      <c r="C257" s="4"/>
      <c r="I257" s="22"/>
    </row>
    <row r="258" spans="1:9" ht="15.75" customHeight="1" x14ac:dyDescent="0.3">
      <c r="A258" s="5"/>
      <c r="B258" s="30"/>
      <c r="C258" s="4"/>
      <c r="I258" s="22"/>
    </row>
    <row r="259" spans="1:9" ht="15.75" customHeight="1" x14ac:dyDescent="0.3">
      <c r="A259" s="5"/>
      <c r="B259" s="30"/>
      <c r="C259" s="4"/>
      <c r="I259" s="22"/>
    </row>
    <row r="260" spans="1:9" ht="15.75" customHeight="1" x14ac:dyDescent="0.3">
      <c r="A260" s="5"/>
      <c r="B260" s="30"/>
      <c r="C260" s="4"/>
      <c r="I260" s="22"/>
    </row>
    <row r="261" spans="1:9" ht="15.75" customHeight="1" x14ac:dyDescent="0.3">
      <c r="A261" s="5"/>
      <c r="B261" s="30"/>
      <c r="C261" s="4"/>
      <c r="I261" s="22"/>
    </row>
    <row r="262" spans="1:9" ht="15.75" customHeight="1" x14ac:dyDescent="0.3">
      <c r="A262" s="5"/>
      <c r="B262" s="30"/>
      <c r="C262" s="4"/>
      <c r="I262" s="22"/>
    </row>
    <row r="263" spans="1:9" ht="15.75" customHeight="1" x14ac:dyDescent="0.3">
      <c r="A263" s="5"/>
      <c r="B263" s="30"/>
      <c r="C263" s="4"/>
      <c r="I263" s="22"/>
    </row>
    <row r="264" spans="1:9" ht="15.75" customHeight="1" x14ac:dyDescent="0.3">
      <c r="A264" s="5"/>
      <c r="B264" s="30"/>
      <c r="C264" s="4"/>
      <c r="I264" s="22"/>
    </row>
    <row r="265" spans="1:9" ht="15.75" customHeight="1" x14ac:dyDescent="0.3">
      <c r="A265" s="5"/>
      <c r="B265" s="30"/>
      <c r="C265" s="4"/>
      <c r="I265" s="22"/>
    </row>
    <row r="266" spans="1:9" ht="15.75" customHeight="1" x14ac:dyDescent="0.3">
      <c r="A266" s="5"/>
      <c r="B266" s="30"/>
      <c r="C266" s="4"/>
      <c r="I266" s="22"/>
    </row>
    <row r="267" spans="1:9" ht="15.75" customHeight="1" x14ac:dyDescent="0.3">
      <c r="A267" s="5"/>
      <c r="B267" s="30"/>
      <c r="C267" s="4"/>
      <c r="I267" s="22"/>
    </row>
    <row r="268" spans="1:9" ht="15.75" customHeight="1" x14ac:dyDescent="0.3">
      <c r="A268" s="5"/>
      <c r="B268" s="30"/>
      <c r="C268" s="4"/>
      <c r="I268" s="22"/>
    </row>
    <row r="269" spans="1:9" ht="15.75" customHeight="1" x14ac:dyDescent="0.3">
      <c r="A269" s="5"/>
      <c r="B269" s="30"/>
      <c r="C269" s="4"/>
      <c r="I269" s="22"/>
    </row>
    <row r="270" spans="1:9" ht="15.75" customHeight="1" x14ac:dyDescent="0.3">
      <c r="A270" s="5"/>
      <c r="B270" s="30"/>
      <c r="C270" s="4"/>
      <c r="I270" s="22"/>
    </row>
    <row r="271" spans="1:9" ht="15.75" customHeight="1" x14ac:dyDescent="0.3">
      <c r="A271" s="5"/>
      <c r="B271" s="30"/>
      <c r="C271" s="4"/>
      <c r="I271" s="22"/>
    </row>
    <row r="272" spans="1:9" ht="15.75" customHeight="1" x14ac:dyDescent="0.3">
      <c r="A272" s="5"/>
      <c r="B272" s="30"/>
      <c r="C272" s="4"/>
      <c r="I272" s="22"/>
    </row>
    <row r="273" spans="1:9" ht="15.75" customHeight="1" x14ac:dyDescent="0.3">
      <c r="A273" s="5"/>
      <c r="B273" s="30"/>
      <c r="C273" s="4"/>
      <c r="I273" s="22"/>
    </row>
    <row r="274" spans="1:9" ht="15.75" customHeight="1" x14ac:dyDescent="0.3">
      <c r="A274" s="5"/>
      <c r="B274" s="30"/>
      <c r="C274" s="4"/>
      <c r="I274" s="22"/>
    </row>
    <row r="275" spans="1:9" ht="15.75" customHeight="1" x14ac:dyDescent="0.3">
      <c r="A275" s="5"/>
      <c r="B275" s="30"/>
      <c r="C275" s="4"/>
      <c r="I275" s="22"/>
    </row>
    <row r="276" spans="1:9" ht="15.75" customHeight="1" x14ac:dyDescent="0.3">
      <c r="A276" s="5"/>
      <c r="B276" s="30"/>
      <c r="C276" s="4"/>
      <c r="I276" s="22"/>
    </row>
    <row r="277" spans="1:9" ht="15.75" customHeight="1" x14ac:dyDescent="0.3">
      <c r="A277" s="5"/>
      <c r="B277" s="30"/>
      <c r="C277" s="4"/>
      <c r="I277" s="22"/>
    </row>
    <row r="278" spans="1:9" ht="15.75" customHeight="1" x14ac:dyDescent="0.3">
      <c r="A278" s="5"/>
      <c r="B278" s="30"/>
      <c r="C278" s="4"/>
      <c r="I278" s="22"/>
    </row>
    <row r="279" spans="1:9" ht="15.75" customHeight="1" x14ac:dyDescent="0.3">
      <c r="A279" s="5"/>
      <c r="B279" s="30"/>
      <c r="C279" s="4"/>
      <c r="I279" s="22"/>
    </row>
    <row r="280" spans="1:9" ht="15.75" customHeight="1" x14ac:dyDescent="0.3">
      <c r="A280" s="5"/>
      <c r="B280" s="30"/>
      <c r="C280" s="4"/>
      <c r="I280" s="22"/>
    </row>
    <row r="281" spans="1:9" ht="15.75" customHeight="1" x14ac:dyDescent="0.3">
      <c r="A281" s="5"/>
      <c r="B281" s="30"/>
      <c r="C281" s="4"/>
      <c r="I281" s="22"/>
    </row>
    <row r="282" spans="1:9" ht="15.75" customHeight="1" x14ac:dyDescent="0.3">
      <c r="A282" s="5"/>
      <c r="B282" s="30"/>
      <c r="C282" s="4"/>
      <c r="I282" s="22"/>
    </row>
    <row r="283" spans="1:9" ht="15.75" customHeight="1" x14ac:dyDescent="0.3">
      <c r="A283" s="5"/>
      <c r="B283" s="30"/>
      <c r="C283" s="4"/>
      <c r="I283" s="22"/>
    </row>
    <row r="284" spans="1:9" ht="15.75" customHeight="1" x14ac:dyDescent="0.3">
      <c r="A284" s="5"/>
      <c r="B284" s="30"/>
      <c r="C284" s="4"/>
      <c r="I284" s="22"/>
    </row>
    <row r="285" spans="1:9" ht="15.75" customHeight="1" x14ac:dyDescent="0.3">
      <c r="A285" s="5"/>
      <c r="B285" s="30"/>
      <c r="C285" s="4"/>
      <c r="I285" s="22"/>
    </row>
    <row r="286" spans="1:9" ht="15.75" customHeight="1" x14ac:dyDescent="0.3">
      <c r="A286" s="5"/>
      <c r="B286" s="30"/>
      <c r="C286" s="4"/>
      <c r="I286" s="22"/>
    </row>
    <row r="287" spans="1:9" ht="15.75" customHeight="1" x14ac:dyDescent="0.3">
      <c r="A287" s="5"/>
      <c r="B287" s="30"/>
      <c r="C287" s="4"/>
      <c r="I287" s="22"/>
    </row>
    <row r="288" spans="1:9" ht="15.75" customHeight="1" x14ac:dyDescent="0.3">
      <c r="A288" s="5"/>
      <c r="B288" s="30"/>
      <c r="C288" s="4"/>
      <c r="I288" s="22"/>
    </row>
    <row r="289" spans="1:9" ht="15.75" customHeight="1" x14ac:dyDescent="0.3">
      <c r="A289" s="5"/>
      <c r="B289" s="30"/>
      <c r="C289" s="4"/>
      <c r="I289" s="22"/>
    </row>
    <row r="290" spans="1:9" ht="15.75" customHeight="1" x14ac:dyDescent="0.3">
      <c r="A290" s="5"/>
      <c r="B290" s="30"/>
      <c r="C290" s="4"/>
      <c r="I290" s="22"/>
    </row>
    <row r="291" spans="1:9" ht="15.75" customHeight="1" x14ac:dyDescent="0.3">
      <c r="A291" s="5"/>
      <c r="B291" s="30"/>
      <c r="C291" s="4"/>
      <c r="I291" s="22"/>
    </row>
    <row r="292" spans="1:9" ht="15.75" customHeight="1" x14ac:dyDescent="0.3">
      <c r="A292" s="5"/>
      <c r="B292" s="30"/>
      <c r="C292" s="4"/>
      <c r="I292" s="22"/>
    </row>
    <row r="293" spans="1:9" ht="15.75" customHeight="1" x14ac:dyDescent="0.3">
      <c r="A293" s="5"/>
      <c r="B293" s="30"/>
      <c r="C293" s="4"/>
      <c r="I293" s="22"/>
    </row>
    <row r="294" spans="1:9" ht="15.75" customHeight="1" x14ac:dyDescent="0.3">
      <c r="A294" s="5"/>
      <c r="B294" s="30"/>
      <c r="C294" s="4"/>
      <c r="I294" s="22"/>
    </row>
    <row r="295" spans="1:9" ht="15.75" customHeight="1" x14ac:dyDescent="0.3">
      <c r="A295" s="5"/>
      <c r="B295" s="30"/>
      <c r="C295" s="4"/>
      <c r="I295" s="22"/>
    </row>
    <row r="296" spans="1:9" ht="15.75" customHeight="1" x14ac:dyDescent="0.3">
      <c r="A296" s="5"/>
      <c r="B296" s="30"/>
      <c r="C296" s="4"/>
      <c r="I296" s="22"/>
    </row>
    <row r="297" spans="1:9" ht="15.75" customHeight="1" x14ac:dyDescent="0.3">
      <c r="A297" s="5"/>
      <c r="B297" s="30"/>
      <c r="C297" s="4"/>
      <c r="I297" s="22"/>
    </row>
    <row r="298" spans="1:9" ht="15.75" customHeight="1" x14ac:dyDescent="0.3">
      <c r="A298" s="5"/>
      <c r="B298" s="30"/>
      <c r="C298" s="4"/>
      <c r="I298" s="22"/>
    </row>
    <row r="299" spans="1:9" ht="15.75" customHeight="1" x14ac:dyDescent="0.3">
      <c r="A299" s="5"/>
      <c r="B299" s="30"/>
      <c r="C299" s="4"/>
      <c r="I299" s="22"/>
    </row>
    <row r="300" spans="1:9" ht="15.75" customHeight="1" x14ac:dyDescent="0.3">
      <c r="A300" s="5"/>
      <c r="B300" s="30"/>
      <c r="C300" s="4"/>
      <c r="I300" s="22"/>
    </row>
    <row r="301" spans="1:9" ht="15.75" customHeight="1" x14ac:dyDescent="0.3">
      <c r="A301" s="5"/>
      <c r="B301" s="30"/>
      <c r="C301" s="4"/>
      <c r="I301" s="22"/>
    </row>
    <row r="302" spans="1:9" ht="15.75" customHeight="1" x14ac:dyDescent="0.3">
      <c r="A302" s="5"/>
      <c r="B302" s="30"/>
      <c r="C302" s="4"/>
      <c r="I302" s="22"/>
    </row>
    <row r="303" spans="1:9" ht="15.75" customHeight="1" x14ac:dyDescent="0.3">
      <c r="A303" s="5"/>
      <c r="B303" s="30"/>
      <c r="C303" s="4"/>
      <c r="I303" s="22"/>
    </row>
    <row r="304" spans="1:9" ht="15.75" customHeight="1" x14ac:dyDescent="0.3">
      <c r="A304" s="5"/>
      <c r="B304" s="30"/>
      <c r="C304" s="4"/>
      <c r="I304" s="22"/>
    </row>
    <row r="305" spans="1:9" ht="15.75" customHeight="1" x14ac:dyDescent="0.3">
      <c r="A305" s="5"/>
      <c r="B305" s="30"/>
      <c r="C305" s="4"/>
      <c r="I305" s="22"/>
    </row>
    <row r="306" spans="1:9" ht="15.75" customHeight="1" x14ac:dyDescent="0.3">
      <c r="A306" s="5"/>
      <c r="B306" s="30"/>
      <c r="C306" s="4"/>
      <c r="I306" s="22"/>
    </row>
    <row r="307" spans="1:9" ht="15.75" customHeight="1" x14ac:dyDescent="0.3">
      <c r="A307" s="5"/>
      <c r="B307" s="30"/>
      <c r="C307" s="4"/>
      <c r="I307" s="22"/>
    </row>
    <row r="308" spans="1:9" ht="15.75" customHeight="1" x14ac:dyDescent="0.3">
      <c r="A308" s="5"/>
      <c r="B308" s="30"/>
      <c r="C308" s="4"/>
      <c r="I308" s="22"/>
    </row>
    <row r="309" spans="1:9" ht="15.75" customHeight="1" x14ac:dyDescent="0.3">
      <c r="A309" s="5"/>
      <c r="B309" s="30"/>
      <c r="C309" s="4"/>
      <c r="I309" s="22"/>
    </row>
    <row r="310" spans="1:9" ht="15.75" customHeight="1" x14ac:dyDescent="0.3">
      <c r="A310" s="5"/>
      <c r="B310" s="30"/>
      <c r="C310" s="4"/>
      <c r="I310" s="22"/>
    </row>
    <row r="311" spans="1:9" ht="15.75" customHeight="1" x14ac:dyDescent="0.3">
      <c r="A311" s="5"/>
      <c r="B311" s="30"/>
      <c r="C311" s="4"/>
      <c r="I311" s="22"/>
    </row>
    <row r="312" spans="1:9" ht="15.75" customHeight="1" x14ac:dyDescent="0.3">
      <c r="A312" s="5"/>
      <c r="B312" s="30"/>
      <c r="C312" s="4"/>
      <c r="I312" s="22"/>
    </row>
    <row r="313" spans="1:9" ht="15.75" customHeight="1" x14ac:dyDescent="0.3">
      <c r="A313" s="5"/>
      <c r="B313" s="30"/>
      <c r="C313" s="4"/>
      <c r="I313" s="22"/>
    </row>
    <row r="314" spans="1:9" ht="15.75" customHeight="1" x14ac:dyDescent="0.3">
      <c r="A314" s="5"/>
      <c r="B314" s="30"/>
      <c r="C314" s="4"/>
      <c r="I314" s="22"/>
    </row>
    <row r="315" spans="1:9" ht="15.75" customHeight="1" x14ac:dyDescent="0.3">
      <c r="A315" s="5"/>
      <c r="B315" s="30"/>
      <c r="C315" s="4"/>
      <c r="I315" s="22"/>
    </row>
    <row r="316" spans="1:9" ht="15.75" customHeight="1" x14ac:dyDescent="0.3">
      <c r="A316" s="5"/>
      <c r="B316" s="30"/>
      <c r="C316" s="4"/>
      <c r="I316" s="22"/>
    </row>
    <row r="317" spans="1:9" ht="15.75" customHeight="1" x14ac:dyDescent="0.3">
      <c r="A317" s="5"/>
      <c r="B317" s="30"/>
      <c r="C317" s="4"/>
      <c r="I317" s="22"/>
    </row>
    <row r="318" spans="1:9" ht="15.75" customHeight="1" x14ac:dyDescent="0.3">
      <c r="A318" s="5"/>
      <c r="B318" s="30"/>
      <c r="C318" s="4"/>
      <c r="I318" s="22"/>
    </row>
    <row r="319" spans="1:9" ht="15.75" customHeight="1" x14ac:dyDescent="0.3">
      <c r="A319" s="5"/>
      <c r="B319" s="30"/>
      <c r="C319" s="4"/>
      <c r="I319" s="22"/>
    </row>
    <row r="320" spans="1:9" ht="15.75" customHeight="1" x14ac:dyDescent="0.3">
      <c r="A320" s="5"/>
      <c r="B320" s="30"/>
      <c r="C320" s="4"/>
      <c r="I320" s="22"/>
    </row>
    <row r="321" spans="1:9" ht="15.75" customHeight="1" x14ac:dyDescent="0.3">
      <c r="A321" s="5"/>
      <c r="B321" s="30"/>
      <c r="C321" s="4"/>
      <c r="I321" s="22"/>
    </row>
    <row r="322" spans="1:9" ht="15.75" customHeight="1" x14ac:dyDescent="0.3">
      <c r="A322" s="5"/>
      <c r="B322" s="30"/>
      <c r="C322" s="4"/>
      <c r="I322" s="22"/>
    </row>
    <row r="323" spans="1:9" ht="15.75" customHeight="1" x14ac:dyDescent="0.3">
      <c r="A323" s="5"/>
      <c r="B323" s="30"/>
      <c r="C323" s="4"/>
      <c r="I323" s="22"/>
    </row>
    <row r="324" spans="1:9" ht="15.75" customHeight="1" x14ac:dyDescent="0.3">
      <c r="A324" s="5"/>
      <c r="B324" s="30"/>
      <c r="C324" s="4"/>
      <c r="I324" s="22"/>
    </row>
    <row r="325" spans="1:9" ht="15.75" customHeight="1" x14ac:dyDescent="0.3">
      <c r="A325" s="5"/>
      <c r="B325" s="30"/>
      <c r="C325" s="4"/>
      <c r="I325" s="22"/>
    </row>
    <row r="326" spans="1:9" ht="15.75" customHeight="1" x14ac:dyDescent="0.3">
      <c r="A326" s="5"/>
      <c r="B326" s="30"/>
      <c r="C326" s="4"/>
      <c r="I326" s="22"/>
    </row>
    <row r="327" spans="1:9" ht="15.75" customHeight="1" x14ac:dyDescent="0.3">
      <c r="A327" s="5"/>
      <c r="B327" s="30"/>
      <c r="C327" s="4"/>
      <c r="I327" s="22"/>
    </row>
    <row r="328" spans="1:9" ht="15.75" customHeight="1" x14ac:dyDescent="0.3">
      <c r="A328" s="5"/>
      <c r="B328" s="30"/>
      <c r="C328" s="4"/>
      <c r="I328" s="22"/>
    </row>
    <row r="329" spans="1:9" ht="15.75" customHeight="1" x14ac:dyDescent="0.3">
      <c r="A329" s="5"/>
      <c r="B329" s="30"/>
      <c r="C329" s="4"/>
      <c r="I329" s="22"/>
    </row>
    <row r="330" spans="1:9" ht="15.75" customHeight="1" x14ac:dyDescent="0.3">
      <c r="A330" s="5"/>
      <c r="B330" s="30"/>
      <c r="C330" s="4"/>
      <c r="I330" s="22"/>
    </row>
    <row r="331" spans="1:9" ht="15.75" customHeight="1" x14ac:dyDescent="0.3">
      <c r="A331" s="5"/>
      <c r="B331" s="30"/>
      <c r="C331" s="4"/>
      <c r="I331" s="22"/>
    </row>
    <row r="332" spans="1:9" ht="15.75" customHeight="1" x14ac:dyDescent="0.3">
      <c r="A332" s="5"/>
      <c r="B332" s="30"/>
      <c r="C332" s="4"/>
      <c r="I332" s="22"/>
    </row>
    <row r="333" spans="1:9" ht="15.75" customHeight="1" x14ac:dyDescent="0.3">
      <c r="A333" s="5"/>
      <c r="B333" s="30"/>
      <c r="C333" s="4"/>
      <c r="I333" s="22"/>
    </row>
    <row r="334" spans="1:9" ht="15.75" customHeight="1" x14ac:dyDescent="0.3">
      <c r="A334" s="5"/>
      <c r="B334" s="30"/>
      <c r="C334" s="4"/>
      <c r="I334" s="22"/>
    </row>
    <row r="335" spans="1:9" ht="15.75" customHeight="1" x14ac:dyDescent="0.3">
      <c r="A335" s="5"/>
      <c r="B335" s="30"/>
      <c r="C335" s="4"/>
      <c r="I335" s="22"/>
    </row>
    <row r="336" spans="1:9" ht="15.75" customHeight="1" x14ac:dyDescent="0.3">
      <c r="A336" s="5"/>
      <c r="B336" s="30"/>
      <c r="C336" s="4"/>
      <c r="I336" s="22"/>
    </row>
    <row r="337" spans="1:9" ht="15.75" customHeight="1" x14ac:dyDescent="0.3">
      <c r="A337" s="5"/>
      <c r="B337" s="30"/>
      <c r="C337" s="4"/>
      <c r="I337" s="22"/>
    </row>
    <row r="338" spans="1:9" ht="15.75" customHeight="1" x14ac:dyDescent="0.3">
      <c r="A338" s="5"/>
      <c r="B338" s="30"/>
      <c r="C338" s="4"/>
      <c r="I338" s="22"/>
    </row>
    <row r="339" spans="1:9" ht="15.75" customHeight="1" x14ac:dyDescent="0.3">
      <c r="A339" s="5"/>
      <c r="B339" s="30"/>
      <c r="C339" s="4"/>
      <c r="I339" s="22"/>
    </row>
    <row r="340" spans="1:9" ht="15.75" customHeight="1" x14ac:dyDescent="0.3">
      <c r="A340" s="5"/>
      <c r="B340" s="30"/>
      <c r="C340" s="4"/>
      <c r="I340" s="22"/>
    </row>
    <row r="341" spans="1:9" ht="15.75" customHeight="1" x14ac:dyDescent="0.3">
      <c r="A341" s="5"/>
      <c r="B341" s="30"/>
      <c r="C341" s="4"/>
      <c r="I341" s="22"/>
    </row>
    <row r="342" spans="1:9" ht="15.75" customHeight="1" x14ac:dyDescent="0.3">
      <c r="A342" s="5"/>
      <c r="B342" s="30"/>
      <c r="C342" s="4"/>
      <c r="I342" s="22"/>
    </row>
    <row r="343" spans="1:9" ht="15.75" customHeight="1" x14ac:dyDescent="0.3">
      <c r="A343" s="5"/>
      <c r="B343" s="30"/>
      <c r="C343" s="4"/>
      <c r="I343" s="22"/>
    </row>
    <row r="344" spans="1:9" ht="15.75" customHeight="1" x14ac:dyDescent="0.3">
      <c r="A344" s="5"/>
      <c r="B344" s="30"/>
      <c r="C344" s="4"/>
      <c r="I344" s="22"/>
    </row>
    <row r="345" spans="1:9" ht="15.75" customHeight="1" x14ac:dyDescent="0.3">
      <c r="A345" s="5"/>
      <c r="B345" s="30"/>
      <c r="C345" s="4"/>
      <c r="I345" s="22"/>
    </row>
    <row r="346" spans="1:9" ht="15.75" customHeight="1" x14ac:dyDescent="0.3">
      <c r="A346" s="5"/>
      <c r="B346" s="30"/>
      <c r="C346" s="4"/>
      <c r="I346" s="22"/>
    </row>
    <row r="347" spans="1:9" ht="15.75" customHeight="1" x14ac:dyDescent="0.3">
      <c r="A347" s="5"/>
      <c r="B347" s="30"/>
      <c r="C347" s="4"/>
      <c r="I347" s="22"/>
    </row>
    <row r="348" spans="1:9" ht="15.75" customHeight="1" x14ac:dyDescent="0.3">
      <c r="A348" s="5"/>
      <c r="B348" s="30"/>
      <c r="C348" s="4"/>
      <c r="I348" s="22"/>
    </row>
    <row r="349" spans="1:9" ht="15.75" customHeight="1" x14ac:dyDescent="0.3">
      <c r="A349" s="5"/>
      <c r="B349" s="30"/>
      <c r="C349" s="4"/>
      <c r="I349" s="22"/>
    </row>
    <row r="350" spans="1:9" ht="15.75" customHeight="1" x14ac:dyDescent="0.3">
      <c r="A350" s="5"/>
      <c r="B350" s="30"/>
      <c r="C350" s="4"/>
      <c r="I350" s="22"/>
    </row>
    <row r="351" spans="1:9" ht="15.75" customHeight="1" x14ac:dyDescent="0.3">
      <c r="A351" s="5"/>
      <c r="B351" s="30"/>
      <c r="C351" s="4"/>
      <c r="I351" s="22"/>
    </row>
    <row r="352" spans="1:9" ht="15.75" customHeight="1" x14ac:dyDescent="0.3">
      <c r="A352" s="5"/>
      <c r="B352" s="30"/>
      <c r="C352" s="4"/>
      <c r="I352" s="22"/>
    </row>
    <row r="353" spans="1:9" ht="15.75" customHeight="1" x14ac:dyDescent="0.3">
      <c r="A353" s="5"/>
      <c r="B353" s="30"/>
      <c r="C353" s="4"/>
      <c r="I353" s="22"/>
    </row>
    <row r="354" spans="1:9" ht="15.75" customHeight="1" x14ac:dyDescent="0.3">
      <c r="A354" s="5"/>
      <c r="B354" s="30"/>
      <c r="C354" s="4"/>
      <c r="I354" s="22"/>
    </row>
    <row r="355" spans="1:9" ht="15.75" customHeight="1" x14ac:dyDescent="0.3">
      <c r="A355" s="5"/>
      <c r="B355" s="30"/>
      <c r="C355" s="4"/>
      <c r="I355" s="22"/>
    </row>
    <row r="356" spans="1:9" ht="15.75" customHeight="1" x14ac:dyDescent="0.3">
      <c r="A356" s="5"/>
      <c r="B356" s="30"/>
      <c r="C356" s="4"/>
      <c r="I356" s="22"/>
    </row>
    <row r="357" spans="1:9" ht="15.75" customHeight="1" x14ac:dyDescent="0.3">
      <c r="A357" s="5"/>
      <c r="B357" s="30"/>
      <c r="C357" s="4"/>
      <c r="I357" s="22"/>
    </row>
    <row r="358" spans="1:9" ht="15.75" customHeight="1" x14ac:dyDescent="0.3">
      <c r="A358" s="5"/>
      <c r="B358" s="30"/>
      <c r="C358" s="4"/>
      <c r="I358" s="22"/>
    </row>
    <row r="359" spans="1:9" ht="15.75" customHeight="1" x14ac:dyDescent="0.3">
      <c r="A359" s="5"/>
      <c r="B359" s="30"/>
      <c r="C359" s="4"/>
      <c r="I359" s="22"/>
    </row>
    <row r="360" spans="1:9" ht="15.75" customHeight="1" x14ac:dyDescent="0.3">
      <c r="A360" s="5"/>
      <c r="B360" s="30"/>
      <c r="C360" s="4"/>
      <c r="I360" s="22"/>
    </row>
    <row r="361" spans="1:9" ht="15.75" customHeight="1" x14ac:dyDescent="0.3">
      <c r="A361" s="5"/>
      <c r="B361" s="30"/>
      <c r="C361" s="4"/>
      <c r="I361" s="22"/>
    </row>
    <row r="362" spans="1:9" ht="15.75" customHeight="1" x14ac:dyDescent="0.3">
      <c r="A362" s="5"/>
      <c r="B362" s="30"/>
      <c r="C362" s="4"/>
      <c r="I362" s="22"/>
    </row>
    <row r="363" spans="1:9" ht="15.75" customHeight="1" x14ac:dyDescent="0.3">
      <c r="A363" s="5"/>
      <c r="B363" s="30"/>
      <c r="C363" s="4"/>
      <c r="I363" s="22"/>
    </row>
    <row r="364" spans="1:9" ht="15.75" customHeight="1" x14ac:dyDescent="0.3">
      <c r="A364" s="5"/>
      <c r="B364" s="30"/>
      <c r="C364" s="4"/>
      <c r="I364" s="22"/>
    </row>
    <row r="365" spans="1:9" ht="15.75" customHeight="1" x14ac:dyDescent="0.3">
      <c r="A365" s="5"/>
      <c r="B365" s="30"/>
      <c r="C365" s="4"/>
      <c r="I365" s="22"/>
    </row>
    <row r="366" spans="1:9" ht="15.75" customHeight="1" x14ac:dyDescent="0.3">
      <c r="A366" s="5"/>
      <c r="B366" s="30"/>
      <c r="C366" s="4"/>
      <c r="I366" s="22"/>
    </row>
    <row r="367" spans="1:9" ht="15.75" customHeight="1" x14ac:dyDescent="0.3">
      <c r="A367" s="5"/>
      <c r="B367" s="30"/>
      <c r="C367" s="4"/>
      <c r="I367" s="22"/>
    </row>
    <row r="368" spans="1:9" ht="15.75" customHeight="1" x14ac:dyDescent="0.3">
      <c r="A368" s="5"/>
      <c r="B368" s="30"/>
      <c r="C368" s="4"/>
      <c r="I368" s="22"/>
    </row>
    <row r="369" spans="1:9" ht="15.75" customHeight="1" x14ac:dyDescent="0.3">
      <c r="A369" s="5"/>
      <c r="B369" s="30"/>
      <c r="C369" s="4"/>
      <c r="I369" s="22"/>
    </row>
    <row r="370" spans="1:9" ht="15.75" customHeight="1" x14ac:dyDescent="0.3">
      <c r="A370" s="5"/>
      <c r="B370" s="30"/>
      <c r="C370" s="4"/>
      <c r="I370" s="22"/>
    </row>
    <row r="371" spans="1:9" ht="15.75" customHeight="1" x14ac:dyDescent="0.3">
      <c r="A371" s="5"/>
      <c r="B371" s="30"/>
      <c r="C371" s="4"/>
      <c r="I371" s="22"/>
    </row>
    <row r="372" spans="1:9" ht="15.75" customHeight="1" x14ac:dyDescent="0.3">
      <c r="A372" s="5"/>
      <c r="B372" s="30"/>
      <c r="C372" s="4"/>
      <c r="I372" s="22"/>
    </row>
    <row r="373" spans="1:9" ht="15.75" customHeight="1" x14ac:dyDescent="0.3">
      <c r="A373" s="5"/>
      <c r="B373" s="30"/>
      <c r="C373" s="4"/>
      <c r="I373" s="22"/>
    </row>
    <row r="374" spans="1:9" ht="15.75" customHeight="1" x14ac:dyDescent="0.3">
      <c r="A374" s="5"/>
      <c r="B374" s="30"/>
      <c r="C374" s="4"/>
      <c r="I374" s="22"/>
    </row>
    <row r="375" spans="1:9" ht="15.75" customHeight="1" x14ac:dyDescent="0.3">
      <c r="A375" s="5"/>
      <c r="B375" s="30"/>
      <c r="C375" s="4"/>
      <c r="I375" s="22"/>
    </row>
    <row r="376" spans="1:9" ht="15.75" customHeight="1" x14ac:dyDescent="0.3">
      <c r="A376" s="5"/>
      <c r="B376" s="30"/>
      <c r="C376" s="4"/>
      <c r="I376" s="22"/>
    </row>
    <row r="377" spans="1:9" ht="15.75" customHeight="1" x14ac:dyDescent="0.3">
      <c r="A377" s="5"/>
      <c r="B377" s="30"/>
      <c r="C377" s="4"/>
      <c r="I377" s="22"/>
    </row>
    <row r="378" spans="1:9" ht="15.75" customHeight="1" x14ac:dyDescent="0.3">
      <c r="A378" s="5"/>
      <c r="B378" s="30"/>
      <c r="C378" s="4"/>
      <c r="I378" s="22"/>
    </row>
    <row r="379" spans="1:9" ht="15.75" customHeight="1" x14ac:dyDescent="0.3">
      <c r="A379" s="5"/>
      <c r="B379" s="30"/>
      <c r="C379" s="4"/>
      <c r="I379" s="22"/>
    </row>
    <row r="380" spans="1:9" ht="15.75" customHeight="1" x14ac:dyDescent="0.3">
      <c r="A380" s="5"/>
      <c r="B380" s="30"/>
      <c r="C380" s="4"/>
      <c r="I380" s="22"/>
    </row>
    <row r="381" spans="1:9" ht="15.75" customHeight="1" x14ac:dyDescent="0.3">
      <c r="A381" s="5"/>
      <c r="B381" s="30"/>
      <c r="C381" s="4"/>
      <c r="I381" s="22"/>
    </row>
    <row r="382" spans="1:9" ht="15.75" customHeight="1" x14ac:dyDescent="0.3">
      <c r="A382" s="5"/>
      <c r="B382" s="30"/>
      <c r="C382" s="4"/>
      <c r="I382" s="22"/>
    </row>
    <row r="383" spans="1:9" ht="15.75" customHeight="1" x14ac:dyDescent="0.3">
      <c r="A383" s="5"/>
      <c r="B383" s="30"/>
      <c r="C383" s="4"/>
      <c r="I383" s="22"/>
    </row>
    <row r="384" spans="1:9" ht="15.75" customHeight="1" x14ac:dyDescent="0.3">
      <c r="A384" s="5"/>
      <c r="B384" s="30"/>
      <c r="C384" s="4"/>
      <c r="I384" s="22"/>
    </row>
    <row r="385" spans="1:9" ht="15.75" customHeight="1" x14ac:dyDescent="0.3">
      <c r="A385" s="5"/>
      <c r="B385" s="30"/>
      <c r="C385" s="4"/>
      <c r="I385" s="22"/>
    </row>
    <row r="386" spans="1:9" ht="15.75" customHeight="1" x14ac:dyDescent="0.3">
      <c r="A386" s="5"/>
      <c r="B386" s="30"/>
      <c r="C386" s="4"/>
      <c r="I386" s="22"/>
    </row>
    <row r="387" spans="1:9" ht="15.75" customHeight="1" x14ac:dyDescent="0.3">
      <c r="A387" s="5"/>
      <c r="B387" s="30"/>
      <c r="C387" s="4"/>
      <c r="I387" s="22"/>
    </row>
    <row r="388" spans="1:9" ht="15.75" customHeight="1" x14ac:dyDescent="0.3">
      <c r="A388" s="5"/>
      <c r="B388" s="30"/>
      <c r="C388" s="4"/>
      <c r="I388" s="22"/>
    </row>
    <row r="389" spans="1:9" ht="15.75" customHeight="1" x14ac:dyDescent="0.3">
      <c r="A389" s="5"/>
      <c r="B389" s="30"/>
      <c r="C389" s="4"/>
      <c r="I389" s="22"/>
    </row>
    <row r="390" spans="1:9" ht="15.75" customHeight="1" x14ac:dyDescent="0.3">
      <c r="A390" s="5"/>
      <c r="B390" s="30"/>
      <c r="C390" s="4"/>
      <c r="I390" s="22"/>
    </row>
    <row r="391" spans="1:9" ht="15.75" customHeight="1" x14ac:dyDescent="0.3">
      <c r="A391" s="5"/>
      <c r="B391" s="30"/>
      <c r="C391" s="4"/>
      <c r="I391" s="22"/>
    </row>
    <row r="392" spans="1:9" ht="15.75" customHeight="1" x14ac:dyDescent="0.3">
      <c r="A392" s="5"/>
      <c r="B392" s="30"/>
      <c r="C392" s="4"/>
      <c r="I392" s="22"/>
    </row>
    <row r="393" spans="1:9" ht="15.75" customHeight="1" x14ac:dyDescent="0.3">
      <c r="A393" s="5"/>
      <c r="B393" s="30"/>
      <c r="C393" s="4"/>
      <c r="I393" s="22"/>
    </row>
    <row r="394" spans="1:9" ht="15.75" customHeight="1" x14ac:dyDescent="0.3">
      <c r="A394" s="5"/>
      <c r="B394" s="30"/>
      <c r="C394" s="4"/>
      <c r="I394" s="22"/>
    </row>
    <row r="395" spans="1:9" ht="15.75" customHeight="1" x14ac:dyDescent="0.3">
      <c r="A395" s="5"/>
      <c r="B395" s="30"/>
      <c r="C395" s="4"/>
      <c r="I395" s="22"/>
    </row>
    <row r="396" spans="1:9" ht="15.75" customHeight="1" x14ac:dyDescent="0.3">
      <c r="A396" s="5"/>
      <c r="B396" s="30"/>
      <c r="C396" s="4"/>
      <c r="I396" s="22"/>
    </row>
    <row r="397" spans="1:9" ht="15.75" customHeight="1" x14ac:dyDescent="0.3">
      <c r="A397" s="5"/>
      <c r="B397" s="30"/>
      <c r="C397" s="4"/>
      <c r="I397" s="22"/>
    </row>
    <row r="398" spans="1:9" ht="15.75" customHeight="1" x14ac:dyDescent="0.3">
      <c r="A398" s="5"/>
      <c r="B398" s="30"/>
      <c r="C398" s="4"/>
      <c r="I398" s="22"/>
    </row>
    <row r="399" spans="1:9" ht="15.75" customHeight="1" x14ac:dyDescent="0.3">
      <c r="A399" s="5"/>
      <c r="B399" s="30"/>
      <c r="C399" s="4"/>
      <c r="I399" s="22"/>
    </row>
    <row r="400" spans="1:9" ht="15.75" customHeight="1" x14ac:dyDescent="0.3">
      <c r="A400" s="5"/>
      <c r="B400" s="30"/>
      <c r="C400" s="4"/>
      <c r="I400" s="22"/>
    </row>
    <row r="401" spans="1:9" ht="15.75" customHeight="1" x14ac:dyDescent="0.3">
      <c r="A401" s="5"/>
      <c r="B401" s="30"/>
      <c r="C401" s="4"/>
      <c r="I401" s="22"/>
    </row>
    <row r="402" spans="1:9" ht="15.75" customHeight="1" x14ac:dyDescent="0.3">
      <c r="A402" s="5"/>
      <c r="B402" s="30"/>
      <c r="C402" s="4"/>
      <c r="I402" s="22"/>
    </row>
    <row r="403" spans="1:9" ht="15.75" customHeight="1" x14ac:dyDescent="0.3">
      <c r="A403" s="5"/>
      <c r="B403" s="30"/>
      <c r="C403" s="4"/>
      <c r="I403" s="22"/>
    </row>
    <row r="404" spans="1:9" ht="15.75" customHeight="1" x14ac:dyDescent="0.3">
      <c r="A404" s="5"/>
      <c r="B404" s="30"/>
      <c r="C404" s="4"/>
      <c r="I404" s="22"/>
    </row>
    <row r="405" spans="1:9" ht="15.75" customHeight="1" x14ac:dyDescent="0.3">
      <c r="A405" s="5"/>
      <c r="B405" s="30"/>
      <c r="C405" s="4"/>
      <c r="I405" s="22"/>
    </row>
    <row r="406" spans="1:9" ht="15.75" customHeight="1" x14ac:dyDescent="0.3">
      <c r="A406" s="5"/>
      <c r="B406" s="30"/>
      <c r="C406" s="4"/>
      <c r="I406" s="22"/>
    </row>
    <row r="407" spans="1:9" ht="15.75" customHeight="1" x14ac:dyDescent="0.3">
      <c r="A407" s="5"/>
      <c r="B407" s="30"/>
      <c r="C407" s="4"/>
      <c r="I407" s="22"/>
    </row>
    <row r="408" spans="1:9" ht="15.75" customHeight="1" x14ac:dyDescent="0.3">
      <c r="A408" s="5"/>
      <c r="B408" s="30"/>
      <c r="C408" s="4"/>
      <c r="I408" s="22"/>
    </row>
    <row r="409" spans="1:9" ht="15.75" customHeight="1" x14ac:dyDescent="0.3">
      <c r="A409" s="5"/>
      <c r="B409" s="30"/>
      <c r="C409" s="4"/>
      <c r="I409" s="22"/>
    </row>
    <row r="410" spans="1:9" ht="15.75" customHeight="1" x14ac:dyDescent="0.3">
      <c r="A410" s="5"/>
      <c r="B410" s="30"/>
      <c r="C410" s="4"/>
      <c r="I410" s="22"/>
    </row>
    <row r="411" spans="1:9" ht="15.75" customHeight="1" x14ac:dyDescent="0.3">
      <c r="A411" s="5"/>
      <c r="B411" s="30"/>
      <c r="C411" s="4"/>
      <c r="I411" s="22"/>
    </row>
    <row r="412" spans="1:9" ht="15.75" customHeight="1" x14ac:dyDescent="0.3">
      <c r="A412" s="5"/>
      <c r="B412" s="30"/>
      <c r="C412" s="4"/>
      <c r="I412" s="22"/>
    </row>
    <row r="413" spans="1:9" ht="15.75" customHeight="1" x14ac:dyDescent="0.3">
      <c r="A413" s="5"/>
      <c r="B413" s="30"/>
      <c r="C413" s="4"/>
      <c r="I413" s="22"/>
    </row>
    <row r="414" spans="1:9" ht="15.75" customHeight="1" x14ac:dyDescent="0.3">
      <c r="A414" s="5"/>
      <c r="B414" s="30"/>
      <c r="C414" s="4"/>
      <c r="I414" s="22"/>
    </row>
    <row r="415" spans="1:9" ht="15.75" customHeight="1" x14ac:dyDescent="0.3">
      <c r="A415" s="5"/>
      <c r="B415" s="30"/>
      <c r="C415" s="4"/>
      <c r="I415" s="22"/>
    </row>
    <row r="416" spans="1:9" ht="15.75" customHeight="1" x14ac:dyDescent="0.3">
      <c r="A416" s="5"/>
      <c r="B416" s="30"/>
      <c r="C416" s="4"/>
      <c r="I416" s="22"/>
    </row>
    <row r="417" spans="1:9" ht="15.75" customHeight="1" x14ac:dyDescent="0.3">
      <c r="A417" s="5"/>
      <c r="B417" s="30"/>
      <c r="C417" s="4"/>
      <c r="I417" s="22"/>
    </row>
    <row r="418" spans="1:9" ht="15.75" customHeight="1" x14ac:dyDescent="0.3">
      <c r="A418" s="5"/>
      <c r="B418" s="30"/>
      <c r="C418" s="4"/>
      <c r="I418" s="22"/>
    </row>
    <row r="419" spans="1:9" ht="15.75" customHeight="1" x14ac:dyDescent="0.3">
      <c r="A419" s="5"/>
      <c r="B419" s="30"/>
      <c r="C419" s="4"/>
      <c r="I419" s="22"/>
    </row>
    <row r="420" spans="1:9" ht="15.75" customHeight="1" x14ac:dyDescent="0.3">
      <c r="A420" s="5"/>
      <c r="B420" s="30"/>
      <c r="C420" s="4"/>
      <c r="I420" s="22"/>
    </row>
    <row r="421" spans="1:9" ht="15.75" customHeight="1" x14ac:dyDescent="0.3">
      <c r="A421" s="5"/>
      <c r="B421" s="30"/>
      <c r="C421" s="4"/>
      <c r="I421" s="22"/>
    </row>
    <row r="422" spans="1:9" ht="15.75" customHeight="1" x14ac:dyDescent="0.3">
      <c r="A422" s="5"/>
      <c r="B422" s="30"/>
      <c r="C422" s="4"/>
      <c r="I422" s="22"/>
    </row>
    <row r="423" spans="1:9" ht="15.75" customHeight="1" x14ac:dyDescent="0.3">
      <c r="A423" s="5"/>
      <c r="B423" s="30"/>
      <c r="C423" s="4"/>
      <c r="I423" s="22"/>
    </row>
    <row r="424" spans="1:9" ht="15.75" customHeight="1" x14ac:dyDescent="0.3">
      <c r="A424" s="5"/>
      <c r="B424" s="30"/>
      <c r="C424" s="4"/>
      <c r="I424" s="22"/>
    </row>
    <row r="425" spans="1:9" ht="15.75" customHeight="1" x14ac:dyDescent="0.3">
      <c r="A425" s="5"/>
      <c r="B425" s="30"/>
      <c r="C425" s="4"/>
      <c r="I425" s="22"/>
    </row>
    <row r="426" spans="1:9" ht="15.75" customHeight="1" x14ac:dyDescent="0.3">
      <c r="A426" s="5"/>
      <c r="B426" s="30"/>
      <c r="C426" s="4"/>
      <c r="I426" s="22"/>
    </row>
    <row r="427" spans="1:9" ht="15.75" customHeight="1" x14ac:dyDescent="0.3">
      <c r="A427" s="5"/>
      <c r="B427" s="30"/>
      <c r="C427" s="4"/>
      <c r="I427" s="22"/>
    </row>
    <row r="428" spans="1:9" ht="15.75" customHeight="1" x14ac:dyDescent="0.3">
      <c r="A428" s="5"/>
      <c r="B428" s="30"/>
      <c r="C428" s="4"/>
      <c r="I428" s="22"/>
    </row>
    <row r="429" spans="1:9" ht="15.75" customHeight="1" x14ac:dyDescent="0.3">
      <c r="A429" s="5"/>
      <c r="B429" s="30"/>
      <c r="C429" s="4"/>
      <c r="I429" s="22"/>
    </row>
    <row r="430" spans="1:9" ht="15.75" customHeight="1" x14ac:dyDescent="0.3">
      <c r="A430" s="5"/>
      <c r="B430" s="30"/>
      <c r="C430" s="4"/>
      <c r="I430" s="22"/>
    </row>
    <row r="431" spans="1:9" ht="15.75" customHeight="1" x14ac:dyDescent="0.3">
      <c r="A431" s="5"/>
      <c r="B431" s="30"/>
      <c r="C431" s="4"/>
      <c r="I431" s="22"/>
    </row>
    <row r="432" spans="1:9" ht="15.75" customHeight="1" x14ac:dyDescent="0.3">
      <c r="A432" s="5"/>
      <c r="B432" s="30"/>
      <c r="C432" s="4"/>
      <c r="I432" s="22"/>
    </row>
    <row r="433" spans="1:9" ht="15.75" customHeight="1" x14ac:dyDescent="0.3">
      <c r="A433" s="5"/>
      <c r="B433" s="30"/>
      <c r="C433" s="4"/>
      <c r="I433" s="22"/>
    </row>
    <row r="434" spans="1:9" ht="15.75" customHeight="1" x14ac:dyDescent="0.3">
      <c r="A434" s="5"/>
      <c r="B434" s="30"/>
      <c r="C434" s="4"/>
      <c r="I434" s="22"/>
    </row>
    <row r="435" spans="1:9" ht="15.75" customHeight="1" x14ac:dyDescent="0.3">
      <c r="A435" s="5"/>
      <c r="B435" s="30"/>
      <c r="C435" s="4"/>
      <c r="I435" s="22"/>
    </row>
    <row r="436" spans="1:9" ht="15.75" customHeight="1" x14ac:dyDescent="0.3">
      <c r="A436" s="5"/>
      <c r="B436" s="30"/>
      <c r="C436" s="4"/>
      <c r="I436" s="22"/>
    </row>
    <row r="437" spans="1:9" ht="15.75" customHeight="1" x14ac:dyDescent="0.3">
      <c r="A437" s="5"/>
      <c r="B437" s="30"/>
      <c r="C437" s="4"/>
      <c r="I437" s="22"/>
    </row>
    <row r="438" spans="1:9" ht="15.75" customHeight="1" x14ac:dyDescent="0.3">
      <c r="A438" s="5"/>
      <c r="B438" s="30"/>
      <c r="C438" s="4"/>
      <c r="I438" s="22"/>
    </row>
    <row r="439" spans="1:9" ht="15.75" customHeight="1" x14ac:dyDescent="0.3">
      <c r="A439" s="5"/>
      <c r="B439" s="30"/>
      <c r="C439" s="4"/>
      <c r="I439" s="22"/>
    </row>
    <row r="440" spans="1:9" ht="15.75" customHeight="1" x14ac:dyDescent="0.3">
      <c r="A440" s="5"/>
      <c r="B440" s="30"/>
      <c r="C440" s="4"/>
      <c r="I440" s="22"/>
    </row>
    <row r="441" spans="1:9" ht="15.75" customHeight="1" x14ac:dyDescent="0.3">
      <c r="A441" s="5"/>
      <c r="B441" s="30"/>
      <c r="C441" s="4"/>
      <c r="I441" s="22"/>
    </row>
    <row r="442" spans="1:9" ht="15.75" customHeight="1" x14ac:dyDescent="0.3">
      <c r="A442" s="5"/>
      <c r="B442" s="30"/>
      <c r="C442" s="4"/>
      <c r="I442" s="22"/>
    </row>
    <row r="443" spans="1:9" ht="15.75" customHeight="1" x14ac:dyDescent="0.3">
      <c r="A443" s="5"/>
      <c r="B443" s="30"/>
      <c r="C443" s="4"/>
      <c r="I443" s="22"/>
    </row>
    <row r="444" spans="1:9" ht="15.75" customHeight="1" x14ac:dyDescent="0.3">
      <c r="A444" s="5"/>
      <c r="B444" s="30"/>
      <c r="C444" s="4"/>
      <c r="I444" s="22"/>
    </row>
    <row r="445" spans="1:9" ht="15.75" customHeight="1" x14ac:dyDescent="0.3">
      <c r="A445" s="5"/>
      <c r="B445" s="30"/>
      <c r="C445" s="4"/>
      <c r="I445" s="22"/>
    </row>
    <row r="446" spans="1:9" ht="15.75" customHeight="1" x14ac:dyDescent="0.3">
      <c r="A446" s="5"/>
      <c r="B446" s="30"/>
      <c r="C446" s="4"/>
      <c r="I446" s="22"/>
    </row>
    <row r="447" spans="1:9" ht="15.75" customHeight="1" x14ac:dyDescent="0.3">
      <c r="A447" s="5"/>
      <c r="B447" s="30"/>
      <c r="C447" s="4"/>
      <c r="I447" s="22"/>
    </row>
    <row r="448" spans="1:9" ht="15.75" customHeight="1" x14ac:dyDescent="0.3">
      <c r="A448" s="5"/>
      <c r="B448" s="30"/>
      <c r="C448" s="4"/>
      <c r="I448" s="22"/>
    </row>
    <row r="449" spans="1:9" ht="15.75" customHeight="1" x14ac:dyDescent="0.3">
      <c r="A449" s="5"/>
      <c r="B449" s="30"/>
      <c r="C449" s="4"/>
      <c r="I449" s="22"/>
    </row>
    <row r="450" spans="1:9" ht="15.75" customHeight="1" x14ac:dyDescent="0.3">
      <c r="A450" s="5"/>
      <c r="B450" s="30"/>
      <c r="C450" s="4"/>
      <c r="I450" s="22"/>
    </row>
    <row r="451" spans="1:9" ht="15.75" customHeight="1" x14ac:dyDescent="0.3">
      <c r="A451" s="5"/>
      <c r="B451" s="30"/>
      <c r="C451" s="4"/>
      <c r="I451" s="22"/>
    </row>
    <row r="452" spans="1:9" ht="15.75" customHeight="1" x14ac:dyDescent="0.3">
      <c r="A452" s="5"/>
      <c r="B452" s="30"/>
      <c r="C452" s="4"/>
      <c r="I452" s="22"/>
    </row>
    <row r="453" spans="1:9" ht="15.75" customHeight="1" x14ac:dyDescent="0.3">
      <c r="A453" s="5"/>
      <c r="B453" s="30"/>
      <c r="C453" s="4"/>
      <c r="I453" s="22"/>
    </row>
    <row r="454" spans="1:9" ht="15.75" customHeight="1" x14ac:dyDescent="0.3">
      <c r="A454" s="5"/>
      <c r="B454" s="30"/>
      <c r="C454" s="4"/>
      <c r="I454" s="22"/>
    </row>
    <row r="455" spans="1:9" ht="15.75" customHeight="1" x14ac:dyDescent="0.3">
      <c r="A455" s="5"/>
      <c r="B455" s="30"/>
      <c r="C455" s="4"/>
      <c r="I455" s="22"/>
    </row>
    <row r="456" spans="1:9" ht="15.75" customHeight="1" x14ac:dyDescent="0.3">
      <c r="A456" s="5"/>
      <c r="B456" s="30"/>
      <c r="C456" s="4"/>
      <c r="I456" s="22"/>
    </row>
    <row r="457" spans="1:9" ht="15.75" customHeight="1" x14ac:dyDescent="0.3">
      <c r="A457" s="5"/>
      <c r="B457" s="30"/>
      <c r="C457" s="4"/>
      <c r="I457" s="22"/>
    </row>
    <row r="458" spans="1:9" ht="15.75" customHeight="1" x14ac:dyDescent="0.3">
      <c r="A458" s="5"/>
      <c r="B458" s="30"/>
      <c r="C458" s="4"/>
      <c r="I458" s="22"/>
    </row>
    <row r="459" spans="1:9" ht="15.75" customHeight="1" x14ac:dyDescent="0.3">
      <c r="A459" s="5"/>
      <c r="B459" s="30"/>
      <c r="C459" s="4"/>
      <c r="I459" s="22"/>
    </row>
    <row r="460" spans="1:9" ht="15.75" customHeight="1" x14ac:dyDescent="0.3">
      <c r="A460" s="5"/>
      <c r="B460" s="30"/>
      <c r="C460" s="4"/>
      <c r="I460" s="22"/>
    </row>
    <row r="461" spans="1:9" ht="15.75" customHeight="1" x14ac:dyDescent="0.3">
      <c r="A461" s="5"/>
      <c r="B461" s="30"/>
      <c r="C461" s="4"/>
      <c r="I461" s="22"/>
    </row>
    <row r="462" spans="1:9" ht="15.75" customHeight="1" x14ac:dyDescent="0.3">
      <c r="A462" s="5"/>
      <c r="B462" s="30"/>
      <c r="C462" s="4"/>
      <c r="I462" s="22"/>
    </row>
    <row r="463" spans="1:9" ht="15.75" customHeight="1" x14ac:dyDescent="0.3">
      <c r="A463" s="5"/>
      <c r="B463" s="30"/>
      <c r="C463" s="4"/>
      <c r="I463" s="22"/>
    </row>
    <row r="464" spans="1:9" ht="15.75" customHeight="1" x14ac:dyDescent="0.3">
      <c r="A464" s="5"/>
      <c r="B464" s="30"/>
      <c r="C464" s="4"/>
      <c r="I464" s="22"/>
    </row>
    <row r="465" spans="1:9" ht="15.75" customHeight="1" x14ac:dyDescent="0.3">
      <c r="A465" s="5"/>
      <c r="B465" s="30"/>
      <c r="C465" s="4"/>
      <c r="I465" s="22"/>
    </row>
    <row r="466" spans="1:9" ht="15.75" customHeight="1" x14ac:dyDescent="0.3">
      <c r="A466" s="5"/>
      <c r="B466" s="30"/>
      <c r="C466" s="4"/>
      <c r="I466" s="22"/>
    </row>
    <row r="467" spans="1:9" ht="15.75" customHeight="1" x14ac:dyDescent="0.3">
      <c r="A467" s="5"/>
      <c r="B467" s="30"/>
      <c r="C467" s="4"/>
      <c r="I467" s="22"/>
    </row>
    <row r="468" spans="1:9" ht="15.75" customHeight="1" x14ac:dyDescent="0.3">
      <c r="A468" s="5"/>
      <c r="B468" s="30"/>
      <c r="C468" s="4"/>
      <c r="I468" s="22"/>
    </row>
    <row r="469" spans="1:9" ht="15.75" customHeight="1" x14ac:dyDescent="0.3">
      <c r="A469" s="5"/>
      <c r="B469" s="30"/>
      <c r="C469" s="4"/>
      <c r="I469" s="22"/>
    </row>
    <row r="470" spans="1:9" ht="15.75" customHeight="1" x14ac:dyDescent="0.3">
      <c r="A470" s="5"/>
      <c r="B470" s="30"/>
      <c r="C470" s="4"/>
      <c r="I470" s="22"/>
    </row>
    <row r="471" spans="1:9" ht="15.75" customHeight="1" x14ac:dyDescent="0.3">
      <c r="A471" s="5"/>
      <c r="B471" s="30"/>
      <c r="C471" s="4"/>
      <c r="I471" s="22"/>
    </row>
    <row r="472" spans="1:9" ht="15.75" customHeight="1" x14ac:dyDescent="0.3">
      <c r="A472" s="5"/>
      <c r="B472" s="30"/>
      <c r="C472" s="4"/>
      <c r="I472" s="22"/>
    </row>
    <row r="473" spans="1:9" ht="15.75" customHeight="1" x14ac:dyDescent="0.3">
      <c r="A473" s="5"/>
      <c r="B473" s="30"/>
      <c r="C473" s="4"/>
      <c r="I473" s="22"/>
    </row>
    <row r="474" spans="1:9" ht="15.75" customHeight="1" x14ac:dyDescent="0.3">
      <c r="A474" s="5"/>
      <c r="B474" s="30"/>
      <c r="C474" s="4"/>
      <c r="I474" s="22"/>
    </row>
    <row r="475" spans="1:9" ht="15.75" customHeight="1" x14ac:dyDescent="0.3">
      <c r="A475" s="5"/>
      <c r="B475" s="30"/>
      <c r="C475" s="4"/>
      <c r="I475" s="22"/>
    </row>
    <row r="476" spans="1:9" ht="15.75" customHeight="1" x14ac:dyDescent="0.3">
      <c r="A476" s="5"/>
      <c r="B476" s="30"/>
      <c r="C476" s="4"/>
      <c r="I476" s="22"/>
    </row>
    <row r="477" spans="1:9" ht="15.75" customHeight="1" x14ac:dyDescent="0.3">
      <c r="A477" s="5"/>
      <c r="B477" s="30"/>
      <c r="C477" s="4"/>
      <c r="I477" s="22"/>
    </row>
    <row r="478" spans="1:9" ht="15.75" customHeight="1" x14ac:dyDescent="0.3">
      <c r="A478" s="5"/>
      <c r="B478" s="30"/>
      <c r="C478" s="4"/>
      <c r="I478" s="22"/>
    </row>
    <row r="479" spans="1:9" ht="15.75" customHeight="1" x14ac:dyDescent="0.3">
      <c r="A479" s="5"/>
      <c r="B479" s="30"/>
      <c r="C479" s="4"/>
      <c r="I479" s="22"/>
    </row>
    <row r="480" spans="1:9" ht="15.75" customHeight="1" x14ac:dyDescent="0.3">
      <c r="A480" s="5"/>
      <c r="B480" s="30"/>
      <c r="C480" s="4"/>
      <c r="I480" s="22"/>
    </row>
    <row r="481" spans="1:9" ht="15.75" customHeight="1" x14ac:dyDescent="0.3">
      <c r="A481" s="5"/>
      <c r="B481" s="30"/>
      <c r="C481" s="4"/>
      <c r="I481" s="22"/>
    </row>
    <row r="482" spans="1:9" ht="15.75" customHeight="1" x14ac:dyDescent="0.3">
      <c r="A482" s="5"/>
      <c r="B482" s="30"/>
      <c r="C482" s="4"/>
      <c r="I482" s="22"/>
    </row>
    <row r="483" spans="1:9" ht="15.75" customHeight="1" x14ac:dyDescent="0.3">
      <c r="A483" s="5"/>
      <c r="B483" s="30"/>
      <c r="C483" s="4"/>
      <c r="I483" s="22"/>
    </row>
    <row r="484" spans="1:9" ht="15.75" customHeight="1" x14ac:dyDescent="0.3">
      <c r="A484" s="5"/>
      <c r="B484" s="30"/>
      <c r="C484" s="4"/>
      <c r="I484" s="22"/>
    </row>
    <row r="485" spans="1:9" ht="15.75" customHeight="1" x14ac:dyDescent="0.3">
      <c r="A485" s="5"/>
      <c r="B485" s="30"/>
      <c r="C485" s="4"/>
      <c r="I485" s="22"/>
    </row>
    <row r="486" spans="1:9" ht="15.75" customHeight="1" x14ac:dyDescent="0.3">
      <c r="A486" s="5"/>
      <c r="B486" s="30"/>
      <c r="C486" s="4"/>
      <c r="I486" s="22"/>
    </row>
    <row r="487" spans="1:9" ht="15.75" customHeight="1" x14ac:dyDescent="0.3">
      <c r="A487" s="5"/>
      <c r="B487" s="30"/>
      <c r="C487" s="4"/>
      <c r="I487" s="22"/>
    </row>
    <row r="488" spans="1:9" ht="15.75" customHeight="1" x14ac:dyDescent="0.3">
      <c r="A488" s="5"/>
      <c r="B488" s="30"/>
      <c r="C488" s="4"/>
      <c r="I488" s="22"/>
    </row>
    <row r="489" spans="1:9" ht="15.75" customHeight="1" x14ac:dyDescent="0.3">
      <c r="A489" s="5"/>
      <c r="B489" s="30"/>
      <c r="C489" s="4"/>
      <c r="I489" s="22"/>
    </row>
    <row r="490" spans="1:9" ht="15.75" customHeight="1" x14ac:dyDescent="0.3">
      <c r="A490" s="5"/>
      <c r="B490" s="30"/>
      <c r="C490" s="4"/>
      <c r="I490" s="22"/>
    </row>
    <row r="491" spans="1:9" ht="15.75" customHeight="1" x14ac:dyDescent="0.3">
      <c r="A491" s="5"/>
      <c r="B491" s="30"/>
      <c r="C491" s="4"/>
      <c r="I491" s="22"/>
    </row>
    <row r="492" spans="1:9" ht="15.75" customHeight="1" x14ac:dyDescent="0.3">
      <c r="A492" s="5"/>
      <c r="B492" s="30"/>
      <c r="C492" s="4"/>
      <c r="I492" s="22"/>
    </row>
    <row r="493" spans="1:9" ht="15.75" customHeight="1" x14ac:dyDescent="0.3">
      <c r="A493" s="5"/>
      <c r="B493" s="30"/>
      <c r="C493" s="4"/>
      <c r="I493" s="22"/>
    </row>
    <row r="494" spans="1:9" ht="15.75" customHeight="1" x14ac:dyDescent="0.3">
      <c r="A494" s="5"/>
      <c r="B494" s="30"/>
      <c r="C494" s="4"/>
      <c r="I494" s="22"/>
    </row>
    <row r="495" spans="1:9" ht="15.75" customHeight="1" x14ac:dyDescent="0.3">
      <c r="A495" s="5"/>
      <c r="B495" s="30"/>
      <c r="C495" s="4"/>
      <c r="I495" s="22"/>
    </row>
    <row r="496" spans="1:9" ht="15.75" customHeight="1" x14ac:dyDescent="0.3">
      <c r="A496" s="5"/>
      <c r="B496" s="30"/>
      <c r="C496" s="4"/>
      <c r="I496" s="22"/>
    </row>
    <row r="497" spans="1:9" ht="15.75" customHeight="1" x14ac:dyDescent="0.3">
      <c r="A497" s="5"/>
      <c r="B497" s="30"/>
      <c r="C497" s="4"/>
      <c r="I497" s="22"/>
    </row>
    <row r="498" spans="1:9" ht="15.75" customHeight="1" x14ac:dyDescent="0.3">
      <c r="A498" s="5"/>
      <c r="B498" s="30"/>
      <c r="C498" s="4"/>
      <c r="I498" s="22"/>
    </row>
    <row r="499" spans="1:9" ht="15.75" customHeight="1" x14ac:dyDescent="0.3">
      <c r="A499" s="5"/>
      <c r="B499" s="30"/>
      <c r="C499" s="4"/>
      <c r="I499" s="22"/>
    </row>
    <row r="500" spans="1:9" ht="15.75" customHeight="1" x14ac:dyDescent="0.3">
      <c r="A500" s="5"/>
      <c r="B500" s="30"/>
      <c r="C500" s="4"/>
      <c r="I500" s="22"/>
    </row>
    <row r="501" spans="1:9" ht="15.75" customHeight="1" x14ac:dyDescent="0.3">
      <c r="A501" s="5"/>
      <c r="B501" s="30"/>
      <c r="C501" s="4"/>
      <c r="I501" s="22"/>
    </row>
    <row r="502" spans="1:9" ht="15.75" customHeight="1" x14ac:dyDescent="0.3">
      <c r="A502" s="5"/>
      <c r="B502" s="30"/>
      <c r="C502" s="4"/>
      <c r="I502" s="22"/>
    </row>
    <row r="503" spans="1:9" ht="15.75" customHeight="1" x14ac:dyDescent="0.3">
      <c r="A503" s="5"/>
      <c r="B503" s="30"/>
      <c r="C503" s="4"/>
      <c r="I503" s="22"/>
    </row>
    <row r="504" spans="1:9" ht="15.75" customHeight="1" x14ac:dyDescent="0.3">
      <c r="A504" s="5"/>
      <c r="B504" s="30"/>
      <c r="C504" s="4"/>
      <c r="I504" s="22"/>
    </row>
    <row r="505" spans="1:9" ht="15.75" customHeight="1" x14ac:dyDescent="0.3">
      <c r="A505" s="5"/>
      <c r="B505" s="30"/>
      <c r="C505" s="4"/>
      <c r="I505" s="22"/>
    </row>
    <row r="506" spans="1:9" ht="15.75" customHeight="1" x14ac:dyDescent="0.3">
      <c r="A506" s="5"/>
      <c r="B506" s="30"/>
      <c r="C506" s="4"/>
      <c r="I506" s="22"/>
    </row>
    <row r="507" spans="1:9" ht="15.75" customHeight="1" x14ac:dyDescent="0.3">
      <c r="A507" s="5"/>
      <c r="B507" s="30"/>
      <c r="C507" s="4"/>
      <c r="I507" s="22"/>
    </row>
    <row r="508" spans="1:9" ht="15.75" customHeight="1" x14ac:dyDescent="0.3">
      <c r="A508" s="5"/>
      <c r="B508" s="30"/>
      <c r="C508" s="4"/>
      <c r="I508" s="22"/>
    </row>
    <row r="509" spans="1:9" ht="15.75" customHeight="1" x14ac:dyDescent="0.3">
      <c r="A509" s="5"/>
      <c r="B509" s="30"/>
      <c r="C509" s="4"/>
      <c r="I509" s="22"/>
    </row>
    <row r="510" spans="1:9" ht="15.75" customHeight="1" x14ac:dyDescent="0.3">
      <c r="A510" s="5"/>
      <c r="B510" s="30"/>
      <c r="C510" s="4"/>
      <c r="I510" s="22"/>
    </row>
    <row r="511" spans="1:9" ht="15.75" customHeight="1" x14ac:dyDescent="0.3">
      <c r="A511" s="5"/>
      <c r="B511" s="30"/>
      <c r="C511" s="4"/>
      <c r="I511" s="22"/>
    </row>
    <row r="512" spans="1:9" ht="15.75" customHeight="1" x14ac:dyDescent="0.3">
      <c r="A512" s="5"/>
      <c r="B512" s="30"/>
      <c r="C512" s="4"/>
      <c r="I512" s="22"/>
    </row>
    <row r="513" spans="1:9" ht="15.75" customHeight="1" x14ac:dyDescent="0.3">
      <c r="A513" s="5"/>
      <c r="B513" s="30"/>
      <c r="C513" s="4"/>
      <c r="I513" s="22"/>
    </row>
    <row r="514" spans="1:9" ht="15.75" customHeight="1" x14ac:dyDescent="0.3">
      <c r="A514" s="5"/>
      <c r="B514" s="30"/>
      <c r="C514" s="4"/>
      <c r="I514" s="22"/>
    </row>
    <row r="515" spans="1:9" ht="15.75" customHeight="1" x14ac:dyDescent="0.3">
      <c r="A515" s="5"/>
      <c r="B515" s="30"/>
      <c r="C515" s="4"/>
      <c r="I515" s="22"/>
    </row>
    <row r="516" spans="1:9" ht="15.75" customHeight="1" x14ac:dyDescent="0.3">
      <c r="A516" s="5"/>
      <c r="B516" s="30"/>
      <c r="C516" s="4"/>
      <c r="I516" s="22"/>
    </row>
    <row r="517" spans="1:9" ht="15.75" customHeight="1" x14ac:dyDescent="0.3">
      <c r="A517" s="5"/>
      <c r="B517" s="30"/>
      <c r="C517" s="4"/>
      <c r="I517" s="22"/>
    </row>
    <row r="518" spans="1:9" ht="15.75" customHeight="1" x14ac:dyDescent="0.3">
      <c r="A518" s="5"/>
      <c r="B518" s="30"/>
      <c r="C518" s="4"/>
      <c r="I518" s="22"/>
    </row>
    <row r="519" spans="1:9" ht="15.75" customHeight="1" x14ac:dyDescent="0.3">
      <c r="A519" s="5"/>
      <c r="B519" s="30"/>
      <c r="C519" s="4"/>
      <c r="I519" s="22"/>
    </row>
    <row r="520" spans="1:9" ht="15.75" customHeight="1" x14ac:dyDescent="0.3">
      <c r="A520" s="5"/>
      <c r="B520" s="30"/>
      <c r="C520" s="4"/>
      <c r="I520" s="22"/>
    </row>
    <row r="521" spans="1:9" ht="15.75" customHeight="1" x14ac:dyDescent="0.3">
      <c r="A521" s="5"/>
      <c r="B521" s="30"/>
      <c r="C521" s="4"/>
      <c r="I521" s="22"/>
    </row>
    <row r="522" spans="1:9" ht="15.75" customHeight="1" x14ac:dyDescent="0.3">
      <c r="A522" s="5"/>
      <c r="B522" s="30"/>
      <c r="C522" s="4"/>
      <c r="I522" s="22"/>
    </row>
    <row r="523" spans="1:9" ht="15.75" customHeight="1" x14ac:dyDescent="0.3">
      <c r="A523" s="5"/>
      <c r="B523" s="30"/>
      <c r="C523" s="4"/>
      <c r="I523" s="22"/>
    </row>
    <row r="524" spans="1:9" ht="15.75" customHeight="1" x14ac:dyDescent="0.3">
      <c r="A524" s="5"/>
      <c r="B524" s="30"/>
      <c r="C524" s="4"/>
      <c r="I524" s="22"/>
    </row>
    <row r="525" spans="1:9" ht="15.75" customHeight="1" x14ac:dyDescent="0.3">
      <c r="A525" s="5"/>
      <c r="B525" s="30"/>
      <c r="C525" s="4"/>
      <c r="I525" s="22"/>
    </row>
    <row r="526" spans="1:9" ht="15.75" customHeight="1" x14ac:dyDescent="0.3">
      <c r="A526" s="5"/>
      <c r="B526" s="30"/>
      <c r="C526" s="4"/>
      <c r="I526" s="22"/>
    </row>
    <row r="527" spans="1:9" ht="15.75" customHeight="1" x14ac:dyDescent="0.3">
      <c r="A527" s="5"/>
      <c r="B527" s="30"/>
      <c r="C527" s="4"/>
      <c r="I527" s="22"/>
    </row>
    <row r="528" spans="1:9" ht="15.75" customHeight="1" x14ac:dyDescent="0.3">
      <c r="A528" s="5"/>
      <c r="B528" s="30"/>
      <c r="C528" s="4"/>
      <c r="I528" s="22"/>
    </row>
    <row r="529" spans="1:9" ht="15.75" customHeight="1" x14ac:dyDescent="0.3">
      <c r="A529" s="5"/>
      <c r="B529" s="30"/>
      <c r="C529" s="4"/>
      <c r="I529" s="22"/>
    </row>
    <row r="530" spans="1:9" ht="15.75" customHeight="1" x14ac:dyDescent="0.3">
      <c r="A530" s="5"/>
      <c r="B530" s="30"/>
      <c r="C530" s="4"/>
      <c r="I530" s="22"/>
    </row>
    <row r="531" spans="1:9" ht="15.75" customHeight="1" x14ac:dyDescent="0.3">
      <c r="A531" s="5"/>
      <c r="B531" s="30"/>
      <c r="C531" s="4"/>
      <c r="I531" s="22"/>
    </row>
    <row r="532" spans="1:9" ht="15.75" customHeight="1" x14ac:dyDescent="0.3">
      <c r="A532" s="5"/>
      <c r="B532" s="30"/>
      <c r="C532" s="4"/>
      <c r="I532" s="22"/>
    </row>
    <row r="533" spans="1:9" ht="15.75" customHeight="1" x14ac:dyDescent="0.3">
      <c r="A533" s="5"/>
      <c r="B533" s="30"/>
      <c r="C533" s="4"/>
      <c r="I533" s="22"/>
    </row>
    <row r="534" spans="1:9" ht="15.75" customHeight="1" x14ac:dyDescent="0.3">
      <c r="A534" s="5"/>
      <c r="B534" s="30"/>
      <c r="C534" s="4"/>
      <c r="I534" s="22"/>
    </row>
    <row r="535" spans="1:9" ht="15.75" customHeight="1" x14ac:dyDescent="0.3">
      <c r="A535" s="5"/>
      <c r="B535" s="30"/>
      <c r="C535" s="4"/>
      <c r="I535" s="22"/>
    </row>
    <row r="536" spans="1:9" ht="15.75" customHeight="1" x14ac:dyDescent="0.3">
      <c r="A536" s="5"/>
      <c r="B536" s="30"/>
      <c r="C536" s="4"/>
      <c r="I536" s="22"/>
    </row>
    <row r="537" spans="1:9" ht="15.75" customHeight="1" x14ac:dyDescent="0.3">
      <c r="A537" s="5"/>
      <c r="B537" s="30"/>
      <c r="C537" s="4"/>
      <c r="I537" s="22"/>
    </row>
    <row r="538" spans="1:9" ht="15.75" customHeight="1" x14ac:dyDescent="0.3">
      <c r="A538" s="5"/>
      <c r="B538" s="30"/>
      <c r="C538" s="4"/>
      <c r="I538" s="22"/>
    </row>
    <row r="539" spans="1:9" ht="15.75" customHeight="1" x14ac:dyDescent="0.3">
      <c r="A539" s="5"/>
      <c r="B539" s="30"/>
      <c r="C539" s="4"/>
      <c r="I539" s="22"/>
    </row>
    <row r="540" spans="1:9" ht="15.75" customHeight="1" x14ac:dyDescent="0.3">
      <c r="A540" s="5"/>
      <c r="B540" s="30"/>
      <c r="C540" s="4"/>
      <c r="I540" s="22"/>
    </row>
    <row r="541" spans="1:9" ht="15.75" customHeight="1" x14ac:dyDescent="0.3">
      <c r="A541" s="5"/>
      <c r="B541" s="30"/>
      <c r="C541" s="4"/>
      <c r="I541" s="22"/>
    </row>
    <row r="542" spans="1:9" ht="15.75" customHeight="1" x14ac:dyDescent="0.3">
      <c r="A542" s="5"/>
      <c r="B542" s="30"/>
      <c r="C542" s="4"/>
      <c r="I542" s="22"/>
    </row>
    <row r="543" spans="1:9" ht="15.75" customHeight="1" x14ac:dyDescent="0.3">
      <c r="A543" s="5"/>
      <c r="B543" s="30"/>
      <c r="C543" s="4"/>
      <c r="I543" s="22"/>
    </row>
    <row r="544" spans="1:9" ht="15.75" customHeight="1" x14ac:dyDescent="0.3">
      <c r="A544" s="5"/>
      <c r="B544" s="30"/>
      <c r="C544" s="4"/>
      <c r="I544" s="22"/>
    </row>
    <row r="545" spans="1:9" ht="15.75" customHeight="1" x14ac:dyDescent="0.3">
      <c r="A545" s="5"/>
      <c r="B545" s="30"/>
      <c r="C545" s="4"/>
      <c r="I545" s="22"/>
    </row>
    <row r="546" spans="1:9" ht="15.75" customHeight="1" x14ac:dyDescent="0.3">
      <c r="A546" s="5"/>
      <c r="B546" s="30"/>
      <c r="C546" s="4"/>
      <c r="I546" s="22"/>
    </row>
    <row r="547" spans="1:9" ht="15.75" customHeight="1" x14ac:dyDescent="0.3">
      <c r="A547" s="5"/>
      <c r="B547" s="30"/>
      <c r="C547" s="4"/>
      <c r="I547" s="22"/>
    </row>
    <row r="548" spans="1:9" ht="15.75" customHeight="1" x14ac:dyDescent="0.3">
      <c r="A548" s="5"/>
      <c r="B548" s="30"/>
      <c r="C548" s="4"/>
      <c r="I548" s="22"/>
    </row>
    <row r="549" spans="1:9" ht="15.75" customHeight="1" x14ac:dyDescent="0.3">
      <c r="A549" s="5"/>
      <c r="B549" s="30"/>
      <c r="C549" s="4"/>
      <c r="I549" s="22"/>
    </row>
    <row r="550" spans="1:9" ht="15.75" customHeight="1" x14ac:dyDescent="0.3">
      <c r="A550" s="5"/>
      <c r="B550" s="30"/>
      <c r="C550" s="4"/>
      <c r="I550" s="22"/>
    </row>
    <row r="551" spans="1:9" ht="15.75" customHeight="1" x14ac:dyDescent="0.3">
      <c r="A551" s="5"/>
      <c r="B551" s="30"/>
      <c r="C551" s="4"/>
      <c r="I551" s="22"/>
    </row>
    <row r="552" spans="1:9" ht="15.75" customHeight="1" x14ac:dyDescent="0.3">
      <c r="A552" s="5"/>
      <c r="B552" s="30"/>
      <c r="C552" s="4"/>
      <c r="I552" s="22"/>
    </row>
    <row r="553" spans="1:9" ht="15.75" customHeight="1" x14ac:dyDescent="0.3">
      <c r="A553" s="5"/>
      <c r="B553" s="30"/>
      <c r="C553" s="4"/>
      <c r="I553" s="22"/>
    </row>
    <row r="554" spans="1:9" ht="15.75" customHeight="1" x14ac:dyDescent="0.3">
      <c r="A554" s="5"/>
      <c r="B554" s="30"/>
      <c r="C554" s="4"/>
      <c r="I554" s="22"/>
    </row>
    <row r="555" spans="1:9" ht="15.75" customHeight="1" x14ac:dyDescent="0.3">
      <c r="A555" s="5"/>
      <c r="B555" s="30"/>
      <c r="C555" s="4"/>
      <c r="I555" s="22"/>
    </row>
    <row r="556" spans="1:9" ht="15.75" customHeight="1" x14ac:dyDescent="0.3">
      <c r="A556" s="5"/>
      <c r="B556" s="30"/>
      <c r="C556" s="4"/>
      <c r="I556" s="22"/>
    </row>
    <row r="557" spans="1:9" ht="15.75" customHeight="1" x14ac:dyDescent="0.3">
      <c r="A557" s="5"/>
      <c r="B557" s="30"/>
      <c r="C557" s="4"/>
      <c r="I557" s="22"/>
    </row>
    <row r="558" spans="1:9" ht="15.75" customHeight="1" x14ac:dyDescent="0.3">
      <c r="A558" s="5"/>
      <c r="B558" s="30"/>
      <c r="C558" s="4"/>
      <c r="I558" s="22"/>
    </row>
    <row r="559" spans="1:9" ht="15.75" customHeight="1" x14ac:dyDescent="0.3">
      <c r="A559" s="5"/>
      <c r="B559" s="30"/>
      <c r="C559" s="4"/>
      <c r="I559" s="22"/>
    </row>
    <row r="560" spans="1:9" ht="15.75" customHeight="1" x14ac:dyDescent="0.3">
      <c r="A560" s="5"/>
      <c r="B560" s="30"/>
      <c r="C560" s="4"/>
      <c r="I560" s="22"/>
    </row>
    <row r="561" spans="1:9" ht="15.75" customHeight="1" x14ac:dyDescent="0.3">
      <c r="A561" s="5"/>
      <c r="B561" s="30"/>
      <c r="C561" s="4"/>
      <c r="I561" s="22"/>
    </row>
    <row r="562" spans="1:9" ht="15.75" customHeight="1" x14ac:dyDescent="0.3">
      <c r="A562" s="5"/>
      <c r="B562" s="30"/>
      <c r="C562" s="4"/>
      <c r="I562" s="22"/>
    </row>
    <row r="563" spans="1:9" ht="15.75" customHeight="1" x14ac:dyDescent="0.3">
      <c r="A563" s="5"/>
      <c r="B563" s="30"/>
      <c r="C563" s="4"/>
      <c r="I563" s="22"/>
    </row>
    <row r="564" spans="1:9" ht="15.75" customHeight="1" x14ac:dyDescent="0.3">
      <c r="A564" s="5"/>
      <c r="B564" s="30"/>
      <c r="C564" s="4"/>
      <c r="I564" s="22"/>
    </row>
    <row r="565" spans="1:9" ht="15.75" customHeight="1" x14ac:dyDescent="0.3">
      <c r="A565" s="5"/>
      <c r="B565" s="30"/>
      <c r="C565" s="4"/>
      <c r="I565" s="22"/>
    </row>
    <row r="566" spans="1:9" ht="15.75" customHeight="1" x14ac:dyDescent="0.3">
      <c r="A566" s="5"/>
      <c r="B566" s="30"/>
      <c r="C566" s="4"/>
      <c r="I566" s="22"/>
    </row>
    <row r="567" spans="1:9" ht="15.75" customHeight="1" x14ac:dyDescent="0.3">
      <c r="A567" s="5"/>
      <c r="B567" s="30"/>
      <c r="C567" s="4"/>
      <c r="I567" s="22"/>
    </row>
    <row r="568" spans="1:9" ht="15.75" customHeight="1" x14ac:dyDescent="0.3">
      <c r="A568" s="5"/>
      <c r="B568" s="30"/>
      <c r="C568" s="4"/>
      <c r="I568" s="22"/>
    </row>
    <row r="569" spans="1:9" ht="15.75" customHeight="1" x14ac:dyDescent="0.3">
      <c r="A569" s="5"/>
      <c r="B569" s="30"/>
      <c r="C569" s="4"/>
      <c r="I569" s="22"/>
    </row>
    <row r="570" spans="1:9" ht="15.75" customHeight="1" x14ac:dyDescent="0.3">
      <c r="A570" s="5"/>
      <c r="B570" s="30"/>
      <c r="C570" s="4"/>
      <c r="I570" s="22"/>
    </row>
    <row r="571" spans="1:9" ht="15.75" customHeight="1" x14ac:dyDescent="0.3">
      <c r="A571" s="5"/>
      <c r="B571" s="30"/>
      <c r="C571" s="4"/>
      <c r="I571" s="22"/>
    </row>
    <row r="572" spans="1:9" ht="15.75" customHeight="1" x14ac:dyDescent="0.3">
      <c r="A572" s="5"/>
      <c r="B572" s="30"/>
      <c r="C572" s="4"/>
      <c r="I572" s="22"/>
    </row>
    <row r="573" spans="1:9" ht="15.75" customHeight="1" x14ac:dyDescent="0.3">
      <c r="A573" s="5"/>
      <c r="B573" s="30"/>
      <c r="C573" s="4"/>
      <c r="I573" s="22"/>
    </row>
    <row r="574" spans="1:9" ht="15.75" customHeight="1" x14ac:dyDescent="0.3">
      <c r="A574" s="5"/>
      <c r="B574" s="30"/>
      <c r="C574" s="4"/>
      <c r="I574" s="22"/>
    </row>
    <row r="575" spans="1:9" ht="15.75" customHeight="1" x14ac:dyDescent="0.3">
      <c r="A575" s="5"/>
      <c r="B575" s="30"/>
      <c r="C575" s="4"/>
      <c r="I575" s="22"/>
    </row>
    <row r="576" spans="1:9" ht="15.75" customHeight="1" x14ac:dyDescent="0.3">
      <c r="A576" s="5"/>
      <c r="B576" s="30"/>
      <c r="C576" s="4"/>
      <c r="I576" s="22"/>
    </row>
    <row r="577" spans="1:9" ht="15.75" customHeight="1" x14ac:dyDescent="0.3">
      <c r="A577" s="5"/>
      <c r="B577" s="30"/>
      <c r="C577" s="4"/>
      <c r="I577" s="22"/>
    </row>
    <row r="578" spans="1:9" ht="15.75" customHeight="1" x14ac:dyDescent="0.3">
      <c r="A578" s="5"/>
      <c r="B578" s="30"/>
      <c r="C578" s="4"/>
      <c r="I578" s="22"/>
    </row>
    <row r="579" spans="1:9" ht="15.75" customHeight="1" x14ac:dyDescent="0.3">
      <c r="A579" s="5"/>
      <c r="B579" s="30"/>
      <c r="C579" s="4"/>
      <c r="I579" s="22"/>
    </row>
    <row r="580" spans="1:9" ht="15.75" customHeight="1" x14ac:dyDescent="0.3">
      <c r="A580" s="5"/>
      <c r="B580" s="30"/>
      <c r="C580" s="4"/>
      <c r="I580" s="22"/>
    </row>
    <row r="581" spans="1:9" ht="15.75" customHeight="1" x14ac:dyDescent="0.3">
      <c r="A581" s="5"/>
      <c r="B581" s="30"/>
      <c r="C581" s="4"/>
      <c r="I581" s="22"/>
    </row>
    <row r="582" spans="1:9" ht="15.75" customHeight="1" x14ac:dyDescent="0.3">
      <c r="A582" s="5"/>
      <c r="B582" s="30"/>
      <c r="C582" s="4"/>
      <c r="I582" s="22"/>
    </row>
    <row r="583" spans="1:9" ht="15.75" customHeight="1" x14ac:dyDescent="0.3">
      <c r="A583" s="5"/>
      <c r="B583" s="30"/>
      <c r="C583" s="4"/>
      <c r="I583" s="22"/>
    </row>
    <row r="584" spans="1:9" ht="15.75" customHeight="1" x14ac:dyDescent="0.3">
      <c r="A584" s="5"/>
      <c r="B584" s="30"/>
      <c r="C584" s="4"/>
      <c r="I584" s="22"/>
    </row>
    <row r="585" spans="1:9" ht="15.75" customHeight="1" x14ac:dyDescent="0.3">
      <c r="A585" s="5"/>
      <c r="B585" s="30"/>
      <c r="C585" s="4"/>
      <c r="I585" s="22"/>
    </row>
    <row r="586" spans="1:9" ht="15.75" customHeight="1" x14ac:dyDescent="0.3">
      <c r="A586" s="5"/>
      <c r="B586" s="30"/>
      <c r="C586" s="4"/>
      <c r="I586" s="22"/>
    </row>
    <row r="587" spans="1:9" ht="15.75" customHeight="1" x14ac:dyDescent="0.3">
      <c r="A587" s="5"/>
      <c r="B587" s="30"/>
      <c r="C587" s="4"/>
      <c r="I587" s="22"/>
    </row>
    <row r="588" spans="1:9" ht="15.75" customHeight="1" x14ac:dyDescent="0.3">
      <c r="A588" s="5"/>
      <c r="B588" s="30"/>
      <c r="C588" s="4"/>
      <c r="I588" s="22"/>
    </row>
    <row r="589" spans="1:9" ht="15.75" customHeight="1" x14ac:dyDescent="0.3">
      <c r="A589" s="5"/>
      <c r="B589" s="30"/>
      <c r="C589" s="4"/>
      <c r="I589" s="22"/>
    </row>
    <row r="590" spans="1:9" ht="15.75" customHeight="1" x14ac:dyDescent="0.3">
      <c r="A590" s="5"/>
      <c r="B590" s="30"/>
      <c r="C590" s="4"/>
      <c r="I590" s="22"/>
    </row>
    <row r="591" spans="1:9" ht="15.75" customHeight="1" x14ac:dyDescent="0.3">
      <c r="A591" s="5"/>
      <c r="B591" s="30"/>
      <c r="C591" s="4"/>
      <c r="I591" s="22"/>
    </row>
    <row r="592" spans="1:9" ht="15.75" customHeight="1" x14ac:dyDescent="0.3">
      <c r="A592" s="5"/>
      <c r="B592" s="30"/>
      <c r="C592" s="4"/>
      <c r="I592" s="22"/>
    </row>
    <row r="593" spans="1:9" ht="15.75" customHeight="1" x14ac:dyDescent="0.3">
      <c r="A593" s="5"/>
      <c r="B593" s="30"/>
      <c r="C593" s="4"/>
      <c r="I593" s="22"/>
    </row>
    <row r="594" spans="1:9" ht="15.75" customHeight="1" x14ac:dyDescent="0.3">
      <c r="A594" s="5"/>
      <c r="B594" s="30"/>
      <c r="C594" s="4"/>
      <c r="I594" s="22"/>
    </row>
    <row r="595" spans="1:9" ht="15.75" customHeight="1" x14ac:dyDescent="0.3">
      <c r="A595" s="5"/>
      <c r="B595" s="30"/>
      <c r="C595" s="4"/>
      <c r="I595" s="22"/>
    </row>
    <row r="596" spans="1:9" ht="15.75" customHeight="1" x14ac:dyDescent="0.3">
      <c r="A596" s="5"/>
      <c r="B596" s="30"/>
      <c r="C596" s="4"/>
      <c r="I596" s="22"/>
    </row>
    <row r="597" spans="1:9" ht="15.75" customHeight="1" x14ac:dyDescent="0.3">
      <c r="A597" s="5"/>
      <c r="B597" s="30"/>
      <c r="C597" s="4"/>
      <c r="I597" s="22"/>
    </row>
    <row r="598" spans="1:9" ht="15.75" customHeight="1" x14ac:dyDescent="0.3">
      <c r="A598" s="5"/>
      <c r="B598" s="30"/>
      <c r="C598" s="4"/>
      <c r="I598" s="22"/>
    </row>
    <row r="599" spans="1:9" ht="15.75" customHeight="1" x14ac:dyDescent="0.3">
      <c r="A599" s="5"/>
      <c r="B599" s="30"/>
      <c r="C599" s="4"/>
      <c r="I599" s="22"/>
    </row>
    <row r="600" spans="1:9" ht="15.75" customHeight="1" x14ac:dyDescent="0.3">
      <c r="A600" s="5"/>
      <c r="B600" s="30"/>
      <c r="C600" s="4"/>
      <c r="I600" s="22"/>
    </row>
    <row r="601" spans="1:9" ht="15.75" customHeight="1" x14ac:dyDescent="0.3">
      <c r="A601" s="5"/>
      <c r="B601" s="30"/>
      <c r="C601" s="4"/>
      <c r="I601" s="22"/>
    </row>
    <row r="602" spans="1:9" ht="15.75" customHeight="1" x14ac:dyDescent="0.3">
      <c r="A602" s="5"/>
      <c r="B602" s="30"/>
      <c r="C602" s="4"/>
      <c r="I602" s="22"/>
    </row>
    <row r="603" spans="1:9" ht="15.75" customHeight="1" x14ac:dyDescent="0.3">
      <c r="A603" s="5"/>
      <c r="B603" s="30"/>
      <c r="C603" s="4"/>
      <c r="I603" s="22"/>
    </row>
    <row r="604" spans="1:9" ht="15.75" customHeight="1" x14ac:dyDescent="0.3">
      <c r="A604" s="5"/>
      <c r="B604" s="30"/>
      <c r="C604" s="4"/>
      <c r="I604" s="22"/>
    </row>
    <row r="605" spans="1:9" ht="15.75" customHeight="1" x14ac:dyDescent="0.3">
      <c r="A605" s="5"/>
      <c r="B605" s="30"/>
      <c r="C605" s="4"/>
      <c r="I605" s="22"/>
    </row>
    <row r="606" spans="1:9" ht="15.75" customHeight="1" x14ac:dyDescent="0.3">
      <c r="A606" s="5"/>
      <c r="B606" s="30"/>
      <c r="C606" s="4"/>
      <c r="I606" s="22"/>
    </row>
    <row r="607" spans="1:9" ht="15.75" customHeight="1" x14ac:dyDescent="0.3">
      <c r="A607" s="5"/>
      <c r="B607" s="30"/>
      <c r="C607" s="4"/>
      <c r="I607" s="22"/>
    </row>
    <row r="608" spans="1:9" ht="15.75" customHeight="1" x14ac:dyDescent="0.3">
      <c r="A608" s="5"/>
      <c r="B608" s="30"/>
      <c r="C608" s="4"/>
      <c r="I608" s="22"/>
    </row>
    <row r="609" spans="1:9" ht="15.75" customHeight="1" x14ac:dyDescent="0.3">
      <c r="A609" s="5"/>
      <c r="B609" s="30"/>
      <c r="C609" s="4"/>
      <c r="I609" s="22"/>
    </row>
    <row r="610" spans="1:9" ht="15.75" customHeight="1" x14ac:dyDescent="0.3">
      <c r="A610" s="5"/>
      <c r="B610" s="30"/>
      <c r="C610" s="4"/>
      <c r="I610" s="22"/>
    </row>
    <row r="611" spans="1:9" ht="15.75" customHeight="1" x14ac:dyDescent="0.3">
      <c r="A611" s="5"/>
      <c r="B611" s="30"/>
      <c r="C611" s="4"/>
      <c r="I611" s="22"/>
    </row>
    <row r="612" spans="1:9" ht="15.75" customHeight="1" x14ac:dyDescent="0.3">
      <c r="A612" s="5"/>
      <c r="B612" s="30"/>
      <c r="C612" s="4"/>
      <c r="I612" s="22"/>
    </row>
    <row r="613" spans="1:9" ht="15.75" customHeight="1" x14ac:dyDescent="0.3">
      <c r="A613" s="5"/>
      <c r="B613" s="30"/>
      <c r="C613" s="4"/>
      <c r="I613" s="22"/>
    </row>
    <row r="614" spans="1:9" ht="15.75" customHeight="1" x14ac:dyDescent="0.3">
      <c r="A614" s="5"/>
      <c r="B614" s="30"/>
      <c r="C614" s="4"/>
      <c r="I614" s="22"/>
    </row>
    <row r="615" spans="1:9" ht="15.75" customHeight="1" x14ac:dyDescent="0.3">
      <c r="A615" s="5"/>
      <c r="B615" s="30"/>
      <c r="C615" s="4"/>
      <c r="I615" s="22"/>
    </row>
    <row r="616" spans="1:9" ht="15.75" customHeight="1" x14ac:dyDescent="0.3">
      <c r="A616" s="5"/>
      <c r="B616" s="30"/>
      <c r="C616" s="4"/>
      <c r="I616" s="22"/>
    </row>
    <row r="617" spans="1:9" ht="15.75" customHeight="1" x14ac:dyDescent="0.3">
      <c r="A617" s="5"/>
      <c r="B617" s="30"/>
      <c r="C617" s="4"/>
      <c r="I617" s="22"/>
    </row>
    <row r="618" spans="1:9" ht="15.75" customHeight="1" x14ac:dyDescent="0.3">
      <c r="A618" s="5"/>
      <c r="B618" s="30"/>
      <c r="C618" s="4"/>
      <c r="I618" s="22"/>
    </row>
    <row r="619" spans="1:9" ht="15.75" customHeight="1" x14ac:dyDescent="0.3">
      <c r="A619" s="5"/>
      <c r="B619" s="30"/>
      <c r="C619" s="4"/>
      <c r="I619" s="22"/>
    </row>
    <row r="620" spans="1:9" ht="15.75" customHeight="1" x14ac:dyDescent="0.3">
      <c r="A620" s="5"/>
      <c r="B620" s="30"/>
      <c r="C620" s="4"/>
      <c r="I620" s="22"/>
    </row>
    <row r="621" spans="1:9" ht="15.75" customHeight="1" x14ac:dyDescent="0.3">
      <c r="A621" s="5"/>
      <c r="B621" s="30"/>
      <c r="C621" s="4"/>
      <c r="I621" s="22"/>
    </row>
    <row r="622" spans="1:9" ht="15.75" customHeight="1" x14ac:dyDescent="0.3">
      <c r="A622" s="5"/>
      <c r="B622" s="30"/>
      <c r="C622" s="4"/>
      <c r="I622" s="22"/>
    </row>
    <row r="623" spans="1:9" ht="15.75" customHeight="1" x14ac:dyDescent="0.3">
      <c r="A623" s="5"/>
      <c r="B623" s="30"/>
      <c r="C623" s="4"/>
      <c r="I623" s="22"/>
    </row>
    <row r="624" spans="1:9" ht="15.75" customHeight="1" x14ac:dyDescent="0.3">
      <c r="A624" s="5"/>
      <c r="B624" s="30"/>
      <c r="C624" s="4"/>
      <c r="I624" s="22"/>
    </row>
    <row r="625" spans="1:9" ht="15.75" customHeight="1" x14ac:dyDescent="0.3">
      <c r="A625" s="5"/>
      <c r="B625" s="30"/>
      <c r="C625" s="4"/>
      <c r="I625" s="22"/>
    </row>
    <row r="626" spans="1:9" ht="15.75" customHeight="1" x14ac:dyDescent="0.3">
      <c r="A626" s="5"/>
      <c r="B626" s="30"/>
      <c r="C626" s="4"/>
      <c r="I626" s="22"/>
    </row>
    <row r="627" spans="1:9" ht="15.75" customHeight="1" x14ac:dyDescent="0.3">
      <c r="A627" s="5"/>
      <c r="B627" s="30"/>
      <c r="C627" s="4"/>
      <c r="I627" s="22"/>
    </row>
    <row r="628" spans="1:9" ht="15.75" customHeight="1" x14ac:dyDescent="0.3">
      <c r="A628" s="5"/>
      <c r="B628" s="30"/>
      <c r="C628" s="4"/>
      <c r="I628" s="22"/>
    </row>
    <row r="629" spans="1:9" ht="15.75" customHeight="1" x14ac:dyDescent="0.3">
      <c r="A629" s="5"/>
      <c r="B629" s="30"/>
      <c r="C629" s="4"/>
      <c r="I629" s="22"/>
    </row>
    <row r="630" spans="1:9" ht="15.75" customHeight="1" x14ac:dyDescent="0.3">
      <c r="A630" s="5"/>
      <c r="B630" s="30"/>
      <c r="C630" s="4"/>
      <c r="I630" s="22"/>
    </row>
    <row r="631" spans="1:9" ht="15.75" customHeight="1" x14ac:dyDescent="0.3">
      <c r="A631" s="5"/>
      <c r="B631" s="30"/>
      <c r="C631" s="4"/>
      <c r="I631" s="22"/>
    </row>
    <row r="632" spans="1:9" ht="15.75" customHeight="1" x14ac:dyDescent="0.3">
      <c r="A632" s="5"/>
      <c r="B632" s="30"/>
      <c r="C632" s="4"/>
      <c r="I632" s="22"/>
    </row>
    <row r="633" spans="1:9" ht="15.75" customHeight="1" x14ac:dyDescent="0.3">
      <c r="A633" s="5"/>
      <c r="B633" s="30"/>
      <c r="C633" s="4"/>
      <c r="I633" s="22"/>
    </row>
    <row r="634" spans="1:9" ht="15.75" customHeight="1" x14ac:dyDescent="0.3">
      <c r="A634" s="5"/>
      <c r="B634" s="30"/>
      <c r="C634" s="4"/>
      <c r="I634" s="22"/>
    </row>
    <row r="635" spans="1:9" ht="15.75" customHeight="1" x14ac:dyDescent="0.3">
      <c r="A635" s="5"/>
      <c r="B635" s="30"/>
      <c r="C635" s="4"/>
      <c r="I635" s="22"/>
    </row>
    <row r="636" spans="1:9" ht="15.75" customHeight="1" x14ac:dyDescent="0.3">
      <c r="A636" s="5"/>
      <c r="B636" s="30"/>
      <c r="C636" s="4"/>
      <c r="I636" s="22"/>
    </row>
    <row r="637" spans="1:9" ht="15.75" customHeight="1" x14ac:dyDescent="0.3">
      <c r="A637" s="5"/>
      <c r="B637" s="30"/>
      <c r="C637" s="4"/>
      <c r="I637" s="22"/>
    </row>
    <row r="638" spans="1:9" ht="15.75" customHeight="1" x14ac:dyDescent="0.3">
      <c r="A638" s="5"/>
      <c r="B638" s="30"/>
      <c r="C638" s="4"/>
      <c r="I638" s="22"/>
    </row>
    <row r="639" spans="1:9" ht="15.75" customHeight="1" x14ac:dyDescent="0.3">
      <c r="A639" s="5"/>
      <c r="B639" s="30"/>
      <c r="C639" s="4"/>
      <c r="I639" s="22"/>
    </row>
    <row r="640" spans="1:9" ht="15.75" customHeight="1" x14ac:dyDescent="0.3">
      <c r="A640" s="5"/>
      <c r="B640" s="30"/>
      <c r="C640" s="4"/>
      <c r="I640" s="22"/>
    </row>
    <row r="641" spans="1:9" ht="15.75" customHeight="1" x14ac:dyDescent="0.3">
      <c r="A641" s="5"/>
      <c r="B641" s="30"/>
      <c r="C641" s="4"/>
      <c r="I641" s="22"/>
    </row>
    <row r="642" spans="1:9" ht="15.75" customHeight="1" x14ac:dyDescent="0.3">
      <c r="A642" s="5"/>
      <c r="B642" s="30"/>
      <c r="C642" s="4"/>
      <c r="I642" s="22"/>
    </row>
    <row r="643" spans="1:9" ht="15.75" customHeight="1" x14ac:dyDescent="0.3">
      <c r="A643" s="5"/>
      <c r="B643" s="30"/>
      <c r="C643" s="4"/>
      <c r="I643" s="22"/>
    </row>
    <row r="644" spans="1:9" ht="15.75" customHeight="1" x14ac:dyDescent="0.3">
      <c r="A644" s="5"/>
      <c r="B644" s="30"/>
      <c r="C644" s="4"/>
      <c r="I644" s="22"/>
    </row>
    <row r="645" spans="1:9" ht="15.75" customHeight="1" x14ac:dyDescent="0.3">
      <c r="A645" s="5"/>
      <c r="B645" s="30"/>
      <c r="C645" s="4"/>
      <c r="I645" s="22"/>
    </row>
    <row r="646" spans="1:9" ht="15.75" customHeight="1" x14ac:dyDescent="0.3">
      <c r="A646" s="5"/>
      <c r="B646" s="30"/>
      <c r="C646" s="4"/>
      <c r="I646" s="22"/>
    </row>
    <row r="647" spans="1:9" ht="15.75" customHeight="1" x14ac:dyDescent="0.3">
      <c r="A647" s="5"/>
      <c r="B647" s="30"/>
      <c r="C647" s="4"/>
      <c r="I647" s="22"/>
    </row>
    <row r="648" spans="1:9" ht="15.75" customHeight="1" x14ac:dyDescent="0.3">
      <c r="A648" s="5"/>
      <c r="B648" s="30"/>
      <c r="C648" s="4"/>
      <c r="I648" s="22"/>
    </row>
    <row r="649" spans="1:9" ht="15.75" customHeight="1" x14ac:dyDescent="0.3">
      <c r="A649" s="5"/>
      <c r="B649" s="30"/>
      <c r="C649" s="4"/>
      <c r="I649" s="22"/>
    </row>
    <row r="650" spans="1:9" ht="15.75" customHeight="1" x14ac:dyDescent="0.3">
      <c r="A650" s="5"/>
      <c r="B650" s="30"/>
      <c r="C650" s="4"/>
      <c r="I650" s="22"/>
    </row>
    <row r="651" spans="1:9" ht="15.75" customHeight="1" x14ac:dyDescent="0.3">
      <c r="A651" s="5"/>
      <c r="B651" s="30"/>
      <c r="C651" s="4"/>
      <c r="I651" s="22"/>
    </row>
    <row r="652" spans="1:9" ht="15.75" customHeight="1" x14ac:dyDescent="0.3">
      <c r="A652" s="5"/>
      <c r="B652" s="30"/>
      <c r="C652" s="4"/>
      <c r="I652" s="22"/>
    </row>
    <row r="653" spans="1:9" ht="15.75" customHeight="1" x14ac:dyDescent="0.3">
      <c r="A653" s="5"/>
      <c r="B653" s="30"/>
      <c r="C653" s="4"/>
      <c r="I653" s="22"/>
    </row>
    <row r="654" spans="1:9" ht="15.75" customHeight="1" x14ac:dyDescent="0.3">
      <c r="A654" s="5"/>
      <c r="B654" s="30"/>
      <c r="C654" s="4"/>
      <c r="I654" s="22"/>
    </row>
    <row r="655" spans="1:9" ht="15.75" customHeight="1" x14ac:dyDescent="0.3">
      <c r="A655" s="5"/>
      <c r="B655" s="30"/>
      <c r="C655" s="4"/>
      <c r="I655" s="22"/>
    </row>
    <row r="656" spans="1:9" ht="15.75" customHeight="1" x14ac:dyDescent="0.3">
      <c r="A656" s="5"/>
      <c r="B656" s="30"/>
      <c r="C656" s="4"/>
      <c r="I656" s="22"/>
    </row>
    <row r="657" spans="1:9" ht="15.75" customHeight="1" x14ac:dyDescent="0.3">
      <c r="A657" s="5"/>
      <c r="B657" s="30"/>
      <c r="C657" s="4"/>
      <c r="I657" s="22"/>
    </row>
    <row r="658" spans="1:9" ht="15.75" customHeight="1" x14ac:dyDescent="0.3">
      <c r="A658" s="5"/>
      <c r="B658" s="30"/>
      <c r="C658" s="4"/>
      <c r="I658" s="22"/>
    </row>
    <row r="659" spans="1:9" ht="15.75" customHeight="1" x14ac:dyDescent="0.3">
      <c r="A659" s="5"/>
      <c r="B659" s="30"/>
      <c r="C659" s="4"/>
      <c r="I659" s="22"/>
    </row>
    <row r="660" spans="1:9" ht="15.75" customHeight="1" x14ac:dyDescent="0.3">
      <c r="A660" s="5"/>
      <c r="B660" s="30"/>
      <c r="C660" s="4"/>
      <c r="I660" s="22"/>
    </row>
    <row r="661" spans="1:9" ht="15.75" customHeight="1" x14ac:dyDescent="0.3">
      <c r="A661" s="5"/>
      <c r="B661" s="30"/>
      <c r="C661" s="4"/>
      <c r="I661" s="22"/>
    </row>
    <row r="662" spans="1:9" ht="15.75" customHeight="1" x14ac:dyDescent="0.3">
      <c r="A662" s="5"/>
      <c r="B662" s="30"/>
      <c r="C662" s="4"/>
      <c r="I662" s="22"/>
    </row>
    <row r="663" spans="1:9" ht="15.75" customHeight="1" x14ac:dyDescent="0.3">
      <c r="A663" s="5"/>
      <c r="B663" s="30"/>
      <c r="C663" s="4"/>
      <c r="I663" s="22"/>
    </row>
    <row r="664" spans="1:9" ht="15.75" customHeight="1" x14ac:dyDescent="0.3">
      <c r="A664" s="5"/>
      <c r="B664" s="30"/>
      <c r="C664" s="4"/>
      <c r="I664" s="22"/>
    </row>
    <row r="665" spans="1:9" ht="15.75" customHeight="1" x14ac:dyDescent="0.3">
      <c r="A665" s="5"/>
      <c r="B665" s="30"/>
      <c r="C665" s="4"/>
      <c r="I665" s="22"/>
    </row>
    <row r="666" spans="1:9" ht="15.75" customHeight="1" x14ac:dyDescent="0.3">
      <c r="A666" s="5"/>
      <c r="B666" s="30"/>
      <c r="C666" s="4"/>
      <c r="I666" s="22"/>
    </row>
    <row r="667" spans="1:9" ht="15.75" customHeight="1" x14ac:dyDescent="0.3">
      <c r="A667" s="5"/>
      <c r="B667" s="30"/>
      <c r="C667" s="4"/>
      <c r="I667" s="22"/>
    </row>
    <row r="668" spans="1:9" ht="15.75" customHeight="1" x14ac:dyDescent="0.3">
      <c r="A668" s="5"/>
      <c r="B668" s="30"/>
      <c r="C668" s="4"/>
      <c r="I668" s="22"/>
    </row>
    <row r="669" spans="1:9" ht="15.75" customHeight="1" x14ac:dyDescent="0.3">
      <c r="A669" s="5"/>
      <c r="B669" s="30"/>
      <c r="C669" s="4"/>
      <c r="I669" s="22"/>
    </row>
    <row r="670" spans="1:9" ht="15.75" customHeight="1" x14ac:dyDescent="0.3">
      <c r="A670" s="5"/>
      <c r="B670" s="30"/>
      <c r="C670" s="4"/>
      <c r="I670" s="22"/>
    </row>
    <row r="671" spans="1:9" ht="15.75" customHeight="1" x14ac:dyDescent="0.3">
      <c r="A671" s="5"/>
      <c r="B671" s="30"/>
      <c r="C671" s="4"/>
      <c r="I671" s="22"/>
    </row>
    <row r="672" spans="1:9" ht="15.75" customHeight="1" x14ac:dyDescent="0.3">
      <c r="A672" s="5"/>
      <c r="B672" s="30"/>
      <c r="C672" s="4"/>
      <c r="I672" s="22"/>
    </row>
    <row r="673" spans="1:9" ht="15.75" customHeight="1" x14ac:dyDescent="0.3">
      <c r="A673" s="5"/>
      <c r="B673" s="30"/>
      <c r="C673" s="4"/>
      <c r="I673" s="22"/>
    </row>
    <row r="674" spans="1:9" ht="15.75" customHeight="1" x14ac:dyDescent="0.3">
      <c r="A674" s="5"/>
      <c r="B674" s="30"/>
      <c r="C674" s="4"/>
      <c r="I674" s="22"/>
    </row>
    <row r="675" spans="1:9" ht="15.75" customHeight="1" x14ac:dyDescent="0.3">
      <c r="A675" s="5"/>
      <c r="B675" s="30"/>
      <c r="C675" s="4"/>
      <c r="I675" s="22"/>
    </row>
    <row r="676" spans="1:9" ht="15.75" customHeight="1" x14ac:dyDescent="0.3">
      <c r="A676" s="5"/>
      <c r="B676" s="30"/>
      <c r="C676" s="4"/>
      <c r="I676" s="22"/>
    </row>
    <row r="677" spans="1:9" ht="15.75" customHeight="1" x14ac:dyDescent="0.3">
      <c r="A677" s="5"/>
      <c r="B677" s="30"/>
      <c r="C677" s="4"/>
      <c r="I677" s="22"/>
    </row>
    <row r="678" spans="1:9" ht="15.75" customHeight="1" x14ac:dyDescent="0.3">
      <c r="A678" s="5"/>
      <c r="B678" s="30"/>
      <c r="C678" s="4"/>
      <c r="I678" s="22"/>
    </row>
    <row r="679" spans="1:9" ht="15.75" customHeight="1" x14ac:dyDescent="0.3">
      <c r="A679" s="5"/>
      <c r="B679" s="30"/>
      <c r="C679" s="4"/>
      <c r="I679" s="22"/>
    </row>
    <row r="680" spans="1:9" ht="15.75" customHeight="1" x14ac:dyDescent="0.3">
      <c r="A680" s="5"/>
      <c r="B680" s="30"/>
      <c r="C680" s="4"/>
      <c r="I680" s="22"/>
    </row>
    <row r="681" spans="1:9" ht="15.75" customHeight="1" x14ac:dyDescent="0.3">
      <c r="A681" s="5"/>
      <c r="B681" s="30"/>
      <c r="C681" s="4"/>
      <c r="I681" s="22"/>
    </row>
    <row r="682" spans="1:9" ht="15.75" customHeight="1" x14ac:dyDescent="0.3">
      <c r="A682" s="5"/>
      <c r="B682" s="30"/>
      <c r="C682" s="4"/>
      <c r="I682" s="22"/>
    </row>
    <row r="683" spans="1:9" ht="15.75" customHeight="1" x14ac:dyDescent="0.3">
      <c r="A683" s="5"/>
      <c r="B683" s="30"/>
      <c r="C683" s="4"/>
      <c r="I683" s="22"/>
    </row>
    <row r="684" spans="1:9" ht="15.75" customHeight="1" x14ac:dyDescent="0.3">
      <c r="A684" s="5"/>
      <c r="B684" s="30"/>
      <c r="C684" s="4"/>
      <c r="I684" s="22"/>
    </row>
    <row r="685" spans="1:9" ht="15.75" customHeight="1" x14ac:dyDescent="0.3">
      <c r="A685" s="5"/>
      <c r="B685" s="30"/>
      <c r="C685" s="4"/>
      <c r="I685" s="22"/>
    </row>
    <row r="686" spans="1:9" ht="15.75" customHeight="1" x14ac:dyDescent="0.3">
      <c r="A686" s="5"/>
      <c r="B686" s="30"/>
      <c r="C686" s="4"/>
      <c r="I686" s="22"/>
    </row>
    <row r="687" spans="1:9" ht="15.75" customHeight="1" x14ac:dyDescent="0.3">
      <c r="A687" s="5"/>
      <c r="B687" s="30"/>
      <c r="C687" s="4"/>
      <c r="I687" s="22"/>
    </row>
    <row r="688" spans="1:9" ht="15.75" customHeight="1" x14ac:dyDescent="0.3">
      <c r="A688" s="5"/>
      <c r="B688" s="30"/>
      <c r="C688" s="4"/>
      <c r="I688" s="22"/>
    </row>
    <row r="689" spans="1:9" ht="15.75" customHeight="1" x14ac:dyDescent="0.3">
      <c r="A689" s="5"/>
      <c r="B689" s="30"/>
      <c r="C689" s="4"/>
      <c r="I689" s="22"/>
    </row>
    <row r="690" spans="1:9" ht="15.75" customHeight="1" x14ac:dyDescent="0.3">
      <c r="A690" s="5"/>
      <c r="B690" s="30"/>
      <c r="C690" s="4"/>
      <c r="I690" s="22"/>
    </row>
    <row r="691" spans="1:9" ht="15.75" customHeight="1" x14ac:dyDescent="0.3">
      <c r="A691" s="5"/>
      <c r="B691" s="30"/>
      <c r="C691" s="4"/>
      <c r="I691" s="22"/>
    </row>
    <row r="692" spans="1:9" ht="15.75" customHeight="1" x14ac:dyDescent="0.3">
      <c r="A692" s="5"/>
      <c r="B692" s="30"/>
      <c r="C692" s="4"/>
      <c r="I692" s="22"/>
    </row>
    <row r="693" spans="1:9" ht="15.75" customHeight="1" x14ac:dyDescent="0.3">
      <c r="A693" s="5"/>
      <c r="B693" s="30"/>
      <c r="C693" s="4"/>
      <c r="I693" s="22"/>
    </row>
    <row r="694" spans="1:9" ht="15.75" customHeight="1" x14ac:dyDescent="0.3">
      <c r="A694" s="5"/>
      <c r="B694" s="30"/>
      <c r="C694" s="4"/>
      <c r="I694" s="22"/>
    </row>
    <row r="695" spans="1:9" ht="15.75" customHeight="1" x14ac:dyDescent="0.3">
      <c r="A695" s="5"/>
      <c r="B695" s="30"/>
      <c r="C695" s="4"/>
      <c r="I695" s="22"/>
    </row>
    <row r="696" spans="1:9" ht="15.75" customHeight="1" x14ac:dyDescent="0.3">
      <c r="A696" s="5"/>
      <c r="B696" s="30"/>
      <c r="C696" s="4"/>
      <c r="I696" s="22"/>
    </row>
    <row r="697" spans="1:9" ht="15.75" customHeight="1" x14ac:dyDescent="0.3">
      <c r="A697" s="5"/>
      <c r="B697" s="30"/>
      <c r="C697" s="4"/>
      <c r="I697" s="22"/>
    </row>
    <row r="698" spans="1:9" ht="15.75" customHeight="1" x14ac:dyDescent="0.3">
      <c r="A698" s="5"/>
      <c r="B698" s="30"/>
      <c r="C698" s="4"/>
      <c r="I698" s="22"/>
    </row>
    <row r="699" spans="1:9" ht="15.75" customHeight="1" x14ac:dyDescent="0.3">
      <c r="A699" s="5"/>
      <c r="B699" s="30"/>
      <c r="C699" s="4"/>
      <c r="I699" s="22"/>
    </row>
    <row r="700" spans="1:9" ht="15.75" customHeight="1" x14ac:dyDescent="0.3">
      <c r="A700" s="5"/>
      <c r="B700" s="30"/>
      <c r="C700" s="4"/>
      <c r="I700" s="22"/>
    </row>
    <row r="701" spans="1:9" ht="15.75" customHeight="1" x14ac:dyDescent="0.3">
      <c r="A701" s="5"/>
      <c r="B701" s="30"/>
      <c r="C701" s="4"/>
      <c r="I701" s="22"/>
    </row>
    <row r="702" spans="1:9" ht="15.75" customHeight="1" x14ac:dyDescent="0.3">
      <c r="A702" s="5"/>
      <c r="B702" s="30"/>
      <c r="C702" s="4"/>
      <c r="I702" s="22"/>
    </row>
    <row r="703" spans="1:9" ht="15.75" customHeight="1" x14ac:dyDescent="0.3">
      <c r="A703" s="5"/>
      <c r="B703" s="30"/>
      <c r="C703" s="4"/>
      <c r="I703" s="22"/>
    </row>
    <row r="704" spans="1:9" ht="15.75" customHeight="1" x14ac:dyDescent="0.3">
      <c r="A704" s="5"/>
      <c r="B704" s="30"/>
      <c r="C704" s="4"/>
      <c r="I704" s="22"/>
    </row>
    <row r="705" spans="1:9" ht="15.75" customHeight="1" x14ac:dyDescent="0.3">
      <c r="A705" s="5"/>
      <c r="B705" s="30"/>
      <c r="C705" s="4"/>
      <c r="I705" s="22"/>
    </row>
    <row r="706" spans="1:9" ht="15.75" customHeight="1" x14ac:dyDescent="0.3">
      <c r="A706" s="5"/>
      <c r="B706" s="30"/>
      <c r="C706" s="4"/>
      <c r="I706" s="22"/>
    </row>
    <row r="707" spans="1:9" ht="15.75" customHeight="1" x14ac:dyDescent="0.3">
      <c r="A707" s="5"/>
      <c r="B707" s="30"/>
      <c r="C707" s="4"/>
      <c r="I707" s="22"/>
    </row>
    <row r="708" spans="1:9" ht="15.75" customHeight="1" x14ac:dyDescent="0.3">
      <c r="A708" s="5"/>
      <c r="B708" s="30"/>
      <c r="C708" s="4"/>
      <c r="I708" s="22"/>
    </row>
    <row r="709" spans="1:9" ht="15.75" customHeight="1" x14ac:dyDescent="0.3">
      <c r="A709" s="5"/>
      <c r="B709" s="30"/>
      <c r="C709" s="4"/>
      <c r="I709" s="22"/>
    </row>
    <row r="710" spans="1:9" ht="15.75" customHeight="1" x14ac:dyDescent="0.3">
      <c r="A710" s="5"/>
      <c r="B710" s="30"/>
      <c r="C710" s="4"/>
      <c r="I710" s="22"/>
    </row>
    <row r="711" spans="1:9" ht="15.75" customHeight="1" x14ac:dyDescent="0.3">
      <c r="A711" s="5"/>
      <c r="B711" s="30"/>
      <c r="C711" s="4"/>
      <c r="I711" s="22"/>
    </row>
    <row r="712" spans="1:9" ht="15.75" customHeight="1" x14ac:dyDescent="0.3">
      <c r="A712" s="5"/>
      <c r="B712" s="30"/>
      <c r="C712" s="4"/>
      <c r="I712" s="22"/>
    </row>
    <row r="713" spans="1:9" ht="15.75" customHeight="1" x14ac:dyDescent="0.3">
      <c r="A713" s="5"/>
      <c r="B713" s="30"/>
      <c r="C713" s="4"/>
      <c r="I713" s="22"/>
    </row>
    <row r="714" spans="1:9" ht="15.75" customHeight="1" x14ac:dyDescent="0.3">
      <c r="A714" s="5"/>
      <c r="B714" s="30"/>
      <c r="C714" s="4"/>
      <c r="I714" s="22"/>
    </row>
    <row r="715" spans="1:9" ht="15.75" customHeight="1" x14ac:dyDescent="0.3">
      <c r="A715" s="5"/>
      <c r="B715" s="30"/>
      <c r="C715" s="4"/>
      <c r="I715" s="22"/>
    </row>
    <row r="716" spans="1:9" ht="15.75" customHeight="1" x14ac:dyDescent="0.3">
      <c r="A716" s="5"/>
      <c r="B716" s="30"/>
      <c r="C716" s="4"/>
      <c r="I716" s="22"/>
    </row>
    <row r="717" spans="1:9" ht="15.75" customHeight="1" x14ac:dyDescent="0.3">
      <c r="A717" s="5"/>
      <c r="B717" s="30"/>
      <c r="C717" s="4"/>
      <c r="I717" s="22"/>
    </row>
    <row r="718" spans="1:9" ht="15.75" customHeight="1" x14ac:dyDescent="0.3">
      <c r="A718" s="5"/>
      <c r="B718" s="30"/>
      <c r="C718" s="4"/>
      <c r="I718" s="22"/>
    </row>
    <row r="719" spans="1:9" ht="15.75" customHeight="1" x14ac:dyDescent="0.3">
      <c r="A719" s="5"/>
      <c r="B719" s="30"/>
      <c r="C719" s="4"/>
      <c r="I719" s="22"/>
    </row>
    <row r="720" spans="1:9" ht="15.75" customHeight="1" x14ac:dyDescent="0.3">
      <c r="A720" s="5"/>
      <c r="B720" s="30"/>
      <c r="C720" s="4"/>
      <c r="I720" s="22"/>
    </row>
    <row r="721" spans="1:9" ht="15.75" customHeight="1" x14ac:dyDescent="0.3">
      <c r="A721" s="5"/>
      <c r="B721" s="30"/>
      <c r="C721" s="4"/>
      <c r="I721" s="22"/>
    </row>
    <row r="722" spans="1:9" ht="15.75" customHeight="1" x14ac:dyDescent="0.3">
      <c r="A722" s="5"/>
      <c r="B722" s="30"/>
      <c r="C722" s="4"/>
      <c r="I722" s="22"/>
    </row>
    <row r="723" spans="1:9" ht="15.75" customHeight="1" x14ac:dyDescent="0.3">
      <c r="A723" s="5"/>
      <c r="B723" s="30"/>
      <c r="C723" s="4"/>
      <c r="I723" s="22"/>
    </row>
    <row r="724" spans="1:9" ht="15.75" customHeight="1" x14ac:dyDescent="0.3">
      <c r="A724" s="5"/>
      <c r="B724" s="30"/>
      <c r="C724" s="4"/>
      <c r="I724" s="22"/>
    </row>
    <row r="725" spans="1:9" ht="15.75" customHeight="1" x14ac:dyDescent="0.3">
      <c r="A725" s="5"/>
      <c r="B725" s="30"/>
      <c r="C725" s="4"/>
      <c r="I725" s="22"/>
    </row>
    <row r="726" spans="1:9" ht="15.75" customHeight="1" x14ac:dyDescent="0.3">
      <c r="A726" s="5"/>
      <c r="B726" s="30"/>
      <c r="C726" s="4"/>
      <c r="I726" s="22"/>
    </row>
    <row r="727" spans="1:9" ht="15.75" customHeight="1" x14ac:dyDescent="0.3">
      <c r="A727" s="5"/>
      <c r="B727" s="30"/>
      <c r="C727" s="4"/>
      <c r="I727" s="22"/>
    </row>
    <row r="728" spans="1:9" ht="15.75" customHeight="1" x14ac:dyDescent="0.3">
      <c r="A728" s="5"/>
      <c r="B728" s="30"/>
      <c r="C728" s="4"/>
      <c r="I728" s="22"/>
    </row>
    <row r="729" spans="1:9" ht="15.75" customHeight="1" x14ac:dyDescent="0.3">
      <c r="A729" s="5"/>
      <c r="B729" s="30"/>
      <c r="C729" s="4"/>
      <c r="I729" s="22"/>
    </row>
    <row r="730" spans="1:9" ht="15.75" customHeight="1" x14ac:dyDescent="0.3">
      <c r="A730" s="5"/>
      <c r="B730" s="30"/>
      <c r="C730" s="4"/>
      <c r="I730" s="22"/>
    </row>
    <row r="731" spans="1:9" ht="15.75" customHeight="1" x14ac:dyDescent="0.3">
      <c r="A731" s="5"/>
      <c r="B731" s="30"/>
      <c r="C731" s="4"/>
      <c r="I731" s="22"/>
    </row>
    <row r="732" spans="1:9" ht="15.75" customHeight="1" x14ac:dyDescent="0.3">
      <c r="A732" s="5"/>
      <c r="B732" s="30"/>
      <c r="C732" s="4"/>
      <c r="I732" s="22"/>
    </row>
    <row r="733" spans="1:9" ht="15.75" customHeight="1" x14ac:dyDescent="0.3">
      <c r="A733" s="5"/>
      <c r="B733" s="30"/>
      <c r="C733" s="4"/>
      <c r="I733" s="22"/>
    </row>
    <row r="734" spans="1:9" ht="15.75" customHeight="1" x14ac:dyDescent="0.3">
      <c r="A734" s="5"/>
      <c r="B734" s="30"/>
      <c r="C734" s="4"/>
      <c r="I734" s="22"/>
    </row>
    <row r="735" spans="1:9" ht="15.75" customHeight="1" x14ac:dyDescent="0.3">
      <c r="A735" s="5"/>
      <c r="B735" s="30"/>
      <c r="C735" s="4"/>
      <c r="I735" s="22"/>
    </row>
    <row r="736" spans="1:9" ht="15.75" customHeight="1" x14ac:dyDescent="0.3">
      <c r="A736" s="5"/>
      <c r="B736" s="30"/>
      <c r="C736" s="4"/>
      <c r="I736" s="22"/>
    </row>
    <row r="737" spans="1:9" ht="15.75" customHeight="1" x14ac:dyDescent="0.3">
      <c r="A737" s="5"/>
      <c r="B737" s="30"/>
      <c r="C737" s="4"/>
      <c r="I737" s="22"/>
    </row>
    <row r="738" spans="1:9" ht="15.75" customHeight="1" x14ac:dyDescent="0.3">
      <c r="A738" s="5"/>
      <c r="B738" s="30"/>
      <c r="C738" s="4"/>
      <c r="I738" s="22"/>
    </row>
    <row r="739" spans="1:9" ht="15.75" customHeight="1" x14ac:dyDescent="0.3">
      <c r="A739" s="5"/>
      <c r="B739" s="30"/>
      <c r="C739" s="4"/>
      <c r="I739" s="22"/>
    </row>
    <row r="740" spans="1:9" ht="15.75" customHeight="1" x14ac:dyDescent="0.3">
      <c r="A740" s="5"/>
      <c r="B740" s="30"/>
      <c r="C740" s="4"/>
      <c r="I740" s="22"/>
    </row>
    <row r="741" spans="1:9" ht="15.75" customHeight="1" x14ac:dyDescent="0.3">
      <c r="A741" s="5"/>
      <c r="B741" s="30"/>
      <c r="C741" s="4"/>
      <c r="I741" s="22"/>
    </row>
    <row r="742" spans="1:9" ht="15.75" customHeight="1" x14ac:dyDescent="0.3">
      <c r="A742" s="5"/>
      <c r="B742" s="30"/>
      <c r="C742" s="4"/>
      <c r="I742" s="22"/>
    </row>
    <row r="743" spans="1:9" ht="15.75" customHeight="1" x14ac:dyDescent="0.3">
      <c r="A743" s="5"/>
      <c r="B743" s="30"/>
      <c r="C743" s="4"/>
      <c r="I743" s="22"/>
    </row>
    <row r="744" spans="1:9" ht="15.75" customHeight="1" x14ac:dyDescent="0.3">
      <c r="A744" s="5"/>
      <c r="B744" s="30"/>
      <c r="C744" s="4"/>
      <c r="I744" s="22"/>
    </row>
    <row r="745" spans="1:9" ht="15.75" customHeight="1" x14ac:dyDescent="0.3">
      <c r="A745" s="5"/>
      <c r="B745" s="30"/>
      <c r="C745" s="4"/>
      <c r="I745" s="22"/>
    </row>
    <row r="746" spans="1:9" ht="15.75" customHeight="1" x14ac:dyDescent="0.3">
      <c r="A746" s="5"/>
      <c r="B746" s="30"/>
      <c r="C746" s="4"/>
      <c r="I746" s="22"/>
    </row>
    <row r="747" spans="1:9" ht="15.75" customHeight="1" x14ac:dyDescent="0.3">
      <c r="A747" s="5"/>
      <c r="B747" s="30"/>
      <c r="C747" s="4"/>
      <c r="I747" s="22"/>
    </row>
    <row r="748" spans="1:9" ht="15.75" customHeight="1" x14ac:dyDescent="0.3">
      <c r="A748" s="5"/>
      <c r="B748" s="30"/>
      <c r="C748" s="4"/>
      <c r="I748" s="22"/>
    </row>
    <row r="749" spans="1:9" ht="15.75" customHeight="1" x14ac:dyDescent="0.3">
      <c r="A749" s="5"/>
      <c r="B749" s="30"/>
      <c r="C749" s="4"/>
      <c r="I749" s="2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P31"/>
  <sheetViews>
    <sheetView tabSelected="1" topLeftCell="B9" zoomScaleNormal="100" workbookViewId="0">
      <selection activeCell="D5" sqref="D5"/>
    </sheetView>
  </sheetViews>
  <sheetFormatPr defaultColWidth="8.5703125" defaultRowHeight="15" x14ac:dyDescent="0.25"/>
  <cols>
    <col min="1" max="1" width="3.28515625" customWidth="1"/>
    <col min="2" max="2" width="15.140625" customWidth="1"/>
    <col min="3" max="3" width="19.28515625" customWidth="1"/>
    <col min="4" max="4" width="18.85546875" style="23" customWidth="1"/>
    <col min="5" max="5" width="11.7109375" customWidth="1"/>
    <col min="6" max="7" width="15" customWidth="1"/>
    <col min="8" max="8" width="13.7109375" style="23" customWidth="1"/>
    <col min="9" max="9" width="12.7109375" style="23" customWidth="1"/>
    <col min="10" max="10" width="13" style="23" customWidth="1"/>
    <col min="11" max="11" width="14.42578125" customWidth="1"/>
    <col min="13" max="13" width="11.42578125" bestFit="1" customWidth="1"/>
    <col min="14" max="14" width="9.85546875" bestFit="1" customWidth="1"/>
  </cols>
  <sheetData>
    <row r="1" spans="2:14" s="40" customFormat="1" ht="18.75" x14ac:dyDescent="0.3">
      <c r="D1" s="221">
        <v>46082</v>
      </c>
      <c r="E1" s="222"/>
      <c r="F1" s="222"/>
    </row>
    <row r="2" spans="2:14" s="40" customFormat="1" x14ac:dyDescent="0.25">
      <c r="F2" s="41"/>
      <c r="G2" s="41"/>
    </row>
    <row r="3" spans="2:14" s="40" customFormat="1" x14ac:dyDescent="0.25">
      <c r="C3" s="72" t="s">
        <v>92</v>
      </c>
      <c r="D3" s="42" t="s">
        <v>93</v>
      </c>
      <c r="E3" s="42" t="s">
        <v>94</v>
      </c>
      <c r="F3" s="42" t="s">
        <v>95</v>
      </c>
      <c r="I3" s="72"/>
      <c r="J3" s="42"/>
    </row>
    <row r="4" spans="2:14" s="40" customFormat="1" x14ac:dyDescent="0.25">
      <c r="B4" s="101" t="s">
        <v>28</v>
      </c>
      <c r="C4" s="43">
        <v>307122.1433000004</v>
      </c>
      <c r="D4" s="43">
        <v>38400</v>
      </c>
      <c r="E4" s="43">
        <f>+' EXPENSES HOUSE'!L4</f>
        <v>162772.73333333334</v>
      </c>
      <c r="F4" s="43">
        <f>+C4+D4-E4</f>
        <v>182749.40996666707</v>
      </c>
      <c r="G4" s="43"/>
      <c r="H4" s="43">
        <f>+F4-C21</f>
        <v>-124372.73583333334</v>
      </c>
      <c r="I4" s="43"/>
      <c r="J4" s="43"/>
    </row>
    <row r="5" spans="2:14" s="40" customFormat="1" x14ac:dyDescent="0.25">
      <c r="B5" s="102" t="s">
        <v>31</v>
      </c>
      <c r="C5" s="43">
        <v>488315.50333333324</v>
      </c>
      <c r="D5" s="43"/>
      <c r="E5" s="43" t="e">
        <f>+' EXPENSES HOUSE'!L5</f>
        <v>#REF!</v>
      </c>
      <c r="F5" s="43" t="e">
        <f t="shared" ref="F5:F7" si="0">+C5+D5-E5</f>
        <v>#REF!</v>
      </c>
      <c r="H5" s="43" t="e">
        <f>+F5-C22</f>
        <v>#REF!</v>
      </c>
      <c r="I5" s="43"/>
      <c r="J5" s="43"/>
    </row>
    <row r="6" spans="2:14" s="40" customFormat="1" x14ac:dyDescent="0.25">
      <c r="B6" s="101" t="s">
        <v>29</v>
      </c>
      <c r="C6" s="43">
        <v>307359.50999999989</v>
      </c>
      <c r="D6" s="43"/>
      <c r="E6" s="43" t="e">
        <f>+' EXPENSES HOUSE'!L6</f>
        <v>#REF!</v>
      </c>
      <c r="F6" s="43" t="e">
        <f t="shared" si="0"/>
        <v>#REF!</v>
      </c>
      <c r="H6" s="43" t="e">
        <f>+F6-C23</f>
        <v>#REF!</v>
      </c>
      <c r="I6" s="43"/>
      <c r="J6" s="43"/>
    </row>
    <row r="7" spans="2:14" s="40" customFormat="1" x14ac:dyDescent="0.25">
      <c r="B7" s="101" t="s">
        <v>30</v>
      </c>
      <c r="C7" s="43">
        <v>-86324.163333333359</v>
      </c>
      <c r="D7" s="43">
        <f>21000*63.25</f>
        <v>1328250</v>
      </c>
      <c r="E7" s="43">
        <f>+' EXPENSES HOUSE'!L7</f>
        <v>173272.73333333334</v>
      </c>
      <c r="F7" s="43">
        <f t="shared" si="0"/>
        <v>1068653.1033333333</v>
      </c>
      <c r="H7" s="43">
        <f>+F7-C24</f>
        <v>1154977.2608333332</v>
      </c>
      <c r="I7" s="43"/>
      <c r="J7" s="43"/>
    </row>
    <row r="8" spans="2:14" s="40" customFormat="1" x14ac:dyDescent="0.25">
      <c r="B8" s="40" t="s">
        <v>11</v>
      </c>
      <c r="C8" s="43">
        <v>170900</v>
      </c>
      <c r="D8" s="43"/>
      <c r="E8" s="43"/>
      <c r="F8" s="43">
        <f>+C8</f>
        <v>170900</v>
      </c>
      <c r="I8" s="43"/>
      <c r="J8" s="43"/>
    </row>
    <row r="9" spans="2:14" s="40" customFormat="1" x14ac:dyDescent="0.25">
      <c r="B9" s="40" t="s">
        <v>10</v>
      </c>
      <c r="C9" s="43">
        <v>1187372.9933000002</v>
      </c>
      <c r="D9" s="43">
        <f>SUM(D4:D8)</f>
        <v>1366650</v>
      </c>
      <c r="E9" s="43" t="e">
        <f>SUM(E4:E8)</f>
        <v>#REF!</v>
      </c>
      <c r="F9" s="43" t="e">
        <f>SUM(F4:F8)</f>
        <v>#REF!</v>
      </c>
      <c r="I9" s="43"/>
      <c r="J9" s="43"/>
    </row>
    <row r="10" spans="2:14" s="40" customFormat="1" ht="15.75" thickBot="1" x14ac:dyDescent="0.3">
      <c r="D10" s="54"/>
      <c r="E10" s="54"/>
      <c r="K10" s="43"/>
    </row>
    <row r="11" spans="2:14" s="40" customFormat="1" x14ac:dyDescent="0.25">
      <c r="B11" s="226" t="s">
        <v>20</v>
      </c>
      <c r="C11" s="227"/>
      <c r="D11" s="44" t="s">
        <v>19</v>
      </c>
      <c r="E11" s="45"/>
      <c r="F11" s="46"/>
      <c r="G11" s="228" t="s">
        <v>21</v>
      </c>
      <c r="H11" s="229"/>
      <c r="I11" s="230" t="s">
        <v>69</v>
      </c>
      <c r="J11" s="229"/>
    </row>
    <row r="12" spans="2:14" s="40" customFormat="1" x14ac:dyDescent="0.25">
      <c r="B12" s="47"/>
      <c r="C12" s="48">
        <f>+C9</f>
        <v>1187372.9933000002</v>
      </c>
      <c r="D12" s="43"/>
      <c r="E12" s="49"/>
      <c r="F12" s="43" t="s">
        <v>22</v>
      </c>
      <c r="G12" s="50">
        <v>557664.46</v>
      </c>
      <c r="H12" s="51"/>
      <c r="I12" s="50">
        <v>1192816.6100000001</v>
      </c>
      <c r="J12" s="51"/>
      <c r="K12" s="43">
        <f>+C12-G12-I12</f>
        <v>-563108.07669999986</v>
      </c>
      <c r="M12" s="43"/>
    </row>
    <row r="13" spans="2:14" s="40" customFormat="1" x14ac:dyDescent="0.25">
      <c r="B13" s="52"/>
      <c r="C13" s="53">
        <f>+D9</f>
        <v>1366650</v>
      </c>
      <c r="D13" s="54"/>
      <c r="E13" s="55"/>
      <c r="F13" s="54" t="s">
        <v>23</v>
      </c>
      <c r="G13" s="57">
        <f>5000*67</f>
        <v>335000</v>
      </c>
      <c r="H13" s="56"/>
      <c r="I13" s="73"/>
      <c r="J13" s="51"/>
      <c r="K13" s="43">
        <f>+C13-G13-I13</f>
        <v>1031650</v>
      </c>
      <c r="M13" s="43"/>
    </row>
    <row r="14" spans="2:14" s="40" customFormat="1" x14ac:dyDescent="0.25">
      <c r="B14" s="58"/>
      <c r="C14" s="53"/>
      <c r="D14" s="54"/>
      <c r="E14" s="55"/>
      <c r="F14" s="54" t="s">
        <v>19</v>
      </c>
      <c r="G14" s="59"/>
      <c r="H14" s="51"/>
      <c r="I14" s="60"/>
      <c r="J14" s="51"/>
      <c r="K14" s="43">
        <f t="shared" ref="K14:K15" si="1">+C14-G14-I14</f>
        <v>0</v>
      </c>
    </row>
    <row r="15" spans="2:14" s="40" customFormat="1" x14ac:dyDescent="0.25">
      <c r="B15" s="58"/>
      <c r="C15" s="53"/>
      <c r="D15" s="54"/>
      <c r="E15" s="55"/>
      <c r="F15" s="54"/>
      <c r="G15" s="61"/>
      <c r="H15" s="51"/>
      <c r="I15" s="62"/>
      <c r="J15" s="51"/>
      <c r="K15" s="43">
        <f t="shared" si="1"/>
        <v>0</v>
      </c>
    </row>
    <row r="16" spans="2:14" s="40" customFormat="1" x14ac:dyDescent="0.25">
      <c r="B16" s="63" t="e">
        <f>+E9</f>
        <v>#REF!</v>
      </c>
      <c r="C16" s="54"/>
      <c r="D16" s="54"/>
      <c r="E16" s="55"/>
      <c r="F16" s="54" t="s">
        <v>12</v>
      </c>
      <c r="G16" s="60"/>
      <c r="H16" s="64">
        <f>+'[1]LANDCO MET CASH'!$F$8</f>
        <v>212720</v>
      </c>
      <c r="I16" s="60"/>
      <c r="J16" s="65">
        <f>+'[2]BIM Bank Control Mtn'!$J$5-3464.73+'[2]Petty cash '!$G$7+'[2]Pre-paid'!$G$7</f>
        <v>693950.82</v>
      </c>
      <c r="K16" s="43" t="e">
        <f>+B16-H16-J16</f>
        <v>#REF!</v>
      </c>
      <c r="M16" s="43"/>
      <c r="N16" s="43"/>
    </row>
    <row r="17" spans="2:16" s="40" customFormat="1" x14ac:dyDescent="0.25">
      <c r="B17" s="75" t="e">
        <f>+F9</f>
        <v>#REF!</v>
      </c>
      <c r="C17" s="54"/>
      <c r="D17" s="54"/>
      <c r="E17" s="55"/>
      <c r="F17" s="54" t="s">
        <v>13</v>
      </c>
      <c r="G17" s="66"/>
      <c r="H17" s="76">
        <f>+'[1]LANDCO MET CASH'!$F$9+335000</f>
        <v>679944.46250000014</v>
      </c>
      <c r="I17" s="66"/>
      <c r="J17" s="76">
        <f>+'[2]BIM Bank Control USD'!$I$7+'[2]BIM Bank Control Mtn'!$J$6+'[2]Petty cash '!$G$8+'[2]Pre-paid'!$G$8</f>
        <v>498865.79250000021</v>
      </c>
      <c r="K17" s="43" t="e">
        <f>+B17-H17-J17</f>
        <v>#REF!</v>
      </c>
      <c r="M17" s="43"/>
      <c r="N17" s="43"/>
    </row>
    <row r="18" spans="2:16" s="40" customFormat="1" ht="15.75" thickBot="1" x14ac:dyDescent="0.3">
      <c r="B18" s="67" t="e">
        <f>SUM(B12:B17)</f>
        <v>#REF!</v>
      </c>
      <c r="C18" s="68">
        <f>SUM(C12:C17)</f>
        <v>2554022.9933000002</v>
      </c>
      <c r="D18" s="68">
        <f t="shared" ref="D18:E18" si="2">SUM(D13:D17)</f>
        <v>0</v>
      </c>
      <c r="E18" s="69">
        <f t="shared" si="2"/>
        <v>0</v>
      </c>
      <c r="F18" s="70"/>
      <c r="G18" s="71">
        <f t="shared" ref="G18:H18" si="3">SUM(G12:G17)</f>
        <v>892664.46</v>
      </c>
      <c r="H18" s="68">
        <f t="shared" si="3"/>
        <v>892664.46250000014</v>
      </c>
      <c r="I18" s="68">
        <f>SUM(I12:I17)</f>
        <v>1192816.6100000001</v>
      </c>
      <c r="J18" s="68">
        <f>SUM(J12:J17)</f>
        <v>1192816.6125000003</v>
      </c>
      <c r="K18" s="43"/>
    </row>
    <row r="19" spans="2:16" s="40" customFormat="1" x14ac:dyDescent="0.25">
      <c r="B19" s="54"/>
      <c r="C19" s="54" t="e">
        <f>+B18-C18</f>
        <v>#REF!</v>
      </c>
      <c r="D19" s="54"/>
      <c r="E19" s="54"/>
      <c r="F19" s="54"/>
      <c r="G19" s="43"/>
      <c r="H19" s="43">
        <f>+G18-H18</f>
        <v>-2.5000001769512892E-3</v>
      </c>
      <c r="I19" s="43"/>
      <c r="J19" s="43">
        <f>+I18-J18</f>
        <v>-2.5000001769512892E-3</v>
      </c>
      <c r="K19" s="43" t="e">
        <f>SUM(K12:K17)</f>
        <v>#REF!</v>
      </c>
    </row>
    <row r="20" spans="2:16" s="40" customFormat="1" x14ac:dyDescent="0.25">
      <c r="B20" s="140" t="s">
        <v>96</v>
      </c>
      <c r="C20" s="141"/>
      <c r="D20">
        <v>63.25</v>
      </c>
      <c r="F20" s="204" t="s">
        <v>88</v>
      </c>
      <c r="I20" s="225"/>
      <c r="J20" s="224"/>
      <c r="L20" s="43"/>
      <c r="M20" s="43"/>
      <c r="N20" s="43"/>
    </row>
    <row r="21" spans="2:16" s="40" customFormat="1" x14ac:dyDescent="0.25">
      <c r="B21" s="101" t="s">
        <v>28</v>
      </c>
      <c r="C21" s="43">
        <f>+[3]SUMMERY!$E$19</f>
        <v>307122.14580000041</v>
      </c>
      <c r="D21" s="79">
        <f>+C21/$D$20</f>
        <v>4855.6860996047499</v>
      </c>
      <c r="E21" s="43"/>
      <c r="F21" s="204" t="s">
        <v>90</v>
      </c>
      <c r="G21" s="43">
        <f>+J17</f>
        <v>498865.79250000021</v>
      </c>
      <c r="H21" s="104"/>
      <c r="I21" s="193" t="s">
        <v>85</v>
      </c>
      <c r="J21" s="193"/>
      <c r="K21" s="193"/>
      <c r="L21" s="194"/>
      <c r="M21" s="43"/>
      <c r="N21" s="43"/>
    </row>
    <row r="22" spans="2:16" s="40" customFormat="1" x14ac:dyDescent="0.25">
      <c r="B22" s="102" t="s">
        <v>31</v>
      </c>
      <c r="C22" s="43">
        <f>+'[4] SUMMERY '!$F$19</f>
        <v>488315.50249999994</v>
      </c>
      <c r="D22" s="79">
        <f>+C22/$D$20</f>
        <v>7720.4032015810271</v>
      </c>
      <c r="E22" s="43"/>
      <c r="F22" s="77" t="s">
        <v>14</v>
      </c>
      <c r="G22" s="43">
        <f>+'[1]LANDCO MET CASH'!$F$9</f>
        <v>344944.46250000014</v>
      </c>
      <c r="H22" s="43">
        <f>SUM(G22:G23)</f>
        <v>679944.46250000014</v>
      </c>
      <c r="I22" s="193" t="s">
        <v>5</v>
      </c>
      <c r="J22" s="195">
        <f>1375</f>
        <v>1375</v>
      </c>
      <c r="K22" s="193">
        <f>+J22*70</f>
        <v>96250</v>
      </c>
      <c r="L22" s="196"/>
      <c r="M22" s="43"/>
      <c r="N22" s="43"/>
    </row>
    <row r="23" spans="2:16" s="40" customFormat="1" x14ac:dyDescent="0.25">
      <c r="B23" s="101" t="s">
        <v>29</v>
      </c>
      <c r="C23" s="43">
        <f>+[5]SUMMERY!$F$19</f>
        <v>307359.51249999995</v>
      </c>
      <c r="D23" s="79">
        <f>+C23/$D$20</f>
        <v>4859.4389328063235</v>
      </c>
      <c r="E23" s="43"/>
      <c r="F23" s="204" t="s">
        <v>89</v>
      </c>
      <c r="G23" s="43">
        <f>+'[1]LANDCO US$ CASH'!$F$11</f>
        <v>335000</v>
      </c>
      <c r="I23" s="193" t="s">
        <v>68</v>
      </c>
      <c r="J23" s="195">
        <v>1375</v>
      </c>
      <c r="K23" s="193">
        <f>+J23*70</f>
        <v>96250</v>
      </c>
      <c r="L23" s="194" t="s">
        <v>79</v>
      </c>
      <c r="O23" s="77"/>
      <c r="P23" s="43"/>
    </row>
    <row r="24" spans="2:16" s="40" customFormat="1" x14ac:dyDescent="0.25">
      <c r="B24" s="101" t="s">
        <v>30</v>
      </c>
      <c r="C24" s="43">
        <f>+'[6]SUMMERY '!$F$19</f>
        <v>-86324.15750000003</v>
      </c>
      <c r="D24" s="79">
        <f>+C24/$D$20</f>
        <v>-1364.8088142292495</v>
      </c>
      <c r="E24" s="43"/>
      <c r="I24" s="193" t="s">
        <v>80</v>
      </c>
      <c r="J24" s="195">
        <v>0</v>
      </c>
      <c r="K24" s="193">
        <f>+J24*69</f>
        <v>0</v>
      </c>
      <c r="L24" s="197"/>
    </row>
    <row r="25" spans="2:16" s="40" customFormat="1" x14ac:dyDescent="0.25">
      <c r="B25" s="102" t="s">
        <v>32</v>
      </c>
      <c r="C25" s="43">
        <v>170900</v>
      </c>
      <c r="D25" s="79">
        <f>+C25/$D$20</f>
        <v>2701.97628458498</v>
      </c>
      <c r="E25" s="43"/>
      <c r="F25" s="103"/>
      <c r="G25" s="43"/>
      <c r="I25" s="193" t="s">
        <v>81</v>
      </c>
      <c r="J25" s="195">
        <v>0</v>
      </c>
      <c r="K25" s="193"/>
      <c r="L25" s="194"/>
    </row>
    <row r="26" spans="2:16" s="40" customFormat="1" ht="15.75" thickBot="1" x14ac:dyDescent="0.3">
      <c r="C26" s="78">
        <f>SUM(C21:C25)</f>
        <v>1187373.0033000002</v>
      </c>
      <c r="D26" s="80">
        <f>SUM(D21:D25)</f>
        <v>18772.695704347832</v>
      </c>
      <c r="G26" s="78">
        <f>SUM(G21:G25)</f>
        <v>1178810.2550000004</v>
      </c>
      <c r="I26" s="193"/>
      <c r="J26" s="195"/>
      <c r="K26" s="193"/>
      <c r="L26" s="193"/>
    </row>
    <row r="27" spans="2:16" ht="15.75" thickTop="1" x14ac:dyDescent="0.25">
      <c r="I27" s="223" t="s">
        <v>82</v>
      </c>
      <c r="J27" s="224"/>
      <c r="K27" s="199">
        <f>SUM(K22:K25)</f>
        <v>192500</v>
      </c>
      <c r="L27" s="193"/>
    </row>
    <row r="28" spans="2:16" x14ac:dyDescent="0.25">
      <c r="C28" s="27"/>
      <c r="G28" s="23"/>
      <c r="I28" s="198" t="s">
        <v>21</v>
      </c>
      <c r="J28" s="200"/>
      <c r="K28" s="198">
        <v>-140925.9</v>
      </c>
      <c r="L28" s="193"/>
    </row>
    <row r="29" spans="2:16" x14ac:dyDescent="0.25">
      <c r="G29" s="23" t="e">
        <f>+G26-F9</f>
        <v>#REF!</v>
      </c>
      <c r="I29" s="198" t="s">
        <v>83</v>
      </c>
      <c r="J29" s="200"/>
      <c r="K29" s="198">
        <v>-70000</v>
      </c>
      <c r="L29" s="193"/>
    </row>
    <row r="30" spans="2:16" x14ac:dyDescent="0.25">
      <c r="G30" s="27"/>
      <c r="I30" s="198" t="s">
        <v>84</v>
      </c>
      <c r="J30" s="198"/>
      <c r="K30" s="198">
        <v>-170900</v>
      </c>
      <c r="L30" s="193"/>
    </row>
    <row r="31" spans="2:16" x14ac:dyDescent="0.25">
      <c r="I31" s="198"/>
      <c r="J31" s="200">
        <f>SUM(J22:J30)</f>
        <v>2750</v>
      </c>
      <c r="K31" s="198">
        <f>SUM(K27:K30)</f>
        <v>-189325.9</v>
      </c>
      <c r="L31" s="193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L657"/>
  <sheetViews>
    <sheetView zoomScale="57" zoomScaleNormal="57" workbookViewId="0">
      <pane xSplit="5" ySplit="6" topLeftCell="M7" activePane="bottomRight" state="frozen"/>
      <selection pane="topRight" activeCell="F1" sqref="F1"/>
      <selection pane="bottomLeft" activeCell="A8" sqref="A8"/>
      <selection pane="bottomRight" activeCell="B68" sqref="B68"/>
    </sheetView>
  </sheetViews>
  <sheetFormatPr defaultColWidth="14.42578125" defaultRowHeight="17.25" x14ac:dyDescent="0.35"/>
  <cols>
    <col min="1" max="1" width="14.28515625" style="129" customWidth="1"/>
    <col min="2" max="2" width="26.5703125" style="24" customWidth="1"/>
    <col min="3" max="3" width="42.5703125" style="24" customWidth="1"/>
    <col min="4" max="4" width="7.5703125" style="24" customWidth="1"/>
    <col min="5" max="5" width="18.7109375" style="130" customWidth="1"/>
    <col min="6" max="7" width="13.5703125" style="109" customWidth="1"/>
    <col min="8" max="8" width="14.7109375" style="109" customWidth="1"/>
    <col min="9" max="9" width="13" style="109" customWidth="1"/>
    <col min="10" max="10" width="14.42578125" style="109"/>
    <col min="11" max="11" width="13.7109375" style="109" customWidth="1"/>
    <col min="12" max="12" width="13.28515625" style="109" customWidth="1"/>
    <col min="13" max="13" width="12.42578125" style="109" customWidth="1"/>
    <col min="14" max="14" width="11.140625" style="109" customWidth="1"/>
    <col min="15" max="15" width="14.7109375" style="109" customWidth="1"/>
    <col min="16" max="18" width="11.140625" style="109" customWidth="1"/>
    <col min="19" max="26" width="14.42578125" style="109"/>
    <col min="27" max="27" width="15.85546875" style="109" customWidth="1"/>
    <col min="28" max="28" width="13" style="131" customWidth="1"/>
    <col min="29" max="16384" width="14.42578125" style="24"/>
  </cols>
  <sheetData>
    <row r="1" spans="1:90" ht="23.25" x14ac:dyDescent="0.35">
      <c r="A1" s="105" t="s">
        <v>34</v>
      </c>
      <c r="B1" s="35"/>
      <c r="C1" s="106"/>
      <c r="D1" s="106"/>
      <c r="E1" s="107"/>
      <c r="F1" s="108" t="s">
        <v>6</v>
      </c>
      <c r="G1" s="108" t="s">
        <v>7</v>
      </c>
      <c r="I1" s="108" t="s">
        <v>8</v>
      </c>
      <c r="J1" s="108" t="s">
        <v>9</v>
      </c>
      <c r="M1" s="108"/>
      <c r="N1" s="110"/>
      <c r="O1" s="110"/>
      <c r="P1" s="108"/>
      <c r="Q1" s="108"/>
      <c r="AB1" s="111"/>
    </row>
    <row r="2" spans="1:90" ht="23.25" x14ac:dyDescent="0.35">
      <c r="A2" s="112"/>
      <c r="B2" s="35"/>
      <c r="C2" s="106" t="s">
        <v>35</v>
      </c>
      <c r="D2" s="106"/>
      <c r="E2" s="107">
        <f>SUM(E7:E54)</f>
        <v>1060727.9700000002</v>
      </c>
      <c r="F2" s="108"/>
      <c r="G2" s="108"/>
      <c r="M2" s="108"/>
      <c r="N2" s="110"/>
      <c r="O2" s="110"/>
      <c r="P2" s="108"/>
      <c r="Q2" s="108"/>
      <c r="X2" s="107"/>
      <c r="AB2" s="111"/>
    </row>
    <row r="3" spans="1:90" ht="23.25" x14ac:dyDescent="0.35">
      <c r="A3" s="112"/>
      <c r="B3" s="35"/>
      <c r="C3" s="106" t="s">
        <v>36</v>
      </c>
      <c r="D3" s="106"/>
      <c r="E3" s="107">
        <f>SUM(E55:E68)</f>
        <v>99920</v>
      </c>
      <c r="F3" s="108"/>
      <c r="G3" s="108"/>
      <c r="M3" s="108"/>
      <c r="N3" s="110"/>
      <c r="O3" s="110"/>
      <c r="P3" s="108"/>
      <c r="Q3" s="108"/>
      <c r="W3" s="109" t="e">
        <f>+#REF!-E2</f>
        <v>#REF!</v>
      </c>
      <c r="AB3" s="111"/>
    </row>
    <row r="4" spans="1:90" ht="23.25" x14ac:dyDescent="0.35">
      <c r="A4" s="112"/>
      <c r="B4" s="35"/>
      <c r="C4" s="106" t="s">
        <v>37</v>
      </c>
      <c r="D4" s="106"/>
      <c r="E4" s="113">
        <f>SUM(E2:E3)</f>
        <v>1160647.9700000002</v>
      </c>
      <c r="F4" s="108"/>
      <c r="G4" s="108">
        <f>+E4/4</f>
        <v>290161.99250000005</v>
      </c>
      <c r="H4" s="109">
        <f>+G4/63.25</f>
        <v>4587.5413833992106</v>
      </c>
      <c r="M4" s="108"/>
      <c r="N4" s="110"/>
      <c r="O4" s="110"/>
      <c r="P4" s="108"/>
      <c r="Q4" s="108"/>
      <c r="AB4" s="111"/>
    </row>
    <row r="5" spans="1:90" ht="19.5" x14ac:dyDescent="0.4">
      <c r="A5" s="114"/>
      <c r="B5" s="111"/>
      <c r="C5" s="106"/>
      <c r="D5" s="106"/>
      <c r="E5" s="107"/>
      <c r="F5" s="231" t="s">
        <v>38</v>
      </c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AB5" s="111"/>
    </row>
    <row r="6" spans="1:90" ht="66.599999999999994" customHeight="1" x14ac:dyDescent="0.35">
      <c r="A6" s="115" t="s">
        <v>1</v>
      </c>
      <c r="B6" s="116" t="s">
        <v>39</v>
      </c>
      <c r="C6" s="116" t="s">
        <v>40</v>
      </c>
      <c r="D6" s="116"/>
      <c r="E6" s="117" t="s">
        <v>37</v>
      </c>
      <c r="F6" s="118" t="s">
        <v>41</v>
      </c>
      <c r="G6" s="119" t="s">
        <v>65</v>
      </c>
      <c r="H6" s="120" t="s">
        <v>43</v>
      </c>
      <c r="I6" s="121" t="s">
        <v>44</v>
      </c>
      <c r="J6" s="122" t="s">
        <v>45</v>
      </c>
      <c r="K6" s="119" t="s">
        <v>46</v>
      </c>
      <c r="L6" s="119" t="s">
        <v>47</v>
      </c>
      <c r="M6" s="119" t="s">
        <v>48</v>
      </c>
      <c r="N6" s="119" t="s">
        <v>49</v>
      </c>
      <c r="O6" s="119" t="s">
        <v>70</v>
      </c>
      <c r="P6" s="119" t="s">
        <v>50</v>
      </c>
      <c r="Q6" s="119" t="s">
        <v>51</v>
      </c>
      <c r="R6" s="119" t="s">
        <v>52</v>
      </c>
      <c r="S6" s="119" t="s">
        <v>53</v>
      </c>
      <c r="T6" s="119" t="s">
        <v>54</v>
      </c>
      <c r="U6" s="119" t="s">
        <v>77</v>
      </c>
      <c r="V6" s="120" t="s">
        <v>55</v>
      </c>
      <c r="W6" s="120" t="s">
        <v>56</v>
      </c>
      <c r="X6" s="120" t="s">
        <v>57</v>
      </c>
      <c r="Y6" s="120" t="s">
        <v>58</v>
      </c>
      <c r="Z6" s="120" t="s">
        <v>59</v>
      </c>
      <c r="AA6" s="123" t="s">
        <v>13</v>
      </c>
      <c r="AB6" s="124"/>
    </row>
    <row r="7" spans="1:90" ht="19.899999999999999" customHeight="1" x14ac:dyDescent="0.35">
      <c r="A7" s="205">
        <v>46083</v>
      </c>
      <c r="B7" s="171" t="s">
        <v>98</v>
      </c>
      <c r="C7" s="172" t="s">
        <v>60</v>
      </c>
      <c r="D7" s="142"/>
      <c r="E7" s="184">
        <v>5000</v>
      </c>
      <c r="F7" s="154"/>
      <c r="G7" s="155"/>
      <c r="H7" s="154">
        <f>+E7</f>
        <v>5000</v>
      </c>
      <c r="I7" s="156"/>
      <c r="J7" s="152"/>
      <c r="K7" s="155"/>
      <c r="L7" s="157"/>
      <c r="M7" s="157"/>
      <c r="N7" s="157"/>
      <c r="O7" s="155"/>
      <c r="P7" s="154"/>
      <c r="Q7" s="154"/>
      <c r="R7" s="157"/>
      <c r="S7" s="157"/>
      <c r="T7" s="157"/>
      <c r="U7" s="155"/>
      <c r="V7" s="158"/>
      <c r="W7" s="158"/>
      <c r="X7" s="159"/>
      <c r="Y7" s="158"/>
      <c r="Z7" s="158"/>
      <c r="AA7" s="160">
        <f t="shared" ref="AA7:AA43" si="0">SUM(F7:Z7)</f>
        <v>5000</v>
      </c>
      <c r="AB7" s="161" t="s">
        <v>4</v>
      </c>
      <c r="AC7" s="150">
        <f t="shared" ref="AC7:AC69" si="1">+E7-AA7</f>
        <v>0</v>
      </c>
      <c r="AD7" s="150"/>
      <c r="AE7" s="153"/>
      <c r="AF7" s="150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</row>
    <row r="8" spans="1:90" ht="19.899999999999999" customHeight="1" x14ac:dyDescent="0.35">
      <c r="A8" s="201">
        <v>46083</v>
      </c>
      <c r="B8" s="173" t="s">
        <v>99</v>
      </c>
      <c r="C8" s="172" t="s">
        <v>100</v>
      </c>
      <c r="D8" s="142"/>
      <c r="E8" s="185">
        <v>7</v>
      </c>
      <c r="F8" s="154"/>
      <c r="G8" s="155"/>
      <c r="H8" s="154"/>
      <c r="I8" s="189">
        <f>+E8</f>
        <v>7</v>
      </c>
      <c r="J8" s="152"/>
      <c r="K8" s="157"/>
      <c r="L8" s="157"/>
      <c r="M8" s="157"/>
      <c r="N8" s="157"/>
      <c r="O8" s="157"/>
      <c r="P8" s="154"/>
      <c r="Q8" s="154"/>
      <c r="R8" s="157"/>
      <c r="S8" s="157"/>
      <c r="T8" s="157"/>
      <c r="U8" s="155"/>
      <c r="V8" s="158"/>
      <c r="W8" s="158"/>
      <c r="X8" s="159"/>
      <c r="Y8" s="158"/>
      <c r="Z8" s="158"/>
      <c r="AA8" s="160">
        <f t="shared" si="0"/>
        <v>7</v>
      </c>
      <c r="AB8" s="161" t="s">
        <v>4</v>
      </c>
      <c r="AC8" s="150">
        <f t="shared" si="1"/>
        <v>0</v>
      </c>
      <c r="AD8" s="150"/>
      <c r="AE8" s="153"/>
      <c r="AF8" s="150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</row>
    <row r="9" spans="1:90" ht="19.5" customHeight="1" x14ac:dyDescent="0.35">
      <c r="A9" s="201">
        <v>46086</v>
      </c>
      <c r="B9" s="172" t="s">
        <v>101</v>
      </c>
      <c r="C9" s="172" t="s">
        <v>60</v>
      </c>
      <c r="D9" s="143"/>
      <c r="E9" s="184">
        <v>2300</v>
      </c>
      <c r="F9" s="162"/>
      <c r="G9" s="163"/>
      <c r="H9" s="163">
        <f>+E9</f>
        <v>2300</v>
      </c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0">
        <f t="shared" si="0"/>
        <v>2300</v>
      </c>
      <c r="AB9" s="161" t="s">
        <v>4</v>
      </c>
      <c r="AC9" s="150">
        <f t="shared" si="1"/>
        <v>0</v>
      </c>
      <c r="AD9" s="150"/>
      <c r="AE9" s="153"/>
      <c r="AF9" s="150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</row>
    <row r="10" spans="1:90" ht="19.5" customHeight="1" x14ac:dyDescent="0.35">
      <c r="A10" s="201">
        <v>46086</v>
      </c>
      <c r="B10" s="173" t="s">
        <v>99</v>
      </c>
      <c r="C10" s="172" t="s">
        <v>100</v>
      </c>
      <c r="D10" s="143"/>
      <c r="E10" s="185">
        <v>7</v>
      </c>
      <c r="F10" s="162"/>
      <c r="G10" s="163"/>
      <c r="H10" s="163"/>
      <c r="I10" s="163">
        <f>+E10</f>
        <v>7</v>
      </c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0">
        <f t="shared" si="0"/>
        <v>7</v>
      </c>
      <c r="AB10" s="161" t="s">
        <v>4</v>
      </c>
      <c r="AC10" s="150">
        <f t="shared" si="1"/>
        <v>0</v>
      </c>
      <c r="AD10" s="153"/>
      <c r="AE10" s="153"/>
      <c r="AF10" s="150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ht="19.5" customHeight="1" x14ac:dyDescent="0.35">
      <c r="A11" s="201">
        <v>46086</v>
      </c>
      <c r="B11" s="173" t="s">
        <v>102</v>
      </c>
      <c r="C11" s="172" t="s">
        <v>60</v>
      </c>
      <c r="D11" s="143"/>
      <c r="E11" s="184">
        <v>1500</v>
      </c>
      <c r="F11" s="162"/>
      <c r="G11" s="163"/>
      <c r="H11" s="163">
        <f>+E11</f>
        <v>1500</v>
      </c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0">
        <f t="shared" si="0"/>
        <v>1500</v>
      </c>
      <c r="AB11" s="161" t="s">
        <v>4</v>
      </c>
      <c r="AC11" s="150">
        <f t="shared" si="1"/>
        <v>0</v>
      </c>
      <c r="AD11" s="153"/>
      <c r="AE11" s="153"/>
      <c r="AF11" s="150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ht="19.5" customHeight="1" x14ac:dyDescent="0.35">
      <c r="A12" s="201">
        <v>46086</v>
      </c>
      <c r="B12" s="173" t="s">
        <v>99</v>
      </c>
      <c r="C12" s="172" t="s">
        <v>100</v>
      </c>
      <c r="D12" s="143"/>
      <c r="E12" s="186">
        <v>120</v>
      </c>
      <c r="F12" s="162"/>
      <c r="G12" s="163"/>
      <c r="H12" s="163"/>
      <c r="I12" s="163">
        <f>+E12</f>
        <v>120</v>
      </c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0">
        <f t="shared" si="0"/>
        <v>120</v>
      </c>
      <c r="AB12" s="161" t="s">
        <v>4</v>
      </c>
      <c r="AC12" s="150">
        <f t="shared" si="1"/>
        <v>0</v>
      </c>
      <c r="AD12" s="153"/>
      <c r="AE12" s="153"/>
      <c r="AF12" s="150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ht="19.5" customHeight="1" x14ac:dyDescent="0.35">
      <c r="A13" s="201">
        <v>46090</v>
      </c>
      <c r="B13" s="173" t="s">
        <v>103</v>
      </c>
      <c r="C13" s="172" t="s">
        <v>104</v>
      </c>
      <c r="D13" s="143"/>
      <c r="E13" s="186">
        <v>3328</v>
      </c>
      <c r="F13" s="162"/>
      <c r="G13" s="163"/>
      <c r="H13" s="163"/>
      <c r="I13" s="163"/>
      <c r="J13" s="163"/>
      <c r="K13" s="163"/>
      <c r="L13" s="163">
        <f>+E13</f>
        <v>3328</v>
      </c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0">
        <f t="shared" si="0"/>
        <v>3328</v>
      </c>
      <c r="AB13" s="161" t="s">
        <v>4</v>
      </c>
      <c r="AC13" s="150">
        <f t="shared" si="1"/>
        <v>0</v>
      </c>
      <c r="AD13" s="153"/>
      <c r="AE13" s="153"/>
      <c r="AF13" s="150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ht="19.5" customHeight="1" x14ac:dyDescent="0.35">
      <c r="A14" s="201">
        <v>46090</v>
      </c>
      <c r="B14" s="173" t="s">
        <v>105</v>
      </c>
      <c r="C14" s="172" t="s">
        <v>106</v>
      </c>
      <c r="D14" s="143"/>
      <c r="E14" s="186">
        <v>7384.37</v>
      </c>
      <c r="F14" s="162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>
        <f>+E14</f>
        <v>7384.37</v>
      </c>
      <c r="S14" s="163"/>
      <c r="T14" s="163"/>
      <c r="U14" s="163"/>
      <c r="V14" s="163"/>
      <c r="W14" s="163"/>
      <c r="X14" s="163"/>
      <c r="Y14" s="163"/>
      <c r="Z14" s="163"/>
      <c r="AA14" s="160">
        <f t="shared" si="0"/>
        <v>7384.37</v>
      </c>
      <c r="AB14" s="161" t="s">
        <v>4</v>
      </c>
      <c r="AC14" s="150">
        <f t="shared" si="1"/>
        <v>0</v>
      </c>
      <c r="AD14" s="153"/>
      <c r="AE14" s="153"/>
      <c r="AF14" s="150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1:90" ht="19.5" customHeight="1" x14ac:dyDescent="0.35">
      <c r="A15" s="201">
        <v>46090</v>
      </c>
      <c r="B15" s="173" t="s">
        <v>107</v>
      </c>
      <c r="C15" s="172" t="s">
        <v>53</v>
      </c>
      <c r="D15" s="143"/>
      <c r="E15" s="184">
        <v>5245</v>
      </c>
      <c r="F15" s="162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>
        <f>+E15</f>
        <v>5245</v>
      </c>
      <c r="T15" s="163"/>
      <c r="U15" s="163"/>
      <c r="V15" s="163"/>
      <c r="W15" s="163"/>
      <c r="X15" s="163"/>
      <c r="Y15" s="163"/>
      <c r="Z15" s="163"/>
      <c r="AA15" s="160">
        <f t="shared" si="0"/>
        <v>5245</v>
      </c>
      <c r="AB15" s="161" t="s">
        <v>4</v>
      </c>
      <c r="AC15" s="150">
        <f t="shared" si="1"/>
        <v>0</v>
      </c>
      <c r="AD15" s="153"/>
      <c r="AE15" s="153"/>
      <c r="AF15" s="150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1:90" ht="19.5" customHeight="1" x14ac:dyDescent="0.35">
      <c r="A16" s="201">
        <v>46090</v>
      </c>
      <c r="B16" s="173" t="s">
        <v>99</v>
      </c>
      <c r="C16" s="172" t="s">
        <v>108</v>
      </c>
      <c r="D16" s="143"/>
      <c r="E16" s="186">
        <v>7</v>
      </c>
      <c r="F16" s="162"/>
      <c r="G16" s="163"/>
      <c r="H16" s="163"/>
      <c r="I16" s="163">
        <f>+E16</f>
        <v>7</v>
      </c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0">
        <f t="shared" si="0"/>
        <v>7</v>
      </c>
      <c r="AB16" s="161" t="s">
        <v>4</v>
      </c>
      <c r="AC16" s="150">
        <f t="shared" si="1"/>
        <v>0</v>
      </c>
      <c r="AD16" s="153"/>
      <c r="AE16" s="153"/>
      <c r="AF16" s="150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ht="19.5" customHeight="1" x14ac:dyDescent="0.35">
      <c r="A17" s="201">
        <v>46092</v>
      </c>
      <c r="B17" s="173" t="s">
        <v>109</v>
      </c>
      <c r="C17" s="172" t="s">
        <v>110</v>
      </c>
      <c r="D17" s="143"/>
      <c r="E17" s="186">
        <v>51111.88</v>
      </c>
      <c r="F17" s="162"/>
      <c r="G17" s="163"/>
      <c r="H17" s="163"/>
      <c r="I17" s="163"/>
      <c r="J17" s="163"/>
      <c r="K17" s="163"/>
      <c r="L17" s="163"/>
      <c r="M17" s="163"/>
      <c r="N17" s="163"/>
      <c r="O17" s="164"/>
      <c r="P17" s="150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0">
        <f t="shared" si="0"/>
        <v>0</v>
      </c>
      <c r="AB17" s="161" t="s">
        <v>4</v>
      </c>
      <c r="AC17" s="150">
        <f t="shared" si="1"/>
        <v>51111.88</v>
      </c>
      <c r="AD17" s="153"/>
      <c r="AE17" s="153"/>
      <c r="AF17" s="150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ht="19.5" customHeight="1" x14ac:dyDescent="0.35">
      <c r="A18" s="201">
        <v>46092</v>
      </c>
      <c r="B18" s="173" t="s">
        <v>99</v>
      </c>
      <c r="C18" s="172" t="s">
        <v>100</v>
      </c>
      <c r="D18" s="143"/>
      <c r="E18" s="184">
        <v>7</v>
      </c>
      <c r="F18" s="162"/>
      <c r="G18" s="163"/>
      <c r="H18" s="163"/>
      <c r="I18" s="163">
        <f>+E18</f>
        <v>7</v>
      </c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0">
        <f t="shared" si="0"/>
        <v>7</v>
      </c>
      <c r="AB18" s="161" t="s">
        <v>4</v>
      </c>
      <c r="AC18" s="150">
        <f t="shared" si="1"/>
        <v>0</v>
      </c>
      <c r="AD18" s="153"/>
      <c r="AE18" s="153"/>
      <c r="AF18" s="150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ht="19.5" customHeight="1" x14ac:dyDescent="0.35">
      <c r="A19" s="201">
        <v>46092</v>
      </c>
      <c r="B19" s="173" t="s">
        <v>71</v>
      </c>
      <c r="C19" s="172" t="s">
        <v>111</v>
      </c>
      <c r="D19" s="143"/>
      <c r="E19" s="186">
        <v>129.48999999999978</v>
      </c>
      <c r="F19" s="162"/>
      <c r="G19" s="163"/>
      <c r="H19" s="163">
        <f>+E19</f>
        <v>129.48999999999978</v>
      </c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0">
        <f t="shared" si="0"/>
        <v>129.48999999999978</v>
      </c>
      <c r="AB19" s="161" t="s">
        <v>4</v>
      </c>
      <c r="AC19" s="150">
        <f t="shared" si="1"/>
        <v>0</v>
      </c>
      <c r="AD19" s="153"/>
      <c r="AE19" s="153"/>
      <c r="AF19" s="150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ht="19.5" customHeight="1" x14ac:dyDescent="0.35">
      <c r="A20" s="201">
        <v>46097</v>
      </c>
      <c r="B20" s="173" t="s">
        <v>112</v>
      </c>
      <c r="C20" s="172" t="s">
        <v>113</v>
      </c>
      <c r="D20" s="143"/>
      <c r="E20" s="186">
        <v>8710</v>
      </c>
      <c r="F20" s="162"/>
      <c r="G20" s="163"/>
      <c r="H20" s="163"/>
      <c r="I20" s="163"/>
      <c r="J20" s="163"/>
      <c r="K20" s="163"/>
      <c r="L20" s="163"/>
      <c r="M20" s="163">
        <f>+E20</f>
        <v>8710</v>
      </c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0">
        <f t="shared" si="0"/>
        <v>8710</v>
      </c>
      <c r="AB20" s="161" t="s">
        <v>4</v>
      </c>
      <c r="AC20" s="150">
        <f t="shared" si="1"/>
        <v>0</v>
      </c>
      <c r="AD20" s="153"/>
      <c r="AE20" s="153"/>
      <c r="AF20" s="150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1:90" ht="19.5" customHeight="1" x14ac:dyDescent="0.35">
      <c r="A21" s="201">
        <v>46097</v>
      </c>
      <c r="B21" s="173" t="s">
        <v>114</v>
      </c>
      <c r="C21" s="172" t="s">
        <v>53</v>
      </c>
      <c r="D21" s="143"/>
      <c r="E21" s="186">
        <v>1290</v>
      </c>
      <c r="F21" s="162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>
        <f>+E21</f>
        <v>1290</v>
      </c>
      <c r="T21" s="163"/>
      <c r="U21" s="163"/>
      <c r="V21" s="163"/>
      <c r="W21" s="163"/>
      <c r="X21" s="163"/>
      <c r="Y21" s="163"/>
      <c r="Z21" s="163"/>
      <c r="AA21" s="160">
        <f t="shared" si="0"/>
        <v>1290</v>
      </c>
      <c r="AB21" s="161" t="s">
        <v>4</v>
      </c>
      <c r="AC21" s="150">
        <f t="shared" si="1"/>
        <v>0</v>
      </c>
      <c r="AD21" s="153"/>
      <c r="AE21" s="153"/>
      <c r="AF21" s="150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1:90" ht="19.5" customHeight="1" x14ac:dyDescent="0.35">
      <c r="A22" s="201">
        <v>46098</v>
      </c>
      <c r="B22" s="172" t="s">
        <v>115</v>
      </c>
      <c r="C22" s="172" t="s">
        <v>100</v>
      </c>
      <c r="D22" s="143"/>
      <c r="E22" s="186">
        <v>600</v>
      </c>
      <c r="F22" s="162"/>
      <c r="G22" s="163"/>
      <c r="H22" s="163"/>
      <c r="I22" s="163">
        <f>+E22</f>
        <v>600</v>
      </c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0">
        <f t="shared" si="0"/>
        <v>600</v>
      </c>
      <c r="AB22" s="161" t="s">
        <v>4</v>
      </c>
      <c r="AC22" s="150">
        <f t="shared" si="1"/>
        <v>0</v>
      </c>
      <c r="AD22" s="153"/>
      <c r="AE22" s="153"/>
      <c r="AF22" s="150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1:90" ht="19.5" customHeight="1" x14ac:dyDescent="0.35">
      <c r="A23" s="201">
        <v>46099</v>
      </c>
      <c r="B23" s="173" t="s">
        <v>116</v>
      </c>
      <c r="C23" s="172" t="s">
        <v>117</v>
      </c>
      <c r="D23" s="143"/>
      <c r="E23" s="184">
        <v>37386</v>
      </c>
      <c r="F23" s="162"/>
      <c r="G23" s="163"/>
      <c r="H23" s="163"/>
      <c r="I23" s="163" t="s">
        <v>145</v>
      </c>
      <c r="J23" s="163">
        <f>+E23</f>
        <v>37386</v>
      </c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0">
        <f t="shared" si="0"/>
        <v>37386</v>
      </c>
      <c r="AB23" s="161" t="s">
        <v>4</v>
      </c>
      <c r="AC23" s="150">
        <f t="shared" si="1"/>
        <v>0</v>
      </c>
      <c r="AD23" s="153"/>
      <c r="AE23" s="153"/>
      <c r="AF23" s="150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1:90" ht="19.5" customHeight="1" x14ac:dyDescent="0.35">
      <c r="A24" s="201">
        <v>46099</v>
      </c>
      <c r="B24" s="173" t="s">
        <v>99</v>
      </c>
      <c r="C24" s="172" t="s">
        <v>100</v>
      </c>
      <c r="D24" s="143"/>
      <c r="E24" s="186">
        <v>7</v>
      </c>
      <c r="F24" s="162"/>
      <c r="G24" s="163"/>
      <c r="H24" s="163"/>
      <c r="I24" s="163">
        <f>+E24</f>
        <v>7</v>
      </c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0">
        <f t="shared" si="0"/>
        <v>7</v>
      </c>
      <c r="AB24" s="161" t="s">
        <v>4</v>
      </c>
      <c r="AC24" s="150">
        <f t="shared" si="1"/>
        <v>0</v>
      </c>
      <c r="AD24" s="153"/>
      <c r="AE24" s="153"/>
      <c r="AF24" s="150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1:90" ht="19.5" customHeight="1" x14ac:dyDescent="0.35">
      <c r="A25" s="201">
        <v>46099</v>
      </c>
      <c r="B25" s="173" t="s">
        <v>146</v>
      </c>
      <c r="C25" s="173" t="s">
        <v>147</v>
      </c>
      <c r="D25" s="143"/>
      <c r="E25" s="186">
        <v>1409.68</v>
      </c>
      <c r="F25" s="162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>
        <f>+E25</f>
        <v>1409.68</v>
      </c>
      <c r="R25" s="163"/>
      <c r="S25" s="163"/>
      <c r="T25" s="163"/>
      <c r="U25" s="163"/>
      <c r="V25" s="163"/>
      <c r="W25" s="163"/>
      <c r="X25" s="163"/>
      <c r="Y25" s="163"/>
      <c r="Z25" s="163"/>
      <c r="AA25" s="160">
        <f t="shared" si="0"/>
        <v>1409.68</v>
      </c>
      <c r="AB25" s="161" t="s">
        <v>4</v>
      </c>
      <c r="AC25" s="150">
        <f t="shared" si="1"/>
        <v>0</v>
      </c>
      <c r="AD25" s="153"/>
      <c r="AE25" s="153"/>
      <c r="AF25" s="150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1:90" ht="19.5" customHeight="1" x14ac:dyDescent="0.35">
      <c r="A26" s="201">
        <v>46099</v>
      </c>
      <c r="B26" s="173" t="s">
        <v>146</v>
      </c>
      <c r="C26" s="173" t="s">
        <v>148</v>
      </c>
      <c r="D26" s="143"/>
      <c r="E26" s="186">
        <v>1409.68</v>
      </c>
      <c r="F26" s="162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>
        <f>+E26</f>
        <v>1409.68</v>
      </c>
      <c r="R26" s="163"/>
      <c r="S26" s="163"/>
      <c r="T26" s="163"/>
      <c r="U26" s="163"/>
      <c r="V26" s="163"/>
      <c r="W26" s="163"/>
      <c r="X26" s="163"/>
      <c r="Y26" s="163"/>
      <c r="Z26" s="163"/>
      <c r="AA26" s="160">
        <f t="shared" si="0"/>
        <v>1409.68</v>
      </c>
      <c r="AB26" s="161" t="s">
        <v>4</v>
      </c>
      <c r="AC26" s="150">
        <f t="shared" si="1"/>
        <v>0</v>
      </c>
      <c r="AD26" s="153"/>
      <c r="AE26" s="153"/>
      <c r="AF26" s="150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1:90" ht="19.5" customHeight="1" x14ac:dyDescent="0.35">
      <c r="A27" s="201">
        <v>46100</v>
      </c>
      <c r="B27" s="173" t="s">
        <v>119</v>
      </c>
      <c r="C27" s="172" t="s">
        <v>104</v>
      </c>
      <c r="D27" s="143"/>
      <c r="E27" s="186">
        <v>788</v>
      </c>
      <c r="F27" s="162"/>
      <c r="G27" s="163"/>
      <c r="H27" s="163"/>
      <c r="I27" s="163"/>
      <c r="J27" s="163"/>
      <c r="K27" s="163"/>
      <c r="L27" s="163">
        <f>+E27</f>
        <v>788</v>
      </c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0">
        <f t="shared" si="0"/>
        <v>788</v>
      </c>
      <c r="AB27" s="161" t="s">
        <v>4</v>
      </c>
      <c r="AC27" s="150">
        <f t="shared" si="1"/>
        <v>0</v>
      </c>
      <c r="AD27" s="153"/>
      <c r="AE27" s="153"/>
      <c r="AF27" s="150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1:90" ht="19.5" customHeight="1" x14ac:dyDescent="0.35">
      <c r="A28" s="201">
        <v>46100</v>
      </c>
      <c r="B28" s="173" t="s">
        <v>120</v>
      </c>
      <c r="C28" s="172" t="s">
        <v>53</v>
      </c>
      <c r="D28" s="143"/>
      <c r="E28" s="186">
        <v>3330</v>
      </c>
      <c r="F28" s="162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>
        <f>+E28</f>
        <v>3330</v>
      </c>
      <c r="T28" s="163"/>
      <c r="U28" s="163"/>
      <c r="V28" s="163"/>
      <c r="W28" s="163"/>
      <c r="X28" s="163"/>
      <c r="Y28" s="163"/>
      <c r="Z28" s="163"/>
      <c r="AA28" s="160">
        <f t="shared" si="0"/>
        <v>3330</v>
      </c>
      <c r="AB28" s="161" t="s">
        <v>4</v>
      </c>
      <c r="AC28" s="150">
        <f t="shared" si="1"/>
        <v>0</v>
      </c>
      <c r="AD28" s="153"/>
      <c r="AE28" s="153"/>
      <c r="AF28" s="150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1:90" ht="19.5" customHeight="1" x14ac:dyDescent="0.35">
      <c r="A29" s="201">
        <v>46100</v>
      </c>
      <c r="B29" s="173" t="s">
        <v>121</v>
      </c>
      <c r="C29" s="172" t="s">
        <v>122</v>
      </c>
      <c r="D29" s="143"/>
      <c r="E29" s="186">
        <v>10500</v>
      </c>
      <c r="F29" s="162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>
        <f>+E29</f>
        <v>10500</v>
      </c>
      <c r="Z29" s="163"/>
      <c r="AA29" s="160">
        <f t="shared" si="0"/>
        <v>10500</v>
      </c>
      <c r="AB29" s="161" t="s">
        <v>4</v>
      </c>
      <c r="AC29" s="150">
        <f t="shared" si="1"/>
        <v>0</v>
      </c>
      <c r="AD29" s="153"/>
      <c r="AE29" s="192"/>
      <c r="AF29" s="150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1:90" ht="19.5" customHeight="1" x14ac:dyDescent="0.35">
      <c r="A30" s="201">
        <v>46100</v>
      </c>
      <c r="B30" s="172" t="s">
        <v>123</v>
      </c>
      <c r="C30" s="172" t="s">
        <v>104</v>
      </c>
      <c r="D30" s="143"/>
      <c r="E30" s="186">
        <v>5688</v>
      </c>
      <c r="F30" s="162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>
        <f>+E30</f>
        <v>5688</v>
      </c>
      <c r="Y30" s="163"/>
      <c r="Z30" s="163"/>
      <c r="AA30" s="160">
        <f t="shared" si="0"/>
        <v>5688</v>
      </c>
      <c r="AB30" s="161" t="s">
        <v>4</v>
      </c>
      <c r="AC30" s="150">
        <f t="shared" si="1"/>
        <v>0</v>
      </c>
      <c r="AD30" s="153"/>
      <c r="AE30" s="153"/>
      <c r="AF30" s="150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1:90" ht="19.5" customHeight="1" x14ac:dyDescent="0.35">
      <c r="A31" s="201">
        <v>46100</v>
      </c>
      <c r="B31" s="173" t="s">
        <v>99</v>
      </c>
      <c r="C31" s="172" t="s">
        <v>100</v>
      </c>
      <c r="D31" s="143"/>
      <c r="E31" s="187">
        <v>7</v>
      </c>
      <c r="F31" s="162"/>
      <c r="G31" s="163"/>
      <c r="H31" s="163"/>
      <c r="I31" s="163">
        <f>+E31</f>
        <v>7</v>
      </c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0">
        <f t="shared" si="0"/>
        <v>7</v>
      </c>
      <c r="AB31" s="161" t="s">
        <v>4</v>
      </c>
      <c r="AC31" s="150">
        <f t="shared" si="1"/>
        <v>0</v>
      </c>
      <c r="AD31" s="153"/>
      <c r="AE31" s="153"/>
      <c r="AF31" s="150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1:90" ht="19.5" customHeight="1" x14ac:dyDescent="0.35">
      <c r="A32" s="201">
        <v>46104</v>
      </c>
      <c r="B32" s="207" t="s">
        <v>21</v>
      </c>
      <c r="C32" s="172" t="s">
        <v>64</v>
      </c>
      <c r="D32" s="143"/>
      <c r="E32" s="172">
        <v>18889.39</v>
      </c>
      <c r="F32" s="162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>
        <f>+E32</f>
        <v>18889.39</v>
      </c>
      <c r="AA32" s="160">
        <f t="shared" si="0"/>
        <v>18889.39</v>
      </c>
      <c r="AB32" s="161" t="s">
        <v>4</v>
      </c>
      <c r="AC32" s="150">
        <f t="shared" si="1"/>
        <v>0</v>
      </c>
      <c r="AD32" s="153"/>
      <c r="AE32" s="153"/>
      <c r="AF32" s="150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1:90" ht="19.5" customHeight="1" x14ac:dyDescent="0.35">
      <c r="A33" s="201">
        <v>46106</v>
      </c>
      <c r="B33" s="173" t="s">
        <v>125</v>
      </c>
      <c r="C33" s="172" t="s">
        <v>60</v>
      </c>
      <c r="D33" s="143"/>
      <c r="E33" s="172">
        <v>305089.84999999998</v>
      </c>
      <c r="F33" s="162">
        <v>164821</v>
      </c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>
        <v>34870.879999999997</v>
      </c>
      <c r="W33" s="163">
        <v>58534</v>
      </c>
      <c r="X33" s="163">
        <v>36625</v>
      </c>
      <c r="Y33" s="163">
        <v>43125</v>
      </c>
      <c r="Z33" s="163"/>
      <c r="AA33" s="160">
        <f t="shared" si="0"/>
        <v>337975.88</v>
      </c>
      <c r="AB33" s="161" t="s">
        <v>4</v>
      </c>
      <c r="AC33" s="150">
        <f t="shared" si="1"/>
        <v>-32886.030000000028</v>
      </c>
      <c r="AD33" s="220" t="e">
        <f>+#REF!</f>
        <v>#REF!</v>
      </c>
      <c r="AE33" s="153"/>
      <c r="AF33" s="150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1:90" ht="19.5" customHeight="1" x14ac:dyDescent="0.35">
      <c r="A34" s="201">
        <v>46106</v>
      </c>
      <c r="B34" s="173" t="s">
        <v>99</v>
      </c>
      <c r="C34" s="172" t="s">
        <v>100</v>
      </c>
      <c r="D34" s="143"/>
      <c r="E34" s="172">
        <v>257</v>
      </c>
      <c r="F34" s="162"/>
      <c r="G34" s="163"/>
      <c r="H34" s="163"/>
      <c r="I34" s="163">
        <f>+E34</f>
        <v>257</v>
      </c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0">
        <f t="shared" si="0"/>
        <v>257</v>
      </c>
      <c r="AB34" s="161" t="s">
        <v>4</v>
      </c>
      <c r="AC34" s="150">
        <f t="shared" si="1"/>
        <v>0</v>
      </c>
      <c r="AD34" s="153"/>
      <c r="AE34" s="153"/>
      <c r="AF34" s="150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1:90" ht="19.5" customHeight="1" x14ac:dyDescent="0.35">
      <c r="A35" s="201">
        <v>46106</v>
      </c>
      <c r="B35" s="190" t="s">
        <v>126</v>
      </c>
      <c r="C35" s="191" t="s">
        <v>127</v>
      </c>
      <c r="D35" s="143"/>
      <c r="E35" s="172">
        <v>146740</v>
      </c>
      <c r="F35" s="162"/>
      <c r="G35" s="163"/>
      <c r="H35" s="163"/>
      <c r="I35" s="163"/>
      <c r="J35" s="163">
        <f>+E35</f>
        <v>146740</v>
      </c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0">
        <f t="shared" si="0"/>
        <v>146740</v>
      </c>
      <c r="AB35" s="161" t="s">
        <v>4</v>
      </c>
      <c r="AC35" s="150">
        <f t="shared" si="1"/>
        <v>0</v>
      </c>
      <c r="AD35" s="153"/>
      <c r="AE35" s="153"/>
      <c r="AF35" s="150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1:90" ht="19.5" customHeight="1" x14ac:dyDescent="0.35">
      <c r="A36" s="201">
        <v>46107</v>
      </c>
      <c r="B36" s="172" t="s">
        <v>128</v>
      </c>
      <c r="C36" s="172" t="s">
        <v>129</v>
      </c>
      <c r="D36" s="143"/>
      <c r="E36" s="172">
        <v>1440</v>
      </c>
      <c r="F36" s="162"/>
      <c r="G36" s="163"/>
      <c r="H36" s="163"/>
      <c r="I36" s="163"/>
      <c r="J36" s="163"/>
      <c r="K36" s="163"/>
      <c r="L36" s="163">
        <f>+E36</f>
        <v>1440</v>
      </c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0">
        <f t="shared" si="0"/>
        <v>1440</v>
      </c>
      <c r="AB36" s="161" t="s">
        <v>4</v>
      </c>
      <c r="AC36" s="150">
        <f t="shared" si="1"/>
        <v>0</v>
      </c>
      <c r="AD36" s="153"/>
      <c r="AE36" s="153"/>
      <c r="AF36" s="150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1:90" ht="19.5" customHeight="1" x14ac:dyDescent="0.35">
      <c r="A37" s="170">
        <v>46107</v>
      </c>
      <c r="B37" s="172" t="s">
        <v>130</v>
      </c>
      <c r="C37" s="172" t="s">
        <v>60</v>
      </c>
      <c r="D37" s="143"/>
      <c r="E37" s="186">
        <v>3379.76</v>
      </c>
      <c r="F37" s="162"/>
      <c r="G37" s="163"/>
      <c r="H37" s="163">
        <f>+E37</f>
        <v>3379.76</v>
      </c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0">
        <f t="shared" si="0"/>
        <v>3379.76</v>
      </c>
      <c r="AB37" s="161" t="s">
        <v>4</v>
      </c>
      <c r="AC37" s="150">
        <f t="shared" si="1"/>
        <v>0</v>
      </c>
      <c r="AD37" s="153"/>
      <c r="AE37" s="153"/>
      <c r="AF37" s="150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1:90" ht="19.5" customHeight="1" x14ac:dyDescent="0.35">
      <c r="A38" s="170">
        <v>46108</v>
      </c>
      <c r="B38" s="172" t="s">
        <v>131</v>
      </c>
      <c r="C38" s="172" t="s">
        <v>53</v>
      </c>
      <c r="D38" s="143"/>
      <c r="E38" s="186">
        <v>5430</v>
      </c>
      <c r="F38" s="162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>
        <f>+E38</f>
        <v>5430</v>
      </c>
      <c r="T38" s="163"/>
      <c r="U38" s="163"/>
      <c r="V38" s="163"/>
      <c r="W38" s="163"/>
      <c r="X38" s="163"/>
      <c r="Y38" s="163"/>
      <c r="Z38" s="163"/>
      <c r="AA38" s="160">
        <f t="shared" si="0"/>
        <v>5430</v>
      </c>
      <c r="AB38" s="161" t="s">
        <v>4</v>
      </c>
      <c r="AC38" s="150">
        <f t="shared" si="1"/>
        <v>0</v>
      </c>
      <c r="AD38" s="153"/>
      <c r="AE38" s="153"/>
      <c r="AF38" s="150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1:90" ht="19.5" customHeight="1" x14ac:dyDescent="0.35">
      <c r="A39" s="170">
        <v>46108</v>
      </c>
      <c r="B39" s="206" t="s">
        <v>124</v>
      </c>
      <c r="C39" s="172" t="s">
        <v>64</v>
      </c>
      <c r="D39" s="143"/>
      <c r="E39" s="186"/>
      <c r="F39" s="162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0">
        <f t="shared" ref="AA39" si="2">SUM(F39:Z39)</f>
        <v>0</v>
      </c>
      <c r="AB39" s="161" t="s">
        <v>4</v>
      </c>
      <c r="AC39" s="150">
        <f t="shared" si="1"/>
        <v>0</v>
      </c>
      <c r="AD39" s="153"/>
      <c r="AE39" s="153"/>
      <c r="AF39" s="150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1:90" ht="19.5" customHeight="1" x14ac:dyDescent="0.35">
      <c r="A40" s="170">
        <v>46108</v>
      </c>
      <c r="B40" s="173" t="s">
        <v>132</v>
      </c>
      <c r="C40" s="172" t="s">
        <v>133</v>
      </c>
      <c r="D40" s="143"/>
      <c r="E40" s="186">
        <v>52850</v>
      </c>
      <c r="F40" s="162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>
        <f>+E40</f>
        <v>52850</v>
      </c>
      <c r="U40" s="163"/>
      <c r="V40" s="163"/>
      <c r="W40" s="163"/>
      <c r="X40" s="163"/>
      <c r="Y40" s="163"/>
      <c r="Z40" s="163"/>
      <c r="AA40" s="160">
        <f t="shared" si="0"/>
        <v>52850</v>
      </c>
      <c r="AB40" s="161" t="s">
        <v>4</v>
      </c>
      <c r="AC40" s="150">
        <f t="shared" si="1"/>
        <v>0</v>
      </c>
      <c r="AD40" s="153"/>
      <c r="AE40" s="153"/>
      <c r="AF40" s="150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1:90" ht="19.5" customHeight="1" x14ac:dyDescent="0.35">
      <c r="A41" s="170">
        <v>46108</v>
      </c>
      <c r="B41" s="172" t="s">
        <v>134</v>
      </c>
      <c r="C41" s="172" t="s">
        <v>133</v>
      </c>
      <c r="D41" s="143"/>
      <c r="E41" s="182">
        <v>10300</v>
      </c>
      <c r="F41" s="162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>
        <f>+E41</f>
        <v>10300</v>
      </c>
      <c r="U41" s="163"/>
      <c r="V41" s="163"/>
      <c r="W41" s="163"/>
      <c r="X41" s="163"/>
      <c r="Y41" s="163"/>
      <c r="Z41" s="163"/>
      <c r="AA41" s="160">
        <f t="shared" si="0"/>
        <v>10300</v>
      </c>
      <c r="AB41" s="161" t="s">
        <v>4</v>
      </c>
      <c r="AC41" s="150">
        <f t="shared" si="1"/>
        <v>0</v>
      </c>
      <c r="AD41" s="153"/>
      <c r="AE41" s="153"/>
      <c r="AF41" s="150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1:90" ht="19.5" customHeight="1" x14ac:dyDescent="0.35">
      <c r="A42" s="170">
        <v>46108</v>
      </c>
      <c r="B42" s="173" t="s">
        <v>135</v>
      </c>
      <c r="C42" s="172" t="s">
        <v>136</v>
      </c>
      <c r="D42" s="143"/>
      <c r="E42" s="182">
        <v>12280</v>
      </c>
      <c r="F42" s="162"/>
      <c r="G42" s="163"/>
      <c r="H42" s="163"/>
      <c r="I42" s="163"/>
      <c r="J42" s="163"/>
      <c r="K42" s="163">
        <f>+E42</f>
        <v>12280</v>
      </c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0">
        <f t="shared" si="0"/>
        <v>12280</v>
      </c>
      <c r="AB42" s="161" t="s">
        <v>4</v>
      </c>
      <c r="AC42" s="150">
        <f t="shared" si="1"/>
        <v>0</v>
      </c>
      <c r="AD42" s="153"/>
      <c r="AE42" s="153"/>
      <c r="AF42" s="150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1:90" ht="19.5" customHeight="1" x14ac:dyDescent="0.35">
      <c r="A43" s="170">
        <v>46108</v>
      </c>
      <c r="B43" s="173" t="s">
        <v>137</v>
      </c>
      <c r="C43" s="172" t="s">
        <v>138</v>
      </c>
      <c r="D43" s="143"/>
      <c r="E43" s="183">
        <v>1160</v>
      </c>
      <c r="F43" s="162"/>
      <c r="G43" s="163"/>
      <c r="H43" s="163"/>
      <c r="I43" s="163"/>
      <c r="J43" s="163"/>
      <c r="K43" s="163"/>
      <c r="L43" s="163">
        <f>+E43</f>
        <v>1160</v>
      </c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0">
        <f t="shared" si="0"/>
        <v>1160</v>
      </c>
      <c r="AB43" s="161" t="s">
        <v>4</v>
      </c>
      <c r="AC43" s="150">
        <f t="shared" si="1"/>
        <v>0</v>
      </c>
      <c r="AD43" s="153"/>
      <c r="AE43" s="153"/>
      <c r="AF43" s="150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1:90" ht="19.5" customHeight="1" x14ac:dyDescent="0.35">
      <c r="A44" s="170">
        <v>46111</v>
      </c>
      <c r="B44" s="172" t="s">
        <v>139</v>
      </c>
      <c r="C44" s="172" t="s">
        <v>122</v>
      </c>
      <c r="D44" s="143"/>
      <c r="E44" s="183">
        <v>5385.02</v>
      </c>
      <c r="F44" s="162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>
        <f>+E44</f>
        <v>5385.02</v>
      </c>
      <c r="S44" s="163"/>
      <c r="T44" s="163"/>
      <c r="U44" s="163"/>
      <c r="V44" s="163"/>
      <c r="W44" s="163"/>
      <c r="X44" s="163"/>
      <c r="Y44" s="163"/>
      <c r="Z44" s="163"/>
      <c r="AA44" s="160">
        <f t="shared" ref="AA44:AA71" si="3">SUM(F44:Z44)</f>
        <v>5385.02</v>
      </c>
      <c r="AB44" s="161" t="s">
        <v>4</v>
      </c>
      <c r="AC44" s="150">
        <f t="shared" si="1"/>
        <v>0</v>
      </c>
      <c r="AD44" s="153"/>
      <c r="AE44" s="153"/>
      <c r="AF44" s="150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1:90" ht="19.5" customHeight="1" x14ac:dyDescent="0.35">
      <c r="A45" s="170">
        <v>46108</v>
      </c>
      <c r="B45" s="172" t="s">
        <v>140</v>
      </c>
      <c r="C45" s="172" t="s">
        <v>122</v>
      </c>
      <c r="D45" s="144"/>
      <c r="E45" s="183">
        <v>3292.74</v>
      </c>
      <c r="F45" s="162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44">
        <f>+E45</f>
        <v>3292.74</v>
      </c>
      <c r="Z45" s="145"/>
      <c r="AA45" s="160">
        <f t="shared" si="3"/>
        <v>3292.74</v>
      </c>
      <c r="AB45" s="161" t="s">
        <v>4</v>
      </c>
      <c r="AC45" s="150">
        <f t="shared" si="1"/>
        <v>0</v>
      </c>
      <c r="AD45" s="153"/>
      <c r="AE45" s="153"/>
      <c r="AF45" s="150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1:90" ht="19.5" customHeight="1" x14ac:dyDescent="0.35">
      <c r="A46" s="170">
        <v>46111</v>
      </c>
      <c r="B46" s="172" t="s">
        <v>72</v>
      </c>
      <c r="C46" s="174" t="s">
        <v>60</v>
      </c>
      <c r="D46" s="143"/>
      <c r="E46" s="183">
        <v>23658.31</v>
      </c>
      <c r="F46" s="162">
        <f>+F33*0.04</f>
        <v>6592.84</v>
      </c>
      <c r="G46" s="163"/>
      <c r="H46" s="163">
        <f>10139.28</f>
        <v>10139.280000000001</v>
      </c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>
        <f>+V33*0.04</f>
        <v>1394.8352</v>
      </c>
      <c r="W46" s="163">
        <f>+W33*0.04</f>
        <v>2341.36</v>
      </c>
      <c r="X46" s="163">
        <f>+X33*0.04</f>
        <v>1465</v>
      </c>
      <c r="Y46" s="163">
        <f>+Y33*0.04</f>
        <v>1725</v>
      </c>
      <c r="Z46" s="163"/>
      <c r="AA46" s="160">
        <f>SUM(F46:Z46)</f>
        <v>23658.315200000005</v>
      </c>
      <c r="AB46" s="161" t="s">
        <v>4</v>
      </c>
      <c r="AC46" s="150">
        <f t="shared" si="1"/>
        <v>-5.2000000032421667E-3</v>
      </c>
      <c r="AD46" s="153"/>
      <c r="AE46" s="153"/>
      <c r="AF46" s="150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1:90" ht="19.5" customHeight="1" x14ac:dyDescent="0.35">
      <c r="A47" s="170">
        <v>46111</v>
      </c>
      <c r="B47" s="206" t="s">
        <v>124</v>
      </c>
      <c r="C47" s="172" t="s">
        <v>64</v>
      </c>
      <c r="D47" s="143"/>
      <c r="E47" s="183"/>
      <c r="F47" s="188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0">
        <f t="shared" si="3"/>
        <v>0</v>
      </c>
      <c r="AB47" s="161" t="s">
        <v>4</v>
      </c>
      <c r="AC47" s="150">
        <f t="shared" si="1"/>
        <v>0</v>
      </c>
      <c r="AD47" s="153"/>
      <c r="AE47" s="153"/>
      <c r="AF47" s="150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1:90" ht="19.5" customHeight="1" x14ac:dyDescent="0.35">
      <c r="A48" s="170">
        <v>46111</v>
      </c>
      <c r="B48" s="206" t="s">
        <v>141</v>
      </c>
      <c r="C48" s="172" t="s">
        <v>118</v>
      </c>
      <c r="D48" s="143"/>
      <c r="E48" s="202">
        <v>277172.71000000002</v>
      </c>
      <c r="F48" s="188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>
        <f>+E48</f>
        <v>277172.71000000002</v>
      </c>
      <c r="R48" s="163"/>
      <c r="S48" s="163"/>
      <c r="T48" s="163"/>
      <c r="U48" s="163"/>
      <c r="V48" s="163"/>
      <c r="W48" s="163"/>
      <c r="X48" s="163"/>
      <c r="Y48" s="163"/>
      <c r="Z48" s="163"/>
      <c r="AA48" s="160">
        <f t="shared" si="3"/>
        <v>277172.71000000002</v>
      </c>
      <c r="AB48" s="161" t="s">
        <v>4</v>
      </c>
      <c r="AC48" s="150">
        <f t="shared" si="1"/>
        <v>0</v>
      </c>
      <c r="AD48" s="153"/>
      <c r="AE48" s="153"/>
      <c r="AF48" s="150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1:90" ht="19.5" customHeight="1" x14ac:dyDescent="0.35">
      <c r="A49" s="170">
        <v>46111</v>
      </c>
      <c r="B49" s="173" t="s">
        <v>99</v>
      </c>
      <c r="C49" s="172" t="s">
        <v>100</v>
      </c>
      <c r="D49" s="143"/>
      <c r="E49" s="187">
        <v>120</v>
      </c>
      <c r="F49" s="162"/>
      <c r="G49" s="163"/>
      <c r="H49" s="163"/>
      <c r="I49" s="163">
        <f>+E51</f>
        <v>120</v>
      </c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0">
        <f t="shared" si="3"/>
        <v>120</v>
      </c>
      <c r="AB49" s="161" t="s">
        <v>4</v>
      </c>
      <c r="AC49" s="150">
        <f t="shared" si="1"/>
        <v>0</v>
      </c>
      <c r="AD49" s="153"/>
      <c r="AE49" s="153"/>
      <c r="AF49" s="150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1:90" ht="19.5" customHeight="1" x14ac:dyDescent="0.35">
      <c r="A50" s="170">
        <v>46111</v>
      </c>
      <c r="B50" s="208" t="s">
        <v>142</v>
      </c>
      <c r="C50" s="208" t="s">
        <v>118</v>
      </c>
      <c r="D50" s="143"/>
      <c r="E50" s="203">
        <v>30417.98</v>
      </c>
      <c r="F50" s="162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>
        <f>+E50</f>
        <v>30417.98</v>
      </c>
      <c r="R50" s="163"/>
      <c r="S50" s="163"/>
      <c r="T50" s="163"/>
      <c r="U50" s="163"/>
      <c r="V50" s="163"/>
      <c r="W50" s="163"/>
      <c r="X50" s="163"/>
      <c r="Y50" s="163"/>
      <c r="Z50" s="163"/>
      <c r="AA50" s="160">
        <f t="shared" si="3"/>
        <v>30417.98</v>
      </c>
      <c r="AB50" s="161" t="s">
        <v>4</v>
      </c>
      <c r="AC50" s="150">
        <f t="shared" si="1"/>
        <v>0</v>
      </c>
      <c r="AD50" s="153"/>
      <c r="AE50" s="153"/>
      <c r="AF50" s="150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1:90" ht="19.5" customHeight="1" x14ac:dyDescent="0.35">
      <c r="A51" s="170">
        <v>46111</v>
      </c>
      <c r="B51" s="173" t="s">
        <v>99</v>
      </c>
      <c r="C51" s="172" t="s">
        <v>100</v>
      </c>
      <c r="D51" s="143"/>
      <c r="E51" s="203">
        <v>120</v>
      </c>
      <c r="F51" s="162"/>
      <c r="G51" s="163"/>
      <c r="H51" s="163"/>
      <c r="I51" s="163">
        <f>+E51</f>
        <v>120</v>
      </c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0">
        <f t="shared" si="3"/>
        <v>120</v>
      </c>
      <c r="AB51" s="161" t="s">
        <v>4</v>
      </c>
      <c r="AC51" s="150">
        <f t="shared" si="1"/>
        <v>0</v>
      </c>
      <c r="AD51" s="153"/>
      <c r="AE51" s="153"/>
      <c r="AF51" s="150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1:90" ht="19.5" customHeight="1" x14ac:dyDescent="0.35">
      <c r="A52" s="170">
        <v>46112</v>
      </c>
      <c r="B52" s="175" t="s">
        <v>143</v>
      </c>
      <c r="C52" s="175" t="s">
        <v>110</v>
      </c>
      <c r="D52" s="143"/>
      <c r="E52" s="203">
        <v>3800.61</v>
      </c>
      <c r="F52" s="162"/>
      <c r="G52" s="163"/>
      <c r="H52" s="163"/>
      <c r="I52" s="163"/>
      <c r="J52" s="163"/>
      <c r="K52" s="163">
        <f>+E52</f>
        <v>3800.61</v>
      </c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0">
        <f t="shared" si="3"/>
        <v>3800.61</v>
      </c>
      <c r="AB52" s="161" t="s">
        <v>4</v>
      </c>
      <c r="AC52" s="150">
        <f t="shared" si="1"/>
        <v>0</v>
      </c>
      <c r="AD52" s="153"/>
      <c r="AE52" s="153"/>
      <c r="AF52" s="150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1:90" ht="19.5" customHeight="1" x14ac:dyDescent="0.35">
      <c r="A53" s="170">
        <v>46112</v>
      </c>
      <c r="B53" s="175" t="s">
        <v>144</v>
      </c>
      <c r="C53" s="175" t="s">
        <v>138</v>
      </c>
      <c r="D53" s="143"/>
      <c r="E53" s="203">
        <v>1235</v>
      </c>
      <c r="F53" s="162"/>
      <c r="G53" s="163"/>
      <c r="H53" s="163"/>
      <c r="I53" s="163"/>
      <c r="J53" s="163"/>
      <c r="K53" s="163"/>
      <c r="L53" s="163">
        <f>+E53</f>
        <v>1235</v>
      </c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0">
        <f t="shared" si="3"/>
        <v>1235</v>
      </c>
      <c r="AB53" s="161" t="s">
        <v>4</v>
      </c>
      <c r="AC53" s="150">
        <f t="shared" si="1"/>
        <v>0</v>
      </c>
      <c r="AD53" s="153"/>
      <c r="AE53" s="153"/>
      <c r="AF53" s="150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1:90" ht="19.5" customHeight="1" x14ac:dyDescent="0.35">
      <c r="A54" s="170">
        <v>46112</v>
      </c>
      <c r="B54" s="175" t="s">
        <v>71</v>
      </c>
      <c r="C54" s="175" t="s">
        <v>60</v>
      </c>
      <c r="D54" s="143"/>
      <c r="E54" s="203">
        <v>10437.5</v>
      </c>
      <c r="F54" s="162"/>
      <c r="G54" s="163"/>
      <c r="H54" s="163">
        <f>+E54</f>
        <v>10437.5</v>
      </c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0">
        <f t="shared" si="3"/>
        <v>10437.5</v>
      </c>
      <c r="AB54" s="161" t="s">
        <v>4</v>
      </c>
      <c r="AC54" s="150">
        <f t="shared" si="1"/>
        <v>0</v>
      </c>
      <c r="AD54" s="153"/>
      <c r="AE54" s="153"/>
      <c r="AF54" s="150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1:90" ht="19.5" customHeight="1" x14ac:dyDescent="0.35">
      <c r="A55" s="205">
        <v>46083</v>
      </c>
      <c r="B55" s="173" t="s">
        <v>159</v>
      </c>
      <c r="C55" s="210" t="s">
        <v>86</v>
      </c>
      <c r="D55" s="143"/>
      <c r="E55" s="211">
        <v>3000</v>
      </c>
      <c r="F55" s="209"/>
      <c r="G55" s="163"/>
      <c r="H55" s="163"/>
      <c r="I55" s="163">
        <f>+E55</f>
        <v>3000</v>
      </c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0">
        <f t="shared" si="3"/>
        <v>3000</v>
      </c>
      <c r="AB55" s="161" t="s">
        <v>4</v>
      </c>
      <c r="AC55" s="150">
        <f t="shared" si="1"/>
        <v>0</v>
      </c>
      <c r="AD55" s="153"/>
      <c r="AE55" s="153"/>
      <c r="AF55" s="150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1:90" ht="19.5" customHeight="1" x14ac:dyDescent="0.35">
      <c r="A56" s="205">
        <v>46084</v>
      </c>
      <c r="B56" s="172" t="s">
        <v>160</v>
      </c>
      <c r="C56" s="212" t="s">
        <v>149</v>
      </c>
      <c r="D56" s="143"/>
      <c r="E56" s="213">
        <v>500</v>
      </c>
      <c r="F56" s="209"/>
      <c r="G56" s="163">
        <f>+E56</f>
        <v>500</v>
      </c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0">
        <f t="shared" si="3"/>
        <v>500</v>
      </c>
      <c r="AB56" s="161" t="s">
        <v>4</v>
      </c>
      <c r="AC56" s="150">
        <f t="shared" si="1"/>
        <v>0</v>
      </c>
      <c r="AD56" s="153"/>
      <c r="AE56" s="153"/>
      <c r="AF56" s="150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1:90" ht="19.5" customHeight="1" x14ac:dyDescent="0.35">
      <c r="A57" s="205">
        <v>46086</v>
      </c>
      <c r="B57" s="172" t="s">
        <v>161</v>
      </c>
      <c r="C57" s="212" t="s">
        <v>21</v>
      </c>
      <c r="D57" s="143"/>
      <c r="E57" s="215">
        <v>5000</v>
      </c>
      <c r="F57" s="209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>
        <v>2000</v>
      </c>
      <c r="T57" s="163"/>
      <c r="U57" s="163"/>
      <c r="V57" s="163"/>
      <c r="W57" s="163">
        <v>1500</v>
      </c>
      <c r="X57" s="163">
        <v>1500</v>
      </c>
      <c r="Y57" s="163"/>
      <c r="Z57" s="163"/>
      <c r="AA57" s="160">
        <f t="shared" si="3"/>
        <v>5000</v>
      </c>
      <c r="AB57" s="161" t="s">
        <v>4</v>
      </c>
      <c r="AC57" s="150">
        <f t="shared" si="1"/>
        <v>0</v>
      </c>
      <c r="AD57" s="153"/>
      <c r="AE57" s="153"/>
      <c r="AF57" s="150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1:90" ht="19.5" customHeight="1" x14ac:dyDescent="0.35">
      <c r="A58" s="205">
        <v>46087</v>
      </c>
      <c r="B58" s="173" t="s">
        <v>162</v>
      </c>
      <c r="C58" s="214" t="s">
        <v>150</v>
      </c>
      <c r="D58" s="143"/>
      <c r="E58" s="215">
        <f>380+340</f>
        <v>720</v>
      </c>
      <c r="F58" s="209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>
        <f>+E58</f>
        <v>720</v>
      </c>
      <c r="T58" s="163"/>
      <c r="U58" s="163"/>
      <c r="V58" s="163"/>
      <c r="W58" s="163"/>
      <c r="X58" s="163"/>
      <c r="Y58" s="163"/>
      <c r="Z58" s="163"/>
      <c r="AA58" s="160">
        <f t="shared" si="3"/>
        <v>720</v>
      </c>
      <c r="AB58" s="161" t="s">
        <v>4</v>
      </c>
      <c r="AC58" s="150">
        <f t="shared" si="1"/>
        <v>0</v>
      </c>
      <c r="AD58" s="153"/>
      <c r="AE58" s="153"/>
      <c r="AF58" s="150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1:90" ht="19.5" customHeight="1" x14ac:dyDescent="0.35">
      <c r="A59" s="205">
        <v>46088</v>
      </c>
      <c r="B59" s="172" t="s">
        <v>163</v>
      </c>
      <c r="C59" s="216" t="s">
        <v>151</v>
      </c>
      <c r="D59" s="143"/>
      <c r="E59" s="217">
        <v>5000</v>
      </c>
      <c r="F59" s="209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>
        <f>+E59</f>
        <v>5000</v>
      </c>
      <c r="Y59" s="163"/>
      <c r="Z59" s="163"/>
      <c r="AA59" s="160">
        <f t="shared" si="3"/>
        <v>5000</v>
      </c>
      <c r="AB59" s="161" t="s">
        <v>4</v>
      </c>
      <c r="AC59" s="150">
        <f t="shared" si="1"/>
        <v>0</v>
      </c>
      <c r="AD59" s="153"/>
      <c r="AE59" s="153"/>
      <c r="AF59" s="150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1:90" ht="19.5" customHeight="1" x14ac:dyDescent="0.35">
      <c r="A60" s="205">
        <v>46089</v>
      </c>
      <c r="B60" s="172" t="s">
        <v>164</v>
      </c>
      <c r="C60" s="218" t="s">
        <v>152</v>
      </c>
      <c r="D60" s="143"/>
      <c r="E60" s="213">
        <v>2500</v>
      </c>
      <c r="F60" s="209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>
        <f>+E60</f>
        <v>2500</v>
      </c>
      <c r="T60" s="163"/>
      <c r="U60" s="163"/>
      <c r="V60" s="163"/>
      <c r="W60" s="163"/>
      <c r="X60" s="163"/>
      <c r="Y60" s="163"/>
      <c r="Z60" s="163"/>
      <c r="AA60" s="160">
        <f t="shared" si="3"/>
        <v>2500</v>
      </c>
      <c r="AB60" s="161" t="s">
        <v>4</v>
      </c>
      <c r="AC60" s="150">
        <f t="shared" si="1"/>
        <v>0</v>
      </c>
      <c r="AD60" s="153"/>
      <c r="AE60" s="153"/>
      <c r="AF60" s="150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1:90" ht="19.5" customHeight="1" x14ac:dyDescent="0.35">
      <c r="A61" s="205">
        <v>46090</v>
      </c>
      <c r="B61" s="172" t="s">
        <v>165</v>
      </c>
      <c r="C61" s="218" t="s">
        <v>153</v>
      </c>
      <c r="D61" s="143"/>
      <c r="E61" s="213">
        <f>2*3000</f>
        <v>6000</v>
      </c>
      <c r="F61" s="209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>
        <f>+E61</f>
        <v>6000</v>
      </c>
      <c r="U61" s="163"/>
      <c r="V61" s="163"/>
      <c r="W61" s="163"/>
      <c r="X61" s="163"/>
      <c r="Y61" s="163"/>
      <c r="Z61" s="163"/>
      <c r="AA61" s="160">
        <f t="shared" si="3"/>
        <v>6000</v>
      </c>
      <c r="AB61" s="161" t="s">
        <v>4</v>
      </c>
      <c r="AC61" s="150">
        <f t="shared" si="1"/>
        <v>0</v>
      </c>
      <c r="AD61" s="165"/>
      <c r="AE61" s="165"/>
      <c r="AF61" s="164"/>
      <c r="AG61" s="165"/>
      <c r="AH61" s="165"/>
      <c r="AI61" s="165"/>
      <c r="AJ61" s="165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1:90" ht="19.5" customHeight="1" x14ac:dyDescent="0.35">
      <c r="A62" s="205">
        <v>46091</v>
      </c>
      <c r="B62" s="175" t="s">
        <v>165</v>
      </c>
      <c r="C62" s="218" t="s">
        <v>153</v>
      </c>
      <c r="D62" s="143"/>
      <c r="E62" s="213">
        <v>6000</v>
      </c>
      <c r="F62" s="209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>
        <v>3000</v>
      </c>
      <c r="Y62" s="163">
        <v>3000</v>
      </c>
      <c r="Z62" s="163"/>
      <c r="AA62" s="160">
        <f t="shared" si="3"/>
        <v>6000</v>
      </c>
      <c r="AB62" s="161" t="s">
        <v>4</v>
      </c>
      <c r="AC62" s="150">
        <f t="shared" si="1"/>
        <v>0</v>
      </c>
      <c r="AD62" s="150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1:90" ht="19.5" customHeight="1" x14ac:dyDescent="0.35">
      <c r="A63" s="205">
        <v>46092</v>
      </c>
      <c r="B63" s="175" t="s">
        <v>161</v>
      </c>
      <c r="C63" s="218" t="s">
        <v>154</v>
      </c>
      <c r="D63" s="143"/>
      <c r="E63" s="213">
        <v>21000</v>
      </c>
      <c r="F63" s="209"/>
      <c r="G63" s="163">
        <f>+E63</f>
        <v>21000</v>
      </c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0">
        <f t="shared" si="3"/>
        <v>21000</v>
      </c>
      <c r="AB63" s="161" t="s">
        <v>4</v>
      </c>
      <c r="AC63" s="150">
        <f t="shared" si="1"/>
        <v>0</v>
      </c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1:90" ht="19.5" customHeight="1" x14ac:dyDescent="0.35">
      <c r="A64" s="205">
        <v>46093</v>
      </c>
      <c r="B64" s="175" t="s">
        <v>166</v>
      </c>
      <c r="C64" s="214" t="s">
        <v>155</v>
      </c>
      <c r="D64" s="143"/>
      <c r="E64" s="215">
        <v>1800</v>
      </c>
      <c r="F64" s="209"/>
      <c r="G64" s="163">
        <f>+E64</f>
        <v>1800</v>
      </c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0">
        <f t="shared" si="3"/>
        <v>1800</v>
      </c>
      <c r="AB64" s="161" t="s">
        <v>4</v>
      </c>
      <c r="AC64" s="150">
        <f t="shared" si="1"/>
        <v>0</v>
      </c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1:90" ht="19.5" customHeight="1" x14ac:dyDescent="0.35">
      <c r="A65" s="205">
        <v>46094</v>
      </c>
      <c r="B65" s="175" t="s">
        <v>167</v>
      </c>
      <c r="C65" s="214" t="s">
        <v>156</v>
      </c>
      <c r="D65" s="143"/>
      <c r="E65" s="215">
        <v>1200</v>
      </c>
      <c r="F65" s="209"/>
      <c r="G65" s="163"/>
      <c r="H65" s="163"/>
      <c r="I65" s="163"/>
      <c r="J65" s="163"/>
      <c r="K65" s="163"/>
      <c r="L65" s="163">
        <f>+E65</f>
        <v>1200</v>
      </c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0">
        <f t="shared" si="3"/>
        <v>1200</v>
      </c>
      <c r="AB65" s="161" t="s">
        <v>4</v>
      </c>
      <c r="AC65" s="150">
        <f t="shared" si="1"/>
        <v>0</v>
      </c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1:90" ht="19.5" customHeight="1" x14ac:dyDescent="0.35">
      <c r="A66" s="205">
        <v>46095</v>
      </c>
      <c r="B66" s="175" t="s">
        <v>168</v>
      </c>
      <c r="C66" s="214" t="s">
        <v>157</v>
      </c>
      <c r="D66" s="143"/>
      <c r="E66" s="215">
        <f>3600*2</f>
        <v>7200</v>
      </c>
      <c r="F66" s="209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>
        <v>3600</v>
      </c>
      <c r="X66" s="163">
        <v>3600</v>
      </c>
      <c r="Y66" s="163"/>
      <c r="Z66" s="163"/>
      <c r="AA66" s="160">
        <f t="shared" si="3"/>
        <v>7200</v>
      </c>
      <c r="AB66" s="161" t="s">
        <v>4</v>
      </c>
      <c r="AC66" s="150">
        <f t="shared" si="1"/>
        <v>0</v>
      </c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1:90" ht="19.5" customHeight="1" x14ac:dyDescent="0.35">
      <c r="A67" s="205">
        <v>46096</v>
      </c>
      <c r="B67" s="175" t="s">
        <v>169</v>
      </c>
      <c r="C67" s="214" t="s">
        <v>158</v>
      </c>
      <c r="D67" s="143"/>
      <c r="E67" s="215">
        <v>5000</v>
      </c>
      <c r="F67" s="209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>
        <f>+E67</f>
        <v>5000</v>
      </c>
      <c r="S67" s="163"/>
      <c r="T67" s="163"/>
      <c r="U67" s="163"/>
      <c r="V67" s="163"/>
      <c r="W67" s="163"/>
      <c r="X67" s="163"/>
      <c r="Y67" s="163"/>
      <c r="Z67" s="163"/>
      <c r="AA67" s="160">
        <f t="shared" si="3"/>
        <v>5000</v>
      </c>
      <c r="AB67" s="161" t="s">
        <v>4</v>
      </c>
      <c r="AC67" s="150">
        <f t="shared" si="1"/>
        <v>0</v>
      </c>
      <c r="AD67" s="150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1:90" ht="19.5" customHeight="1" x14ac:dyDescent="0.35">
      <c r="A68" s="205">
        <v>46097</v>
      </c>
      <c r="B68" s="173" t="s">
        <v>170</v>
      </c>
      <c r="C68" s="214" t="s">
        <v>125</v>
      </c>
      <c r="D68" s="143"/>
      <c r="E68" s="215">
        <v>35000</v>
      </c>
      <c r="F68" s="209">
        <f>+E68</f>
        <v>35000</v>
      </c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0">
        <f t="shared" si="3"/>
        <v>35000</v>
      </c>
      <c r="AB68" s="161" t="s">
        <v>4</v>
      </c>
      <c r="AC68" s="150">
        <f t="shared" si="1"/>
        <v>0</v>
      </c>
      <c r="AD68" s="150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1:90" ht="19.5" customHeight="1" x14ac:dyDescent="0.35">
      <c r="A69" s="176"/>
      <c r="B69" s="178"/>
      <c r="C69" s="180"/>
      <c r="D69" s="143"/>
      <c r="E69" s="219"/>
      <c r="F69" s="209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0">
        <f t="shared" si="3"/>
        <v>0</v>
      </c>
      <c r="AB69" s="161" t="s">
        <v>4</v>
      </c>
      <c r="AC69" s="150">
        <f t="shared" si="1"/>
        <v>0</v>
      </c>
      <c r="AD69" s="150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1:90" ht="19.5" customHeight="1" x14ac:dyDescent="0.35">
      <c r="A70" s="176"/>
      <c r="B70" s="178"/>
      <c r="C70" s="180"/>
      <c r="D70" s="166"/>
      <c r="E70" s="182"/>
      <c r="F70" s="162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0">
        <f t="shared" si="3"/>
        <v>0</v>
      </c>
      <c r="AB70" s="161" t="s">
        <v>4</v>
      </c>
      <c r="AC70" s="150">
        <f t="shared" ref="AC70:AC71" si="4">+E70-AA70</f>
        <v>0</v>
      </c>
      <c r="AD70" s="150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1:90" ht="19.5" customHeight="1" x14ac:dyDescent="0.35">
      <c r="A71" s="177"/>
      <c r="B71" s="179"/>
      <c r="C71" s="181"/>
      <c r="D71" s="166"/>
      <c r="E71" s="183"/>
      <c r="F71" s="162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0">
        <f t="shared" si="3"/>
        <v>0</v>
      </c>
      <c r="AB71" s="161" t="s">
        <v>4</v>
      </c>
      <c r="AC71" s="150">
        <f t="shared" si="4"/>
        <v>0</v>
      </c>
      <c r="AD71" s="150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1:90" ht="19.5" customHeight="1" x14ac:dyDescent="0.35">
      <c r="A72" s="146"/>
      <c r="B72" s="147"/>
      <c r="C72" s="148"/>
      <c r="D72" s="148"/>
      <c r="E72" s="149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47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</row>
    <row r="73" spans="1:90" ht="19.5" customHeight="1" x14ac:dyDescent="0.35">
      <c r="A73" s="146"/>
      <c r="B73" s="147"/>
      <c r="C73" s="148"/>
      <c r="D73" s="148"/>
      <c r="E73" s="149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47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</row>
    <row r="74" spans="1:90" ht="19.5" customHeight="1" x14ac:dyDescent="0.35">
      <c r="A74" s="146"/>
      <c r="B74" s="147"/>
      <c r="C74" s="148"/>
      <c r="D74" s="148"/>
      <c r="E74" s="149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47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</row>
    <row r="75" spans="1:90" ht="19.5" customHeight="1" x14ac:dyDescent="0.35">
      <c r="A75" s="146"/>
      <c r="B75" s="147"/>
      <c r="C75" s="148"/>
      <c r="D75" s="148"/>
      <c r="E75" s="149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47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</row>
    <row r="76" spans="1:90" ht="19.5" customHeight="1" x14ac:dyDescent="0.35">
      <c r="A76" s="146"/>
      <c r="B76" s="147"/>
      <c r="C76" s="148"/>
      <c r="D76" s="148"/>
      <c r="E76" s="149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47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</row>
    <row r="77" spans="1:90" ht="19.5" customHeight="1" x14ac:dyDescent="0.35">
      <c r="A77" s="146"/>
      <c r="B77" s="147"/>
      <c r="C77" s="148"/>
      <c r="D77" s="148"/>
      <c r="E77" s="149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47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</row>
    <row r="78" spans="1:90" ht="19.5" customHeight="1" x14ac:dyDescent="0.35">
      <c r="A78" s="146"/>
      <c r="B78" s="147"/>
      <c r="C78" s="148"/>
      <c r="D78" s="148"/>
      <c r="E78" s="149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47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</row>
    <row r="79" spans="1:90" ht="19.5" customHeight="1" x14ac:dyDescent="0.35">
      <c r="A79" s="146"/>
      <c r="B79" s="147"/>
      <c r="C79" s="148"/>
      <c r="D79" s="148"/>
      <c r="E79" s="149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47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</row>
    <row r="80" spans="1:90" ht="19.5" customHeight="1" x14ac:dyDescent="0.35">
      <c r="A80" s="146"/>
      <c r="B80" s="147"/>
      <c r="C80" s="148"/>
      <c r="D80" s="148"/>
      <c r="E80" s="149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47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</row>
    <row r="81" spans="1:48" ht="19.5" customHeight="1" x14ac:dyDescent="0.35">
      <c r="A81" s="146"/>
      <c r="B81" s="147"/>
      <c r="C81" s="148"/>
      <c r="D81" s="148"/>
      <c r="E81" s="149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47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</row>
    <row r="82" spans="1:48" ht="19.5" customHeight="1" x14ac:dyDescent="0.35">
      <c r="A82" s="146"/>
      <c r="B82" s="147"/>
      <c r="C82" s="148"/>
      <c r="D82" s="148"/>
      <c r="E82" s="149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47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</row>
    <row r="83" spans="1:48" ht="19.5" customHeight="1" x14ac:dyDescent="0.35">
      <c r="A83" s="146"/>
      <c r="B83" s="147"/>
      <c r="C83" s="148"/>
      <c r="D83" s="148"/>
      <c r="E83" s="149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47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</row>
    <row r="84" spans="1:48" ht="19.5" customHeight="1" x14ac:dyDescent="0.35">
      <c r="A84" s="146"/>
      <c r="B84" s="147"/>
      <c r="C84" s="148"/>
      <c r="D84" s="148"/>
      <c r="E84" s="149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47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</row>
    <row r="85" spans="1:48" ht="19.5" customHeight="1" x14ac:dyDescent="0.35">
      <c r="A85" s="146"/>
      <c r="B85" s="147"/>
      <c r="C85" s="148"/>
      <c r="D85" s="148"/>
      <c r="E85" s="149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47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</row>
    <row r="86" spans="1:48" ht="19.5" customHeight="1" x14ac:dyDescent="0.35">
      <c r="A86" s="146"/>
      <c r="B86" s="147"/>
      <c r="C86" s="148"/>
      <c r="D86" s="148"/>
      <c r="E86" s="149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47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</row>
    <row r="87" spans="1:48" ht="19.5" customHeight="1" x14ac:dyDescent="0.35">
      <c r="A87" s="146"/>
      <c r="B87" s="147"/>
      <c r="C87" s="148"/>
      <c r="D87" s="148"/>
      <c r="E87" s="149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47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</row>
    <row r="88" spans="1:48" ht="19.5" customHeight="1" x14ac:dyDescent="0.35">
      <c r="A88" s="146"/>
      <c r="B88" s="147"/>
      <c r="C88" s="148"/>
      <c r="D88" s="148"/>
      <c r="E88" s="149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47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</row>
    <row r="89" spans="1:48" ht="19.5" customHeight="1" x14ac:dyDescent="0.35">
      <c r="A89" s="146"/>
      <c r="B89" s="147"/>
      <c r="C89" s="148"/>
      <c r="D89" s="148"/>
      <c r="E89" s="149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47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</row>
    <row r="90" spans="1:48" ht="19.5" customHeight="1" x14ac:dyDescent="0.35">
      <c r="A90" s="146"/>
      <c r="B90" s="147"/>
      <c r="C90" s="148"/>
      <c r="D90" s="148"/>
      <c r="E90" s="149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47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</row>
    <row r="91" spans="1:48" ht="19.5" customHeight="1" x14ac:dyDescent="0.35">
      <c r="A91" s="146"/>
      <c r="B91" s="147"/>
      <c r="C91" s="148"/>
      <c r="D91" s="148"/>
      <c r="E91" s="149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47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</row>
    <row r="92" spans="1:48" ht="19.5" customHeight="1" x14ac:dyDescent="0.35">
      <c r="A92" s="146"/>
      <c r="B92" s="147"/>
      <c r="C92" s="148"/>
      <c r="D92" s="148"/>
      <c r="E92" s="149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47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</row>
    <row r="93" spans="1:48" ht="19.5" customHeight="1" x14ac:dyDescent="0.35">
      <c r="A93" s="146"/>
      <c r="B93" s="147"/>
      <c r="C93" s="148"/>
      <c r="D93" s="148"/>
      <c r="E93" s="149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47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</row>
    <row r="94" spans="1:48" ht="15.75" customHeight="1" x14ac:dyDescent="0.35">
      <c r="A94" s="146"/>
      <c r="B94" s="147"/>
      <c r="C94" s="148"/>
      <c r="D94" s="148"/>
      <c r="E94" s="149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47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</row>
    <row r="95" spans="1:48" ht="15.75" customHeight="1" x14ac:dyDescent="0.35">
      <c r="A95" s="146"/>
      <c r="B95" s="147"/>
      <c r="C95" s="148"/>
      <c r="D95" s="148"/>
      <c r="E95" s="149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47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</row>
    <row r="96" spans="1:48" ht="15.75" customHeight="1" x14ac:dyDescent="0.35">
      <c r="A96" s="146"/>
      <c r="B96" s="147"/>
      <c r="C96" s="148"/>
      <c r="D96" s="148"/>
      <c r="E96" s="149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47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</row>
    <row r="97" spans="1:48" ht="15.75" customHeight="1" x14ac:dyDescent="0.35">
      <c r="A97" s="146"/>
      <c r="B97" s="147"/>
      <c r="C97" s="148"/>
      <c r="D97" s="148"/>
      <c r="E97" s="149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47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</row>
    <row r="98" spans="1:48" ht="15.75" customHeight="1" x14ac:dyDescent="0.35">
      <c r="A98" s="146"/>
      <c r="B98" s="147"/>
      <c r="C98" s="148"/>
      <c r="D98" s="148"/>
      <c r="E98" s="149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47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</row>
    <row r="99" spans="1:48" ht="15.75" customHeight="1" x14ac:dyDescent="0.35">
      <c r="A99" s="146"/>
      <c r="B99" s="147"/>
      <c r="C99" s="148"/>
      <c r="D99" s="148"/>
      <c r="E99" s="149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47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</row>
    <row r="100" spans="1:48" ht="15.75" customHeight="1" x14ac:dyDescent="0.35">
      <c r="A100" s="146"/>
      <c r="B100" s="147"/>
      <c r="C100" s="148"/>
      <c r="D100" s="148"/>
      <c r="E100" s="149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47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/>
    </row>
    <row r="101" spans="1:48" ht="15.75" customHeight="1" x14ac:dyDescent="0.35">
      <c r="A101" s="146"/>
      <c r="B101" s="147"/>
      <c r="C101" s="148"/>
      <c r="D101" s="148"/>
      <c r="E101" s="149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47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</row>
    <row r="102" spans="1:48" ht="15.75" customHeight="1" x14ac:dyDescent="0.35">
      <c r="A102" s="146"/>
      <c r="B102" s="147"/>
      <c r="C102" s="148"/>
      <c r="D102" s="148"/>
      <c r="E102" s="149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47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</row>
    <row r="103" spans="1:48" ht="15.75" customHeight="1" x14ac:dyDescent="0.35">
      <c r="A103" s="146"/>
      <c r="B103" s="147"/>
      <c r="C103" s="148"/>
      <c r="D103" s="148"/>
      <c r="E103" s="149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47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</row>
    <row r="104" spans="1:48" ht="15.75" customHeight="1" x14ac:dyDescent="0.35">
      <c r="A104" s="146"/>
      <c r="B104" s="147"/>
      <c r="C104" s="148"/>
      <c r="D104" s="148"/>
      <c r="E104" s="149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47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</row>
    <row r="105" spans="1:48" ht="15.75" customHeight="1" x14ac:dyDescent="0.35">
      <c r="A105" s="146"/>
      <c r="B105" s="147"/>
      <c r="C105" s="148"/>
      <c r="D105" s="148"/>
      <c r="E105" s="149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47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153"/>
    </row>
    <row r="106" spans="1:48" ht="15.75" customHeight="1" x14ac:dyDescent="0.35">
      <c r="A106" s="146"/>
      <c r="B106" s="147"/>
      <c r="C106" s="148"/>
      <c r="D106" s="148"/>
      <c r="E106" s="149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47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</row>
    <row r="107" spans="1:48" ht="15.75" customHeight="1" x14ac:dyDescent="0.35">
      <c r="A107" s="146"/>
      <c r="B107" s="147"/>
      <c r="C107" s="148"/>
      <c r="D107" s="148"/>
      <c r="E107" s="149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47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</row>
    <row r="108" spans="1:48" ht="15.75" customHeight="1" x14ac:dyDescent="0.35">
      <c r="A108" s="146"/>
      <c r="B108" s="147"/>
      <c r="C108" s="148"/>
      <c r="D108" s="148"/>
      <c r="E108" s="149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47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153"/>
    </row>
    <row r="109" spans="1:48" ht="15.75" customHeight="1" x14ac:dyDescent="0.35">
      <c r="A109" s="146"/>
      <c r="B109" s="147"/>
      <c r="C109" s="148"/>
      <c r="D109" s="148"/>
      <c r="E109" s="149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47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/>
      <c r="AR109" s="153"/>
      <c r="AS109" s="153"/>
      <c r="AT109" s="153"/>
      <c r="AU109" s="153"/>
      <c r="AV109" s="153"/>
    </row>
    <row r="110" spans="1:48" ht="15.75" customHeight="1" x14ac:dyDescent="0.35">
      <c r="A110" s="146"/>
      <c r="B110" s="147"/>
      <c r="C110" s="148"/>
      <c r="D110" s="148"/>
      <c r="E110" s="149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47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</row>
    <row r="111" spans="1:48" ht="15.75" customHeight="1" x14ac:dyDescent="0.35">
      <c r="A111" s="146"/>
      <c r="B111" s="147"/>
      <c r="C111" s="148"/>
      <c r="D111" s="148"/>
      <c r="E111" s="149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47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</row>
    <row r="112" spans="1:48" ht="15.75" customHeight="1" x14ac:dyDescent="0.35">
      <c r="A112" s="146"/>
      <c r="B112" s="147"/>
      <c r="C112" s="148"/>
      <c r="D112" s="148"/>
      <c r="E112" s="149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47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153"/>
    </row>
    <row r="113" spans="1:48" ht="15.75" customHeight="1" x14ac:dyDescent="0.35">
      <c r="A113" s="146"/>
      <c r="B113" s="147"/>
      <c r="C113" s="148"/>
      <c r="D113" s="148"/>
      <c r="E113" s="149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47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</row>
    <row r="114" spans="1:48" ht="15.75" customHeight="1" x14ac:dyDescent="0.35">
      <c r="A114" s="146"/>
      <c r="B114" s="147"/>
      <c r="C114" s="148"/>
      <c r="D114" s="148"/>
      <c r="E114" s="149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47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153"/>
    </row>
    <row r="115" spans="1:48" ht="15.75" customHeight="1" x14ac:dyDescent="0.35">
      <c r="A115" s="146"/>
      <c r="B115" s="147"/>
      <c r="C115" s="148"/>
      <c r="D115" s="148"/>
      <c r="E115" s="149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47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  <c r="AO115" s="153"/>
      <c r="AP115" s="153"/>
      <c r="AQ115" s="153"/>
      <c r="AR115" s="153"/>
      <c r="AS115" s="153"/>
      <c r="AT115" s="153"/>
      <c r="AU115" s="153"/>
      <c r="AV115" s="153"/>
    </row>
    <row r="116" spans="1:48" ht="15.75" customHeight="1" x14ac:dyDescent="0.35">
      <c r="A116" s="146"/>
      <c r="B116" s="147"/>
      <c r="C116" s="148"/>
      <c r="D116" s="148"/>
      <c r="E116" s="149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47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  <c r="AO116" s="153"/>
      <c r="AP116" s="153"/>
      <c r="AQ116" s="153"/>
      <c r="AR116" s="153"/>
      <c r="AS116" s="153"/>
      <c r="AT116" s="153"/>
      <c r="AU116" s="153"/>
      <c r="AV116" s="153"/>
    </row>
    <row r="117" spans="1:48" ht="15.75" customHeight="1" x14ac:dyDescent="0.35">
      <c r="A117" s="146"/>
      <c r="B117" s="147"/>
      <c r="C117" s="148"/>
      <c r="D117" s="148"/>
      <c r="E117" s="149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47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/>
      <c r="AQ117" s="153"/>
      <c r="AR117" s="153"/>
      <c r="AS117" s="153"/>
      <c r="AT117" s="153"/>
      <c r="AU117" s="153"/>
      <c r="AV117" s="153"/>
    </row>
    <row r="118" spans="1:48" ht="15.75" customHeight="1" x14ac:dyDescent="0.35">
      <c r="A118" s="146"/>
      <c r="B118" s="147"/>
      <c r="C118" s="148"/>
      <c r="D118" s="148"/>
      <c r="E118" s="149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47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</row>
    <row r="119" spans="1:48" ht="15.75" customHeight="1" x14ac:dyDescent="0.35">
      <c r="A119" s="146"/>
      <c r="B119" s="147"/>
      <c r="C119" s="148"/>
      <c r="D119" s="148"/>
      <c r="E119" s="149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47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153"/>
      <c r="AS119" s="153"/>
      <c r="AT119" s="153"/>
      <c r="AU119" s="153"/>
      <c r="AV119" s="153"/>
    </row>
    <row r="120" spans="1:48" ht="15.75" customHeight="1" x14ac:dyDescent="0.35">
      <c r="A120" s="146"/>
      <c r="B120" s="147"/>
      <c r="C120" s="148"/>
      <c r="D120" s="148"/>
      <c r="E120" s="149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47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/>
      <c r="AQ120" s="153"/>
      <c r="AR120" s="153"/>
      <c r="AS120" s="153"/>
      <c r="AT120" s="153"/>
      <c r="AU120" s="153"/>
      <c r="AV120" s="153"/>
    </row>
    <row r="121" spans="1:48" ht="15.75" customHeight="1" x14ac:dyDescent="0.35">
      <c r="A121" s="146"/>
      <c r="B121" s="147"/>
      <c r="C121" s="148"/>
      <c r="D121" s="148"/>
      <c r="E121" s="149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47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</row>
    <row r="122" spans="1:48" ht="15.75" customHeight="1" x14ac:dyDescent="0.35">
      <c r="A122" s="146"/>
      <c r="B122" s="147"/>
      <c r="C122" s="148"/>
      <c r="D122" s="148"/>
      <c r="E122" s="149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47"/>
      <c r="AC122" s="153"/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  <c r="AU122" s="153"/>
      <c r="AV122" s="153"/>
    </row>
    <row r="123" spans="1:48" ht="15.75" customHeight="1" x14ac:dyDescent="0.35">
      <c r="A123" s="146"/>
      <c r="B123" s="147"/>
      <c r="C123" s="148"/>
      <c r="D123" s="148"/>
      <c r="E123" s="149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47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</row>
    <row r="124" spans="1:48" ht="15.75" customHeight="1" x14ac:dyDescent="0.35">
      <c r="A124" s="146"/>
      <c r="B124" s="147"/>
      <c r="C124" s="148"/>
      <c r="D124" s="148"/>
      <c r="E124" s="149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47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</row>
    <row r="125" spans="1:48" ht="15.75" customHeight="1" x14ac:dyDescent="0.35">
      <c r="A125" s="146"/>
      <c r="B125" s="147"/>
      <c r="C125" s="148"/>
      <c r="D125" s="148"/>
      <c r="E125" s="149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47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/>
      <c r="AT125" s="153"/>
      <c r="AU125" s="153"/>
      <c r="AV125" s="153"/>
    </row>
    <row r="126" spans="1:48" ht="15.75" customHeight="1" x14ac:dyDescent="0.35">
      <c r="A126" s="146"/>
      <c r="B126" s="147"/>
      <c r="C126" s="148"/>
      <c r="D126" s="148"/>
      <c r="E126" s="149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47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/>
      <c r="AV126" s="153"/>
    </row>
    <row r="127" spans="1:48" ht="15.75" customHeight="1" x14ac:dyDescent="0.35">
      <c r="A127" s="146"/>
      <c r="B127" s="147"/>
      <c r="C127" s="148"/>
      <c r="D127" s="148"/>
      <c r="E127" s="149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47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153"/>
    </row>
    <row r="128" spans="1:48" ht="15.75" customHeight="1" x14ac:dyDescent="0.35">
      <c r="A128" s="146"/>
      <c r="B128" s="147"/>
      <c r="C128" s="148"/>
      <c r="D128" s="148"/>
      <c r="E128" s="149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47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  <c r="AU128" s="153"/>
      <c r="AV128" s="153"/>
    </row>
    <row r="129" spans="1:48" ht="15.75" customHeight="1" x14ac:dyDescent="0.35">
      <c r="A129" s="146"/>
      <c r="B129" s="147"/>
      <c r="C129" s="148"/>
      <c r="D129" s="148"/>
      <c r="E129" s="149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47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</row>
    <row r="130" spans="1:48" ht="15.75" customHeight="1" x14ac:dyDescent="0.35">
      <c r="A130" s="146"/>
      <c r="B130" s="147"/>
      <c r="C130" s="148"/>
      <c r="D130" s="148"/>
      <c r="E130" s="149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47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153"/>
    </row>
    <row r="131" spans="1:48" ht="15.75" customHeight="1" x14ac:dyDescent="0.35">
      <c r="A131" s="146"/>
      <c r="B131" s="147"/>
      <c r="C131" s="148"/>
      <c r="D131" s="148"/>
      <c r="E131" s="149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47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/>
      <c r="AS131" s="153"/>
      <c r="AT131" s="153"/>
      <c r="AU131" s="153"/>
      <c r="AV131" s="153"/>
    </row>
    <row r="132" spans="1:48" ht="15.75" customHeight="1" x14ac:dyDescent="0.35">
      <c r="A132" s="146"/>
      <c r="B132" s="147"/>
      <c r="C132" s="148"/>
      <c r="D132" s="148"/>
      <c r="E132" s="149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47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/>
      <c r="AQ132" s="153"/>
      <c r="AR132" s="153"/>
      <c r="AS132" s="153"/>
      <c r="AT132" s="153"/>
      <c r="AU132" s="153"/>
      <c r="AV132" s="153"/>
    </row>
    <row r="133" spans="1:48" ht="15.75" customHeight="1" x14ac:dyDescent="0.35">
      <c r="A133" s="146"/>
      <c r="B133" s="147"/>
      <c r="C133" s="148"/>
      <c r="D133" s="148"/>
      <c r="E133" s="149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47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</row>
    <row r="134" spans="1:48" ht="15.75" customHeight="1" x14ac:dyDescent="0.35">
      <c r="A134" s="146"/>
      <c r="B134" s="147"/>
      <c r="C134" s="148"/>
      <c r="D134" s="148"/>
      <c r="E134" s="149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47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</row>
    <row r="135" spans="1:48" ht="15.75" customHeight="1" x14ac:dyDescent="0.35">
      <c r="A135" s="146"/>
      <c r="B135" s="147"/>
      <c r="C135" s="148"/>
      <c r="D135" s="148"/>
      <c r="E135" s="149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47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/>
      <c r="AV135" s="153"/>
    </row>
    <row r="136" spans="1:48" ht="15.75" customHeight="1" x14ac:dyDescent="0.35">
      <c r="A136" s="146"/>
      <c r="B136" s="147"/>
      <c r="C136" s="148"/>
      <c r="D136" s="148"/>
      <c r="E136" s="149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47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  <c r="AU136" s="153"/>
      <c r="AV136" s="153"/>
    </row>
    <row r="137" spans="1:48" ht="15.75" customHeight="1" x14ac:dyDescent="0.35">
      <c r="A137" s="146"/>
      <c r="B137" s="147"/>
      <c r="C137" s="148"/>
      <c r="D137" s="148"/>
      <c r="E137" s="149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47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  <c r="AU137" s="153"/>
      <c r="AV137" s="153"/>
    </row>
    <row r="138" spans="1:48" ht="15.75" customHeight="1" x14ac:dyDescent="0.35">
      <c r="A138" s="146"/>
      <c r="B138" s="147"/>
      <c r="C138" s="148"/>
      <c r="D138" s="148"/>
      <c r="E138" s="149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47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/>
      <c r="AV138" s="153"/>
    </row>
    <row r="139" spans="1:48" ht="15.75" customHeight="1" x14ac:dyDescent="0.35">
      <c r="A139" s="146"/>
      <c r="B139" s="147"/>
      <c r="C139" s="148"/>
      <c r="D139" s="148"/>
      <c r="E139" s="149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47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/>
      <c r="AV139" s="153"/>
    </row>
    <row r="140" spans="1:48" ht="15.75" customHeight="1" x14ac:dyDescent="0.35">
      <c r="A140" s="146"/>
      <c r="B140" s="147"/>
      <c r="C140" s="148"/>
      <c r="D140" s="148"/>
      <c r="E140" s="149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47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3"/>
      <c r="AS140" s="153"/>
      <c r="AT140" s="153"/>
      <c r="AU140" s="153"/>
      <c r="AV140" s="153"/>
    </row>
    <row r="141" spans="1:48" ht="15.75" customHeight="1" x14ac:dyDescent="0.35">
      <c r="A141" s="146"/>
      <c r="B141" s="147"/>
      <c r="C141" s="148"/>
      <c r="D141" s="148"/>
      <c r="E141" s="149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47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/>
      <c r="AQ141" s="153"/>
      <c r="AR141" s="153"/>
      <c r="AS141" s="153"/>
      <c r="AT141" s="153"/>
      <c r="AU141" s="153"/>
      <c r="AV141" s="153"/>
    </row>
    <row r="142" spans="1:48" ht="15.75" customHeight="1" x14ac:dyDescent="0.35">
      <c r="A142" s="146"/>
      <c r="B142" s="147"/>
      <c r="C142" s="148"/>
      <c r="D142" s="148"/>
      <c r="E142" s="149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47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  <c r="AU142" s="153"/>
      <c r="AV142" s="153"/>
    </row>
    <row r="143" spans="1:48" ht="15.75" customHeight="1" x14ac:dyDescent="0.35">
      <c r="A143" s="146"/>
      <c r="B143" s="147"/>
      <c r="C143" s="148"/>
      <c r="D143" s="148"/>
      <c r="E143" s="149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47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  <c r="AU143" s="153"/>
      <c r="AV143" s="153"/>
    </row>
    <row r="144" spans="1:48" ht="15.75" customHeight="1" x14ac:dyDescent="0.35">
      <c r="A144" s="146"/>
      <c r="B144" s="147"/>
      <c r="C144" s="148"/>
      <c r="D144" s="148"/>
      <c r="E144" s="149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47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</row>
    <row r="145" spans="1:48" ht="15.75" customHeight="1" x14ac:dyDescent="0.35">
      <c r="A145" s="146"/>
      <c r="B145" s="147"/>
      <c r="C145" s="148"/>
      <c r="D145" s="148"/>
      <c r="E145" s="149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47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/>
      <c r="AQ145" s="153"/>
      <c r="AR145" s="153"/>
      <c r="AS145" s="153"/>
      <c r="AT145" s="153"/>
      <c r="AU145" s="153"/>
      <c r="AV145" s="153"/>
    </row>
    <row r="146" spans="1:48" ht="15.75" customHeight="1" x14ac:dyDescent="0.35">
      <c r="A146" s="146"/>
      <c r="B146" s="147"/>
      <c r="C146" s="148"/>
      <c r="D146" s="148"/>
      <c r="E146" s="149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47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</row>
    <row r="147" spans="1:48" ht="15.75" customHeight="1" x14ac:dyDescent="0.35">
      <c r="A147" s="146"/>
      <c r="B147" s="147"/>
      <c r="C147" s="148"/>
      <c r="D147" s="148"/>
      <c r="E147" s="149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47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</row>
    <row r="148" spans="1:48" ht="15.75" customHeight="1" x14ac:dyDescent="0.35">
      <c r="A148" s="146"/>
      <c r="B148" s="147"/>
      <c r="C148" s="148"/>
      <c r="D148" s="148"/>
      <c r="E148" s="149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47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  <c r="AV148" s="153"/>
    </row>
    <row r="149" spans="1:48" ht="15.75" customHeight="1" x14ac:dyDescent="0.35">
      <c r="A149" s="146"/>
      <c r="B149" s="147"/>
      <c r="C149" s="148"/>
      <c r="D149" s="148"/>
      <c r="E149" s="149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47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  <c r="AV149" s="153"/>
    </row>
    <row r="150" spans="1:48" ht="15.75" customHeight="1" x14ac:dyDescent="0.35">
      <c r="A150" s="146"/>
      <c r="B150" s="147"/>
      <c r="C150" s="148"/>
      <c r="D150" s="148"/>
      <c r="E150" s="149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47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</row>
    <row r="151" spans="1:48" ht="15.75" customHeight="1" x14ac:dyDescent="0.35">
      <c r="A151" s="146"/>
      <c r="B151" s="147"/>
      <c r="C151" s="148"/>
      <c r="D151" s="148"/>
      <c r="E151" s="149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47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</row>
    <row r="152" spans="1:48" ht="15.75" customHeight="1" x14ac:dyDescent="0.35">
      <c r="A152" s="146"/>
      <c r="B152" s="147"/>
      <c r="C152" s="148"/>
      <c r="D152" s="148"/>
      <c r="E152" s="149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47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  <c r="AV152" s="153"/>
    </row>
    <row r="153" spans="1:48" ht="15.75" customHeight="1" x14ac:dyDescent="0.35">
      <c r="A153" s="146"/>
      <c r="B153" s="147"/>
      <c r="C153" s="148"/>
      <c r="D153" s="148"/>
      <c r="E153" s="149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47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</row>
    <row r="154" spans="1:48" ht="15.75" customHeight="1" x14ac:dyDescent="0.35">
      <c r="A154" s="146"/>
      <c r="B154" s="147"/>
      <c r="C154" s="148"/>
      <c r="D154" s="148"/>
      <c r="E154" s="149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47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153"/>
      <c r="AS154" s="153"/>
      <c r="AT154" s="153"/>
      <c r="AU154" s="153"/>
      <c r="AV154" s="153"/>
    </row>
    <row r="155" spans="1:48" ht="15.75" customHeight="1" x14ac:dyDescent="0.35">
      <c r="A155" s="146"/>
      <c r="B155" s="147"/>
      <c r="C155" s="148"/>
      <c r="D155" s="148"/>
      <c r="E155" s="149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47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</row>
    <row r="156" spans="1:48" ht="15.75" customHeight="1" x14ac:dyDescent="0.35">
      <c r="A156" s="146"/>
      <c r="B156" s="147"/>
      <c r="C156" s="148"/>
      <c r="D156" s="148"/>
      <c r="E156" s="149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47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</row>
    <row r="157" spans="1:48" ht="15.75" customHeight="1" x14ac:dyDescent="0.35">
      <c r="A157" s="146"/>
      <c r="B157" s="147"/>
      <c r="C157" s="148"/>
      <c r="D157" s="148"/>
      <c r="E157" s="149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47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/>
      <c r="AR157" s="153"/>
      <c r="AS157" s="153"/>
      <c r="AT157" s="153"/>
      <c r="AU157" s="153"/>
      <c r="AV157" s="153"/>
    </row>
    <row r="158" spans="1:48" ht="15.75" customHeight="1" x14ac:dyDescent="0.35">
      <c r="A158" s="146"/>
      <c r="B158" s="147"/>
      <c r="C158" s="148"/>
      <c r="D158" s="148"/>
      <c r="E158" s="149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47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  <c r="AV158" s="153"/>
    </row>
    <row r="159" spans="1:48" ht="15.75" customHeight="1" x14ac:dyDescent="0.35">
      <c r="A159" s="146"/>
      <c r="B159" s="147"/>
      <c r="C159" s="148"/>
      <c r="D159" s="148"/>
      <c r="E159" s="149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47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</row>
    <row r="160" spans="1:48" ht="15.75" customHeight="1" x14ac:dyDescent="0.35">
      <c r="A160" s="146"/>
      <c r="B160" s="147"/>
      <c r="C160" s="148"/>
      <c r="D160" s="148"/>
      <c r="E160" s="149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47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</row>
    <row r="161" spans="1:48" ht="15.75" customHeight="1" x14ac:dyDescent="0.35">
      <c r="A161" s="146"/>
      <c r="B161" s="147"/>
      <c r="C161" s="148"/>
      <c r="D161" s="148"/>
      <c r="E161" s="149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47"/>
      <c r="AC161" s="153"/>
      <c r="AD161" s="153"/>
      <c r="AE161" s="153"/>
      <c r="AF161" s="153"/>
      <c r="AG161" s="153"/>
      <c r="AH161" s="153"/>
      <c r="AI161" s="153"/>
      <c r="AJ161" s="153"/>
      <c r="AK161" s="153"/>
      <c r="AL161" s="153"/>
      <c r="AM161" s="153"/>
      <c r="AN161" s="153"/>
      <c r="AO161" s="153"/>
      <c r="AP161" s="153"/>
      <c r="AQ161" s="153"/>
      <c r="AR161" s="153"/>
      <c r="AS161" s="153"/>
      <c r="AT161" s="153"/>
      <c r="AU161" s="153"/>
      <c r="AV161" s="153"/>
    </row>
    <row r="162" spans="1:48" ht="15.75" customHeight="1" x14ac:dyDescent="0.35">
      <c r="A162" s="146"/>
      <c r="B162" s="147"/>
      <c r="C162" s="148"/>
      <c r="D162" s="148"/>
      <c r="E162" s="149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47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/>
      <c r="AR162" s="153"/>
      <c r="AS162" s="153"/>
      <c r="AT162" s="153"/>
      <c r="AU162" s="153"/>
      <c r="AV162" s="153"/>
    </row>
    <row r="163" spans="1:48" ht="15.75" customHeight="1" x14ac:dyDescent="0.35">
      <c r="A163" s="146"/>
      <c r="B163" s="147"/>
      <c r="C163" s="148"/>
      <c r="D163" s="148"/>
      <c r="E163" s="149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47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  <c r="AV163" s="153"/>
    </row>
    <row r="164" spans="1:48" ht="15.75" customHeight="1" x14ac:dyDescent="0.35">
      <c r="A164" s="146"/>
      <c r="B164" s="147"/>
      <c r="C164" s="148"/>
      <c r="D164" s="148"/>
      <c r="E164" s="149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47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/>
      <c r="AR164" s="153"/>
      <c r="AS164" s="153"/>
      <c r="AT164" s="153"/>
      <c r="AU164" s="153"/>
      <c r="AV164" s="153"/>
    </row>
    <row r="165" spans="1:48" ht="15.75" customHeight="1" x14ac:dyDescent="0.35">
      <c r="A165" s="146"/>
      <c r="B165" s="147"/>
      <c r="C165" s="148"/>
      <c r="D165" s="148"/>
      <c r="E165" s="149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47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</row>
    <row r="166" spans="1:48" ht="15.75" customHeight="1" x14ac:dyDescent="0.35">
      <c r="A166" s="146"/>
      <c r="B166" s="147"/>
      <c r="C166" s="148"/>
      <c r="D166" s="148"/>
      <c r="E166" s="149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47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/>
      <c r="AS166" s="153"/>
      <c r="AT166" s="153"/>
      <c r="AU166" s="153"/>
      <c r="AV166" s="153"/>
    </row>
    <row r="167" spans="1:48" ht="15.75" customHeight="1" x14ac:dyDescent="0.35">
      <c r="A167" s="146"/>
      <c r="B167" s="147"/>
      <c r="C167" s="148"/>
      <c r="D167" s="148"/>
      <c r="E167" s="149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47"/>
      <c r="AC167" s="153"/>
      <c r="AD167" s="153"/>
      <c r="AE167" s="153"/>
      <c r="AF167" s="153"/>
      <c r="AG167" s="153"/>
      <c r="AH167" s="153"/>
      <c r="AI167" s="153"/>
      <c r="AJ167" s="153"/>
      <c r="AK167" s="153"/>
      <c r="AL167" s="153"/>
      <c r="AM167" s="153"/>
      <c r="AN167" s="153"/>
      <c r="AO167" s="153"/>
      <c r="AP167" s="153"/>
      <c r="AQ167" s="153"/>
      <c r="AR167" s="153"/>
      <c r="AS167" s="153"/>
      <c r="AT167" s="153"/>
      <c r="AU167" s="153"/>
      <c r="AV167" s="153"/>
    </row>
    <row r="168" spans="1:48" ht="15.75" customHeight="1" x14ac:dyDescent="0.35">
      <c r="A168" s="146"/>
      <c r="B168" s="147"/>
      <c r="C168" s="148"/>
      <c r="D168" s="148"/>
      <c r="E168" s="149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47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/>
      <c r="AS168" s="153"/>
      <c r="AT168" s="153"/>
      <c r="AU168" s="153"/>
      <c r="AV168" s="153"/>
    </row>
    <row r="169" spans="1:48" ht="15.75" customHeight="1" x14ac:dyDescent="0.35">
      <c r="A169" s="146"/>
      <c r="B169" s="147"/>
      <c r="C169" s="148"/>
      <c r="D169" s="148"/>
      <c r="E169" s="149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47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  <c r="AU169" s="153"/>
      <c r="AV169" s="153"/>
    </row>
    <row r="170" spans="1:48" ht="15.75" customHeight="1" x14ac:dyDescent="0.35">
      <c r="A170" s="146"/>
      <c r="B170" s="147"/>
      <c r="C170" s="148"/>
      <c r="D170" s="148"/>
      <c r="E170" s="149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47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  <c r="AV170" s="153"/>
    </row>
    <row r="171" spans="1:48" ht="15.75" customHeight="1" x14ac:dyDescent="0.35">
      <c r="A171" s="146"/>
      <c r="B171" s="147"/>
      <c r="C171" s="148"/>
      <c r="D171" s="148"/>
      <c r="E171" s="149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47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/>
      <c r="AO171" s="153"/>
      <c r="AP171" s="153"/>
      <c r="AQ171" s="153"/>
      <c r="AR171" s="153"/>
      <c r="AS171" s="153"/>
      <c r="AT171" s="153"/>
      <c r="AU171" s="153"/>
      <c r="AV171" s="153"/>
    </row>
    <row r="172" spans="1:48" ht="15.75" customHeight="1" x14ac:dyDescent="0.35">
      <c r="A172" s="146"/>
      <c r="B172" s="147"/>
      <c r="C172" s="148"/>
      <c r="D172" s="148"/>
      <c r="E172" s="149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47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</row>
    <row r="173" spans="1:48" ht="15.75" customHeight="1" x14ac:dyDescent="0.35">
      <c r="A173" s="146"/>
      <c r="B173" s="147"/>
      <c r="C173" s="148"/>
      <c r="D173" s="148"/>
      <c r="E173" s="149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47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  <c r="AU173" s="153"/>
      <c r="AV173" s="153"/>
    </row>
    <row r="174" spans="1:48" ht="15.75" customHeight="1" x14ac:dyDescent="0.35">
      <c r="A174" s="146"/>
      <c r="B174" s="147"/>
      <c r="C174" s="148"/>
      <c r="D174" s="148"/>
      <c r="E174" s="149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47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3"/>
      <c r="AV174" s="153"/>
    </row>
    <row r="175" spans="1:48" ht="15.75" customHeight="1" x14ac:dyDescent="0.35">
      <c r="A175" s="146"/>
      <c r="B175" s="147"/>
      <c r="C175" s="148"/>
      <c r="D175" s="148"/>
      <c r="E175" s="149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47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3"/>
      <c r="AV175" s="153"/>
    </row>
    <row r="176" spans="1:48" ht="15.75" customHeight="1" x14ac:dyDescent="0.35">
      <c r="A176" s="146"/>
      <c r="B176" s="147"/>
      <c r="C176" s="148"/>
      <c r="D176" s="148"/>
      <c r="E176" s="149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47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  <c r="AU176" s="153"/>
      <c r="AV176" s="153"/>
    </row>
    <row r="177" spans="1:48" ht="15.75" customHeight="1" x14ac:dyDescent="0.35">
      <c r="A177" s="146"/>
      <c r="B177" s="147"/>
      <c r="C177" s="148"/>
      <c r="D177" s="148"/>
      <c r="E177" s="149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47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  <c r="AU177" s="153"/>
      <c r="AV177" s="153"/>
    </row>
    <row r="178" spans="1:48" ht="15.75" customHeight="1" x14ac:dyDescent="0.35">
      <c r="A178" s="146"/>
      <c r="B178" s="147"/>
      <c r="C178" s="148"/>
      <c r="D178" s="148"/>
      <c r="E178" s="149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47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3"/>
      <c r="AV178" s="153"/>
    </row>
    <row r="179" spans="1:48" ht="15.75" customHeight="1" x14ac:dyDescent="0.35">
      <c r="A179" s="146"/>
      <c r="B179" s="147"/>
      <c r="C179" s="148"/>
      <c r="D179" s="148"/>
      <c r="E179" s="149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47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  <c r="AU179" s="153"/>
      <c r="AV179" s="153"/>
    </row>
    <row r="180" spans="1:48" ht="15.75" customHeight="1" x14ac:dyDescent="0.35">
      <c r="A180" s="146"/>
      <c r="B180" s="147"/>
      <c r="C180" s="148"/>
      <c r="D180" s="148"/>
      <c r="E180" s="149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47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53"/>
      <c r="AS180" s="153"/>
      <c r="AT180" s="153"/>
      <c r="AU180" s="153"/>
      <c r="AV180" s="153"/>
    </row>
    <row r="181" spans="1:48" ht="15.75" customHeight="1" x14ac:dyDescent="0.35">
      <c r="A181" s="146"/>
      <c r="B181" s="147"/>
      <c r="C181" s="148"/>
      <c r="D181" s="148"/>
      <c r="E181" s="149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47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  <c r="AV181" s="153"/>
    </row>
    <row r="182" spans="1:48" ht="15.75" customHeight="1" x14ac:dyDescent="0.35">
      <c r="A182" s="146"/>
      <c r="B182" s="147"/>
      <c r="C182" s="148"/>
      <c r="D182" s="148"/>
      <c r="E182" s="149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47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/>
      <c r="AS182" s="153"/>
      <c r="AT182" s="153"/>
      <c r="AU182" s="153"/>
      <c r="AV182" s="153"/>
    </row>
    <row r="183" spans="1:48" ht="15.75" customHeight="1" x14ac:dyDescent="0.35">
      <c r="A183" s="126"/>
      <c r="B183" s="28"/>
      <c r="C183" s="127"/>
      <c r="D183" s="127"/>
      <c r="E183" s="128"/>
      <c r="F183" s="108"/>
      <c r="G183" s="108"/>
      <c r="M183" s="108"/>
      <c r="N183" s="108"/>
      <c r="O183" s="108"/>
      <c r="P183" s="108"/>
      <c r="Q183" s="108"/>
      <c r="AB183" s="28"/>
    </row>
    <row r="184" spans="1:48" ht="15.75" customHeight="1" x14ac:dyDescent="0.35">
      <c r="A184" s="126"/>
      <c r="B184" s="28"/>
      <c r="C184" s="127"/>
      <c r="D184" s="127"/>
      <c r="E184" s="128"/>
      <c r="F184" s="108"/>
      <c r="G184" s="108"/>
      <c r="M184" s="108"/>
      <c r="N184" s="108"/>
      <c r="O184" s="108"/>
      <c r="P184" s="108"/>
      <c r="Q184" s="108"/>
      <c r="AB184" s="28"/>
    </row>
    <row r="185" spans="1:48" ht="15.75" customHeight="1" x14ac:dyDescent="0.35">
      <c r="A185" s="126"/>
      <c r="B185" s="28"/>
      <c r="C185" s="127"/>
      <c r="D185" s="127"/>
      <c r="E185" s="128"/>
      <c r="F185" s="108"/>
      <c r="G185" s="108"/>
      <c r="M185" s="108"/>
      <c r="N185" s="108"/>
      <c r="O185" s="108"/>
      <c r="P185" s="108"/>
      <c r="Q185" s="108"/>
      <c r="AB185" s="28"/>
    </row>
    <row r="186" spans="1:48" ht="15.75" customHeight="1" x14ac:dyDescent="0.35">
      <c r="A186" s="126"/>
      <c r="B186" s="28"/>
      <c r="C186" s="127"/>
      <c r="D186" s="127"/>
      <c r="E186" s="128"/>
      <c r="F186" s="108"/>
      <c r="G186" s="108"/>
      <c r="M186" s="108"/>
      <c r="N186" s="108"/>
      <c r="O186" s="108"/>
      <c r="P186" s="108"/>
      <c r="Q186" s="108"/>
      <c r="AB186" s="28"/>
    </row>
    <row r="187" spans="1:48" ht="15.75" customHeight="1" x14ac:dyDescent="0.35">
      <c r="A187" s="126"/>
      <c r="B187" s="28"/>
      <c r="C187" s="127"/>
      <c r="D187" s="127"/>
      <c r="E187" s="128"/>
      <c r="F187" s="108"/>
      <c r="G187" s="108"/>
      <c r="M187" s="108"/>
      <c r="N187" s="108"/>
      <c r="O187" s="108"/>
      <c r="P187" s="108"/>
      <c r="Q187" s="108"/>
      <c r="AB187" s="28"/>
    </row>
    <row r="188" spans="1:48" ht="15.75" customHeight="1" x14ac:dyDescent="0.35">
      <c r="A188" s="126"/>
      <c r="B188" s="28"/>
      <c r="C188" s="127"/>
      <c r="D188" s="127"/>
      <c r="E188" s="128"/>
      <c r="F188" s="108"/>
      <c r="G188" s="108"/>
      <c r="M188" s="108"/>
      <c r="N188" s="108"/>
      <c r="O188" s="108"/>
      <c r="P188" s="108"/>
      <c r="Q188" s="108"/>
      <c r="AB188" s="28"/>
    </row>
    <row r="189" spans="1:48" ht="15.75" customHeight="1" x14ac:dyDescent="0.35">
      <c r="A189" s="126"/>
      <c r="B189" s="28"/>
      <c r="C189" s="127"/>
      <c r="D189" s="127"/>
      <c r="E189" s="128"/>
      <c r="F189" s="108"/>
      <c r="G189" s="108"/>
      <c r="M189" s="108"/>
      <c r="N189" s="108"/>
      <c r="O189" s="108"/>
      <c r="P189" s="108"/>
      <c r="Q189" s="108"/>
      <c r="AB189" s="28"/>
    </row>
    <row r="190" spans="1:48" ht="15.75" customHeight="1" x14ac:dyDescent="0.35">
      <c r="A190" s="126"/>
      <c r="B190" s="28"/>
      <c r="C190" s="127"/>
      <c r="D190" s="127"/>
      <c r="E190" s="128"/>
      <c r="F190" s="108"/>
      <c r="G190" s="108"/>
      <c r="M190" s="108"/>
      <c r="N190" s="108"/>
      <c r="O190" s="108"/>
      <c r="P190" s="108"/>
      <c r="Q190" s="108"/>
      <c r="AB190" s="28"/>
    </row>
    <row r="191" spans="1:48" ht="15.75" customHeight="1" x14ac:dyDescent="0.35">
      <c r="A191" s="126"/>
      <c r="B191" s="28"/>
      <c r="C191" s="127"/>
      <c r="D191" s="127"/>
      <c r="E191" s="128"/>
      <c r="F191" s="108"/>
      <c r="G191" s="108"/>
      <c r="M191" s="108"/>
      <c r="N191" s="108"/>
      <c r="O191" s="108"/>
      <c r="P191" s="108"/>
      <c r="Q191" s="108"/>
      <c r="AB191" s="28"/>
    </row>
    <row r="192" spans="1:48" ht="15.75" customHeight="1" x14ac:dyDescent="0.35">
      <c r="A192" s="126"/>
      <c r="B192" s="28"/>
      <c r="C192" s="127"/>
      <c r="D192" s="127"/>
      <c r="E192" s="128"/>
      <c r="F192" s="108"/>
      <c r="G192" s="108"/>
      <c r="M192" s="108"/>
      <c r="N192" s="108"/>
      <c r="O192" s="108"/>
      <c r="P192" s="108"/>
      <c r="Q192" s="108"/>
      <c r="AB192" s="28"/>
    </row>
    <row r="193" spans="1:28" ht="15.75" customHeight="1" x14ac:dyDescent="0.35">
      <c r="A193" s="126"/>
      <c r="B193" s="28"/>
      <c r="C193" s="127"/>
      <c r="D193" s="127"/>
      <c r="E193" s="128"/>
      <c r="F193" s="108"/>
      <c r="G193" s="108"/>
      <c r="M193" s="108"/>
      <c r="N193" s="108"/>
      <c r="O193" s="108"/>
      <c r="P193" s="108"/>
      <c r="Q193" s="108"/>
      <c r="AB193" s="28"/>
    </row>
    <row r="194" spans="1:28" ht="15.75" customHeight="1" x14ac:dyDescent="0.35">
      <c r="A194" s="126"/>
      <c r="B194" s="28"/>
      <c r="C194" s="127"/>
      <c r="D194" s="127"/>
      <c r="E194" s="128"/>
      <c r="F194" s="108"/>
      <c r="G194" s="108"/>
      <c r="M194" s="108"/>
      <c r="N194" s="108"/>
      <c r="O194" s="108"/>
      <c r="P194" s="108"/>
      <c r="Q194" s="108"/>
      <c r="AB194" s="28"/>
    </row>
    <row r="195" spans="1:28" ht="15.75" customHeight="1" x14ac:dyDescent="0.35">
      <c r="A195" s="126"/>
      <c r="B195" s="28"/>
      <c r="C195" s="127"/>
      <c r="D195" s="127"/>
      <c r="E195" s="128"/>
      <c r="F195" s="108"/>
      <c r="G195" s="108"/>
      <c r="M195" s="108"/>
      <c r="N195" s="108"/>
      <c r="O195" s="108"/>
      <c r="P195" s="108"/>
      <c r="Q195" s="108"/>
      <c r="AB195" s="28"/>
    </row>
    <row r="196" spans="1:28" ht="15.75" customHeight="1" x14ac:dyDescent="0.35">
      <c r="A196" s="126"/>
      <c r="B196" s="28"/>
      <c r="C196" s="127"/>
      <c r="D196" s="127"/>
      <c r="E196" s="128"/>
      <c r="F196" s="108"/>
      <c r="G196" s="108"/>
      <c r="M196" s="108"/>
      <c r="N196" s="108"/>
      <c r="O196" s="108"/>
      <c r="P196" s="108"/>
      <c r="Q196" s="108"/>
      <c r="AB196" s="28"/>
    </row>
    <row r="197" spans="1:28" ht="15.75" customHeight="1" x14ac:dyDescent="0.35">
      <c r="A197" s="126"/>
      <c r="B197" s="28"/>
      <c r="C197" s="127"/>
      <c r="D197" s="127"/>
      <c r="E197" s="128"/>
      <c r="F197" s="108"/>
      <c r="G197" s="108"/>
      <c r="M197" s="108"/>
      <c r="N197" s="108"/>
      <c r="O197" s="108"/>
      <c r="P197" s="108"/>
      <c r="Q197" s="108"/>
      <c r="AB197" s="28"/>
    </row>
    <row r="198" spans="1:28" ht="15.75" customHeight="1" x14ac:dyDescent="0.35">
      <c r="A198" s="126"/>
      <c r="B198" s="28"/>
      <c r="C198" s="127"/>
      <c r="D198" s="127"/>
      <c r="E198" s="128"/>
      <c r="F198" s="108"/>
      <c r="G198" s="108"/>
      <c r="M198" s="108"/>
      <c r="N198" s="108"/>
      <c r="O198" s="108"/>
      <c r="P198" s="108"/>
      <c r="Q198" s="108"/>
      <c r="AB198" s="28"/>
    </row>
    <row r="199" spans="1:28" ht="15.75" customHeight="1" x14ac:dyDescent="0.35">
      <c r="A199" s="126"/>
      <c r="B199" s="28"/>
      <c r="C199" s="127"/>
      <c r="D199" s="127"/>
      <c r="E199" s="128"/>
      <c r="F199" s="108"/>
      <c r="G199" s="108"/>
      <c r="M199" s="108"/>
      <c r="N199" s="108"/>
      <c r="O199" s="108"/>
      <c r="P199" s="108"/>
      <c r="Q199" s="108"/>
      <c r="AB199" s="28"/>
    </row>
    <row r="200" spans="1:28" ht="15.75" customHeight="1" x14ac:dyDescent="0.35">
      <c r="A200" s="126"/>
      <c r="B200" s="28"/>
      <c r="C200" s="127"/>
      <c r="D200" s="127"/>
      <c r="E200" s="128"/>
      <c r="F200" s="108"/>
      <c r="G200" s="108"/>
      <c r="M200" s="108"/>
      <c r="N200" s="108"/>
      <c r="O200" s="108"/>
      <c r="P200" s="108"/>
      <c r="Q200" s="108"/>
      <c r="AB200" s="28"/>
    </row>
    <row r="201" spans="1:28" ht="15.75" customHeight="1" x14ac:dyDescent="0.35">
      <c r="A201" s="126"/>
      <c r="B201" s="28"/>
      <c r="C201" s="127"/>
      <c r="D201" s="127"/>
      <c r="E201" s="128"/>
      <c r="F201" s="108"/>
      <c r="G201" s="108"/>
      <c r="M201" s="108"/>
      <c r="N201" s="108"/>
      <c r="O201" s="108"/>
      <c r="P201" s="108"/>
      <c r="Q201" s="108"/>
      <c r="AB201" s="28"/>
    </row>
    <row r="202" spans="1:28" ht="15.75" customHeight="1" x14ac:dyDescent="0.35">
      <c r="A202" s="126"/>
      <c r="B202" s="28"/>
      <c r="C202" s="127"/>
      <c r="D202" s="127"/>
      <c r="E202" s="128"/>
      <c r="F202" s="108"/>
      <c r="G202" s="108"/>
      <c r="M202" s="108"/>
      <c r="N202" s="108"/>
      <c r="O202" s="108"/>
      <c r="P202" s="108"/>
      <c r="Q202" s="108"/>
      <c r="AB202" s="28"/>
    </row>
    <row r="203" spans="1:28" ht="15.75" customHeight="1" x14ac:dyDescent="0.35">
      <c r="A203" s="126"/>
      <c r="B203" s="28"/>
      <c r="C203" s="127"/>
      <c r="D203" s="127"/>
      <c r="E203" s="128"/>
      <c r="F203" s="108"/>
      <c r="G203" s="108"/>
      <c r="M203" s="108"/>
      <c r="N203" s="108"/>
      <c r="O203" s="108"/>
      <c r="P203" s="108"/>
      <c r="Q203" s="108"/>
      <c r="AB203" s="28"/>
    </row>
    <row r="204" spans="1:28" ht="15.75" customHeight="1" x14ac:dyDescent="0.35">
      <c r="A204" s="126"/>
      <c r="B204" s="28"/>
      <c r="C204" s="127"/>
      <c r="D204" s="127"/>
      <c r="E204" s="128"/>
      <c r="F204" s="108"/>
      <c r="G204" s="108"/>
      <c r="M204" s="108"/>
      <c r="N204" s="108"/>
      <c r="O204" s="108"/>
      <c r="P204" s="108"/>
      <c r="Q204" s="108"/>
      <c r="AB204" s="28"/>
    </row>
    <row r="205" spans="1:28" ht="15.75" customHeight="1" x14ac:dyDescent="0.35">
      <c r="A205" s="126"/>
      <c r="B205" s="28"/>
      <c r="C205" s="127"/>
      <c r="D205" s="127"/>
      <c r="E205" s="128"/>
      <c r="F205" s="108"/>
      <c r="G205" s="108"/>
      <c r="M205" s="108"/>
      <c r="N205" s="108"/>
      <c r="O205" s="108"/>
      <c r="P205" s="108"/>
      <c r="Q205" s="108"/>
      <c r="AB205" s="28"/>
    </row>
    <row r="206" spans="1:28" ht="15.75" customHeight="1" x14ac:dyDescent="0.35">
      <c r="A206" s="126"/>
      <c r="B206" s="28"/>
      <c r="C206" s="127"/>
      <c r="D206" s="127"/>
      <c r="E206" s="128"/>
      <c r="F206" s="108"/>
      <c r="G206" s="108"/>
      <c r="M206" s="108"/>
      <c r="N206" s="108"/>
      <c r="O206" s="108"/>
      <c r="P206" s="108"/>
      <c r="Q206" s="108"/>
      <c r="AB206" s="28"/>
    </row>
    <row r="207" spans="1:28" ht="15.75" customHeight="1" x14ac:dyDescent="0.35">
      <c r="A207" s="126"/>
      <c r="B207" s="28"/>
      <c r="C207" s="127"/>
      <c r="D207" s="127"/>
      <c r="E207" s="128"/>
      <c r="F207" s="108"/>
      <c r="G207" s="108"/>
      <c r="M207" s="108"/>
      <c r="N207" s="108"/>
      <c r="O207" s="108"/>
      <c r="P207" s="108"/>
      <c r="Q207" s="108"/>
      <c r="AB207" s="28"/>
    </row>
    <row r="208" spans="1:28" ht="15.75" customHeight="1" x14ac:dyDescent="0.35">
      <c r="A208" s="126"/>
      <c r="B208" s="28"/>
      <c r="C208" s="127"/>
      <c r="D208" s="127"/>
      <c r="E208" s="128"/>
      <c r="F208" s="108"/>
      <c r="G208" s="108"/>
      <c r="M208" s="108"/>
      <c r="N208" s="108"/>
      <c r="O208" s="108"/>
      <c r="P208" s="108"/>
      <c r="Q208" s="108"/>
      <c r="AB208" s="28"/>
    </row>
    <row r="209" spans="1:28" ht="15.75" customHeight="1" x14ac:dyDescent="0.35">
      <c r="A209" s="126"/>
      <c r="B209" s="28"/>
      <c r="C209" s="127"/>
      <c r="D209" s="127"/>
      <c r="E209" s="128"/>
      <c r="F209" s="108"/>
      <c r="G209" s="108"/>
      <c r="M209" s="108"/>
      <c r="N209" s="108"/>
      <c r="O209" s="108"/>
      <c r="P209" s="108"/>
      <c r="Q209" s="108"/>
      <c r="AB209" s="28"/>
    </row>
    <row r="210" spans="1:28" ht="15.75" customHeight="1" x14ac:dyDescent="0.35">
      <c r="A210" s="126"/>
      <c r="B210" s="28"/>
      <c r="C210" s="127"/>
      <c r="D210" s="127"/>
      <c r="E210" s="128"/>
      <c r="F210" s="108"/>
      <c r="G210" s="108"/>
      <c r="M210" s="108"/>
      <c r="N210" s="108"/>
      <c r="O210" s="108"/>
      <c r="P210" s="108"/>
      <c r="Q210" s="108"/>
      <c r="AB210" s="28"/>
    </row>
    <row r="211" spans="1:28" ht="15.75" customHeight="1" x14ac:dyDescent="0.35">
      <c r="A211" s="126"/>
      <c r="B211" s="28"/>
      <c r="C211" s="127"/>
      <c r="D211" s="127"/>
      <c r="E211" s="128"/>
      <c r="F211" s="108"/>
      <c r="G211" s="108"/>
      <c r="M211" s="108"/>
      <c r="N211" s="108"/>
      <c r="O211" s="108"/>
      <c r="P211" s="108"/>
      <c r="Q211" s="108"/>
      <c r="AB211" s="28"/>
    </row>
    <row r="212" spans="1:28" ht="15.75" customHeight="1" x14ac:dyDescent="0.35">
      <c r="A212" s="126"/>
      <c r="B212" s="28"/>
      <c r="C212" s="127"/>
      <c r="D212" s="127"/>
      <c r="E212" s="128"/>
      <c r="F212" s="108"/>
      <c r="G212" s="108"/>
      <c r="M212" s="108"/>
      <c r="N212" s="108"/>
      <c r="O212" s="108"/>
      <c r="P212" s="108"/>
      <c r="Q212" s="108"/>
      <c r="AB212" s="28"/>
    </row>
    <row r="213" spans="1:28" ht="15.75" customHeight="1" x14ac:dyDescent="0.35">
      <c r="A213" s="126"/>
      <c r="B213" s="28"/>
      <c r="C213" s="127"/>
      <c r="D213" s="127"/>
      <c r="E213" s="128"/>
      <c r="F213" s="108"/>
      <c r="G213" s="108"/>
      <c r="M213" s="108"/>
      <c r="N213" s="108"/>
      <c r="O213" s="108"/>
      <c r="P213" s="108"/>
      <c r="Q213" s="108"/>
      <c r="AB213" s="28"/>
    </row>
    <row r="214" spans="1:28" ht="15.75" customHeight="1" x14ac:dyDescent="0.35">
      <c r="A214" s="126"/>
      <c r="B214" s="28"/>
      <c r="C214" s="127"/>
      <c r="D214" s="127"/>
      <c r="E214" s="128"/>
      <c r="F214" s="108"/>
      <c r="G214" s="108"/>
      <c r="M214" s="108"/>
      <c r="N214" s="108"/>
      <c r="O214" s="108"/>
      <c r="P214" s="108"/>
      <c r="Q214" s="108"/>
      <c r="AB214" s="28"/>
    </row>
    <row r="215" spans="1:28" ht="15.75" customHeight="1" x14ac:dyDescent="0.35">
      <c r="A215" s="126"/>
      <c r="B215" s="28"/>
      <c r="C215" s="127"/>
      <c r="D215" s="127"/>
      <c r="E215" s="128"/>
      <c r="F215" s="108"/>
      <c r="G215" s="108"/>
      <c r="M215" s="108"/>
      <c r="N215" s="108"/>
      <c r="O215" s="108"/>
      <c r="P215" s="108"/>
      <c r="Q215" s="108"/>
      <c r="AB215" s="28"/>
    </row>
    <row r="216" spans="1:28" ht="15.75" customHeight="1" x14ac:dyDescent="0.35">
      <c r="A216" s="126"/>
      <c r="B216" s="28"/>
      <c r="C216" s="127"/>
      <c r="D216" s="127"/>
      <c r="E216" s="128"/>
      <c r="F216" s="108"/>
      <c r="G216" s="108"/>
      <c r="M216" s="108"/>
      <c r="N216" s="108"/>
      <c r="O216" s="108"/>
      <c r="P216" s="108"/>
      <c r="Q216" s="108"/>
      <c r="AB216" s="28"/>
    </row>
    <row r="217" spans="1:28" ht="15.75" customHeight="1" x14ac:dyDescent="0.35">
      <c r="A217" s="126"/>
      <c r="B217" s="28"/>
      <c r="C217" s="127"/>
      <c r="D217" s="127"/>
      <c r="E217" s="128"/>
      <c r="F217" s="108"/>
      <c r="G217" s="108"/>
      <c r="M217" s="108"/>
      <c r="N217" s="108"/>
      <c r="O217" s="108"/>
      <c r="P217" s="108"/>
      <c r="Q217" s="108"/>
      <c r="AB217" s="28"/>
    </row>
    <row r="218" spans="1:28" ht="15.75" customHeight="1" x14ac:dyDescent="0.35">
      <c r="A218" s="126"/>
      <c r="B218" s="28"/>
      <c r="C218" s="127"/>
      <c r="D218" s="127"/>
      <c r="E218" s="128"/>
      <c r="F218" s="108"/>
      <c r="G218" s="108"/>
      <c r="M218" s="108"/>
      <c r="N218" s="108"/>
      <c r="O218" s="108"/>
      <c r="P218" s="108"/>
      <c r="Q218" s="108"/>
      <c r="AB218" s="28"/>
    </row>
    <row r="219" spans="1:28" ht="15.75" customHeight="1" x14ac:dyDescent="0.35">
      <c r="A219" s="126"/>
      <c r="B219" s="28"/>
      <c r="C219" s="127"/>
      <c r="D219" s="127"/>
      <c r="E219" s="128"/>
      <c r="F219" s="108"/>
      <c r="G219" s="108"/>
      <c r="M219" s="108"/>
      <c r="N219" s="108"/>
      <c r="O219" s="108"/>
      <c r="P219" s="108"/>
      <c r="Q219" s="108"/>
      <c r="AB219" s="28"/>
    </row>
    <row r="220" spans="1:28" ht="15.75" customHeight="1" x14ac:dyDescent="0.35">
      <c r="A220" s="126"/>
      <c r="B220" s="28"/>
      <c r="C220" s="127"/>
      <c r="D220" s="127"/>
      <c r="E220" s="128"/>
      <c r="F220" s="108"/>
      <c r="G220" s="108"/>
      <c r="M220" s="108"/>
      <c r="N220" s="108"/>
      <c r="O220" s="108"/>
      <c r="P220" s="108"/>
      <c r="Q220" s="108"/>
      <c r="AB220" s="28"/>
    </row>
    <row r="221" spans="1:28" ht="15.75" customHeight="1" x14ac:dyDescent="0.35">
      <c r="A221" s="126"/>
      <c r="B221" s="28"/>
      <c r="C221" s="127"/>
      <c r="D221" s="127"/>
      <c r="E221" s="128"/>
      <c r="F221" s="108"/>
      <c r="G221" s="108"/>
      <c r="M221" s="108"/>
      <c r="N221" s="108"/>
      <c r="O221" s="108"/>
      <c r="P221" s="108"/>
      <c r="Q221" s="108"/>
      <c r="AB221" s="28"/>
    </row>
    <row r="222" spans="1:28" ht="15.75" customHeight="1" x14ac:dyDescent="0.35">
      <c r="A222" s="126"/>
      <c r="B222" s="28"/>
      <c r="C222" s="127"/>
      <c r="D222" s="127"/>
      <c r="E222" s="128"/>
      <c r="F222" s="108"/>
      <c r="G222" s="108"/>
      <c r="M222" s="108"/>
      <c r="N222" s="108"/>
      <c r="O222" s="108"/>
      <c r="P222" s="108"/>
      <c r="Q222" s="108"/>
      <c r="AB222" s="28"/>
    </row>
    <row r="223" spans="1:28" ht="15.75" customHeight="1" x14ac:dyDescent="0.35">
      <c r="A223" s="126"/>
      <c r="B223" s="28"/>
      <c r="C223" s="127"/>
      <c r="D223" s="127"/>
      <c r="E223" s="128"/>
      <c r="F223" s="108"/>
      <c r="G223" s="108"/>
      <c r="M223" s="108"/>
      <c r="N223" s="108"/>
      <c r="O223" s="108"/>
      <c r="P223" s="108"/>
      <c r="Q223" s="108"/>
      <c r="AB223" s="28"/>
    </row>
    <row r="224" spans="1:28" ht="15.75" customHeight="1" x14ac:dyDescent="0.35">
      <c r="A224" s="126"/>
      <c r="B224" s="28"/>
      <c r="C224" s="127"/>
      <c r="D224" s="127"/>
      <c r="E224" s="128"/>
      <c r="F224" s="108"/>
      <c r="G224" s="108"/>
      <c r="M224" s="108"/>
      <c r="N224" s="108"/>
      <c r="O224" s="108"/>
      <c r="P224" s="108"/>
      <c r="Q224" s="108"/>
      <c r="AB224" s="28"/>
    </row>
    <row r="225" spans="1:28" ht="15.75" customHeight="1" x14ac:dyDescent="0.35">
      <c r="A225" s="126"/>
      <c r="B225" s="28"/>
      <c r="C225" s="127"/>
      <c r="D225" s="127"/>
      <c r="E225" s="128"/>
      <c r="F225" s="108"/>
      <c r="G225" s="108"/>
      <c r="M225" s="108"/>
      <c r="N225" s="108"/>
      <c r="O225" s="108"/>
      <c r="P225" s="108"/>
      <c r="Q225" s="108"/>
      <c r="AB225" s="28"/>
    </row>
    <row r="226" spans="1:28" ht="15.75" customHeight="1" x14ac:dyDescent="0.35">
      <c r="A226" s="126"/>
      <c r="B226" s="28"/>
      <c r="C226" s="127"/>
      <c r="D226" s="127"/>
      <c r="E226" s="128"/>
      <c r="F226" s="108"/>
      <c r="G226" s="108"/>
      <c r="M226" s="108"/>
      <c r="N226" s="108"/>
      <c r="O226" s="108"/>
      <c r="P226" s="108"/>
      <c r="Q226" s="108"/>
      <c r="AB226" s="28"/>
    </row>
    <row r="227" spans="1:28" ht="15.75" customHeight="1" x14ac:dyDescent="0.35">
      <c r="A227" s="126"/>
      <c r="B227" s="28"/>
      <c r="C227" s="127"/>
      <c r="D227" s="127"/>
      <c r="E227" s="128"/>
      <c r="F227" s="108"/>
      <c r="G227" s="108"/>
      <c r="M227" s="108"/>
      <c r="N227" s="108"/>
      <c r="O227" s="108"/>
      <c r="P227" s="108"/>
      <c r="Q227" s="108"/>
      <c r="AB227" s="28"/>
    </row>
    <row r="228" spans="1:28" ht="15.75" customHeight="1" x14ac:dyDescent="0.35">
      <c r="A228" s="126"/>
      <c r="B228" s="28"/>
      <c r="C228" s="127"/>
      <c r="D228" s="127"/>
      <c r="E228" s="128"/>
      <c r="F228" s="108"/>
      <c r="G228" s="108"/>
      <c r="M228" s="108"/>
      <c r="N228" s="108"/>
      <c r="O228" s="108"/>
      <c r="P228" s="108"/>
      <c r="Q228" s="108"/>
      <c r="AB228" s="28"/>
    </row>
    <row r="229" spans="1:28" ht="15.75" customHeight="1" x14ac:dyDescent="0.35">
      <c r="A229" s="126"/>
      <c r="B229" s="28"/>
      <c r="C229" s="127"/>
      <c r="D229" s="127"/>
      <c r="E229" s="128"/>
      <c r="F229" s="108"/>
      <c r="G229" s="108"/>
      <c r="M229" s="108"/>
      <c r="N229" s="108"/>
      <c r="O229" s="108"/>
      <c r="P229" s="108"/>
      <c r="Q229" s="108"/>
      <c r="AB229" s="28"/>
    </row>
    <row r="230" spans="1:28" ht="15.75" customHeight="1" x14ac:dyDescent="0.35">
      <c r="A230" s="126"/>
      <c r="B230" s="28"/>
      <c r="C230" s="127"/>
      <c r="D230" s="127"/>
      <c r="E230" s="128"/>
      <c r="F230" s="108"/>
      <c r="G230" s="108"/>
      <c r="M230" s="108"/>
      <c r="N230" s="108"/>
      <c r="O230" s="108"/>
      <c r="P230" s="108"/>
      <c r="Q230" s="108"/>
      <c r="AB230" s="28"/>
    </row>
    <row r="231" spans="1:28" ht="15.75" customHeight="1" x14ac:dyDescent="0.35">
      <c r="A231" s="126"/>
      <c r="B231" s="28"/>
      <c r="C231" s="127"/>
      <c r="D231" s="127"/>
      <c r="E231" s="128"/>
      <c r="F231" s="108"/>
      <c r="G231" s="108"/>
      <c r="M231" s="108"/>
      <c r="N231" s="108"/>
      <c r="O231" s="108"/>
      <c r="P231" s="108"/>
      <c r="Q231" s="108"/>
      <c r="AB231" s="28"/>
    </row>
    <row r="232" spans="1:28" ht="15.75" customHeight="1" x14ac:dyDescent="0.35">
      <c r="A232" s="126"/>
      <c r="B232" s="28"/>
      <c r="C232" s="127"/>
      <c r="D232" s="127"/>
      <c r="E232" s="128"/>
      <c r="F232" s="108"/>
      <c r="G232" s="108"/>
      <c r="M232" s="108"/>
      <c r="N232" s="108"/>
      <c r="O232" s="108"/>
      <c r="P232" s="108"/>
      <c r="Q232" s="108"/>
      <c r="AB232" s="28"/>
    </row>
    <row r="233" spans="1:28" ht="15.75" customHeight="1" x14ac:dyDescent="0.35">
      <c r="A233" s="126"/>
      <c r="B233" s="28"/>
      <c r="C233" s="127"/>
      <c r="D233" s="127"/>
      <c r="E233" s="128"/>
      <c r="F233" s="108"/>
      <c r="G233" s="108"/>
      <c r="M233" s="108"/>
      <c r="N233" s="108"/>
      <c r="O233" s="108"/>
      <c r="P233" s="108"/>
      <c r="Q233" s="108"/>
      <c r="AB233" s="28"/>
    </row>
    <row r="234" spans="1:28" ht="15.75" customHeight="1" x14ac:dyDescent="0.35">
      <c r="A234" s="126"/>
      <c r="B234" s="28"/>
      <c r="C234" s="127"/>
      <c r="D234" s="127"/>
      <c r="E234" s="128"/>
      <c r="F234" s="108"/>
      <c r="G234" s="108"/>
      <c r="M234" s="108"/>
      <c r="N234" s="108"/>
      <c r="O234" s="108"/>
      <c r="P234" s="108"/>
      <c r="Q234" s="108"/>
      <c r="AB234" s="28"/>
    </row>
    <row r="235" spans="1:28" ht="15.75" customHeight="1" x14ac:dyDescent="0.35">
      <c r="A235" s="126"/>
      <c r="B235" s="28"/>
      <c r="C235" s="127"/>
      <c r="D235" s="127"/>
      <c r="E235" s="128"/>
      <c r="F235" s="108"/>
      <c r="G235" s="108"/>
      <c r="M235" s="108"/>
      <c r="N235" s="108"/>
      <c r="O235" s="108"/>
      <c r="P235" s="108"/>
      <c r="Q235" s="108"/>
      <c r="AB235" s="28"/>
    </row>
    <row r="236" spans="1:28" ht="15.75" customHeight="1" x14ac:dyDescent="0.35">
      <c r="A236" s="126"/>
      <c r="B236" s="28"/>
      <c r="C236" s="127"/>
      <c r="D236" s="127"/>
      <c r="E236" s="128"/>
      <c r="F236" s="108"/>
      <c r="G236" s="108"/>
      <c r="M236" s="108"/>
      <c r="N236" s="108"/>
      <c r="O236" s="108"/>
      <c r="P236" s="108"/>
      <c r="Q236" s="108"/>
      <c r="AB236" s="28"/>
    </row>
    <row r="237" spans="1:28" ht="15.75" customHeight="1" x14ac:dyDescent="0.35">
      <c r="A237" s="126"/>
      <c r="B237" s="28"/>
      <c r="C237" s="127"/>
      <c r="D237" s="127"/>
      <c r="E237" s="128"/>
      <c r="F237" s="108"/>
      <c r="G237" s="108"/>
      <c r="M237" s="108"/>
      <c r="N237" s="108"/>
      <c r="O237" s="108"/>
      <c r="P237" s="108"/>
      <c r="Q237" s="108"/>
      <c r="AB237" s="28"/>
    </row>
    <row r="238" spans="1:28" ht="15.75" customHeight="1" x14ac:dyDescent="0.35">
      <c r="A238" s="126"/>
      <c r="B238" s="28"/>
      <c r="C238" s="127"/>
      <c r="D238" s="127"/>
      <c r="E238" s="128"/>
      <c r="F238" s="108"/>
      <c r="G238" s="108"/>
      <c r="M238" s="108"/>
      <c r="N238" s="108"/>
      <c r="O238" s="108"/>
      <c r="P238" s="108"/>
      <c r="Q238" s="108"/>
      <c r="AB238" s="28"/>
    </row>
    <row r="239" spans="1:28" ht="15.75" customHeight="1" x14ac:dyDescent="0.35">
      <c r="A239" s="126"/>
      <c r="B239" s="28"/>
      <c r="C239" s="127"/>
      <c r="D239" s="127"/>
      <c r="E239" s="128"/>
      <c r="F239" s="108"/>
      <c r="G239" s="108"/>
      <c r="M239" s="108"/>
      <c r="N239" s="108"/>
      <c r="O239" s="108"/>
      <c r="P239" s="108"/>
      <c r="Q239" s="108"/>
      <c r="AB239" s="28"/>
    </row>
    <row r="240" spans="1:28" ht="15.75" customHeight="1" x14ac:dyDescent="0.35">
      <c r="A240" s="126"/>
      <c r="B240" s="28"/>
      <c r="C240" s="127"/>
      <c r="D240" s="127"/>
      <c r="E240" s="128"/>
      <c r="F240" s="108"/>
      <c r="G240" s="108"/>
      <c r="M240" s="108"/>
      <c r="N240" s="108"/>
      <c r="O240" s="108"/>
      <c r="P240" s="108"/>
      <c r="Q240" s="108"/>
      <c r="AB240" s="28"/>
    </row>
    <row r="241" spans="1:28" ht="15.75" customHeight="1" x14ac:dyDescent="0.35">
      <c r="A241" s="126"/>
      <c r="B241" s="28"/>
      <c r="C241" s="127"/>
      <c r="D241" s="127"/>
      <c r="E241" s="128"/>
      <c r="F241" s="108"/>
      <c r="G241" s="108"/>
      <c r="M241" s="108"/>
      <c r="N241" s="108"/>
      <c r="O241" s="108"/>
      <c r="P241" s="108"/>
      <c r="Q241" s="108"/>
      <c r="AB241" s="28"/>
    </row>
    <row r="242" spans="1:28" ht="15.75" customHeight="1" x14ac:dyDescent="0.35">
      <c r="A242" s="126"/>
      <c r="B242" s="28"/>
      <c r="C242" s="127"/>
      <c r="D242" s="127"/>
      <c r="E242" s="128"/>
      <c r="F242" s="108"/>
      <c r="G242" s="108"/>
      <c r="M242" s="108"/>
      <c r="N242" s="108"/>
      <c r="O242" s="108"/>
      <c r="P242" s="108"/>
      <c r="Q242" s="108"/>
      <c r="AB242" s="28"/>
    </row>
    <row r="243" spans="1:28" ht="15.75" customHeight="1" x14ac:dyDescent="0.35">
      <c r="A243" s="126"/>
      <c r="B243" s="28"/>
      <c r="C243" s="127"/>
      <c r="D243" s="127"/>
      <c r="E243" s="128"/>
      <c r="F243" s="108"/>
      <c r="G243" s="108"/>
      <c r="M243" s="108"/>
      <c r="N243" s="108"/>
      <c r="O243" s="108"/>
      <c r="P243" s="108"/>
      <c r="Q243" s="108"/>
      <c r="AB243" s="28"/>
    </row>
    <row r="244" spans="1:28" ht="15.75" customHeight="1" x14ac:dyDescent="0.35">
      <c r="A244" s="126"/>
      <c r="B244" s="28"/>
      <c r="C244" s="127"/>
      <c r="D244" s="127"/>
      <c r="E244" s="128"/>
      <c r="F244" s="108"/>
      <c r="G244" s="108"/>
      <c r="M244" s="108"/>
      <c r="N244" s="108"/>
      <c r="O244" s="108"/>
      <c r="P244" s="108"/>
      <c r="Q244" s="108"/>
      <c r="AB244" s="28"/>
    </row>
    <row r="245" spans="1:28" ht="15.75" customHeight="1" x14ac:dyDescent="0.35">
      <c r="A245" s="126"/>
      <c r="B245" s="28"/>
      <c r="C245" s="127"/>
      <c r="D245" s="127"/>
      <c r="E245" s="128"/>
      <c r="F245" s="108"/>
      <c r="G245" s="108"/>
      <c r="M245" s="108"/>
      <c r="N245" s="108"/>
      <c r="O245" s="108"/>
      <c r="P245" s="108"/>
      <c r="Q245" s="108"/>
      <c r="AB245" s="28"/>
    </row>
    <row r="246" spans="1:28" ht="15.75" customHeight="1" x14ac:dyDescent="0.35">
      <c r="A246" s="126"/>
      <c r="B246" s="28"/>
      <c r="C246" s="127"/>
      <c r="D246" s="127"/>
      <c r="E246" s="128"/>
      <c r="F246" s="108"/>
      <c r="G246" s="108"/>
      <c r="M246" s="108"/>
      <c r="N246" s="108"/>
      <c r="O246" s="108"/>
      <c r="P246" s="108"/>
      <c r="Q246" s="108"/>
      <c r="AB246" s="28"/>
    </row>
    <row r="247" spans="1:28" ht="15.75" customHeight="1" x14ac:dyDescent="0.35">
      <c r="A247" s="126"/>
      <c r="B247" s="28"/>
      <c r="C247" s="127"/>
      <c r="D247" s="127"/>
      <c r="E247" s="128"/>
      <c r="F247" s="108"/>
      <c r="G247" s="108"/>
      <c r="M247" s="108"/>
      <c r="N247" s="108"/>
      <c r="O247" s="108"/>
      <c r="P247" s="108"/>
      <c r="Q247" s="108"/>
      <c r="AB247" s="28"/>
    </row>
    <row r="248" spans="1:28" ht="15.75" customHeight="1" x14ac:dyDescent="0.35">
      <c r="A248" s="126"/>
      <c r="B248" s="28"/>
      <c r="C248" s="127"/>
      <c r="D248" s="127"/>
      <c r="E248" s="128"/>
      <c r="F248" s="108"/>
      <c r="G248" s="108"/>
      <c r="M248" s="108"/>
      <c r="N248" s="108"/>
      <c r="O248" s="108"/>
      <c r="P248" s="108"/>
      <c r="Q248" s="108"/>
      <c r="AB248" s="28"/>
    </row>
    <row r="249" spans="1:28" ht="15.75" customHeight="1" x14ac:dyDescent="0.35">
      <c r="A249" s="126"/>
      <c r="B249" s="28"/>
      <c r="C249" s="127"/>
      <c r="D249" s="127"/>
      <c r="E249" s="128"/>
      <c r="F249" s="108"/>
      <c r="G249" s="108"/>
      <c r="M249" s="108"/>
      <c r="N249" s="108"/>
      <c r="O249" s="108"/>
      <c r="P249" s="108"/>
      <c r="Q249" s="108"/>
      <c r="AB249" s="28"/>
    </row>
    <row r="250" spans="1:28" ht="15.75" customHeight="1" x14ac:dyDescent="0.35">
      <c r="A250" s="126"/>
      <c r="B250" s="28"/>
      <c r="C250" s="127"/>
      <c r="D250" s="127"/>
      <c r="E250" s="128"/>
      <c r="F250" s="108"/>
      <c r="G250" s="108"/>
      <c r="M250" s="108"/>
      <c r="N250" s="108"/>
      <c r="O250" s="108"/>
      <c r="P250" s="108"/>
      <c r="Q250" s="108"/>
      <c r="AB250" s="28"/>
    </row>
    <row r="251" spans="1:28" ht="15.75" customHeight="1" x14ac:dyDescent="0.35">
      <c r="A251" s="126"/>
      <c r="B251" s="28"/>
      <c r="C251" s="127"/>
      <c r="D251" s="127"/>
      <c r="E251" s="128"/>
      <c r="F251" s="108"/>
      <c r="G251" s="108"/>
      <c r="M251" s="108"/>
      <c r="N251" s="108"/>
      <c r="O251" s="108"/>
      <c r="P251" s="108"/>
      <c r="Q251" s="108"/>
      <c r="AB251" s="28"/>
    </row>
    <row r="252" spans="1:28" ht="15.75" customHeight="1" x14ac:dyDescent="0.35">
      <c r="A252" s="126"/>
      <c r="B252" s="28"/>
      <c r="C252" s="127"/>
      <c r="D252" s="127"/>
      <c r="E252" s="128"/>
      <c r="F252" s="108"/>
      <c r="G252" s="108"/>
      <c r="M252" s="108"/>
      <c r="N252" s="108"/>
      <c r="O252" s="108"/>
      <c r="P252" s="108"/>
      <c r="Q252" s="108"/>
      <c r="AB252" s="28"/>
    </row>
    <row r="253" spans="1:28" ht="15.75" customHeight="1" x14ac:dyDescent="0.35">
      <c r="A253" s="126"/>
      <c r="B253" s="28"/>
      <c r="C253" s="127"/>
      <c r="D253" s="127"/>
      <c r="E253" s="128"/>
      <c r="F253" s="108"/>
      <c r="G253" s="108"/>
      <c r="M253" s="108"/>
      <c r="N253" s="108"/>
      <c r="O253" s="108"/>
      <c r="P253" s="108"/>
      <c r="Q253" s="108"/>
      <c r="AB253" s="28"/>
    </row>
    <row r="254" spans="1:28" ht="15.75" customHeight="1" x14ac:dyDescent="0.35">
      <c r="A254" s="126"/>
      <c r="B254" s="28"/>
      <c r="C254" s="127"/>
      <c r="D254" s="127"/>
      <c r="E254" s="128"/>
      <c r="F254" s="108"/>
      <c r="G254" s="108"/>
      <c r="M254" s="108"/>
      <c r="N254" s="108"/>
      <c r="O254" s="108"/>
      <c r="P254" s="108"/>
      <c r="Q254" s="108"/>
      <c r="AB254" s="28"/>
    </row>
    <row r="255" spans="1:28" ht="15.75" customHeight="1" x14ac:dyDescent="0.35">
      <c r="A255" s="126"/>
      <c r="B255" s="28"/>
      <c r="C255" s="127"/>
      <c r="D255" s="127"/>
      <c r="E255" s="128"/>
      <c r="F255" s="108"/>
      <c r="G255" s="108"/>
      <c r="M255" s="108"/>
      <c r="N255" s="108"/>
      <c r="O255" s="108"/>
      <c r="P255" s="108"/>
      <c r="Q255" s="108"/>
      <c r="AB255" s="28"/>
    </row>
    <row r="256" spans="1:28" ht="15.75" customHeight="1" x14ac:dyDescent="0.35">
      <c r="A256" s="126"/>
      <c r="B256" s="28"/>
      <c r="C256" s="127"/>
      <c r="D256" s="127"/>
      <c r="E256" s="128"/>
      <c r="F256" s="108"/>
      <c r="G256" s="108"/>
      <c r="M256" s="108"/>
      <c r="N256" s="108"/>
      <c r="O256" s="108"/>
      <c r="P256" s="108"/>
      <c r="Q256" s="108"/>
      <c r="AB256" s="28"/>
    </row>
    <row r="257" spans="1:28" ht="15.75" customHeight="1" x14ac:dyDescent="0.35">
      <c r="A257" s="126"/>
      <c r="B257" s="28"/>
      <c r="C257" s="127"/>
      <c r="D257" s="127"/>
      <c r="E257" s="128"/>
      <c r="F257" s="108"/>
      <c r="G257" s="108"/>
      <c r="M257" s="108"/>
      <c r="N257" s="108"/>
      <c r="O257" s="108"/>
      <c r="P257" s="108"/>
      <c r="Q257" s="108"/>
      <c r="AB257" s="28"/>
    </row>
    <row r="258" spans="1:28" ht="15.75" customHeight="1" x14ac:dyDescent="0.35">
      <c r="A258" s="126"/>
      <c r="B258" s="28"/>
      <c r="C258" s="127"/>
      <c r="D258" s="127"/>
      <c r="E258" s="128"/>
      <c r="F258" s="108"/>
      <c r="G258" s="108"/>
      <c r="M258" s="108"/>
      <c r="N258" s="108"/>
      <c r="O258" s="108"/>
      <c r="P258" s="108"/>
      <c r="Q258" s="108"/>
      <c r="AB258" s="28"/>
    </row>
    <row r="259" spans="1:28" ht="15.75" customHeight="1" x14ac:dyDescent="0.35">
      <c r="A259" s="126"/>
      <c r="B259" s="28"/>
      <c r="C259" s="127"/>
      <c r="D259" s="127"/>
      <c r="E259" s="128"/>
      <c r="F259" s="108"/>
      <c r="G259" s="108"/>
      <c r="M259" s="108"/>
      <c r="N259" s="108"/>
      <c r="O259" s="108"/>
      <c r="P259" s="108"/>
      <c r="Q259" s="108"/>
      <c r="AB259" s="28"/>
    </row>
    <row r="260" spans="1:28" ht="15.75" customHeight="1" x14ac:dyDescent="0.35">
      <c r="A260" s="126"/>
      <c r="B260" s="28"/>
      <c r="C260" s="127"/>
      <c r="D260" s="127"/>
      <c r="E260" s="128"/>
      <c r="F260" s="108"/>
      <c r="G260" s="108"/>
      <c r="M260" s="108"/>
      <c r="N260" s="108"/>
      <c r="O260" s="108"/>
      <c r="P260" s="108"/>
      <c r="Q260" s="108"/>
      <c r="AB260" s="28"/>
    </row>
    <row r="261" spans="1:28" ht="15.75" customHeight="1" x14ac:dyDescent="0.35">
      <c r="A261" s="126"/>
      <c r="B261" s="28"/>
      <c r="C261" s="127"/>
      <c r="D261" s="127"/>
      <c r="E261" s="128"/>
      <c r="F261" s="108"/>
      <c r="G261" s="108"/>
      <c r="M261" s="108"/>
      <c r="N261" s="108"/>
      <c r="O261" s="108"/>
      <c r="P261" s="108"/>
      <c r="Q261" s="108"/>
      <c r="AB261" s="28"/>
    </row>
    <row r="262" spans="1:28" ht="15.75" customHeight="1" x14ac:dyDescent="0.35">
      <c r="A262" s="126"/>
      <c r="B262" s="28"/>
      <c r="C262" s="127"/>
      <c r="D262" s="127"/>
      <c r="E262" s="128"/>
      <c r="F262" s="108"/>
      <c r="G262" s="108"/>
      <c r="M262" s="108"/>
      <c r="N262" s="108"/>
      <c r="O262" s="108"/>
      <c r="P262" s="108"/>
      <c r="Q262" s="108"/>
      <c r="AB262" s="28"/>
    </row>
    <row r="263" spans="1:28" ht="15.75" customHeight="1" x14ac:dyDescent="0.35">
      <c r="A263" s="126"/>
      <c r="B263" s="28"/>
      <c r="C263" s="127"/>
      <c r="D263" s="127"/>
      <c r="E263" s="128"/>
      <c r="F263" s="108"/>
      <c r="G263" s="108"/>
      <c r="M263" s="108"/>
      <c r="N263" s="108"/>
      <c r="O263" s="108"/>
      <c r="P263" s="108"/>
      <c r="Q263" s="108"/>
      <c r="AB263" s="28"/>
    </row>
    <row r="264" spans="1:28" ht="15.75" customHeight="1" x14ac:dyDescent="0.35">
      <c r="A264" s="126"/>
      <c r="B264" s="28"/>
      <c r="C264" s="127"/>
      <c r="D264" s="127"/>
      <c r="E264" s="128"/>
      <c r="F264" s="108"/>
      <c r="G264" s="108"/>
      <c r="M264" s="108"/>
      <c r="N264" s="108"/>
      <c r="O264" s="108"/>
      <c r="P264" s="108"/>
      <c r="Q264" s="108"/>
      <c r="AB264" s="28"/>
    </row>
    <row r="265" spans="1:28" ht="15.75" customHeight="1" x14ac:dyDescent="0.35">
      <c r="A265" s="126"/>
      <c r="B265" s="28"/>
      <c r="C265" s="127"/>
      <c r="D265" s="127"/>
      <c r="E265" s="128"/>
      <c r="F265" s="108"/>
      <c r="G265" s="108"/>
      <c r="M265" s="108"/>
      <c r="N265" s="108"/>
      <c r="O265" s="108"/>
      <c r="P265" s="108"/>
      <c r="Q265" s="108"/>
      <c r="AB265" s="28"/>
    </row>
    <row r="266" spans="1:28" ht="15.75" customHeight="1" x14ac:dyDescent="0.35">
      <c r="A266" s="126"/>
      <c r="B266" s="28"/>
      <c r="C266" s="127"/>
      <c r="D266" s="127"/>
      <c r="E266" s="128"/>
      <c r="F266" s="108"/>
      <c r="G266" s="108"/>
      <c r="M266" s="108"/>
      <c r="N266" s="108"/>
      <c r="O266" s="108"/>
      <c r="P266" s="108"/>
      <c r="Q266" s="108"/>
      <c r="AB266" s="28"/>
    </row>
    <row r="267" spans="1:28" ht="15.75" customHeight="1" x14ac:dyDescent="0.35">
      <c r="A267" s="126"/>
      <c r="B267" s="28"/>
      <c r="C267" s="127"/>
      <c r="D267" s="127"/>
      <c r="E267" s="128"/>
      <c r="F267" s="108"/>
      <c r="G267" s="108"/>
      <c r="M267" s="108"/>
      <c r="N267" s="108"/>
      <c r="O267" s="108"/>
      <c r="P267" s="108"/>
      <c r="Q267" s="108"/>
      <c r="AB267" s="28"/>
    </row>
    <row r="268" spans="1:28" ht="15.75" customHeight="1" x14ac:dyDescent="0.35">
      <c r="A268" s="126"/>
      <c r="B268" s="28"/>
      <c r="C268" s="127"/>
      <c r="D268" s="127"/>
      <c r="E268" s="128"/>
      <c r="F268" s="108"/>
      <c r="G268" s="108"/>
      <c r="M268" s="108"/>
      <c r="N268" s="108"/>
      <c r="O268" s="108"/>
      <c r="P268" s="108"/>
      <c r="Q268" s="108"/>
      <c r="AB268" s="28"/>
    </row>
    <row r="269" spans="1:28" ht="15.75" customHeight="1" x14ac:dyDescent="0.35">
      <c r="A269" s="126"/>
      <c r="B269" s="28"/>
      <c r="C269" s="127"/>
      <c r="D269" s="127"/>
      <c r="E269" s="128"/>
      <c r="F269" s="108"/>
      <c r="G269" s="108"/>
      <c r="M269" s="108"/>
      <c r="N269" s="108"/>
      <c r="O269" s="108"/>
      <c r="P269" s="108"/>
      <c r="Q269" s="108"/>
      <c r="AB269" s="28"/>
    </row>
    <row r="270" spans="1:28" ht="15.75" customHeight="1" x14ac:dyDescent="0.35">
      <c r="A270" s="126"/>
      <c r="B270" s="28"/>
      <c r="C270" s="127"/>
      <c r="D270" s="127"/>
      <c r="E270" s="128"/>
      <c r="F270" s="108"/>
      <c r="G270" s="108"/>
      <c r="M270" s="108"/>
      <c r="N270" s="108"/>
      <c r="O270" s="108"/>
      <c r="P270" s="108"/>
      <c r="Q270" s="108"/>
      <c r="AB270" s="28"/>
    </row>
    <row r="271" spans="1:28" ht="15.75" customHeight="1" x14ac:dyDescent="0.35">
      <c r="A271" s="126"/>
      <c r="B271" s="28"/>
      <c r="C271" s="127"/>
      <c r="D271" s="127"/>
      <c r="E271" s="128"/>
      <c r="F271" s="108"/>
      <c r="G271" s="108"/>
      <c r="M271" s="108"/>
      <c r="N271" s="108"/>
      <c r="O271" s="108"/>
      <c r="P271" s="108"/>
      <c r="Q271" s="108"/>
      <c r="AB271" s="28"/>
    </row>
    <row r="272" spans="1:28" ht="15.75" customHeight="1" x14ac:dyDescent="0.35">
      <c r="A272" s="126"/>
      <c r="B272" s="28"/>
      <c r="C272" s="127"/>
      <c r="D272" s="127"/>
      <c r="E272" s="128"/>
      <c r="F272" s="108"/>
      <c r="G272" s="108"/>
      <c r="M272" s="108"/>
      <c r="N272" s="108"/>
      <c r="O272" s="108"/>
      <c r="P272" s="108"/>
      <c r="Q272" s="108"/>
      <c r="AB272" s="28"/>
    </row>
    <row r="273" spans="1:28" ht="15.75" customHeight="1" x14ac:dyDescent="0.35">
      <c r="A273" s="126"/>
      <c r="B273" s="28"/>
      <c r="C273" s="127"/>
      <c r="D273" s="127"/>
      <c r="E273" s="128"/>
      <c r="F273" s="108"/>
      <c r="G273" s="108"/>
      <c r="M273" s="108"/>
      <c r="N273" s="108"/>
      <c r="O273" s="108"/>
      <c r="P273" s="108"/>
      <c r="Q273" s="108"/>
      <c r="AB273" s="28"/>
    </row>
    <row r="274" spans="1:28" ht="15.75" customHeight="1" x14ac:dyDescent="0.35">
      <c r="A274" s="126"/>
      <c r="B274" s="28"/>
      <c r="C274" s="127"/>
      <c r="D274" s="127"/>
      <c r="E274" s="128"/>
      <c r="F274" s="108"/>
      <c r="G274" s="108"/>
      <c r="M274" s="108"/>
      <c r="N274" s="108"/>
      <c r="O274" s="108"/>
      <c r="P274" s="108"/>
      <c r="Q274" s="108"/>
      <c r="AB274" s="28"/>
    </row>
    <row r="275" spans="1:28" ht="15.75" customHeight="1" x14ac:dyDescent="0.35">
      <c r="A275" s="126"/>
      <c r="B275" s="28"/>
      <c r="C275" s="127"/>
      <c r="D275" s="127"/>
      <c r="E275" s="128"/>
      <c r="F275" s="108"/>
      <c r="G275" s="108"/>
      <c r="M275" s="108"/>
      <c r="N275" s="108"/>
      <c r="O275" s="108"/>
      <c r="P275" s="108"/>
      <c r="Q275" s="108"/>
      <c r="AB275" s="28"/>
    </row>
    <row r="276" spans="1:28" ht="15.75" customHeight="1" x14ac:dyDescent="0.35">
      <c r="A276" s="126"/>
      <c r="B276" s="28"/>
      <c r="C276" s="127"/>
      <c r="D276" s="127"/>
      <c r="E276" s="128"/>
      <c r="F276" s="108"/>
      <c r="G276" s="108"/>
      <c r="M276" s="108"/>
      <c r="N276" s="108"/>
      <c r="O276" s="108"/>
      <c r="P276" s="108"/>
      <c r="Q276" s="108"/>
      <c r="AB276" s="28"/>
    </row>
    <row r="277" spans="1:28" ht="15.75" customHeight="1" x14ac:dyDescent="0.35">
      <c r="A277" s="126"/>
      <c r="B277" s="28"/>
      <c r="C277" s="127"/>
      <c r="D277" s="127"/>
      <c r="E277" s="128"/>
      <c r="F277" s="108"/>
      <c r="G277" s="108"/>
      <c r="M277" s="108"/>
      <c r="N277" s="108"/>
      <c r="O277" s="108"/>
      <c r="P277" s="108"/>
      <c r="Q277" s="108"/>
      <c r="AB277" s="28"/>
    </row>
    <row r="278" spans="1:28" ht="15.75" customHeight="1" x14ac:dyDescent="0.35">
      <c r="A278" s="126"/>
      <c r="B278" s="28"/>
      <c r="C278" s="127"/>
      <c r="D278" s="127"/>
      <c r="E278" s="128"/>
      <c r="F278" s="108"/>
      <c r="G278" s="108"/>
      <c r="M278" s="108"/>
      <c r="N278" s="108"/>
      <c r="O278" s="108"/>
      <c r="P278" s="108"/>
      <c r="Q278" s="108"/>
      <c r="AB278" s="28"/>
    </row>
    <row r="279" spans="1:28" ht="15.75" customHeight="1" x14ac:dyDescent="0.35">
      <c r="A279" s="126"/>
      <c r="B279" s="28"/>
      <c r="C279" s="127"/>
      <c r="D279" s="127"/>
      <c r="E279" s="128"/>
      <c r="F279" s="108"/>
      <c r="G279" s="108"/>
      <c r="M279" s="108"/>
      <c r="N279" s="108"/>
      <c r="O279" s="108"/>
      <c r="P279" s="108"/>
      <c r="Q279" s="108"/>
      <c r="AB279" s="28"/>
    </row>
    <row r="280" spans="1:28" ht="15.75" customHeight="1" x14ac:dyDescent="0.35">
      <c r="A280" s="126"/>
      <c r="B280" s="28"/>
      <c r="C280" s="127"/>
      <c r="D280" s="127"/>
      <c r="E280" s="128"/>
      <c r="F280" s="108"/>
      <c r="G280" s="108"/>
      <c r="M280" s="108"/>
      <c r="N280" s="108"/>
      <c r="O280" s="108"/>
      <c r="P280" s="108"/>
      <c r="Q280" s="108"/>
      <c r="AB280" s="28"/>
    </row>
    <row r="281" spans="1:28" ht="15.75" customHeight="1" x14ac:dyDescent="0.35">
      <c r="A281" s="126"/>
      <c r="B281" s="28"/>
      <c r="C281" s="127"/>
      <c r="D281" s="127"/>
      <c r="E281" s="128"/>
      <c r="F281" s="108"/>
      <c r="G281" s="108"/>
      <c r="M281" s="108"/>
      <c r="N281" s="108"/>
      <c r="O281" s="108"/>
      <c r="P281" s="108"/>
      <c r="Q281" s="108"/>
      <c r="AB281" s="28"/>
    </row>
    <row r="282" spans="1:28" ht="15.75" customHeight="1" x14ac:dyDescent="0.35">
      <c r="A282" s="126"/>
      <c r="B282" s="28"/>
      <c r="C282" s="127"/>
      <c r="D282" s="127"/>
      <c r="E282" s="128"/>
      <c r="F282" s="108"/>
      <c r="G282" s="108"/>
      <c r="M282" s="108"/>
      <c r="N282" s="108"/>
      <c r="O282" s="108"/>
      <c r="P282" s="108"/>
      <c r="Q282" s="108"/>
      <c r="AB282" s="28"/>
    </row>
    <row r="283" spans="1:28" ht="15.75" customHeight="1" x14ac:dyDescent="0.35">
      <c r="A283" s="126"/>
      <c r="B283" s="28"/>
      <c r="C283" s="127"/>
      <c r="D283" s="127"/>
      <c r="E283" s="128"/>
      <c r="F283" s="108"/>
      <c r="G283" s="108"/>
      <c r="M283" s="108"/>
      <c r="N283" s="108"/>
      <c r="O283" s="108"/>
      <c r="P283" s="108"/>
      <c r="Q283" s="108"/>
      <c r="AB283" s="28"/>
    </row>
    <row r="284" spans="1:28" ht="15.75" customHeight="1" x14ac:dyDescent="0.35">
      <c r="A284" s="126"/>
      <c r="B284" s="28"/>
      <c r="C284" s="127"/>
      <c r="D284" s="127"/>
      <c r="E284" s="128"/>
      <c r="F284" s="108"/>
      <c r="G284" s="108"/>
      <c r="M284" s="108"/>
      <c r="N284" s="108"/>
      <c r="O284" s="108"/>
      <c r="P284" s="108"/>
      <c r="Q284" s="108"/>
      <c r="AB284" s="28"/>
    </row>
    <row r="285" spans="1:28" ht="15.75" customHeight="1" x14ac:dyDescent="0.35">
      <c r="A285" s="126"/>
      <c r="B285" s="28"/>
      <c r="C285" s="127"/>
      <c r="D285" s="127"/>
      <c r="E285" s="128"/>
      <c r="F285" s="108"/>
      <c r="G285" s="108"/>
      <c r="M285" s="108"/>
      <c r="N285" s="108"/>
      <c r="O285" s="108"/>
      <c r="P285" s="108"/>
      <c r="Q285" s="108"/>
      <c r="AB285" s="28"/>
    </row>
    <row r="286" spans="1:28" ht="15.75" customHeight="1" x14ac:dyDescent="0.35">
      <c r="A286" s="126"/>
      <c r="B286" s="28"/>
      <c r="C286" s="127"/>
      <c r="D286" s="127"/>
      <c r="E286" s="128"/>
      <c r="F286" s="108"/>
      <c r="G286" s="108"/>
      <c r="M286" s="108"/>
      <c r="N286" s="108"/>
      <c r="O286" s="108"/>
      <c r="P286" s="108"/>
      <c r="Q286" s="108"/>
      <c r="AB286" s="28"/>
    </row>
    <row r="287" spans="1:28" ht="15.75" customHeight="1" x14ac:dyDescent="0.35">
      <c r="A287" s="126"/>
      <c r="B287" s="28"/>
      <c r="C287" s="127"/>
      <c r="D287" s="127"/>
      <c r="E287" s="128"/>
      <c r="F287" s="108"/>
      <c r="G287" s="108"/>
      <c r="M287" s="108"/>
      <c r="N287" s="108"/>
      <c r="O287" s="108"/>
      <c r="P287" s="108"/>
      <c r="Q287" s="108"/>
      <c r="AB287" s="28"/>
    </row>
    <row r="288" spans="1:28" ht="15.75" customHeight="1" x14ac:dyDescent="0.35">
      <c r="A288" s="126"/>
      <c r="B288" s="28"/>
      <c r="C288" s="127"/>
      <c r="D288" s="127"/>
      <c r="E288" s="128"/>
      <c r="F288" s="108"/>
      <c r="G288" s="108"/>
      <c r="M288" s="108"/>
      <c r="N288" s="108"/>
      <c r="O288" s="108"/>
      <c r="P288" s="108"/>
      <c r="Q288" s="108"/>
      <c r="AB288" s="28"/>
    </row>
    <row r="289" spans="1:28" ht="15.75" customHeight="1" x14ac:dyDescent="0.35">
      <c r="A289" s="126"/>
      <c r="B289" s="28"/>
      <c r="C289" s="127"/>
      <c r="D289" s="127"/>
      <c r="E289" s="128"/>
      <c r="F289" s="108"/>
      <c r="G289" s="108"/>
      <c r="M289" s="108"/>
      <c r="N289" s="108"/>
      <c r="O289" s="108"/>
      <c r="P289" s="108"/>
      <c r="Q289" s="108"/>
      <c r="AB289" s="28"/>
    </row>
    <row r="290" spans="1:28" ht="15.75" customHeight="1" x14ac:dyDescent="0.35">
      <c r="A290" s="126"/>
      <c r="B290" s="28"/>
      <c r="C290" s="127"/>
      <c r="D290" s="127"/>
      <c r="E290" s="128"/>
      <c r="F290" s="108"/>
      <c r="G290" s="108"/>
      <c r="M290" s="108"/>
      <c r="N290" s="108"/>
      <c r="O290" s="108"/>
      <c r="P290" s="108"/>
      <c r="Q290" s="108"/>
      <c r="AB290" s="28"/>
    </row>
    <row r="291" spans="1:28" ht="15.75" customHeight="1" x14ac:dyDescent="0.35">
      <c r="A291" s="126"/>
      <c r="B291" s="28"/>
      <c r="C291" s="127"/>
      <c r="D291" s="127"/>
      <c r="E291" s="128"/>
      <c r="F291" s="108"/>
      <c r="G291" s="108"/>
      <c r="M291" s="108"/>
      <c r="N291" s="108"/>
      <c r="O291" s="108"/>
      <c r="P291" s="108"/>
      <c r="Q291" s="108"/>
      <c r="AB291" s="28"/>
    </row>
    <row r="292" spans="1:28" ht="15.75" customHeight="1" x14ac:dyDescent="0.35">
      <c r="A292" s="126"/>
      <c r="B292" s="28"/>
      <c r="C292" s="127"/>
      <c r="D292" s="127"/>
      <c r="E292" s="128"/>
      <c r="F292" s="108"/>
      <c r="G292" s="108"/>
      <c r="M292" s="108"/>
      <c r="N292" s="108"/>
      <c r="O292" s="108"/>
      <c r="P292" s="108"/>
      <c r="Q292" s="108"/>
      <c r="AB292" s="28"/>
    </row>
    <row r="293" spans="1:28" ht="15.75" customHeight="1" x14ac:dyDescent="0.35">
      <c r="A293" s="126"/>
      <c r="B293" s="28"/>
      <c r="C293" s="127"/>
      <c r="D293" s="127"/>
      <c r="E293" s="128"/>
      <c r="F293" s="108"/>
      <c r="G293" s="108"/>
      <c r="M293" s="108"/>
      <c r="N293" s="108"/>
      <c r="O293" s="108"/>
      <c r="P293" s="108"/>
      <c r="Q293" s="108"/>
      <c r="AB293" s="28"/>
    </row>
    <row r="294" spans="1:28" ht="15.75" customHeight="1" x14ac:dyDescent="0.35">
      <c r="A294" s="126"/>
      <c r="B294" s="28"/>
      <c r="C294" s="127"/>
      <c r="D294" s="127"/>
      <c r="E294" s="128"/>
      <c r="F294" s="108"/>
      <c r="G294" s="108"/>
      <c r="M294" s="108"/>
      <c r="N294" s="108"/>
      <c r="O294" s="108"/>
      <c r="P294" s="108"/>
      <c r="Q294" s="108"/>
      <c r="AB294" s="28"/>
    </row>
    <row r="295" spans="1:28" ht="15.75" customHeight="1" x14ac:dyDescent="0.35">
      <c r="A295" s="126"/>
      <c r="B295" s="28"/>
      <c r="C295" s="127"/>
      <c r="D295" s="127"/>
      <c r="E295" s="128"/>
      <c r="F295" s="108"/>
      <c r="G295" s="108"/>
      <c r="M295" s="108"/>
      <c r="N295" s="108"/>
      <c r="O295" s="108"/>
      <c r="P295" s="108"/>
      <c r="Q295" s="108"/>
      <c r="AB295" s="28"/>
    </row>
    <row r="296" spans="1:28" ht="15.75" customHeight="1" x14ac:dyDescent="0.35">
      <c r="A296" s="126"/>
      <c r="B296" s="28"/>
      <c r="C296" s="127"/>
      <c r="D296" s="127"/>
      <c r="E296" s="128"/>
      <c r="F296" s="108"/>
      <c r="G296" s="108"/>
      <c r="M296" s="108"/>
      <c r="N296" s="108"/>
      <c r="O296" s="108"/>
      <c r="P296" s="108"/>
      <c r="Q296" s="108"/>
      <c r="AB296" s="28"/>
    </row>
    <row r="297" spans="1:28" ht="15.75" customHeight="1" x14ac:dyDescent="0.35">
      <c r="A297" s="126"/>
      <c r="B297" s="28"/>
      <c r="C297" s="127"/>
      <c r="D297" s="127"/>
      <c r="E297" s="128"/>
      <c r="F297" s="108"/>
      <c r="G297" s="108"/>
      <c r="M297" s="108"/>
      <c r="N297" s="108"/>
      <c r="O297" s="108"/>
      <c r="P297" s="108"/>
      <c r="Q297" s="108"/>
      <c r="AB297" s="28"/>
    </row>
    <row r="298" spans="1:28" ht="15.75" customHeight="1" x14ac:dyDescent="0.35">
      <c r="A298" s="126"/>
      <c r="B298" s="28"/>
      <c r="C298" s="127"/>
      <c r="D298" s="127"/>
      <c r="E298" s="128"/>
      <c r="F298" s="108"/>
      <c r="G298" s="108"/>
      <c r="M298" s="108"/>
      <c r="N298" s="108"/>
      <c r="O298" s="108"/>
      <c r="P298" s="108"/>
      <c r="Q298" s="108"/>
      <c r="AB298" s="28"/>
    </row>
    <row r="299" spans="1:28" ht="15.75" customHeight="1" x14ac:dyDescent="0.35">
      <c r="A299" s="126"/>
      <c r="B299" s="28"/>
      <c r="C299" s="127"/>
      <c r="D299" s="127"/>
      <c r="E299" s="128"/>
      <c r="F299" s="108"/>
      <c r="G299" s="108"/>
      <c r="M299" s="108"/>
      <c r="N299" s="108"/>
      <c r="O299" s="108"/>
      <c r="P299" s="108"/>
      <c r="Q299" s="108"/>
      <c r="AB299" s="28"/>
    </row>
    <row r="300" spans="1:28" ht="15.75" customHeight="1" x14ac:dyDescent="0.35">
      <c r="A300" s="126"/>
      <c r="B300" s="28"/>
      <c r="C300" s="127"/>
      <c r="D300" s="127"/>
      <c r="E300" s="128"/>
      <c r="F300" s="108"/>
      <c r="G300" s="108"/>
      <c r="M300" s="108"/>
      <c r="N300" s="108"/>
      <c r="O300" s="108"/>
      <c r="P300" s="108"/>
      <c r="Q300" s="108"/>
      <c r="AB300" s="28"/>
    </row>
    <row r="301" spans="1:28" ht="15.75" customHeight="1" x14ac:dyDescent="0.35">
      <c r="A301" s="126"/>
      <c r="B301" s="28"/>
      <c r="C301" s="127"/>
      <c r="D301" s="127"/>
      <c r="E301" s="128"/>
      <c r="F301" s="108"/>
      <c r="G301" s="108"/>
      <c r="M301" s="108"/>
      <c r="N301" s="108"/>
      <c r="O301" s="108"/>
      <c r="P301" s="108"/>
      <c r="Q301" s="108"/>
      <c r="AB301" s="28"/>
    </row>
    <row r="302" spans="1:28" ht="15.75" customHeight="1" x14ac:dyDescent="0.35">
      <c r="A302" s="126"/>
      <c r="B302" s="28"/>
      <c r="C302" s="127"/>
      <c r="D302" s="127"/>
      <c r="E302" s="128"/>
      <c r="F302" s="108"/>
      <c r="G302" s="108"/>
      <c r="M302" s="108"/>
      <c r="N302" s="108"/>
      <c r="O302" s="108"/>
      <c r="P302" s="108"/>
      <c r="Q302" s="108"/>
      <c r="AB302" s="28"/>
    </row>
    <row r="303" spans="1:28" ht="15.75" customHeight="1" x14ac:dyDescent="0.35">
      <c r="A303" s="126"/>
      <c r="B303" s="28"/>
      <c r="C303" s="127"/>
      <c r="D303" s="127"/>
      <c r="E303" s="128"/>
      <c r="F303" s="108"/>
      <c r="G303" s="108"/>
      <c r="M303" s="108"/>
      <c r="N303" s="108"/>
      <c r="O303" s="108"/>
      <c r="P303" s="108"/>
      <c r="Q303" s="108"/>
      <c r="AB303" s="28"/>
    </row>
    <row r="304" spans="1:28" ht="15.75" customHeight="1" x14ac:dyDescent="0.35">
      <c r="A304" s="126"/>
      <c r="B304" s="28"/>
      <c r="C304" s="127"/>
      <c r="D304" s="127"/>
      <c r="E304" s="128"/>
      <c r="F304" s="108"/>
      <c r="G304" s="108"/>
      <c r="M304" s="108"/>
      <c r="N304" s="108"/>
      <c r="O304" s="108"/>
      <c r="P304" s="108"/>
      <c r="Q304" s="108"/>
      <c r="AB304" s="28"/>
    </row>
    <row r="305" spans="1:28" ht="15.75" customHeight="1" x14ac:dyDescent="0.35">
      <c r="A305" s="126"/>
      <c r="B305" s="28"/>
      <c r="C305" s="127"/>
      <c r="D305" s="127"/>
      <c r="E305" s="128"/>
      <c r="F305" s="108"/>
      <c r="G305" s="108"/>
      <c r="M305" s="108"/>
      <c r="N305" s="108"/>
      <c r="O305" s="108"/>
      <c r="P305" s="108"/>
      <c r="Q305" s="108"/>
      <c r="AB305" s="28"/>
    </row>
    <row r="306" spans="1:28" ht="15.75" customHeight="1" x14ac:dyDescent="0.35">
      <c r="A306" s="126"/>
      <c r="B306" s="28"/>
      <c r="C306" s="127"/>
      <c r="D306" s="127"/>
      <c r="E306" s="128"/>
      <c r="F306" s="108"/>
      <c r="G306" s="108"/>
      <c r="M306" s="108"/>
      <c r="N306" s="108"/>
      <c r="O306" s="108"/>
      <c r="P306" s="108"/>
      <c r="Q306" s="108"/>
      <c r="AB306" s="28"/>
    </row>
    <row r="307" spans="1:28" ht="15.75" customHeight="1" x14ac:dyDescent="0.35">
      <c r="A307" s="126"/>
      <c r="B307" s="28"/>
      <c r="C307" s="127"/>
      <c r="D307" s="127"/>
      <c r="E307" s="128"/>
      <c r="F307" s="108"/>
      <c r="G307" s="108"/>
      <c r="M307" s="108"/>
      <c r="N307" s="108"/>
      <c r="O307" s="108"/>
      <c r="P307" s="108"/>
      <c r="Q307" s="108"/>
      <c r="AB307" s="28"/>
    </row>
    <row r="308" spans="1:28" ht="15.75" customHeight="1" x14ac:dyDescent="0.35">
      <c r="A308" s="126"/>
      <c r="B308" s="28"/>
      <c r="C308" s="127"/>
      <c r="D308" s="127"/>
      <c r="E308" s="128"/>
      <c r="F308" s="108"/>
      <c r="G308" s="108"/>
      <c r="M308" s="108"/>
      <c r="N308" s="108"/>
      <c r="O308" s="108"/>
      <c r="P308" s="108"/>
      <c r="Q308" s="108"/>
      <c r="AB308" s="28"/>
    </row>
    <row r="309" spans="1:28" ht="15.75" customHeight="1" x14ac:dyDescent="0.35">
      <c r="A309" s="126"/>
      <c r="B309" s="28"/>
      <c r="C309" s="127"/>
      <c r="D309" s="127"/>
      <c r="E309" s="128"/>
      <c r="F309" s="108"/>
      <c r="G309" s="108"/>
      <c r="M309" s="108"/>
      <c r="N309" s="108"/>
      <c r="O309" s="108"/>
      <c r="P309" s="108"/>
      <c r="Q309" s="108"/>
      <c r="AB309" s="28"/>
    </row>
    <row r="310" spans="1:28" ht="15.75" customHeight="1" x14ac:dyDescent="0.35">
      <c r="A310" s="126"/>
      <c r="B310" s="28"/>
      <c r="C310" s="127"/>
      <c r="D310" s="127"/>
      <c r="E310" s="128"/>
      <c r="F310" s="108"/>
      <c r="G310" s="108"/>
      <c r="M310" s="108"/>
      <c r="N310" s="108"/>
      <c r="O310" s="108"/>
      <c r="P310" s="108"/>
      <c r="Q310" s="108"/>
      <c r="AB310" s="28"/>
    </row>
    <row r="311" spans="1:28" ht="15.75" customHeight="1" x14ac:dyDescent="0.35">
      <c r="A311" s="126"/>
      <c r="B311" s="28"/>
      <c r="C311" s="127"/>
      <c r="D311" s="127"/>
      <c r="E311" s="128"/>
      <c r="F311" s="108"/>
      <c r="G311" s="108"/>
      <c r="M311" s="108"/>
      <c r="N311" s="108"/>
      <c r="O311" s="108"/>
      <c r="P311" s="108"/>
      <c r="Q311" s="108"/>
      <c r="AB311" s="28"/>
    </row>
    <row r="312" spans="1:28" ht="15.75" customHeight="1" x14ac:dyDescent="0.35">
      <c r="A312" s="126"/>
      <c r="B312" s="28"/>
      <c r="C312" s="127"/>
      <c r="D312" s="127"/>
      <c r="E312" s="128"/>
      <c r="F312" s="108"/>
      <c r="G312" s="108"/>
      <c r="M312" s="108"/>
      <c r="N312" s="108"/>
      <c r="O312" s="108"/>
      <c r="P312" s="108"/>
      <c r="Q312" s="108"/>
      <c r="AB312" s="28"/>
    </row>
    <row r="313" spans="1:28" ht="15.75" customHeight="1" x14ac:dyDescent="0.35">
      <c r="A313" s="126"/>
      <c r="B313" s="28"/>
      <c r="C313" s="127"/>
      <c r="D313" s="127"/>
      <c r="E313" s="128"/>
      <c r="F313" s="108"/>
      <c r="G313" s="108"/>
      <c r="M313" s="108"/>
      <c r="N313" s="108"/>
      <c r="O313" s="108"/>
      <c r="P313" s="108"/>
      <c r="Q313" s="108"/>
      <c r="AB313" s="28"/>
    </row>
    <row r="314" spans="1:28" ht="15.75" customHeight="1" x14ac:dyDescent="0.35">
      <c r="A314" s="126"/>
      <c r="B314" s="28"/>
      <c r="C314" s="127"/>
      <c r="D314" s="127"/>
      <c r="E314" s="128"/>
      <c r="F314" s="108"/>
      <c r="G314" s="108"/>
      <c r="M314" s="108"/>
      <c r="N314" s="108"/>
      <c r="O314" s="108"/>
      <c r="P314" s="108"/>
      <c r="Q314" s="108"/>
      <c r="AB314" s="28"/>
    </row>
    <row r="315" spans="1:28" ht="15.75" customHeight="1" x14ac:dyDescent="0.35">
      <c r="A315" s="126"/>
      <c r="B315" s="28"/>
      <c r="C315" s="127"/>
      <c r="D315" s="127"/>
      <c r="E315" s="128"/>
      <c r="F315" s="108"/>
      <c r="G315" s="108"/>
      <c r="M315" s="108"/>
      <c r="N315" s="108"/>
      <c r="O315" s="108"/>
      <c r="P315" s="108"/>
      <c r="Q315" s="108"/>
      <c r="AB315" s="28"/>
    </row>
    <row r="316" spans="1:28" ht="15.75" customHeight="1" x14ac:dyDescent="0.35">
      <c r="A316" s="126"/>
      <c r="B316" s="28"/>
      <c r="C316" s="127"/>
      <c r="D316" s="127"/>
      <c r="E316" s="128"/>
      <c r="F316" s="108"/>
      <c r="G316" s="108"/>
      <c r="M316" s="108"/>
      <c r="N316" s="108"/>
      <c r="O316" s="108"/>
      <c r="P316" s="108"/>
      <c r="Q316" s="108"/>
      <c r="AB316" s="28"/>
    </row>
    <row r="317" spans="1:28" ht="15.75" customHeight="1" x14ac:dyDescent="0.35">
      <c r="A317" s="126"/>
      <c r="B317" s="28"/>
      <c r="C317" s="127"/>
      <c r="D317" s="127"/>
      <c r="E317" s="128"/>
      <c r="F317" s="108"/>
      <c r="G317" s="108"/>
      <c r="M317" s="108"/>
      <c r="N317" s="108"/>
      <c r="O317" s="108"/>
      <c r="P317" s="108"/>
      <c r="Q317" s="108"/>
      <c r="AB317" s="28"/>
    </row>
    <row r="318" spans="1:28" ht="15.75" customHeight="1" x14ac:dyDescent="0.35">
      <c r="A318" s="126"/>
      <c r="B318" s="28"/>
      <c r="C318" s="127"/>
      <c r="D318" s="127"/>
      <c r="E318" s="128"/>
      <c r="F318" s="108"/>
      <c r="G318" s="108"/>
      <c r="M318" s="108"/>
      <c r="N318" s="108"/>
      <c r="O318" s="108"/>
      <c r="P318" s="108"/>
      <c r="Q318" s="108"/>
      <c r="AB318" s="28"/>
    </row>
    <row r="319" spans="1:28" ht="15.75" customHeight="1" x14ac:dyDescent="0.35">
      <c r="A319" s="126"/>
      <c r="B319" s="28"/>
      <c r="C319" s="127"/>
      <c r="D319" s="127"/>
      <c r="E319" s="128"/>
      <c r="F319" s="108"/>
      <c r="G319" s="108"/>
      <c r="M319" s="108"/>
      <c r="N319" s="108"/>
      <c r="O319" s="108"/>
      <c r="P319" s="108"/>
      <c r="Q319" s="108"/>
      <c r="AB319" s="28"/>
    </row>
    <row r="320" spans="1:28" ht="15.75" customHeight="1" x14ac:dyDescent="0.35">
      <c r="A320" s="126"/>
      <c r="B320" s="28"/>
      <c r="C320" s="127"/>
      <c r="D320" s="127"/>
      <c r="E320" s="128"/>
      <c r="F320" s="108"/>
      <c r="G320" s="108"/>
      <c r="M320" s="108"/>
      <c r="N320" s="108"/>
      <c r="O320" s="108"/>
      <c r="P320" s="108"/>
      <c r="Q320" s="108"/>
      <c r="AB320" s="28"/>
    </row>
    <row r="321" spans="1:28" ht="15.75" customHeight="1" x14ac:dyDescent="0.35">
      <c r="A321" s="126"/>
      <c r="B321" s="28"/>
      <c r="C321" s="127"/>
      <c r="D321" s="127"/>
      <c r="E321" s="128"/>
      <c r="F321" s="108"/>
      <c r="G321" s="108"/>
      <c r="M321" s="108"/>
      <c r="N321" s="108"/>
      <c r="O321" s="108"/>
      <c r="P321" s="108"/>
      <c r="Q321" s="108"/>
      <c r="AB321" s="28"/>
    </row>
    <row r="322" spans="1:28" ht="15.75" customHeight="1" x14ac:dyDescent="0.35">
      <c r="A322" s="126"/>
      <c r="B322" s="28"/>
      <c r="C322" s="127"/>
      <c r="D322" s="127"/>
      <c r="E322" s="128"/>
      <c r="F322" s="108"/>
      <c r="G322" s="108"/>
      <c r="M322" s="108"/>
      <c r="N322" s="108"/>
      <c r="O322" s="108"/>
      <c r="P322" s="108"/>
      <c r="Q322" s="108"/>
      <c r="AB322" s="28"/>
    </row>
    <row r="323" spans="1:28" ht="15.75" customHeight="1" x14ac:dyDescent="0.35">
      <c r="A323" s="126"/>
      <c r="B323" s="28"/>
      <c r="C323" s="127"/>
      <c r="D323" s="127"/>
      <c r="E323" s="128"/>
      <c r="F323" s="108"/>
      <c r="G323" s="108"/>
      <c r="M323" s="108"/>
      <c r="N323" s="108"/>
      <c r="O323" s="108"/>
      <c r="P323" s="108"/>
      <c r="Q323" s="108"/>
      <c r="AB323" s="28"/>
    </row>
    <row r="324" spans="1:28" ht="15.75" customHeight="1" x14ac:dyDescent="0.35">
      <c r="A324" s="126"/>
      <c r="B324" s="28"/>
      <c r="C324" s="127"/>
      <c r="D324" s="127"/>
      <c r="E324" s="128"/>
      <c r="F324" s="108"/>
      <c r="G324" s="108"/>
      <c r="M324" s="108"/>
      <c r="N324" s="108"/>
      <c r="O324" s="108"/>
      <c r="P324" s="108"/>
      <c r="Q324" s="108"/>
      <c r="AB324" s="28"/>
    </row>
    <row r="325" spans="1:28" ht="15.75" customHeight="1" x14ac:dyDescent="0.35">
      <c r="A325" s="126"/>
      <c r="B325" s="28"/>
      <c r="C325" s="127"/>
      <c r="D325" s="127"/>
      <c r="E325" s="128"/>
      <c r="F325" s="108"/>
      <c r="G325" s="108"/>
      <c r="M325" s="108"/>
      <c r="N325" s="108"/>
      <c r="O325" s="108"/>
      <c r="P325" s="108"/>
      <c r="Q325" s="108"/>
      <c r="AB325" s="28"/>
    </row>
    <row r="326" spans="1:28" ht="15.75" customHeight="1" x14ac:dyDescent="0.35">
      <c r="A326" s="126"/>
      <c r="B326" s="28"/>
      <c r="C326" s="127"/>
      <c r="D326" s="127"/>
      <c r="E326" s="128"/>
      <c r="F326" s="108"/>
      <c r="G326" s="108"/>
      <c r="M326" s="108"/>
      <c r="N326" s="108"/>
      <c r="O326" s="108"/>
      <c r="P326" s="108"/>
      <c r="Q326" s="108"/>
      <c r="AB326" s="28"/>
    </row>
    <row r="327" spans="1:28" ht="15.75" customHeight="1" x14ac:dyDescent="0.35">
      <c r="A327" s="126"/>
      <c r="B327" s="28"/>
      <c r="C327" s="127"/>
      <c r="D327" s="127"/>
      <c r="E327" s="128"/>
      <c r="F327" s="108"/>
      <c r="G327" s="108"/>
      <c r="M327" s="108"/>
      <c r="N327" s="108"/>
      <c r="O327" s="108"/>
      <c r="P327" s="108"/>
      <c r="Q327" s="108"/>
      <c r="AB327" s="28"/>
    </row>
    <row r="328" spans="1:28" ht="15.75" customHeight="1" x14ac:dyDescent="0.35">
      <c r="A328" s="126"/>
      <c r="B328" s="28"/>
      <c r="C328" s="127"/>
      <c r="D328" s="127"/>
      <c r="E328" s="128"/>
      <c r="F328" s="108"/>
      <c r="G328" s="108"/>
      <c r="M328" s="108"/>
      <c r="N328" s="108"/>
      <c r="O328" s="108"/>
      <c r="P328" s="108"/>
      <c r="Q328" s="108"/>
      <c r="AB328" s="28"/>
    </row>
    <row r="329" spans="1:28" ht="15.75" customHeight="1" x14ac:dyDescent="0.35">
      <c r="A329" s="126"/>
      <c r="B329" s="28"/>
      <c r="C329" s="127"/>
      <c r="D329" s="127"/>
      <c r="E329" s="128"/>
      <c r="F329" s="108"/>
      <c r="G329" s="108"/>
      <c r="M329" s="108"/>
      <c r="N329" s="108"/>
      <c r="O329" s="108"/>
      <c r="P329" s="108"/>
      <c r="Q329" s="108"/>
      <c r="AB329" s="28"/>
    </row>
    <row r="330" spans="1:28" ht="15.75" customHeight="1" x14ac:dyDescent="0.35">
      <c r="A330" s="126"/>
      <c r="B330" s="28"/>
      <c r="C330" s="127"/>
      <c r="D330" s="127"/>
      <c r="E330" s="128"/>
      <c r="F330" s="108"/>
      <c r="G330" s="108"/>
      <c r="M330" s="108"/>
      <c r="N330" s="108"/>
      <c r="O330" s="108"/>
      <c r="P330" s="108"/>
      <c r="Q330" s="108"/>
      <c r="AB330" s="28"/>
    </row>
    <row r="331" spans="1:28" ht="15.75" customHeight="1" x14ac:dyDescent="0.35">
      <c r="A331" s="126"/>
      <c r="B331" s="28"/>
      <c r="C331" s="127"/>
      <c r="D331" s="127"/>
      <c r="E331" s="128"/>
      <c r="F331" s="108"/>
      <c r="G331" s="108"/>
      <c r="M331" s="108"/>
      <c r="N331" s="108"/>
      <c r="O331" s="108"/>
      <c r="P331" s="108"/>
      <c r="Q331" s="108"/>
      <c r="AB331" s="28"/>
    </row>
    <row r="332" spans="1:28" ht="15.75" customHeight="1" x14ac:dyDescent="0.35">
      <c r="A332" s="126"/>
      <c r="B332" s="28"/>
      <c r="C332" s="127"/>
      <c r="D332" s="127"/>
      <c r="E332" s="128"/>
      <c r="F332" s="108"/>
      <c r="G332" s="108"/>
      <c r="M332" s="108"/>
      <c r="N332" s="108"/>
      <c r="O332" s="108"/>
      <c r="P332" s="108"/>
      <c r="Q332" s="108"/>
      <c r="AB332" s="28"/>
    </row>
    <row r="333" spans="1:28" ht="15.75" customHeight="1" x14ac:dyDescent="0.35">
      <c r="A333" s="126"/>
      <c r="B333" s="28"/>
      <c r="C333" s="127"/>
      <c r="D333" s="127"/>
      <c r="E333" s="128"/>
      <c r="F333" s="108"/>
      <c r="G333" s="108"/>
      <c r="M333" s="108"/>
      <c r="N333" s="108"/>
      <c r="O333" s="108"/>
      <c r="P333" s="108"/>
      <c r="Q333" s="108"/>
      <c r="AB333" s="28"/>
    </row>
    <row r="334" spans="1:28" ht="15.75" customHeight="1" x14ac:dyDescent="0.35">
      <c r="A334" s="126"/>
      <c r="B334" s="28"/>
      <c r="C334" s="127"/>
      <c r="D334" s="127"/>
      <c r="E334" s="128"/>
      <c r="F334" s="108"/>
      <c r="G334" s="108"/>
      <c r="M334" s="108"/>
      <c r="N334" s="108"/>
      <c r="O334" s="108"/>
      <c r="P334" s="108"/>
      <c r="Q334" s="108"/>
      <c r="AB334" s="28"/>
    </row>
    <row r="335" spans="1:28" ht="15.75" customHeight="1" x14ac:dyDescent="0.35">
      <c r="A335" s="126"/>
      <c r="B335" s="28"/>
      <c r="C335" s="127"/>
      <c r="D335" s="127"/>
      <c r="E335" s="128"/>
      <c r="F335" s="108"/>
      <c r="G335" s="108"/>
      <c r="M335" s="108"/>
      <c r="N335" s="108"/>
      <c r="O335" s="108"/>
      <c r="P335" s="108"/>
      <c r="Q335" s="108"/>
      <c r="AB335" s="28"/>
    </row>
    <row r="336" spans="1:28" ht="15.75" customHeight="1" x14ac:dyDescent="0.35">
      <c r="A336" s="126"/>
      <c r="B336" s="28"/>
      <c r="C336" s="127"/>
      <c r="D336" s="127"/>
      <c r="E336" s="128"/>
      <c r="F336" s="108"/>
      <c r="G336" s="108"/>
      <c r="M336" s="108"/>
      <c r="N336" s="108"/>
      <c r="O336" s="108"/>
      <c r="P336" s="108"/>
      <c r="Q336" s="108"/>
      <c r="AB336" s="28"/>
    </row>
    <row r="337" spans="1:28" ht="15.75" customHeight="1" x14ac:dyDescent="0.35">
      <c r="A337" s="126"/>
      <c r="B337" s="28"/>
      <c r="C337" s="127"/>
      <c r="D337" s="127"/>
      <c r="E337" s="128"/>
      <c r="F337" s="108"/>
      <c r="G337" s="108"/>
      <c r="M337" s="108"/>
      <c r="N337" s="108"/>
      <c r="O337" s="108"/>
      <c r="P337" s="108"/>
      <c r="Q337" s="108"/>
      <c r="AB337" s="28"/>
    </row>
    <row r="338" spans="1:28" ht="15.75" customHeight="1" x14ac:dyDescent="0.35">
      <c r="A338" s="126"/>
      <c r="B338" s="28"/>
      <c r="C338" s="127"/>
      <c r="D338" s="127"/>
      <c r="E338" s="128"/>
      <c r="F338" s="108"/>
      <c r="G338" s="108"/>
      <c r="M338" s="108"/>
      <c r="N338" s="108"/>
      <c r="O338" s="108"/>
      <c r="P338" s="108"/>
      <c r="Q338" s="108"/>
      <c r="AB338" s="28"/>
    </row>
    <row r="339" spans="1:28" ht="15.75" customHeight="1" x14ac:dyDescent="0.35">
      <c r="A339" s="126"/>
      <c r="B339" s="28"/>
      <c r="C339" s="127"/>
      <c r="D339" s="127"/>
      <c r="E339" s="128"/>
      <c r="F339" s="108"/>
      <c r="G339" s="108"/>
      <c r="M339" s="108"/>
      <c r="N339" s="108"/>
      <c r="O339" s="108"/>
      <c r="P339" s="108"/>
      <c r="Q339" s="108"/>
      <c r="AB339" s="28"/>
    </row>
    <row r="340" spans="1:28" ht="15.75" customHeight="1" x14ac:dyDescent="0.35">
      <c r="A340" s="126"/>
      <c r="B340" s="28"/>
      <c r="C340" s="127"/>
      <c r="D340" s="127"/>
      <c r="E340" s="128"/>
      <c r="F340" s="108"/>
      <c r="G340" s="108"/>
      <c r="M340" s="108"/>
      <c r="N340" s="108"/>
      <c r="O340" s="108"/>
      <c r="P340" s="108"/>
      <c r="Q340" s="108"/>
      <c r="AB340" s="28"/>
    </row>
    <row r="341" spans="1:28" ht="15.75" customHeight="1" x14ac:dyDescent="0.35">
      <c r="A341" s="126"/>
      <c r="B341" s="28"/>
      <c r="C341" s="127"/>
      <c r="D341" s="127"/>
      <c r="E341" s="128"/>
      <c r="F341" s="108"/>
      <c r="G341" s="108"/>
      <c r="M341" s="108"/>
      <c r="N341" s="108"/>
      <c r="O341" s="108"/>
      <c r="P341" s="108"/>
      <c r="Q341" s="108"/>
      <c r="AB341" s="28"/>
    </row>
    <row r="342" spans="1:28" ht="15.75" customHeight="1" x14ac:dyDescent="0.35">
      <c r="A342" s="126"/>
      <c r="B342" s="28"/>
      <c r="C342" s="127"/>
      <c r="D342" s="127"/>
      <c r="E342" s="128"/>
      <c r="F342" s="108"/>
      <c r="G342" s="108"/>
      <c r="M342" s="108"/>
      <c r="N342" s="108"/>
      <c r="O342" s="108"/>
      <c r="P342" s="108"/>
      <c r="Q342" s="108"/>
      <c r="AB342" s="28"/>
    </row>
    <row r="343" spans="1:28" ht="15.75" customHeight="1" x14ac:dyDescent="0.35">
      <c r="A343" s="126"/>
      <c r="B343" s="28"/>
      <c r="C343" s="127"/>
      <c r="D343" s="127"/>
      <c r="E343" s="128"/>
      <c r="F343" s="108"/>
      <c r="G343" s="108"/>
      <c r="M343" s="108"/>
      <c r="N343" s="108"/>
      <c r="O343" s="108"/>
      <c r="P343" s="108"/>
      <c r="Q343" s="108"/>
      <c r="AB343" s="28"/>
    </row>
    <row r="344" spans="1:28" ht="15.75" customHeight="1" x14ac:dyDescent="0.35">
      <c r="A344" s="126"/>
      <c r="B344" s="28"/>
      <c r="C344" s="127"/>
      <c r="D344" s="127"/>
      <c r="E344" s="128"/>
      <c r="F344" s="108"/>
      <c r="G344" s="108"/>
      <c r="M344" s="108"/>
      <c r="N344" s="108"/>
      <c r="O344" s="108"/>
      <c r="P344" s="108"/>
      <c r="Q344" s="108"/>
      <c r="AB344" s="28"/>
    </row>
    <row r="345" spans="1:28" ht="15.75" customHeight="1" x14ac:dyDescent="0.35">
      <c r="A345" s="126"/>
      <c r="B345" s="28"/>
      <c r="C345" s="127"/>
      <c r="D345" s="127"/>
      <c r="E345" s="128"/>
      <c r="F345" s="108"/>
      <c r="G345" s="108"/>
      <c r="M345" s="108"/>
      <c r="N345" s="108"/>
      <c r="O345" s="108"/>
      <c r="P345" s="108"/>
      <c r="Q345" s="108"/>
      <c r="AB345" s="28"/>
    </row>
    <row r="346" spans="1:28" ht="15.75" customHeight="1" x14ac:dyDescent="0.35">
      <c r="A346" s="126"/>
      <c r="B346" s="28"/>
      <c r="C346" s="127"/>
      <c r="D346" s="127"/>
      <c r="E346" s="128"/>
      <c r="F346" s="108"/>
      <c r="G346" s="108"/>
      <c r="M346" s="108"/>
      <c r="N346" s="108"/>
      <c r="O346" s="108"/>
      <c r="P346" s="108"/>
      <c r="Q346" s="108"/>
      <c r="AB346" s="28"/>
    </row>
    <row r="347" spans="1:28" ht="15.75" customHeight="1" x14ac:dyDescent="0.35">
      <c r="A347" s="126"/>
      <c r="B347" s="28"/>
      <c r="C347" s="127"/>
      <c r="D347" s="127"/>
      <c r="E347" s="128"/>
      <c r="F347" s="108"/>
      <c r="G347" s="108"/>
      <c r="M347" s="108"/>
      <c r="N347" s="108"/>
      <c r="O347" s="108"/>
      <c r="P347" s="108"/>
      <c r="Q347" s="108"/>
      <c r="AB347" s="28"/>
    </row>
    <row r="348" spans="1:28" ht="15.75" customHeight="1" x14ac:dyDescent="0.35">
      <c r="A348" s="126"/>
      <c r="B348" s="28"/>
      <c r="C348" s="127"/>
      <c r="D348" s="127"/>
      <c r="E348" s="128"/>
      <c r="F348" s="108"/>
      <c r="G348" s="108"/>
      <c r="M348" s="108"/>
      <c r="N348" s="108"/>
      <c r="O348" s="108"/>
      <c r="P348" s="108"/>
      <c r="Q348" s="108"/>
      <c r="AB348" s="28"/>
    </row>
    <row r="349" spans="1:28" ht="15.75" customHeight="1" x14ac:dyDescent="0.35">
      <c r="A349" s="126"/>
      <c r="B349" s="28"/>
      <c r="C349" s="127"/>
      <c r="D349" s="127"/>
      <c r="E349" s="128"/>
      <c r="F349" s="108"/>
      <c r="G349" s="108"/>
      <c r="M349" s="108"/>
      <c r="N349" s="108"/>
      <c r="O349" s="108"/>
      <c r="P349" s="108"/>
      <c r="Q349" s="108"/>
      <c r="AB349" s="28"/>
    </row>
    <row r="350" spans="1:28" ht="15.75" customHeight="1" x14ac:dyDescent="0.35">
      <c r="A350" s="126"/>
      <c r="B350" s="28"/>
      <c r="C350" s="127"/>
      <c r="D350" s="127"/>
      <c r="E350" s="128"/>
      <c r="F350" s="108"/>
      <c r="G350" s="108"/>
      <c r="M350" s="108"/>
      <c r="N350" s="108"/>
      <c r="O350" s="108"/>
      <c r="P350" s="108"/>
      <c r="Q350" s="108"/>
      <c r="AB350" s="28"/>
    </row>
    <row r="351" spans="1:28" ht="15.75" customHeight="1" x14ac:dyDescent="0.35">
      <c r="A351" s="126"/>
      <c r="B351" s="28"/>
      <c r="C351" s="127"/>
      <c r="D351" s="127"/>
      <c r="E351" s="128"/>
      <c r="F351" s="108"/>
      <c r="G351" s="108"/>
      <c r="M351" s="108"/>
      <c r="N351" s="108"/>
      <c r="O351" s="108"/>
      <c r="P351" s="108"/>
      <c r="Q351" s="108"/>
      <c r="AB351" s="28"/>
    </row>
    <row r="352" spans="1:28" ht="15.75" customHeight="1" x14ac:dyDescent="0.35">
      <c r="A352" s="126"/>
      <c r="B352" s="28"/>
      <c r="C352" s="127"/>
      <c r="D352" s="127"/>
      <c r="E352" s="128"/>
      <c r="F352" s="108"/>
      <c r="G352" s="108"/>
      <c r="M352" s="108"/>
      <c r="N352" s="108"/>
      <c r="O352" s="108"/>
      <c r="P352" s="108"/>
      <c r="Q352" s="108"/>
      <c r="AB352" s="28"/>
    </row>
    <row r="353" spans="1:28" ht="15.75" customHeight="1" x14ac:dyDescent="0.35">
      <c r="A353" s="126"/>
      <c r="B353" s="28"/>
      <c r="C353" s="127"/>
      <c r="D353" s="127"/>
      <c r="E353" s="128"/>
      <c r="F353" s="108"/>
      <c r="G353" s="108"/>
      <c r="M353" s="108"/>
      <c r="N353" s="108"/>
      <c r="O353" s="108"/>
      <c r="P353" s="108"/>
      <c r="Q353" s="108"/>
      <c r="AB353" s="28"/>
    </row>
    <row r="354" spans="1:28" ht="15.75" customHeight="1" x14ac:dyDescent="0.35">
      <c r="A354" s="126"/>
      <c r="B354" s="28"/>
      <c r="C354" s="127"/>
      <c r="D354" s="127"/>
      <c r="E354" s="128"/>
      <c r="F354" s="108"/>
      <c r="G354" s="108"/>
      <c r="M354" s="108"/>
      <c r="N354" s="108"/>
      <c r="O354" s="108"/>
      <c r="P354" s="108"/>
      <c r="Q354" s="108"/>
      <c r="AB354" s="28"/>
    </row>
    <row r="355" spans="1:28" ht="15.75" customHeight="1" x14ac:dyDescent="0.35">
      <c r="A355" s="126"/>
      <c r="B355" s="28"/>
      <c r="C355" s="127"/>
      <c r="D355" s="127"/>
      <c r="E355" s="128"/>
      <c r="F355" s="108"/>
      <c r="G355" s="108"/>
      <c r="M355" s="108"/>
      <c r="N355" s="108"/>
      <c r="O355" s="108"/>
      <c r="P355" s="108"/>
      <c r="Q355" s="108"/>
      <c r="AB355" s="28"/>
    </row>
    <row r="356" spans="1:28" ht="15.75" customHeight="1" x14ac:dyDescent="0.35">
      <c r="A356" s="126"/>
      <c r="B356" s="28"/>
      <c r="C356" s="127"/>
      <c r="D356" s="127"/>
      <c r="E356" s="128"/>
      <c r="F356" s="108"/>
      <c r="G356" s="108"/>
      <c r="M356" s="108"/>
      <c r="N356" s="108"/>
      <c r="O356" s="108"/>
      <c r="P356" s="108"/>
      <c r="Q356" s="108"/>
      <c r="AB356" s="28"/>
    </row>
    <row r="357" spans="1:28" ht="15.75" customHeight="1" x14ac:dyDescent="0.35">
      <c r="A357" s="126"/>
      <c r="B357" s="28"/>
      <c r="C357" s="127"/>
      <c r="D357" s="127"/>
      <c r="E357" s="128"/>
      <c r="F357" s="108"/>
      <c r="G357" s="108"/>
      <c r="M357" s="108"/>
      <c r="N357" s="108"/>
      <c r="O357" s="108"/>
      <c r="P357" s="108"/>
      <c r="Q357" s="108"/>
      <c r="AB357" s="28"/>
    </row>
    <row r="358" spans="1:28" ht="15.75" customHeight="1" x14ac:dyDescent="0.35">
      <c r="A358" s="126"/>
      <c r="B358" s="28"/>
      <c r="C358" s="127"/>
      <c r="D358" s="127"/>
      <c r="E358" s="128"/>
      <c r="F358" s="108"/>
      <c r="G358" s="108"/>
      <c r="M358" s="108"/>
      <c r="N358" s="108"/>
      <c r="O358" s="108"/>
      <c r="P358" s="108"/>
      <c r="Q358" s="108"/>
      <c r="AB358" s="28"/>
    </row>
    <row r="359" spans="1:28" ht="15.75" customHeight="1" x14ac:dyDescent="0.35">
      <c r="A359" s="126"/>
      <c r="B359" s="28"/>
      <c r="C359" s="127"/>
      <c r="D359" s="127"/>
      <c r="E359" s="128"/>
      <c r="F359" s="108"/>
      <c r="G359" s="108"/>
      <c r="M359" s="108"/>
      <c r="N359" s="108"/>
      <c r="O359" s="108"/>
      <c r="P359" s="108"/>
      <c r="Q359" s="108"/>
      <c r="AB359" s="28"/>
    </row>
    <row r="360" spans="1:28" ht="15.75" customHeight="1" x14ac:dyDescent="0.35">
      <c r="A360" s="126"/>
      <c r="B360" s="28"/>
      <c r="C360" s="127"/>
      <c r="D360" s="127"/>
      <c r="E360" s="128"/>
      <c r="F360" s="108"/>
      <c r="G360" s="108"/>
      <c r="M360" s="108"/>
      <c r="N360" s="108"/>
      <c r="O360" s="108"/>
      <c r="P360" s="108"/>
      <c r="Q360" s="108"/>
      <c r="AB360" s="28"/>
    </row>
    <row r="361" spans="1:28" ht="15.75" customHeight="1" x14ac:dyDescent="0.35">
      <c r="A361" s="126"/>
      <c r="B361" s="28"/>
      <c r="C361" s="127"/>
      <c r="D361" s="127"/>
      <c r="E361" s="128"/>
      <c r="F361" s="108"/>
      <c r="G361" s="108"/>
      <c r="M361" s="108"/>
      <c r="N361" s="108"/>
      <c r="O361" s="108"/>
      <c r="P361" s="108"/>
      <c r="Q361" s="108"/>
      <c r="AB361" s="28"/>
    </row>
    <row r="362" spans="1:28" ht="15.75" customHeight="1" x14ac:dyDescent="0.35">
      <c r="A362" s="126"/>
      <c r="B362" s="28"/>
      <c r="C362" s="127"/>
      <c r="D362" s="127"/>
      <c r="E362" s="128"/>
      <c r="F362" s="108"/>
      <c r="G362" s="108"/>
      <c r="M362" s="108"/>
      <c r="N362" s="108"/>
      <c r="O362" s="108"/>
      <c r="P362" s="108"/>
      <c r="Q362" s="108"/>
      <c r="AB362" s="28"/>
    </row>
    <row r="363" spans="1:28" ht="15.75" customHeight="1" x14ac:dyDescent="0.35">
      <c r="A363" s="126"/>
      <c r="B363" s="28"/>
      <c r="C363" s="127"/>
      <c r="D363" s="127"/>
      <c r="E363" s="128"/>
      <c r="F363" s="108"/>
      <c r="G363" s="108"/>
      <c r="M363" s="108"/>
      <c r="N363" s="108"/>
      <c r="O363" s="108"/>
      <c r="P363" s="108"/>
      <c r="Q363" s="108"/>
      <c r="AB363" s="28"/>
    </row>
    <row r="364" spans="1:28" ht="15.75" customHeight="1" x14ac:dyDescent="0.35">
      <c r="A364" s="126"/>
      <c r="B364" s="28"/>
      <c r="C364" s="127"/>
      <c r="D364" s="127"/>
      <c r="E364" s="128"/>
      <c r="F364" s="108"/>
      <c r="G364" s="108"/>
      <c r="M364" s="108"/>
      <c r="N364" s="108"/>
      <c r="O364" s="108"/>
      <c r="P364" s="108"/>
      <c r="Q364" s="108"/>
      <c r="AB364" s="28"/>
    </row>
    <row r="365" spans="1:28" ht="15.75" customHeight="1" x14ac:dyDescent="0.35">
      <c r="A365" s="126"/>
      <c r="B365" s="28"/>
      <c r="C365" s="127"/>
      <c r="D365" s="127"/>
      <c r="E365" s="128"/>
      <c r="F365" s="108"/>
      <c r="G365" s="108"/>
      <c r="M365" s="108"/>
      <c r="N365" s="108"/>
      <c r="O365" s="108"/>
      <c r="P365" s="108"/>
      <c r="Q365" s="108"/>
      <c r="AB365" s="28"/>
    </row>
    <row r="366" spans="1:28" ht="15.75" customHeight="1" x14ac:dyDescent="0.35">
      <c r="A366" s="126"/>
      <c r="B366" s="28"/>
      <c r="C366" s="127"/>
      <c r="D366" s="127"/>
      <c r="E366" s="128"/>
      <c r="F366" s="108"/>
      <c r="G366" s="108"/>
      <c r="M366" s="108"/>
      <c r="N366" s="108"/>
      <c r="O366" s="108"/>
      <c r="P366" s="108"/>
      <c r="Q366" s="108"/>
      <c r="AB366" s="28"/>
    </row>
    <row r="367" spans="1:28" ht="15.75" customHeight="1" x14ac:dyDescent="0.35">
      <c r="A367" s="126"/>
      <c r="B367" s="28"/>
      <c r="C367" s="127"/>
      <c r="D367" s="127"/>
      <c r="E367" s="128"/>
      <c r="F367" s="108"/>
      <c r="G367" s="108"/>
      <c r="M367" s="108"/>
      <c r="N367" s="108"/>
      <c r="O367" s="108"/>
      <c r="P367" s="108"/>
      <c r="Q367" s="108"/>
      <c r="AB367" s="28"/>
    </row>
    <row r="368" spans="1:28" ht="15.75" customHeight="1" x14ac:dyDescent="0.35">
      <c r="A368" s="126"/>
      <c r="B368" s="28"/>
      <c r="C368" s="127"/>
      <c r="D368" s="127"/>
      <c r="E368" s="128"/>
      <c r="F368" s="108"/>
      <c r="G368" s="108"/>
      <c r="M368" s="108"/>
      <c r="N368" s="108"/>
      <c r="O368" s="108"/>
      <c r="P368" s="108"/>
      <c r="Q368" s="108"/>
      <c r="AB368" s="28"/>
    </row>
    <row r="369" spans="1:28" ht="15.75" customHeight="1" x14ac:dyDescent="0.35">
      <c r="A369" s="126"/>
      <c r="B369" s="28"/>
      <c r="C369" s="127"/>
      <c r="D369" s="127"/>
      <c r="E369" s="128"/>
      <c r="F369" s="108"/>
      <c r="G369" s="108"/>
      <c r="M369" s="108"/>
      <c r="N369" s="108"/>
      <c r="O369" s="108"/>
      <c r="P369" s="108"/>
      <c r="Q369" s="108"/>
      <c r="AB369" s="28"/>
    </row>
    <row r="370" spans="1:28" ht="15.75" customHeight="1" x14ac:dyDescent="0.35">
      <c r="A370" s="126"/>
      <c r="B370" s="28"/>
      <c r="C370" s="127"/>
      <c r="D370" s="127"/>
      <c r="E370" s="128"/>
      <c r="F370" s="108"/>
      <c r="G370" s="108"/>
      <c r="M370" s="108"/>
      <c r="N370" s="108"/>
      <c r="O370" s="108"/>
      <c r="P370" s="108"/>
      <c r="Q370" s="108"/>
      <c r="AB370" s="28"/>
    </row>
    <row r="371" spans="1:28" ht="15.75" customHeight="1" x14ac:dyDescent="0.35">
      <c r="A371" s="126"/>
      <c r="B371" s="28"/>
      <c r="C371" s="127"/>
      <c r="D371" s="127"/>
      <c r="E371" s="128"/>
      <c r="F371" s="108"/>
      <c r="G371" s="108"/>
      <c r="M371" s="108"/>
      <c r="N371" s="108"/>
      <c r="O371" s="108"/>
      <c r="P371" s="108"/>
      <c r="Q371" s="108"/>
      <c r="AB371" s="28"/>
    </row>
    <row r="372" spans="1:28" ht="15.75" customHeight="1" x14ac:dyDescent="0.35">
      <c r="A372" s="126"/>
      <c r="B372" s="28"/>
      <c r="C372" s="127"/>
      <c r="D372" s="127"/>
      <c r="E372" s="128"/>
      <c r="F372" s="108"/>
      <c r="G372" s="108"/>
      <c r="M372" s="108"/>
      <c r="N372" s="108"/>
      <c r="O372" s="108"/>
      <c r="P372" s="108"/>
      <c r="Q372" s="108"/>
      <c r="AB372" s="28"/>
    </row>
    <row r="373" spans="1:28" ht="15.75" customHeight="1" x14ac:dyDescent="0.35">
      <c r="A373" s="126"/>
      <c r="B373" s="28"/>
      <c r="C373" s="127"/>
      <c r="D373" s="127"/>
      <c r="E373" s="128"/>
      <c r="F373" s="108"/>
      <c r="G373" s="108"/>
      <c r="M373" s="108"/>
      <c r="N373" s="108"/>
      <c r="O373" s="108"/>
      <c r="P373" s="108"/>
      <c r="Q373" s="108"/>
      <c r="AB373" s="28"/>
    </row>
    <row r="374" spans="1:28" ht="15.75" customHeight="1" x14ac:dyDescent="0.35">
      <c r="A374" s="126"/>
      <c r="B374" s="28"/>
      <c r="C374" s="127"/>
      <c r="D374" s="127"/>
      <c r="E374" s="128"/>
      <c r="F374" s="108"/>
      <c r="G374" s="108"/>
      <c r="M374" s="108"/>
      <c r="N374" s="108"/>
      <c r="O374" s="108"/>
      <c r="P374" s="108"/>
      <c r="Q374" s="108"/>
      <c r="AB374" s="28"/>
    </row>
    <row r="375" spans="1:28" ht="15.75" customHeight="1" x14ac:dyDescent="0.35">
      <c r="A375" s="126"/>
      <c r="B375" s="28"/>
      <c r="C375" s="127"/>
      <c r="D375" s="127"/>
      <c r="E375" s="128"/>
      <c r="F375" s="108"/>
      <c r="G375" s="108"/>
      <c r="M375" s="108"/>
      <c r="N375" s="108"/>
      <c r="O375" s="108"/>
      <c r="P375" s="108"/>
      <c r="Q375" s="108"/>
      <c r="AB375" s="28"/>
    </row>
    <row r="376" spans="1:28" ht="15.75" customHeight="1" x14ac:dyDescent="0.35">
      <c r="A376" s="126"/>
      <c r="B376" s="28"/>
      <c r="C376" s="127"/>
      <c r="D376" s="127"/>
      <c r="E376" s="128"/>
      <c r="F376" s="108"/>
      <c r="G376" s="108"/>
      <c r="M376" s="108"/>
      <c r="N376" s="108"/>
      <c r="O376" s="108"/>
      <c r="P376" s="108"/>
      <c r="Q376" s="108"/>
      <c r="AB376" s="28"/>
    </row>
    <row r="377" spans="1:28" ht="15.75" customHeight="1" x14ac:dyDescent="0.35">
      <c r="A377" s="126"/>
      <c r="B377" s="28"/>
      <c r="C377" s="127"/>
      <c r="D377" s="127"/>
      <c r="E377" s="128"/>
      <c r="F377" s="108"/>
      <c r="G377" s="108"/>
      <c r="M377" s="108"/>
      <c r="N377" s="108"/>
      <c r="O377" s="108"/>
      <c r="P377" s="108"/>
      <c r="Q377" s="108"/>
      <c r="AB377" s="28"/>
    </row>
    <row r="378" spans="1:28" ht="15.75" customHeight="1" x14ac:dyDescent="0.35">
      <c r="A378" s="126"/>
      <c r="B378" s="28"/>
      <c r="C378" s="127"/>
      <c r="D378" s="127"/>
      <c r="E378" s="128"/>
      <c r="F378" s="108"/>
      <c r="G378" s="108"/>
      <c r="M378" s="108"/>
      <c r="N378" s="108"/>
      <c r="O378" s="108"/>
      <c r="P378" s="108"/>
      <c r="Q378" s="108"/>
      <c r="AB378" s="28"/>
    </row>
    <row r="379" spans="1:28" ht="15.75" customHeight="1" x14ac:dyDescent="0.35">
      <c r="A379" s="126"/>
      <c r="B379" s="28"/>
      <c r="C379" s="127"/>
      <c r="D379" s="127"/>
      <c r="E379" s="128"/>
      <c r="F379" s="108"/>
      <c r="G379" s="108"/>
      <c r="M379" s="108"/>
      <c r="N379" s="108"/>
      <c r="O379" s="108"/>
      <c r="P379" s="108"/>
      <c r="Q379" s="108"/>
      <c r="AB379" s="28"/>
    </row>
    <row r="380" spans="1:28" ht="15.75" customHeight="1" x14ac:dyDescent="0.35">
      <c r="A380" s="126"/>
      <c r="B380" s="28"/>
      <c r="C380" s="127"/>
      <c r="D380" s="127"/>
      <c r="E380" s="128"/>
      <c r="F380" s="108"/>
      <c r="G380" s="108"/>
      <c r="M380" s="108"/>
      <c r="N380" s="108"/>
      <c r="O380" s="108"/>
      <c r="P380" s="108"/>
      <c r="Q380" s="108"/>
      <c r="AB380" s="28"/>
    </row>
    <row r="381" spans="1:28" ht="15.75" customHeight="1" x14ac:dyDescent="0.35">
      <c r="A381" s="126"/>
      <c r="B381" s="28"/>
      <c r="C381" s="127"/>
      <c r="D381" s="127"/>
      <c r="E381" s="128"/>
      <c r="F381" s="108"/>
      <c r="G381" s="108"/>
      <c r="M381" s="108"/>
      <c r="N381" s="108"/>
      <c r="O381" s="108"/>
      <c r="P381" s="108"/>
      <c r="Q381" s="108"/>
      <c r="AB381" s="28"/>
    </row>
    <row r="382" spans="1:28" ht="15.75" customHeight="1" x14ac:dyDescent="0.35">
      <c r="A382" s="126"/>
      <c r="B382" s="28"/>
      <c r="C382" s="127"/>
      <c r="D382" s="127"/>
      <c r="E382" s="128"/>
      <c r="F382" s="108"/>
      <c r="G382" s="108"/>
      <c r="M382" s="108"/>
      <c r="N382" s="108"/>
      <c r="O382" s="108"/>
      <c r="P382" s="108"/>
      <c r="Q382" s="108"/>
      <c r="AB382" s="28"/>
    </row>
    <row r="383" spans="1:28" ht="15.75" customHeight="1" x14ac:dyDescent="0.35">
      <c r="A383" s="126"/>
      <c r="B383" s="28"/>
      <c r="C383" s="127"/>
      <c r="D383" s="127"/>
      <c r="E383" s="128"/>
      <c r="F383" s="108"/>
      <c r="G383" s="108"/>
      <c r="M383" s="108"/>
      <c r="N383" s="108"/>
      <c r="O383" s="108"/>
      <c r="P383" s="108"/>
      <c r="Q383" s="108"/>
      <c r="AB383" s="28"/>
    </row>
    <row r="384" spans="1:28" ht="15.75" customHeight="1" x14ac:dyDescent="0.35">
      <c r="A384" s="126"/>
      <c r="B384" s="28"/>
      <c r="C384" s="127"/>
      <c r="D384" s="127"/>
      <c r="E384" s="128"/>
      <c r="F384" s="108"/>
      <c r="G384" s="108"/>
      <c r="M384" s="108"/>
      <c r="N384" s="108"/>
      <c r="O384" s="108"/>
      <c r="P384" s="108"/>
      <c r="Q384" s="108"/>
      <c r="AB384" s="28"/>
    </row>
    <row r="385" spans="1:28" ht="15.75" customHeight="1" x14ac:dyDescent="0.35">
      <c r="A385" s="126"/>
      <c r="B385" s="28"/>
      <c r="C385" s="127"/>
      <c r="D385" s="127"/>
      <c r="E385" s="128"/>
      <c r="F385" s="108"/>
      <c r="G385" s="108"/>
      <c r="M385" s="108"/>
      <c r="N385" s="108"/>
      <c r="O385" s="108"/>
      <c r="P385" s="108"/>
      <c r="Q385" s="108"/>
      <c r="AB385" s="28"/>
    </row>
    <row r="386" spans="1:28" ht="15.75" customHeight="1" x14ac:dyDescent="0.35">
      <c r="A386" s="126"/>
      <c r="B386" s="28"/>
      <c r="C386" s="127"/>
      <c r="D386" s="127"/>
      <c r="E386" s="128"/>
      <c r="F386" s="108"/>
      <c r="G386" s="108"/>
      <c r="M386" s="108"/>
      <c r="N386" s="108"/>
      <c r="O386" s="108"/>
      <c r="P386" s="108"/>
      <c r="Q386" s="108"/>
      <c r="AB386" s="28"/>
    </row>
    <row r="387" spans="1:28" ht="15.75" customHeight="1" x14ac:dyDescent="0.35">
      <c r="A387" s="126"/>
      <c r="B387" s="28"/>
      <c r="C387" s="127"/>
      <c r="D387" s="127"/>
      <c r="E387" s="128"/>
      <c r="F387" s="108"/>
      <c r="G387" s="108"/>
      <c r="M387" s="108"/>
      <c r="N387" s="108"/>
      <c r="O387" s="108"/>
      <c r="P387" s="108"/>
      <c r="Q387" s="108"/>
      <c r="AB387" s="28"/>
    </row>
    <row r="388" spans="1:28" ht="15.75" customHeight="1" x14ac:dyDescent="0.35">
      <c r="A388" s="126"/>
      <c r="B388" s="28"/>
      <c r="C388" s="127"/>
      <c r="D388" s="127"/>
      <c r="E388" s="128"/>
      <c r="F388" s="108"/>
      <c r="G388" s="108"/>
      <c r="M388" s="108"/>
      <c r="N388" s="108"/>
      <c r="O388" s="108"/>
      <c r="P388" s="108"/>
      <c r="Q388" s="108"/>
      <c r="AB388" s="28"/>
    </row>
    <row r="389" spans="1:28" ht="15.75" customHeight="1" x14ac:dyDescent="0.35">
      <c r="A389" s="126"/>
      <c r="B389" s="28"/>
      <c r="C389" s="127"/>
      <c r="D389" s="127"/>
      <c r="E389" s="128"/>
      <c r="F389" s="108"/>
      <c r="G389" s="108"/>
      <c r="M389" s="108"/>
      <c r="N389" s="108"/>
      <c r="O389" s="108"/>
      <c r="P389" s="108"/>
      <c r="Q389" s="108"/>
      <c r="AB389" s="28"/>
    </row>
    <row r="390" spans="1:28" ht="15.75" customHeight="1" x14ac:dyDescent="0.35">
      <c r="A390" s="126"/>
      <c r="B390" s="28"/>
      <c r="C390" s="127"/>
      <c r="D390" s="127"/>
      <c r="E390" s="128"/>
      <c r="F390" s="108"/>
      <c r="G390" s="108"/>
      <c r="M390" s="108"/>
      <c r="N390" s="108"/>
      <c r="O390" s="108"/>
      <c r="P390" s="108"/>
      <c r="Q390" s="108"/>
      <c r="AB390" s="28"/>
    </row>
    <row r="391" spans="1:28" ht="15.75" customHeight="1" x14ac:dyDescent="0.35">
      <c r="A391" s="126"/>
      <c r="B391" s="28"/>
      <c r="C391" s="127"/>
      <c r="D391" s="127"/>
      <c r="E391" s="128"/>
      <c r="F391" s="108"/>
      <c r="G391" s="108"/>
      <c r="M391" s="108"/>
      <c r="N391" s="108"/>
      <c r="O391" s="108"/>
      <c r="P391" s="108"/>
      <c r="Q391" s="108"/>
      <c r="AB391" s="28"/>
    </row>
    <row r="392" spans="1:28" ht="15.75" customHeight="1" x14ac:dyDescent="0.35">
      <c r="A392" s="126"/>
      <c r="B392" s="28"/>
      <c r="C392" s="127"/>
      <c r="D392" s="127"/>
      <c r="E392" s="128"/>
      <c r="F392" s="108"/>
      <c r="G392" s="108"/>
      <c r="M392" s="108"/>
      <c r="N392" s="108"/>
      <c r="O392" s="108"/>
      <c r="P392" s="108"/>
      <c r="Q392" s="108"/>
      <c r="AB392" s="28"/>
    </row>
    <row r="393" spans="1:28" ht="15.75" customHeight="1" x14ac:dyDescent="0.35">
      <c r="A393" s="126"/>
      <c r="B393" s="28"/>
      <c r="C393" s="127"/>
      <c r="D393" s="127"/>
      <c r="E393" s="128"/>
      <c r="F393" s="108"/>
      <c r="G393" s="108"/>
      <c r="M393" s="108"/>
      <c r="N393" s="108"/>
      <c r="O393" s="108"/>
      <c r="P393" s="108"/>
      <c r="Q393" s="108"/>
      <c r="AB393" s="28"/>
    </row>
    <row r="394" spans="1:28" ht="15.75" customHeight="1" x14ac:dyDescent="0.35">
      <c r="A394" s="126"/>
      <c r="B394" s="28"/>
      <c r="C394" s="127"/>
      <c r="D394" s="127"/>
      <c r="E394" s="128"/>
      <c r="F394" s="108"/>
      <c r="G394" s="108"/>
      <c r="M394" s="108"/>
      <c r="N394" s="108"/>
      <c r="O394" s="108"/>
      <c r="P394" s="108"/>
      <c r="Q394" s="108"/>
      <c r="AB394" s="28"/>
    </row>
    <row r="395" spans="1:28" ht="15.75" customHeight="1" x14ac:dyDescent="0.35">
      <c r="A395" s="126"/>
      <c r="B395" s="28"/>
      <c r="C395" s="127"/>
      <c r="D395" s="127"/>
      <c r="E395" s="128"/>
      <c r="F395" s="108"/>
      <c r="G395" s="108"/>
      <c r="M395" s="108"/>
      <c r="N395" s="108"/>
      <c r="O395" s="108"/>
      <c r="P395" s="108"/>
      <c r="Q395" s="108"/>
      <c r="AB395" s="28"/>
    </row>
    <row r="396" spans="1:28" ht="15.75" customHeight="1" x14ac:dyDescent="0.35">
      <c r="A396" s="126"/>
      <c r="B396" s="28"/>
      <c r="C396" s="127"/>
      <c r="D396" s="127"/>
      <c r="E396" s="128"/>
      <c r="F396" s="108"/>
      <c r="G396" s="108"/>
      <c r="M396" s="108"/>
      <c r="N396" s="108"/>
      <c r="O396" s="108"/>
      <c r="P396" s="108"/>
      <c r="Q396" s="108"/>
      <c r="AB396" s="28"/>
    </row>
    <row r="397" spans="1:28" ht="15.75" customHeight="1" x14ac:dyDescent="0.35">
      <c r="A397" s="126"/>
      <c r="B397" s="28"/>
      <c r="C397" s="127"/>
      <c r="D397" s="127"/>
      <c r="E397" s="128"/>
      <c r="F397" s="108"/>
      <c r="G397" s="108"/>
      <c r="M397" s="108"/>
      <c r="N397" s="108"/>
      <c r="O397" s="108"/>
      <c r="P397" s="108"/>
      <c r="Q397" s="108"/>
      <c r="AB397" s="28"/>
    </row>
    <row r="398" spans="1:28" ht="15.75" customHeight="1" x14ac:dyDescent="0.35">
      <c r="A398" s="126"/>
      <c r="B398" s="28"/>
      <c r="C398" s="127"/>
      <c r="D398" s="127"/>
      <c r="E398" s="128"/>
      <c r="F398" s="108"/>
      <c r="G398" s="108"/>
      <c r="M398" s="108"/>
      <c r="N398" s="108"/>
      <c r="O398" s="108"/>
      <c r="P398" s="108"/>
      <c r="Q398" s="108"/>
      <c r="AB398" s="28"/>
    </row>
    <row r="399" spans="1:28" ht="15.75" customHeight="1" x14ac:dyDescent="0.35">
      <c r="A399" s="126"/>
      <c r="B399" s="28"/>
      <c r="C399" s="127"/>
      <c r="D399" s="127"/>
      <c r="E399" s="128"/>
      <c r="F399" s="108"/>
      <c r="G399" s="108"/>
      <c r="M399" s="108"/>
      <c r="N399" s="108"/>
      <c r="O399" s="108"/>
      <c r="P399" s="108"/>
      <c r="Q399" s="108"/>
      <c r="AB399" s="28"/>
    </row>
    <row r="400" spans="1:28" ht="15.75" customHeight="1" x14ac:dyDescent="0.35">
      <c r="A400" s="126"/>
      <c r="B400" s="28"/>
      <c r="C400" s="127"/>
      <c r="D400" s="127"/>
      <c r="E400" s="128"/>
      <c r="F400" s="108"/>
      <c r="G400" s="108"/>
      <c r="M400" s="108"/>
      <c r="N400" s="108"/>
      <c r="O400" s="108"/>
      <c r="P400" s="108"/>
      <c r="Q400" s="108"/>
      <c r="AB400" s="28"/>
    </row>
    <row r="401" spans="1:28" ht="15.75" customHeight="1" x14ac:dyDescent="0.35">
      <c r="A401" s="126"/>
      <c r="B401" s="28"/>
      <c r="C401" s="127"/>
      <c r="D401" s="127"/>
      <c r="E401" s="128"/>
      <c r="F401" s="108"/>
      <c r="G401" s="108"/>
      <c r="M401" s="108"/>
      <c r="N401" s="108"/>
      <c r="O401" s="108"/>
      <c r="P401" s="108"/>
      <c r="Q401" s="108"/>
      <c r="AB401" s="28"/>
    </row>
    <row r="402" spans="1:28" ht="15.75" customHeight="1" x14ac:dyDescent="0.35">
      <c r="A402" s="126"/>
      <c r="B402" s="28"/>
      <c r="C402" s="127"/>
      <c r="D402" s="127"/>
      <c r="E402" s="128"/>
      <c r="F402" s="108"/>
      <c r="G402" s="108"/>
      <c r="M402" s="108"/>
      <c r="N402" s="108"/>
      <c r="O402" s="108"/>
      <c r="P402" s="108"/>
      <c r="Q402" s="108"/>
      <c r="AB402" s="28"/>
    </row>
    <row r="403" spans="1:28" ht="15.75" customHeight="1" x14ac:dyDescent="0.35">
      <c r="A403" s="126"/>
      <c r="B403" s="28"/>
      <c r="C403" s="127"/>
      <c r="D403" s="127"/>
      <c r="E403" s="128"/>
      <c r="F403" s="108"/>
      <c r="G403" s="108"/>
      <c r="M403" s="108"/>
      <c r="N403" s="108"/>
      <c r="O403" s="108"/>
      <c r="P403" s="108"/>
      <c r="Q403" s="108"/>
      <c r="AB403" s="28"/>
    </row>
    <row r="404" spans="1:28" ht="15.75" customHeight="1" x14ac:dyDescent="0.35">
      <c r="A404" s="126"/>
      <c r="B404" s="28"/>
      <c r="C404" s="127"/>
      <c r="D404" s="127"/>
      <c r="E404" s="128"/>
      <c r="F404" s="108"/>
      <c r="G404" s="108"/>
      <c r="M404" s="108"/>
      <c r="N404" s="108"/>
      <c r="O404" s="108"/>
      <c r="P404" s="108"/>
      <c r="Q404" s="108"/>
      <c r="AB404" s="28"/>
    </row>
    <row r="405" spans="1:28" ht="15.75" customHeight="1" x14ac:dyDescent="0.35">
      <c r="A405" s="126"/>
      <c r="B405" s="28"/>
      <c r="C405" s="127"/>
      <c r="D405" s="127"/>
      <c r="E405" s="128"/>
      <c r="F405" s="108"/>
      <c r="G405" s="108"/>
      <c r="M405" s="108"/>
      <c r="N405" s="108"/>
      <c r="O405" s="108"/>
      <c r="P405" s="108"/>
      <c r="Q405" s="108"/>
      <c r="AB405" s="28"/>
    </row>
    <row r="406" spans="1:28" ht="15.75" customHeight="1" x14ac:dyDescent="0.35">
      <c r="A406" s="126"/>
      <c r="B406" s="28"/>
      <c r="C406" s="127"/>
      <c r="D406" s="127"/>
      <c r="E406" s="128"/>
      <c r="F406" s="108"/>
      <c r="G406" s="108"/>
      <c r="M406" s="108"/>
      <c r="N406" s="108"/>
      <c r="O406" s="108"/>
      <c r="P406" s="108"/>
      <c r="Q406" s="108"/>
      <c r="AB406" s="28"/>
    </row>
    <row r="407" spans="1:28" ht="15.75" customHeight="1" x14ac:dyDescent="0.35">
      <c r="A407" s="126"/>
      <c r="B407" s="28"/>
      <c r="C407" s="127"/>
      <c r="D407" s="127"/>
      <c r="E407" s="128"/>
      <c r="F407" s="108"/>
      <c r="G407" s="108"/>
      <c r="M407" s="108"/>
      <c r="N407" s="108"/>
      <c r="O407" s="108"/>
      <c r="P407" s="108"/>
      <c r="Q407" s="108"/>
      <c r="AB407" s="28"/>
    </row>
    <row r="408" spans="1:28" ht="15.75" customHeight="1" x14ac:dyDescent="0.35">
      <c r="A408" s="126"/>
      <c r="B408" s="28"/>
      <c r="C408" s="127"/>
      <c r="D408" s="127"/>
      <c r="E408" s="128"/>
      <c r="F408" s="108"/>
      <c r="G408" s="108"/>
      <c r="M408" s="108"/>
      <c r="N408" s="108"/>
      <c r="O408" s="108"/>
      <c r="P408" s="108"/>
      <c r="Q408" s="108"/>
      <c r="AB408" s="28"/>
    </row>
    <row r="409" spans="1:28" ht="15.75" customHeight="1" x14ac:dyDescent="0.35">
      <c r="A409" s="126"/>
      <c r="B409" s="28"/>
      <c r="C409" s="127"/>
      <c r="D409" s="127"/>
      <c r="E409" s="128"/>
      <c r="F409" s="108"/>
      <c r="G409" s="108"/>
      <c r="M409" s="108"/>
      <c r="N409" s="108"/>
      <c r="O409" s="108"/>
      <c r="P409" s="108"/>
      <c r="Q409" s="108"/>
      <c r="AB409" s="28"/>
    </row>
    <row r="410" spans="1:28" ht="15.75" customHeight="1" x14ac:dyDescent="0.35">
      <c r="A410" s="126"/>
      <c r="B410" s="28"/>
      <c r="C410" s="127"/>
      <c r="D410" s="127"/>
      <c r="E410" s="128"/>
      <c r="F410" s="108"/>
      <c r="G410" s="108"/>
      <c r="M410" s="108"/>
      <c r="N410" s="108"/>
      <c r="O410" s="108"/>
      <c r="P410" s="108"/>
      <c r="Q410" s="108"/>
      <c r="AB410" s="28"/>
    </row>
    <row r="411" spans="1:28" ht="15.75" customHeight="1" x14ac:dyDescent="0.35">
      <c r="A411" s="126"/>
      <c r="B411" s="28"/>
      <c r="C411" s="127"/>
      <c r="D411" s="127"/>
      <c r="E411" s="128"/>
      <c r="F411" s="108"/>
      <c r="G411" s="108"/>
      <c r="M411" s="108"/>
      <c r="N411" s="108"/>
      <c r="O411" s="108"/>
      <c r="P411" s="108"/>
      <c r="Q411" s="108"/>
      <c r="AB411" s="28"/>
    </row>
    <row r="412" spans="1:28" ht="15.75" customHeight="1" x14ac:dyDescent="0.35">
      <c r="A412" s="126"/>
      <c r="B412" s="28"/>
      <c r="C412" s="127"/>
      <c r="D412" s="127"/>
      <c r="E412" s="128"/>
      <c r="F412" s="108"/>
      <c r="G412" s="108"/>
      <c r="M412" s="108"/>
      <c r="N412" s="108"/>
      <c r="O412" s="108"/>
      <c r="P412" s="108"/>
      <c r="Q412" s="108"/>
      <c r="AB412" s="28"/>
    </row>
    <row r="413" spans="1:28" ht="15.75" customHeight="1" x14ac:dyDescent="0.35">
      <c r="A413" s="126"/>
      <c r="B413" s="28"/>
      <c r="C413" s="127"/>
      <c r="D413" s="127"/>
      <c r="E413" s="128"/>
      <c r="F413" s="108"/>
      <c r="G413" s="108"/>
      <c r="M413" s="108"/>
      <c r="N413" s="108"/>
      <c r="O413" s="108"/>
      <c r="P413" s="108"/>
      <c r="Q413" s="108"/>
      <c r="AB413" s="28"/>
    </row>
    <row r="414" spans="1:28" ht="15.75" customHeight="1" x14ac:dyDescent="0.35">
      <c r="A414" s="126"/>
      <c r="B414" s="28"/>
      <c r="C414" s="127"/>
      <c r="D414" s="127"/>
      <c r="E414" s="128"/>
      <c r="F414" s="108"/>
      <c r="G414" s="108"/>
      <c r="M414" s="108"/>
      <c r="N414" s="108"/>
      <c r="O414" s="108"/>
      <c r="P414" s="108"/>
      <c r="Q414" s="108"/>
      <c r="AB414" s="28"/>
    </row>
    <row r="415" spans="1:28" ht="15.75" customHeight="1" x14ac:dyDescent="0.35">
      <c r="A415" s="126"/>
      <c r="B415" s="28"/>
      <c r="C415" s="127"/>
      <c r="D415" s="127"/>
      <c r="E415" s="128"/>
      <c r="F415" s="108"/>
      <c r="G415" s="108"/>
      <c r="M415" s="108"/>
      <c r="N415" s="108"/>
      <c r="O415" s="108"/>
      <c r="P415" s="108"/>
      <c r="Q415" s="108"/>
      <c r="AB415" s="28"/>
    </row>
    <row r="416" spans="1:28" ht="15.75" customHeight="1" x14ac:dyDescent="0.35">
      <c r="A416" s="126"/>
      <c r="B416" s="28"/>
      <c r="C416" s="127"/>
      <c r="D416" s="127"/>
      <c r="E416" s="128"/>
      <c r="F416" s="108"/>
      <c r="G416" s="108"/>
      <c r="M416" s="108"/>
      <c r="N416" s="108"/>
      <c r="O416" s="108"/>
      <c r="P416" s="108"/>
      <c r="Q416" s="108"/>
      <c r="AB416" s="28"/>
    </row>
    <row r="417" spans="1:28" ht="15.75" customHeight="1" x14ac:dyDescent="0.35">
      <c r="A417" s="126"/>
      <c r="B417" s="28"/>
      <c r="C417" s="127"/>
      <c r="D417" s="127"/>
      <c r="E417" s="128"/>
      <c r="F417" s="108"/>
      <c r="G417" s="108"/>
      <c r="M417" s="108"/>
      <c r="N417" s="108"/>
      <c r="O417" s="108"/>
      <c r="P417" s="108"/>
      <c r="Q417" s="108"/>
      <c r="AB417" s="28"/>
    </row>
    <row r="418" spans="1:28" ht="15.75" customHeight="1" x14ac:dyDescent="0.35">
      <c r="A418" s="126"/>
      <c r="B418" s="28"/>
      <c r="C418" s="127"/>
      <c r="D418" s="127"/>
      <c r="E418" s="128"/>
      <c r="F418" s="108"/>
      <c r="G418" s="108"/>
      <c r="M418" s="108"/>
      <c r="N418" s="108"/>
      <c r="O418" s="108"/>
      <c r="P418" s="108"/>
      <c r="Q418" s="108"/>
      <c r="AB418" s="28"/>
    </row>
    <row r="419" spans="1:28" ht="15.75" customHeight="1" x14ac:dyDescent="0.35">
      <c r="A419" s="126"/>
      <c r="B419" s="28"/>
      <c r="C419" s="127"/>
      <c r="D419" s="127"/>
      <c r="E419" s="128"/>
      <c r="F419" s="108"/>
      <c r="G419" s="108"/>
      <c r="M419" s="108"/>
      <c r="N419" s="108"/>
      <c r="O419" s="108"/>
      <c r="P419" s="108"/>
      <c r="Q419" s="108"/>
      <c r="AB419" s="28"/>
    </row>
    <row r="420" spans="1:28" ht="15.75" customHeight="1" x14ac:dyDescent="0.35">
      <c r="A420" s="126"/>
      <c r="B420" s="28"/>
      <c r="C420" s="127"/>
      <c r="D420" s="127"/>
      <c r="E420" s="128"/>
      <c r="F420" s="108"/>
      <c r="G420" s="108"/>
      <c r="M420" s="108"/>
      <c r="N420" s="108"/>
      <c r="O420" s="108"/>
      <c r="P420" s="108"/>
      <c r="Q420" s="108"/>
      <c r="AB420" s="28"/>
    </row>
    <row r="421" spans="1:28" ht="15.75" customHeight="1" x14ac:dyDescent="0.35">
      <c r="A421" s="126"/>
      <c r="B421" s="28"/>
      <c r="C421" s="127"/>
      <c r="D421" s="127"/>
      <c r="E421" s="128"/>
      <c r="F421" s="108"/>
      <c r="G421" s="108"/>
      <c r="M421" s="108"/>
      <c r="N421" s="108"/>
      <c r="O421" s="108"/>
      <c r="P421" s="108"/>
      <c r="Q421" s="108"/>
      <c r="AB421" s="28"/>
    </row>
    <row r="422" spans="1:28" ht="15.75" customHeight="1" x14ac:dyDescent="0.35">
      <c r="A422" s="126"/>
      <c r="B422" s="28"/>
      <c r="C422" s="127"/>
      <c r="D422" s="127"/>
      <c r="E422" s="128"/>
      <c r="F422" s="108"/>
      <c r="G422" s="108"/>
      <c r="M422" s="108"/>
      <c r="N422" s="108"/>
      <c r="O422" s="108"/>
      <c r="P422" s="108"/>
      <c r="Q422" s="108"/>
      <c r="AB422" s="28"/>
    </row>
    <row r="423" spans="1:28" ht="15.75" customHeight="1" x14ac:dyDescent="0.35">
      <c r="A423" s="126"/>
      <c r="B423" s="28"/>
      <c r="C423" s="127"/>
      <c r="D423" s="127"/>
      <c r="E423" s="128"/>
      <c r="F423" s="108"/>
      <c r="G423" s="108"/>
      <c r="M423" s="108"/>
      <c r="N423" s="108"/>
      <c r="O423" s="108"/>
      <c r="P423" s="108"/>
      <c r="Q423" s="108"/>
      <c r="AB423" s="28"/>
    </row>
    <row r="424" spans="1:28" ht="15.75" customHeight="1" x14ac:dyDescent="0.35">
      <c r="A424" s="126"/>
      <c r="B424" s="28"/>
      <c r="C424" s="127"/>
      <c r="D424" s="127"/>
      <c r="E424" s="128"/>
      <c r="F424" s="108"/>
      <c r="G424" s="108"/>
      <c r="M424" s="108"/>
      <c r="N424" s="108"/>
      <c r="O424" s="108"/>
      <c r="P424" s="108"/>
      <c r="Q424" s="108"/>
      <c r="AB424" s="28"/>
    </row>
    <row r="425" spans="1:28" ht="15.75" customHeight="1" x14ac:dyDescent="0.35">
      <c r="A425" s="126"/>
      <c r="B425" s="28"/>
      <c r="C425" s="127"/>
      <c r="D425" s="127"/>
      <c r="E425" s="128"/>
      <c r="F425" s="108"/>
      <c r="G425" s="108"/>
      <c r="M425" s="108"/>
      <c r="N425" s="108"/>
      <c r="O425" s="108"/>
      <c r="P425" s="108"/>
      <c r="Q425" s="108"/>
      <c r="AB425" s="28"/>
    </row>
    <row r="426" spans="1:28" ht="15.75" customHeight="1" x14ac:dyDescent="0.35">
      <c r="A426" s="126"/>
      <c r="B426" s="28"/>
      <c r="C426" s="127"/>
      <c r="D426" s="127"/>
      <c r="E426" s="128"/>
      <c r="F426" s="108"/>
      <c r="G426" s="108"/>
      <c r="M426" s="108"/>
      <c r="N426" s="108"/>
      <c r="O426" s="108"/>
      <c r="P426" s="108"/>
      <c r="Q426" s="108"/>
      <c r="AB426" s="28"/>
    </row>
    <row r="427" spans="1:28" ht="15.75" customHeight="1" x14ac:dyDescent="0.35">
      <c r="A427" s="126"/>
      <c r="B427" s="28"/>
      <c r="C427" s="127"/>
      <c r="D427" s="127"/>
      <c r="E427" s="128"/>
      <c r="F427" s="108"/>
      <c r="G427" s="108"/>
      <c r="M427" s="108"/>
      <c r="N427" s="108"/>
      <c r="O427" s="108"/>
      <c r="P427" s="108"/>
      <c r="Q427" s="108"/>
      <c r="AB427" s="28"/>
    </row>
    <row r="428" spans="1:28" ht="15.75" customHeight="1" x14ac:dyDescent="0.35">
      <c r="A428" s="126"/>
      <c r="B428" s="28"/>
      <c r="C428" s="127"/>
      <c r="D428" s="127"/>
      <c r="E428" s="128"/>
      <c r="F428" s="108"/>
      <c r="G428" s="108"/>
      <c r="M428" s="108"/>
      <c r="N428" s="108"/>
      <c r="O428" s="108"/>
      <c r="P428" s="108"/>
      <c r="Q428" s="108"/>
      <c r="AB428" s="28"/>
    </row>
    <row r="429" spans="1:28" ht="15.75" customHeight="1" x14ac:dyDescent="0.35">
      <c r="A429" s="126"/>
      <c r="B429" s="28"/>
      <c r="C429" s="127"/>
      <c r="D429" s="127"/>
      <c r="E429" s="128"/>
      <c r="F429" s="108"/>
      <c r="G429" s="108"/>
      <c r="M429" s="108"/>
      <c r="N429" s="108"/>
      <c r="O429" s="108"/>
      <c r="P429" s="108"/>
      <c r="Q429" s="108"/>
      <c r="AB429" s="28"/>
    </row>
    <row r="430" spans="1:28" ht="15.75" customHeight="1" x14ac:dyDescent="0.35">
      <c r="A430" s="126"/>
      <c r="B430" s="28"/>
      <c r="C430" s="127"/>
      <c r="D430" s="127"/>
      <c r="E430" s="128"/>
      <c r="F430" s="108"/>
      <c r="G430" s="108"/>
      <c r="M430" s="108"/>
      <c r="N430" s="108"/>
      <c r="O430" s="108"/>
      <c r="P430" s="108"/>
      <c r="Q430" s="108"/>
      <c r="AB430" s="28"/>
    </row>
    <row r="431" spans="1:28" ht="15.75" customHeight="1" x14ac:dyDescent="0.35">
      <c r="A431" s="126"/>
      <c r="B431" s="28"/>
      <c r="C431" s="127"/>
      <c r="D431" s="127"/>
      <c r="E431" s="128"/>
      <c r="F431" s="108"/>
      <c r="G431" s="108"/>
      <c r="M431" s="108"/>
      <c r="N431" s="108"/>
      <c r="O431" s="108"/>
      <c r="P431" s="108"/>
      <c r="Q431" s="108"/>
      <c r="AB431" s="28"/>
    </row>
    <row r="432" spans="1:28" ht="15.75" customHeight="1" x14ac:dyDescent="0.35">
      <c r="A432" s="126"/>
      <c r="B432" s="28"/>
      <c r="C432" s="127"/>
      <c r="D432" s="127"/>
      <c r="E432" s="128"/>
      <c r="F432" s="108"/>
      <c r="G432" s="108"/>
      <c r="M432" s="108"/>
      <c r="N432" s="108"/>
      <c r="O432" s="108"/>
      <c r="P432" s="108"/>
      <c r="Q432" s="108"/>
      <c r="AB432" s="28"/>
    </row>
    <row r="433" spans="1:28" ht="15.75" customHeight="1" x14ac:dyDescent="0.35">
      <c r="A433" s="126"/>
      <c r="B433" s="28"/>
      <c r="C433" s="127"/>
      <c r="D433" s="127"/>
      <c r="E433" s="128"/>
      <c r="F433" s="108"/>
      <c r="G433" s="108"/>
      <c r="M433" s="108"/>
      <c r="N433" s="108"/>
      <c r="O433" s="108"/>
      <c r="P433" s="108"/>
      <c r="Q433" s="108"/>
      <c r="AB433" s="28"/>
    </row>
    <row r="434" spans="1:28" ht="15.75" customHeight="1" x14ac:dyDescent="0.35">
      <c r="A434" s="126"/>
      <c r="B434" s="28"/>
      <c r="C434" s="127"/>
      <c r="D434" s="127"/>
      <c r="E434" s="128"/>
      <c r="F434" s="108"/>
      <c r="G434" s="108"/>
      <c r="M434" s="108"/>
      <c r="N434" s="108"/>
      <c r="O434" s="108"/>
      <c r="P434" s="108"/>
      <c r="Q434" s="108"/>
      <c r="AB434" s="28"/>
    </row>
    <row r="435" spans="1:28" ht="15.75" customHeight="1" x14ac:dyDescent="0.35">
      <c r="A435" s="126"/>
      <c r="B435" s="28"/>
      <c r="C435" s="127"/>
      <c r="D435" s="127"/>
      <c r="E435" s="128"/>
      <c r="F435" s="108"/>
      <c r="G435" s="108"/>
      <c r="M435" s="108"/>
      <c r="N435" s="108"/>
      <c r="O435" s="108"/>
      <c r="P435" s="108"/>
      <c r="Q435" s="108"/>
      <c r="AB435" s="28"/>
    </row>
    <row r="436" spans="1:28" ht="15.75" customHeight="1" x14ac:dyDescent="0.35">
      <c r="A436" s="126"/>
      <c r="B436" s="28"/>
      <c r="C436" s="127"/>
      <c r="D436" s="127"/>
      <c r="E436" s="128"/>
      <c r="F436" s="108"/>
      <c r="G436" s="108"/>
      <c r="M436" s="108"/>
      <c r="N436" s="108"/>
      <c r="O436" s="108"/>
      <c r="P436" s="108"/>
      <c r="Q436" s="108"/>
      <c r="AB436" s="28"/>
    </row>
    <row r="437" spans="1:28" ht="15.75" customHeight="1" x14ac:dyDescent="0.35">
      <c r="A437" s="126"/>
      <c r="B437" s="28"/>
      <c r="C437" s="127"/>
      <c r="D437" s="127"/>
      <c r="E437" s="128"/>
      <c r="F437" s="108"/>
      <c r="G437" s="108"/>
      <c r="M437" s="108"/>
      <c r="N437" s="108"/>
      <c r="O437" s="108"/>
      <c r="P437" s="108"/>
      <c r="Q437" s="108"/>
      <c r="AB437" s="28"/>
    </row>
    <row r="438" spans="1:28" ht="15.75" customHeight="1" x14ac:dyDescent="0.35">
      <c r="A438" s="126"/>
      <c r="B438" s="28"/>
      <c r="C438" s="127"/>
      <c r="D438" s="127"/>
      <c r="E438" s="128"/>
      <c r="F438" s="108"/>
      <c r="G438" s="108"/>
      <c r="M438" s="108"/>
      <c r="N438" s="108"/>
      <c r="O438" s="108"/>
      <c r="P438" s="108"/>
      <c r="Q438" s="108"/>
      <c r="AB438" s="28"/>
    </row>
    <row r="439" spans="1:28" ht="15.75" customHeight="1" x14ac:dyDescent="0.35">
      <c r="A439" s="126"/>
      <c r="B439" s="28"/>
      <c r="C439" s="127"/>
      <c r="D439" s="127"/>
      <c r="E439" s="128"/>
      <c r="F439" s="108"/>
      <c r="G439" s="108"/>
      <c r="M439" s="108"/>
      <c r="N439" s="108"/>
      <c r="O439" s="108"/>
      <c r="P439" s="108"/>
      <c r="Q439" s="108"/>
      <c r="AB439" s="28"/>
    </row>
    <row r="440" spans="1:28" ht="15.75" customHeight="1" x14ac:dyDescent="0.35">
      <c r="A440" s="126"/>
      <c r="B440" s="28"/>
      <c r="C440" s="127"/>
      <c r="D440" s="127"/>
      <c r="E440" s="128"/>
      <c r="F440" s="108"/>
      <c r="G440" s="108"/>
      <c r="M440" s="108"/>
      <c r="N440" s="108"/>
      <c r="O440" s="108"/>
      <c r="P440" s="108"/>
      <c r="Q440" s="108"/>
      <c r="AB440" s="28"/>
    </row>
    <row r="441" spans="1:28" ht="15.75" customHeight="1" x14ac:dyDescent="0.35">
      <c r="A441" s="126"/>
      <c r="B441" s="28"/>
      <c r="C441" s="127"/>
      <c r="D441" s="127"/>
      <c r="E441" s="128"/>
      <c r="F441" s="108"/>
      <c r="G441" s="108"/>
      <c r="M441" s="108"/>
      <c r="N441" s="108"/>
      <c r="O441" s="108"/>
      <c r="P441" s="108"/>
      <c r="Q441" s="108"/>
      <c r="AB441" s="28"/>
    </row>
    <row r="442" spans="1:28" ht="15.75" customHeight="1" x14ac:dyDescent="0.35">
      <c r="A442" s="126"/>
      <c r="B442" s="28"/>
      <c r="C442" s="127"/>
      <c r="D442" s="127"/>
      <c r="E442" s="128"/>
      <c r="F442" s="108"/>
      <c r="G442" s="108"/>
      <c r="M442" s="108"/>
      <c r="N442" s="108"/>
      <c r="O442" s="108"/>
      <c r="P442" s="108"/>
      <c r="Q442" s="108"/>
      <c r="AB442" s="28"/>
    </row>
    <row r="443" spans="1:28" ht="15.75" customHeight="1" x14ac:dyDescent="0.35">
      <c r="A443" s="126"/>
      <c r="B443" s="28"/>
      <c r="C443" s="127"/>
      <c r="D443" s="127"/>
      <c r="E443" s="128"/>
      <c r="F443" s="108"/>
      <c r="G443" s="108"/>
      <c r="M443" s="108"/>
      <c r="N443" s="108"/>
      <c r="O443" s="108"/>
      <c r="P443" s="108"/>
      <c r="Q443" s="108"/>
      <c r="AB443" s="28"/>
    </row>
    <row r="444" spans="1:28" ht="15.75" customHeight="1" x14ac:dyDescent="0.35">
      <c r="A444" s="126"/>
      <c r="B444" s="28"/>
      <c r="C444" s="127"/>
      <c r="D444" s="127"/>
      <c r="E444" s="128"/>
      <c r="F444" s="108"/>
      <c r="G444" s="108"/>
      <c r="M444" s="108"/>
      <c r="N444" s="108"/>
      <c r="O444" s="108"/>
      <c r="P444" s="108"/>
      <c r="Q444" s="108"/>
      <c r="AB444" s="28"/>
    </row>
    <row r="445" spans="1:28" ht="15.75" customHeight="1" x14ac:dyDescent="0.35">
      <c r="A445" s="126"/>
      <c r="B445" s="28"/>
      <c r="C445" s="127"/>
      <c r="D445" s="127"/>
      <c r="E445" s="128"/>
      <c r="F445" s="108"/>
      <c r="G445" s="108"/>
      <c r="M445" s="108"/>
      <c r="N445" s="108"/>
      <c r="O445" s="108"/>
      <c r="P445" s="108"/>
      <c r="Q445" s="108"/>
      <c r="AB445" s="28"/>
    </row>
    <row r="446" spans="1:28" ht="15.75" customHeight="1" x14ac:dyDescent="0.35">
      <c r="A446" s="126"/>
      <c r="B446" s="28"/>
      <c r="C446" s="127"/>
      <c r="D446" s="127"/>
      <c r="E446" s="128"/>
      <c r="F446" s="108"/>
      <c r="G446" s="108"/>
      <c r="M446" s="108"/>
      <c r="N446" s="108"/>
      <c r="O446" s="108"/>
      <c r="P446" s="108"/>
      <c r="Q446" s="108"/>
      <c r="AB446" s="28"/>
    </row>
    <row r="447" spans="1:28" ht="15.75" customHeight="1" x14ac:dyDescent="0.35">
      <c r="A447" s="126"/>
      <c r="B447" s="28"/>
      <c r="C447" s="127"/>
      <c r="D447" s="127"/>
      <c r="E447" s="128"/>
      <c r="F447" s="108"/>
      <c r="G447" s="108"/>
      <c r="M447" s="108"/>
      <c r="N447" s="108"/>
      <c r="O447" s="108"/>
      <c r="P447" s="108"/>
      <c r="Q447" s="108"/>
      <c r="AB447" s="28"/>
    </row>
    <row r="448" spans="1:28" ht="15.75" customHeight="1" x14ac:dyDescent="0.35">
      <c r="A448" s="126"/>
      <c r="B448" s="28"/>
      <c r="C448" s="127"/>
      <c r="D448" s="127"/>
      <c r="E448" s="128"/>
      <c r="F448" s="108"/>
      <c r="G448" s="108"/>
      <c r="M448" s="108"/>
      <c r="N448" s="108"/>
      <c r="O448" s="108"/>
      <c r="P448" s="108"/>
      <c r="Q448" s="108"/>
      <c r="AB448" s="28"/>
    </row>
    <row r="449" spans="1:28" ht="15.75" customHeight="1" x14ac:dyDescent="0.35">
      <c r="A449" s="126"/>
      <c r="B449" s="28"/>
      <c r="C449" s="127"/>
      <c r="D449" s="127"/>
      <c r="E449" s="128"/>
      <c r="F449" s="108"/>
      <c r="G449" s="108"/>
      <c r="M449" s="108"/>
      <c r="N449" s="108"/>
      <c r="O449" s="108"/>
      <c r="P449" s="108"/>
      <c r="Q449" s="108"/>
      <c r="AB449" s="28"/>
    </row>
    <row r="450" spans="1:28" ht="15.75" customHeight="1" x14ac:dyDescent="0.35">
      <c r="A450" s="126"/>
      <c r="B450" s="28"/>
      <c r="C450" s="127"/>
      <c r="D450" s="127"/>
      <c r="E450" s="128"/>
      <c r="F450" s="108"/>
      <c r="G450" s="108"/>
      <c r="M450" s="108"/>
      <c r="N450" s="108"/>
      <c r="O450" s="108"/>
      <c r="P450" s="108"/>
      <c r="Q450" s="108"/>
      <c r="AB450" s="28"/>
    </row>
    <row r="451" spans="1:28" ht="15.75" customHeight="1" x14ac:dyDescent="0.35">
      <c r="A451" s="126"/>
      <c r="B451" s="28"/>
      <c r="C451" s="127"/>
      <c r="D451" s="127"/>
      <c r="E451" s="128"/>
      <c r="F451" s="108"/>
      <c r="G451" s="108"/>
      <c r="M451" s="108"/>
      <c r="N451" s="108"/>
      <c r="O451" s="108"/>
      <c r="P451" s="108"/>
      <c r="Q451" s="108"/>
      <c r="AB451" s="28"/>
    </row>
    <row r="452" spans="1:28" ht="15.75" customHeight="1" x14ac:dyDescent="0.35">
      <c r="A452" s="126"/>
      <c r="B452" s="28"/>
      <c r="C452" s="127"/>
      <c r="D452" s="127"/>
      <c r="E452" s="128"/>
      <c r="F452" s="108"/>
      <c r="G452" s="108"/>
      <c r="M452" s="108"/>
      <c r="N452" s="108"/>
      <c r="O452" s="108"/>
      <c r="P452" s="108"/>
      <c r="Q452" s="108"/>
      <c r="AB452" s="28"/>
    </row>
    <row r="453" spans="1:28" ht="15.75" customHeight="1" x14ac:dyDescent="0.35">
      <c r="A453" s="126"/>
      <c r="B453" s="28"/>
      <c r="C453" s="127"/>
      <c r="D453" s="127"/>
      <c r="E453" s="128"/>
      <c r="F453" s="108"/>
      <c r="G453" s="108"/>
      <c r="M453" s="108"/>
      <c r="N453" s="108"/>
      <c r="O453" s="108"/>
      <c r="P453" s="108"/>
      <c r="Q453" s="108"/>
      <c r="AB453" s="28"/>
    </row>
    <row r="454" spans="1:28" ht="15.75" customHeight="1" x14ac:dyDescent="0.35">
      <c r="A454" s="126"/>
      <c r="B454" s="28"/>
      <c r="C454" s="127"/>
      <c r="D454" s="127"/>
      <c r="E454" s="128"/>
      <c r="F454" s="108"/>
      <c r="G454" s="108"/>
      <c r="M454" s="108"/>
      <c r="N454" s="108"/>
      <c r="O454" s="108"/>
      <c r="P454" s="108"/>
      <c r="Q454" s="108"/>
      <c r="AB454" s="28"/>
    </row>
    <row r="455" spans="1:28" ht="15.75" customHeight="1" x14ac:dyDescent="0.35">
      <c r="A455" s="126"/>
      <c r="B455" s="28"/>
      <c r="C455" s="127"/>
      <c r="D455" s="127"/>
      <c r="E455" s="128"/>
      <c r="F455" s="108"/>
      <c r="G455" s="108"/>
      <c r="M455" s="108"/>
      <c r="N455" s="108"/>
      <c r="O455" s="108"/>
      <c r="P455" s="108"/>
      <c r="Q455" s="108"/>
      <c r="AB455" s="28"/>
    </row>
    <row r="456" spans="1:28" ht="15.75" customHeight="1" x14ac:dyDescent="0.35">
      <c r="A456" s="126"/>
      <c r="B456" s="28"/>
      <c r="C456" s="127"/>
      <c r="D456" s="127"/>
      <c r="E456" s="128"/>
      <c r="F456" s="108"/>
      <c r="G456" s="108"/>
      <c r="M456" s="108"/>
      <c r="N456" s="108"/>
      <c r="O456" s="108"/>
      <c r="P456" s="108"/>
      <c r="Q456" s="108"/>
      <c r="AB456" s="28"/>
    </row>
    <row r="457" spans="1:28" ht="15.75" customHeight="1" x14ac:dyDescent="0.35">
      <c r="A457" s="126"/>
      <c r="B457" s="28"/>
      <c r="C457" s="127"/>
      <c r="D457" s="127"/>
      <c r="E457" s="128"/>
      <c r="F457" s="108"/>
      <c r="G457" s="108"/>
      <c r="M457" s="108"/>
      <c r="N457" s="108"/>
      <c r="O457" s="108"/>
      <c r="P457" s="108"/>
      <c r="Q457" s="108"/>
      <c r="AB457" s="28"/>
    </row>
    <row r="458" spans="1:28" ht="15.75" customHeight="1" x14ac:dyDescent="0.35">
      <c r="A458" s="126"/>
      <c r="B458" s="28"/>
      <c r="C458" s="127"/>
      <c r="D458" s="127"/>
      <c r="E458" s="128"/>
      <c r="F458" s="108"/>
      <c r="G458" s="108"/>
      <c r="M458" s="108"/>
      <c r="N458" s="108"/>
      <c r="O458" s="108"/>
      <c r="P458" s="108"/>
      <c r="Q458" s="108"/>
      <c r="AB458" s="28"/>
    </row>
    <row r="459" spans="1:28" ht="15.75" customHeight="1" x14ac:dyDescent="0.35">
      <c r="A459" s="126"/>
      <c r="B459" s="28"/>
      <c r="C459" s="127"/>
      <c r="D459" s="127"/>
      <c r="E459" s="128"/>
      <c r="F459" s="108"/>
      <c r="G459" s="108"/>
      <c r="M459" s="108"/>
      <c r="N459" s="108"/>
      <c r="O459" s="108"/>
      <c r="P459" s="108"/>
      <c r="Q459" s="108"/>
      <c r="AB459" s="28"/>
    </row>
    <row r="460" spans="1:28" ht="15.75" customHeight="1" x14ac:dyDescent="0.35">
      <c r="A460" s="126"/>
      <c r="B460" s="28"/>
      <c r="C460" s="127"/>
      <c r="D460" s="127"/>
      <c r="E460" s="128"/>
      <c r="F460" s="108"/>
      <c r="G460" s="108"/>
      <c r="M460" s="108"/>
      <c r="N460" s="108"/>
      <c r="O460" s="108"/>
      <c r="P460" s="108"/>
      <c r="Q460" s="108"/>
      <c r="AB460" s="28"/>
    </row>
    <row r="461" spans="1:28" ht="15.75" customHeight="1" x14ac:dyDescent="0.35">
      <c r="A461" s="126"/>
      <c r="B461" s="28"/>
      <c r="C461" s="127"/>
      <c r="D461" s="127"/>
      <c r="E461" s="128"/>
      <c r="F461" s="108"/>
      <c r="G461" s="108"/>
      <c r="M461" s="108"/>
      <c r="N461" s="108"/>
      <c r="O461" s="108"/>
      <c r="P461" s="108"/>
      <c r="Q461" s="108"/>
      <c r="AB461" s="28"/>
    </row>
    <row r="462" spans="1:28" ht="15.75" customHeight="1" x14ac:dyDescent="0.35">
      <c r="A462" s="126"/>
      <c r="B462" s="28"/>
      <c r="C462" s="127"/>
      <c r="D462" s="127"/>
      <c r="E462" s="128"/>
      <c r="F462" s="108"/>
      <c r="G462" s="108"/>
      <c r="M462" s="108"/>
      <c r="N462" s="108"/>
      <c r="O462" s="108"/>
      <c r="P462" s="108"/>
      <c r="Q462" s="108"/>
      <c r="AB462" s="28"/>
    </row>
    <row r="463" spans="1:28" ht="15.75" customHeight="1" x14ac:dyDescent="0.35">
      <c r="A463" s="126"/>
      <c r="B463" s="28"/>
      <c r="C463" s="127"/>
      <c r="D463" s="127"/>
      <c r="E463" s="128"/>
      <c r="F463" s="108"/>
      <c r="G463" s="108"/>
      <c r="M463" s="108"/>
      <c r="N463" s="108"/>
      <c r="O463" s="108"/>
      <c r="P463" s="108"/>
      <c r="Q463" s="108"/>
      <c r="AB463" s="28"/>
    </row>
    <row r="464" spans="1:28" ht="15.75" customHeight="1" x14ac:dyDescent="0.35">
      <c r="A464" s="126"/>
      <c r="B464" s="28"/>
      <c r="C464" s="127"/>
      <c r="D464" s="127"/>
      <c r="E464" s="128"/>
      <c r="F464" s="108"/>
      <c r="G464" s="108"/>
      <c r="M464" s="108"/>
      <c r="N464" s="108"/>
      <c r="O464" s="108"/>
      <c r="P464" s="108"/>
      <c r="Q464" s="108"/>
      <c r="AB464" s="28"/>
    </row>
    <row r="465" spans="1:28" ht="15.75" customHeight="1" x14ac:dyDescent="0.35">
      <c r="A465" s="126"/>
      <c r="B465" s="28"/>
      <c r="C465" s="127"/>
      <c r="D465" s="127"/>
      <c r="E465" s="128"/>
      <c r="F465" s="108"/>
      <c r="G465" s="108"/>
      <c r="M465" s="108"/>
      <c r="N465" s="108"/>
      <c r="O465" s="108"/>
      <c r="P465" s="108"/>
      <c r="Q465" s="108"/>
      <c r="AB465" s="28"/>
    </row>
    <row r="466" spans="1:28" ht="15.75" customHeight="1" x14ac:dyDescent="0.35">
      <c r="A466" s="126"/>
      <c r="B466" s="28"/>
      <c r="C466" s="127"/>
      <c r="D466" s="127"/>
      <c r="E466" s="128"/>
      <c r="F466" s="108"/>
      <c r="G466" s="108"/>
      <c r="M466" s="108"/>
      <c r="N466" s="108"/>
      <c r="O466" s="108"/>
      <c r="P466" s="108"/>
      <c r="Q466" s="108"/>
      <c r="AB466" s="28"/>
    </row>
    <row r="467" spans="1:28" ht="15.75" customHeight="1" x14ac:dyDescent="0.35">
      <c r="A467" s="126"/>
      <c r="B467" s="28"/>
      <c r="C467" s="127"/>
      <c r="D467" s="127"/>
      <c r="E467" s="128"/>
      <c r="F467" s="108"/>
      <c r="G467" s="108"/>
      <c r="M467" s="108"/>
      <c r="N467" s="108"/>
      <c r="O467" s="108"/>
      <c r="P467" s="108"/>
      <c r="Q467" s="108"/>
      <c r="AB467" s="28"/>
    </row>
    <row r="468" spans="1:28" ht="15.75" customHeight="1" x14ac:dyDescent="0.35">
      <c r="A468" s="126"/>
      <c r="B468" s="28"/>
      <c r="C468" s="127"/>
      <c r="D468" s="127"/>
      <c r="E468" s="128"/>
      <c r="F468" s="108"/>
      <c r="G468" s="108"/>
      <c r="M468" s="108"/>
      <c r="N468" s="108"/>
      <c r="O468" s="108"/>
      <c r="P468" s="108"/>
      <c r="Q468" s="108"/>
      <c r="AB468" s="28"/>
    </row>
    <row r="469" spans="1:28" ht="15.75" customHeight="1" x14ac:dyDescent="0.35">
      <c r="A469" s="126"/>
      <c r="B469" s="28"/>
      <c r="C469" s="127"/>
      <c r="D469" s="127"/>
      <c r="E469" s="128"/>
      <c r="F469" s="108"/>
      <c r="G469" s="108"/>
      <c r="M469" s="108"/>
      <c r="N469" s="108"/>
      <c r="O469" s="108"/>
      <c r="P469" s="108"/>
      <c r="Q469" s="108"/>
      <c r="AB469" s="28"/>
    </row>
    <row r="470" spans="1:28" ht="15.75" customHeight="1" x14ac:dyDescent="0.35">
      <c r="A470" s="126"/>
      <c r="B470" s="28"/>
      <c r="C470" s="127"/>
      <c r="D470" s="127"/>
      <c r="E470" s="128"/>
      <c r="F470" s="108"/>
      <c r="G470" s="108"/>
      <c r="M470" s="108"/>
      <c r="N470" s="108"/>
      <c r="O470" s="108"/>
      <c r="P470" s="108"/>
      <c r="Q470" s="108"/>
      <c r="AB470" s="28"/>
    </row>
    <row r="471" spans="1:28" ht="15.75" customHeight="1" x14ac:dyDescent="0.35">
      <c r="A471" s="126"/>
      <c r="B471" s="28"/>
      <c r="C471" s="127"/>
      <c r="D471" s="127"/>
      <c r="E471" s="128"/>
      <c r="F471" s="108"/>
      <c r="G471" s="108"/>
      <c r="M471" s="108"/>
      <c r="N471" s="108"/>
      <c r="O471" s="108"/>
      <c r="P471" s="108"/>
      <c r="Q471" s="108"/>
      <c r="AB471" s="28"/>
    </row>
    <row r="472" spans="1:28" ht="15.75" customHeight="1" x14ac:dyDescent="0.35">
      <c r="A472" s="126"/>
      <c r="B472" s="28"/>
      <c r="C472" s="127"/>
      <c r="D472" s="127"/>
      <c r="E472" s="128"/>
      <c r="F472" s="108"/>
      <c r="G472" s="108"/>
      <c r="M472" s="108"/>
      <c r="N472" s="108"/>
      <c r="O472" s="108"/>
      <c r="P472" s="108"/>
      <c r="Q472" s="108"/>
      <c r="AB472" s="28"/>
    </row>
    <row r="473" spans="1:28" ht="15.75" customHeight="1" x14ac:dyDescent="0.35">
      <c r="A473" s="126"/>
      <c r="B473" s="28"/>
      <c r="C473" s="127"/>
      <c r="D473" s="127"/>
      <c r="E473" s="128"/>
      <c r="F473" s="108"/>
      <c r="G473" s="108"/>
      <c r="M473" s="108"/>
      <c r="N473" s="108"/>
      <c r="O473" s="108"/>
      <c r="P473" s="108"/>
      <c r="Q473" s="108"/>
      <c r="AB473" s="28"/>
    </row>
    <row r="474" spans="1:28" ht="15.75" customHeight="1" x14ac:dyDescent="0.35">
      <c r="A474" s="126"/>
      <c r="B474" s="28"/>
      <c r="C474" s="127"/>
      <c r="D474" s="127"/>
      <c r="E474" s="128"/>
      <c r="F474" s="108"/>
      <c r="G474" s="108"/>
      <c r="M474" s="108"/>
      <c r="N474" s="108"/>
      <c r="O474" s="108"/>
      <c r="P474" s="108"/>
      <c r="Q474" s="108"/>
      <c r="AB474" s="28"/>
    </row>
    <row r="475" spans="1:28" ht="15.75" customHeight="1" x14ac:dyDescent="0.35">
      <c r="A475" s="126"/>
      <c r="B475" s="28"/>
      <c r="C475" s="127"/>
      <c r="D475" s="127"/>
      <c r="E475" s="128"/>
      <c r="F475" s="108"/>
      <c r="G475" s="108"/>
      <c r="M475" s="108"/>
      <c r="N475" s="108"/>
      <c r="O475" s="108"/>
      <c r="P475" s="108"/>
      <c r="Q475" s="108"/>
      <c r="AB475" s="28"/>
    </row>
    <row r="476" spans="1:28" ht="15.75" customHeight="1" x14ac:dyDescent="0.35">
      <c r="A476" s="126"/>
      <c r="B476" s="28"/>
      <c r="C476" s="127"/>
      <c r="D476" s="127"/>
      <c r="E476" s="128"/>
      <c r="F476" s="108"/>
      <c r="G476" s="108"/>
      <c r="M476" s="108"/>
      <c r="N476" s="108"/>
      <c r="O476" s="108"/>
      <c r="P476" s="108"/>
      <c r="Q476" s="108"/>
      <c r="AB476" s="28"/>
    </row>
    <row r="477" spans="1:28" ht="15.75" customHeight="1" x14ac:dyDescent="0.35">
      <c r="A477" s="126"/>
      <c r="B477" s="28"/>
      <c r="C477" s="127"/>
      <c r="D477" s="127"/>
      <c r="E477" s="128"/>
      <c r="F477" s="108"/>
      <c r="G477" s="108"/>
      <c r="M477" s="108"/>
      <c r="N477" s="108"/>
      <c r="O477" s="108"/>
      <c r="P477" s="108"/>
      <c r="Q477" s="108"/>
      <c r="AB477" s="28"/>
    </row>
    <row r="478" spans="1:28" ht="15.75" customHeight="1" x14ac:dyDescent="0.35">
      <c r="A478" s="126"/>
      <c r="B478" s="28"/>
      <c r="C478" s="127"/>
      <c r="D478" s="127"/>
      <c r="E478" s="128"/>
      <c r="F478" s="108"/>
      <c r="G478" s="108"/>
      <c r="M478" s="108"/>
      <c r="N478" s="108"/>
      <c r="O478" s="108"/>
      <c r="P478" s="108"/>
      <c r="Q478" s="108"/>
      <c r="AB478" s="28"/>
    </row>
    <row r="479" spans="1:28" ht="15.75" customHeight="1" x14ac:dyDescent="0.35">
      <c r="A479" s="126"/>
      <c r="B479" s="28"/>
      <c r="C479" s="127"/>
      <c r="D479" s="127"/>
      <c r="E479" s="128"/>
      <c r="F479" s="108"/>
      <c r="G479" s="108"/>
      <c r="M479" s="108"/>
      <c r="N479" s="108"/>
      <c r="O479" s="108"/>
      <c r="P479" s="108"/>
      <c r="Q479" s="108"/>
      <c r="AB479" s="28"/>
    </row>
    <row r="480" spans="1:28" ht="15.75" customHeight="1" x14ac:dyDescent="0.35">
      <c r="A480" s="126"/>
      <c r="B480" s="28"/>
      <c r="C480" s="127"/>
      <c r="D480" s="127"/>
      <c r="E480" s="128"/>
      <c r="F480" s="108"/>
      <c r="G480" s="108"/>
      <c r="M480" s="108"/>
      <c r="N480" s="108"/>
      <c r="O480" s="108"/>
      <c r="P480" s="108"/>
      <c r="Q480" s="108"/>
      <c r="AB480" s="28"/>
    </row>
    <row r="481" spans="1:28" ht="15.75" customHeight="1" x14ac:dyDescent="0.35">
      <c r="A481" s="126"/>
      <c r="B481" s="28"/>
      <c r="C481" s="127"/>
      <c r="D481" s="127"/>
      <c r="E481" s="128"/>
      <c r="F481" s="108"/>
      <c r="G481" s="108"/>
      <c r="M481" s="108"/>
      <c r="N481" s="108"/>
      <c r="O481" s="108"/>
      <c r="P481" s="108"/>
      <c r="Q481" s="108"/>
      <c r="AB481" s="28"/>
    </row>
    <row r="482" spans="1:28" ht="15.75" customHeight="1" x14ac:dyDescent="0.35">
      <c r="A482" s="126"/>
      <c r="B482" s="28"/>
      <c r="C482" s="127"/>
      <c r="D482" s="127"/>
      <c r="E482" s="128"/>
      <c r="F482" s="108"/>
      <c r="G482" s="108"/>
      <c r="M482" s="108"/>
      <c r="N482" s="108"/>
      <c r="O482" s="108"/>
      <c r="P482" s="108"/>
      <c r="Q482" s="108"/>
      <c r="AB482" s="28"/>
    </row>
    <row r="483" spans="1:28" ht="15.75" customHeight="1" x14ac:dyDescent="0.35">
      <c r="A483" s="126"/>
      <c r="B483" s="28"/>
      <c r="C483" s="127"/>
      <c r="D483" s="127"/>
      <c r="E483" s="128"/>
      <c r="F483" s="108"/>
      <c r="G483" s="108"/>
      <c r="M483" s="108"/>
      <c r="N483" s="108"/>
      <c r="O483" s="108"/>
      <c r="P483" s="108"/>
      <c r="Q483" s="108"/>
      <c r="AB483" s="28"/>
    </row>
    <row r="484" spans="1:28" ht="15.75" customHeight="1" x14ac:dyDescent="0.35">
      <c r="A484" s="126"/>
      <c r="B484" s="28"/>
      <c r="C484" s="127"/>
      <c r="D484" s="127"/>
      <c r="E484" s="128"/>
      <c r="F484" s="108"/>
      <c r="G484" s="108"/>
      <c r="M484" s="108"/>
      <c r="N484" s="108"/>
      <c r="O484" s="108"/>
      <c r="P484" s="108"/>
      <c r="Q484" s="108"/>
      <c r="AB484" s="28"/>
    </row>
    <row r="485" spans="1:28" ht="15.75" customHeight="1" x14ac:dyDescent="0.35">
      <c r="A485" s="126"/>
      <c r="B485" s="28"/>
      <c r="C485" s="127"/>
      <c r="D485" s="127"/>
      <c r="E485" s="128"/>
      <c r="F485" s="108"/>
      <c r="G485" s="108"/>
      <c r="M485" s="108"/>
      <c r="N485" s="108"/>
      <c r="O485" s="108"/>
      <c r="P485" s="108"/>
      <c r="Q485" s="108"/>
      <c r="AB485" s="28"/>
    </row>
    <row r="486" spans="1:28" ht="15.75" customHeight="1" x14ac:dyDescent="0.35">
      <c r="A486" s="126"/>
      <c r="B486" s="28"/>
      <c r="C486" s="127"/>
      <c r="D486" s="127"/>
      <c r="E486" s="128"/>
      <c r="F486" s="108"/>
      <c r="G486" s="108"/>
      <c r="M486" s="108"/>
      <c r="N486" s="108"/>
      <c r="O486" s="108"/>
      <c r="P486" s="108"/>
      <c r="Q486" s="108"/>
      <c r="AB486" s="28"/>
    </row>
    <row r="487" spans="1:28" ht="15.75" customHeight="1" x14ac:dyDescent="0.35">
      <c r="A487" s="126"/>
      <c r="B487" s="28"/>
      <c r="C487" s="127"/>
      <c r="D487" s="127"/>
      <c r="E487" s="128"/>
      <c r="F487" s="108"/>
      <c r="G487" s="108"/>
      <c r="M487" s="108"/>
      <c r="N487" s="108"/>
      <c r="O487" s="108"/>
      <c r="P487" s="108"/>
      <c r="Q487" s="108"/>
      <c r="AB487" s="28"/>
    </row>
    <row r="488" spans="1:28" ht="15.75" customHeight="1" x14ac:dyDescent="0.35">
      <c r="A488" s="126"/>
      <c r="B488" s="28"/>
      <c r="C488" s="127"/>
      <c r="D488" s="127"/>
      <c r="E488" s="128"/>
      <c r="F488" s="108"/>
      <c r="G488" s="108"/>
      <c r="M488" s="108"/>
      <c r="N488" s="108"/>
      <c r="O488" s="108"/>
      <c r="P488" s="108"/>
      <c r="Q488" s="108"/>
      <c r="AB488" s="28"/>
    </row>
    <row r="489" spans="1:28" ht="15.75" customHeight="1" x14ac:dyDescent="0.35">
      <c r="A489" s="126"/>
      <c r="B489" s="28"/>
      <c r="C489" s="127"/>
      <c r="D489" s="127"/>
      <c r="E489" s="128"/>
      <c r="F489" s="108"/>
      <c r="G489" s="108"/>
      <c r="M489" s="108"/>
      <c r="N489" s="108"/>
      <c r="O489" s="108"/>
      <c r="P489" s="108"/>
      <c r="Q489" s="108"/>
      <c r="AB489" s="28"/>
    </row>
    <row r="490" spans="1:28" ht="15.75" customHeight="1" x14ac:dyDescent="0.35">
      <c r="A490" s="126"/>
      <c r="B490" s="28"/>
      <c r="C490" s="127"/>
      <c r="D490" s="127"/>
      <c r="E490" s="128"/>
      <c r="F490" s="108"/>
      <c r="G490" s="108"/>
      <c r="M490" s="108"/>
      <c r="N490" s="108"/>
      <c r="O490" s="108"/>
      <c r="P490" s="108"/>
      <c r="Q490" s="108"/>
      <c r="AB490" s="28"/>
    </row>
    <row r="491" spans="1:28" ht="15.75" customHeight="1" x14ac:dyDescent="0.35">
      <c r="A491" s="126"/>
      <c r="B491" s="28"/>
      <c r="C491" s="127"/>
      <c r="D491" s="127"/>
      <c r="E491" s="128"/>
      <c r="F491" s="108"/>
      <c r="G491" s="108"/>
      <c r="M491" s="108"/>
      <c r="N491" s="108"/>
      <c r="O491" s="108"/>
      <c r="P491" s="108"/>
      <c r="Q491" s="108"/>
      <c r="AB491" s="28"/>
    </row>
    <row r="492" spans="1:28" ht="15.75" customHeight="1" x14ac:dyDescent="0.35">
      <c r="A492" s="126"/>
      <c r="B492" s="28"/>
      <c r="C492" s="127"/>
      <c r="D492" s="127"/>
      <c r="E492" s="128"/>
      <c r="F492" s="108"/>
      <c r="G492" s="108"/>
      <c r="M492" s="108"/>
      <c r="N492" s="108"/>
      <c r="O492" s="108"/>
      <c r="P492" s="108"/>
      <c r="Q492" s="108"/>
      <c r="AB492" s="28"/>
    </row>
    <row r="493" spans="1:28" ht="15.75" customHeight="1" x14ac:dyDescent="0.35">
      <c r="A493" s="126"/>
      <c r="B493" s="28"/>
      <c r="C493" s="127"/>
      <c r="D493" s="127"/>
      <c r="E493" s="128"/>
      <c r="F493" s="108"/>
      <c r="G493" s="108"/>
      <c r="M493" s="108"/>
      <c r="N493" s="108"/>
      <c r="O493" s="108"/>
      <c r="P493" s="108"/>
      <c r="Q493" s="108"/>
      <c r="AB493" s="28"/>
    </row>
    <row r="494" spans="1:28" ht="15.75" customHeight="1" x14ac:dyDescent="0.35">
      <c r="A494" s="126"/>
      <c r="B494" s="28"/>
      <c r="C494" s="127"/>
      <c r="D494" s="127"/>
      <c r="E494" s="128"/>
      <c r="F494" s="108"/>
      <c r="G494" s="108"/>
      <c r="M494" s="108"/>
      <c r="N494" s="108"/>
      <c r="O494" s="108"/>
      <c r="P494" s="108"/>
      <c r="Q494" s="108"/>
      <c r="AB494" s="28"/>
    </row>
    <row r="495" spans="1:28" ht="15.75" customHeight="1" x14ac:dyDescent="0.35">
      <c r="A495" s="126"/>
      <c r="B495" s="28"/>
      <c r="C495" s="127"/>
      <c r="D495" s="127"/>
      <c r="E495" s="128"/>
      <c r="F495" s="108"/>
      <c r="G495" s="108"/>
      <c r="M495" s="108"/>
      <c r="N495" s="108"/>
      <c r="O495" s="108"/>
      <c r="P495" s="108"/>
      <c r="Q495" s="108"/>
      <c r="AB495" s="28"/>
    </row>
    <row r="496" spans="1:28" ht="15.75" customHeight="1" x14ac:dyDescent="0.35">
      <c r="A496" s="126"/>
      <c r="B496" s="28"/>
      <c r="C496" s="127"/>
      <c r="D496" s="127"/>
      <c r="E496" s="128"/>
      <c r="F496" s="108"/>
      <c r="G496" s="108"/>
      <c r="M496" s="108"/>
      <c r="N496" s="108"/>
      <c r="O496" s="108"/>
      <c r="P496" s="108"/>
      <c r="Q496" s="108"/>
      <c r="AB496" s="28"/>
    </row>
    <row r="497" spans="1:28" ht="15.75" customHeight="1" x14ac:dyDescent="0.35">
      <c r="A497" s="126"/>
      <c r="B497" s="28"/>
      <c r="C497" s="127"/>
      <c r="D497" s="127"/>
      <c r="E497" s="128"/>
      <c r="F497" s="108"/>
      <c r="G497" s="108"/>
      <c r="M497" s="108"/>
      <c r="N497" s="108"/>
      <c r="O497" s="108"/>
      <c r="P497" s="108"/>
      <c r="Q497" s="108"/>
      <c r="AB497" s="28"/>
    </row>
    <row r="498" spans="1:28" ht="15.75" customHeight="1" x14ac:dyDescent="0.35">
      <c r="A498" s="126"/>
      <c r="B498" s="28"/>
      <c r="C498" s="127"/>
      <c r="D498" s="127"/>
      <c r="E498" s="128"/>
      <c r="F498" s="108"/>
      <c r="G498" s="108"/>
      <c r="M498" s="108"/>
      <c r="N498" s="108"/>
      <c r="O498" s="108"/>
      <c r="P498" s="108"/>
      <c r="Q498" s="108"/>
      <c r="AB498" s="28"/>
    </row>
    <row r="499" spans="1:28" ht="15.75" customHeight="1" x14ac:dyDescent="0.35">
      <c r="A499" s="126"/>
      <c r="B499" s="28"/>
      <c r="C499" s="127"/>
      <c r="D499" s="127"/>
      <c r="E499" s="128"/>
      <c r="F499" s="108"/>
      <c r="G499" s="108"/>
      <c r="M499" s="108"/>
      <c r="N499" s="108"/>
      <c r="O499" s="108"/>
      <c r="P499" s="108"/>
      <c r="Q499" s="108"/>
      <c r="AB499" s="28"/>
    </row>
    <row r="500" spans="1:28" ht="15.75" customHeight="1" x14ac:dyDescent="0.35">
      <c r="A500" s="126"/>
      <c r="B500" s="28"/>
      <c r="C500" s="127"/>
      <c r="D500" s="127"/>
      <c r="E500" s="128"/>
      <c r="F500" s="108"/>
      <c r="G500" s="108"/>
      <c r="M500" s="108"/>
      <c r="N500" s="108"/>
      <c r="O500" s="108"/>
      <c r="P500" s="108"/>
      <c r="Q500" s="108"/>
      <c r="AB500" s="28"/>
    </row>
    <row r="501" spans="1:28" ht="15.75" customHeight="1" x14ac:dyDescent="0.35">
      <c r="A501" s="126"/>
      <c r="B501" s="28"/>
      <c r="C501" s="127"/>
      <c r="D501" s="127"/>
      <c r="E501" s="128"/>
      <c r="F501" s="108"/>
      <c r="G501" s="108"/>
      <c r="M501" s="108"/>
      <c r="N501" s="108"/>
      <c r="O501" s="108"/>
      <c r="P501" s="108"/>
      <c r="Q501" s="108"/>
      <c r="AB501" s="28"/>
    </row>
    <row r="502" spans="1:28" ht="15.75" customHeight="1" x14ac:dyDescent="0.35">
      <c r="A502" s="126"/>
      <c r="B502" s="28"/>
      <c r="C502" s="127"/>
      <c r="D502" s="127"/>
      <c r="E502" s="128"/>
      <c r="F502" s="108"/>
      <c r="G502" s="108"/>
      <c r="M502" s="108"/>
      <c r="N502" s="108"/>
      <c r="O502" s="108"/>
      <c r="P502" s="108"/>
      <c r="Q502" s="108"/>
      <c r="AB502" s="28"/>
    </row>
    <row r="503" spans="1:28" ht="15.75" customHeight="1" x14ac:dyDescent="0.35">
      <c r="A503" s="126"/>
      <c r="B503" s="28"/>
      <c r="C503" s="127"/>
      <c r="D503" s="127"/>
      <c r="E503" s="128"/>
      <c r="F503" s="108"/>
      <c r="G503" s="108"/>
      <c r="M503" s="108"/>
      <c r="N503" s="108"/>
      <c r="O503" s="108"/>
      <c r="P503" s="108"/>
      <c r="Q503" s="108"/>
      <c r="AB503" s="28"/>
    </row>
    <row r="504" spans="1:28" ht="15.75" customHeight="1" x14ac:dyDescent="0.35">
      <c r="A504" s="126"/>
      <c r="B504" s="28"/>
      <c r="C504" s="127"/>
      <c r="D504" s="127"/>
      <c r="E504" s="128"/>
      <c r="F504" s="108"/>
      <c r="G504" s="108"/>
      <c r="M504" s="108"/>
      <c r="N504" s="108"/>
      <c r="O504" s="108"/>
      <c r="P504" s="108"/>
      <c r="Q504" s="108"/>
      <c r="AB504" s="28"/>
    </row>
    <row r="505" spans="1:28" ht="15.75" customHeight="1" x14ac:dyDescent="0.35">
      <c r="A505" s="126"/>
      <c r="B505" s="28"/>
      <c r="C505" s="127"/>
      <c r="D505" s="127"/>
      <c r="E505" s="128"/>
      <c r="F505" s="108"/>
      <c r="G505" s="108"/>
      <c r="M505" s="108"/>
      <c r="N505" s="108"/>
      <c r="O505" s="108"/>
      <c r="P505" s="108"/>
      <c r="Q505" s="108"/>
      <c r="AB505" s="28"/>
    </row>
    <row r="506" spans="1:28" ht="15.75" customHeight="1" x14ac:dyDescent="0.35">
      <c r="A506" s="126"/>
      <c r="B506" s="28"/>
      <c r="C506" s="127"/>
      <c r="D506" s="127"/>
      <c r="E506" s="128"/>
      <c r="F506" s="108"/>
      <c r="G506" s="108"/>
      <c r="M506" s="108"/>
      <c r="N506" s="108"/>
      <c r="O506" s="108"/>
      <c r="P506" s="108"/>
      <c r="Q506" s="108"/>
      <c r="AB506" s="28"/>
    </row>
    <row r="507" spans="1:28" ht="15.75" customHeight="1" x14ac:dyDescent="0.35">
      <c r="A507" s="126"/>
      <c r="B507" s="28"/>
      <c r="C507" s="127"/>
      <c r="D507" s="127"/>
      <c r="E507" s="128"/>
      <c r="F507" s="108"/>
      <c r="G507" s="108"/>
      <c r="M507" s="108"/>
      <c r="N507" s="108"/>
      <c r="O507" s="108"/>
      <c r="P507" s="108"/>
      <c r="Q507" s="108"/>
      <c r="AB507" s="28"/>
    </row>
    <row r="508" spans="1:28" ht="15.75" customHeight="1" x14ac:dyDescent="0.35">
      <c r="A508" s="126"/>
      <c r="B508" s="28"/>
      <c r="C508" s="127"/>
      <c r="D508" s="127"/>
      <c r="E508" s="128"/>
      <c r="F508" s="108"/>
      <c r="G508" s="108"/>
      <c r="M508" s="108"/>
      <c r="N508" s="108"/>
      <c r="O508" s="108"/>
      <c r="P508" s="108"/>
      <c r="Q508" s="108"/>
      <c r="AB508" s="28"/>
    </row>
    <row r="509" spans="1:28" ht="15.75" customHeight="1" x14ac:dyDescent="0.35">
      <c r="A509" s="126"/>
      <c r="B509" s="28"/>
      <c r="C509" s="127"/>
      <c r="D509" s="127"/>
      <c r="E509" s="128"/>
      <c r="F509" s="108"/>
      <c r="G509" s="108"/>
      <c r="M509" s="108"/>
      <c r="N509" s="108"/>
      <c r="O509" s="108"/>
      <c r="P509" s="108"/>
      <c r="Q509" s="108"/>
      <c r="AB509" s="28"/>
    </row>
    <row r="510" spans="1:28" ht="15.75" customHeight="1" x14ac:dyDescent="0.35">
      <c r="A510" s="126"/>
      <c r="B510" s="28"/>
      <c r="C510" s="127"/>
      <c r="D510" s="127"/>
      <c r="E510" s="128"/>
      <c r="F510" s="108"/>
      <c r="G510" s="108"/>
      <c r="M510" s="108"/>
      <c r="N510" s="108"/>
      <c r="O510" s="108"/>
      <c r="P510" s="108"/>
      <c r="Q510" s="108"/>
      <c r="AB510" s="28"/>
    </row>
    <row r="511" spans="1:28" ht="15.75" customHeight="1" x14ac:dyDescent="0.35">
      <c r="A511" s="126"/>
      <c r="B511" s="28"/>
      <c r="C511" s="127"/>
      <c r="D511" s="127"/>
      <c r="E511" s="128"/>
      <c r="F511" s="108"/>
      <c r="G511" s="108"/>
      <c r="M511" s="108"/>
      <c r="N511" s="108"/>
      <c r="O511" s="108"/>
      <c r="P511" s="108"/>
      <c r="Q511" s="108"/>
      <c r="AB511" s="28"/>
    </row>
    <row r="512" spans="1:28" ht="15.75" customHeight="1" x14ac:dyDescent="0.35">
      <c r="A512" s="126"/>
      <c r="B512" s="28"/>
      <c r="C512" s="127"/>
      <c r="D512" s="127"/>
      <c r="E512" s="128"/>
      <c r="F512" s="108"/>
      <c r="G512" s="108"/>
      <c r="M512" s="108"/>
      <c r="N512" s="108"/>
      <c r="O512" s="108"/>
      <c r="P512" s="108"/>
      <c r="Q512" s="108"/>
      <c r="AB512" s="28"/>
    </row>
    <row r="513" spans="1:28" ht="15.75" customHeight="1" x14ac:dyDescent="0.35">
      <c r="A513" s="126"/>
      <c r="B513" s="28"/>
      <c r="C513" s="127"/>
      <c r="D513" s="127"/>
      <c r="E513" s="128"/>
      <c r="F513" s="108"/>
      <c r="G513" s="108"/>
      <c r="M513" s="108"/>
      <c r="N513" s="108"/>
      <c r="O513" s="108"/>
      <c r="P513" s="108"/>
      <c r="Q513" s="108"/>
      <c r="AB513" s="28"/>
    </row>
    <row r="514" spans="1:28" ht="15.75" customHeight="1" x14ac:dyDescent="0.35">
      <c r="A514" s="126"/>
      <c r="B514" s="28"/>
      <c r="C514" s="127"/>
      <c r="D514" s="127"/>
      <c r="E514" s="128"/>
      <c r="F514" s="108"/>
      <c r="G514" s="108"/>
      <c r="M514" s="108"/>
      <c r="N514" s="108"/>
      <c r="O514" s="108"/>
      <c r="P514" s="108"/>
      <c r="Q514" s="108"/>
      <c r="AB514" s="28"/>
    </row>
    <row r="515" spans="1:28" ht="15.75" customHeight="1" x14ac:dyDescent="0.35">
      <c r="A515" s="126"/>
      <c r="B515" s="28"/>
      <c r="C515" s="127"/>
      <c r="D515" s="127"/>
      <c r="E515" s="128"/>
      <c r="F515" s="108"/>
      <c r="G515" s="108"/>
      <c r="M515" s="108"/>
      <c r="N515" s="108"/>
      <c r="O515" s="108"/>
      <c r="P515" s="108"/>
      <c r="Q515" s="108"/>
      <c r="AB515" s="28"/>
    </row>
    <row r="516" spans="1:28" ht="15.75" customHeight="1" x14ac:dyDescent="0.35">
      <c r="A516" s="126"/>
      <c r="B516" s="28"/>
      <c r="C516" s="127"/>
      <c r="D516" s="127"/>
      <c r="E516" s="128"/>
      <c r="F516" s="108"/>
      <c r="G516" s="108"/>
      <c r="M516" s="108"/>
      <c r="N516" s="108"/>
      <c r="O516" s="108"/>
      <c r="P516" s="108"/>
      <c r="Q516" s="108"/>
      <c r="AB516" s="28"/>
    </row>
    <row r="517" spans="1:28" ht="15.75" customHeight="1" x14ac:dyDescent="0.35">
      <c r="A517" s="126"/>
      <c r="B517" s="28"/>
      <c r="C517" s="127"/>
      <c r="D517" s="127"/>
      <c r="E517" s="128"/>
      <c r="F517" s="108"/>
      <c r="G517" s="108"/>
      <c r="M517" s="108"/>
      <c r="N517" s="108"/>
      <c r="O517" s="108"/>
      <c r="P517" s="108"/>
      <c r="Q517" s="108"/>
      <c r="AB517" s="28"/>
    </row>
    <row r="518" spans="1:28" ht="15.75" customHeight="1" x14ac:dyDescent="0.35">
      <c r="A518" s="126"/>
      <c r="B518" s="28"/>
      <c r="C518" s="127"/>
      <c r="D518" s="127"/>
      <c r="E518" s="128"/>
      <c r="F518" s="108"/>
      <c r="G518" s="108"/>
      <c r="M518" s="108"/>
      <c r="N518" s="108"/>
      <c r="O518" s="108"/>
      <c r="P518" s="108"/>
      <c r="Q518" s="108"/>
      <c r="AB518" s="28"/>
    </row>
    <row r="519" spans="1:28" ht="15.75" customHeight="1" x14ac:dyDescent="0.35">
      <c r="A519" s="126"/>
      <c r="B519" s="28"/>
      <c r="C519" s="127"/>
      <c r="D519" s="127"/>
      <c r="E519" s="128"/>
      <c r="F519" s="108"/>
      <c r="G519" s="108"/>
      <c r="M519" s="108"/>
      <c r="N519" s="108"/>
      <c r="O519" s="108"/>
      <c r="P519" s="108"/>
      <c r="Q519" s="108"/>
      <c r="AB519" s="28"/>
    </row>
    <row r="520" spans="1:28" ht="15.75" customHeight="1" x14ac:dyDescent="0.35">
      <c r="A520" s="126"/>
      <c r="B520" s="28"/>
      <c r="C520" s="127"/>
      <c r="D520" s="127"/>
      <c r="E520" s="128"/>
      <c r="F520" s="108"/>
      <c r="G520" s="108"/>
      <c r="M520" s="108"/>
      <c r="N520" s="108"/>
      <c r="O520" s="108"/>
      <c r="P520" s="108"/>
      <c r="Q520" s="108"/>
      <c r="AB520" s="28"/>
    </row>
    <row r="521" spans="1:28" ht="15.75" customHeight="1" x14ac:dyDescent="0.35">
      <c r="A521" s="126"/>
      <c r="B521" s="28"/>
      <c r="C521" s="127"/>
      <c r="D521" s="127"/>
      <c r="E521" s="128"/>
      <c r="F521" s="108"/>
      <c r="G521" s="108"/>
      <c r="M521" s="108"/>
      <c r="N521" s="108"/>
      <c r="O521" s="108"/>
      <c r="P521" s="108"/>
      <c r="Q521" s="108"/>
      <c r="AB521" s="28"/>
    </row>
    <row r="522" spans="1:28" ht="15.75" customHeight="1" x14ac:dyDescent="0.35">
      <c r="A522" s="126"/>
      <c r="B522" s="28"/>
      <c r="C522" s="127"/>
      <c r="D522" s="127"/>
      <c r="E522" s="128"/>
      <c r="F522" s="108"/>
      <c r="G522" s="108"/>
      <c r="M522" s="108"/>
      <c r="N522" s="108"/>
      <c r="O522" s="108"/>
      <c r="P522" s="108"/>
      <c r="Q522" s="108"/>
      <c r="AB522" s="28"/>
    </row>
    <row r="523" spans="1:28" ht="15.75" customHeight="1" x14ac:dyDescent="0.35">
      <c r="A523" s="126"/>
      <c r="B523" s="28"/>
      <c r="C523" s="127"/>
      <c r="D523" s="127"/>
      <c r="E523" s="128"/>
      <c r="F523" s="108"/>
      <c r="G523" s="108"/>
      <c r="M523" s="108"/>
      <c r="N523" s="108"/>
      <c r="O523" s="108"/>
      <c r="P523" s="108"/>
      <c r="Q523" s="108"/>
      <c r="AB523" s="28"/>
    </row>
    <row r="524" spans="1:28" ht="15.75" customHeight="1" x14ac:dyDescent="0.35">
      <c r="A524" s="126"/>
      <c r="B524" s="28"/>
      <c r="C524" s="127"/>
      <c r="D524" s="127"/>
      <c r="E524" s="128"/>
      <c r="F524" s="108"/>
      <c r="G524" s="108"/>
      <c r="M524" s="108"/>
      <c r="N524" s="108"/>
      <c r="O524" s="108"/>
      <c r="P524" s="108"/>
      <c r="Q524" s="108"/>
      <c r="AB524" s="28"/>
    </row>
    <row r="525" spans="1:28" ht="15.75" customHeight="1" x14ac:dyDescent="0.35">
      <c r="A525" s="126"/>
      <c r="B525" s="28"/>
      <c r="C525" s="127"/>
      <c r="D525" s="127"/>
      <c r="E525" s="128"/>
      <c r="F525" s="108"/>
      <c r="G525" s="108"/>
      <c r="M525" s="108"/>
      <c r="N525" s="108"/>
      <c r="O525" s="108"/>
      <c r="P525" s="108"/>
      <c r="Q525" s="108"/>
      <c r="AB525" s="28"/>
    </row>
    <row r="526" spans="1:28" ht="15.75" customHeight="1" x14ac:dyDescent="0.35">
      <c r="A526" s="126"/>
      <c r="B526" s="28"/>
      <c r="C526" s="127"/>
      <c r="D526" s="127"/>
      <c r="E526" s="128"/>
      <c r="F526" s="108"/>
      <c r="G526" s="108"/>
      <c r="M526" s="108"/>
      <c r="N526" s="108"/>
      <c r="O526" s="108"/>
      <c r="P526" s="108"/>
      <c r="Q526" s="108"/>
      <c r="AB526" s="28"/>
    </row>
    <row r="527" spans="1:28" ht="15.75" customHeight="1" x14ac:dyDescent="0.35">
      <c r="A527" s="126"/>
      <c r="B527" s="28"/>
      <c r="C527" s="127"/>
      <c r="D527" s="127"/>
      <c r="E527" s="128"/>
      <c r="F527" s="108"/>
      <c r="G527" s="108"/>
      <c r="M527" s="108"/>
      <c r="N527" s="108"/>
      <c r="O527" s="108"/>
      <c r="P527" s="108"/>
      <c r="Q527" s="108"/>
      <c r="AB527" s="28"/>
    </row>
    <row r="528" spans="1:28" ht="15.75" customHeight="1" x14ac:dyDescent="0.35">
      <c r="A528" s="126"/>
      <c r="B528" s="28"/>
      <c r="C528" s="127"/>
      <c r="D528" s="127"/>
      <c r="E528" s="128"/>
      <c r="F528" s="108"/>
      <c r="G528" s="108"/>
      <c r="M528" s="108"/>
      <c r="N528" s="108"/>
      <c r="O528" s="108"/>
      <c r="P528" s="108"/>
      <c r="Q528" s="108"/>
      <c r="AB528" s="28"/>
    </row>
    <row r="529" spans="1:28" ht="15.75" customHeight="1" x14ac:dyDescent="0.35">
      <c r="A529" s="126"/>
      <c r="B529" s="28"/>
      <c r="C529" s="127"/>
      <c r="D529" s="127"/>
      <c r="E529" s="128"/>
      <c r="F529" s="108"/>
      <c r="G529" s="108"/>
      <c r="M529" s="108"/>
      <c r="N529" s="108"/>
      <c r="O529" s="108"/>
      <c r="P529" s="108"/>
      <c r="Q529" s="108"/>
      <c r="AB529" s="28"/>
    </row>
    <row r="530" spans="1:28" ht="15.75" customHeight="1" x14ac:dyDescent="0.35">
      <c r="A530" s="126"/>
      <c r="B530" s="28"/>
      <c r="C530" s="127"/>
      <c r="D530" s="127"/>
      <c r="E530" s="128"/>
      <c r="F530" s="108"/>
      <c r="G530" s="108"/>
      <c r="M530" s="108"/>
      <c r="N530" s="108"/>
      <c r="O530" s="108"/>
      <c r="P530" s="108"/>
      <c r="Q530" s="108"/>
      <c r="AB530" s="28"/>
    </row>
    <row r="531" spans="1:28" ht="15.75" customHeight="1" x14ac:dyDescent="0.35">
      <c r="A531" s="126"/>
      <c r="B531" s="28"/>
      <c r="C531" s="127"/>
      <c r="D531" s="127"/>
      <c r="E531" s="128"/>
      <c r="F531" s="108"/>
      <c r="G531" s="108"/>
      <c r="M531" s="108"/>
      <c r="N531" s="108"/>
      <c r="O531" s="108"/>
      <c r="P531" s="108"/>
      <c r="Q531" s="108"/>
      <c r="AB531" s="28"/>
    </row>
    <row r="532" spans="1:28" ht="15.75" customHeight="1" x14ac:dyDescent="0.35">
      <c r="A532" s="126"/>
      <c r="B532" s="28"/>
      <c r="C532" s="127"/>
      <c r="D532" s="127"/>
      <c r="E532" s="128"/>
      <c r="F532" s="108"/>
      <c r="G532" s="108"/>
      <c r="M532" s="108"/>
      <c r="N532" s="108"/>
      <c r="O532" s="108"/>
      <c r="P532" s="108"/>
      <c r="Q532" s="108"/>
      <c r="AB532" s="28"/>
    </row>
    <row r="533" spans="1:28" ht="15.75" customHeight="1" x14ac:dyDescent="0.35">
      <c r="A533" s="126"/>
      <c r="B533" s="28"/>
      <c r="C533" s="127"/>
      <c r="D533" s="127"/>
      <c r="E533" s="128"/>
      <c r="F533" s="108"/>
      <c r="G533" s="108"/>
      <c r="M533" s="108"/>
      <c r="N533" s="108"/>
      <c r="O533" s="108"/>
      <c r="P533" s="108"/>
      <c r="Q533" s="108"/>
      <c r="AB533" s="28"/>
    </row>
    <row r="534" spans="1:28" ht="15.75" customHeight="1" x14ac:dyDescent="0.35">
      <c r="A534" s="126"/>
      <c r="B534" s="28"/>
      <c r="C534" s="127"/>
      <c r="D534" s="127"/>
      <c r="E534" s="128"/>
      <c r="F534" s="108"/>
      <c r="G534" s="108"/>
      <c r="M534" s="108"/>
      <c r="N534" s="108"/>
      <c r="O534" s="108"/>
      <c r="P534" s="108"/>
      <c r="Q534" s="108"/>
      <c r="AB534" s="28"/>
    </row>
    <row r="535" spans="1:28" ht="15.75" customHeight="1" x14ac:dyDescent="0.35">
      <c r="A535" s="126"/>
      <c r="B535" s="28"/>
      <c r="C535" s="127"/>
      <c r="D535" s="127"/>
      <c r="E535" s="128"/>
      <c r="F535" s="108"/>
      <c r="G535" s="108"/>
      <c r="M535" s="108"/>
      <c r="N535" s="108"/>
      <c r="O535" s="108"/>
      <c r="P535" s="108"/>
      <c r="Q535" s="108"/>
      <c r="AB535" s="28"/>
    </row>
    <row r="536" spans="1:28" ht="15.75" customHeight="1" x14ac:dyDescent="0.35">
      <c r="A536" s="126"/>
      <c r="B536" s="28"/>
      <c r="C536" s="127"/>
      <c r="D536" s="127"/>
      <c r="E536" s="128"/>
      <c r="F536" s="108"/>
      <c r="G536" s="108"/>
      <c r="M536" s="108"/>
      <c r="N536" s="108"/>
      <c r="O536" s="108"/>
      <c r="P536" s="108"/>
      <c r="Q536" s="108"/>
      <c r="AB536" s="28"/>
    </row>
    <row r="537" spans="1:28" ht="15.75" customHeight="1" x14ac:dyDescent="0.35">
      <c r="A537" s="126"/>
      <c r="B537" s="28"/>
      <c r="C537" s="127"/>
      <c r="D537" s="127"/>
      <c r="E537" s="128"/>
      <c r="F537" s="108"/>
      <c r="G537" s="108"/>
      <c r="M537" s="108"/>
      <c r="N537" s="108"/>
      <c r="O537" s="108"/>
      <c r="P537" s="108"/>
      <c r="Q537" s="108"/>
      <c r="AB537" s="28"/>
    </row>
    <row r="538" spans="1:28" ht="15.75" customHeight="1" x14ac:dyDescent="0.35">
      <c r="A538" s="126"/>
      <c r="B538" s="28"/>
      <c r="C538" s="127"/>
      <c r="D538" s="127"/>
      <c r="E538" s="128"/>
      <c r="F538" s="108"/>
      <c r="G538" s="108"/>
      <c r="M538" s="108"/>
      <c r="N538" s="108"/>
      <c r="O538" s="108"/>
      <c r="P538" s="108"/>
      <c r="Q538" s="108"/>
      <c r="AB538" s="28"/>
    </row>
    <row r="539" spans="1:28" ht="15.75" customHeight="1" x14ac:dyDescent="0.35">
      <c r="A539" s="126"/>
      <c r="B539" s="28"/>
      <c r="C539" s="127"/>
      <c r="D539" s="127"/>
      <c r="E539" s="128"/>
      <c r="F539" s="108"/>
      <c r="G539" s="108"/>
      <c r="M539" s="108"/>
      <c r="N539" s="108"/>
      <c r="O539" s="108"/>
      <c r="P539" s="108"/>
      <c r="Q539" s="108"/>
      <c r="AB539" s="28"/>
    </row>
    <row r="540" spans="1:28" ht="15.75" customHeight="1" x14ac:dyDescent="0.35">
      <c r="A540" s="126"/>
      <c r="B540" s="28"/>
      <c r="C540" s="127"/>
      <c r="D540" s="127"/>
      <c r="E540" s="128"/>
      <c r="F540" s="108"/>
      <c r="G540" s="108"/>
      <c r="M540" s="108"/>
      <c r="N540" s="108"/>
      <c r="O540" s="108"/>
      <c r="P540" s="108"/>
      <c r="Q540" s="108"/>
      <c r="AB540" s="28"/>
    </row>
    <row r="541" spans="1:28" ht="15.75" customHeight="1" x14ac:dyDescent="0.35">
      <c r="A541" s="126"/>
      <c r="B541" s="28"/>
      <c r="C541" s="127"/>
      <c r="D541" s="127"/>
      <c r="E541" s="128"/>
      <c r="F541" s="108"/>
      <c r="G541" s="108"/>
      <c r="M541" s="108"/>
      <c r="N541" s="108"/>
      <c r="O541" s="108"/>
      <c r="P541" s="108"/>
      <c r="Q541" s="108"/>
      <c r="AB541" s="28"/>
    </row>
    <row r="542" spans="1:28" ht="15.75" customHeight="1" x14ac:dyDescent="0.35">
      <c r="A542" s="126"/>
      <c r="B542" s="28"/>
      <c r="C542" s="127"/>
      <c r="D542" s="127"/>
      <c r="E542" s="128"/>
      <c r="F542" s="108"/>
      <c r="G542" s="108"/>
      <c r="M542" s="108"/>
      <c r="N542" s="108"/>
      <c r="O542" s="108"/>
      <c r="P542" s="108"/>
      <c r="Q542" s="108"/>
      <c r="AB542" s="28"/>
    </row>
    <row r="543" spans="1:28" ht="15.75" customHeight="1" x14ac:dyDescent="0.35">
      <c r="A543" s="126"/>
      <c r="B543" s="28"/>
      <c r="C543" s="127"/>
      <c r="D543" s="127"/>
      <c r="E543" s="128"/>
      <c r="F543" s="108"/>
      <c r="G543" s="108"/>
      <c r="M543" s="108"/>
      <c r="N543" s="108"/>
      <c r="O543" s="108"/>
      <c r="P543" s="108"/>
      <c r="Q543" s="108"/>
      <c r="AB543" s="28"/>
    </row>
    <row r="544" spans="1:28" ht="15.75" customHeight="1" x14ac:dyDescent="0.35">
      <c r="A544" s="126"/>
      <c r="B544" s="28"/>
      <c r="C544" s="127"/>
      <c r="D544" s="127"/>
      <c r="E544" s="128"/>
      <c r="F544" s="108"/>
      <c r="G544" s="108"/>
      <c r="M544" s="108"/>
      <c r="N544" s="108"/>
      <c r="O544" s="108"/>
      <c r="P544" s="108"/>
      <c r="Q544" s="108"/>
      <c r="AB544" s="28"/>
    </row>
    <row r="545" spans="1:28" ht="15.75" customHeight="1" x14ac:dyDescent="0.35">
      <c r="A545" s="126"/>
      <c r="B545" s="28"/>
      <c r="C545" s="127"/>
      <c r="D545" s="127"/>
      <c r="E545" s="128"/>
      <c r="F545" s="108"/>
      <c r="G545" s="108"/>
      <c r="M545" s="108"/>
      <c r="N545" s="108"/>
      <c r="O545" s="108"/>
      <c r="P545" s="108"/>
      <c r="Q545" s="108"/>
      <c r="AB545" s="28"/>
    </row>
    <row r="546" spans="1:28" ht="15.75" customHeight="1" x14ac:dyDescent="0.35">
      <c r="A546" s="126"/>
      <c r="B546" s="28"/>
      <c r="C546" s="127"/>
      <c r="D546" s="127"/>
      <c r="E546" s="128"/>
      <c r="F546" s="108"/>
      <c r="G546" s="108"/>
      <c r="M546" s="108"/>
      <c r="N546" s="108"/>
      <c r="O546" s="108"/>
      <c r="P546" s="108"/>
      <c r="Q546" s="108"/>
      <c r="AB546" s="28"/>
    </row>
    <row r="547" spans="1:28" ht="15.75" customHeight="1" x14ac:dyDescent="0.35">
      <c r="A547" s="126"/>
      <c r="B547" s="28"/>
      <c r="C547" s="127"/>
      <c r="D547" s="127"/>
      <c r="E547" s="128"/>
      <c r="F547" s="108"/>
      <c r="G547" s="108"/>
      <c r="M547" s="108"/>
      <c r="N547" s="108"/>
      <c r="O547" s="108"/>
      <c r="P547" s="108"/>
      <c r="Q547" s="108"/>
      <c r="AB547" s="28"/>
    </row>
    <row r="548" spans="1:28" ht="15.75" customHeight="1" x14ac:dyDescent="0.35">
      <c r="A548" s="126"/>
      <c r="B548" s="28"/>
      <c r="C548" s="127"/>
      <c r="D548" s="127"/>
      <c r="E548" s="128"/>
      <c r="F548" s="108"/>
      <c r="G548" s="108"/>
      <c r="M548" s="108"/>
      <c r="N548" s="108"/>
      <c r="O548" s="108"/>
      <c r="P548" s="108"/>
      <c r="Q548" s="108"/>
      <c r="AB548" s="28"/>
    </row>
    <row r="549" spans="1:28" ht="15.75" customHeight="1" x14ac:dyDescent="0.35">
      <c r="A549" s="126"/>
      <c r="B549" s="28"/>
      <c r="C549" s="127"/>
      <c r="D549" s="127"/>
      <c r="E549" s="128"/>
      <c r="F549" s="108"/>
      <c r="G549" s="108"/>
      <c r="M549" s="108"/>
      <c r="N549" s="108"/>
      <c r="O549" s="108"/>
      <c r="P549" s="108"/>
      <c r="Q549" s="108"/>
      <c r="AB549" s="28"/>
    </row>
    <row r="550" spans="1:28" ht="15.75" customHeight="1" x14ac:dyDescent="0.35">
      <c r="A550" s="126"/>
      <c r="B550" s="28"/>
      <c r="C550" s="127"/>
      <c r="D550" s="127"/>
      <c r="E550" s="128"/>
      <c r="F550" s="108"/>
      <c r="G550" s="108"/>
      <c r="M550" s="108"/>
      <c r="N550" s="108"/>
      <c r="O550" s="108"/>
      <c r="P550" s="108"/>
      <c r="Q550" s="108"/>
      <c r="AB550" s="28"/>
    </row>
    <row r="551" spans="1:28" ht="15.75" customHeight="1" x14ac:dyDescent="0.35">
      <c r="A551" s="126"/>
      <c r="B551" s="28"/>
      <c r="C551" s="127"/>
      <c r="D551" s="127"/>
      <c r="E551" s="128"/>
      <c r="F551" s="108"/>
      <c r="G551" s="108"/>
      <c r="M551" s="108"/>
      <c r="N551" s="108"/>
      <c r="O551" s="108"/>
      <c r="P551" s="108"/>
      <c r="Q551" s="108"/>
      <c r="AB551" s="28"/>
    </row>
    <row r="552" spans="1:28" ht="15.75" customHeight="1" x14ac:dyDescent="0.35">
      <c r="A552" s="126"/>
      <c r="B552" s="28"/>
      <c r="C552" s="127"/>
      <c r="D552" s="127"/>
      <c r="E552" s="128"/>
      <c r="F552" s="108"/>
      <c r="G552" s="108"/>
      <c r="M552" s="108"/>
      <c r="N552" s="108"/>
      <c r="O552" s="108"/>
      <c r="P552" s="108"/>
      <c r="Q552" s="108"/>
      <c r="AB552" s="28"/>
    </row>
    <row r="553" spans="1:28" ht="15.75" customHeight="1" x14ac:dyDescent="0.35">
      <c r="A553" s="126"/>
      <c r="B553" s="28"/>
      <c r="C553" s="127"/>
      <c r="D553" s="127"/>
      <c r="E553" s="128"/>
      <c r="F553" s="108"/>
      <c r="G553" s="108"/>
      <c r="M553" s="108"/>
      <c r="N553" s="108"/>
      <c r="O553" s="108"/>
      <c r="P553" s="108"/>
      <c r="Q553" s="108"/>
      <c r="AB553" s="28"/>
    </row>
    <row r="554" spans="1:28" ht="15.75" customHeight="1" x14ac:dyDescent="0.35">
      <c r="A554" s="126"/>
      <c r="B554" s="28"/>
      <c r="C554" s="127"/>
      <c r="D554" s="127"/>
      <c r="E554" s="128"/>
      <c r="F554" s="108"/>
      <c r="G554" s="108"/>
      <c r="M554" s="108"/>
      <c r="N554" s="108"/>
      <c r="O554" s="108"/>
      <c r="P554" s="108"/>
      <c r="Q554" s="108"/>
      <c r="AB554" s="28"/>
    </row>
    <row r="555" spans="1:28" ht="15.75" customHeight="1" x14ac:dyDescent="0.35">
      <c r="A555" s="126"/>
      <c r="B555" s="28"/>
      <c r="C555" s="127"/>
      <c r="D555" s="127"/>
      <c r="E555" s="128"/>
      <c r="F555" s="108"/>
      <c r="G555" s="108"/>
      <c r="M555" s="108"/>
      <c r="N555" s="108"/>
      <c r="O555" s="108"/>
      <c r="P555" s="108"/>
      <c r="Q555" s="108"/>
      <c r="AB555" s="28"/>
    </row>
    <row r="556" spans="1:28" ht="15.75" customHeight="1" x14ac:dyDescent="0.35">
      <c r="A556" s="126"/>
      <c r="B556" s="28"/>
      <c r="C556" s="127"/>
      <c r="D556" s="127"/>
      <c r="E556" s="128"/>
      <c r="F556" s="108"/>
      <c r="G556" s="108"/>
      <c r="M556" s="108"/>
      <c r="N556" s="108"/>
      <c r="O556" s="108"/>
      <c r="P556" s="108"/>
      <c r="Q556" s="108"/>
      <c r="AB556" s="28"/>
    </row>
    <row r="557" spans="1:28" ht="15.75" customHeight="1" x14ac:dyDescent="0.35">
      <c r="A557" s="126"/>
      <c r="B557" s="28"/>
      <c r="C557" s="127"/>
      <c r="D557" s="127"/>
      <c r="E557" s="128"/>
      <c r="F557" s="108"/>
      <c r="G557" s="108"/>
      <c r="M557" s="108"/>
      <c r="N557" s="108"/>
      <c r="O557" s="108"/>
      <c r="P557" s="108"/>
      <c r="Q557" s="108"/>
      <c r="AB557" s="28"/>
    </row>
    <row r="558" spans="1:28" ht="15.75" customHeight="1" x14ac:dyDescent="0.35">
      <c r="A558" s="126"/>
      <c r="B558" s="28"/>
      <c r="C558" s="127"/>
      <c r="D558" s="127"/>
      <c r="E558" s="128"/>
      <c r="F558" s="108"/>
      <c r="G558" s="108"/>
      <c r="M558" s="108"/>
      <c r="N558" s="108"/>
      <c r="O558" s="108"/>
      <c r="P558" s="108"/>
      <c r="Q558" s="108"/>
      <c r="AB558" s="28"/>
    </row>
    <row r="559" spans="1:28" ht="15.75" customHeight="1" x14ac:dyDescent="0.35">
      <c r="A559" s="126"/>
      <c r="B559" s="28"/>
      <c r="C559" s="127"/>
      <c r="D559" s="127"/>
      <c r="E559" s="128"/>
      <c r="F559" s="108"/>
      <c r="G559" s="108"/>
      <c r="M559" s="108"/>
      <c r="N559" s="108"/>
      <c r="O559" s="108"/>
      <c r="P559" s="108"/>
      <c r="Q559" s="108"/>
      <c r="AB559" s="28"/>
    </row>
    <row r="560" spans="1:28" ht="15.75" customHeight="1" x14ac:dyDescent="0.35">
      <c r="A560" s="126"/>
      <c r="B560" s="28"/>
      <c r="C560" s="127"/>
      <c r="D560" s="127"/>
      <c r="E560" s="128"/>
      <c r="F560" s="108"/>
      <c r="G560" s="108"/>
      <c r="M560" s="108"/>
      <c r="N560" s="108"/>
      <c r="O560" s="108"/>
      <c r="P560" s="108"/>
      <c r="Q560" s="108"/>
      <c r="AB560" s="28"/>
    </row>
    <row r="561" spans="1:28" ht="15.75" customHeight="1" x14ac:dyDescent="0.35">
      <c r="A561" s="126"/>
      <c r="B561" s="28"/>
      <c r="C561" s="127"/>
      <c r="D561" s="127"/>
      <c r="E561" s="128"/>
      <c r="F561" s="108"/>
      <c r="G561" s="108"/>
      <c r="M561" s="108"/>
      <c r="N561" s="108"/>
      <c r="O561" s="108"/>
      <c r="P561" s="108"/>
      <c r="Q561" s="108"/>
      <c r="AB561" s="28"/>
    </row>
    <row r="562" spans="1:28" ht="15.75" customHeight="1" x14ac:dyDescent="0.35">
      <c r="A562" s="126"/>
      <c r="B562" s="28"/>
      <c r="C562" s="127"/>
      <c r="D562" s="127"/>
      <c r="E562" s="128"/>
      <c r="F562" s="108"/>
      <c r="G562" s="108"/>
      <c r="M562" s="108"/>
      <c r="N562" s="108"/>
      <c r="O562" s="108"/>
      <c r="P562" s="108"/>
      <c r="Q562" s="108"/>
      <c r="AB562" s="28"/>
    </row>
    <row r="563" spans="1:28" ht="15.75" customHeight="1" x14ac:dyDescent="0.35">
      <c r="A563" s="126"/>
      <c r="B563" s="28"/>
      <c r="C563" s="127"/>
      <c r="D563" s="127"/>
      <c r="E563" s="128"/>
      <c r="F563" s="108"/>
      <c r="G563" s="108"/>
      <c r="M563" s="108"/>
      <c r="N563" s="108"/>
      <c r="O563" s="108"/>
      <c r="P563" s="108"/>
      <c r="Q563" s="108"/>
      <c r="AB563" s="28"/>
    </row>
    <row r="564" spans="1:28" ht="15.75" customHeight="1" x14ac:dyDescent="0.35">
      <c r="A564" s="126"/>
      <c r="B564" s="28"/>
      <c r="C564" s="127"/>
      <c r="D564" s="127"/>
      <c r="E564" s="128"/>
      <c r="F564" s="108"/>
      <c r="G564" s="108"/>
      <c r="M564" s="108"/>
      <c r="N564" s="108"/>
      <c r="O564" s="108"/>
      <c r="P564" s="108"/>
      <c r="Q564" s="108"/>
      <c r="AB564" s="28"/>
    </row>
    <row r="565" spans="1:28" ht="15.75" customHeight="1" x14ac:dyDescent="0.35">
      <c r="A565" s="126"/>
      <c r="B565" s="28"/>
      <c r="C565" s="127"/>
      <c r="D565" s="127"/>
      <c r="E565" s="128"/>
      <c r="F565" s="108"/>
      <c r="G565" s="108"/>
      <c r="M565" s="108"/>
      <c r="N565" s="108"/>
      <c r="O565" s="108"/>
      <c r="P565" s="108"/>
      <c r="Q565" s="108"/>
      <c r="AB565" s="28"/>
    </row>
    <row r="566" spans="1:28" ht="15.75" customHeight="1" x14ac:dyDescent="0.35">
      <c r="A566" s="126"/>
      <c r="B566" s="28"/>
      <c r="C566" s="127"/>
      <c r="D566" s="127"/>
      <c r="E566" s="128"/>
      <c r="F566" s="108"/>
      <c r="G566" s="108"/>
      <c r="M566" s="108"/>
      <c r="N566" s="108"/>
      <c r="O566" s="108"/>
      <c r="P566" s="108"/>
      <c r="Q566" s="108"/>
      <c r="AB566" s="28"/>
    </row>
    <row r="567" spans="1:28" ht="15.75" customHeight="1" x14ac:dyDescent="0.35">
      <c r="A567" s="126"/>
      <c r="B567" s="28"/>
      <c r="C567" s="127"/>
      <c r="D567" s="127"/>
      <c r="E567" s="128"/>
      <c r="F567" s="108"/>
      <c r="G567" s="108"/>
      <c r="M567" s="108"/>
      <c r="N567" s="108"/>
      <c r="O567" s="108"/>
      <c r="P567" s="108"/>
      <c r="Q567" s="108"/>
      <c r="AB567" s="28"/>
    </row>
    <row r="568" spans="1:28" ht="15.75" customHeight="1" x14ac:dyDescent="0.35">
      <c r="A568" s="126"/>
      <c r="B568" s="28"/>
      <c r="C568" s="127"/>
      <c r="D568" s="127"/>
      <c r="E568" s="128"/>
      <c r="F568" s="108"/>
      <c r="G568" s="108"/>
      <c r="M568" s="108"/>
      <c r="N568" s="108"/>
      <c r="O568" s="108"/>
      <c r="P568" s="108"/>
      <c r="Q568" s="108"/>
      <c r="AB568" s="28"/>
    </row>
    <row r="569" spans="1:28" ht="15.75" customHeight="1" x14ac:dyDescent="0.35">
      <c r="A569" s="126"/>
      <c r="B569" s="28"/>
      <c r="C569" s="127"/>
      <c r="D569" s="127"/>
      <c r="E569" s="128"/>
      <c r="F569" s="108"/>
      <c r="G569" s="108"/>
      <c r="M569" s="108"/>
      <c r="N569" s="108"/>
      <c r="O569" s="108"/>
      <c r="P569" s="108"/>
      <c r="Q569" s="108"/>
      <c r="AB569" s="28"/>
    </row>
    <row r="570" spans="1:28" ht="15.75" customHeight="1" x14ac:dyDescent="0.35">
      <c r="A570" s="126"/>
      <c r="B570" s="28"/>
      <c r="C570" s="127"/>
      <c r="D570" s="127"/>
      <c r="E570" s="128"/>
      <c r="F570" s="108"/>
      <c r="G570" s="108"/>
      <c r="M570" s="108"/>
      <c r="N570" s="108"/>
      <c r="O570" s="108"/>
      <c r="P570" s="108"/>
      <c r="Q570" s="108"/>
      <c r="AB570" s="28"/>
    </row>
    <row r="571" spans="1:28" ht="15.75" customHeight="1" x14ac:dyDescent="0.35">
      <c r="A571" s="126"/>
      <c r="B571" s="28"/>
      <c r="C571" s="127"/>
      <c r="D571" s="127"/>
      <c r="E571" s="128"/>
      <c r="F571" s="108"/>
      <c r="G571" s="108"/>
      <c r="M571" s="108"/>
      <c r="N571" s="108"/>
      <c r="O571" s="108"/>
      <c r="P571" s="108"/>
      <c r="Q571" s="108"/>
      <c r="AB571" s="28"/>
    </row>
    <row r="572" spans="1:28" ht="15.75" customHeight="1" x14ac:dyDescent="0.35">
      <c r="A572" s="126"/>
      <c r="B572" s="28"/>
      <c r="C572" s="127"/>
      <c r="D572" s="127"/>
      <c r="E572" s="128"/>
      <c r="F572" s="108"/>
      <c r="G572" s="108"/>
      <c r="M572" s="108"/>
      <c r="N572" s="108"/>
      <c r="O572" s="108"/>
      <c r="P572" s="108"/>
      <c r="Q572" s="108"/>
      <c r="AB572" s="28"/>
    </row>
    <row r="573" spans="1:28" ht="15.75" customHeight="1" x14ac:dyDescent="0.35">
      <c r="A573" s="126"/>
      <c r="B573" s="28"/>
      <c r="C573" s="127"/>
      <c r="D573" s="127"/>
      <c r="E573" s="128"/>
      <c r="F573" s="108"/>
      <c r="G573" s="108"/>
      <c r="M573" s="108"/>
      <c r="N573" s="108"/>
      <c r="O573" s="108"/>
      <c r="P573" s="108"/>
      <c r="Q573" s="108"/>
      <c r="AB573" s="28"/>
    </row>
    <row r="574" spans="1:28" ht="15.75" customHeight="1" x14ac:dyDescent="0.35">
      <c r="A574" s="126"/>
      <c r="B574" s="28"/>
      <c r="C574" s="127"/>
      <c r="D574" s="127"/>
      <c r="E574" s="128"/>
      <c r="F574" s="108"/>
      <c r="G574" s="108"/>
      <c r="M574" s="108"/>
      <c r="N574" s="108"/>
      <c r="O574" s="108"/>
      <c r="P574" s="108"/>
      <c r="Q574" s="108"/>
      <c r="AB574" s="28"/>
    </row>
    <row r="575" spans="1:28" ht="15.75" customHeight="1" x14ac:dyDescent="0.35">
      <c r="A575" s="126"/>
      <c r="B575" s="28"/>
      <c r="C575" s="127"/>
      <c r="D575" s="127"/>
      <c r="E575" s="128"/>
      <c r="F575" s="108"/>
      <c r="G575" s="108"/>
      <c r="M575" s="108"/>
      <c r="N575" s="108"/>
      <c r="O575" s="108"/>
      <c r="P575" s="108"/>
      <c r="Q575" s="108"/>
      <c r="AB575" s="28"/>
    </row>
    <row r="576" spans="1:28" ht="15.75" customHeight="1" x14ac:dyDescent="0.35">
      <c r="A576" s="126"/>
      <c r="B576" s="28"/>
      <c r="C576" s="127"/>
      <c r="D576" s="127"/>
      <c r="E576" s="128"/>
      <c r="F576" s="108"/>
      <c r="G576" s="108"/>
      <c r="M576" s="108"/>
      <c r="N576" s="108"/>
      <c r="O576" s="108"/>
      <c r="P576" s="108"/>
      <c r="Q576" s="108"/>
      <c r="AB576" s="28"/>
    </row>
    <row r="577" spans="1:28" ht="15.75" customHeight="1" x14ac:dyDescent="0.35">
      <c r="A577" s="126"/>
      <c r="B577" s="28"/>
      <c r="C577" s="127"/>
      <c r="D577" s="127"/>
      <c r="E577" s="128"/>
      <c r="F577" s="108"/>
      <c r="G577" s="108"/>
      <c r="M577" s="108"/>
      <c r="N577" s="108"/>
      <c r="O577" s="108"/>
      <c r="P577" s="108"/>
      <c r="Q577" s="108"/>
      <c r="AB577" s="28"/>
    </row>
    <row r="578" spans="1:28" ht="15.75" customHeight="1" x14ac:dyDescent="0.35">
      <c r="A578" s="126"/>
      <c r="B578" s="28"/>
      <c r="C578" s="127"/>
      <c r="D578" s="127"/>
      <c r="E578" s="128"/>
      <c r="F578" s="108"/>
      <c r="G578" s="108"/>
      <c r="M578" s="108"/>
      <c r="N578" s="108"/>
      <c r="O578" s="108"/>
      <c r="P578" s="108"/>
      <c r="Q578" s="108"/>
      <c r="AB578" s="28"/>
    </row>
    <row r="579" spans="1:28" ht="15.75" customHeight="1" x14ac:dyDescent="0.35">
      <c r="A579" s="126"/>
      <c r="B579" s="28"/>
      <c r="C579" s="127"/>
      <c r="D579" s="127"/>
      <c r="E579" s="128"/>
      <c r="F579" s="108"/>
      <c r="G579" s="108"/>
      <c r="M579" s="108"/>
      <c r="N579" s="108"/>
      <c r="O579" s="108"/>
      <c r="P579" s="108"/>
      <c r="Q579" s="108"/>
      <c r="AB579" s="28"/>
    </row>
    <row r="580" spans="1:28" ht="15.75" customHeight="1" x14ac:dyDescent="0.35">
      <c r="A580" s="126"/>
      <c r="B580" s="28"/>
      <c r="C580" s="127"/>
      <c r="D580" s="127"/>
      <c r="E580" s="128"/>
      <c r="F580" s="108"/>
      <c r="G580" s="108"/>
      <c r="M580" s="108"/>
      <c r="N580" s="108"/>
      <c r="O580" s="108"/>
      <c r="P580" s="108"/>
      <c r="Q580" s="108"/>
      <c r="AB580" s="28"/>
    </row>
    <row r="581" spans="1:28" ht="15.75" customHeight="1" x14ac:dyDescent="0.35">
      <c r="A581" s="126"/>
      <c r="B581" s="28"/>
      <c r="C581" s="127"/>
      <c r="D581" s="127"/>
      <c r="E581" s="128"/>
      <c r="F581" s="108"/>
      <c r="G581" s="108"/>
      <c r="M581" s="108"/>
      <c r="N581" s="108"/>
      <c r="O581" s="108"/>
      <c r="P581" s="108"/>
      <c r="Q581" s="108"/>
      <c r="AB581" s="28"/>
    </row>
    <row r="582" spans="1:28" ht="15.75" customHeight="1" x14ac:dyDescent="0.35">
      <c r="A582" s="126"/>
      <c r="B582" s="28"/>
      <c r="C582" s="127"/>
      <c r="D582" s="127"/>
      <c r="E582" s="128"/>
      <c r="F582" s="108"/>
      <c r="G582" s="108"/>
      <c r="M582" s="108"/>
      <c r="N582" s="108"/>
      <c r="O582" s="108"/>
      <c r="P582" s="108"/>
      <c r="Q582" s="108"/>
      <c r="AB582" s="28"/>
    </row>
    <row r="583" spans="1:28" ht="15.75" customHeight="1" x14ac:dyDescent="0.35">
      <c r="A583" s="126"/>
      <c r="B583" s="28"/>
      <c r="C583" s="127"/>
      <c r="D583" s="127"/>
      <c r="E583" s="128"/>
      <c r="F583" s="108"/>
      <c r="G583" s="108"/>
      <c r="M583" s="108"/>
      <c r="N583" s="108"/>
      <c r="O583" s="108"/>
      <c r="P583" s="108"/>
      <c r="Q583" s="108"/>
      <c r="AB583" s="28"/>
    </row>
    <row r="584" spans="1:28" ht="15.75" customHeight="1" x14ac:dyDescent="0.35">
      <c r="A584" s="126"/>
      <c r="B584" s="28"/>
      <c r="C584" s="127"/>
      <c r="D584" s="127"/>
      <c r="E584" s="128"/>
      <c r="F584" s="108"/>
      <c r="G584" s="108"/>
      <c r="M584" s="108"/>
      <c r="N584" s="108"/>
      <c r="O584" s="108"/>
      <c r="P584" s="108"/>
      <c r="Q584" s="108"/>
      <c r="AB584" s="28"/>
    </row>
    <row r="585" spans="1:28" ht="15.75" customHeight="1" x14ac:dyDescent="0.35">
      <c r="A585" s="126"/>
      <c r="B585" s="28"/>
      <c r="C585" s="127"/>
      <c r="D585" s="127"/>
      <c r="E585" s="128"/>
      <c r="F585" s="108"/>
      <c r="G585" s="108"/>
      <c r="M585" s="108"/>
      <c r="N585" s="108"/>
      <c r="O585" s="108"/>
      <c r="P585" s="108"/>
      <c r="Q585" s="108"/>
      <c r="AB585" s="28"/>
    </row>
    <row r="586" spans="1:28" ht="15.75" customHeight="1" x14ac:dyDescent="0.35">
      <c r="A586" s="126"/>
      <c r="B586" s="28"/>
      <c r="C586" s="127"/>
      <c r="D586" s="127"/>
      <c r="E586" s="128"/>
      <c r="F586" s="108"/>
      <c r="G586" s="108"/>
      <c r="M586" s="108"/>
      <c r="N586" s="108"/>
      <c r="O586" s="108"/>
      <c r="P586" s="108"/>
      <c r="Q586" s="108"/>
      <c r="AB586" s="28"/>
    </row>
    <row r="587" spans="1:28" ht="15.75" customHeight="1" x14ac:dyDescent="0.35">
      <c r="A587" s="126"/>
      <c r="B587" s="28"/>
      <c r="C587" s="127"/>
      <c r="D587" s="127"/>
      <c r="E587" s="128"/>
      <c r="F587" s="108"/>
      <c r="G587" s="108"/>
      <c r="M587" s="108"/>
      <c r="N587" s="108"/>
      <c r="O587" s="108"/>
      <c r="P587" s="108"/>
      <c r="Q587" s="108"/>
      <c r="AB587" s="28"/>
    </row>
    <row r="588" spans="1:28" ht="15.75" customHeight="1" x14ac:dyDescent="0.35">
      <c r="A588" s="126"/>
      <c r="B588" s="28"/>
      <c r="C588" s="127"/>
      <c r="D588" s="127"/>
      <c r="E588" s="128"/>
      <c r="F588" s="108"/>
      <c r="G588" s="108"/>
      <c r="M588" s="108"/>
      <c r="N588" s="108"/>
      <c r="O588" s="108"/>
      <c r="P588" s="108"/>
      <c r="Q588" s="108"/>
      <c r="AB588" s="28"/>
    </row>
    <row r="589" spans="1:28" ht="15.75" customHeight="1" x14ac:dyDescent="0.35">
      <c r="A589" s="126"/>
      <c r="B589" s="28"/>
      <c r="C589" s="127"/>
      <c r="D589" s="127"/>
      <c r="E589" s="128"/>
      <c r="F589" s="108"/>
      <c r="G589" s="108"/>
      <c r="M589" s="108"/>
      <c r="N589" s="108"/>
      <c r="O589" s="108"/>
      <c r="P589" s="108"/>
      <c r="Q589" s="108"/>
      <c r="AB589" s="28"/>
    </row>
    <row r="590" spans="1:28" ht="15.75" customHeight="1" x14ac:dyDescent="0.35">
      <c r="A590" s="126"/>
      <c r="B590" s="28"/>
      <c r="C590" s="127"/>
      <c r="D590" s="127"/>
      <c r="E590" s="128"/>
      <c r="F590" s="108"/>
      <c r="G590" s="108"/>
      <c r="M590" s="108"/>
      <c r="N590" s="108"/>
      <c r="O590" s="108"/>
      <c r="P590" s="108"/>
      <c r="Q590" s="108"/>
      <c r="AB590" s="28"/>
    </row>
    <row r="591" spans="1:28" ht="15.75" customHeight="1" x14ac:dyDescent="0.35">
      <c r="A591" s="126"/>
      <c r="B591" s="28"/>
      <c r="C591" s="127"/>
      <c r="D591" s="127"/>
      <c r="E591" s="128"/>
      <c r="F591" s="108"/>
      <c r="G591" s="108"/>
      <c r="M591" s="108"/>
      <c r="N591" s="108"/>
      <c r="O591" s="108"/>
      <c r="P591" s="108"/>
      <c r="Q591" s="108"/>
      <c r="AB591" s="28"/>
    </row>
    <row r="592" spans="1:28" ht="15.75" customHeight="1" x14ac:dyDescent="0.35">
      <c r="A592" s="126"/>
      <c r="B592" s="28"/>
      <c r="C592" s="127"/>
      <c r="D592" s="127"/>
      <c r="E592" s="128"/>
      <c r="F592" s="108"/>
      <c r="G592" s="108"/>
      <c r="M592" s="108"/>
      <c r="N592" s="108"/>
      <c r="O592" s="108"/>
      <c r="P592" s="108"/>
      <c r="Q592" s="108"/>
      <c r="AB592" s="28"/>
    </row>
    <row r="593" spans="1:28" ht="15.75" customHeight="1" x14ac:dyDescent="0.35">
      <c r="A593" s="126"/>
      <c r="B593" s="28"/>
      <c r="C593" s="127"/>
      <c r="D593" s="127"/>
      <c r="E593" s="128"/>
      <c r="F593" s="108"/>
      <c r="G593" s="108"/>
      <c r="M593" s="108"/>
      <c r="N593" s="108"/>
      <c r="O593" s="108"/>
      <c r="P593" s="108"/>
      <c r="Q593" s="108"/>
      <c r="AB593" s="28"/>
    </row>
    <row r="594" spans="1:28" ht="15.75" customHeight="1" x14ac:dyDescent="0.35">
      <c r="A594" s="126"/>
      <c r="B594" s="28"/>
      <c r="C594" s="127"/>
      <c r="D594" s="127"/>
      <c r="E594" s="128"/>
      <c r="F594" s="108"/>
      <c r="G594" s="108"/>
      <c r="M594" s="108"/>
      <c r="N594" s="108"/>
      <c r="O594" s="108"/>
      <c r="P594" s="108"/>
      <c r="Q594" s="108"/>
      <c r="AB594" s="28"/>
    </row>
    <row r="595" spans="1:28" ht="15.75" customHeight="1" x14ac:dyDescent="0.35">
      <c r="A595" s="126"/>
      <c r="B595" s="28"/>
      <c r="C595" s="127"/>
      <c r="D595" s="127"/>
      <c r="E595" s="128"/>
      <c r="F595" s="108"/>
      <c r="G595" s="108"/>
      <c r="M595" s="108"/>
      <c r="N595" s="108"/>
      <c r="O595" s="108"/>
      <c r="P595" s="108"/>
      <c r="Q595" s="108"/>
      <c r="AB595" s="28"/>
    </row>
    <row r="596" spans="1:28" ht="15.75" customHeight="1" x14ac:dyDescent="0.35">
      <c r="A596" s="126"/>
      <c r="B596" s="28"/>
      <c r="C596" s="127"/>
      <c r="D596" s="127"/>
      <c r="E596" s="128"/>
      <c r="F596" s="108"/>
      <c r="G596" s="108"/>
      <c r="M596" s="108"/>
      <c r="N596" s="108"/>
      <c r="O596" s="108"/>
      <c r="P596" s="108"/>
      <c r="Q596" s="108"/>
      <c r="AB596" s="28"/>
    </row>
    <row r="597" spans="1:28" ht="15.75" customHeight="1" x14ac:dyDescent="0.35">
      <c r="A597" s="126"/>
      <c r="B597" s="28"/>
      <c r="C597" s="127"/>
      <c r="D597" s="127"/>
      <c r="E597" s="128"/>
      <c r="F597" s="108"/>
      <c r="G597" s="108"/>
      <c r="M597" s="108"/>
      <c r="N597" s="108"/>
      <c r="O597" s="108"/>
      <c r="P597" s="108"/>
      <c r="Q597" s="108"/>
      <c r="AB597" s="28"/>
    </row>
    <row r="598" spans="1:28" ht="15.75" customHeight="1" x14ac:dyDescent="0.35">
      <c r="A598" s="126"/>
      <c r="B598" s="28"/>
      <c r="C598" s="127"/>
      <c r="D598" s="127"/>
      <c r="E598" s="128"/>
      <c r="F598" s="108"/>
      <c r="G598" s="108"/>
      <c r="M598" s="108"/>
      <c r="N598" s="108"/>
      <c r="O598" s="108"/>
      <c r="P598" s="108"/>
      <c r="Q598" s="108"/>
      <c r="AB598" s="28"/>
    </row>
    <row r="599" spans="1:28" ht="15.75" customHeight="1" x14ac:dyDescent="0.35">
      <c r="A599" s="126"/>
      <c r="B599" s="28"/>
      <c r="C599" s="127"/>
      <c r="D599" s="127"/>
      <c r="E599" s="128"/>
      <c r="F599" s="108"/>
      <c r="G599" s="108"/>
      <c r="M599" s="108"/>
      <c r="N599" s="108"/>
      <c r="O599" s="108"/>
      <c r="P599" s="108"/>
      <c r="Q599" s="108"/>
      <c r="AB599" s="28"/>
    </row>
    <row r="600" spans="1:28" ht="15.75" customHeight="1" x14ac:dyDescent="0.35">
      <c r="A600" s="126"/>
      <c r="B600" s="28"/>
      <c r="C600" s="127"/>
      <c r="D600" s="127"/>
      <c r="E600" s="128"/>
      <c r="F600" s="108"/>
      <c r="G600" s="108"/>
      <c r="M600" s="108"/>
      <c r="N600" s="108"/>
      <c r="O600" s="108"/>
      <c r="P600" s="108"/>
      <c r="Q600" s="108"/>
      <c r="AB600" s="28"/>
    </row>
    <row r="601" spans="1:28" ht="15.75" customHeight="1" x14ac:dyDescent="0.35">
      <c r="A601" s="126"/>
      <c r="B601" s="28"/>
      <c r="C601" s="127"/>
      <c r="D601" s="127"/>
      <c r="E601" s="128"/>
      <c r="F601" s="108"/>
      <c r="G601" s="108"/>
      <c r="M601" s="108"/>
      <c r="N601" s="108"/>
      <c r="O601" s="108"/>
      <c r="P601" s="108"/>
      <c r="Q601" s="108"/>
      <c r="AB601" s="28"/>
    </row>
    <row r="602" spans="1:28" ht="15.75" customHeight="1" x14ac:dyDescent="0.35">
      <c r="A602" s="126"/>
      <c r="B602" s="28"/>
      <c r="C602" s="127"/>
      <c r="D602" s="127"/>
      <c r="E602" s="128"/>
      <c r="F602" s="108"/>
      <c r="G602" s="108"/>
      <c r="M602" s="108"/>
      <c r="N602" s="108"/>
      <c r="O602" s="108"/>
      <c r="P602" s="108"/>
      <c r="Q602" s="108"/>
      <c r="AB602" s="28"/>
    </row>
    <row r="603" spans="1:28" ht="15.75" customHeight="1" x14ac:dyDescent="0.35">
      <c r="A603" s="126"/>
      <c r="B603" s="28"/>
      <c r="C603" s="127"/>
      <c r="D603" s="127"/>
      <c r="E603" s="128"/>
      <c r="F603" s="108"/>
      <c r="G603" s="108"/>
      <c r="M603" s="108"/>
      <c r="N603" s="108"/>
      <c r="O603" s="108"/>
      <c r="P603" s="108"/>
      <c r="Q603" s="108"/>
      <c r="AB603" s="28"/>
    </row>
    <row r="604" spans="1:28" ht="15.75" customHeight="1" x14ac:dyDescent="0.35">
      <c r="A604" s="126"/>
      <c r="B604" s="28"/>
      <c r="C604" s="127"/>
      <c r="D604" s="127"/>
      <c r="E604" s="128"/>
      <c r="F604" s="108"/>
      <c r="G604" s="108"/>
      <c r="M604" s="108"/>
      <c r="N604" s="108"/>
      <c r="O604" s="108"/>
      <c r="P604" s="108"/>
      <c r="Q604" s="108"/>
      <c r="AB604" s="28"/>
    </row>
    <row r="605" spans="1:28" ht="15.75" customHeight="1" x14ac:dyDescent="0.35">
      <c r="A605" s="126"/>
      <c r="B605" s="28"/>
      <c r="C605" s="127"/>
      <c r="D605" s="127"/>
      <c r="E605" s="128"/>
      <c r="F605" s="108"/>
      <c r="G605" s="108"/>
      <c r="M605" s="108"/>
      <c r="N605" s="108"/>
      <c r="O605" s="108"/>
      <c r="P605" s="108"/>
      <c r="Q605" s="108"/>
      <c r="AB605" s="28"/>
    </row>
    <row r="606" spans="1:28" ht="15.75" customHeight="1" x14ac:dyDescent="0.35">
      <c r="A606" s="126"/>
      <c r="B606" s="28"/>
      <c r="C606" s="127"/>
      <c r="D606" s="127"/>
      <c r="E606" s="128"/>
      <c r="F606" s="108"/>
      <c r="G606" s="108"/>
      <c r="M606" s="108"/>
      <c r="N606" s="108"/>
      <c r="O606" s="108"/>
      <c r="P606" s="108"/>
      <c r="Q606" s="108"/>
      <c r="AB606" s="28"/>
    </row>
    <row r="607" spans="1:28" ht="15.75" customHeight="1" x14ac:dyDescent="0.35">
      <c r="A607" s="126"/>
      <c r="B607" s="28"/>
      <c r="C607" s="127"/>
      <c r="D607" s="127"/>
      <c r="E607" s="128"/>
      <c r="F607" s="108"/>
      <c r="G607" s="108"/>
      <c r="M607" s="108"/>
      <c r="N607" s="108"/>
      <c r="O607" s="108"/>
      <c r="P607" s="108"/>
      <c r="Q607" s="108"/>
      <c r="AB607" s="28"/>
    </row>
    <row r="608" spans="1:28" ht="15.75" customHeight="1" x14ac:dyDescent="0.35">
      <c r="A608" s="126"/>
      <c r="B608" s="28"/>
      <c r="C608" s="127"/>
      <c r="D608" s="127"/>
      <c r="E608" s="128"/>
      <c r="F608" s="108"/>
      <c r="G608" s="108"/>
      <c r="M608" s="108"/>
      <c r="N608" s="108"/>
      <c r="O608" s="108"/>
      <c r="P608" s="108"/>
      <c r="Q608" s="108"/>
      <c r="AB608" s="28"/>
    </row>
    <row r="609" spans="1:28" ht="15.75" customHeight="1" x14ac:dyDescent="0.35">
      <c r="A609" s="126"/>
      <c r="B609" s="28"/>
      <c r="C609" s="127"/>
      <c r="D609" s="127"/>
      <c r="E609" s="128"/>
      <c r="F609" s="108"/>
      <c r="G609" s="108"/>
      <c r="M609" s="108"/>
      <c r="N609" s="108"/>
      <c r="O609" s="108"/>
      <c r="P609" s="108"/>
      <c r="Q609" s="108"/>
      <c r="AB609" s="28"/>
    </row>
    <row r="610" spans="1:28" ht="15.75" customHeight="1" x14ac:dyDescent="0.35">
      <c r="A610" s="126"/>
      <c r="B610" s="28"/>
      <c r="C610" s="127"/>
      <c r="D610" s="127"/>
      <c r="E610" s="128"/>
      <c r="F610" s="108"/>
      <c r="G610" s="108"/>
      <c r="M610" s="108"/>
      <c r="N610" s="108"/>
      <c r="O610" s="108"/>
      <c r="P610" s="108"/>
      <c r="Q610" s="108"/>
      <c r="AB610" s="28"/>
    </row>
    <row r="611" spans="1:28" ht="15.75" customHeight="1" x14ac:dyDescent="0.35">
      <c r="A611" s="126"/>
      <c r="B611" s="28"/>
      <c r="C611" s="127"/>
      <c r="D611" s="127"/>
      <c r="E611" s="128"/>
      <c r="F611" s="108"/>
      <c r="G611" s="108"/>
      <c r="M611" s="108"/>
      <c r="N611" s="108"/>
      <c r="O611" s="108"/>
      <c r="P611" s="108"/>
      <c r="Q611" s="108"/>
      <c r="AB611" s="28"/>
    </row>
    <row r="612" spans="1:28" ht="15.75" customHeight="1" x14ac:dyDescent="0.35">
      <c r="A612" s="126"/>
      <c r="B612" s="28"/>
      <c r="C612" s="127"/>
      <c r="D612" s="127"/>
      <c r="E612" s="128"/>
      <c r="F612" s="108"/>
      <c r="G612" s="108"/>
      <c r="M612" s="108"/>
      <c r="N612" s="108"/>
      <c r="O612" s="108"/>
      <c r="P612" s="108"/>
      <c r="Q612" s="108"/>
      <c r="AB612" s="28"/>
    </row>
    <row r="613" spans="1:28" ht="15.75" customHeight="1" x14ac:dyDescent="0.35">
      <c r="A613" s="126"/>
      <c r="B613" s="28"/>
      <c r="C613" s="127"/>
      <c r="D613" s="127"/>
      <c r="E613" s="128"/>
      <c r="F613" s="108"/>
      <c r="G613" s="108"/>
      <c r="M613" s="108"/>
      <c r="N613" s="108"/>
      <c r="O613" s="108"/>
      <c r="P613" s="108"/>
      <c r="Q613" s="108"/>
      <c r="AB613" s="28"/>
    </row>
    <row r="614" spans="1:28" ht="15.75" customHeight="1" x14ac:dyDescent="0.35">
      <c r="A614" s="126"/>
      <c r="B614" s="28"/>
      <c r="C614" s="127"/>
      <c r="D614" s="127"/>
      <c r="E614" s="128"/>
      <c r="F614" s="108"/>
      <c r="G614" s="108"/>
      <c r="M614" s="108"/>
      <c r="N614" s="108"/>
      <c r="O614" s="108"/>
      <c r="P614" s="108"/>
      <c r="Q614" s="108"/>
      <c r="AB614" s="28"/>
    </row>
    <row r="615" spans="1:28" ht="15.75" customHeight="1" x14ac:dyDescent="0.35">
      <c r="A615" s="126"/>
      <c r="B615" s="28"/>
      <c r="C615" s="127"/>
      <c r="D615" s="127"/>
      <c r="E615" s="128"/>
      <c r="F615" s="108"/>
      <c r="G615" s="108"/>
      <c r="M615" s="108"/>
      <c r="N615" s="108"/>
      <c r="O615" s="108"/>
      <c r="P615" s="108"/>
      <c r="Q615" s="108"/>
      <c r="AB615" s="28"/>
    </row>
    <row r="616" spans="1:28" ht="15.75" customHeight="1" x14ac:dyDescent="0.35">
      <c r="A616" s="126"/>
      <c r="B616" s="28"/>
      <c r="C616" s="127"/>
      <c r="D616" s="127"/>
      <c r="E616" s="128"/>
      <c r="F616" s="108"/>
      <c r="G616" s="108"/>
      <c r="M616" s="108"/>
      <c r="N616" s="108"/>
      <c r="O616" s="108"/>
      <c r="P616" s="108"/>
      <c r="Q616" s="108"/>
      <c r="AB616" s="28"/>
    </row>
    <row r="617" spans="1:28" ht="15.75" customHeight="1" x14ac:dyDescent="0.35">
      <c r="A617" s="126"/>
      <c r="B617" s="28"/>
      <c r="C617" s="127"/>
      <c r="D617" s="127"/>
      <c r="E617" s="128"/>
      <c r="F617" s="108"/>
      <c r="G617" s="108"/>
      <c r="M617" s="108"/>
      <c r="N617" s="108"/>
      <c r="O617" s="108"/>
      <c r="P617" s="108"/>
      <c r="Q617" s="108"/>
      <c r="AB617" s="28"/>
    </row>
    <row r="618" spans="1:28" ht="15.75" customHeight="1" x14ac:dyDescent="0.35">
      <c r="A618" s="126"/>
      <c r="B618" s="28"/>
      <c r="C618" s="127"/>
      <c r="D618" s="127"/>
      <c r="E618" s="128"/>
      <c r="F618" s="108"/>
      <c r="G618" s="108"/>
      <c r="M618" s="108"/>
      <c r="N618" s="108"/>
      <c r="O618" s="108"/>
      <c r="P618" s="108"/>
      <c r="Q618" s="108"/>
      <c r="AB618" s="28"/>
    </row>
    <row r="619" spans="1:28" ht="15.75" customHeight="1" x14ac:dyDescent="0.35">
      <c r="A619" s="126"/>
      <c r="B619" s="28"/>
      <c r="C619" s="127"/>
      <c r="D619" s="127"/>
      <c r="E619" s="128"/>
      <c r="F619" s="108"/>
      <c r="G619" s="108"/>
      <c r="M619" s="108"/>
      <c r="N619" s="108"/>
      <c r="O619" s="108"/>
      <c r="P619" s="108"/>
      <c r="Q619" s="108"/>
      <c r="AB619" s="28"/>
    </row>
    <row r="620" spans="1:28" ht="15.75" customHeight="1" x14ac:dyDescent="0.35">
      <c r="A620" s="126"/>
      <c r="B620" s="28"/>
      <c r="C620" s="127"/>
      <c r="D620" s="127"/>
      <c r="E620" s="128"/>
      <c r="F620" s="108"/>
      <c r="G620" s="108"/>
      <c r="M620" s="108"/>
      <c r="N620" s="108"/>
      <c r="O620" s="108"/>
      <c r="P620" s="108"/>
      <c r="Q620" s="108"/>
      <c r="AB620" s="28"/>
    </row>
    <row r="621" spans="1:28" ht="15.75" customHeight="1" x14ac:dyDescent="0.35">
      <c r="A621" s="126"/>
      <c r="B621" s="28"/>
      <c r="C621" s="127"/>
      <c r="D621" s="127"/>
      <c r="E621" s="128"/>
      <c r="F621" s="108"/>
      <c r="G621" s="108"/>
      <c r="M621" s="108"/>
      <c r="N621" s="108"/>
      <c r="O621" s="108"/>
      <c r="P621" s="108"/>
      <c r="Q621" s="108"/>
      <c r="AB621" s="28"/>
    </row>
    <row r="622" spans="1:28" ht="15.75" customHeight="1" x14ac:dyDescent="0.35">
      <c r="A622" s="126"/>
      <c r="B622" s="28"/>
      <c r="C622" s="127"/>
      <c r="D622" s="127"/>
      <c r="E622" s="128"/>
      <c r="F622" s="108"/>
      <c r="G622" s="108"/>
      <c r="M622" s="108"/>
      <c r="N622" s="108"/>
      <c r="O622" s="108"/>
      <c r="P622" s="108"/>
      <c r="Q622" s="108"/>
      <c r="AB622" s="28"/>
    </row>
    <row r="623" spans="1:28" ht="15.75" customHeight="1" x14ac:dyDescent="0.35">
      <c r="A623" s="126"/>
      <c r="B623" s="28"/>
      <c r="C623" s="127"/>
      <c r="D623" s="127"/>
      <c r="E623" s="128"/>
      <c r="F623" s="108"/>
      <c r="G623" s="108"/>
      <c r="M623" s="108"/>
      <c r="N623" s="108"/>
      <c r="O623" s="108"/>
      <c r="P623" s="108"/>
      <c r="Q623" s="108"/>
      <c r="AB623" s="28"/>
    </row>
    <row r="624" spans="1:28" ht="15.75" customHeight="1" x14ac:dyDescent="0.35">
      <c r="A624" s="126"/>
      <c r="B624" s="28"/>
      <c r="C624" s="127"/>
      <c r="D624" s="127"/>
      <c r="E624" s="128"/>
      <c r="F624" s="108"/>
      <c r="G624" s="108"/>
      <c r="M624" s="108"/>
      <c r="N624" s="108"/>
      <c r="O624" s="108"/>
      <c r="P624" s="108"/>
      <c r="Q624" s="108"/>
      <c r="AB624" s="28"/>
    </row>
    <row r="625" spans="1:28" ht="15.75" customHeight="1" x14ac:dyDescent="0.35">
      <c r="A625" s="126"/>
      <c r="B625" s="28"/>
      <c r="C625" s="127"/>
      <c r="D625" s="127"/>
      <c r="E625" s="128"/>
      <c r="F625" s="108"/>
      <c r="G625" s="108"/>
      <c r="M625" s="108"/>
      <c r="N625" s="108"/>
      <c r="O625" s="108"/>
      <c r="P625" s="108"/>
      <c r="Q625" s="108"/>
      <c r="AB625" s="28"/>
    </row>
    <row r="626" spans="1:28" ht="15.75" customHeight="1" x14ac:dyDescent="0.35">
      <c r="A626" s="126"/>
      <c r="B626" s="28"/>
      <c r="C626" s="127"/>
      <c r="D626" s="127"/>
      <c r="E626" s="128"/>
      <c r="F626" s="108"/>
      <c r="G626" s="108"/>
      <c r="M626" s="108"/>
      <c r="N626" s="108"/>
      <c r="O626" s="108"/>
      <c r="P626" s="108"/>
      <c r="Q626" s="108"/>
      <c r="AB626" s="28"/>
    </row>
    <row r="627" spans="1:28" ht="15.75" customHeight="1" x14ac:dyDescent="0.35">
      <c r="A627" s="126"/>
      <c r="B627" s="28"/>
      <c r="C627" s="127"/>
      <c r="D627" s="127"/>
      <c r="E627" s="128"/>
      <c r="F627" s="108"/>
      <c r="G627" s="108"/>
      <c r="M627" s="108"/>
      <c r="N627" s="108"/>
      <c r="O627" s="108"/>
      <c r="P627" s="108"/>
      <c r="Q627" s="108"/>
      <c r="AB627" s="28"/>
    </row>
    <row r="628" spans="1:28" ht="15.75" customHeight="1" x14ac:dyDescent="0.35">
      <c r="A628" s="126"/>
      <c r="B628" s="28"/>
      <c r="C628" s="127"/>
      <c r="D628" s="127"/>
      <c r="E628" s="128"/>
      <c r="F628" s="108"/>
      <c r="G628" s="108"/>
      <c r="M628" s="108"/>
      <c r="N628" s="108"/>
      <c r="O628" s="108"/>
      <c r="P628" s="108"/>
      <c r="Q628" s="108"/>
      <c r="AB628" s="28"/>
    </row>
    <row r="629" spans="1:28" ht="15.75" customHeight="1" x14ac:dyDescent="0.35">
      <c r="A629" s="126"/>
      <c r="B629" s="28"/>
      <c r="C629" s="127"/>
      <c r="D629" s="127"/>
      <c r="E629" s="128"/>
      <c r="F629" s="108"/>
      <c r="G629" s="108"/>
      <c r="M629" s="108"/>
      <c r="N629" s="108"/>
      <c r="O629" s="108"/>
      <c r="P629" s="108"/>
      <c r="Q629" s="108"/>
      <c r="AB629" s="28"/>
    </row>
    <row r="630" spans="1:28" ht="15.75" customHeight="1" x14ac:dyDescent="0.35">
      <c r="A630" s="126"/>
      <c r="B630" s="28"/>
      <c r="C630" s="127"/>
      <c r="D630" s="127"/>
      <c r="E630" s="128"/>
      <c r="F630" s="108"/>
      <c r="G630" s="108"/>
      <c r="M630" s="108"/>
      <c r="N630" s="108"/>
      <c r="O630" s="108"/>
      <c r="P630" s="108"/>
      <c r="Q630" s="108"/>
      <c r="AB630" s="28"/>
    </row>
    <row r="631" spans="1:28" ht="15.75" customHeight="1" x14ac:dyDescent="0.35">
      <c r="A631" s="126"/>
      <c r="B631" s="28"/>
      <c r="C631" s="127"/>
      <c r="D631" s="127"/>
      <c r="E631" s="128"/>
      <c r="F631" s="108"/>
      <c r="G631" s="108"/>
      <c r="M631" s="108"/>
      <c r="N631" s="108"/>
      <c r="O631" s="108"/>
      <c r="P631" s="108"/>
      <c r="Q631" s="108"/>
      <c r="AB631" s="28"/>
    </row>
    <row r="632" spans="1:28" ht="15.75" customHeight="1" x14ac:dyDescent="0.35">
      <c r="A632" s="126"/>
      <c r="B632" s="28"/>
      <c r="C632" s="127"/>
      <c r="D632" s="127"/>
      <c r="E632" s="128"/>
      <c r="F632" s="108"/>
      <c r="G632" s="108"/>
      <c r="M632" s="108"/>
      <c r="N632" s="108"/>
      <c r="O632" s="108"/>
      <c r="P632" s="108"/>
      <c r="Q632" s="108"/>
      <c r="AB632" s="28"/>
    </row>
    <row r="633" spans="1:28" ht="15.75" customHeight="1" x14ac:dyDescent="0.35">
      <c r="A633" s="126"/>
      <c r="B633" s="28"/>
      <c r="C633" s="127"/>
      <c r="D633" s="127"/>
      <c r="E633" s="128"/>
      <c r="F633" s="108"/>
      <c r="G633" s="108"/>
      <c r="M633" s="108"/>
      <c r="N633" s="108"/>
      <c r="O633" s="108"/>
      <c r="P633" s="108"/>
      <c r="Q633" s="108"/>
      <c r="AB633" s="28"/>
    </row>
    <row r="634" spans="1:28" ht="15.75" customHeight="1" x14ac:dyDescent="0.35">
      <c r="A634" s="126"/>
      <c r="B634" s="28"/>
      <c r="C634" s="127"/>
      <c r="D634" s="127"/>
      <c r="E634" s="128"/>
      <c r="F634" s="108"/>
      <c r="G634" s="108"/>
      <c r="M634" s="108"/>
      <c r="N634" s="108"/>
      <c r="O634" s="108"/>
      <c r="P634" s="108"/>
      <c r="Q634" s="108"/>
      <c r="AB634" s="28"/>
    </row>
    <row r="635" spans="1:28" ht="15.75" customHeight="1" x14ac:dyDescent="0.35">
      <c r="A635" s="126"/>
      <c r="B635" s="28"/>
      <c r="C635" s="127"/>
      <c r="D635" s="127"/>
      <c r="E635" s="128"/>
      <c r="F635" s="108"/>
      <c r="G635" s="108"/>
      <c r="M635" s="108"/>
      <c r="N635" s="108"/>
      <c r="O635" s="108"/>
      <c r="P635" s="108"/>
      <c r="Q635" s="108"/>
      <c r="AB635" s="28"/>
    </row>
    <row r="636" spans="1:28" ht="15.75" customHeight="1" x14ac:dyDescent="0.35">
      <c r="A636" s="126"/>
      <c r="B636" s="28"/>
      <c r="C636" s="127"/>
      <c r="D636" s="127"/>
      <c r="E636" s="128"/>
      <c r="F636" s="108"/>
      <c r="G636" s="108"/>
      <c r="M636" s="108"/>
      <c r="N636" s="108"/>
      <c r="O636" s="108"/>
      <c r="P636" s="108"/>
      <c r="Q636" s="108"/>
      <c r="AB636" s="28"/>
    </row>
    <row r="637" spans="1:28" ht="15.75" customHeight="1" x14ac:dyDescent="0.35">
      <c r="A637" s="126"/>
      <c r="B637" s="28"/>
      <c r="C637" s="127"/>
      <c r="D637" s="127"/>
      <c r="E637" s="128"/>
      <c r="F637" s="108"/>
      <c r="G637" s="108"/>
      <c r="M637" s="108"/>
      <c r="N637" s="108"/>
      <c r="O637" s="108"/>
      <c r="P637" s="108"/>
      <c r="Q637" s="108"/>
      <c r="AB637" s="28"/>
    </row>
    <row r="638" spans="1:28" ht="15.75" customHeight="1" x14ac:dyDescent="0.35">
      <c r="A638" s="126"/>
      <c r="B638" s="28"/>
      <c r="C638" s="127"/>
      <c r="D638" s="127"/>
      <c r="E638" s="128"/>
      <c r="F638" s="108"/>
      <c r="G638" s="108"/>
      <c r="M638" s="108"/>
      <c r="N638" s="108"/>
      <c r="O638" s="108"/>
      <c r="P638" s="108"/>
      <c r="Q638" s="108"/>
      <c r="AB638" s="28"/>
    </row>
    <row r="639" spans="1:28" ht="15.75" customHeight="1" x14ac:dyDescent="0.35">
      <c r="A639" s="126"/>
      <c r="B639" s="28"/>
      <c r="C639" s="127"/>
      <c r="D639" s="127"/>
      <c r="E639" s="128"/>
      <c r="F639" s="108"/>
      <c r="G639" s="108"/>
      <c r="M639" s="108"/>
      <c r="N639" s="108"/>
      <c r="O639" s="108"/>
      <c r="P639" s="108"/>
      <c r="Q639" s="108"/>
      <c r="AB639" s="28"/>
    </row>
    <row r="640" spans="1:28" ht="15.75" customHeight="1" x14ac:dyDescent="0.35">
      <c r="A640" s="126"/>
      <c r="B640" s="28"/>
      <c r="C640" s="127"/>
      <c r="D640" s="127"/>
      <c r="E640" s="128"/>
      <c r="F640" s="108"/>
      <c r="G640" s="108"/>
      <c r="M640" s="108"/>
      <c r="N640" s="108"/>
      <c r="O640" s="108"/>
      <c r="P640" s="108"/>
      <c r="Q640" s="108"/>
      <c r="AB640" s="28"/>
    </row>
    <row r="641" spans="1:28" ht="15.75" customHeight="1" x14ac:dyDescent="0.35">
      <c r="A641" s="126"/>
      <c r="B641" s="28"/>
      <c r="C641" s="127"/>
      <c r="D641" s="127"/>
      <c r="E641" s="128"/>
      <c r="F641" s="108"/>
      <c r="G641" s="108"/>
      <c r="M641" s="108"/>
      <c r="N641" s="108"/>
      <c r="O641" s="108"/>
      <c r="P641" s="108"/>
      <c r="Q641" s="108"/>
      <c r="AB641" s="28"/>
    </row>
    <row r="642" spans="1:28" ht="15.75" customHeight="1" x14ac:dyDescent="0.35">
      <c r="A642" s="126"/>
      <c r="B642" s="28"/>
      <c r="C642" s="127"/>
      <c r="D642" s="127"/>
      <c r="E642" s="128"/>
      <c r="F642" s="108"/>
      <c r="G642" s="108"/>
      <c r="M642" s="108"/>
      <c r="N642" s="108"/>
      <c r="O642" s="108"/>
      <c r="P642" s="108"/>
      <c r="Q642" s="108"/>
      <c r="AB642" s="28"/>
    </row>
    <row r="643" spans="1:28" ht="15.75" customHeight="1" x14ac:dyDescent="0.35">
      <c r="A643" s="126"/>
      <c r="B643" s="28"/>
      <c r="C643" s="127"/>
      <c r="D643" s="127"/>
      <c r="E643" s="128"/>
      <c r="F643" s="108"/>
      <c r="G643" s="108"/>
      <c r="M643" s="108"/>
      <c r="N643" s="108"/>
      <c r="O643" s="108"/>
      <c r="P643" s="108"/>
      <c r="Q643" s="108"/>
      <c r="AB643" s="28"/>
    </row>
    <row r="644" spans="1:28" ht="15.75" customHeight="1" x14ac:dyDescent="0.35">
      <c r="A644" s="126"/>
      <c r="B644" s="28"/>
      <c r="C644" s="127"/>
      <c r="D644" s="127"/>
      <c r="E644" s="128"/>
      <c r="F644" s="108"/>
      <c r="G644" s="108"/>
      <c r="M644" s="108"/>
      <c r="N644" s="108"/>
      <c r="O644" s="108"/>
      <c r="P644" s="108"/>
      <c r="Q644" s="108"/>
      <c r="AB644" s="28"/>
    </row>
    <row r="645" spans="1:28" ht="15.75" customHeight="1" x14ac:dyDescent="0.35">
      <c r="A645" s="126"/>
      <c r="B645" s="28"/>
      <c r="C645" s="127"/>
      <c r="D645" s="127"/>
      <c r="E645" s="128"/>
      <c r="F645" s="108"/>
      <c r="G645" s="108"/>
      <c r="M645" s="108"/>
      <c r="N645" s="108"/>
      <c r="O645" s="108"/>
      <c r="P645" s="108"/>
      <c r="Q645" s="108"/>
      <c r="AB645" s="28"/>
    </row>
    <row r="646" spans="1:28" ht="15.75" customHeight="1" x14ac:dyDescent="0.35">
      <c r="A646" s="126"/>
      <c r="B646" s="28"/>
      <c r="C646" s="127"/>
      <c r="D646" s="127"/>
      <c r="E646" s="128"/>
      <c r="F646" s="108"/>
      <c r="G646" s="108"/>
      <c r="M646" s="108"/>
      <c r="N646" s="108"/>
      <c r="O646" s="108"/>
      <c r="P646" s="108"/>
      <c r="Q646" s="108"/>
      <c r="AB646" s="28"/>
    </row>
    <row r="647" spans="1:28" ht="15.75" customHeight="1" x14ac:dyDescent="0.35">
      <c r="A647" s="126"/>
      <c r="B647" s="28"/>
      <c r="C647" s="127"/>
      <c r="D647" s="127"/>
      <c r="E647" s="128"/>
      <c r="F647" s="108"/>
      <c r="G647" s="108"/>
      <c r="M647" s="108"/>
      <c r="N647" s="108"/>
      <c r="O647" s="108"/>
      <c r="P647" s="108"/>
      <c r="Q647" s="108"/>
      <c r="AB647" s="28"/>
    </row>
    <row r="648" spans="1:28" ht="15.75" customHeight="1" x14ac:dyDescent="0.35">
      <c r="A648" s="126"/>
      <c r="B648" s="28"/>
      <c r="C648" s="127"/>
      <c r="D648" s="127"/>
      <c r="E648" s="128"/>
      <c r="F648" s="108"/>
      <c r="G648" s="108"/>
      <c r="M648" s="108"/>
      <c r="N648" s="108"/>
      <c r="O648" s="108"/>
      <c r="P648" s="108"/>
      <c r="Q648" s="108"/>
      <c r="AB648" s="28"/>
    </row>
    <row r="649" spans="1:28" ht="15.75" customHeight="1" x14ac:dyDescent="0.35">
      <c r="A649" s="126"/>
      <c r="B649" s="28"/>
      <c r="C649" s="127"/>
      <c r="D649" s="127"/>
      <c r="E649" s="128"/>
      <c r="F649" s="108"/>
      <c r="G649" s="108"/>
      <c r="M649" s="108"/>
      <c r="N649" s="108"/>
      <c r="O649" s="108"/>
      <c r="P649" s="108"/>
      <c r="Q649" s="108"/>
      <c r="AB649" s="28"/>
    </row>
    <row r="650" spans="1:28" ht="15.75" customHeight="1" x14ac:dyDescent="0.35">
      <c r="A650" s="126"/>
      <c r="B650" s="28"/>
      <c r="C650" s="127"/>
      <c r="D650" s="127"/>
      <c r="E650" s="128"/>
      <c r="F650" s="108"/>
      <c r="G650" s="108"/>
      <c r="M650" s="108"/>
      <c r="N650" s="108"/>
      <c r="O650" s="108"/>
      <c r="P650" s="108"/>
      <c r="Q650" s="108"/>
      <c r="AB650" s="28"/>
    </row>
    <row r="651" spans="1:28" ht="15.75" customHeight="1" x14ac:dyDescent="0.35">
      <c r="A651" s="126"/>
      <c r="B651" s="28"/>
      <c r="C651" s="127"/>
      <c r="D651" s="127"/>
      <c r="E651" s="128"/>
      <c r="F651" s="108"/>
      <c r="G651" s="108"/>
      <c r="M651" s="108"/>
      <c r="N651" s="108"/>
      <c r="O651" s="108"/>
      <c r="P651" s="108"/>
      <c r="Q651" s="108"/>
      <c r="AB651" s="28"/>
    </row>
    <row r="652" spans="1:28" ht="15.75" customHeight="1" x14ac:dyDescent="0.35">
      <c r="A652" s="126"/>
      <c r="B652" s="28"/>
      <c r="C652" s="127"/>
      <c r="D652" s="127"/>
      <c r="E652" s="128"/>
      <c r="F652" s="108"/>
      <c r="G652" s="108"/>
      <c r="M652" s="108"/>
      <c r="N652" s="108"/>
      <c r="O652" s="108"/>
      <c r="P652" s="108"/>
      <c r="Q652" s="108"/>
      <c r="AB652" s="28"/>
    </row>
    <row r="653" spans="1:28" ht="15.75" customHeight="1" x14ac:dyDescent="0.35">
      <c r="A653" s="126"/>
      <c r="B653" s="28"/>
      <c r="C653" s="127"/>
      <c r="D653" s="127"/>
      <c r="E653" s="128"/>
      <c r="F653" s="108"/>
      <c r="G653" s="108"/>
      <c r="M653" s="108"/>
      <c r="N653" s="108"/>
      <c r="O653" s="108"/>
      <c r="P653" s="108"/>
      <c r="Q653" s="108"/>
      <c r="AB653" s="28"/>
    </row>
    <row r="654" spans="1:28" ht="15.75" customHeight="1" x14ac:dyDescent="0.35">
      <c r="A654" s="126"/>
      <c r="B654" s="28"/>
      <c r="C654" s="127"/>
      <c r="D654" s="127"/>
      <c r="E654" s="128"/>
      <c r="F654" s="108"/>
      <c r="G654" s="108"/>
      <c r="M654" s="108"/>
      <c r="N654" s="108"/>
      <c r="O654" s="108"/>
      <c r="P654" s="108"/>
      <c r="Q654" s="108"/>
      <c r="AB654" s="28"/>
    </row>
    <row r="655" spans="1:28" ht="15.75" customHeight="1" x14ac:dyDescent="0.35">
      <c r="A655" s="126"/>
      <c r="B655" s="28"/>
      <c r="C655" s="127"/>
      <c r="D655" s="127"/>
      <c r="E655" s="128"/>
      <c r="F655" s="108"/>
      <c r="G655" s="108"/>
      <c r="M655" s="108"/>
      <c r="N655" s="108"/>
      <c r="O655" s="108"/>
      <c r="P655" s="108"/>
      <c r="Q655" s="108"/>
      <c r="AB655" s="28"/>
    </row>
    <row r="656" spans="1:28" ht="15.75" customHeight="1" x14ac:dyDescent="0.35">
      <c r="A656" s="126"/>
      <c r="B656" s="28"/>
      <c r="C656" s="127"/>
      <c r="D656" s="127"/>
      <c r="E656" s="128"/>
      <c r="F656" s="108"/>
      <c r="G656" s="108"/>
      <c r="M656" s="108"/>
      <c r="N656" s="108"/>
      <c r="O656" s="108"/>
      <c r="P656" s="108"/>
      <c r="Q656" s="108"/>
      <c r="AB656" s="28"/>
    </row>
    <row r="657" spans="1:28" ht="15.75" customHeight="1" x14ac:dyDescent="0.35">
      <c r="A657" s="126"/>
      <c r="B657" s="28"/>
      <c r="C657" s="127"/>
      <c r="D657" s="127"/>
      <c r="E657" s="128"/>
      <c r="F657" s="108"/>
      <c r="G657" s="108"/>
      <c r="M657" s="108"/>
      <c r="N657" s="108"/>
      <c r="O657" s="108"/>
      <c r="P657" s="108"/>
      <c r="Q657" s="108"/>
      <c r="AB657" s="28"/>
    </row>
  </sheetData>
  <mergeCells count="1">
    <mergeCell ref="F5:U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O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F11" sqref="F11"/>
    </sheetView>
  </sheetViews>
  <sheetFormatPr defaultColWidth="14.42578125" defaultRowHeight="17.25" x14ac:dyDescent="0.35"/>
  <cols>
    <col min="1" max="1" width="4.42578125" style="129" customWidth="1"/>
    <col min="2" max="2" width="15.7109375" style="24" customWidth="1"/>
    <col min="3" max="3" width="15.7109375" style="133" customWidth="1"/>
    <col min="4" max="5" width="15.7109375" style="109" customWidth="1"/>
    <col min="6" max="11" width="14.42578125" style="109"/>
    <col min="12" max="12" width="15.7109375" style="109" customWidth="1"/>
    <col min="13" max="13" width="42.140625" style="24" customWidth="1"/>
    <col min="14" max="14" width="14.42578125" style="24"/>
    <col min="15" max="15" width="14.42578125" style="109"/>
    <col min="16" max="16384" width="14.42578125" style="24"/>
  </cols>
  <sheetData>
    <row r="1" spans="1:15" ht="23.25" x14ac:dyDescent="0.35">
      <c r="A1" s="233" t="s">
        <v>62</v>
      </c>
      <c r="B1" s="224"/>
      <c r="C1" s="224"/>
      <c r="D1" s="224"/>
      <c r="E1"/>
    </row>
    <row r="2" spans="1:15" ht="19.5" customHeight="1" x14ac:dyDescent="0.35">
      <c r="A2" s="126"/>
      <c r="B2" s="28"/>
      <c r="C2" s="132"/>
    </row>
    <row r="3" spans="1:15" ht="49.5" customHeight="1" x14ac:dyDescent="0.35">
      <c r="A3" s="126"/>
      <c r="B3" s="28"/>
      <c r="C3" s="132" t="s">
        <v>63</v>
      </c>
      <c r="D3" s="139" t="s">
        <v>66</v>
      </c>
      <c r="E3" s="139" t="s">
        <v>76</v>
      </c>
      <c r="F3" s="139" t="s">
        <v>91</v>
      </c>
      <c r="G3" s="139" t="s">
        <v>87</v>
      </c>
      <c r="H3" s="139" t="s">
        <v>53</v>
      </c>
      <c r="I3" s="139" t="s">
        <v>67</v>
      </c>
      <c r="J3" s="139" t="s">
        <v>75</v>
      </c>
      <c r="K3" s="139" t="s">
        <v>74</v>
      </c>
      <c r="L3" s="109" t="s">
        <v>37</v>
      </c>
      <c r="M3" s="137" t="s">
        <v>38</v>
      </c>
      <c r="N3" s="138"/>
      <c r="O3" s="109" t="s">
        <v>63</v>
      </c>
    </row>
    <row r="4" spans="1:15" ht="19.5" customHeight="1" x14ac:dyDescent="0.35">
      <c r="A4" s="126"/>
      <c r="B4" s="28" t="s">
        <v>28</v>
      </c>
      <c r="C4" s="132">
        <f>+O19</f>
        <v>162772.73333333334</v>
      </c>
      <c r="D4" s="109">
        <f>+' EXPENSES'!V34+' EXPENSES'!V38</f>
        <v>0</v>
      </c>
      <c r="H4" s="109">
        <f>+' EXPENSES'!V45</f>
        <v>0</v>
      </c>
      <c r="K4" s="109">
        <f>SUM(D4:J4)</f>
        <v>0</v>
      </c>
      <c r="L4" s="109">
        <f>+C4+K4</f>
        <v>162772.73333333334</v>
      </c>
      <c r="M4" s="167" t="s">
        <v>60</v>
      </c>
      <c r="N4" s="168">
        <v>320301.15333333332</v>
      </c>
      <c r="O4" s="125">
        <f t="shared" ref="O4:O18" si="0">+N4/4</f>
        <v>80075.28833333333</v>
      </c>
    </row>
    <row r="5" spans="1:15" ht="19.5" customHeight="1" x14ac:dyDescent="0.35">
      <c r="A5" s="126"/>
      <c r="B5" s="28" t="s">
        <v>31</v>
      </c>
      <c r="C5" s="132">
        <f>+C4</f>
        <v>162772.73333333334</v>
      </c>
      <c r="D5" s="109">
        <f>+' EXPENSES'!W34+' EXPENSES'!W38</f>
        <v>0</v>
      </c>
      <c r="F5" s="109">
        <v>800</v>
      </c>
      <c r="G5" s="109">
        <f>+' EXPENSES'!W60</f>
        <v>0</v>
      </c>
      <c r="I5" s="109" t="e">
        <f>+' EXPENSES'!#REF!</f>
        <v>#REF!</v>
      </c>
      <c r="K5" s="109" t="e">
        <f t="shared" ref="K5:K7" si="1">SUM(D5:J5)</f>
        <v>#REF!</v>
      </c>
      <c r="L5" s="109" t="e">
        <f>+C5+K5</f>
        <v>#REF!</v>
      </c>
      <c r="M5" s="167" t="s">
        <v>42</v>
      </c>
      <c r="N5" s="168">
        <v>21000</v>
      </c>
      <c r="O5" s="125">
        <f t="shared" si="0"/>
        <v>5250</v>
      </c>
    </row>
    <row r="6" spans="1:15" ht="19.5" customHeight="1" x14ac:dyDescent="0.35">
      <c r="A6" s="126"/>
      <c r="B6" s="28" t="s">
        <v>29</v>
      </c>
      <c r="C6" s="132">
        <f>+C5</f>
        <v>162772.73333333334</v>
      </c>
      <c r="D6" s="109">
        <f>+' EXPENSES'!X34+' EXPENSES'!X38</f>
        <v>0</v>
      </c>
      <c r="F6" s="109">
        <v>1600</v>
      </c>
      <c r="G6" s="109">
        <f>+' EXPENSES'!X60</f>
        <v>0</v>
      </c>
      <c r="H6" s="109">
        <f>+' EXPENSES'!X48</f>
        <v>0</v>
      </c>
      <c r="J6" s="109" t="e">
        <f>+' EXPENSES'!X43+' EXPENSES'!#REF!</f>
        <v>#REF!</v>
      </c>
      <c r="K6" s="109" t="e">
        <f t="shared" si="1"/>
        <v>#REF!</v>
      </c>
      <c r="L6" s="109" t="e">
        <f t="shared" ref="L6:L7" si="2">+C6+K6</f>
        <v>#REF!</v>
      </c>
      <c r="M6" s="167" t="s">
        <v>44</v>
      </c>
      <c r="N6" s="168">
        <v>3946</v>
      </c>
      <c r="O6" s="125">
        <f t="shared" si="0"/>
        <v>986.5</v>
      </c>
    </row>
    <row r="7" spans="1:15" ht="19.5" customHeight="1" x14ac:dyDescent="0.35">
      <c r="A7" s="126"/>
      <c r="B7" s="28" t="s">
        <v>30</v>
      </c>
      <c r="C7" s="132">
        <f>+C6</f>
        <v>162772.73333333334</v>
      </c>
      <c r="D7" s="109">
        <f>+' EXPENSES'!Y34+' EXPENSES'!Y38</f>
        <v>0</v>
      </c>
      <c r="I7" s="109">
        <f>+' EXPENSES'!Y42+' EXPENSES'!Y29</f>
        <v>10500</v>
      </c>
      <c r="K7" s="109">
        <f t="shared" si="1"/>
        <v>10500</v>
      </c>
      <c r="L7" s="109">
        <f t="shared" si="2"/>
        <v>173272.73333333334</v>
      </c>
      <c r="M7" s="167" t="s">
        <v>61</v>
      </c>
      <c r="N7" s="168">
        <v>184126.8</v>
      </c>
      <c r="O7" s="125">
        <f t="shared" si="0"/>
        <v>46031.7</v>
      </c>
    </row>
    <row r="8" spans="1:15" ht="19.5" customHeight="1" x14ac:dyDescent="0.35">
      <c r="A8" s="126"/>
      <c r="B8" s="28"/>
      <c r="C8" s="132"/>
      <c r="L8" s="109" t="e">
        <f>SUM(L4:L7)</f>
        <v>#REF!</v>
      </c>
      <c r="M8" s="167" t="s">
        <v>46</v>
      </c>
      <c r="N8" s="168">
        <v>62895.1</v>
      </c>
      <c r="O8" s="125">
        <f t="shared" si="0"/>
        <v>15723.775</v>
      </c>
    </row>
    <row r="9" spans="1:15" ht="19.5" customHeight="1" x14ac:dyDescent="0.35">
      <c r="A9" s="126"/>
      <c r="B9" s="28"/>
      <c r="C9" s="132"/>
      <c r="L9" s="109">
        <f>+' EXPENSES'!E4</f>
        <v>1160647.9700000002</v>
      </c>
      <c r="M9" s="169" t="s">
        <v>47</v>
      </c>
      <c r="N9" s="168">
        <v>24273.599999999999</v>
      </c>
      <c r="O9" s="125">
        <f t="shared" si="0"/>
        <v>6068.4</v>
      </c>
    </row>
    <row r="10" spans="1:15" ht="19.5" customHeight="1" x14ac:dyDescent="0.35">
      <c r="A10" s="126"/>
      <c r="B10" s="28"/>
      <c r="C10" s="132"/>
      <c r="L10" s="109" t="e">
        <f>+L8-L9</f>
        <v>#REF!</v>
      </c>
      <c r="M10" s="167" t="s">
        <v>48</v>
      </c>
      <c r="N10" s="168">
        <v>2424.6</v>
      </c>
      <c r="O10" s="125">
        <f t="shared" si="0"/>
        <v>606.15</v>
      </c>
    </row>
    <row r="11" spans="1:15" ht="19.5" customHeight="1" x14ac:dyDescent="0.35">
      <c r="A11" s="126"/>
      <c r="B11" s="28"/>
      <c r="C11" s="132"/>
      <c r="M11" s="167" t="s">
        <v>49</v>
      </c>
      <c r="N11" s="168">
        <v>0</v>
      </c>
      <c r="O11" s="125">
        <f t="shared" si="0"/>
        <v>0</v>
      </c>
    </row>
    <row r="12" spans="1:15" ht="19.5" customHeight="1" x14ac:dyDescent="0.35">
      <c r="A12" s="126"/>
      <c r="B12" s="28"/>
      <c r="C12" s="132"/>
      <c r="L12" s="109">
        <f>+L9/63.25/4</f>
        <v>4587.5413833992106</v>
      </c>
      <c r="M12" s="167" t="s">
        <v>73</v>
      </c>
      <c r="N12" s="168">
        <v>0</v>
      </c>
      <c r="O12" s="125">
        <f t="shared" si="0"/>
        <v>0</v>
      </c>
    </row>
    <row r="13" spans="1:15" ht="19.5" customHeight="1" x14ac:dyDescent="0.35">
      <c r="A13" s="126"/>
      <c r="B13" s="28"/>
      <c r="C13" s="132"/>
      <c r="M13" s="167" t="s">
        <v>50</v>
      </c>
      <c r="N13" s="168">
        <v>0</v>
      </c>
      <c r="O13" s="125">
        <f t="shared" si="0"/>
        <v>0</v>
      </c>
    </row>
    <row r="14" spans="1:15" ht="19.5" customHeight="1" x14ac:dyDescent="0.35">
      <c r="A14" s="126"/>
      <c r="B14" s="28"/>
      <c r="C14" s="132"/>
      <c r="M14" s="167" t="s">
        <v>51</v>
      </c>
      <c r="N14" s="168">
        <v>5125.68</v>
      </c>
      <c r="O14" s="125">
        <f t="shared" si="0"/>
        <v>1281.42</v>
      </c>
    </row>
    <row r="15" spans="1:15" ht="19.5" customHeight="1" x14ac:dyDescent="0.35">
      <c r="A15" s="126"/>
      <c r="B15" s="28"/>
      <c r="C15" s="132"/>
      <c r="M15" s="167" t="s">
        <v>52</v>
      </c>
      <c r="N15" s="168">
        <v>14263</v>
      </c>
      <c r="O15" s="125">
        <f t="shared" si="0"/>
        <v>3565.75</v>
      </c>
    </row>
    <row r="16" spans="1:15" ht="19.5" customHeight="1" x14ac:dyDescent="0.35">
      <c r="A16" s="126"/>
      <c r="B16" s="28"/>
      <c r="C16" s="132"/>
      <c r="M16" s="167" t="s">
        <v>53</v>
      </c>
      <c r="N16" s="168">
        <v>12735</v>
      </c>
      <c r="O16" s="125">
        <f t="shared" si="0"/>
        <v>3183.75</v>
      </c>
    </row>
    <row r="17" spans="1:15" ht="19.5" customHeight="1" x14ac:dyDescent="0.35">
      <c r="A17" s="126"/>
      <c r="B17" s="28"/>
      <c r="C17" s="132"/>
      <c r="M17" s="151" t="s">
        <v>54</v>
      </c>
      <c r="N17" s="168">
        <v>0</v>
      </c>
      <c r="O17" s="125">
        <f t="shared" si="0"/>
        <v>0</v>
      </c>
    </row>
    <row r="18" spans="1:15" ht="19.5" customHeight="1" x14ac:dyDescent="0.35">
      <c r="A18" s="126"/>
      <c r="B18" s="28"/>
      <c r="C18" s="132"/>
      <c r="M18" s="167" t="s">
        <v>78</v>
      </c>
      <c r="N18" s="168">
        <v>0</v>
      </c>
      <c r="O18" s="125">
        <f t="shared" si="0"/>
        <v>0</v>
      </c>
    </row>
    <row r="19" spans="1:15" ht="19.5" customHeight="1" x14ac:dyDescent="0.35">
      <c r="A19" s="126"/>
      <c r="B19" s="28"/>
      <c r="C19" s="132"/>
      <c r="M19" s="167"/>
      <c r="N19" s="168">
        <f>SUM(N4:N18)</f>
        <v>651090.93333333335</v>
      </c>
      <c r="O19" s="125">
        <f>SUM(O4:O18)</f>
        <v>162772.73333333334</v>
      </c>
    </row>
    <row r="20" spans="1:15" ht="19.5" customHeight="1" x14ac:dyDescent="0.35">
      <c r="A20" s="126"/>
      <c r="B20" s="28"/>
      <c r="C20" s="132"/>
      <c r="M20" s="167"/>
      <c r="N20" s="168"/>
      <c r="O20" s="125"/>
    </row>
    <row r="21" spans="1:15" ht="19.5" customHeight="1" x14ac:dyDescent="0.35">
      <c r="A21" s="126"/>
      <c r="B21" s="28"/>
      <c r="C21" s="132"/>
      <c r="M21" s="167"/>
      <c r="N21" s="168"/>
      <c r="O21" s="125"/>
    </row>
    <row r="22" spans="1:15" ht="19.5" customHeight="1" x14ac:dyDescent="0.35">
      <c r="A22" s="126"/>
      <c r="B22" s="28"/>
      <c r="C22" s="132"/>
      <c r="M22" s="167"/>
      <c r="N22" s="168"/>
      <c r="O22" s="125"/>
    </row>
    <row r="23" spans="1:15" ht="19.5" customHeight="1" x14ac:dyDescent="0.35">
      <c r="A23" s="126"/>
      <c r="B23" s="28"/>
      <c r="C23" s="132"/>
      <c r="M23" s="167"/>
      <c r="N23" s="138"/>
      <c r="O23" s="125"/>
    </row>
    <row r="24" spans="1:15" ht="19.5" customHeight="1" x14ac:dyDescent="0.35">
      <c r="A24" s="126"/>
      <c r="B24" s="28"/>
      <c r="C24" s="132"/>
      <c r="M24" s="167" t="s">
        <v>55</v>
      </c>
      <c r="N24" s="125" t="e">
        <f>+' EXPENSES'!#REF!</f>
        <v>#REF!</v>
      </c>
      <c r="O24" s="125" t="e">
        <f>+N24</f>
        <v>#REF!</v>
      </c>
    </row>
    <row r="25" spans="1:15" ht="19.5" customHeight="1" x14ac:dyDescent="0.35">
      <c r="A25" s="126"/>
      <c r="B25" s="28"/>
      <c r="C25" s="132"/>
      <c r="M25" s="167" t="s">
        <v>56</v>
      </c>
      <c r="N25" s="125" t="e">
        <f>+' EXPENSES'!#REF!</f>
        <v>#REF!</v>
      </c>
      <c r="O25" s="125" t="e">
        <f>+N25</f>
        <v>#REF!</v>
      </c>
    </row>
    <row r="26" spans="1:15" ht="19.5" customHeight="1" x14ac:dyDescent="0.35">
      <c r="A26" s="126"/>
      <c r="B26" s="28"/>
      <c r="C26" s="132"/>
      <c r="M26" s="167" t="s">
        <v>57</v>
      </c>
      <c r="N26" s="125" t="e">
        <f>+' EXPENSES'!#REF!</f>
        <v>#REF!</v>
      </c>
      <c r="O26" s="125" t="e">
        <f>+N26</f>
        <v>#REF!</v>
      </c>
    </row>
    <row r="27" spans="1:15" ht="19.5" customHeight="1" x14ac:dyDescent="0.35">
      <c r="A27" s="126"/>
      <c r="B27" s="28"/>
      <c r="C27" s="132"/>
      <c r="M27" s="167" t="s">
        <v>58</v>
      </c>
      <c r="N27" s="125" t="e">
        <f>+' EXPENSES'!#REF!</f>
        <v>#REF!</v>
      </c>
      <c r="O27" s="125" t="e">
        <f>+N27</f>
        <v>#REF!</v>
      </c>
    </row>
    <row r="28" spans="1:15" ht="19.5" customHeight="1" x14ac:dyDescent="0.35">
      <c r="A28" s="126"/>
      <c r="B28" s="28"/>
      <c r="C28" s="132"/>
      <c r="N28" s="109" t="e">
        <f>+N19+N24+N25+N26+N27</f>
        <v>#REF!</v>
      </c>
    </row>
    <row r="29" spans="1:15" ht="19.5" customHeight="1" x14ac:dyDescent="0.35">
      <c r="A29" s="126"/>
      <c r="B29" s="28"/>
      <c r="C29" s="132"/>
    </row>
    <row r="30" spans="1:15" ht="19.5" customHeight="1" x14ac:dyDescent="0.35">
      <c r="A30" s="126"/>
      <c r="B30" s="28"/>
      <c r="C30" s="132"/>
      <c r="N30" s="109" t="e">
        <f>+' EXPENSES'!#REF!</f>
        <v>#REF!</v>
      </c>
    </row>
    <row r="31" spans="1:15" ht="19.5" customHeight="1" x14ac:dyDescent="0.35">
      <c r="A31" s="126"/>
      <c r="B31" s="28"/>
      <c r="C31" s="132"/>
      <c r="N31" s="109" t="e">
        <f>+N28-N30</f>
        <v>#REF!</v>
      </c>
    </row>
    <row r="32" spans="1:15" ht="19.5" customHeight="1" x14ac:dyDescent="0.35">
      <c r="A32" s="126"/>
      <c r="B32" s="28"/>
      <c r="C32" s="132"/>
    </row>
    <row r="33" spans="1:3" ht="19.5" customHeight="1" x14ac:dyDescent="0.35">
      <c r="A33" s="126"/>
      <c r="B33" s="28"/>
      <c r="C33" s="132"/>
    </row>
    <row r="34" spans="1:3" ht="19.5" customHeight="1" x14ac:dyDescent="0.35">
      <c r="A34" s="126"/>
      <c r="B34" s="28"/>
      <c r="C34" s="132"/>
    </row>
    <row r="35" spans="1:3" ht="19.5" customHeight="1" x14ac:dyDescent="0.35">
      <c r="A35" s="126"/>
      <c r="B35" s="28"/>
      <c r="C35" s="132"/>
    </row>
    <row r="36" spans="1:3" ht="19.5" customHeight="1" x14ac:dyDescent="0.35">
      <c r="A36" s="126"/>
      <c r="B36" s="28"/>
      <c r="C36" s="132"/>
    </row>
    <row r="37" spans="1:3" ht="19.5" customHeight="1" x14ac:dyDescent="0.35">
      <c r="A37" s="126"/>
      <c r="B37" s="28"/>
      <c r="C37" s="132"/>
    </row>
    <row r="38" spans="1:3" ht="19.5" customHeight="1" x14ac:dyDescent="0.35">
      <c r="A38" s="126"/>
      <c r="B38" s="28"/>
      <c r="C38" s="132"/>
    </row>
    <row r="39" spans="1:3" ht="19.5" customHeight="1" x14ac:dyDescent="0.35">
      <c r="A39" s="126"/>
      <c r="B39" s="28"/>
      <c r="C39" s="132"/>
    </row>
    <row r="40" spans="1:3" ht="19.5" customHeight="1" x14ac:dyDescent="0.35">
      <c r="A40" s="126"/>
      <c r="B40" s="28"/>
      <c r="C40" s="132"/>
    </row>
    <row r="41" spans="1:3" ht="19.5" customHeight="1" x14ac:dyDescent="0.35">
      <c r="A41" s="126"/>
      <c r="B41" s="28"/>
      <c r="C41" s="132"/>
    </row>
    <row r="42" spans="1:3" ht="19.5" customHeight="1" x14ac:dyDescent="0.35">
      <c r="A42" s="126"/>
      <c r="B42" s="28"/>
      <c r="C42" s="132"/>
    </row>
    <row r="43" spans="1:3" ht="19.5" customHeight="1" x14ac:dyDescent="0.35">
      <c r="A43" s="126"/>
      <c r="B43" s="28"/>
      <c r="C43" s="132"/>
    </row>
    <row r="44" spans="1:3" ht="15.75" customHeight="1" x14ac:dyDescent="0.35">
      <c r="A44" s="126"/>
      <c r="B44" s="28"/>
      <c r="C44" s="132"/>
    </row>
    <row r="45" spans="1:3" ht="15.75" customHeight="1" x14ac:dyDescent="0.35">
      <c r="A45" s="126"/>
      <c r="B45" s="28"/>
      <c r="C45" s="132"/>
    </row>
    <row r="46" spans="1:3" ht="15.75" customHeight="1" x14ac:dyDescent="0.35">
      <c r="A46" s="126"/>
      <c r="B46" s="28"/>
      <c r="C46" s="132"/>
    </row>
    <row r="47" spans="1:3" ht="15.75" customHeight="1" x14ac:dyDescent="0.35">
      <c r="A47" s="126"/>
      <c r="B47" s="28"/>
      <c r="C47" s="132"/>
    </row>
    <row r="48" spans="1:3" ht="15.75" customHeight="1" x14ac:dyDescent="0.35">
      <c r="A48" s="126"/>
      <c r="B48" s="28"/>
      <c r="C48" s="132"/>
    </row>
    <row r="49" spans="1:3" ht="15.75" customHeight="1" x14ac:dyDescent="0.35">
      <c r="A49" s="126"/>
      <c r="B49" s="28"/>
      <c r="C49" s="132"/>
    </row>
    <row r="50" spans="1:3" ht="15.75" customHeight="1" x14ac:dyDescent="0.35">
      <c r="A50" s="126"/>
      <c r="B50" s="28"/>
      <c r="C50" s="132"/>
    </row>
    <row r="51" spans="1:3" ht="15.75" customHeight="1" x14ac:dyDescent="0.35">
      <c r="A51" s="126"/>
      <c r="B51" s="28"/>
      <c r="C51" s="132"/>
    </row>
    <row r="52" spans="1:3" ht="15.75" customHeight="1" x14ac:dyDescent="0.35">
      <c r="A52" s="126"/>
      <c r="B52" s="28"/>
      <c r="C52" s="132"/>
    </row>
    <row r="53" spans="1:3" ht="15.75" customHeight="1" x14ac:dyDescent="0.35">
      <c r="A53" s="126"/>
      <c r="B53" s="28"/>
      <c r="C53" s="132"/>
    </row>
    <row r="54" spans="1:3" ht="15.75" customHeight="1" x14ac:dyDescent="0.35">
      <c r="A54" s="126"/>
      <c r="B54" s="28"/>
      <c r="C54" s="132"/>
    </row>
    <row r="55" spans="1:3" ht="15.75" customHeight="1" x14ac:dyDescent="0.35">
      <c r="A55" s="126"/>
      <c r="B55" s="28"/>
      <c r="C55" s="132"/>
    </row>
    <row r="56" spans="1:3" ht="15.75" customHeight="1" x14ac:dyDescent="0.35">
      <c r="A56" s="126"/>
      <c r="B56" s="28"/>
      <c r="C56" s="132"/>
    </row>
    <row r="57" spans="1:3" ht="15.75" customHeight="1" x14ac:dyDescent="0.35">
      <c r="A57" s="126"/>
      <c r="B57" s="28"/>
      <c r="C57" s="132"/>
    </row>
    <row r="58" spans="1:3" ht="15.75" customHeight="1" x14ac:dyDescent="0.35">
      <c r="A58" s="126"/>
      <c r="B58" s="28"/>
      <c r="C58" s="132"/>
    </row>
    <row r="59" spans="1:3" ht="15.75" customHeight="1" x14ac:dyDescent="0.35">
      <c r="A59" s="126"/>
      <c r="B59" s="28"/>
      <c r="C59" s="132"/>
    </row>
    <row r="60" spans="1:3" ht="15.75" customHeight="1" x14ac:dyDescent="0.35">
      <c r="A60" s="126"/>
      <c r="B60" s="28"/>
      <c r="C60" s="132"/>
    </row>
    <row r="61" spans="1:3" ht="15.75" customHeight="1" x14ac:dyDescent="0.35">
      <c r="A61" s="126"/>
      <c r="B61" s="28"/>
      <c r="C61" s="132"/>
    </row>
    <row r="62" spans="1:3" ht="15.75" customHeight="1" x14ac:dyDescent="0.35">
      <c r="A62" s="126"/>
      <c r="B62" s="28"/>
      <c r="C62" s="132"/>
    </row>
    <row r="63" spans="1:3" ht="15.75" customHeight="1" x14ac:dyDescent="0.35">
      <c r="A63" s="126"/>
      <c r="B63" s="28"/>
      <c r="C63" s="132"/>
    </row>
    <row r="64" spans="1:3" ht="15.75" customHeight="1" x14ac:dyDescent="0.35">
      <c r="A64" s="126"/>
      <c r="B64" s="28"/>
      <c r="C64" s="132"/>
    </row>
    <row r="65" spans="1:3" ht="15.75" customHeight="1" x14ac:dyDescent="0.35">
      <c r="A65" s="126"/>
      <c r="B65" s="28"/>
      <c r="C65" s="132"/>
    </row>
    <row r="66" spans="1:3" ht="15.75" customHeight="1" x14ac:dyDescent="0.35">
      <c r="A66" s="126"/>
      <c r="B66" s="28"/>
      <c r="C66" s="132"/>
    </row>
    <row r="67" spans="1:3" ht="15.75" customHeight="1" x14ac:dyDescent="0.35">
      <c r="A67" s="126"/>
      <c r="B67" s="28"/>
      <c r="C67" s="132"/>
    </row>
    <row r="68" spans="1:3" ht="15.75" customHeight="1" x14ac:dyDescent="0.35">
      <c r="A68" s="126"/>
      <c r="B68" s="28"/>
      <c r="C68" s="132"/>
    </row>
    <row r="69" spans="1:3" ht="15.75" customHeight="1" x14ac:dyDescent="0.35">
      <c r="A69" s="126"/>
      <c r="B69" s="28"/>
      <c r="C69" s="132"/>
    </row>
    <row r="70" spans="1:3" ht="15.75" customHeight="1" x14ac:dyDescent="0.35">
      <c r="A70" s="126"/>
      <c r="B70" s="28"/>
      <c r="C70" s="132"/>
    </row>
    <row r="71" spans="1:3" ht="15.75" customHeight="1" x14ac:dyDescent="0.35">
      <c r="A71" s="126"/>
      <c r="B71" s="28"/>
      <c r="C71" s="132"/>
    </row>
    <row r="72" spans="1:3" ht="15.75" customHeight="1" x14ac:dyDescent="0.35">
      <c r="A72" s="126"/>
      <c r="B72" s="28"/>
      <c r="C72" s="132"/>
    </row>
    <row r="73" spans="1:3" ht="15.75" customHeight="1" x14ac:dyDescent="0.35">
      <c r="A73" s="126"/>
      <c r="B73" s="28"/>
      <c r="C73" s="132"/>
    </row>
    <row r="74" spans="1:3" ht="15.75" customHeight="1" x14ac:dyDescent="0.35">
      <c r="A74" s="126"/>
      <c r="B74" s="28"/>
      <c r="C74" s="132"/>
    </row>
    <row r="75" spans="1:3" ht="15.75" customHeight="1" x14ac:dyDescent="0.35">
      <c r="A75" s="126"/>
      <c r="B75" s="28"/>
      <c r="C75" s="132"/>
    </row>
    <row r="76" spans="1:3" ht="15.75" customHeight="1" x14ac:dyDescent="0.35">
      <c r="A76" s="126"/>
      <c r="B76" s="28"/>
      <c r="C76" s="132"/>
    </row>
    <row r="77" spans="1:3" ht="15.75" customHeight="1" x14ac:dyDescent="0.35">
      <c r="A77" s="126"/>
      <c r="B77" s="28"/>
      <c r="C77" s="132"/>
    </row>
    <row r="78" spans="1:3" ht="15.75" customHeight="1" x14ac:dyDescent="0.35">
      <c r="A78" s="126"/>
      <c r="B78" s="28"/>
      <c r="C78" s="132"/>
    </row>
    <row r="79" spans="1:3" ht="15.75" customHeight="1" x14ac:dyDescent="0.35">
      <c r="A79" s="126"/>
      <c r="B79" s="28"/>
      <c r="C79" s="132"/>
    </row>
    <row r="80" spans="1:3" ht="15.75" customHeight="1" x14ac:dyDescent="0.35">
      <c r="A80" s="126"/>
      <c r="B80" s="28"/>
      <c r="C80" s="132"/>
    </row>
    <row r="81" spans="1:3" ht="15.75" customHeight="1" x14ac:dyDescent="0.35">
      <c r="A81" s="126"/>
      <c r="B81" s="28"/>
      <c r="C81" s="132"/>
    </row>
    <row r="82" spans="1:3" ht="15.75" customHeight="1" x14ac:dyDescent="0.35">
      <c r="A82" s="126"/>
      <c r="B82" s="28"/>
      <c r="C82" s="132"/>
    </row>
    <row r="83" spans="1:3" ht="15.75" customHeight="1" x14ac:dyDescent="0.35">
      <c r="A83" s="126"/>
      <c r="B83" s="28"/>
      <c r="C83" s="132"/>
    </row>
    <row r="84" spans="1:3" ht="15.75" customHeight="1" x14ac:dyDescent="0.35">
      <c r="A84" s="126"/>
      <c r="B84" s="28"/>
      <c r="C84" s="132"/>
    </row>
    <row r="85" spans="1:3" ht="15.75" customHeight="1" x14ac:dyDescent="0.35">
      <c r="A85" s="126"/>
      <c r="B85" s="28"/>
      <c r="C85" s="132"/>
    </row>
    <row r="86" spans="1:3" ht="15.75" customHeight="1" x14ac:dyDescent="0.35">
      <c r="A86" s="126"/>
      <c r="B86" s="28"/>
      <c r="C86" s="132"/>
    </row>
    <row r="87" spans="1:3" ht="15.75" customHeight="1" x14ac:dyDescent="0.35">
      <c r="A87" s="126"/>
      <c r="B87" s="28"/>
      <c r="C87" s="132"/>
    </row>
    <row r="88" spans="1:3" ht="15.75" customHeight="1" x14ac:dyDescent="0.35">
      <c r="A88" s="126"/>
      <c r="B88" s="28"/>
      <c r="C88" s="132"/>
    </row>
    <row r="89" spans="1:3" ht="15.75" customHeight="1" x14ac:dyDescent="0.35">
      <c r="A89" s="126"/>
      <c r="B89" s="28"/>
      <c r="C89" s="132"/>
    </row>
    <row r="90" spans="1:3" ht="15.75" customHeight="1" x14ac:dyDescent="0.35">
      <c r="A90" s="126"/>
      <c r="B90" s="28"/>
      <c r="C90" s="132"/>
    </row>
    <row r="91" spans="1:3" ht="15.75" customHeight="1" x14ac:dyDescent="0.35">
      <c r="A91" s="126"/>
      <c r="B91" s="28"/>
      <c r="C91" s="132"/>
    </row>
    <row r="92" spans="1:3" ht="15.75" customHeight="1" x14ac:dyDescent="0.35">
      <c r="A92" s="126"/>
      <c r="B92" s="28"/>
      <c r="C92" s="132"/>
    </row>
    <row r="93" spans="1:3" ht="15.75" customHeight="1" x14ac:dyDescent="0.35">
      <c r="A93" s="126"/>
      <c r="B93" s="28"/>
      <c r="C93" s="132"/>
    </row>
    <row r="94" spans="1:3" ht="15.75" customHeight="1" x14ac:dyDescent="0.35">
      <c r="A94" s="126"/>
      <c r="B94" s="28"/>
      <c r="C94" s="132"/>
    </row>
    <row r="95" spans="1:3" ht="15.75" customHeight="1" x14ac:dyDescent="0.35">
      <c r="A95" s="126"/>
      <c r="B95" s="28"/>
      <c r="C95" s="132"/>
    </row>
    <row r="96" spans="1:3" ht="15.75" customHeight="1" x14ac:dyDescent="0.35">
      <c r="A96" s="126"/>
      <c r="B96" s="28"/>
      <c r="C96" s="132"/>
    </row>
    <row r="97" spans="1:3" ht="15.75" customHeight="1" x14ac:dyDescent="0.35">
      <c r="A97" s="126"/>
      <c r="B97" s="28"/>
      <c r="C97" s="132"/>
    </row>
    <row r="98" spans="1:3" ht="15.75" customHeight="1" x14ac:dyDescent="0.35">
      <c r="A98" s="126"/>
      <c r="B98" s="28"/>
      <c r="C98" s="132"/>
    </row>
    <row r="99" spans="1:3" ht="15.75" customHeight="1" x14ac:dyDescent="0.35">
      <c r="A99" s="126"/>
      <c r="B99" s="28"/>
      <c r="C99" s="132"/>
    </row>
    <row r="100" spans="1:3" ht="15.75" customHeight="1" x14ac:dyDescent="0.35">
      <c r="A100" s="126"/>
      <c r="B100" s="28"/>
      <c r="C100" s="132"/>
    </row>
    <row r="101" spans="1:3" ht="15.75" customHeight="1" x14ac:dyDescent="0.35">
      <c r="A101" s="126"/>
      <c r="B101" s="28"/>
      <c r="C101" s="132"/>
    </row>
    <row r="102" spans="1:3" ht="15.75" customHeight="1" x14ac:dyDescent="0.35">
      <c r="A102" s="126"/>
      <c r="B102" s="28"/>
      <c r="C102" s="132"/>
    </row>
    <row r="103" spans="1:3" ht="15.75" customHeight="1" x14ac:dyDescent="0.35">
      <c r="A103" s="126"/>
      <c r="B103" s="28"/>
      <c r="C103" s="132"/>
    </row>
    <row r="104" spans="1:3" ht="15.75" customHeight="1" x14ac:dyDescent="0.35">
      <c r="A104" s="126"/>
      <c r="B104" s="28"/>
      <c r="C104" s="132"/>
    </row>
    <row r="105" spans="1:3" ht="15.75" customHeight="1" x14ac:dyDescent="0.35">
      <c r="A105" s="126"/>
      <c r="B105" s="28"/>
      <c r="C105" s="132"/>
    </row>
    <row r="106" spans="1:3" ht="15.75" customHeight="1" x14ac:dyDescent="0.35">
      <c r="A106" s="126"/>
      <c r="B106" s="28"/>
      <c r="C106" s="132"/>
    </row>
    <row r="107" spans="1:3" ht="15.75" customHeight="1" x14ac:dyDescent="0.35">
      <c r="A107" s="126"/>
      <c r="B107" s="28"/>
      <c r="C107" s="132"/>
    </row>
    <row r="108" spans="1:3" ht="15.75" customHeight="1" x14ac:dyDescent="0.35">
      <c r="A108" s="126"/>
      <c r="B108" s="28"/>
      <c r="C108" s="132"/>
    </row>
    <row r="109" spans="1:3" ht="15.75" customHeight="1" x14ac:dyDescent="0.35">
      <c r="A109" s="126"/>
      <c r="B109" s="28"/>
      <c r="C109" s="132"/>
    </row>
    <row r="110" spans="1:3" ht="15.75" customHeight="1" x14ac:dyDescent="0.35">
      <c r="A110" s="126"/>
      <c r="B110" s="28"/>
      <c r="C110" s="132"/>
    </row>
    <row r="111" spans="1:3" ht="15.75" customHeight="1" x14ac:dyDescent="0.35">
      <c r="A111" s="126"/>
      <c r="B111" s="28"/>
      <c r="C111" s="132"/>
    </row>
    <row r="112" spans="1:3" ht="15.75" customHeight="1" x14ac:dyDescent="0.35">
      <c r="A112" s="126"/>
      <c r="B112" s="28"/>
      <c r="C112" s="132"/>
    </row>
    <row r="113" spans="1:3" ht="15.75" customHeight="1" x14ac:dyDescent="0.35">
      <c r="A113" s="126"/>
      <c r="B113" s="28"/>
      <c r="C113" s="132"/>
    </row>
    <row r="114" spans="1:3" ht="15.75" customHeight="1" x14ac:dyDescent="0.35">
      <c r="A114" s="126"/>
      <c r="B114" s="28"/>
      <c r="C114" s="132"/>
    </row>
    <row r="115" spans="1:3" ht="15.75" customHeight="1" x14ac:dyDescent="0.35">
      <c r="A115" s="126"/>
      <c r="B115" s="28"/>
      <c r="C115" s="132"/>
    </row>
    <row r="116" spans="1:3" ht="15.75" customHeight="1" x14ac:dyDescent="0.35">
      <c r="A116" s="126"/>
      <c r="B116" s="28"/>
      <c r="C116" s="132"/>
    </row>
    <row r="117" spans="1:3" ht="15.75" customHeight="1" x14ac:dyDescent="0.35">
      <c r="A117" s="126"/>
      <c r="B117" s="28"/>
      <c r="C117" s="132"/>
    </row>
    <row r="118" spans="1:3" ht="15.75" customHeight="1" x14ac:dyDescent="0.35">
      <c r="A118" s="126"/>
      <c r="B118" s="28"/>
      <c r="C118" s="132"/>
    </row>
    <row r="119" spans="1:3" ht="15.75" customHeight="1" x14ac:dyDescent="0.35">
      <c r="A119" s="126"/>
      <c r="B119" s="28"/>
      <c r="C119" s="132"/>
    </row>
    <row r="120" spans="1:3" ht="15.75" customHeight="1" x14ac:dyDescent="0.35">
      <c r="A120" s="126"/>
      <c r="B120" s="28"/>
      <c r="C120" s="132"/>
    </row>
    <row r="121" spans="1:3" ht="15.75" customHeight="1" x14ac:dyDescent="0.35">
      <c r="A121" s="126"/>
      <c r="B121" s="28"/>
      <c r="C121" s="132"/>
    </row>
    <row r="122" spans="1:3" ht="15.75" customHeight="1" x14ac:dyDescent="0.35">
      <c r="A122" s="126"/>
      <c r="B122" s="28"/>
      <c r="C122" s="132"/>
    </row>
    <row r="123" spans="1:3" ht="15.75" customHeight="1" x14ac:dyDescent="0.35">
      <c r="A123" s="126"/>
      <c r="B123" s="28"/>
      <c r="C123" s="132"/>
    </row>
    <row r="124" spans="1:3" ht="15.75" customHeight="1" x14ac:dyDescent="0.35">
      <c r="A124" s="126"/>
      <c r="B124" s="28"/>
      <c r="C124" s="132"/>
    </row>
    <row r="125" spans="1:3" ht="15.75" customHeight="1" x14ac:dyDescent="0.35">
      <c r="A125" s="126"/>
      <c r="B125" s="28"/>
      <c r="C125" s="132"/>
    </row>
    <row r="126" spans="1:3" ht="15.75" customHeight="1" x14ac:dyDescent="0.35">
      <c r="A126" s="126"/>
      <c r="B126" s="28"/>
      <c r="C126" s="132"/>
    </row>
    <row r="127" spans="1:3" ht="15.75" customHeight="1" x14ac:dyDescent="0.35">
      <c r="A127" s="126"/>
      <c r="B127" s="28"/>
      <c r="C127" s="132"/>
    </row>
    <row r="128" spans="1:3" ht="15.75" customHeight="1" x14ac:dyDescent="0.35">
      <c r="A128" s="126"/>
      <c r="B128" s="28"/>
      <c r="C128" s="132"/>
    </row>
    <row r="129" spans="1:3" ht="15.75" customHeight="1" x14ac:dyDescent="0.35">
      <c r="A129" s="126"/>
      <c r="B129" s="28"/>
      <c r="C129" s="132"/>
    </row>
    <row r="130" spans="1:3" ht="15.75" customHeight="1" x14ac:dyDescent="0.35">
      <c r="A130" s="126"/>
      <c r="B130" s="28"/>
      <c r="C130" s="132"/>
    </row>
    <row r="131" spans="1:3" ht="15.75" customHeight="1" x14ac:dyDescent="0.35">
      <c r="A131" s="126"/>
      <c r="B131" s="28"/>
      <c r="C131" s="132"/>
    </row>
    <row r="132" spans="1:3" ht="15.75" customHeight="1" x14ac:dyDescent="0.35">
      <c r="A132" s="126"/>
      <c r="B132" s="28"/>
      <c r="C132" s="132"/>
    </row>
    <row r="133" spans="1:3" ht="15.75" customHeight="1" x14ac:dyDescent="0.35">
      <c r="A133" s="126"/>
      <c r="B133" s="28"/>
      <c r="C133" s="132"/>
    </row>
    <row r="134" spans="1:3" ht="15.75" customHeight="1" x14ac:dyDescent="0.35">
      <c r="A134" s="126"/>
      <c r="B134" s="28"/>
      <c r="C134" s="132"/>
    </row>
    <row r="135" spans="1:3" ht="15.75" customHeight="1" x14ac:dyDescent="0.35">
      <c r="A135" s="126"/>
      <c r="B135" s="28"/>
      <c r="C135" s="132"/>
    </row>
    <row r="136" spans="1:3" ht="15.75" customHeight="1" x14ac:dyDescent="0.35">
      <c r="A136" s="126"/>
      <c r="B136" s="28"/>
      <c r="C136" s="132"/>
    </row>
    <row r="137" spans="1:3" ht="15.75" customHeight="1" x14ac:dyDescent="0.35">
      <c r="A137" s="126"/>
      <c r="B137" s="28"/>
      <c r="C137" s="132"/>
    </row>
    <row r="138" spans="1:3" ht="15.75" customHeight="1" x14ac:dyDescent="0.35">
      <c r="A138" s="126"/>
      <c r="B138" s="28"/>
      <c r="C138" s="132"/>
    </row>
    <row r="139" spans="1:3" ht="15.75" customHeight="1" x14ac:dyDescent="0.35">
      <c r="A139" s="126"/>
      <c r="B139" s="28"/>
      <c r="C139" s="132"/>
    </row>
    <row r="140" spans="1:3" ht="15.75" customHeight="1" x14ac:dyDescent="0.35">
      <c r="A140" s="126"/>
      <c r="B140" s="28"/>
      <c r="C140" s="132"/>
    </row>
    <row r="141" spans="1:3" ht="15.75" customHeight="1" x14ac:dyDescent="0.35">
      <c r="A141" s="126"/>
      <c r="B141" s="28"/>
      <c r="C141" s="132"/>
    </row>
    <row r="142" spans="1:3" ht="15.75" customHeight="1" x14ac:dyDescent="0.35">
      <c r="A142" s="126"/>
      <c r="B142" s="28"/>
      <c r="C142" s="132"/>
    </row>
    <row r="143" spans="1:3" ht="15.75" customHeight="1" x14ac:dyDescent="0.35">
      <c r="A143" s="126"/>
      <c r="B143" s="28"/>
      <c r="C143" s="132"/>
    </row>
    <row r="144" spans="1:3" ht="15.75" customHeight="1" x14ac:dyDescent="0.35">
      <c r="A144" s="126"/>
      <c r="B144" s="28"/>
      <c r="C144" s="132"/>
    </row>
    <row r="145" spans="1:3" ht="15.75" customHeight="1" x14ac:dyDescent="0.35">
      <c r="A145" s="126"/>
      <c r="B145" s="28"/>
      <c r="C145" s="132"/>
    </row>
    <row r="146" spans="1:3" ht="15.75" customHeight="1" x14ac:dyDescent="0.35">
      <c r="A146" s="126"/>
      <c r="B146" s="28"/>
      <c r="C146" s="132"/>
    </row>
    <row r="147" spans="1:3" ht="15.75" customHeight="1" x14ac:dyDescent="0.35">
      <c r="A147" s="126"/>
      <c r="B147" s="28"/>
      <c r="C147" s="132"/>
    </row>
    <row r="148" spans="1:3" ht="15.75" customHeight="1" x14ac:dyDescent="0.35">
      <c r="A148" s="126"/>
      <c r="B148" s="28"/>
      <c r="C148" s="132"/>
    </row>
    <row r="149" spans="1:3" ht="15.75" customHeight="1" x14ac:dyDescent="0.35">
      <c r="A149" s="126"/>
      <c r="B149" s="28"/>
      <c r="C149" s="132"/>
    </row>
    <row r="150" spans="1:3" ht="15.75" customHeight="1" x14ac:dyDescent="0.35">
      <c r="A150" s="126"/>
      <c r="B150" s="28"/>
      <c r="C150" s="132"/>
    </row>
    <row r="151" spans="1:3" ht="15.75" customHeight="1" x14ac:dyDescent="0.35">
      <c r="A151" s="126"/>
      <c r="B151" s="28"/>
      <c r="C151" s="132"/>
    </row>
    <row r="152" spans="1:3" ht="15.75" customHeight="1" x14ac:dyDescent="0.35">
      <c r="A152" s="126"/>
      <c r="B152" s="28"/>
      <c r="C152" s="132"/>
    </row>
    <row r="153" spans="1:3" ht="15.75" customHeight="1" x14ac:dyDescent="0.35">
      <c r="A153" s="126"/>
      <c r="B153" s="28"/>
      <c r="C153" s="132"/>
    </row>
    <row r="154" spans="1:3" ht="15.75" customHeight="1" x14ac:dyDescent="0.35">
      <c r="A154" s="126"/>
      <c r="B154" s="28"/>
      <c r="C154" s="132"/>
    </row>
    <row r="155" spans="1:3" ht="15.75" customHeight="1" x14ac:dyDescent="0.35">
      <c r="A155" s="126"/>
      <c r="B155" s="28"/>
      <c r="C155" s="132"/>
    </row>
    <row r="156" spans="1:3" ht="15.75" customHeight="1" x14ac:dyDescent="0.35">
      <c r="A156" s="126"/>
      <c r="B156" s="28"/>
      <c r="C156" s="132"/>
    </row>
    <row r="157" spans="1:3" ht="15.75" customHeight="1" x14ac:dyDescent="0.35">
      <c r="A157" s="126"/>
      <c r="B157" s="28"/>
      <c r="C157" s="132"/>
    </row>
    <row r="158" spans="1:3" ht="15.75" customHeight="1" x14ac:dyDescent="0.35">
      <c r="A158" s="126"/>
      <c r="B158" s="28"/>
      <c r="C158" s="132"/>
    </row>
    <row r="159" spans="1:3" ht="15.75" customHeight="1" x14ac:dyDescent="0.35">
      <c r="A159" s="126"/>
      <c r="B159" s="28"/>
      <c r="C159" s="132"/>
    </row>
    <row r="160" spans="1:3" ht="15.75" customHeight="1" x14ac:dyDescent="0.35">
      <c r="A160" s="126"/>
      <c r="B160" s="28"/>
      <c r="C160" s="132"/>
    </row>
    <row r="161" spans="1:3" ht="15.75" customHeight="1" x14ac:dyDescent="0.35">
      <c r="A161" s="126"/>
      <c r="B161" s="28"/>
      <c r="C161" s="132"/>
    </row>
    <row r="162" spans="1:3" ht="15.75" customHeight="1" x14ac:dyDescent="0.35">
      <c r="A162" s="126"/>
      <c r="B162" s="28"/>
      <c r="C162" s="132"/>
    </row>
    <row r="163" spans="1:3" ht="15.75" customHeight="1" x14ac:dyDescent="0.35">
      <c r="A163" s="126"/>
      <c r="B163" s="28"/>
      <c r="C163" s="132"/>
    </row>
    <row r="164" spans="1:3" ht="15.75" customHeight="1" x14ac:dyDescent="0.35">
      <c r="A164" s="126"/>
      <c r="B164" s="28"/>
      <c r="C164" s="132"/>
    </row>
    <row r="165" spans="1:3" ht="15.75" customHeight="1" x14ac:dyDescent="0.35">
      <c r="A165" s="126"/>
      <c r="B165" s="28"/>
      <c r="C165" s="132"/>
    </row>
    <row r="166" spans="1:3" ht="15.75" customHeight="1" x14ac:dyDescent="0.35">
      <c r="A166" s="126"/>
      <c r="B166" s="28"/>
      <c r="C166" s="132"/>
    </row>
    <row r="167" spans="1:3" ht="15.75" customHeight="1" x14ac:dyDescent="0.35">
      <c r="A167" s="126"/>
      <c r="B167" s="28"/>
      <c r="C167" s="132"/>
    </row>
    <row r="168" spans="1:3" ht="15.75" customHeight="1" x14ac:dyDescent="0.35">
      <c r="A168" s="126"/>
      <c r="B168" s="28"/>
      <c r="C168" s="132"/>
    </row>
    <row r="169" spans="1:3" ht="15.75" customHeight="1" x14ac:dyDescent="0.35">
      <c r="A169" s="126"/>
      <c r="B169" s="28"/>
      <c r="C169" s="132"/>
    </row>
    <row r="170" spans="1:3" ht="15.75" customHeight="1" x14ac:dyDescent="0.35">
      <c r="A170" s="126"/>
      <c r="B170" s="28"/>
      <c r="C170" s="132"/>
    </row>
    <row r="171" spans="1:3" ht="15.75" customHeight="1" x14ac:dyDescent="0.35">
      <c r="A171" s="126"/>
      <c r="B171" s="28"/>
      <c r="C171" s="132"/>
    </row>
    <row r="172" spans="1:3" ht="15.75" customHeight="1" x14ac:dyDescent="0.35">
      <c r="A172" s="126"/>
      <c r="B172" s="28"/>
      <c r="C172" s="132"/>
    </row>
    <row r="173" spans="1:3" ht="15.75" customHeight="1" x14ac:dyDescent="0.35">
      <c r="A173" s="126"/>
      <c r="B173" s="28"/>
      <c r="C173" s="132"/>
    </row>
    <row r="174" spans="1:3" ht="15.75" customHeight="1" x14ac:dyDescent="0.35">
      <c r="A174" s="126"/>
      <c r="B174" s="28"/>
      <c r="C174" s="132"/>
    </row>
    <row r="175" spans="1:3" ht="15.75" customHeight="1" x14ac:dyDescent="0.35">
      <c r="A175" s="126"/>
      <c r="B175" s="28"/>
      <c r="C175" s="132"/>
    </row>
    <row r="176" spans="1:3" ht="15.75" customHeight="1" x14ac:dyDescent="0.35">
      <c r="A176" s="126"/>
      <c r="B176" s="28"/>
      <c r="C176" s="132"/>
    </row>
    <row r="177" spans="1:3" ht="15.75" customHeight="1" x14ac:dyDescent="0.35">
      <c r="A177" s="126"/>
      <c r="B177" s="28"/>
      <c r="C177" s="132"/>
    </row>
    <row r="178" spans="1:3" ht="15.75" customHeight="1" x14ac:dyDescent="0.35">
      <c r="A178" s="126"/>
      <c r="B178" s="28"/>
      <c r="C178" s="132"/>
    </row>
    <row r="179" spans="1:3" ht="15.75" customHeight="1" x14ac:dyDescent="0.35">
      <c r="A179" s="126"/>
      <c r="B179" s="28"/>
      <c r="C179" s="132"/>
    </row>
    <row r="180" spans="1:3" ht="15.75" customHeight="1" x14ac:dyDescent="0.35">
      <c r="A180" s="126"/>
      <c r="B180" s="28"/>
      <c r="C180" s="132"/>
    </row>
    <row r="181" spans="1:3" ht="15.75" customHeight="1" x14ac:dyDescent="0.35">
      <c r="A181" s="126"/>
      <c r="B181" s="28"/>
      <c r="C181" s="132"/>
    </row>
    <row r="182" spans="1:3" ht="15.75" customHeight="1" x14ac:dyDescent="0.35">
      <c r="A182" s="126"/>
      <c r="B182" s="28"/>
      <c r="C182" s="132"/>
    </row>
    <row r="183" spans="1:3" ht="15.75" customHeight="1" x14ac:dyDescent="0.35">
      <c r="A183" s="126"/>
      <c r="B183" s="28"/>
      <c r="C183" s="132"/>
    </row>
    <row r="184" spans="1:3" ht="15.75" customHeight="1" x14ac:dyDescent="0.35">
      <c r="A184" s="126"/>
      <c r="B184" s="28"/>
      <c r="C184" s="132"/>
    </row>
    <row r="185" spans="1:3" ht="15.75" customHeight="1" x14ac:dyDescent="0.35">
      <c r="A185" s="126"/>
      <c r="B185" s="28"/>
      <c r="C185" s="132"/>
    </row>
    <row r="186" spans="1:3" ht="15.75" customHeight="1" x14ac:dyDescent="0.35">
      <c r="A186" s="126"/>
      <c r="B186" s="28"/>
      <c r="C186" s="132"/>
    </row>
    <row r="187" spans="1:3" ht="15.75" customHeight="1" x14ac:dyDescent="0.35">
      <c r="A187" s="126"/>
      <c r="B187" s="28"/>
      <c r="C187" s="132"/>
    </row>
    <row r="188" spans="1:3" ht="15.75" customHeight="1" x14ac:dyDescent="0.35">
      <c r="A188" s="126"/>
      <c r="B188" s="28"/>
      <c r="C188" s="132"/>
    </row>
    <row r="189" spans="1:3" ht="15.75" customHeight="1" x14ac:dyDescent="0.35">
      <c r="A189" s="126"/>
      <c r="B189" s="28"/>
      <c r="C189" s="132"/>
    </row>
    <row r="190" spans="1:3" ht="15.75" customHeight="1" x14ac:dyDescent="0.35">
      <c r="A190" s="126"/>
      <c r="B190" s="28"/>
      <c r="C190" s="132"/>
    </row>
    <row r="191" spans="1:3" ht="15.75" customHeight="1" x14ac:dyDescent="0.35">
      <c r="A191" s="126"/>
      <c r="B191" s="28"/>
      <c r="C191" s="132"/>
    </row>
    <row r="192" spans="1:3" ht="15.75" customHeight="1" x14ac:dyDescent="0.35">
      <c r="A192" s="126"/>
      <c r="B192" s="28"/>
      <c r="C192" s="132"/>
    </row>
    <row r="193" spans="1:3" ht="15.75" customHeight="1" x14ac:dyDescent="0.35">
      <c r="A193" s="126"/>
      <c r="B193" s="28"/>
      <c r="C193" s="132"/>
    </row>
    <row r="194" spans="1:3" ht="15.75" customHeight="1" x14ac:dyDescent="0.35">
      <c r="A194" s="126"/>
      <c r="B194" s="28"/>
      <c r="C194" s="132"/>
    </row>
    <row r="195" spans="1:3" ht="15.75" customHeight="1" x14ac:dyDescent="0.35">
      <c r="A195" s="126"/>
      <c r="B195" s="28"/>
      <c r="C195" s="132"/>
    </row>
    <row r="196" spans="1:3" ht="15.75" customHeight="1" x14ac:dyDescent="0.35">
      <c r="A196" s="126"/>
      <c r="B196" s="28"/>
      <c r="C196" s="132"/>
    </row>
    <row r="197" spans="1:3" ht="15.75" customHeight="1" x14ac:dyDescent="0.35">
      <c r="A197" s="126"/>
      <c r="B197" s="28"/>
      <c r="C197" s="132"/>
    </row>
    <row r="198" spans="1:3" ht="15.75" customHeight="1" x14ac:dyDescent="0.35">
      <c r="A198" s="126"/>
      <c r="B198" s="28"/>
      <c r="C198" s="132"/>
    </row>
    <row r="199" spans="1:3" ht="15.75" customHeight="1" x14ac:dyDescent="0.35">
      <c r="A199" s="126"/>
      <c r="B199" s="28"/>
      <c r="C199" s="132"/>
    </row>
    <row r="200" spans="1:3" ht="15.75" customHeight="1" x14ac:dyDescent="0.35">
      <c r="A200" s="126"/>
      <c r="B200" s="28"/>
      <c r="C200" s="132"/>
    </row>
    <row r="201" spans="1:3" ht="15.75" customHeight="1" x14ac:dyDescent="0.35">
      <c r="A201" s="126"/>
      <c r="B201" s="28"/>
      <c r="C201" s="132"/>
    </row>
    <row r="202" spans="1:3" ht="15.75" customHeight="1" x14ac:dyDescent="0.35">
      <c r="A202" s="126"/>
      <c r="B202" s="28"/>
      <c r="C202" s="132"/>
    </row>
    <row r="203" spans="1:3" ht="15.75" customHeight="1" x14ac:dyDescent="0.35">
      <c r="A203" s="126"/>
      <c r="B203" s="28"/>
      <c r="C203" s="132"/>
    </row>
    <row r="204" spans="1:3" ht="15.75" customHeight="1" x14ac:dyDescent="0.35">
      <c r="A204" s="126"/>
      <c r="B204" s="28"/>
      <c r="C204" s="132"/>
    </row>
    <row r="205" spans="1:3" ht="15.75" customHeight="1" x14ac:dyDescent="0.35">
      <c r="A205" s="126"/>
      <c r="B205" s="28"/>
      <c r="C205" s="132"/>
    </row>
    <row r="206" spans="1:3" ht="15.75" customHeight="1" x14ac:dyDescent="0.35">
      <c r="A206" s="126"/>
      <c r="B206" s="28"/>
      <c r="C206" s="132"/>
    </row>
    <row r="207" spans="1:3" ht="15.75" customHeight="1" x14ac:dyDescent="0.35">
      <c r="A207" s="126"/>
      <c r="B207" s="28"/>
      <c r="C207" s="132"/>
    </row>
    <row r="208" spans="1:3" ht="15.75" customHeight="1" x14ac:dyDescent="0.35">
      <c r="A208" s="126"/>
      <c r="B208" s="28"/>
      <c r="C208" s="132"/>
    </row>
    <row r="209" spans="1:3" ht="15.75" customHeight="1" x14ac:dyDescent="0.35">
      <c r="A209" s="126"/>
      <c r="B209" s="28"/>
      <c r="C209" s="132"/>
    </row>
    <row r="210" spans="1:3" ht="15.75" customHeight="1" x14ac:dyDescent="0.35">
      <c r="A210" s="126"/>
      <c r="B210" s="28"/>
      <c r="C210" s="132"/>
    </row>
    <row r="211" spans="1:3" ht="15.75" customHeight="1" x14ac:dyDescent="0.35">
      <c r="A211" s="126"/>
      <c r="B211" s="28"/>
      <c r="C211" s="132"/>
    </row>
    <row r="212" spans="1:3" ht="15.75" customHeight="1" x14ac:dyDescent="0.35">
      <c r="A212" s="126"/>
      <c r="B212" s="28"/>
      <c r="C212" s="132"/>
    </row>
    <row r="213" spans="1:3" ht="15.75" customHeight="1" x14ac:dyDescent="0.35">
      <c r="A213" s="126"/>
      <c r="B213" s="28"/>
      <c r="C213" s="132"/>
    </row>
    <row r="214" spans="1:3" ht="15.75" customHeight="1" x14ac:dyDescent="0.35">
      <c r="A214" s="126"/>
      <c r="B214" s="28"/>
      <c r="C214" s="132"/>
    </row>
    <row r="215" spans="1:3" ht="15.75" customHeight="1" x14ac:dyDescent="0.35">
      <c r="A215" s="126"/>
      <c r="B215" s="28"/>
      <c r="C215" s="132"/>
    </row>
    <row r="216" spans="1:3" ht="15.75" customHeight="1" x14ac:dyDescent="0.35">
      <c r="A216" s="126"/>
      <c r="B216" s="28"/>
      <c r="C216" s="132"/>
    </row>
    <row r="217" spans="1:3" ht="15.75" customHeight="1" x14ac:dyDescent="0.35">
      <c r="A217" s="126"/>
      <c r="B217" s="28"/>
      <c r="C217" s="132"/>
    </row>
    <row r="218" spans="1:3" ht="15.75" customHeight="1" x14ac:dyDescent="0.35">
      <c r="A218" s="126"/>
      <c r="B218" s="28"/>
      <c r="C218" s="132"/>
    </row>
    <row r="219" spans="1:3" ht="15.75" customHeight="1" x14ac:dyDescent="0.35">
      <c r="A219" s="126"/>
      <c r="B219" s="28"/>
      <c r="C219" s="132"/>
    </row>
    <row r="220" spans="1:3" ht="15.75" customHeight="1" x14ac:dyDescent="0.35">
      <c r="A220" s="126"/>
      <c r="B220" s="28"/>
      <c r="C220" s="132"/>
    </row>
    <row r="221" spans="1:3" ht="15.75" customHeight="1" x14ac:dyDescent="0.35">
      <c r="A221" s="126"/>
      <c r="B221" s="28"/>
      <c r="C221" s="132"/>
    </row>
    <row r="222" spans="1:3" ht="15.75" customHeight="1" x14ac:dyDescent="0.35">
      <c r="A222" s="126"/>
      <c r="B222" s="28"/>
      <c r="C222" s="132"/>
    </row>
    <row r="223" spans="1:3" ht="15.75" customHeight="1" x14ac:dyDescent="0.35">
      <c r="A223" s="126"/>
      <c r="B223" s="28"/>
      <c r="C223" s="132"/>
    </row>
    <row r="224" spans="1:3" ht="15.75" customHeight="1" x14ac:dyDescent="0.35">
      <c r="A224" s="126"/>
      <c r="B224" s="28"/>
      <c r="C224" s="132"/>
    </row>
    <row r="225" spans="1:3" ht="15.75" customHeight="1" x14ac:dyDescent="0.35">
      <c r="A225" s="126"/>
      <c r="B225" s="28"/>
      <c r="C225" s="132"/>
    </row>
    <row r="226" spans="1:3" ht="15.75" customHeight="1" x14ac:dyDescent="0.35">
      <c r="A226" s="126"/>
      <c r="B226" s="28"/>
      <c r="C226" s="132"/>
    </row>
    <row r="227" spans="1:3" ht="15.75" customHeight="1" x14ac:dyDescent="0.35">
      <c r="A227" s="126"/>
      <c r="B227" s="28"/>
      <c r="C227" s="132"/>
    </row>
    <row r="228" spans="1:3" ht="15.75" customHeight="1" x14ac:dyDescent="0.35">
      <c r="A228" s="126"/>
      <c r="B228" s="28"/>
      <c r="C228" s="132"/>
    </row>
    <row r="229" spans="1:3" ht="15.75" customHeight="1" x14ac:dyDescent="0.35">
      <c r="A229" s="126"/>
      <c r="B229" s="28"/>
      <c r="C229" s="132"/>
    </row>
    <row r="230" spans="1:3" ht="15.75" customHeight="1" x14ac:dyDescent="0.35">
      <c r="A230" s="126"/>
      <c r="B230" s="28"/>
      <c r="C230" s="132"/>
    </row>
    <row r="231" spans="1:3" ht="15.75" customHeight="1" x14ac:dyDescent="0.35">
      <c r="A231" s="126"/>
      <c r="B231" s="28"/>
      <c r="C231" s="132"/>
    </row>
    <row r="232" spans="1:3" ht="15.75" customHeight="1" x14ac:dyDescent="0.35">
      <c r="A232" s="126"/>
      <c r="B232" s="28"/>
      <c r="C232" s="132"/>
    </row>
    <row r="233" spans="1:3" ht="15.75" customHeight="1" x14ac:dyDescent="0.35">
      <c r="A233" s="126"/>
      <c r="B233" s="28"/>
      <c r="C233" s="132"/>
    </row>
    <row r="234" spans="1:3" ht="15.75" customHeight="1" x14ac:dyDescent="0.35">
      <c r="A234" s="126"/>
      <c r="B234" s="28"/>
      <c r="C234" s="132"/>
    </row>
    <row r="235" spans="1:3" ht="15.75" customHeight="1" x14ac:dyDescent="0.35">
      <c r="A235" s="126"/>
      <c r="B235" s="28"/>
      <c r="C235" s="132"/>
    </row>
    <row r="236" spans="1:3" ht="15.75" customHeight="1" x14ac:dyDescent="0.35">
      <c r="A236" s="126"/>
      <c r="B236" s="28"/>
      <c r="C236" s="132"/>
    </row>
    <row r="237" spans="1:3" ht="15.75" customHeight="1" x14ac:dyDescent="0.35">
      <c r="A237" s="126"/>
      <c r="B237" s="28"/>
      <c r="C237" s="132"/>
    </row>
    <row r="238" spans="1:3" ht="15.75" customHeight="1" x14ac:dyDescent="0.35">
      <c r="A238" s="126"/>
      <c r="B238" s="28"/>
      <c r="C238" s="132"/>
    </row>
    <row r="239" spans="1:3" ht="15.75" customHeight="1" x14ac:dyDescent="0.35">
      <c r="A239" s="126"/>
      <c r="B239" s="28"/>
      <c r="C239" s="132"/>
    </row>
    <row r="240" spans="1:3" ht="15.75" customHeight="1" x14ac:dyDescent="0.35">
      <c r="A240" s="126"/>
      <c r="B240" s="28"/>
      <c r="C240" s="132"/>
    </row>
    <row r="241" spans="1:3" ht="15.75" customHeight="1" x14ac:dyDescent="0.35">
      <c r="A241" s="126"/>
      <c r="B241" s="28"/>
      <c r="C241" s="132"/>
    </row>
    <row r="242" spans="1:3" ht="15.75" customHeight="1" x14ac:dyDescent="0.35">
      <c r="A242" s="126"/>
      <c r="B242" s="28"/>
      <c r="C242" s="132"/>
    </row>
    <row r="243" spans="1:3" ht="15.75" customHeight="1" x14ac:dyDescent="0.35">
      <c r="A243" s="126"/>
      <c r="B243" s="28"/>
      <c r="C243" s="132"/>
    </row>
    <row r="244" spans="1:3" ht="15.75" customHeight="1" x14ac:dyDescent="0.35">
      <c r="A244" s="126"/>
      <c r="B244" s="28"/>
      <c r="C244" s="132"/>
    </row>
    <row r="245" spans="1:3" ht="15.75" customHeight="1" x14ac:dyDescent="0.35">
      <c r="A245" s="126"/>
      <c r="B245" s="28"/>
      <c r="C245" s="132"/>
    </row>
    <row r="246" spans="1:3" ht="15.75" customHeight="1" x14ac:dyDescent="0.35">
      <c r="A246" s="126"/>
      <c r="B246" s="28"/>
      <c r="C246" s="132"/>
    </row>
    <row r="247" spans="1:3" ht="15.75" customHeight="1" x14ac:dyDescent="0.35">
      <c r="A247" s="126"/>
      <c r="B247" s="28"/>
      <c r="C247" s="132"/>
    </row>
    <row r="248" spans="1:3" ht="15.75" customHeight="1" x14ac:dyDescent="0.35">
      <c r="A248" s="126"/>
      <c r="B248" s="28"/>
      <c r="C248" s="132"/>
    </row>
    <row r="249" spans="1:3" ht="15.75" customHeight="1" x14ac:dyDescent="0.35">
      <c r="A249" s="126"/>
      <c r="B249" s="28"/>
      <c r="C249" s="132"/>
    </row>
    <row r="250" spans="1:3" ht="15.75" customHeight="1" x14ac:dyDescent="0.35">
      <c r="A250" s="126"/>
      <c r="B250" s="28"/>
      <c r="C250" s="132"/>
    </row>
    <row r="251" spans="1:3" ht="15.75" customHeight="1" x14ac:dyDescent="0.35">
      <c r="A251" s="126"/>
      <c r="B251" s="28"/>
      <c r="C251" s="132"/>
    </row>
    <row r="252" spans="1:3" ht="15.75" customHeight="1" x14ac:dyDescent="0.35">
      <c r="A252" s="126"/>
      <c r="B252" s="28"/>
      <c r="C252" s="132"/>
    </row>
    <row r="253" spans="1:3" ht="15.75" customHeight="1" x14ac:dyDescent="0.35">
      <c r="A253" s="126"/>
      <c r="B253" s="28"/>
      <c r="C253" s="132"/>
    </row>
    <row r="254" spans="1:3" ht="15.75" customHeight="1" x14ac:dyDescent="0.35">
      <c r="A254" s="126"/>
      <c r="B254" s="28"/>
      <c r="C254" s="132"/>
    </row>
    <row r="255" spans="1:3" ht="15.75" customHeight="1" x14ac:dyDescent="0.35">
      <c r="A255" s="126"/>
      <c r="B255" s="28"/>
      <c r="C255" s="132"/>
    </row>
    <row r="256" spans="1:3" ht="15.75" customHeight="1" x14ac:dyDescent="0.35">
      <c r="A256" s="126"/>
      <c r="B256" s="28"/>
      <c r="C256" s="132"/>
    </row>
    <row r="257" spans="1:3" ht="15.75" customHeight="1" x14ac:dyDescent="0.35">
      <c r="A257" s="126"/>
      <c r="B257" s="28"/>
      <c r="C257" s="132"/>
    </row>
    <row r="258" spans="1:3" ht="15.75" customHeight="1" x14ac:dyDescent="0.35">
      <c r="A258" s="126"/>
      <c r="B258" s="28"/>
      <c r="C258" s="132"/>
    </row>
    <row r="259" spans="1:3" ht="15.75" customHeight="1" x14ac:dyDescent="0.35">
      <c r="A259" s="126"/>
      <c r="B259" s="28"/>
      <c r="C259" s="132"/>
    </row>
    <row r="260" spans="1:3" ht="15.75" customHeight="1" x14ac:dyDescent="0.35">
      <c r="A260" s="126"/>
      <c r="B260" s="28"/>
      <c r="C260" s="132"/>
    </row>
    <row r="261" spans="1:3" ht="15.75" customHeight="1" x14ac:dyDescent="0.35">
      <c r="A261" s="126"/>
      <c r="B261" s="28"/>
      <c r="C261" s="132"/>
    </row>
    <row r="262" spans="1:3" ht="15.75" customHeight="1" x14ac:dyDescent="0.35">
      <c r="A262" s="126"/>
      <c r="B262" s="28"/>
      <c r="C262" s="132"/>
    </row>
    <row r="263" spans="1:3" ht="15.75" customHeight="1" x14ac:dyDescent="0.35">
      <c r="A263" s="126"/>
      <c r="B263" s="28"/>
      <c r="C263" s="132"/>
    </row>
    <row r="264" spans="1:3" ht="15.75" customHeight="1" x14ac:dyDescent="0.35">
      <c r="A264" s="126"/>
      <c r="B264" s="28"/>
      <c r="C264" s="132"/>
    </row>
    <row r="265" spans="1:3" ht="15.75" customHeight="1" x14ac:dyDescent="0.35">
      <c r="A265" s="126"/>
      <c r="B265" s="28"/>
      <c r="C265" s="132"/>
    </row>
    <row r="266" spans="1:3" ht="15.75" customHeight="1" x14ac:dyDescent="0.35">
      <c r="A266" s="126"/>
      <c r="B266" s="28"/>
      <c r="C266" s="132"/>
    </row>
    <row r="267" spans="1:3" ht="15.75" customHeight="1" x14ac:dyDescent="0.35">
      <c r="A267" s="126"/>
      <c r="B267" s="28"/>
      <c r="C267" s="132"/>
    </row>
    <row r="268" spans="1:3" ht="15.75" customHeight="1" x14ac:dyDescent="0.35">
      <c r="A268" s="126"/>
      <c r="B268" s="28"/>
      <c r="C268" s="132"/>
    </row>
    <row r="269" spans="1:3" ht="15.75" customHeight="1" x14ac:dyDescent="0.35">
      <c r="A269" s="126"/>
      <c r="B269" s="28"/>
      <c r="C269" s="132"/>
    </row>
    <row r="270" spans="1:3" ht="15.75" customHeight="1" x14ac:dyDescent="0.35">
      <c r="A270" s="126"/>
      <c r="B270" s="28"/>
      <c r="C270" s="132"/>
    </row>
    <row r="271" spans="1:3" ht="15.75" customHeight="1" x14ac:dyDescent="0.35">
      <c r="A271" s="126"/>
      <c r="B271" s="28"/>
      <c r="C271" s="132"/>
    </row>
    <row r="272" spans="1:3" ht="15.75" customHeight="1" x14ac:dyDescent="0.35">
      <c r="A272" s="126"/>
      <c r="B272" s="28"/>
      <c r="C272" s="132"/>
    </row>
    <row r="273" spans="1:3" ht="15.75" customHeight="1" x14ac:dyDescent="0.35">
      <c r="A273" s="126"/>
      <c r="B273" s="28"/>
      <c r="C273" s="132"/>
    </row>
    <row r="274" spans="1:3" ht="15.75" customHeight="1" x14ac:dyDescent="0.35">
      <c r="A274" s="126"/>
      <c r="B274" s="28"/>
      <c r="C274" s="132"/>
    </row>
    <row r="275" spans="1:3" ht="15.75" customHeight="1" x14ac:dyDescent="0.35">
      <c r="A275" s="126"/>
      <c r="B275" s="28"/>
      <c r="C275" s="132"/>
    </row>
    <row r="276" spans="1:3" ht="15.75" customHeight="1" x14ac:dyDescent="0.35">
      <c r="A276" s="126"/>
      <c r="B276" s="28"/>
      <c r="C276" s="132"/>
    </row>
    <row r="277" spans="1:3" ht="15.75" customHeight="1" x14ac:dyDescent="0.35">
      <c r="A277" s="126"/>
      <c r="B277" s="28"/>
      <c r="C277" s="132"/>
    </row>
    <row r="278" spans="1:3" ht="15.75" customHeight="1" x14ac:dyDescent="0.35">
      <c r="A278" s="126"/>
      <c r="B278" s="28"/>
      <c r="C278" s="132"/>
    </row>
    <row r="279" spans="1:3" ht="15.75" customHeight="1" x14ac:dyDescent="0.35">
      <c r="A279" s="126"/>
      <c r="B279" s="28"/>
      <c r="C279" s="132"/>
    </row>
    <row r="280" spans="1:3" ht="15.75" customHeight="1" x14ac:dyDescent="0.35">
      <c r="A280" s="126"/>
      <c r="B280" s="28"/>
      <c r="C280" s="132"/>
    </row>
    <row r="281" spans="1:3" ht="15.75" customHeight="1" x14ac:dyDescent="0.35">
      <c r="A281" s="126"/>
      <c r="B281" s="28"/>
      <c r="C281" s="132"/>
    </row>
    <row r="282" spans="1:3" ht="15.75" customHeight="1" x14ac:dyDescent="0.35">
      <c r="A282" s="126"/>
      <c r="B282" s="28"/>
      <c r="C282" s="132"/>
    </row>
    <row r="283" spans="1:3" ht="15.75" customHeight="1" x14ac:dyDescent="0.35">
      <c r="A283" s="126"/>
      <c r="B283" s="28"/>
      <c r="C283" s="132"/>
    </row>
    <row r="284" spans="1:3" ht="15.75" customHeight="1" x14ac:dyDescent="0.35">
      <c r="A284" s="126"/>
      <c r="B284" s="28"/>
      <c r="C284" s="132"/>
    </row>
    <row r="285" spans="1:3" ht="15.75" customHeight="1" x14ac:dyDescent="0.35">
      <c r="A285" s="126"/>
      <c r="B285" s="28"/>
      <c r="C285" s="132"/>
    </row>
    <row r="286" spans="1:3" ht="15.75" customHeight="1" x14ac:dyDescent="0.35">
      <c r="A286" s="126"/>
      <c r="B286" s="28"/>
      <c r="C286" s="132"/>
    </row>
    <row r="287" spans="1:3" ht="15.75" customHeight="1" x14ac:dyDescent="0.35">
      <c r="A287" s="126"/>
      <c r="B287" s="28"/>
      <c r="C287" s="132"/>
    </row>
    <row r="288" spans="1:3" ht="15.75" customHeight="1" x14ac:dyDescent="0.35">
      <c r="A288" s="126"/>
      <c r="B288" s="28"/>
      <c r="C288" s="132"/>
    </row>
    <row r="289" spans="1:3" ht="15.75" customHeight="1" x14ac:dyDescent="0.35">
      <c r="A289" s="126"/>
      <c r="B289" s="28"/>
      <c r="C289" s="132"/>
    </row>
    <row r="290" spans="1:3" ht="15.75" customHeight="1" x14ac:dyDescent="0.35">
      <c r="A290" s="126"/>
      <c r="B290" s="28"/>
      <c r="C290" s="132"/>
    </row>
    <row r="291" spans="1:3" ht="15.75" customHeight="1" x14ac:dyDescent="0.35">
      <c r="A291" s="126"/>
      <c r="B291" s="28"/>
      <c r="C291" s="132"/>
    </row>
    <row r="292" spans="1:3" ht="15.75" customHeight="1" x14ac:dyDescent="0.35">
      <c r="A292" s="126"/>
      <c r="B292" s="28"/>
      <c r="C292" s="132"/>
    </row>
    <row r="293" spans="1:3" ht="15.75" customHeight="1" x14ac:dyDescent="0.35">
      <c r="A293" s="126"/>
      <c r="B293" s="28"/>
      <c r="C293" s="132"/>
    </row>
    <row r="294" spans="1:3" ht="15.75" customHeight="1" x14ac:dyDescent="0.35">
      <c r="A294" s="126"/>
      <c r="B294" s="28"/>
      <c r="C294" s="132"/>
    </row>
    <row r="295" spans="1:3" ht="15.75" customHeight="1" x14ac:dyDescent="0.35">
      <c r="A295" s="126"/>
      <c r="B295" s="28"/>
      <c r="C295" s="132"/>
    </row>
    <row r="296" spans="1:3" ht="15.75" customHeight="1" x14ac:dyDescent="0.35">
      <c r="A296" s="126"/>
      <c r="B296" s="28"/>
      <c r="C296" s="132"/>
    </row>
    <row r="297" spans="1:3" ht="15.75" customHeight="1" x14ac:dyDescent="0.35">
      <c r="A297" s="126"/>
      <c r="B297" s="28"/>
      <c r="C297" s="132"/>
    </row>
    <row r="298" spans="1:3" ht="15.75" customHeight="1" x14ac:dyDescent="0.35">
      <c r="A298" s="126"/>
      <c r="B298" s="28"/>
      <c r="C298" s="132"/>
    </row>
    <row r="299" spans="1:3" ht="15.75" customHeight="1" x14ac:dyDescent="0.35">
      <c r="A299" s="126"/>
      <c r="B299" s="28"/>
      <c r="C299" s="132"/>
    </row>
    <row r="300" spans="1:3" ht="15.75" customHeight="1" x14ac:dyDescent="0.35">
      <c r="A300" s="126"/>
      <c r="B300" s="28"/>
      <c r="C300" s="132"/>
    </row>
    <row r="301" spans="1:3" ht="15.75" customHeight="1" x14ac:dyDescent="0.35">
      <c r="A301" s="126"/>
      <c r="B301" s="28"/>
      <c r="C301" s="132"/>
    </row>
    <row r="302" spans="1:3" ht="15.75" customHeight="1" x14ac:dyDescent="0.35">
      <c r="A302" s="126"/>
      <c r="B302" s="28"/>
      <c r="C302" s="132"/>
    </row>
    <row r="303" spans="1:3" ht="15.75" customHeight="1" x14ac:dyDescent="0.35">
      <c r="A303" s="126"/>
      <c r="B303" s="28"/>
      <c r="C303" s="132"/>
    </row>
    <row r="304" spans="1:3" ht="15.75" customHeight="1" x14ac:dyDescent="0.35">
      <c r="A304" s="126"/>
      <c r="B304" s="28"/>
      <c r="C304" s="132"/>
    </row>
    <row r="305" spans="1:3" ht="15.75" customHeight="1" x14ac:dyDescent="0.35">
      <c r="A305" s="126"/>
      <c r="B305" s="28"/>
      <c r="C305" s="132"/>
    </row>
    <row r="306" spans="1:3" ht="15.75" customHeight="1" x14ac:dyDescent="0.35">
      <c r="A306" s="126"/>
      <c r="B306" s="28"/>
      <c r="C306" s="132"/>
    </row>
    <row r="307" spans="1:3" ht="15.75" customHeight="1" x14ac:dyDescent="0.35">
      <c r="A307" s="126"/>
      <c r="B307" s="28"/>
      <c r="C307" s="132"/>
    </row>
    <row r="308" spans="1:3" ht="15.75" customHeight="1" x14ac:dyDescent="0.35">
      <c r="A308" s="126"/>
      <c r="B308" s="28"/>
      <c r="C308" s="132"/>
    </row>
    <row r="309" spans="1:3" ht="15.75" customHeight="1" x14ac:dyDescent="0.35">
      <c r="A309" s="126"/>
      <c r="B309" s="28"/>
      <c r="C309" s="132"/>
    </row>
    <row r="310" spans="1:3" ht="15.75" customHeight="1" x14ac:dyDescent="0.35">
      <c r="A310" s="126"/>
      <c r="B310" s="28"/>
      <c r="C310" s="132"/>
    </row>
    <row r="311" spans="1:3" ht="15.75" customHeight="1" x14ac:dyDescent="0.35">
      <c r="A311" s="126"/>
      <c r="B311" s="28"/>
      <c r="C311" s="132"/>
    </row>
    <row r="312" spans="1:3" ht="15.75" customHeight="1" x14ac:dyDescent="0.35">
      <c r="A312" s="126"/>
      <c r="B312" s="28"/>
      <c r="C312" s="132"/>
    </row>
    <row r="313" spans="1:3" ht="15.75" customHeight="1" x14ac:dyDescent="0.35">
      <c r="A313" s="126"/>
      <c r="B313" s="28"/>
      <c r="C313" s="132"/>
    </row>
    <row r="314" spans="1:3" ht="15.75" customHeight="1" x14ac:dyDescent="0.35">
      <c r="A314" s="126"/>
      <c r="B314" s="28"/>
      <c r="C314" s="132"/>
    </row>
    <row r="315" spans="1:3" ht="15.75" customHeight="1" x14ac:dyDescent="0.35">
      <c r="A315" s="126"/>
      <c r="B315" s="28"/>
      <c r="C315" s="132"/>
    </row>
    <row r="316" spans="1:3" ht="15.75" customHeight="1" x14ac:dyDescent="0.35">
      <c r="A316" s="126"/>
      <c r="B316" s="28"/>
      <c r="C316" s="132"/>
    </row>
    <row r="317" spans="1:3" ht="15.75" customHeight="1" x14ac:dyDescent="0.35">
      <c r="A317" s="126"/>
      <c r="B317" s="28"/>
      <c r="C317" s="132"/>
    </row>
    <row r="318" spans="1:3" ht="15.75" customHeight="1" x14ac:dyDescent="0.35">
      <c r="A318" s="126"/>
      <c r="B318" s="28"/>
      <c r="C318" s="132"/>
    </row>
    <row r="319" spans="1:3" ht="15.75" customHeight="1" x14ac:dyDescent="0.35">
      <c r="A319" s="126"/>
      <c r="B319" s="28"/>
      <c r="C319" s="132"/>
    </row>
    <row r="320" spans="1:3" ht="15.75" customHeight="1" x14ac:dyDescent="0.35">
      <c r="A320" s="126"/>
      <c r="B320" s="28"/>
      <c r="C320" s="132"/>
    </row>
    <row r="321" spans="1:3" ht="15.75" customHeight="1" x14ac:dyDescent="0.35">
      <c r="A321" s="126"/>
      <c r="B321" s="28"/>
      <c r="C321" s="132"/>
    </row>
    <row r="322" spans="1:3" ht="15.75" customHeight="1" x14ac:dyDescent="0.35">
      <c r="A322" s="126"/>
      <c r="B322" s="28"/>
      <c r="C322" s="132"/>
    </row>
    <row r="323" spans="1:3" ht="15.75" customHeight="1" x14ac:dyDescent="0.35">
      <c r="A323" s="126"/>
      <c r="B323" s="28"/>
      <c r="C323" s="132"/>
    </row>
    <row r="324" spans="1:3" ht="15.75" customHeight="1" x14ac:dyDescent="0.35">
      <c r="A324" s="126"/>
      <c r="B324" s="28"/>
      <c r="C324" s="132"/>
    </row>
    <row r="325" spans="1:3" ht="15.75" customHeight="1" x14ac:dyDescent="0.35">
      <c r="A325" s="126"/>
      <c r="B325" s="28"/>
      <c r="C325" s="132"/>
    </row>
    <row r="326" spans="1:3" ht="15.75" customHeight="1" x14ac:dyDescent="0.35">
      <c r="A326" s="126"/>
      <c r="B326" s="28"/>
      <c r="C326" s="132"/>
    </row>
    <row r="327" spans="1:3" ht="15.75" customHeight="1" x14ac:dyDescent="0.35">
      <c r="A327" s="126"/>
      <c r="B327" s="28"/>
      <c r="C327" s="132"/>
    </row>
    <row r="328" spans="1:3" ht="15.75" customHeight="1" x14ac:dyDescent="0.35">
      <c r="A328" s="126"/>
      <c r="B328" s="28"/>
      <c r="C328" s="132"/>
    </row>
    <row r="329" spans="1:3" ht="15.75" customHeight="1" x14ac:dyDescent="0.35">
      <c r="A329" s="126"/>
      <c r="B329" s="28"/>
      <c r="C329" s="132"/>
    </row>
    <row r="330" spans="1:3" ht="15.75" customHeight="1" x14ac:dyDescent="0.35">
      <c r="A330" s="126"/>
      <c r="B330" s="28"/>
      <c r="C330" s="132"/>
    </row>
    <row r="331" spans="1:3" ht="15.75" customHeight="1" x14ac:dyDescent="0.35">
      <c r="A331" s="126"/>
      <c r="B331" s="28"/>
      <c r="C331" s="132"/>
    </row>
    <row r="332" spans="1:3" ht="15.75" customHeight="1" x14ac:dyDescent="0.35">
      <c r="A332" s="126"/>
      <c r="B332" s="28"/>
      <c r="C332" s="132"/>
    </row>
    <row r="333" spans="1:3" ht="15.75" customHeight="1" x14ac:dyDescent="0.35">
      <c r="A333" s="126"/>
      <c r="B333" s="28"/>
      <c r="C333" s="132"/>
    </row>
    <row r="334" spans="1:3" ht="15.75" customHeight="1" x14ac:dyDescent="0.35">
      <c r="A334" s="126"/>
      <c r="B334" s="28"/>
      <c r="C334" s="132"/>
    </row>
    <row r="335" spans="1:3" ht="15.75" customHeight="1" x14ac:dyDescent="0.35">
      <c r="A335" s="126"/>
      <c r="B335" s="28"/>
      <c r="C335" s="132"/>
    </row>
    <row r="336" spans="1:3" ht="15.75" customHeight="1" x14ac:dyDescent="0.35">
      <c r="A336" s="126"/>
      <c r="B336" s="28"/>
      <c r="C336" s="132"/>
    </row>
    <row r="337" spans="1:3" ht="15.75" customHeight="1" x14ac:dyDescent="0.35">
      <c r="A337" s="126"/>
      <c r="B337" s="28"/>
      <c r="C337" s="132"/>
    </row>
    <row r="338" spans="1:3" ht="15.75" customHeight="1" x14ac:dyDescent="0.35">
      <c r="A338" s="126"/>
      <c r="B338" s="28"/>
      <c r="C338" s="132"/>
    </row>
    <row r="339" spans="1:3" ht="15.75" customHeight="1" x14ac:dyDescent="0.35">
      <c r="A339" s="126"/>
      <c r="B339" s="28"/>
      <c r="C339" s="132"/>
    </row>
    <row r="340" spans="1:3" ht="15.75" customHeight="1" x14ac:dyDescent="0.35">
      <c r="A340" s="126"/>
      <c r="B340" s="28"/>
      <c r="C340" s="132"/>
    </row>
    <row r="341" spans="1:3" ht="15.75" customHeight="1" x14ac:dyDescent="0.35">
      <c r="A341" s="126"/>
      <c r="B341" s="28"/>
      <c r="C341" s="132"/>
    </row>
    <row r="342" spans="1:3" ht="15.75" customHeight="1" x14ac:dyDescent="0.35">
      <c r="A342" s="126"/>
      <c r="B342" s="28"/>
      <c r="C342" s="132"/>
    </row>
    <row r="343" spans="1:3" ht="15.75" customHeight="1" x14ac:dyDescent="0.35">
      <c r="A343" s="126"/>
      <c r="B343" s="28"/>
      <c r="C343" s="132"/>
    </row>
    <row r="344" spans="1:3" ht="15.75" customHeight="1" x14ac:dyDescent="0.35">
      <c r="A344" s="126"/>
      <c r="B344" s="28"/>
      <c r="C344" s="132"/>
    </row>
    <row r="345" spans="1:3" ht="15.75" customHeight="1" x14ac:dyDescent="0.35">
      <c r="A345" s="126"/>
      <c r="B345" s="28"/>
      <c r="C345" s="132"/>
    </row>
    <row r="346" spans="1:3" ht="15.75" customHeight="1" x14ac:dyDescent="0.35">
      <c r="A346" s="126"/>
      <c r="B346" s="28"/>
      <c r="C346" s="132"/>
    </row>
    <row r="347" spans="1:3" ht="15.75" customHeight="1" x14ac:dyDescent="0.35">
      <c r="A347" s="126"/>
      <c r="B347" s="28"/>
      <c r="C347" s="132"/>
    </row>
    <row r="348" spans="1:3" ht="15.75" customHeight="1" x14ac:dyDescent="0.35">
      <c r="A348" s="126"/>
      <c r="B348" s="28"/>
      <c r="C348" s="132"/>
    </row>
    <row r="349" spans="1:3" ht="15.75" customHeight="1" x14ac:dyDescent="0.35">
      <c r="A349" s="126"/>
      <c r="B349" s="28"/>
      <c r="C349" s="132"/>
    </row>
    <row r="350" spans="1:3" ht="15.75" customHeight="1" x14ac:dyDescent="0.35">
      <c r="A350" s="126"/>
      <c r="B350" s="28"/>
      <c r="C350" s="132"/>
    </row>
    <row r="351" spans="1:3" ht="15.75" customHeight="1" x14ac:dyDescent="0.35">
      <c r="A351" s="126"/>
      <c r="B351" s="28"/>
      <c r="C351" s="132"/>
    </row>
    <row r="352" spans="1:3" ht="15.75" customHeight="1" x14ac:dyDescent="0.35">
      <c r="A352" s="126"/>
      <c r="B352" s="28"/>
      <c r="C352" s="132"/>
    </row>
    <row r="353" spans="1:3" ht="15.75" customHeight="1" x14ac:dyDescent="0.35">
      <c r="A353" s="126"/>
      <c r="B353" s="28"/>
      <c r="C353" s="132"/>
    </row>
    <row r="354" spans="1:3" ht="15.75" customHeight="1" x14ac:dyDescent="0.35">
      <c r="A354" s="126"/>
      <c r="B354" s="28"/>
      <c r="C354" s="132"/>
    </row>
    <row r="355" spans="1:3" ht="15.75" customHeight="1" x14ac:dyDescent="0.35">
      <c r="A355" s="126"/>
      <c r="B355" s="28"/>
      <c r="C355" s="132"/>
    </row>
    <row r="356" spans="1:3" ht="15.75" customHeight="1" x14ac:dyDescent="0.35">
      <c r="A356" s="126"/>
      <c r="B356" s="28"/>
      <c r="C356" s="132"/>
    </row>
    <row r="357" spans="1:3" ht="15.75" customHeight="1" x14ac:dyDescent="0.35">
      <c r="A357" s="126"/>
      <c r="B357" s="28"/>
      <c r="C357" s="132"/>
    </row>
    <row r="358" spans="1:3" ht="15.75" customHeight="1" x14ac:dyDescent="0.35">
      <c r="A358" s="126"/>
      <c r="B358" s="28"/>
      <c r="C358" s="132"/>
    </row>
    <row r="359" spans="1:3" ht="15.75" customHeight="1" x14ac:dyDescent="0.35">
      <c r="A359" s="126"/>
      <c r="B359" s="28"/>
      <c r="C359" s="132"/>
    </row>
    <row r="360" spans="1:3" ht="15.75" customHeight="1" x14ac:dyDescent="0.35">
      <c r="A360" s="126"/>
      <c r="B360" s="28"/>
      <c r="C360" s="132"/>
    </row>
    <row r="361" spans="1:3" ht="15.75" customHeight="1" x14ac:dyDescent="0.35">
      <c r="A361" s="126"/>
      <c r="B361" s="28"/>
      <c r="C361" s="132"/>
    </row>
    <row r="362" spans="1:3" ht="15.75" customHeight="1" x14ac:dyDescent="0.35">
      <c r="A362" s="126"/>
      <c r="B362" s="28"/>
      <c r="C362" s="132"/>
    </row>
    <row r="363" spans="1:3" ht="15.75" customHeight="1" x14ac:dyDescent="0.35">
      <c r="A363" s="126"/>
      <c r="B363" s="28"/>
      <c r="C363" s="132"/>
    </row>
    <row r="364" spans="1:3" ht="15.75" customHeight="1" x14ac:dyDescent="0.35">
      <c r="A364" s="126"/>
      <c r="B364" s="28"/>
      <c r="C364" s="132"/>
    </row>
    <row r="365" spans="1:3" ht="15.75" customHeight="1" x14ac:dyDescent="0.35">
      <c r="A365" s="126"/>
      <c r="B365" s="28"/>
      <c r="C365" s="132"/>
    </row>
    <row r="366" spans="1:3" ht="15.75" customHeight="1" x14ac:dyDescent="0.35">
      <c r="A366" s="126"/>
      <c r="B366" s="28"/>
      <c r="C366" s="132"/>
    </row>
    <row r="367" spans="1:3" ht="15.75" customHeight="1" x14ac:dyDescent="0.35">
      <c r="A367" s="126"/>
      <c r="B367" s="28"/>
      <c r="C367" s="132"/>
    </row>
    <row r="368" spans="1:3" ht="15.75" customHeight="1" x14ac:dyDescent="0.35">
      <c r="A368" s="126"/>
      <c r="B368" s="28"/>
      <c r="C368" s="132"/>
    </row>
    <row r="369" spans="1:3" ht="15.75" customHeight="1" x14ac:dyDescent="0.35">
      <c r="A369" s="126"/>
      <c r="B369" s="28"/>
      <c r="C369" s="132"/>
    </row>
    <row r="370" spans="1:3" ht="15.75" customHeight="1" x14ac:dyDescent="0.35">
      <c r="A370" s="126"/>
      <c r="B370" s="28"/>
      <c r="C370" s="132"/>
    </row>
    <row r="371" spans="1:3" ht="15.75" customHeight="1" x14ac:dyDescent="0.35">
      <c r="A371" s="126"/>
      <c r="B371" s="28"/>
      <c r="C371" s="132"/>
    </row>
    <row r="372" spans="1:3" ht="15.75" customHeight="1" x14ac:dyDescent="0.35">
      <c r="A372" s="126"/>
      <c r="B372" s="28"/>
      <c r="C372" s="132"/>
    </row>
    <row r="373" spans="1:3" ht="15.75" customHeight="1" x14ac:dyDescent="0.35">
      <c r="A373" s="126"/>
      <c r="B373" s="28"/>
      <c r="C373" s="132"/>
    </row>
    <row r="374" spans="1:3" ht="15.75" customHeight="1" x14ac:dyDescent="0.35">
      <c r="A374" s="126"/>
      <c r="B374" s="28"/>
      <c r="C374" s="132"/>
    </row>
    <row r="375" spans="1:3" ht="15.75" customHeight="1" x14ac:dyDescent="0.35">
      <c r="A375" s="126"/>
      <c r="B375" s="28"/>
      <c r="C375" s="132"/>
    </row>
    <row r="376" spans="1:3" ht="15.75" customHeight="1" x14ac:dyDescent="0.35">
      <c r="A376" s="126"/>
      <c r="B376" s="28"/>
      <c r="C376" s="132"/>
    </row>
    <row r="377" spans="1:3" ht="15.75" customHeight="1" x14ac:dyDescent="0.35">
      <c r="A377" s="126"/>
      <c r="B377" s="28"/>
      <c r="C377" s="132"/>
    </row>
    <row r="378" spans="1:3" ht="15.75" customHeight="1" x14ac:dyDescent="0.35">
      <c r="A378" s="126"/>
      <c r="B378" s="28"/>
      <c r="C378" s="132"/>
    </row>
    <row r="379" spans="1:3" ht="15.75" customHeight="1" x14ac:dyDescent="0.35">
      <c r="A379" s="126"/>
      <c r="B379" s="28"/>
      <c r="C379" s="132"/>
    </row>
    <row r="380" spans="1:3" ht="15.75" customHeight="1" x14ac:dyDescent="0.35">
      <c r="A380" s="126"/>
      <c r="B380" s="28"/>
      <c r="C380" s="132"/>
    </row>
    <row r="381" spans="1:3" ht="15.75" customHeight="1" x14ac:dyDescent="0.35">
      <c r="A381" s="126"/>
      <c r="B381" s="28"/>
      <c r="C381" s="132"/>
    </row>
    <row r="382" spans="1:3" ht="15.75" customHeight="1" x14ac:dyDescent="0.35">
      <c r="A382" s="126"/>
      <c r="B382" s="28"/>
      <c r="C382" s="132"/>
    </row>
    <row r="383" spans="1:3" ht="15.75" customHeight="1" x14ac:dyDescent="0.35">
      <c r="A383" s="126"/>
      <c r="B383" s="28"/>
      <c r="C383" s="132"/>
    </row>
    <row r="384" spans="1:3" ht="15.75" customHeight="1" x14ac:dyDescent="0.35">
      <c r="A384" s="126"/>
      <c r="B384" s="28"/>
      <c r="C384" s="132"/>
    </row>
    <row r="385" spans="1:3" ht="15.75" customHeight="1" x14ac:dyDescent="0.35">
      <c r="A385" s="126"/>
      <c r="B385" s="28"/>
      <c r="C385" s="132"/>
    </row>
    <row r="386" spans="1:3" ht="15.75" customHeight="1" x14ac:dyDescent="0.35">
      <c r="A386" s="126"/>
      <c r="B386" s="28"/>
      <c r="C386" s="132"/>
    </row>
    <row r="387" spans="1:3" ht="15.75" customHeight="1" x14ac:dyDescent="0.35">
      <c r="A387" s="126"/>
      <c r="B387" s="28"/>
      <c r="C387" s="132"/>
    </row>
    <row r="388" spans="1:3" ht="15.75" customHeight="1" x14ac:dyDescent="0.35">
      <c r="A388" s="126"/>
      <c r="B388" s="28"/>
      <c r="C388" s="132"/>
    </row>
    <row r="389" spans="1:3" ht="15.75" customHeight="1" x14ac:dyDescent="0.35">
      <c r="A389" s="126"/>
      <c r="B389" s="28"/>
      <c r="C389" s="132"/>
    </row>
    <row r="390" spans="1:3" ht="15.75" customHeight="1" x14ac:dyDescent="0.35">
      <c r="A390" s="126"/>
      <c r="B390" s="28"/>
      <c r="C390" s="132"/>
    </row>
    <row r="391" spans="1:3" ht="15.75" customHeight="1" x14ac:dyDescent="0.35">
      <c r="A391" s="126"/>
      <c r="B391" s="28"/>
      <c r="C391" s="132"/>
    </row>
    <row r="392" spans="1:3" ht="15.75" customHeight="1" x14ac:dyDescent="0.35">
      <c r="A392" s="126"/>
      <c r="B392" s="28"/>
      <c r="C392" s="132"/>
    </row>
    <row r="393" spans="1:3" ht="15.75" customHeight="1" x14ac:dyDescent="0.35">
      <c r="A393" s="126"/>
      <c r="B393" s="28"/>
      <c r="C393" s="132"/>
    </row>
    <row r="394" spans="1:3" ht="15.75" customHeight="1" x14ac:dyDescent="0.35">
      <c r="A394" s="126"/>
      <c r="B394" s="28"/>
      <c r="C394" s="132"/>
    </row>
    <row r="395" spans="1:3" ht="15.75" customHeight="1" x14ac:dyDescent="0.35">
      <c r="A395" s="126"/>
      <c r="B395" s="28"/>
      <c r="C395" s="132"/>
    </row>
    <row r="396" spans="1:3" ht="15.75" customHeight="1" x14ac:dyDescent="0.35">
      <c r="A396" s="126"/>
      <c r="B396" s="28"/>
      <c r="C396" s="132"/>
    </row>
    <row r="397" spans="1:3" ht="15.75" customHeight="1" x14ac:dyDescent="0.35">
      <c r="A397" s="126"/>
      <c r="B397" s="28"/>
      <c r="C397" s="132"/>
    </row>
    <row r="398" spans="1:3" ht="15.75" customHeight="1" x14ac:dyDescent="0.35">
      <c r="A398" s="126"/>
      <c r="B398" s="28"/>
      <c r="C398" s="132"/>
    </row>
    <row r="399" spans="1:3" ht="15.75" customHeight="1" x14ac:dyDescent="0.35">
      <c r="A399" s="126"/>
      <c r="B399" s="28"/>
      <c r="C399" s="132"/>
    </row>
    <row r="400" spans="1:3" ht="15.75" customHeight="1" x14ac:dyDescent="0.35">
      <c r="A400" s="126"/>
      <c r="B400" s="28"/>
      <c r="C400" s="132"/>
    </row>
    <row r="401" spans="1:3" ht="15.75" customHeight="1" x14ac:dyDescent="0.35">
      <c r="A401" s="126"/>
      <c r="B401" s="28"/>
      <c r="C401" s="132"/>
    </row>
    <row r="402" spans="1:3" ht="15.75" customHeight="1" x14ac:dyDescent="0.35">
      <c r="A402" s="126"/>
      <c r="B402" s="28"/>
      <c r="C402" s="132"/>
    </row>
    <row r="403" spans="1:3" ht="15.75" customHeight="1" x14ac:dyDescent="0.35">
      <c r="A403" s="126"/>
      <c r="B403" s="28"/>
      <c r="C403" s="132"/>
    </row>
    <row r="404" spans="1:3" ht="15.75" customHeight="1" x14ac:dyDescent="0.35">
      <c r="A404" s="126"/>
      <c r="B404" s="28"/>
      <c r="C404" s="132"/>
    </row>
    <row r="405" spans="1:3" ht="15.75" customHeight="1" x14ac:dyDescent="0.35">
      <c r="A405" s="126"/>
      <c r="B405" s="28"/>
      <c r="C405" s="132"/>
    </row>
    <row r="406" spans="1:3" ht="15.75" customHeight="1" x14ac:dyDescent="0.35">
      <c r="A406" s="126"/>
      <c r="B406" s="28"/>
      <c r="C406" s="132"/>
    </row>
    <row r="407" spans="1:3" ht="15.75" customHeight="1" x14ac:dyDescent="0.35">
      <c r="A407" s="126"/>
      <c r="B407" s="28"/>
      <c r="C407" s="132"/>
    </row>
    <row r="408" spans="1:3" ht="15.75" customHeight="1" x14ac:dyDescent="0.35">
      <c r="A408" s="126"/>
      <c r="B408" s="28"/>
      <c r="C408" s="132"/>
    </row>
    <row r="409" spans="1:3" ht="15.75" customHeight="1" x14ac:dyDescent="0.35">
      <c r="A409" s="126"/>
      <c r="B409" s="28"/>
      <c r="C409" s="132"/>
    </row>
    <row r="410" spans="1:3" ht="15.75" customHeight="1" x14ac:dyDescent="0.35">
      <c r="A410" s="126"/>
      <c r="B410" s="28"/>
      <c r="C410" s="132"/>
    </row>
    <row r="411" spans="1:3" ht="15.75" customHeight="1" x14ac:dyDescent="0.35">
      <c r="A411" s="126"/>
      <c r="B411" s="28"/>
      <c r="C411" s="132"/>
    </row>
    <row r="412" spans="1:3" ht="15.75" customHeight="1" x14ac:dyDescent="0.35">
      <c r="A412" s="126"/>
      <c r="B412" s="28"/>
      <c r="C412" s="132"/>
    </row>
    <row r="413" spans="1:3" ht="15.75" customHeight="1" x14ac:dyDescent="0.35">
      <c r="A413" s="126"/>
      <c r="B413" s="28"/>
      <c r="C413" s="132"/>
    </row>
    <row r="414" spans="1:3" ht="15.75" customHeight="1" x14ac:dyDescent="0.35">
      <c r="A414" s="126"/>
      <c r="B414" s="28"/>
      <c r="C414" s="132"/>
    </row>
    <row r="415" spans="1:3" ht="15.75" customHeight="1" x14ac:dyDescent="0.35">
      <c r="A415" s="126"/>
      <c r="B415" s="28"/>
      <c r="C415" s="132"/>
    </row>
    <row r="416" spans="1:3" ht="15.75" customHeight="1" x14ac:dyDescent="0.35">
      <c r="A416" s="126"/>
      <c r="B416" s="28"/>
      <c r="C416" s="132"/>
    </row>
    <row r="417" spans="1:3" ht="15.75" customHeight="1" x14ac:dyDescent="0.35">
      <c r="A417" s="126"/>
      <c r="B417" s="28"/>
      <c r="C417" s="132"/>
    </row>
    <row r="418" spans="1:3" ht="15.75" customHeight="1" x14ac:dyDescent="0.35">
      <c r="A418" s="126"/>
      <c r="B418" s="28"/>
      <c r="C418" s="132"/>
    </row>
    <row r="419" spans="1:3" ht="15.75" customHeight="1" x14ac:dyDescent="0.35">
      <c r="A419" s="126"/>
      <c r="B419" s="28"/>
      <c r="C419" s="132"/>
    </row>
    <row r="420" spans="1:3" ht="15.75" customHeight="1" x14ac:dyDescent="0.35">
      <c r="A420" s="126"/>
      <c r="B420" s="28"/>
      <c r="C420" s="132"/>
    </row>
    <row r="421" spans="1:3" ht="15.75" customHeight="1" x14ac:dyDescent="0.35">
      <c r="A421" s="126"/>
      <c r="B421" s="28"/>
      <c r="C421" s="132"/>
    </row>
    <row r="422" spans="1:3" ht="15.75" customHeight="1" x14ac:dyDescent="0.35">
      <c r="A422" s="126"/>
      <c r="B422" s="28"/>
      <c r="C422" s="132"/>
    </row>
    <row r="423" spans="1:3" ht="15.75" customHeight="1" x14ac:dyDescent="0.35">
      <c r="A423" s="126"/>
      <c r="B423" s="28"/>
      <c r="C423" s="132"/>
    </row>
    <row r="424" spans="1:3" ht="15.75" customHeight="1" x14ac:dyDescent="0.35">
      <c r="A424" s="126"/>
      <c r="B424" s="28"/>
      <c r="C424" s="132"/>
    </row>
    <row r="425" spans="1:3" ht="15.75" customHeight="1" x14ac:dyDescent="0.35">
      <c r="A425" s="126"/>
      <c r="B425" s="28"/>
      <c r="C425" s="132"/>
    </row>
    <row r="426" spans="1:3" ht="15.75" customHeight="1" x14ac:dyDescent="0.35">
      <c r="A426" s="126"/>
      <c r="B426" s="28"/>
      <c r="C426" s="132"/>
    </row>
    <row r="427" spans="1:3" ht="15.75" customHeight="1" x14ac:dyDescent="0.35">
      <c r="A427" s="126"/>
      <c r="B427" s="28"/>
      <c r="C427" s="132"/>
    </row>
    <row r="428" spans="1:3" ht="15.75" customHeight="1" x14ac:dyDescent="0.35">
      <c r="A428" s="126"/>
      <c r="B428" s="28"/>
      <c r="C428" s="132"/>
    </row>
    <row r="429" spans="1:3" ht="15.75" customHeight="1" x14ac:dyDescent="0.35">
      <c r="A429" s="126"/>
      <c r="B429" s="28"/>
      <c r="C429" s="132"/>
    </row>
    <row r="430" spans="1:3" ht="15.75" customHeight="1" x14ac:dyDescent="0.35">
      <c r="A430" s="126"/>
      <c r="B430" s="28"/>
      <c r="C430" s="132"/>
    </row>
    <row r="431" spans="1:3" ht="15.75" customHeight="1" x14ac:dyDescent="0.35">
      <c r="A431" s="126"/>
      <c r="B431" s="28"/>
      <c r="C431" s="132"/>
    </row>
    <row r="432" spans="1:3" ht="15.75" customHeight="1" x14ac:dyDescent="0.35">
      <c r="A432" s="126"/>
      <c r="B432" s="28"/>
      <c r="C432" s="132"/>
    </row>
    <row r="433" spans="1:3" ht="15.75" customHeight="1" x14ac:dyDescent="0.35">
      <c r="A433" s="126"/>
      <c r="B433" s="28"/>
      <c r="C433" s="132"/>
    </row>
    <row r="434" spans="1:3" ht="15.75" customHeight="1" x14ac:dyDescent="0.35">
      <c r="A434" s="126"/>
      <c r="B434" s="28"/>
      <c r="C434" s="132"/>
    </row>
    <row r="435" spans="1:3" ht="15.75" customHeight="1" x14ac:dyDescent="0.35">
      <c r="A435" s="126"/>
      <c r="B435" s="28"/>
      <c r="C435" s="132"/>
    </row>
    <row r="436" spans="1:3" ht="15.75" customHeight="1" x14ac:dyDescent="0.35">
      <c r="A436" s="126"/>
      <c r="B436" s="28"/>
      <c r="C436" s="132"/>
    </row>
    <row r="437" spans="1:3" ht="15.75" customHeight="1" x14ac:dyDescent="0.35">
      <c r="A437" s="126"/>
      <c r="B437" s="28"/>
      <c r="C437" s="132"/>
    </row>
    <row r="438" spans="1:3" ht="15.75" customHeight="1" x14ac:dyDescent="0.35">
      <c r="A438" s="126"/>
      <c r="B438" s="28"/>
      <c r="C438" s="132"/>
    </row>
    <row r="439" spans="1:3" ht="15.75" customHeight="1" x14ac:dyDescent="0.35">
      <c r="A439" s="126"/>
      <c r="B439" s="28"/>
      <c r="C439" s="132"/>
    </row>
    <row r="440" spans="1:3" ht="15.75" customHeight="1" x14ac:dyDescent="0.35">
      <c r="A440" s="126"/>
      <c r="B440" s="28"/>
      <c r="C440" s="132"/>
    </row>
    <row r="441" spans="1:3" ht="15.75" customHeight="1" x14ac:dyDescent="0.35">
      <c r="A441" s="126"/>
      <c r="B441" s="28"/>
      <c r="C441" s="132"/>
    </row>
    <row r="442" spans="1:3" ht="15.75" customHeight="1" x14ac:dyDescent="0.35">
      <c r="A442" s="126"/>
      <c r="B442" s="28"/>
      <c r="C442" s="132"/>
    </row>
    <row r="443" spans="1:3" ht="15.75" customHeight="1" x14ac:dyDescent="0.35">
      <c r="A443" s="126"/>
      <c r="B443" s="28"/>
      <c r="C443" s="132"/>
    </row>
    <row r="444" spans="1:3" ht="15.75" customHeight="1" x14ac:dyDescent="0.35">
      <c r="A444" s="126"/>
      <c r="B444" s="28"/>
      <c r="C444" s="132"/>
    </row>
    <row r="445" spans="1:3" ht="15.75" customHeight="1" x14ac:dyDescent="0.35">
      <c r="A445" s="126"/>
      <c r="B445" s="28"/>
      <c r="C445" s="132"/>
    </row>
    <row r="446" spans="1:3" ht="15.75" customHeight="1" x14ac:dyDescent="0.35">
      <c r="A446" s="126"/>
      <c r="B446" s="28"/>
      <c r="C446" s="132"/>
    </row>
    <row r="447" spans="1:3" ht="15.75" customHeight="1" x14ac:dyDescent="0.35">
      <c r="A447" s="126"/>
      <c r="B447" s="28"/>
      <c r="C447" s="132"/>
    </row>
    <row r="448" spans="1:3" ht="15.75" customHeight="1" x14ac:dyDescent="0.35">
      <c r="A448" s="126"/>
      <c r="B448" s="28"/>
      <c r="C448" s="132"/>
    </row>
    <row r="449" spans="1:3" ht="15.75" customHeight="1" x14ac:dyDescent="0.35">
      <c r="A449" s="126"/>
      <c r="B449" s="28"/>
      <c r="C449" s="132"/>
    </row>
    <row r="450" spans="1:3" ht="15.75" customHeight="1" x14ac:dyDescent="0.35">
      <c r="A450" s="126"/>
      <c r="B450" s="28"/>
      <c r="C450" s="132"/>
    </row>
    <row r="451" spans="1:3" ht="15.75" customHeight="1" x14ac:dyDescent="0.35">
      <c r="A451" s="126"/>
      <c r="B451" s="28"/>
      <c r="C451" s="132"/>
    </row>
    <row r="452" spans="1:3" ht="15.75" customHeight="1" x14ac:dyDescent="0.35">
      <c r="A452" s="126"/>
      <c r="B452" s="28"/>
      <c r="C452" s="132"/>
    </row>
    <row r="453" spans="1:3" ht="15.75" customHeight="1" x14ac:dyDescent="0.35">
      <c r="A453" s="126"/>
      <c r="B453" s="28"/>
      <c r="C453" s="132"/>
    </row>
    <row r="454" spans="1:3" ht="15.75" customHeight="1" x14ac:dyDescent="0.35">
      <c r="A454" s="126"/>
      <c r="B454" s="28"/>
      <c r="C454" s="132"/>
    </row>
    <row r="455" spans="1:3" ht="15.75" customHeight="1" x14ac:dyDescent="0.35">
      <c r="A455" s="126"/>
      <c r="B455" s="28"/>
      <c r="C455" s="132"/>
    </row>
    <row r="456" spans="1:3" ht="15.75" customHeight="1" x14ac:dyDescent="0.35">
      <c r="A456" s="126"/>
      <c r="B456" s="28"/>
      <c r="C456" s="132"/>
    </row>
    <row r="457" spans="1:3" ht="15.75" customHeight="1" x14ac:dyDescent="0.35">
      <c r="A457" s="126"/>
      <c r="B457" s="28"/>
      <c r="C457" s="132"/>
    </row>
    <row r="458" spans="1:3" ht="15.75" customHeight="1" x14ac:dyDescent="0.35">
      <c r="A458" s="126"/>
      <c r="B458" s="28"/>
      <c r="C458" s="132"/>
    </row>
    <row r="459" spans="1:3" ht="15.75" customHeight="1" x14ac:dyDescent="0.35">
      <c r="A459" s="126"/>
      <c r="B459" s="28"/>
      <c r="C459" s="132"/>
    </row>
    <row r="460" spans="1:3" ht="15.75" customHeight="1" x14ac:dyDescent="0.35">
      <c r="A460" s="126"/>
      <c r="B460" s="28"/>
      <c r="C460" s="132"/>
    </row>
    <row r="461" spans="1:3" ht="15.75" customHeight="1" x14ac:dyDescent="0.35">
      <c r="A461" s="126"/>
      <c r="B461" s="28"/>
      <c r="C461" s="132"/>
    </row>
    <row r="462" spans="1:3" ht="15.75" customHeight="1" x14ac:dyDescent="0.35">
      <c r="A462" s="126"/>
      <c r="B462" s="28"/>
      <c r="C462" s="132"/>
    </row>
    <row r="463" spans="1:3" ht="15.75" customHeight="1" x14ac:dyDescent="0.35">
      <c r="A463" s="126"/>
      <c r="B463" s="28"/>
      <c r="C463" s="132"/>
    </row>
    <row r="464" spans="1:3" ht="15.75" customHeight="1" x14ac:dyDescent="0.35">
      <c r="A464" s="126"/>
      <c r="B464" s="28"/>
      <c r="C464" s="132"/>
    </row>
    <row r="465" spans="1:3" ht="15.75" customHeight="1" x14ac:dyDescent="0.35">
      <c r="A465" s="126"/>
      <c r="B465" s="28"/>
      <c r="C465" s="132"/>
    </row>
    <row r="466" spans="1:3" ht="15.75" customHeight="1" x14ac:dyDescent="0.35">
      <c r="A466" s="126"/>
      <c r="B466" s="28"/>
      <c r="C466" s="132"/>
    </row>
    <row r="467" spans="1:3" ht="15.75" customHeight="1" x14ac:dyDescent="0.35">
      <c r="A467" s="126"/>
      <c r="B467" s="28"/>
      <c r="C467" s="132"/>
    </row>
    <row r="468" spans="1:3" ht="15.75" customHeight="1" x14ac:dyDescent="0.35">
      <c r="A468" s="126"/>
      <c r="B468" s="28"/>
      <c r="C468" s="132"/>
    </row>
    <row r="469" spans="1:3" ht="15.75" customHeight="1" x14ac:dyDescent="0.35">
      <c r="A469" s="126"/>
      <c r="B469" s="28"/>
      <c r="C469" s="132"/>
    </row>
    <row r="470" spans="1:3" ht="15.75" customHeight="1" x14ac:dyDescent="0.35">
      <c r="A470" s="126"/>
      <c r="B470" s="28"/>
      <c r="C470" s="132"/>
    </row>
    <row r="471" spans="1:3" ht="15.75" customHeight="1" x14ac:dyDescent="0.35">
      <c r="A471" s="126"/>
      <c r="B471" s="28"/>
      <c r="C471" s="132"/>
    </row>
    <row r="472" spans="1:3" ht="15.75" customHeight="1" x14ac:dyDescent="0.35">
      <c r="A472" s="126"/>
      <c r="B472" s="28"/>
      <c r="C472" s="132"/>
    </row>
    <row r="473" spans="1:3" ht="15.75" customHeight="1" x14ac:dyDescent="0.35">
      <c r="A473" s="126"/>
      <c r="B473" s="28"/>
      <c r="C473" s="132"/>
    </row>
    <row r="474" spans="1:3" ht="15.75" customHeight="1" x14ac:dyDescent="0.35">
      <c r="A474" s="126"/>
      <c r="B474" s="28"/>
      <c r="C474" s="132"/>
    </row>
    <row r="475" spans="1:3" ht="15.75" customHeight="1" x14ac:dyDescent="0.35">
      <c r="A475" s="126"/>
      <c r="B475" s="28"/>
      <c r="C475" s="132"/>
    </row>
    <row r="476" spans="1:3" ht="15.75" customHeight="1" x14ac:dyDescent="0.35">
      <c r="A476" s="126"/>
      <c r="B476" s="28"/>
      <c r="C476" s="132"/>
    </row>
    <row r="477" spans="1:3" ht="15.75" customHeight="1" x14ac:dyDescent="0.35">
      <c r="A477" s="126"/>
      <c r="B477" s="28"/>
      <c r="C477" s="132"/>
    </row>
    <row r="478" spans="1:3" ht="15.75" customHeight="1" x14ac:dyDescent="0.35">
      <c r="A478" s="126"/>
      <c r="B478" s="28"/>
      <c r="C478" s="132"/>
    </row>
    <row r="479" spans="1:3" ht="15.75" customHeight="1" x14ac:dyDescent="0.35">
      <c r="A479" s="126"/>
      <c r="B479" s="28"/>
      <c r="C479" s="132"/>
    </row>
    <row r="480" spans="1:3" ht="15.75" customHeight="1" x14ac:dyDescent="0.35">
      <c r="A480" s="126"/>
      <c r="B480" s="28"/>
      <c r="C480" s="132"/>
    </row>
    <row r="481" spans="1:3" ht="15.75" customHeight="1" x14ac:dyDescent="0.35">
      <c r="A481" s="126"/>
      <c r="B481" s="28"/>
      <c r="C481" s="132"/>
    </row>
    <row r="482" spans="1:3" ht="15.75" customHeight="1" x14ac:dyDescent="0.35">
      <c r="A482" s="126"/>
      <c r="B482" s="28"/>
      <c r="C482" s="132"/>
    </row>
    <row r="483" spans="1:3" ht="15.75" customHeight="1" x14ac:dyDescent="0.35">
      <c r="A483" s="126"/>
      <c r="B483" s="28"/>
      <c r="C483" s="132"/>
    </row>
    <row r="484" spans="1:3" ht="15.75" customHeight="1" x14ac:dyDescent="0.35">
      <c r="A484" s="126"/>
      <c r="B484" s="28"/>
      <c r="C484" s="132"/>
    </row>
    <row r="485" spans="1:3" ht="15.75" customHeight="1" x14ac:dyDescent="0.35">
      <c r="A485" s="126"/>
      <c r="B485" s="28"/>
      <c r="C485" s="132"/>
    </row>
    <row r="486" spans="1:3" ht="15.75" customHeight="1" x14ac:dyDescent="0.35">
      <c r="A486" s="126"/>
      <c r="B486" s="28"/>
      <c r="C486" s="132"/>
    </row>
    <row r="487" spans="1:3" ht="15.75" customHeight="1" x14ac:dyDescent="0.35">
      <c r="A487" s="126"/>
      <c r="B487" s="28"/>
      <c r="C487" s="132"/>
    </row>
    <row r="488" spans="1:3" ht="15.75" customHeight="1" x14ac:dyDescent="0.35">
      <c r="A488" s="126"/>
      <c r="B488" s="28"/>
      <c r="C488" s="132"/>
    </row>
    <row r="489" spans="1:3" ht="15.75" customHeight="1" x14ac:dyDescent="0.35">
      <c r="A489" s="126"/>
      <c r="B489" s="28"/>
      <c r="C489" s="132"/>
    </row>
    <row r="490" spans="1:3" ht="15.75" customHeight="1" x14ac:dyDescent="0.35">
      <c r="A490" s="126"/>
      <c r="B490" s="28"/>
      <c r="C490" s="132"/>
    </row>
    <row r="491" spans="1:3" ht="15.75" customHeight="1" x14ac:dyDescent="0.35">
      <c r="A491" s="126"/>
      <c r="B491" s="28"/>
      <c r="C491" s="132"/>
    </row>
    <row r="492" spans="1:3" ht="15.75" customHeight="1" x14ac:dyDescent="0.35">
      <c r="A492" s="126"/>
      <c r="B492" s="28"/>
      <c r="C492" s="132"/>
    </row>
    <row r="493" spans="1:3" ht="15.75" customHeight="1" x14ac:dyDescent="0.35">
      <c r="A493" s="126"/>
      <c r="B493" s="28"/>
      <c r="C493" s="132"/>
    </row>
    <row r="494" spans="1:3" ht="15.75" customHeight="1" x14ac:dyDescent="0.35">
      <c r="A494" s="126"/>
      <c r="B494" s="28"/>
      <c r="C494" s="132"/>
    </row>
    <row r="495" spans="1:3" ht="15.75" customHeight="1" x14ac:dyDescent="0.35">
      <c r="A495" s="126"/>
      <c r="B495" s="28"/>
      <c r="C495" s="132"/>
    </row>
    <row r="496" spans="1:3" ht="15.75" customHeight="1" x14ac:dyDescent="0.35">
      <c r="A496" s="126"/>
      <c r="B496" s="28"/>
      <c r="C496" s="132"/>
    </row>
    <row r="497" spans="1:3" ht="15.75" customHeight="1" x14ac:dyDescent="0.35">
      <c r="A497" s="126"/>
      <c r="B497" s="28"/>
      <c r="C497" s="132"/>
    </row>
    <row r="498" spans="1:3" ht="15.75" customHeight="1" x14ac:dyDescent="0.35">
      <c r="A498" s="126"/>
      <c r="B498" s="28"/>
      <c r="C498" s="132"/>
    </row>
    <row r="499" spans="1:3" ht="15.75" customHeight="1" x14ac:dyDescent="0.35">
      <c r="A499" s="126"/>
      <c r="B499" s="28"/>
      <c r="C499" s="132"/>
    </row>
    <row r="500" spans="1:3" ht="15.75" customHeight="1" x14ac:dyDescent="0.35">
      <c r="A500" s="126"/>
      <c r="B500" s="28"/>
      <c r="C500" s="132"/>
    </row>
    <row r="501" spans="1:3" ht="15.75" customHeight="1" x14ac:dyDescent="0.35">
      <c r="A501" s="126"/>
      <c r="B501" s="28"/>
      <c r="C501" s="132"/>
    </row>
    <row r="502" spans="1:3" ht="15.75" customHeight="1" x14ac:dyDescent="0.35">
      <c r="A502" s="126"/>
      <c r="B502" s="28"/>
      <c r="C502" s="132"/>
    </row>
    <row r="503" spans="1:3" ht="15.75" customHeight="1" x14ac:dyDescent="0.35">
      <c r="A503" s="126"/>
      <c r="B503" s="28"/>
      <c r="C503" s="132"/>
    </row>
    <row r="504" spans="1:3" ht="15.75" customHeight="1" x14ac:dyDescent="0.35">
      <c r="A504" s="126"/>
      <c r="B504" s="28"/>
      <c r="C504" s="132"/>
    </row>
    <row r="505" spans="1:3" ht="15.75" customHeight="1" x14ac:dyDescent="0.35">
      <c r="A505" s="126"/>
      <c r="B505" s="28"/>
      <c r="C505" s="132"/>
    </row>
    <row r="506" spans="1:3" ht="15.75" customHeight="1" x14ac:dyDescent="0.35">
      <c r="A506" s="126"/>
      <c r="B506" s="28"/>
      <c r="C506" s="132"/>
    </row>
    <row r="507" spans="1:3" ht="15.75" customHeight="1" x14ac:dyDescent="0.35">
      <c r="A507" s="126"/>
      <c r="B507" s="28"/>
      <c r="C507" s="132"/>
    </row>
    <row r="508" spans="1:3" ht="15.75" customHeight="1" x14ac:dyDescent="0.35">
      <c r="A508" s="126"/>
      <c r="B508" s="28"/>
      <c r="C508" s="132"/>
    </row>
    <row r="509" spans="1:3" ht="15.75" customHeight="1" x14ac:dyDescent="0.35">
      <c r="A509" s="126"/>
      <c r="B509" s="28"/>
      <c r="C509" s="132"/>
    </row>
    <row r="510" spans="1:3" ht="15.75" customHeight="1" x14ac:dyDescent="0.35">
      <c r="A510" s="126"/>
      <c r="B510" s="28"/>
      <c r="C510" s="132"/>
    </row>
    <row r="511" spans="1:3" ht="15.75" customHeight="1" x14ac:dyDescent="0.35">
      <c r="A511" s="126"/>
      <c r="B511" s="28"/>
      <c r="C511" s="132"/>
    </row>
    <row r="512" spans="1:3" ht="15.75" customHeight="1" x14ac:dyDescent="0.35">
      <c r="A512" s="126"/>
      <c r="B512" s="28"/>
      <c r="C512" s="132"/>
    </row>
    <row r="513" spans="1:3" ht="15.75" customHeight="1" x14ac:dyDescent="0.35">
      <c r="A513" s="126"/>
      <c r="B513" s="28"/>
      <c r="C513" s="132"/>
    </row>
    <row r="514" spans="1:3" ht="15.75" customHeight="1" x14ac:dyDescent="0.35">
      <c r="A514" s="126"/>
      <c r="B514" s="28"/>
      <c r="C514" s="132"/>
    </row>
    <row r="515" spans="1:3" ht="15.75" customHeight="1" x14ac:dyDescent="0.35">
      <c r="A515" s="126"/>
      <c r="B515" s="28"/>
      <c r="C515" s="132"/>
    </row>
    <row r="516" spans="1:3" ht="15.75" customHeight="1" x14ac:dyDescent="0.35">
      <c r="A516" s="126"/>
      <c r="B516" s="28"/>
      <c r="C516" s="132"/>
    </row>
    <row r="517" spans="1:3" ht="15.75" customHeight="1" x14ac:dyDescent="0.35">
      <c r="A517" s="126"/>
      <c r="B517" s="28"/>
      <c r="C517" s="132"/>
    </row>
    <row r="518" spans="1:3" ht="15.75" customHeight="1" x14ac:dyDescent="0.35">
      <c r="A518" s="126"/>
      <c r="B518" s="28"/>
      <c r="C518" s="132"/>
    </row>
    <row r="519" spans="1:3" ht="15.75" customHeight="1" x14ac:dyDescent="0.35">
      <c r="A519" s="126"/>
      <c r="B519" s="28"/>
      <c r="C519" s="132"/>
    </row>
    <row r="520" spans="1:3" ht="15.75" customHeight="1" x14ac:dyDescent="0.35">
      <c r="A520" s="126"/>
      <c r="B520" s="28"/>
      <c r="C520" s="132"/>
    </row>
    <row r="521" spans="1:3" ht="15.75" customHeight="1" x14ac:dyDescent="0.35">
      <c r="A521" s="126"/>
      <c r="B521" s="28"/>
      <c r="C521" s="132"/>
    </row>
    <row r="522" spans="1:3" ht="15.75" customHeight="1" x14ac:dyDescent="0.35">
      <c r="A522" s="126"/>
      <c r="B522" s="28"/>
      <c r="C522" s="132"/>
    </row>
    <row r="523" spans="1:3" ht="15.75" customHeight="1" x14ac:dyDescent="0.35">
      <c r="A523" s="126"/>
      <c r="B523" s="28"/>
      <c r="C523" s="132"/>
    </row>
    <row r="524" spans="1:3" ht="15.75" customHeight="1" x14ac:dyDescent="0.35">
      <c r="A524" s="126"/>
      <c r="B524" s="28"/>
      <c r="C524" s="132"/>
    </row>
    <row r="525" spans="1:3" ht="15.75" customHeight="1" x14ac:dyDescent="0.35">
      <c r="A525" s="126"/>
      <c r="B525" s="28"/>
      <c r="C525" s="132"/>
    </row>
    <row r="526" spans="1:3" ht="15.75" customHeight="1" x14ac:dyDescent="0.35">
      <c r="A526" s="126"/>
      <c r="B526" s="28"/>
      <c r="C526" s="132"/>
    </row>
    <row r="527" spans="1:3" ht="15.75" customHeight="1" x14ac:dyDescent="0.35">
      <c r="A527" s="126"/>
      <c r="B527" s="28"/>
      <c r="C527" s="132"/>
    </row>
    <row r="528" spans="1:3" ht="15.75" customHeight="1" x14ac:dyDescent="0.35">
      <c r="A528" s="126"/>
      <c r="B528" s="28"/>
      <c r="C528" s="132"/>
    </row>
    <row r="529" spans="1:3" ht="15.75" customHeight="1" x14ac:dyDescent="0.35">
      <c r="A529" s="126"/>
      <c r="B529" s="28"/>
      <c r="C529" s="132"/>
    </row>
    <row r="530" spans="1:3" ht="15.75" customHeight="1" x14ac:dyDescent="0.35">
      <c r="A530" s="126"/>
      <c r="B530" s="28"/>
      <c r="C530" s="132"/>
    </row>
    <row r="531" spans="1:3" ht="15.75" customHeight="1" x14ac:dyDescent="0.35">
      <c r="A531" s="126"/>
      <c r="B531" s="28"/>
      <c r="C531" s="132"/>
    </row>
    <row r="532" spans="1:3" ht="15.75" customHeight="1" x14ac:dyDescent="0.35">
      <c r="A532" s="126"/>
      <c r="B532" s="28"/>
      <c r="C532" s="132"/>
    </row>
    <row r="533" spans="1:3" ht="15.75" customHeight="1" x14ac:dyDescent="0.35">
      <c r="A533" s="126"/>
      <c r="B533" s="28"/>
      <c r="C533" s="132"/>
    </row>
    <row r="534" spans="1:3" ht="15.75" customHeight="1" x14ac:dyDescent="0.35">
      <c r="A534" s="126"/>
      <c r="B534" s="28"/>
      <c r="C534" s="132"/>
    </row>
    <row r="535" spans="1:3" ht="15.75" customHeight="1" x14ac:dyDescent="0.35">
      <c r="A535" s="126"/>
      <c r="B535" s="28"/>
      <c r="C535" s="132"/>
    </row>
    <row r="536" spans="1:3" ht="15.75" customHeight="1" x14ac:dyDescent="0.35">
      <c r="A536" s="126"/>
      <c r="B536" s="28"/>
      <c r="C536" s="132"/>
    </row>
    <row r="537" spans="1:3" ht="15.75" customHeight="1" x14ac:dyDescent="0.35">
      <c r="A537" s="126"/>
      <c r="B537" s="28"/>
      <c r="C537" s="132"/>
    </row>
    <row r="538" spans="1:3" ht="15.75" customHeight="1" x14ac:dyDescent="0.35">
      <c r="A538" s="126"/>
      <c r="B538" s="28"/>
      <c r="C538" s="132"/>
    </row>
    <row r="539" spans="1:3" ht="15.75" customHeight="1" x14ac:dyDescent="0.35">
      <c r="A539" s="126"/>
      <c r="B539" s="28"/>
      <c r="C539" s="132"/>
    </row>
    <row r="540" spans="1:3" ht="15.75" customHeight="1" x14ac:dyDescent="0.35">
      <c r="A540" s="126"/>
      <c r="B540" s="28"/>
      <c r="C540" s="132"/>
    </row>
    <row r="541" spans="1:3" ht="15.75" customHeight="1" x14ac:dyDescent="0.35">
      <c r="A541" s="126"/>
      <c r="B541" s="28"/>
      <c r="C541" s="132"/>
    </row>
    <row r="542" spans="1:3" ht="15.75" customHeight="1" x14ac:dyDescent="0.35">
      <c r="A542" s="126"/>
      <c r="B542" s="28"/>
      <c r="C542" s="132"/>
    </row>
    <row r="543" spans="1:3" ht="15.75" customHeight="1" x14ac:dyDescent="0.35">
      <c r="A543" s="126"/>
      <c r="B543" s="28"/>
      <c r="C543" s="132"/>
    </row>
    <row r="544" spans="1:3" ht="15.75" customHeight="1" x14ac:dyDescent="0.35">
      <c r="A544" s="126"/>
      <c r="B544" s="28"/>
      <c r="C544" s="132"/>
    </row>
    <row r="545" spans="1:3" ht="15.75" customHeight="1" x14ac:dyDescent="0.35">
      <c r="A545" s="126"/>
      <c r="B545" s="28"/>
      <c r="C545" s="132"/>
    </row>
    <row r="546" spans="1:3" ht="15.75" customHeight="1" x14ac:dyDescent="0.35">
      <c r="A546" s="126"/>
      <c r="B546" s="28"/>
      <c r="C546" s="132"/>
    </row>
    <row r="547" spans="1:3" ht="15.75" customHeight="1" x14ac:dyDescent="0.35">
      <c r="A547" s="126"/>
      <c r="B547" s="28"/>
      <c r="C547" s="132"/>
    </row>
    <row r="548" spans="1:3" ht="15.75" customHeight="1" x14ac:dyDescent="0.35">
      <c r="A548" s="126"/>
      <c r="B548" s="28"/>
      <c r="C548" s="132"/>
    </row>
    <row r="549" spans="1:3" ht="15.75" customHeight="1" x14ac:dyDescent="0.35">
      <c r="A549" s="126"/>
      <c r="B549" s="28"/>
      <c r="C549" s="132"/>
    </row>
    <row r="550" spans="1:3" ht="15.75" customHeight="1" x14ac:dyDescent="0.35">
      <c r="A550" s="126"/>
      <c r="B550" s="28"/>
      <c r="C550" s="132"/>
    </row>
    <row r="551" spans="1:3" ht="15.75" customHeight="1" x14ac:dyDescent="0.35">
      <c r="A551" s="126"/>
      <c r="B551" s="28"/>
      <c r="C551" s="132"/>
    </row>
    <row r="552" spans="1:3" ht="15.75" customHeight="1" x14ac:dyDescent="0.35">
      <c r="A552" s="126"/>
      <c r="B552" s="28"/>
      <c r="C552" s="132"/>
    </row>
    <row r="553" spans="1:3" ht="15.75" customHeight="1" x14ac:dyDescent="0.35">
      <c r="A553" s="126"/>
      <c r="B553" s="28"/>
      <c r="C553" s="132"/>
    </row>
    <row r="554" spans="1:3" ht="15.75" customHeight="1" x14ac:dyDescent="0.35">
      <c r="A554" s="126"/>
      <c r="B554" s="28"/>
      <c r="C554" s="132"/>
    </row>
    <row r="555" spans="1:3" ht="15.75" customHeight="1" x14ac:dyDescent="0.35">
      <c r="A555" s="126"/>
      <c r="B555" s="28"/>
      <c r="C555" s="132"/>
    </row>
    <row r="556" spans="1:3" ht="15.75" customHeight="1" x14ac:dyDescent="0.35">
      <c r="A556" s="126"/>
      <c r="B556" s="28"/>
      <c r="C556" s="132"/>
    </row>
    <row r="557" spans="1:3" ht="15.75" customHeight="1" x14ac:dyDescent="0.35">
      <c r="A557" s="126"/>
      <c r="B557" s="28"/>
      <c r="C557" s="132"/>
    </row>
    <row r="558" spans="1:3" ht="15.75" customHeight="1" x14ac:dyDescent="0.35">
      <c r="A558" s="126"/>
      <c r="B558" s="28"/>
      <c r="C558" s="132"/>
    </row>
    <row r="559" spans="1:3" ht="15.75" customHeight="1" x14ac:dyDescent="0.35">
      <c r="A559" s="126"/>
      <c r="B559" s="28"/>
      <c r="C559" s="132"/>
    </row>
    <row r="560" spans="1:3" ht="15.75" customHeight="1" x14ac:dyDescent="0.35">
      <c r="A560" s="126"/>
      <c r="B560" s="28"/>
      <c r="C560" s="132"/>
    </row>
    <row r="561" spans="1:3" ht="15.75" customHeight="1" x14ac:dyDescent="0.35">
      <c r="A561" s="126"/>
      <c r="B561" s="28"/>
      <c r="C561" s="132"/>
    </row>
    <row r="562" spans="1:3" ht="15.75" customHeight="1" x14ac:dyDescent="0.35">
      <c r="A562" s="126"/>
      <c r="B562" s="28"/>
      <c r="C562" s="132"/>
    </row>
    <row r="563" spans="1:3" ht="15.75" customHeight="1" x14ac:dyDescent="0.35">
      <c r="A563" s="126"/>
      <c r="B563" s="28"/>
      <c r="C563" s="132"/>
    </row>
    <row r="564" spans="1:3" ht="15.75" customHeight="1" x14ac:dyDescent="0.35">
      <c r="A564" s="126"/>
      <c r="B564" s="28"/>
      <c r="C564" s="132"/>
    </row>
    <row r="565" spans="1:3" ht="15.75" customHeight="1" x14ac:dyDescent="0.35">
      <c r="A565" s="126"/>
      <c r="B565" s="28"/>
      <c r="C565" s="132"/>
    </row>
    <row r="566" spans="1:3" ht="15.75" customHeight="1" x14ac:dyDescent="0.35">
      <c r="A566" s="126"/>
      <c r="B566" s="28"/>
      <c r="C566" s="132"/>
    </row>
    <row r="567" spans="1:3" ht="15.75" customHeight="1" x14ac:dyDescent="0.35">
      <c r="A567" s="126"/>
      <c r="B567" s="28"/>
      <c r="C567" s="132"/>
    </row>
    <row r="568" spans="1:3" ht="15.75" customHeight="1" x14ac:dyDescent="0.35">
      <c r="A568" s="126"/>
      <c r="B568" s="28"/>
      <c r="C568" s="132"/>
    </row>
    <row r="569" spans="1:3" ht="15.75" customHeight="1" x14ac:dyDescent="0.35">
      <c r="A569" s="126"/>
      <c r="B569" s="28"/>
      <c r="C569" s="132"/>
    </row>
    <row r="570" spans="1:3" ht="15.75" customHeight="1" x14ac:dyDescent="0.35">
      <c r="A570" s="126"/>
      <c r="B570" s="28"/>
      <c r="C570" s="132"/>
    </row>
    <row r="571" spans="1:3" ht="15.75" customHeight="1" x14ac:dyDescent="0.35">
      <c r="A571" s="126"/>
      <c r="B571" s="28"/>
      <c r="C571" s="132"/>
    </row>
    <row r="572" spans="1:3" ht="15.75" customHeight="1" x14ac:dyDescent="0.35">
      <c r="A572" s="126"/>
      <c r="B572" s="28"/>
      <c r="C572" s="132"/>
    </row>
    <row r="573" spans="1:3" ht="15.75" customHeight="1" x14ac:dyDescent="0.35">
      <c r="A573" s="126"/>
      <c r="B573" s="28"/>
      <c r="C573" s="132"/>
    </row>
    <row r="574" spans="1:3" ht="15.75" customHeight="1" x14ac:dyDescent="0.35">
      <c r="A574" s="126"/>
      <c r="B574" s="28"/>
      <c r="C574" s="132"/>
    </row>
    <row r="575" spans="1:3" ht="15.75" customHeight="1" x14ac:dyDescent="0.35">
      <c r="A575" s="126"/>
      <c r="B575" s="28"/>
      <c r="C575" s="132"/>
    </row>
    <row r="576" spans="1:3" ht="15.75" customHeight="1" x14ac:dyDescent="0.35">
      <c r="A576" s="126"/>
      <c r="B576" s="28"/>
      <c r="C576" s="132"/>
    </row>
    <row r="577" spans="1:3" ht="15.75" customHeight="1" x14ac:dyDescent="0.35">
      <c r="A577" s="126"/>
      <c r="B577" s="28"/>
      <c r="C577" s="132"/>
    </row>
    <row r="578" spans="1:3" ht="15.75" customHeight="1" x14ac:dyDescent="0.35">
      <c r="A578" s="126"/>
      <c r="B578" s="28"/>
      <c r="C578" s="132"/>
    </row>
    <row r="579" spans="1:3" ht="15.75" customHeight="1" x14ac:dyDescent="0.35">
      <c r="A579" s="126"/>
      <c r="B579" s="28"/>
      <c r="C579" s="132"/>
    </row>
    <row r="580" spans="1:3" ht="15.75" customHeight="1" x14ac:dyDescent="0.35">
      <c r="A580" s="126"/>
      <c r="B580" s="28"/>
      <c r="C580" s="132"/>
    </row>
    <row r="581" spans="1:3" ht="15.75" customHeight="1" x14ac:dyDescent="0.35">
      <c r="A581" s="126"/>
      <c r="B581" s="28"/>
      <c r="C581" s="132"/>
    </row>
    <row r="582" spans="1:3" ht="15.75" customHeight="1" x14ac:dyDescent="0.35">
      <c r="A582" s="126"/>
      <c r="B582" s="28"/>
      <c r="C582" s="132"/>
    </row>
    <row r="583" spans="1:3" ht="15.75" customHeight="1" x14ac:dyDescent="0.35">
      <c r="A583" s="126"/>
      <c r="B583" s="28"/>
      <c r="C583" s="132"/>
    </row>
    <row r="584" spans="1:3" ht="15.75" customHeight="1" x14ac:dyDescent="0.35">
      <c r="A584" s="126"/>
      <c r="B584" s="28"/>
      <c r="C584" s="132"/>
    </row>
    <row r="585" spans="1:3" ht="15.75" customHeight="1" x14ac:dyDescent="0.35">
      <c r="A585" s="126"/>
      <c r="B585" s="28"/>
      <c r="C585" s="132"/>
    </row>
    <row r="586" spans="1:3" ht="15.75" customHeight="1" x14ac:dyDescent="0.35">
      <c r="A586" s="126"/>
      <c r="B586" s="28"/>
      <c r="C586" s="132"/>
    </row>
    <row r="587" spans="1:3" ht="15.75" customHeight="1" x14ac:dyDescent="0.35">
      <c r="A587" s="126"/>
      <c r="B587" s="28"/>
      <c r="C587" s="132"/>
    </row>
    <row r="588" spans="1:3" ht="15.75" customHeight="1" x14ac:dyDescent="0.35">
      <c r="A588" s="126"/>
      <c r="B588" s="28"/>
      <c r="C588" s="132"/>
    </row>
    <row r="589" spans="1:3" ht="15.75" customHeight="1" x14ac:dyDescent="0.35">
      <c r="A589" s="126"/>
      <c r="B589" s="28"/>
      <c r="C589" s="132"/>
    </row>
    <row r="590" spans="1:3" ht="15.75" customHeight="1" x14ac:dyDescent="0.35">
      <c r="A590" s="126"/>
      <c r="B590" s="28"/>
      <c r="C590" s="132"/>
    </row>
    <row r="591" spans="1:3" ht="15.75" customHeight="1" x14ac:dyDescent="0.35">
      <c r="A591" s="126"/>
      <c r="B591" s="28"/>
      <c r="C591" s="132"/>
    </row>
    <row r="592" spans="1:3" ht="15.75" customHeight="1" x14ac:dyDescent="0.35">
      <c r="A592" s="126"/>
      <c r="B592" s="28"/>
      <c r="C592" s="132"/>
    </row>
    <row r="593" spans="1:3" ht="15.75" customHeight="1" x14ac:dyDescent="0.35">
      <c r="A593" s="126"/>
      <c r="B593" s="28"/>
      <c r="C593" s="132"/>
    </row>
    <row r="594" spans="1:3" ht="15.75" customHeight="1" x14ac:dyDescent="0.35">
      <c r="A594" s="126"/>
      <c r="B594" s="28"/>
      <c r="C594" s="132"/>
    </row>
    <row r="595" spans="1:3" ht="15.75" customHeight="1" x14ac:dyDescent="0.35">
      <c r="A595" s="126"/>
      <c r="B595" s="28"/>
      <c r="C595" s="132"/>
    </row>
    <row r="596" spans="1:3" ht="15.75" customHeight="1" x14ac:dyDescent="0.35">
      <c r="A596" s="126"/>
      <c r="B596" s="28"/>
      <c r="C596" s="132"/>
    </row>
    <row r="597" spans="1:3" ht="15.75" customHeight="1" x14ac:dyDescent="0.35">
      <c r="A597" s="126"/>
      <c r="B597" s="28"/>
      <c r="C597" s="132"/>
    </row>
    <row r="598" spans="1:3" ht="15.75" customHeight="1" x14ac:dyDescent="0.35">
      <c r="A598" s="126"/>
      <c r="B598" s="28"/>
      <c r="C598" s="132"/>
    </row>
    <row r="599" spans="1:3" ht="15.75" customHeight="1" x14ac:dyDescent="0.35">
      <c r="A599" s="126"/>
      <c r="B599" s="28"/>
      <c r="C599" s="132"/>
    </row>
    <row r="600" spans="1:3" ht="15.75" customHeight="1" x14ac:dyDescent="0.35">
      <c r="A600" s="126"/>
      <c r="B600" s="28"/>
      <c r="C600" s="132"/>
    </row>
    <row r="601" spans="1:3" ht="15.75" customHeight="1" x14ac:dyDescent="0.35">
      <c r="A601" s="126"/>
      <c r="B601" s="28"/>
      <c r="C601" s="132"/>
    </row>
    <row r="602" spans="1:3" ht="15.75" customHeight="1" x14ac:dyDescent="0.35">
      <c r="A602" s="126"/>
      <c r="B602" s="28"/>
      <c r="C602" s="132"/>
    </row>
    <row r="603" spans="1:3" ht="15.75" customHeight="1" x14ac:dyDescent="0.35">
      <c r="A603" s="126"/>
      <c r="B603" s="28"/>
      <c r="C603" s="132"/>
    </row>
    <row r="604" spans="1:3" ht="15.75" customHeight="1" x14ac:dyDescent="0.35">
      <c r="A604" s="126"/>
      <c r="B604" s="28"/>
      <c r="C604" s="132"/>
    </row>
    <row r="605" spans="1:3" ht="15.75" customHeight="1" x14ac:dyDescent="0.35">
      <c r="A605" s="126"/>
      <c r="B605" s="28"/>
      <c r="C605" s="132"/>
    </row>
    <row r="606" spans="1:3" ht="15.75" customHeight="1" x14ac:dyDescent="0.35">
      <c r="A606" s="126"/>
      <c r="B606" s="28"/>
      <c r="C606" s="132"/>
    </row>
    <row r="607" spans="1:3" ht="15.75" customHeight="1" x14ac:dyDescent="0.35">
      <c r="A607" s="126"/>
      <c r="B607" s="28"/>
      <c r="C607" s="132"/>
    </row>
  </sheetData>
  <mergeCells count="1">
    <mergeCell ref="A1:D1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2578125" defaultRowHeight="17.25" x14ac:dyDescent="0.35"/>
  <cols>
    <col min="1" max="1" width="4.7109375" style="24" customWidth="1"/>
    <col min="2" max="2" width="19.5703125" style="86" customWidth="1"/>
    <col min="3" max="3" width="22.85546875" style="97" customWidth="1"/>
    <col min="4" max="4" width="23.85546875" style="24" customWidth="1"/>
    <col min="5" max="16384" width="14.42578125" style="24"/>
  </cols>
  <sheetData>
    <row r="1" spans="1:51" ht="23.25" x14ac:dyDescent="0.35">
      <c r="A1" s="35" t="s">
        <v>33</v>
      </c>
      <c r="B1" s="81"/>
      <c r="C1" s="87"/>
    </row>
    <row r="2" spans="1:51" ht="66.599999999999994" customHeight="1" x14ac:dyDescent="0.35">
      <c r="A2" s="25"/>
      <c r="B2" s="82" t="s">
        <v>25</v>
      </c>
      <c r="C2" s="88" t="s">
        <v>26</v>
      </c>
      <c r="D2" s="24">
        <v>63.25</v>
      </c>
    </row>
    <row r="3" spans="1:51" ht="19.899999999999999" customHeight="1" x14ac:dyDescent="0.35">
      <c r="A3" s="25"/>
      <c r="B3" s="82"/>
      <c r="C3" s="88"/>
    </row>
    <row r="4" spans="1:51" ht="19.899999999999999" customHeight="1" x14ac:dyDescent="0.35">
      <c r="A4" s="25"/>
      <c r="B4" s="83">
        <v>46023</v>
      </c>
      <c r="C4" s="89" t="e">
        <f>+' EXPENSES'!#REF!</f>
        <v>#REF!</v>
      </c>
      <c r="D4" s="98" t="e">
        <f>+C4/$D$2</f>
        <v>#REF!</v>
      </c>
    </row>
    <row r="5" spans="1:51" ht="19.5" customHeight="1" x14ac:dyDescent="0.35">
      <c r="A5" s="74"/>
      <c r="B5" s="83">
        <v>46055</v>
      </c>
      <c r="C5" s="90"/>
      <c r="D5" s="98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35">
      <c r="A6" s="26"/>
      <c r="B6" s="83">
        <v>46087</v>
      </c>
      <c r="C6" s="91"/>
      <c r="D6" s="98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35">
      <c r="A7" s="26"/>
      <c r="B7" s="83">
        <v>46119</v>
      </c>
      <c r="C7" s="90"/>
      <c r="D7" s="98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35">
      <c r="A8" s="26"/>
      <c r="B8" s="83">
        <v>46151</v>
      </c>
      <c r="C8" s="90"/>
      <c r="D8" s="98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35">
      <c r="A9" s="26"/>
      <c r="B9" s="83">
        <v>46183</v>
      </c>
      <c r="C9" s="91"/>
      <c r="D9" s="98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35">
      <c r="A10" s="26"/>
      <c r="B10" s="83">
        <v>46215</v>
      </c>
      <c r="C10" s="90"/>
      <c r="D10" s="98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35">
      <c r="A11" s="26"/>
      <c r="B11" s="83">
        <v>46247</v>
      </c>
      <c r="C11" s="90"/>
      <c r="D11" s="98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35">
      <c r="A12" s="26"/>
      <c r="B12" s="83">
        <v>46279</v>
      </c>
      <c r="C12" s="91"/>
      <c r="D12" s="98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35">
      <c r="A13" s="26"/>
      <c r="B13" s="83">
        <v>46311</v>
      </c>
      <c r="C13" s="90"/>
      <c r="D13" s="98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35">
      <c r="A14" s="26"/>
      <c r="B14" s="83">
        <v>46343</v>
      </c>
      <c r="C14" s="91"/>
      <c r="D14" s="98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35">
      <c r="A15" s="26"/>
      <c r="B15" s="83">
        <v>46375</v>
      </c>
      <c r="C15" s="92"/>
      <c r="D15" s="98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4">
      <c r="A16" s="26"/>
      <c r="B16" s="84"/>
      <c r="C16" s="93" t="e">
        <f>SUM(C4:C15)</f>
        <v>#REF!</v>
      </c>
      <c r="D16" s="99" t="e">
        <f>SUM(D4:D15)</f>
        <v>#REF!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35">
      <c r="A17" s="26"/>
      <c r="B17" s="84"/>
      <c r="C17" s="94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5" customHeight="1" x14ac:dyDescent="0.35">
      <c r="A18" s="26"/>
      <c r="B18" s="84" t="s">
        <v>27</v>
      </c>
      <c r="C18" s="95" t="e">
        <f>+C16/9</f>
        <v>#REF!</v>
      </c>
      <c r="D18" s="100" t="e">
        <f>+D16/9</f>
        <v>#REF!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35">
      <c r="A19" s="28"/>
      <c r="B19" s="85"/>
      <c r="C19" s="96"/>
    </row>
    <row r="20" spans="1:51" ht="15.75" customHeight="1" x14ac:dyDescent="0.35">
      <c r="A20" s="28"/>
      <c r="B20" s="85"/>
      <c r="C20" s="96"/>
    </row>
    <row r="21" spans="1:51" ht="15.75" customHeight="1" x14ac:dyDescent="0.35">
      <c r="A21" s="28"/>
      <c r="B21" s="85"/>
      <c r="C21" s="96"/>
    </row>
    <row r="22" spans="1:51" ht="15.75" customHeight="1" x14ac:dyDescent="0.35">
      <c r="A22" s="28"/>
      <c r="B22" s="85"/>
      <c r="C22" s="96"/>
    </row>
    <row r="23" spans="1:51" ht="15.75" customHeight="1" x14ac:dyDescent="0.35">
      <c r="A23" s="28"/>
      <c r="B23" s="85"/>
      <c r="C23" s="96"/>
    </row>
    <row r="24" spans="1:51" ht="15.75" customHeight="1" x14ac:dyDescent="0.35">
      <c r="A24" s="28"/>
      <c r="B24" s="85"/>
      <c r="C24" s="96"/>
    </row>
    <row r="25" spans="1:51" ht="15.75" customHeight="1" x14ac:dyDescent="0.35">
      <c r="A25" s="28"/>
      <c r="B25" s="85"/>
      <c r="C25" s="96"/>
    </row>
    <row r="26" spans="1:51" ht="15.75" customHeight="1" x14ac:dyDescent="0.35">
      <c r="A26" s="28"/>
      <c r="B26" s="85"/>
      <c r="C26" s="96"/>
    </row>
    <row r="27" spans="1:51" ht="15.75" customHeight="1" x14ac:dyDescent="0.35">
      <c r="A27" s="28"/>
      <c r="B27" s="85"/>
      <c r="C27" s="96"/>
    </row>
    <row r="28" spans="1:51" ht="15.75" customHeight="1" x14ac:dyDescent="0.35">
      <c r="A28" s="28"/>
      <c r="B28" s="85"/>
      <c r="C28" s="96"/>
    </row>
    <row r="29" spans="1:51" ht="15.75" customHeight="1" x14ac:dyDescent="0.35">
      <c r="A29" s="28"/>
      <c r="B29" s="85"/>
      <c r="C29" s="96"/>
    </row>
    <row r="30" spans="1:51" ht="15.75" customHeight="1" x14ac:dyDescent="0.35">
      <c r="A30" s="28"/>
      <c r="B30" s="85"/>
      <c r="C30" s="96"/>
    </row>
    <row r="31" spans="1:51" ht="15.75" customHeight="1" x14ac:dyDescent="0.35">
      <c r="A31" s="28"/>
      <c r="B31" s="85"/>
      <c r="C31" s="96"/>
    </row>
    <row r="32" spans="1:51" ht="15.75" customHeight="1" x14ac:dyDescent="0.35">
      <c r="A32" s="28"/>
      <c r="B32" s="85"/>
      <c r="C32" s="96"/>
    </row>
    <row r="33" spans="1:3" ht="15.75" customHeight="1" x14ac:dyDescent="0.35">
      <c r="A33" s="28"/>
      <c r="B33" s="85"/>
      <c r="C33" s="96"/>
    </row>
    <row r="34" spans="1:3" ht="15.75" customHeight="1" x14ac:dyDescent="0.35">
      <c r="A34" s="28"/>
      <c r="B34" s="85"/>
      <c r="C34" s="96"/>
    </row>
    <row r="35" spans="1:3" ht="15.75" customHeight="1" x14ac:dyDescent="0.35">
      <c r="A35" s="28"/>
      <c r="B35" s="85"/>
      <c r="C35" s="96"/>
    </row>
    <row r="36" spans="1:3" ht="15.75" customHeight="1" x14ac:dyDescent="0.35">
      <c r="A36" s="28"/>
      <c r="B36" s="85"/>
      <c r="C36" s="96"/>
    </row>
    <row r="37" spans="1:3" ht="15.75" customHeight="1" x14ac:dyDescent="0.35">
      <c r="A37" s="28"/>
      <c r="B37" s="85"/>
      <c r="C37" s="96"/>
    </row>
    <row r="38" spans="1:3" ht="15.75" customHeight="1" x14ac:dyDescent="0.35">
      <c r="A38" s="28"/>
      <c r="B38" s="85"/>
      <c r="C38" s="96"/>
    </row>
    <row r="39" spans="1:3" ht="15.75" customHeight="1" x14ac:dyDescent="0.35">
      <c r="A39" s="28"/>
      <c r="B39" s="85"/>
      <c r="C39" s="96"/>
    </row>
    <row r="40" spans="1:3" ht="15.75" customHeight="1" x14ac:dyDescent="0.35">
      <c r="A40" s="28"/>
      <c r="B40" s="85"/>
      <c r="C40" s="96"/>
    </row>
    <row r="41" spans="1:3" ht="15.75" customHeight="1" x14ac:dyDescent="0.35">
      <c r="A41" s="28"/>
      <c r="B41" s="85"/>
      <c r="C41" s="96"/>
    </row>
    <row r="42" spans="1:3" ht="15.75" customHeight="1" x14ac:dyDescent="0.35">
      <c r="A42" s="28"/>
      <c r="B42" s="85"/>
      <c r="C42" s="96"/>
    </row>
    <row r="43" spans="1:3" ht="15.75" customHeight="1" x14ac:dyDescent="0.35">
      <c r="A43" s="28"/>
      <c r="B43" s="85"/>
      <c r="C43" s="96"/>
    </row>
    <row r="44" spans="1:3" ht="15.75" customHeight="1" x14ac:dyDescent="0.35">
      <c r="A44" s="28"/>
      <c r="B44" s="85"/>
      <c r="C44" s="96"/>
    </row>
    <row r="45" spans="1:3" ht="15.75" customHeight="1" x14ac:dyDescent="0.35">
      <c r="A45" s="28"/>
      <c r="B45" s="85"/>
      <c r="C45" s="96"/>
    </row>
    <row r="46" spans="1:3" ht="15.75" customHeight="1" x14ac:dyDescent="0.35">
      <c r="A46" s="28"/>
      <c r="B46" s="85"/>
      <c r="C46" s="96"/>
    </row>
    <row r="47" spans="1:3" ht="15.75" customHeight="1" x14ac:dyDescent="0.35">
      <c r="A47" s="28"/>
      <c r="B47" s="85"/>
      <c r="C47" s="96"/>
    </row>
    <row r="48" spans="1:3" ht="15.75" customHeight="1" x14ac:dyDescent="0.35">
      <c r="A48" s="28"/>
      <c r="B48" s="85"/>
      <c r="C48" s="96"/>
    </row>
    <row r="49" spans="1:3" ht="15.75" customHeight="1" x14ac:dyDescent="0.35">
      <c r="A49" s="28"/>
      <c r="B49" s="85"/>
      <c r="C49" s="96"/>
    </row>
    <row r="50" spans="1:3" ht="15.75" customHeight="1" x14ac:dyDescent="0.35">
      <c r="A50" s="28"/>
      <c r="B50" s="85"/>
      <c r="C50" s="96"/>
    </row>
    <row r="51" spans="1:3" ht="15.75" customHeight="1" x14ac:dyDescent="0.35">
      <c r="A51" s="28"/>
      <c r="B51" s="85"/>
      <c r="C51" s="96"/>
    </row>
    <row r="52" spans="1:3" ht="15.75" customHeight="1" x14ac:dyDescent="0.35">
      <c r="A52" s="28"/>
      <c r="B52" s="85"/>
      <c r="C52" s="96"/>
    </row>
    <row r="53" spans="1:3" ht="15.75" customHeight="1" x14ac:dyDescent="0.35">
      <c r="A53" s="28"/>
      <c r="B53" s="85"/>
      <c r="C53" s="96"/>
    </row>
    <row r="54" spans="1:3" ht="15.75" customHeight="1" x14ac:dyDescent="0.35">
      <c r="A54" s="28"/>
      <c r="B54" s="85"/>
      <c r="C54" s="96"/>
    </row>
    <row r="55" spans="1:3" ht="15.75" customHeight="1" x14ac:dyDescent="0.35">
      <c r="A55" s="28"/>
      <c r="B55" s="85"/>
      <c r="C55" s="96"/>
    </row>
    <row r="56" spans="1:3" ht="15.75" customHeight="1" x14ac:dyDescent="0.35">
      <c r="A56" s="28"/>
      <c r="B56" s="85"/>
      <c r="C56" s="96"/>
    </row>
    <row r="57" spans="1:3" ht="15.75" customHeight="1" x14ac:dyDescent="0.35">
      <c r="A57" s="28"/>
      <c r="B57" s="85"/>
      <c r="C57" s="96"/>
    </row>
    <row r="58" spans="1:3" ht="15.75" customHeight="1" x14ac:dyDescent="0.35">
      <c r="A58" s="28"/>
      <c r="B58" s="85"/>
      <c r="C58" s="96"/>
    </row>
    <row r="59" spans="1:3" ht="15.75" customHeight="1" x14ac:dyDescent="0.35">
      <c r="A59" s="28"/>
      <c r="B59" s="85"/>
      <c r="C59" s="96"/>
    </row>
    <row r="60" spans="1:3" ht="15.75" customHeight="1" x14ac:dyDescent="0.35">
      <c r="A60" s="28"/>
      <c r="B60" s="85"/>
      <c r="C60" s="96"/>
    </row>
    <row r="61" spans="1:3" ht="15.75" customHeight="1" x14ac:dyDescent="0.35">
      <c r="A61" s="28"/>
      <c r="B61" s="85"/>
      <c r="C61" s="96"/>
    </row>
    <row r="62" spans="1:3" ht="15.75" customHeight="1" x14ac:dyDescent="0.35">
      <c r="A62" s="28"/>
      <c r="B62" s="85"/>
      <c r="C62" s="96"/>
    </row>
    <row r="63" spans="1:3" ht="15.75" customHeight="1" x14ac:dyDescent="0.35">
      <c r="A63" s="28"/>
      <c r="B63" s="85"/>
      <c r="C63" s="96"/>
    </row>
    <row r="64" spans="1:3" ht="15.75" customHeight="1" x14ac:dyDescent="0.35">
      <c r="A64" s="28"/>
      <c r="B64" s="85"/>
      <c r="C64" s="96"/>
    </row>
    <row r="65" spans="1:3" ht="15.75" customHeight="1" x14ac:dyDescent="0.35">
      <c r="A65" s="28"/>
      <c r="B65" s="85"/>
      <c r="C65" s="96"/>
    </row>
    <row r="66" spans="1:3" ht="15.75" customHeight="1" x14ac:dyDescent="0.35">
      <c r="A66" s="28"/>
      <c r="B66" s="85"/>
      <c r="C66" s="96"/>
    </row>
    <row r="67" spans="1:3" ht="15.75" customHeight="1" x14ac:dyDescent="0.35">
      <c r="A67" s="28"/>
      <c r="B67" s="85"/>
      <c r="C67" s="96"/>
    </row>
    <row r="68" spans="1:3" ht="15.75" customHeight="1" x14ac:dyDescent="0.35">
      <c r="A68" s="28"/>
      <c r="B68" s="85"/>
      <c r="C68" s="96"/>
    </row>
    <row r="69" spans="1:3" ht="15.75" customHeight="1" x14ac:dyDescent="0.35">
      <c r="A69" s="28"/>
      <c r="B69" s="85"/>
      <c r="C69" s="96"/>
    </row>
    <row r="70" spans="1:3" ht="15.75" customHeight="1" x14ac:dyDescent="0.35">
      <c r="A70" s="28"/>
      <c r="B70" s="85"/>
      <c r="C70" s="96"/>
    </row>
    <row r="71" spans="1:3" ht="15.75" customHeight="1" x14ac:dyDescent="0.35">
      <c r="A71" s="28"/>
      <c r="B71" s="85"/>
      <c r="C71" s="96"/>
    </row>
    <row r="72" spans="1:3" ht="15.75" customHeight="1" x14ac:dyDescent="0.35">
      <c r="A72" s="28"/>
      <c r="B72" s="85"/>
      <c r="C72" s="96"/>
    </row>
    <row r="73" spans="1:3" ht="15.75" customHeight="1" x14ac:dyDescent="0.35">
      <c r="A73" s="28"/>
      <c r="B73" s="85"/>
      <c r="C73" s="96"/>
    </row>
    <row r="74" spans="1:3" ht="15.75" customHeight="1" x14ac:dyDescent="0.35">
      <c r="A74" s="28"/>
      <c r="B74" s="85"/>
      <c r="C74" s="96"/>
    </row>
    <row r="75" spans="1:3" ht="15.75" customHeight="1" x14ac:dyDescent="0.35">
      <c r="A75" s="28"/>
      <c r="B75" s="85"/>
      <c r="C75" s="96"/>
    </row>
    <row r="76" spans="1:3" ht="15.75" customHeight="1" x14ac:dyDescent="0.35">
      <c r="A76" s="28"/>
      <c r="B76" s="85"/>
      <c r="C76" s="96"/>
    </row>
    <row r="77" spans="1:3" ht="15.75" customHeight="1" x14ac:dyDescent="0.35">
      <c r="A77" s="28"/>
      <c r="B77" s="85"/>
      <c r="C77" s="96"/>
    </row>
    <row r="78" spans="1:3" ht="15.75" customHeight="1" x14ac:dyDescent="0.35">
      <c r="A78" s="28"/>
      <c r="B78" s="85"/>
      <c r="C78" s="96"/>
    </row>
    <row r="79" spans="1:3" ht="15.75" customHeight="1" x14ac:dyDescent="0.35">
      <c r="A79" s="28"/>
      <c r="B79" s="85"/>
      <c r="C79" s="96"/>
    </row>
    <row r="80" spans="1:3" ht="15.75" customHeight="1" x14ac:dyDescent="0.35">
      <c r="A80" s="28"/>
      <c r="B80" s="85"/>
      <c r="C80" s="96"/>
    </row>
    <row r="81" spans="1:3" ht="15.75" customHeight="1" x14ac:dyDescent="0.35">
      <c r="A81" s="28"/>
      <c r="B81" s="85"/>
      <c r="C81" s="96"/>
    </row>
    <row r="82" spans="1:3" ht="15.75" customHeight="1" x14ac:dyDescent="0.35">
      <c r="A82" s="28"/>
      <c r="B82" s="85"/>
      <c r="C82" s="96"/>
    </row>
    <row r="83" spans="1:3" ht="15.75" customHeight="1" x14ac:dyDescent="0.35">
      <c r="A83" s="28"/>
      <c r="B83" s="85"/>
      <c r="C83" s="96"/>
    </row>
    <row r="84" spans="1:3" ht="15.75" customHeight="1" x14ac:dyDescent="0.35">
      <c r="A84" s="28"/>
      <c r="B84" s="85"/>
      <c r="C84" s="96"/>
    </row>
    <row r="85" spans="1:3" ht="15.75" customHeight="1" x14ac:dyDescent="0.35">
      <c r="A85" s="28"/>
      <c r="B85" s="85"/>
      <c r="C85" s="96"/>
    </row>
    <row r="86" spans="1:3" ht="15.75" customHeight="1" x14ac:dyDescent="0.35">
      <c r="A86" s="28"/>
      <c r="B86" s="85"/>
      <c r="C86" s="96"/>
    </row>
    <row r="87" spans="1:3" ht="15.75" customHeight="1" x14ac:dyDescent="0.35">
      <c r="A87" s="28"/>
      <c r="B87" s="85"/>
      <c r="C87" s="96"/>
    </row>
    <row r="88" spans="1:3" ht="15.75" customHeight="1" x14ac:dyDescent="0.35">
      <c r="A88" s="28"/>
      <c r="B88" s="85"/>
      <c r="C88" s="96"/>
    </row>
    <row r="89" spans="1:3" ht="15.75" customHeight="1" x14ac:dyDescent="0.35">
      <c r="A89" s="28"/>
      <c r="B89" s="85"/>
      <c r="C89" s="96"/>
    </row>
    <row r="90" spans="1:3" ht="15.75" customHeight="1" x14ac:dyDescent="0.35">
      <c r="A90" s="28"/>
      <c r="B90" s="85"/>
      <c r="C90" s="96"/>
    </row>
    <row r="91" spans="1:3" ht="15.75" customHeight="1" x14ac:dyDescent="0.35">
      <c r="A91" s="28"/>
      <c r="B91" s="85"/>
      <c r="C91" s="96"/>
    </row>
    <row r="92" spans="1:3" ht="15.75" customHeight="1" x14ac:dyDescent="0.35">
      <c r="A92" s="28"/>
      <c r="B92" s="85"/>
      <c r="C92" s="96"/>
    </row>
    <row r="93" spans="1:3" ht="15.75" customHeight="1" x14ac:dyDescent="0.35">
      <c r="A93" s="28"/>
      <c r="B93" s="85"/>
      <c r="C93" s="96"/>
    </row>
    <row r="94" spans="1:3" ht="15.75" customHeight="1" x14ac:dyDescent="0.35">
      <c r="A94" s="28"/>
      <c r="B94" s="85"/>
      <c r="C94" s="96"/>
    </row>
    <row r="95" spans="1:3" ht="15.75" customHeight="1" x14ac:dyDescent="0.35">
      <c r="A95" s="28"/>
      <c r="B95" s="85"/>
      <c r="C95" s="96"/>
    </row>
    <row r="96" spans="1:3" ht="15.75" customHeight="1" x14ac:dyDescent="0.35">
      <c r="A96" s="28"/>
      <c r="B96" s="85"/>
      <c r="C96" s="96"/>
    </row>
    <row r="97" spans="1:3" ht="15.75" customHeight="1" x14ac:dyDescent="0.35">
      <c r="A97" s="28"/>
      <c r="B97" s="85"/>
      <c r="C97" s="96"/>
    </row>
    <row r="98" spans="1:3" ht="15.75" customHeight="1" x14ac:dyDescent="0.35">
      <c r="A98" s="28"/>
      <c r="B98" s="85"/>
      <c r="C98" s="96"/>
    </row>
    <row r="99" spans="1:3" ht="15.75" customHeight="1" x14ac:dyDescent="0.35">
      <c r="A99" s="28"/>
      <c r="B99" s="85"/>
      <c r="C99" s="96"/>
    </row>
    <row r="100" spans="1:3" ht="15.75" customHeight="1" x14ac:dyDescent="0.35">
      <c r="A100" s="28"/>
      <c r="B100" s="85"/>
      <c r="C100" s="96"/>
    </row>
    <row r="101" spans="1:3" ht="15.75" customHeight="1" x14ac:dyDescent="0.35">
      <c r="A101" s="28"/>
      <c r="B101" s="85"/>
      <c r="C101" s="96"/>
    </row>
    <row r="102" spans="1:3" ht="15.75" customHeight="1" x14ac:dyDescent="0.35">
      <c r="A102" s="28"/>
      <c r="B102" s="85"/>
      <c r="C102" s="96"/>
    </row>
    <row r="103" spans="1:3" ht="15.75" customHeight="1" x14ac:dyDescent="0.35">
      <c r="A103" s="28"/>
      <c r="B103" s="85"/>
      <c r="C103" s="96"/>
    </row>
    <row r="104" spans="1:3" ht="15.75" customHeight="1" x14ac:dyDescent="0.35">
      <c r="A104" s="28"/>
      <c r="B104" s="85"/>
      <c r="C104" s="96"/>
    </row>
    <row r="105" spans="1:3" ht="15.75" customHeight="1" x14ac:dyDescent="0.35">
      <c r="A105" s="28"/>
      <c r="B105" s="85"/>
      <c r="C105" s="96"/>
    </row>
    <row r="106" spans="1:3" ht="15.75" customHeight="1" x14ac:dyDescent="0.35">
      <c r="A106" s="28"/>
      <c r="B106" s="85"/>
      <c r="C106" s="96"/>
    </row>
    <row r="107" spans="1:3" ht="15.75" customHeight="1" x14ac:dyDescent="0.35">
      <c r="A107" s="28"/>
      <c r="B107" s="85"/>
      <c r="C107" s="96"/>
    </row>
    <row r="108" spans="1:3" ht="15.75" customHeight="1" x14ac:dyDescent="0.35">
      <c r="A108" s="28"/>
      <c r="B108" s="85"/>
      <c r="C108" s="96"/>
    </row>
    <row r="109" spans="1:3" ht="15.75" customHeight="1" x14ac:dyDescent="0.35">
      <c r="A109" s="28"/>
      <c r="B109" s="85"/>
      <c r="C109" s="96"/>
    </row>
    <row r="110" spans="1:3" ht="15.75" customHeight="1" x14ac:dyDescent="0.35">
      <c r="A110" s="28"/>
      <c r="B110" s="85"/>
      <c r="C110" s="96"/>
    </row>
    <row r="111" spans="1:3" ht="15.75" customHeight="1" x14ac:dyDescent="0.35">
      <c r="A111" s="28"/>
      <c r="B111" s="85"/>
      <c r="C111" s="96"/>
    </row>
    <row r="112" spans="1:3" ht="15.75" customHeight="1" x14ac:dyDescent="0.35">
      <c r="A112" s="28"/>
      <c r="B112" s="85"/>
      <c r="C112" s="96"/>
    </row>
    <row r="113" spans="1:3" ht="15.75" customHeight="1" x14ac:dyDescent="0.35">
      <c r="A113" s="28"/>
      <c r="B113" s="85"/>
      <c r="C113" s="96"/>
    </row>
    <row r="114" spans="1:3" ht="15.75" customHeight="1" x14ac:dyDescent="0.35">
      <c r="A114" s="28"/>
      <c r="B114" s="85"/>
      <c r="C114" s="96"/>
    </row>
    <row r="115" spans="1:3" ht="15.75" customHeight="1" x14ac:dyDescent="0.35">
      <c r="A115" s="28"/>
      <c r="B115" s="85"/>
      <c r="C115" s="96"/>
    </row>
    <row r="116" spans="1:3" ht="15.75" customHeight="1" x14ac:dyDescent="0.35">
      <c r="A116" s="28"/>
      <c r="B116" s="85"/>
      <c r="C116" s="96"/>
    </row>
    <row r="117" spans="1:3" ht="15.75" customHeight="1" x14ac:dyDescent="0.35">
      <c r="A117" s="28"/>
      <c r="B117" s="85"/>
      <c r="C117" s="96"/>
    </row>
    <row r="118" spans="1:3" ht="15.75" customHeight="1" x14ac:dyDescent="0.35">
      <c r="A118" s="28"/>
      <c r="B118" s="85"/>
      <c r="C118" s="96"/>
    </row>
    <row r="119" spans="1:3" ht="15.75" customHeight="1" x14ac:dyDescent="0.35">
      <c r="A119" s="28"/>
      <c r="B119" s="85"/>
      <c r="C119" s="96"/>
    </row>
    <row r="120" spans="1:3" ht="15.75" customHeight="1" x14ac:dyDescent="0.35">
      <c r="A120" s="28"/>
      <c r="B120" s="85"/>
      <c r="C120" s="96"/>
    </row>
    <row r="121" spans="1:3" ht="15.75" customHeight="1" x14ac:dyDescent="0.35">
      <c r="A121" s="28"/>
      <c r="B121" s="85"/>
      <c r="C121" s="96"/>
    </row>
    <row r="122" spans="1:3" ht="15.75" customHeight="1" x14ac:dyDescent="0.35">
      <c r="A122" s="28"/>
      <c r="B122" s="85"/>
      <c r="C122" s="96"/>
    </row>
    <row r="123" spans="1:3" ht="15.75" customHeight="1" x14ac:dyDescent="0.35">
      <c r="A123" s="28"/>
      <c r="B123" s="85"/>
      <c r="C123" s="96"/>
    </row>
    <row r="124" spans="1:3" ht="15.75" customHeight="1" x14ac:dyDescent="0.35">
      <c r="A124" s="28"/>
      <c r="B124" s="85"/>
      <c r="C124" s="96"/>
    </row>
    <row r="125" spans="1:3" ht="15.75" customHeight="1" x14ac:dyDescent="0.35">
      <c r="A125" s="28"/>
      <c r="B125" s="85"/>
      <c r="C125" s="96"/>
    </row>
    <row r="126" spans="1:3" ht="15.75" customHeight="1" x14ac:dyDescent="0.35">
      <c r="A126" s="28"/>
      <c r="B126" s="85"/>
      <c r="C126" s="96"/>
    </row>
    <row r="127" spans="1:3" ht="15.75" customHeight="1" x14ac:dyDescent="0.35">
      <c r="A127" s="28"/>
      <c r="B127" s="85"/>
      <c r="C127" s="96"/>
    </row>
    <row r="128" spans="1:3" ht="15.75" customHeight="1" x14ac:dyDescent="0.35">
      <c r="A128" s="28"/>
      <c r="B128" s="85"/>
      <c r="C128" s="96"/>
    </row>
    <row r="129" spans="1:3" ht="15.75" customHeight="1" x14ac:dyDescent="0.35">
      <c r="A129" s="28"/>
      <c r="B129" s="85"/>
      <c r="C129" s="96"/>
    </row>
    <row r="130" spans="1:3" ht="15.75" customHeight="1" x14ac:dyDescent="0.35">
      <c r="A130" s="28"/>
      <c r="B130" s="85"/>
      <c r="C130" s="96"/>
    </row>
    <row r="131" spans="1:3" ht="15.75" customHeight="1" x14ac:dyDescent="0.35">
      <c r="A131" s="28"/>
      <c r="B131" s="85"/>
      <c r="C131" s="96"/>
    </row>
    <row r="132" spans="1:3" ht="15.75" customHeight="1" x14ac:dyDescent="0.35">
      <c r="A132" s="28"/>
      <c r="B132" s="85"/>
      <c r="C132" s="96"/>
    </row>
    <row r="133" spans="1:3" ht="15.75" customHeight="1" x14ac:dyDescent="0.35">
      <c r="A133" s="28"/>
      <c r="B133" s="85"/>
      <c r="C133" s="96"/>
    </row>
    <row r="134" spans="1:3" ht="15.75" customHeight="1" x14ac:dyDescent="0.35">
      <c r="A134" s="28"/>
      <c r="B134" s="85"/>
      <c r="C134" s="96"/>
    </row>
    <row r="135" spans="1:3" ht="15.75" customHeight="1" x14ac:dyDescent="0.35">
      <c r="A135" s="28"/>
      <c r="B135" s="85"/>
      <c r="C135" s="96"/>
    </row>
    <row r="136" spans="1:3" ht="15.75" customHeight="1" x14ac:dyDescent="0.35">
      <c r="A136" s="28"/>
      <c r="B136" s="85"/>
      <c r="C136" s="96"/>
    </row>
    <row r="137" spans="1:3" ht="15.75" customHeight="1" x14ac:dyDescent="0.35">
      <c r="A137" s="28"/>
      <c r="B137" s="85"/>
      <c r="C137" s="96"/>
    </row>
    <row r="138" spans="1:3" ht="15.75" customHeight="1" x14ac:dyDescent="0.35">
      <c r="A138" s="28"/>
      <c r="B138" s="85"/>
      <c r="C138" s="96"/>
    </row>
    <row r="139" spans="1:3" ht="15.75" customHeight="1" x14ac:dyDescent="0.35">
      <c r="A139" s="28"/>
      <c r="B139" s="85"/>
      <c r="C139" s="96"/>
    </row>
    <row r="140" spans="1:3" ht="15.75" customHeight="1" x14ac:dyDescent="0.35">
      <c r="A140" s="28"/>
      <c r="B140" s="85"/>
      <c r="C140" s="96"/>
    </row>
    <row r="141" spans="1:3" ht="15.75" customHeight="1" x14ac:dyDescent="0.35">
      <c r="A141" s="28"/>
      <c r="B141" s="85"/>
      <c r="C141" s="96"/>
    </row>
    <row r="142" spans="1:3" ht="15.75" customHeight="1" x14ac:dyDescent="0.35">
      <c r="A142" s="28"/>
      <c r="B142" s="85"/>
      <c r="C142" s="96"/>
    </row>
    <row r="143" spans="1:3" ht="15.75" customHeight="1" x14ac:dyDescent="0.35">
      <c r="A143" s="28"/>
      <c r="B143" s="85"/>
      <c r="C143" s="96"/>
    </row>
    <row r="144" spans="1:3" ht="15.75" customHeight="1" x14ac:dyDescent="0.35">
      <c r="A144" s="28"/>
      <c r="B144" s="85"/>
      <c r="C144" s="96"/>
    </row>
    <row r="145" spans="1:3" ht="15.75" customHeight="1" x14ac:dyDescent="0.35">
      <c r="A145" s="28"/>
      <c r="B145" s="85"/>
      <c r="C145" s="96"/>
    </row>
    <row r="146" spans="1:3" ht="15.75" customHeight="1" x14ac:dyDescent="0.35">
      <c r="A146" s="28"/>
      <c r="B146" s="85"/>
      <c r="C146" s="96"/>
    </row>
    <row r="147" spans="1:3" ht="15.75" customHeight="1" x14ac:dyDescent="0.35">
      <c r="A147" s="28"/>
      <c r="B147" s="85"/>
      <c r="C147" s="96"/>
    </row>
    <row r="148" spans="1:3" ht="15.75" customHeight="1" x14ac:dyDescent="0.35">
      <c r="A148" s="28"/>
      <c r="B148" s="85"/>
      <c r="C148" s="96"/>
    </row>
    <row r="149" spans="1:3" ht="15.75" customHeight="1" x14ac:dyDescent="0.35">
      <c r="A149" s="28"/>
      <c r="B149" s="85"/>
      <c r="C149" s="96"/>
    </row>
    <row r="150" spans="1:3" ht="15.75" customHeight="1" x14ac:dyDescent="0.35">
      <c r="A150" s="28"/>
      <c r="B150" s="85"/>
      <c r="C150" s="96"/>
    </row>
    <row r="151" spans="1:3" ht="15.75" customHeight="1" x14ac:dyDescent="0.35">
      <c r="A151" s="28"/>
      <c r="B151" s="85"/>
      <c r="C151" s="96"/>
    </row>
    <row r="152" spans="1:3" ht="15.75" customHeight="1" x14ac:dyDescent="0.35">
      <c r="A152" s="28"/>
      <c r="B152" s="85"/>
      <c r="C152" s="96"/>
    </row>
    <row r="153" spans="1:3" ht="15.75" customHeight="1" x14ac:dyDescent="0.35">
      <c r="A153" s="28"/>
      <c r="B153" s="85"/>
      <c r="C153" s="96"/>
    </row>
    <row r="154" spans="1:3" ht="15.75" customHeight="1" x14ac:dyDescent="0.35">
      <c r="A154" s="28"/>
      <c r="B154" s="85"/>
      <c r="C154" s="96"/>
    </row>
    <row r="155" spans="1:3" ht="15.75" customHeight="1" x14ac:dyDescent="0.35">
      <c r="A155" s="28"/>
      <c r="B155" s="85"/>
      <c r="C155" s="96"/>
    </row>
    <row r="156" spans="1:3" ht="15.75" customHeight="1" x14ac:dyDescent="0.35">
      <c r="A156" s="28"/>
      <c r="B156" s="85"/>
      <c r="C156" s="96"/>
    </row>
    <row r="157" spans="1:3" ht="15.75" customHeight="1" x14ac:dyDescent="0.35">
      <c r="A157" s="28"/>
      <c r="B157" s="85"/>
      <c r="C157" s="96"/>
    </row>
    <row r="158" spans="1:3" ht="15.75" customHeight="1" x14ac:dyDescent="0.35">
      <c r="A158" s="28"/>
      <c r="B158" s="85"/>
      <c r="C158" s="96"/>
    </row>
    <row r="159" spans="1:3" ht="15.75" customHeight="1" x14ac:dyDescent="0.35">
      <c r="A159" s="28"/>
      <c r="B159" s="85"/>
      <c r="C159" s="96"/>
    </row>
    <row r="160" spans="1:3" ht="15.75" customHeight="1" x14ac:dyDescent="0.35">
      <c r="A160" s="28"/>
      <c r="B160" s="85"/>
      <c r="C160" s="96"/>
    </row>
    <row r="161" spans="1:3" ht="15.75" customHeight="1" x14ac:dyDescent="0.35">
      <c r="A161" s="28"/>
      <c r="B161" s="85"/>
      <c r="C161" s="96"/>
    </row>
    <row r="162" spans="1:3" ht="15.75" customHeight="1" x14ac:dyDescent="0.35">
      <c r="A162" s="28"/>
      <c r="B162" s="85"/>
      <c r="C162" s="96"/>
    </row>
    <row r="163" spans="1:3" ht="15.75" customHeight="1" x14ac:dyDescent="0.35">
      <c r="A163" s="28"/>
      <c r="B163" s="85"/>
      <c r="C163" s="96"/>
    </row>
    <row r="164" spans="1:3" ht="15.75" customHeight="1" x14ac:dyDescent="0.35">
      <c r="A164" s="28"/>
      <c r="B164" s="85"/>
      <c r="C164" s="96"/>
    </row>
    <row r="165" spans="1:3" ht="15.75" customHeight="1" x14ac:dyDescent="0.35">
      <c r="A165" s="28"/>
      <c r="B165" s="85"/>
      <c r="C165" s="96"/>
    </row>
    <row r="166" spans="1:3" ht="15.75" customHeight="1" x14ac:dyDescent="0.35">
      <c r="A166" s="28"/>
      <c r="B166" s="85"/>
      <c r="C166" s="96"/>
    </row>
    <row r="167" spans="1:3" ht="15.75" customHeight="1" x14ac:dyDescent="0.35">
      <c r="A167" s="28"/>
      <c r="B167" s="85"/>
      <c r="C167" s="96"/>
    </row>
    <row r="168" spans="1:3" ht="15.75" customHeight="1" x14ac:dyDescent="0.35">
      <c r="A168" s="28"/>
      <c r="B168" s="85"/>
      <c r="C168" s="96"/>
    </row>
    <row r="169" spans="1:3" ht="15.75" customHeight="1" x14ac:dyDescent="0.35">
      <c r="A169" s="28"/>
      <c r="B169" s="85"/>
      <c r="C169" s="96"/>
    </row>
    <row r="170" spans="1:3" ht="15.75" customHeight="1" x14ac:dyDescent="0.35">
      <c r="A170" s="28"/>
      <c r="B170" s="85"/>
      <c r="C170" s="96"/>
    </row>
    <row r="171" spans="1:3" ht="15.75" customHeight="1" x14ac:dyDescent="0.35">
      <c r="A171" s="28"/>
      <c r="B171" s="85"/>
      <c r="C171" s="96"/>
    </row>
    <row r="172" spans="1:3" ht="15.75" customHeight="1" x14ac:dyDescent="0.35">
      <c r="A172" s="28"/>
      <c r="B172" s="85"/>
      <c r="C172" s="96"/>
    </row>
    <row r="173" spans="1:3" ht="15.75" customHeight="1" x14ac:dyDescent="0.35">
      <c r="A173" s="28"/>
      <c r="B173" s="85"/>
      <c r="C173" s="96"/>
    </row>
    <row r="174" spans="1:3" ht="15.75" customHeight="1" x14ac:dyDescent="0.35">
      <c r="A174" s="28"/>
      <c r="B174" s="85"/>
      <c r="C174" s="96"/>
    </row>
    <row r="175" spans="1:3" ht="15.75" customHeight="1" x14ac:dyDescent="0.35">
      <c r="A175" s="28"/>
      <c r="B175" s="85"/>
      <c r="C175" s="96"/>
    </row>
    <row r="176" spans="1:3" ht="15.75" customHeight="1" x14ac:dyDescent="0.35">
      <c r="A176" s="28"/>
      <c r="B176" s="85"/>
      <c r="C176" s="96"/>
    </row>
    <row r="177" spans="1:3" ht="15.75" customHeight="1" x14ac:dyDescent="0.35">
      <c r="A177" s="28"/>
      <c r="B177" s="85"/>
      <c r="C177" s="96"/>
    </row>
    <row r="178" spans="1:3" ht="15.75" customHeight="1" x14ac:dyDescent="0.35">
      <c r="A178" s="28"/>
      <c r="B178" s="85"/>
      <c r="C178" s="96"/>
    </row>
    <row r="179" spans="1:3" ht="15.75" customHeight="1" x14ac:dyDescent="0.35">
      <c r="A179" s="28"/>
      <c r="B179" s="85"/>
      <c r="C179" s="96"/>
    </row>
    <row r="180" spans="1:3" ht="15.75" customHeight="1" x14ac:dyDescent="0.35">
      <c r="A180" s="28"/>
      <c r="B180" s="85"/>
      <c r="C180" s="96"/>
    </row>
    <row r="181" spans="1:3" ht="15.75" customHeight="1" x14ac:dyDescent="0.35">
      <c r="A181" s="28"/>
      <c r="B181" s="85"/>
      <c r="C181" s="96"/>
    </row>
    <row r="182" spans="1:3" ht="15.75" customHeight="1" x14ac:dyDescent="0.35">
      <c r="A182" s="28"/>
      <c r="B182" s="85"/>
      <c r="C182" s="96"/>
    </row>
    <row r="183" spans="1:3" ht="15.75" customHeight="1" x14ac:dyDescent="0.35">
      <c r="A183" s="28"/>
      <c r="B183" s="85"/>
      <c r="C183" s="96"/>
    </row>
    <row r="184" spans="1:3" ht="15.75" customHeight="1" x14ac:dyDescent="0.35">
      <c r="A184" s="28"/>
      <c r="B184" s="85"/>
      <c r="C184" s="96"/>
    </row>
    <row r="185" spans="1:3" ht="15.75" customHeight="1" x14ac:dyDescent="0.35">
      <c r="A185" s="28"/>
      <c r="B185" s="85"/>
      <c r="C185" s="96"/>
    </row>
    <row r="186" spans="1:3" ht="15.75" customHeight="1" x14ac:dyDescent="0.35">
      <c r="A186" s="28"/>
      <c r="B186" s="85"/>
      <c r="C186" s="96"/>
    </row>
    <row r="187" spans="1:3" ht="15.75" customHeight="1" x14ac:dyDescent="0.35">
      <c r="A187" s="28"/>
      <c r="B187" s="85"/>
      <c r="C187" s="96"/>
    </row>
    <row r="188" spans="1:3" ht="15.75" customHeight="1" x14ac:dyDescent="0.35">
      <c r="A188" s="28"/>
      <c r="B188" s="85"/>
      <c r="C188" s="96"/>
    </row>
    <row r="189" spans="1:3" ht="15.75" customHeight="1" x14ac:dyDescent="0.35">
      <c r="A189" s="28"/>
      <c r="B189" s="85"/>
      <c r="C189" s="96"/>
    </row>
    <row r="190" spans="1:3" ht="15.75" customHeight="1" x14ac:dyDescent="0.35">
      <c r="A190" s="28"/>
      <c r="B190" s="85"/>
      <c r="C190" s="96"/>
    </row>
    <row r="191" spans="1:3" ht="15.75" customHeight="1" x14ac:dyDescent="0.35">
      <c r="A191" s="28"/>
      <c r="B191" s="85"/>
      <c r="C191" s="96"/>
    </row>
    <row r="192" spans="1:3" ht="15.75" customHeight="1" x14ac:dyDescent="0.35">
      <c r="A192" s="28"/>
      <c r="B192" s="85"/>
      <c r="C192" s="96"/>
    </row>
    <row r="193" spans="1:3" ht="15.75" customHeight="1" x14ac:dyDescent="0.35">
      <c r="A193" s="28"/>
      <c r="B193" s="85"/>
      <c r="C193" s="96"/>
    </row>
    <row r="194" spans="1:3" ht="15.75" customHeight="1" x14ac:dyDescent="0.35">
      <c r="A194" s="28"/>
      <c r="B194" s="85"/>
      <c r="C194" s="96"/>
    </row>
    <row r="195" spans="1:3" ht="15.75" customHeight="1" x14ac:dyDescent="0.35">
      <c r="A195" s="28"/>
      <c r="B195" s="85"/>
      <c r="C195" s="96"/>
    </row>
    <row r="196" spans="1:3" ht="15.75" customHeight="1" x14ac:dyDescent="0.35">
      <c r="A196" s="28"/>
      <c r="B196" s="85"/>
      <c r="C196" s="96"/>
    </row>
    <row r="197" spans="1:3" ht="15.75" customHeight="1" x14ac:dyDescent="0.35">
      <c r="A197" s="28"/>
      <c r="B197" s="85"/>
      <c r="C197" s="96"/>
    </row>
    <row r="198" spans="1:3" ht="15.75" customHeight="1" x14ac:dyDescent="0.35">
      <c r="A198" s="28"/>
      <c r="B198" s="85"/>
      <c r="C198" s="96"/>
    </row>
    <row r="199" spans="1:3" ht="15.75" customHeight="1" x14ac:dyDescent="0.35">
      <c r="A199" s="28"/>
      <c r="B199" s="85"/>
      <c r="C199" s="96"/>
    </row>
    <row r="200" spans="1:3" ht="15.75" customHeight="1" x14ac:dyDescent="0.35">
      <c r="A200" s="28"/>
      <c r="B200" s="85"/>
      <c r="C200" s="96"/>
    </row>
    <row r="201" spans="1:3" ht="15.75" customHeight="1" x14ac:dyDescent="0.35">
      <c r="A201" s="28"/>
      <c r="B201" s="85"/>
      <c r="C201" s="96"/>
    </row>
    <row r="202" spans="1:3" ht="15.75" customHeight="1" x14ac:dyDescent="0.35">
      <c r="A202" s="28"/>
      <c r="B202" s="85"/>
      <c r="C202" s="96"/>
    </row>
    <row r="203" spans="1:3" ht="15.75" customHeight="1" x14ac:dyDescent="0.35">
      <c r="A203" s="28"/>
      <c r="B203" s="85"/>
      <c r="C203" s="96"/>
    </row>
    <row r="204" spans="1:3" ht="15.75" customHeight="1" x14ac:dyDescent="0.35">
      <c r="A204" s="28"/>
      <c r="B204" s="85"/>
      <c r="C204" s="96"/>
    </row>
    <row r="205" spans="1:3" ht="15.75" customHeight="1" x14ac:dyDescent="0.35">
      <c r="A205" s="28"/>
      <c r="B205" s="85"/>
      <c r="C205" s="96"/>
    </row>
    <row r="206" spans="1:3" ht="15.75" customHeight="1" x14ac:dyDescent="0.35">
      <c r="A206" s="28"/>
      <c r="B206" s="85"/>
      <c r="C206" s="96"/>
    </row>
    <row r="207" spans="1:3" ht="15.75" customHeight="1" x14ac:dyDescent="0.35">
      <c r="A207" s="28"/>
      <c r="B207" s="85"/>
      <c r="C207" s="96"/>
    </row>
    <row r="208" spans="1:3" ht="15.75" customHeight="1" x14ac:dyDescent="0.35">
      <c r="A208" s="28"/>
      <c r="B208" s="85"/>
      <c r="C208" s="96"/>
    </row>
    <row r="209" spans="1:3" ht="15.75" customHeight="1" x14ac:dyDescent="0.35">
      <c r="A209" s="28"/>
      <c r="B209" s="85"/>
      <c r="C209" s="96"/>
    </row>
    <row r="210" spans="1:3" ht="15.75" customHeight="1" x14ac:dyDescent="0.35">
      <c r="A210" s="28"/>
      <c r="B210" s="85"/>
      <c r="C210" s="96"/>
    </row>
    <row r="211" spans="1:3" ht="15.75" customHeight="1" x14ac:dyDescent="0.35">
      <c r="A211" s="28"/>
      <c r="B211" s="85"/>
      <c r="C211" s="96"/>
    </row>
    <row r="212" spans="1:3" ht="15.75" customHeight="1" x14ac:dyDescent="0.35">
      <c r="A212" s="28"/>
      <c r="B212" s="85"/>
      <c r="C212" s="96"/>
    </row>
    <row r="213" spans="1:3" ht="15.75" customHeight="1" x14ac:dyDescent="0.35">
      <c r="A213" s="28"/>
      <c r="B213" s="85"/>
      <c r="C213" s="96"/>
    </row>
    <row r="214" spans="1:3" ht="15.75" customHeight="1" x14ac:dyDescent="0.35">
      <c r="A214" s="28"/>
      <c r="B214" s="85"/>
      <c r="C214" s="96"/>
    </row>
    <row r="215" spans="1:3" ht="15.75" customHeight="1" x14ac:dyDescent="0.35">
      <c r="A215" s="28"/>
      <c r="B215" s="85"/>
      <c r="C215" s="96"/>
    </row>
    <row r="216" spans="1:3" ht="15.75" customHeight="1" x14ac:dyDescent="0.35">
      <c r="A216" s="28"/>
      <c r="B216" s="85"/>
      <c r="C216" s="96"/>
    </row>
    <row r="217" spans="1:3" ht="15.75" customHeight="1" x14ac:dyDescent="0.35">
      <c r="A217" s="28"/>
      <c r="B217" s="85"/>
      <c r="C217" s="96"/>
    </row>
    <row r="218" spans="1:3" ht="15.75" customHeight="1" x14ac:dyDescent="0.35">
      <c r="A218" s="28"/>
      <c r="B218" s="85"/>
      <c r="C218" s="96"/>
    </row>
    <row r="219" spans="1:3" ht="15.75" customHeight="1" x14ac:dyDescent="0.35">
      <c r="A219" s="28"/>
      <c r="B219" s="85"/>
      <c r="C219" s="96"/>
    </row>
    <row r="220" spans="1:3" ht="15.75" customHeight="1" x14ac:dyDescent="0.35">
      <c r="A220" s="28"/>
      <c r="B220" s="85"/>
      <c r="C220" s="96"/>
    </row>
    <row r="221" spans="1:3" ht="15.75" customHeight="1" x14ac:dyDescent="0.35">
      <c r="A221" s="28"/>
      <c r="B221" s="85"/>
      <c r="C221" s="96"/>
    </row>
    <row r="222" spans="1:3" ht="15.75" customHeight="1" x14ac:dyDescent="0.35">
      <c r="A222" s="28"/>
      <c r="B222" s="85"/>
      <c r="C222" s="96"/>
    </row>
    <row r="223" spans="1:3" ht="15.75" customHeight="1" x14ac:dyDescent="0.35">
      <c r="A223" s="28"/>
      <c r="B223" s="85"/>
      <c r="C223" s="96"/>
    </row>
    <row r="224" spans="1:3" ht="15.75" customHeight="1" x14ac:dyDescent="0.35">
      <c r="A224" s="28"/>
      <c r="B224" s="85"/>
      <c r="C224" s="96"/>
    </row>
    <row r="225" spans="1:3" ht="15.75" customHeight="1" x14ac:dyDescent="0.35">
      <c r="A225" s="28"/>
      <c r="B225" s="85"/>
      <c r="C225" s="96"/>
    </row>
    <row r="226" spans="1:3" ht="15.75" customHeight="1" x14ac:dyDescent="0.35">
      <c r="A226" s="28"/>
      <c r="B226" s="85"/>
      <c r="C226" s="96"/>
    </row>
    <row r="227" spans="1:3" ht="15.75" customHeight="1" x14ac:dyDescent="0.35">
      <c r="A227" s="28"/>
      <c r="B227" s="85"/>
      <c r="C227" s="96"/>
    </row>
    <row r="228" spans="1:3" ht="15.75" customHeight="1" x14ac:dyDescent="0.35">
      <c r="A228" s="28"/>
      <c r="B228" s="85"/>
      <c r="C228" s="96"/>
    </row>
    <row r="229" spans="1:3" ht="15.75" customHeight="1" x14ac:dyDescent="0.35">
      <c r="A229" s="28"/>
      <c r="B229" s="85"/>
      <c r="C229" s="96"/>
    </row>
    <row r="230" spans="1:3" ht="15.75" customHeight="1" x14ac:dyDescent="0.35">
      <c r="A230" s="28"/>
      <c r="B230" s="85"/>
      <c r="C230" s="96"/>
    </row>
    <row r="231" spans="1:3" ht="15.75" customHeight="1" x14ac:dyDescent="0.35">
      <c r="A231" s="28"/>
      <c r="B231" s="85"/>
      <c r="C231" s="96"/>
    </row>
    <row r="232" spans="1:3" ht="15.75" customHeight="1" x14ac:dyDescent="0.35">
      <c r="A232" s="28"/>
      <c r="B232" s="85"/>
      <c r="C232" s="96"/>
    </row>
    <row r="233" spans="1:3" ht="15.75" customHeight="1" x14ac:dyDescent="0.35">
      <c r="A233" s="28"/>
      <c r="B233" s="85"/>
      <c r="C233" s="96"/>
    </row>
    <row r="234" spans="1:3" ht="15.75" customHeight="1" x14ac:dyDescent="0.35">
      <c r="A234" s="28"/>
      <c r="B234" s="85"/>
      <c r="C234" s="96"/>
    </row>
    <row r="235" spans="1:3" ht="15.75" customHeight="1" x14ac:dyDescent="0.35">
      <c r="A235" s="28"/>
      <c r="B235" s="85"/>
      <c r="C235" s="96"/>
    </row>
    <row r="236" spans="1:3" ht="15.75" customHeight="1" x14ac:dyDescent="0.35">
      <c r="A236" s="28"/>
      <c r="B236" s="85"/>
      <c r="C236" s="96"/>
    </row>
    <row r="237" spans="1:3" ht="15.75" customHeight="1" x14ac:dyDescent="0.35">
      <c r="A237" s="28"/>
      <c r="B237" s="85"/>
      <c r="C237" s="96"/>
    </row>
    <row r="238" spans="1:3" ht="15.75" customHeight="1" x14ac:dyDescent="0.35">
      <c r="A238" s="28"/>
      <c r="B238" s="85"/>
      <c r="C238" s="96"/>
    </row>
    <row r="239" spans="1:3" ht="15.75" customHeight="1" x14ac:dyDescent="0.35">
      <c r="A239" s="28"/>
      <c r="B239" s="85"/>
      <c r="C239" s="96"/>
    </row>
    <row r="240" spans="1:3" ht="15.75" customHeight="1" x14ac:dyDescent="0.35">
      <c r="A240" s="28"/>
      <c r="B240" s="85"/>
      <c r="C240" s="96"/>
    </row>
    <row r="241" spans="1:3" ht="15.75" customHeight="1" x14ac:dyDescent="0.35">
      <c r="A241" s="28"/>
      <c r="B241" s="85"/>
      <c r="C241" s="96"/>
    </row>
    <row r="242" spans="1:3" ht="15.75" customHeight="1" x14ac:dyDescent="0.35">
      <c r="A242" s="28"/>
      <c r="B242" s="85"/>
      <c r="C242" s="96"/>
    </row>
    <row r="243" spans="1:3" ht="15.75" customHeight="1" x14ac:dyDescent="0.35">
      <c r="A243" s="28"/>
      <c r="B243" s="85"/>
      <c r="C243" s="96"/>
    </row>
    <row r="244" spans="1:3" ht="15.75" customHeight="1" x14ac:dyDescent="0.35">
      <c r="A244" s="28"/>
      <c r="B244" s="85"/>
      <c r="C244" s="96"/>
    </row>
    <row r="245" spans="1:3" ht="15.75" customHeight="1" x14ac:dyDescent="0.35">
      <c r="A245" s="28"/>
      <c r="B245" s="85"/>
      <c r="C245" s="96"/>
    </row>
    <row r="246" spans="1:3" ht="15.75" customHeight="1" x14ac:dyDescent="0.35">
      <c r="A246" s="28"/>
      <c r="B246" s="85"/>
      <c r="C246" s="96"/>
    </row>
    <row r="247" spans="1:3" ht="15.75" customHeight="1" x14ac:dyDescent="0.35">
      <c r="A247" s="28"/>
      <c r="B247" s="85"/>
      <c r="C247" s="96"/>
    </row>
    <row r="248" spans="1:3" ht="15.75" customHeight="1" x14ac:dyDescent="0.35">
      <c r="A248" s="28"/>
      <c r="B248" s="85"/>
      <c r="C248" s="96"/>
    </row>
    <row r="249" spans="1:3" ht="15.75" customHeight="1" x14ac:dyDescent="0.35">
      <c r="A249" s="28"/>
      <c r="B249" s="85"/>
      <c r="C249" s="96"/>
    </row>
    <row r="250" spans="1:3" ht="15.75" customHeight="1" x14ac:dyDescent="0.35">
      <c r="A250" s="28"/>
      <c r="B250" s="85"/>
      <c r="C250" s="96"/>
    </row>
    <row r="251" spans="1:3" ht="15.75" customHeight="1" x14ac:dyDescent="0.35">
      <c r="A251" s="28"/>
      <c r="B251" s="85"/>
      <c r="C251" s="96"/>
    </row>
    <row r="252" spans="1:3" ht="15.75" customHeight="1" x14ac:dyDescent="0.35">
      <c r="A252" s="28"/>
      <c r="B252" s="85"/>
      <c r="C252" s="96"/>
    </row>
    <row r="253" spans="1:3" ht="15.75" customHeight="1" x14ac:dyDescent="0.35">
      <c r="A253" s="28"/>
      <c r="B253" s="85"/>
      <c r="C253" s="96"/>
    </row>
    <row r="254" spans="1:3" ht="15.75" customHeight="1" x14ac:dyDescent="0.35">
      <c r="A254" s="28"/>
      <c r="B254" s="85"/>
      <c r="C254" s="96"/>
    </row>
    <row r="255" spans="1:3" ht="15.75" customHeight="1" x14ac:dyDescent="0.35">
      <c r="A255" s="28"/>
      <c r="B255" s="85"/>
      <c r="C255" s="96"/>
    </row>
    <row r="256" spans="1:3" ht="15.75" customHeight="1" x14ac:dyDescent="0.35">
      <c r="A256" s="28"/>
      <c r="B256" s="85"/>
      <c r="C256" s="96"/>
    </row>
    <row r="257" spans="1:3" ht="15.75" customHeight="1" x14ac:dyDescent="0.35">
      <c r="A257" s="28"/>
      <c r="B257" s="85"/>
      <c r="C257" s="96"/>
    </row>
    <row r="258" spans="1:3" ht="15.75" customHeight="1" x14ac:dyDescent="0.35">
      <c r="A258" s="28"/>
      <c r="B258" s="85"/>
      <c r="C258" s="96"/>
    </row>
    <row r="259" spans="1:3" ht="15.75" customHeight="1" x14ac:dyDescent="0.35">
      <c r="A259" s="28"/>
      <c r="B259" s="85"/>
      <c r="C259" s="96"/>
    </row>
    <row r="260" spans="1:3" ht="15.75" customHeight="1" x14ac:dyDescent="0.35">
      <c r="A260" s="28"/>
      <c r="B260" s="85"/>
      <c r="C260" s="96"/>
    </row>
    <row r="261" spans="1:3" ht="15.75" customHeight="1" x14ac:dyDescent="0.35">
      <c r="A261" s="28"/>
      <c r="B261" s="85"/>
      <c r="C261" s="96"/>
    </row>
    <row r="262" spans="1:3" ht="15.75" customHeight="1" x14ac:dyDescent="0.35">
      <c r="A262" s="28"/>
      <c r="B262" s="85"/>
      <c r="C262" s="96"/>
    </row>
    <row r="263" spans="1:3" ht="15.75" customHeight="1" x14ac:dyDescent="0.35">
      <c r="A263" s="28"/>
      <c r="B263" s="85"/>
      <c r="C263" s="96"/>
    </row>
    <row r="264" spans="1:3" ht="15.75" customHeight="1" x14ac:dyDescent="0.35">
      <c r="A264" s="28"/>
      <c r="B264" s="85"/>
      <c r="C264" s="96"/>
    </row>
    <row r="265" spans="1:3" ht="15.75" customHeight="1" x14ac:dyDescent="0.35">
      <c r="A265" s="28"/>
      <c r="B265" s="85"/>
      <c r="C265" s="96"/>
    </row>
    <row r="266" spans="1:3" ht="15.75" customHeight="1" x14ac:dyDescent="0.35">
      <c r="A266" s="28"/>
      <c r="B266" s="85"/>
      <c r="C266" s="96"/>
    </row>
    <row r="267" spans="1:3" ht="15.75" customHeight="1" x14ac:dyDescent="0.35">
      <c r="A267" s="28"/>
      <c r="B267" s="85"/>
      <c r="C267" s="96"/>
    </row>
    <row r="268" spans="1:3" ht="15.75" customHeight="1" x14ac:dyDescent="0.35">
      <c r="A268" s="28"/>
      <c r="B268" s="85"/>
      <c r="C268" s="96"/>
    </row>
    <row r="269" spans="1:3" ht="15.75" customHeight="1" x14ac:dyDescent="0.35">
      <c r="A269" s="28"/>
      <c r="B269" s="85"/>
      <c r="C269" s="96"/>
    </row>
    <row r="270" spans="1:3" ht="15.75" customHeight="1" x14ac:dyDescent="0.35">
      <c r="A270" s="28"/>
      <c r="B270" s="85"/>
      <c r="C270" s="96"/>
    </row>
    <row r="271" spans="1:3" ht="15.75" customHeight="1" x14ac:dyDescent="0.35">
      <c r="A271" s="28"/>
      <c r="B271" s="85"/>
      <c r="C271" s="96"/>
    </row>
    <row r="272" spans="1:3" ht="15.75" customHeight="1" x14ac:dyDescent="0.35">
      <c r="A272" s="28"/>
      <c r="B272" s="85"/>
      <c r="C272" s="96"/>
    </row>
    <row r="273" spans="1:3" ht="15.75" customHeight="1" x14ac:dyDescent="0.35">
      <c r="A273" s="28"/>
      <c r="B273" s="85"/>
      <c r="C273" s="96"/>
    </row>
    <row r="274" spans="1:3" ht="15.75" customHeight="1" x14ac:dyDescent="0.35">
      <c r="A274" s="28"/>
      <c r="B274" s="85"/>
      <c r="C274" s="96"/>
    </row>
    <row r="275" spans="1:3" ht="15.75" customHeight="1" x14ac:dyDescent="0.35">
      <c r="A275" s="28"/>
      <c r="B275" s="85"/>
      <c r="C275" s="96"/>
    </row>
    <row r="276" spans="1:3" ht="15.75" customHeight="1" x14ac:dyDescent="0.35">
      <c r="A276" s="28"/>
      <c r="B276" s="85"/>
      <c r="C276" s="96"/>
    </row>
    <row r="277" spans="1:3" ht="15.75" customHeight="1" x14ac:dyDescent="0.35">
      <c r="A277" s="28"/>
      <c r="B277" s="85"/>
      <c r="C277" s="96"/>
    </row>
    <row r="278" spans="1:3" ht="15.75" customHeight="1" x14ac:dyDescent="0.35">
      <c r="A278" s="28"/>
      <c r="B278" s="85"/>
      <c r="C278" s="96"/>
    </row>
    <row r="279" spans="1:3" ht="15.75" customHeight="1" x14ac:dyDescent="0.35">
      <c r="A279" s="28"/>
      <c r="B279" s="85"/>
      <c r="C279" s="96"/>
    </row>
    <row r="280" spans="1:3" ht="15.75" customHeight="1" x14ac:dyDescent="0.35">
      <c r="A280" s="28"/>
      <c r="B280" s="85"/>
      <c r="C280" s="96"/>
    </row>
    <row r="281" spans="1:3" ht="15.75" customHeight="1" x14ac:dyDescent="0.35">
      <c r="A281" s="28"/>
      <c r="B281" s="85"/>
      <c r="C281" s="96"/>
    </row>
    <row r="282" spans="1:3" ht="15.75" customHeight="1" x14ac:dyDescent="0.35">
      <c r="A282" s="28"/>
      <c r="B282" s="85"/>
      <c r="C282" s="96"/>
    </row>
    <row r="283" spans="1:3" ht="15.75" customHeight="1" x14ac:dyDescent="0.35">
      <c r="A283" s="28"/>
      <c r="B283" s="85"/>
      <c r="C283" s="96"/>
    </row>
    <row r="284" spans="1:3" ht="15.75" customHeight="1" x14ac:dyDescent="0.35">
      <c r="A284" s="28"/>
      <c r="B284" s="85"/>
      <c r="C284" s="96"/>
    </row>
    <row r="285" spans="1:3" ht="15.75" customHeight="1" x14ac:dyDescent="0.35">
      <c r="A285" s="28"/>
      <c r="B285" s="85"/>
      <c r="C285" s="96"/>
    </row>
    <row r="286" spans="1:3" ht="15.75" customHeight="1" x14ac:dyDescent="0.35">
      <c r="A286" s="28"/>
      <c r="B286" s="85"/>
      <c r="C286" s="96"/>
    </row>
    <row r="287" spans="1:3" ht="15.75" customHeight="1" x14ac:dyDescent="0.35">
      <c r="A287" s="28"/>
      <c r="B287" s="85"/>
      <c r="C287" s="96"/>
    </row>
    <row r="288" spans="1:3" ht="15.75" customHeight="1" x14ac:dyDescent="0.35">
      <c r="A288" s="28"/>
      <c r="B288" s="85"/>
      <c r="C288" s="96"/>
    </row>
    <row r="289" spans="1:3" ht="15.75" customHeight="1" x14ac:dyDescent="0.35">
      <c r="A289" s="28"/>
      <c r="B289" s="85"/>
      <c r="C289" s="96"/>
    </row>
    <row r="290" spans="1:3" ht="15.75" customHeight="1" x14ac:dyDescent="0.35">
      <c r="A290" s="28"/>
      <c r="B290" s="85"/>
      <c r="C290" s="96"/>
    </row>
    <row r="291" spans="1:3" ht="15.75" customHeight="1" x14ac:dyDescent="0.35">
      <c r="A291" s="28"/>
      <c r="B291" s="85"/>
      <c r="C291" s="96"/>
    </row>
    <row r="292" spans="1:3" ht="15.75" customHeight="1" x14ac:dyDescent="0.35">
      <c r="A292" s="28"/>
      <c r="B292" s="85"/>
      <c r="C292" s="96"/>
    </row>
    <row r="293" spans="1:3" ht="15.75" customHeight="1" x14ac:dyDescent="0.35">
      <c r="A293" s="28"/>
      <c r="B293" s="85"/>
      <c r="C293" s="96"/>
    </row>
    <row r="294" spans="1:3" ht="15.75" customHeight="1" x14ac:dyDescent="0.35">
      <c r="A294" s="28"/>
      <c r="B294" s="85"/>
      <c r="C294" s="96"/>
    </row>
    <row r="295" spans="1:3" ht="15.75" customHeight="1" x14ac:dyDescent="0.35">
      <c r="A295" s="28"/>
      <c r="B295" s="85"/>
      <c r="C295" s="96"/>
    </row>
    <row r="296" spans="1:3" ht="15.75" customHeight="1" x14ac:dyDescent="0.35">
      <c r="A296" s="28"/>
      <c r="B296" s="85"/>
      <c r="C296" s="96"/>
    </row>
    <row r="297" spans="1:3" ht="15.75" customHeight="1" x14ac:dyDescent="0.35">
      <c r="A297" s="28"/>
      <c r="B297" s="85"/>
      <c r="C297" s="96"/>
    </row>
    <row r="298" spans="1:3" ht="15.75" customHeight="1" x14ac:dyDescent="0.35">
      <c r="A298" s="28"/>
      <c r="B298" s="85"/>
      <c r="C298" s="96"/>
    </row>
    <row r="299" spans="1:3" ht="15.75" customHeight="1" x14ac:dyDescent="0.35">
      <c r="A299" s="28"/>
      <c r="B299" s="85"/>
      <c r="C299" s="96"/>
    </row>
    <row r="300" spans="1:3" ht="15.75" customHeight="1" x14ac:dyDescent="0.35">
      <c r="A300" s="28"/>
      <c r="B300" s="85"/>
      <c r="C300" s="96"/>
    </row>
    <row r="301" spans="1:3" ht="15.75" customHeight="1" x14ac:dyDescent="0.35">
      <c r="A301" s="28"/>
      <c r="B301" s="85"/>
      <c r="C301" s="96"/>
    </row>
    <row r="302" spans="1:3" ht="15.75" customHeight="1" x14ac:dyDescent="0.35">
      <c r="A302" s="28"/>
      <c r="B302" s="85"/>
      <c r="C302" s="96"/>
    </row>
    <row r="303" spans="1:3" ht="15.75" customHeight="1" x14ac:dyDescent="0.35">
      <c r="A303" s="28"/>
      <c r="B303" s="85"/>
      <c r="C303" s="96"/>
    </row>
    <row r="304" spans="1:3" ht="15.75" customHeight="1" x14ac:dyDescent="0.35">
      <c r="A304" s="28"/>
      <c r="B304" s="85"/>
      <c r="C304" s="96"/>
    </row>
    <row r="305" spans="1:3" ht="15.75" customHeight="1" x14ac:dyDescent="0.35">
      <c r="A305" s="28"/>
      <c r="B305" s="85"/>
      <c r="C305" s="96"/>
    </row>
    <row r="306" spans="1:3" ht="15.75" customHeight="1" x14ac:dyDescent="0.35">
      <c r="A306" s="28"/>
      <c r="B306" s="85"/>
      <c r="C306" s="96"/>
    </row>
    <row r="307" spans="1:3" ht="15.75" customHeight="1" x14ac:dyDescent="0.35">
      <c r="A307" s="28"/>
      <c r="B307" s="85"/>
      <c r="C307" s="96"/>
    </row>
    <row r="308" spans="1:3" ht="15.75" customHeight="1" x14ac:dyDescent="0.35">
      <c r="A308" s="28"/>
      <c r="B308" s="85"/>
      <c r="C308" s="96"/>
    </row>
    <row r="309" spans="1:3" ht="15.75" customHeight="1" x14ac:dyDescent="0.35">
      <c r="A309" s="28"/>
      <c r="B309" s="85"/>
      <c r="C309" s="96"/>
    </row>
    <row r="310" spans="1:3" ht="15.75" customHeight="1" x14ac:dyDescent="0.35">
      <c r="A310" s="28"/>
      <c r="B310" s="85"/>
      <c r="C310" s="96"/>
    </row>
    <row r="311" spans="1:3" ht="15.75" customHeight="1" x14ac:dyDescent="0.35">
      <c r="A311" s="28"/>
      <c r="B311" s="85"/>
      <c r="C311" s="96"/>
    </row>
    <row r="312" spans="1:3" ht="15.75" customHeight="1" x14ac:dyDescent="0.35">
      <c r="A312" s="28"/>
      <c r="B312" s="85"/>
      <c r="C312" s="96"/>
    </row>
    <row r="313" spans="1:3" ht="15.75" customHeight="1" x14ac:dyDescent="0.35">
      <c r="A313" s="28"/>
      <c r="B313" s="85"/>
      <c r="C313" s="96"/>
    </row>
    <row r="314" spans="1:3" ht="15.75" customHeight="1" x14ac:dyDescent="0.35">
      <c r="A314" s="28"/>
      <c r="B314" s="85"/>
      <c r="C314" s="96"/>
    </row>
    <row r="315" spans="1:3" ht="15.75" customHeight="1" x14ac:dyDescent="0.35">
      <c r="A315" s="28"/>
      <c r="B315" s="85"/>
      <c r="C315" s="96"/>
    </row>
    <row r="316" spans="1:3" ht="15.75" customHeight="1" x14ac:dyDescent="0.35">
      <c r="A316" s="28"/>
      <c r="B316" s="85"/>
      <c r="C316" s="96"/>
    </row>
    <row r="317" spans="1:3" ht="15.75" customHeight="1" x14ac:dyDescent="0.35">
      <c r="A317" s="28"/>
      <c r="B317" s="85"/>
      <c r="C317" s="96"/>
    </row>
    <row r="318" spans="1:3" ht="15.75" customHeight="1" x14ac:dyDescent="0.35">
      <c r="A318" s="28"/>
      <c r="B318" s="85"/>
      <c r="C318" s="96"/>
    </row>
    <row r="319" spans="1:3" ht="15.75" customHeight="1" x14ac:dyDescent="0.35">
      <c r="A319" s="28"/>
      <c r="B319" s="85"/>
      <c r="C319" s="96"/>
    </row>
    <row r="320" spans="1:3" ht="15.75" customHeight="1" x14ac:dyDescent="0.35">
      <c r="A320" s="28"/>
      <c r="B320" s="85"/>
      <c r="C320" s="96"/>
    </row>
    <row r="321" spans="1:3" ht="15.75" customHeight="1" x14ac:dyDescent="0.35">
      <c r="A321" s="28"/>
      <c r="B321" s="85"/>
      <c r="C321" s="96"/>
    </row>
    <row r="322" spans="1:3" ht="15.75" customHeight="1" x14ac:dyDescent="0.35">
      <c r="A322" s="28"/>
      <c r="B322" s="85"/>
      <c r="C322" s="96"/>
    </row>
    <row r="323" spans="1:3" ht="15.75" customHeight="1" x14ac:dyDescent="0.35">
      <c r="A323" s="28"/>
      <c r="B323" s="85"/>
      <c r="C323" s="96"/>
    </row>
    <row r="324" spans="1:3" ht="15.75" customHeight="1" x14ac:dyDescent="0.35">
      <c r="A324" s="28"/>
      <c r="B324" s="85"/>
      <c r="C324" s="96"/>
    </row>
    <row r="325" spans="1:3" ht="15.75" customHeight="1" x14ac:dyDescent="0.35">
      <c r="A325" s="28"/>
      <c r="B325" s="85"/>
      <c r="C325" s="96"/>
    </row>
    <row r="326" spans="1:3" ht="15.75" customHeight="1" x14ac:dyDescent="0.35">
      <c r="A326" s="28"/>
      <c r="B326" s="85"/>
      <c r="C326" s="96"/>
    </row>
    <row r="327" spans="1:3" ht="15.75" customHeight="1" x14ac:dyDescent="0.35">
      <c r="A327" s="28"/>
      <c r="B327" s="85"/>
      <c r="C327" s="96"/>
    </row>
    <row r="328" spans="1:3" ht="15.75" customHeight="1" x14ac:dyDescent="0.35">
      <c r="A328" s="28"/>
      <c r="B328" s="85"/>
      <c r="C328" s="96"/>
    </row>
    <row r="329" spans="1:3" ht="15.75" customHeight="1" x14ac:dyDescent="0.35">
      <c r="A329" s="28"/>
      <c r="B329" s="85"/>
      <c r="C329" s="96"/>
    </row>
    <row r="330" spans="1:3" ht="15.75" customHeight="1" x14ac:dyDescent="0.35">
      <c r="A330" s="28"/>
      <c r="B330" s="85"/>
      <c r="C330" s="96"/>
    </row>
    <row r="331" spans="1:3" ht="15.75" customHeight="1" x14ac:dyDescent="0.35">
      <c r="A331" s="28"/>
      <c r="B331" s="85"/>
      <c r="C331" s="96"/>
    </row>
    <row r="332" spans="1:3" ht="15.75" customHeight="1" x14ac:dyDescent="0.35">
      <c r="A332" s="28"/>
      <c r="B332" s="85"/>
      <c r="C332" s="96"/>
    </row>
    <row r="333" spans="1:3" ht="15.75" customHeight="1" x14ac:dyDescent="0.35">
      <c r="A333" s="28"/>
      <c r="B333" s="85"/>
      <c r="C333" s="96"/>
    </row>
    <row r="334" spans="1:3" ht="15.75" customHeight="1" x14ac:dyDescent="0.35">
      <c r="A334" s="28"/>
      <c r="B334" s="85"/>
      <c r="C334" s="96"/>
    </row>
    <row r="335" spans="1:3" ht="15.75" customHeight="1" x14ac:dyDescent="0.35">
      <c r="A335" s="28"/>
      <c r="B335" s="85"/>
      <c r="C335" s="96"/>
    </row>
    <row r="336" spans="1:3" ht="15.75" customHeight="1" x14ac:dyDescent="0.35">
      <c r="A336" s="28"/>
      <c r="B336" s="85"/>
      <c r="C336" s="96"/>
    </row>
    <row r="337" spans="1:3" ht="15.75" customHeight="1" x14ac:dyDescent="0.35">
      <c r="A337" s="28"/>
      <c r="B337" s="85"/>
      <c r="C337" s="96"/>
    </row>
    <row r="338" spans="1:3" ht="15.75" customHeight="1" x14ac:dyDescent="0.35">
      <c r="A338" s="28"/>
      <c r="B338" s="85"/>
      <c r="C338" s="96"/>
    </row>
    <row r="339" spans="1:3" ht="15.75" customHeight="1" x14ac:dyDescent="0.35">
      <c r="A339" s="28"/>
      <c r="B339" s="85"/>
      <c r="C339" s="96"/>
    </row>
    <row r="340" spans="1:3" ht="15.75" customHeight="1" x14ac:dyDescent="0.35">
      <c r="A340" s="28"/>
      <c r="B340" s="85"/>
      <c r="C340" s="96"/>
    </row>
    <row r="341" spans="1:3" ht="15.75" customHeight="1" x14ac:dyDescent="0.35">
      <c r="A341" s="28"/>
      <c r="B341" s="85"/>
      <c r="C341" s="96"/>
    </row>
    <row r="342" spans="1:3" ht="15.75" customHeight="1" x14ac:dyDescent="0.35">
      <c r="A342" s="28"/>
      <c r="B342" s="85"/>
      <c r="C342" s="96"/>
    </row>
    <row r="343" spans="1:3" ht="15.75" customHeight="1" x14ac:dyDescent="0.35">
      <c r="A343" s="28"/>
      <c r="B343" s="85"/>
      <c r="C343" s="96"/>
    </row>
    <row r="344" spans="1:3" ht="15.75" customHeight="1" x14ac:dyDescent="0.35">
      <c r="A344" s="28"/>
      <c r="B344" s="85"/>
      <c r="C344" s="96"/>
    </row>
    <row r="345" spans="1:3" ht="15.75" customHeight="1" x14ac:dyDescent="0.35">
      <c r="A345" s="28"/>
      <c r="B345" s="85"/>
      <c r="C345" s="96"/>
    </row>
    <row r="346" spans="1:3" ht="15.75" customHeight="1" x14ac:dyDescent="0.35">
      <c r="A346" s="28"/>
      <c r="B346" s="85"/>
      <c r="C346" s="96"/>
    </row>
    <row r="347" spans="1:3" ht="15.75" customHeight="1" x14ac:dyDescent="0.35">
      <c r="A347" s="28"/>
      <c r="B347" s="85"/>
      <c r="C347" s="96"/>
    </row>
    <row r="348" spans="1:3" ht="15.75" customHeight="1" x14ac:dyDescent="0.35">
      <c r="A348" s="28"/>
      <c r="B348" s="85"/>
      <c r="C348" s="96"/>
    </row>
    <row r="349" spans="1:3" ht="15.75" customHeight="1" x14ac:dyDescent="0.35">
      <c r="A349" s="28"/>
      <c r="B349" s="85"/>
      <c r="C349" s="96"/>
    </row>
    <row r="350" spans="1:3" ht="15.75" customHeight="1" x14ac:dyDescent="0.35">
      <c r="A350" s="28"/>
      <c r="B350" s="85"/>
      <c r="C350" s="96"/>
    </row>
    <row r="351" spans="1:3" ht="15.75" customHeight="1" x14ac:dyDescent="0.35">
      <c r="A351" s="28"/>
      <c r="B351" s="85"/>
      <c r="C351" s="96"/>
    </row>
    <row r="352" spans="1:3" ht="15.75" customHeight="1" x14ac:dyDescent="0.35">
      <c r="A352" s="28"/>
      <c r="B352" s="85"/>
      <c r="C352" s="96"/>
    </row>
    <row r="353" spans="1:3" ht="15.75" customHeight="1" x14ac:dyDescent="0.35">
      <c r="A353" s="28"/>
      <c r="B353" s="85"/>
      <c r="C353" s="96"/>
    </row>
    <row r="354" spans="1:3" ht="15.75" customHeight="1" x14ac:dyDescent="0.35">
      <c r="A354" s="28"/>
      <c r="B354" s="85"/>
      <c r="C354" s="96"/>
    </row>
    <row r="355" spans="1:3" ht="15.75" customHeight="1" x14ac:dyDescent="0.35">
      <c r="A355" s="28"/>
      <c r="B355" s="85"/>
      <c r="C355" s="96"/>
    </row>
    <row r="356" spans="1:3" ht="15.75" customHeight="1" x14ac:dyDescent="0.35">
      <c r="A356" s="28"/>
      <c r="B356" s="85"/>
      <c r="C356" s="96"/>
    </row>
    <row r="357" spans="1:3" ht="15.75" customHeight="1" x14ac:dyDescent="0.35">
      <c r="A357" s="28"/>
      <c r="B357" s="85"/>
      <c r="C357" s="96"/>
    </row>
    <row r="358" spans="1:3" ht="15.75" customHeight="1" x14ac:dyDescent="0.35">
      <c r="A358" s="28"/>
      <c r="B358" s="85"/>
      <c r="C358" s="96"/>
    </row>
    <row r="359" spans="1:3" ht="15.75" customHeight="1" x14ac:dyDescent="0.35">
      <c r="A359" s="28"/>
      <c r="B359" s="85"/>
      <c r="C359" s="96"/>
    </row>
    <row r="360" spans="1:3" ht="15.75" customHeight="1" x14ac:dyDescent="0.35">
      <c r="A360" s="28"/>
      <c r="B360" s="85"/>
      <c r="C360" s="96"/>
    </row>
    <row r="361" spans="1:3" ht="15.75" customHeight="1" x14ac:dyDescent="0.35">
      <c r="A361" s="28"/>
      <c r="B361" s="85"/>
      <c r="C361" s="96"/>
    </row>
    <row r="362" spans="1:3" ht="15.75" customHeight="1" x14ac:dyDescent="0.35">
      <c r="A362" s="28"/>
      <c r="B362" s="85"/>
      <c r="C362" s="96"/>
    </row>
    <row r="363" spans="1:3" ht="15.75" customHeight="1" x14ac:dyDescent="0.35">
      <c r="A363" s="28"/>
      <c r="B363" s="85"/>
      <c r="C363" s="96"/>
    </row>
    <row r="364" spans="1:3" ht="15.75" customHeight="1" x14ac:dyDescent="0.35">
      <c r="A364" s="28"/>
      <c r="B364" s="85"/>
      <c r="C364" s="96"/>
    </row>
    <row r="365" spans="1:3" ht="15.75" customHeight="1" x14ac:dyDescent="0.35">
      <c r="A365" s="28"/>
      <c r="B365" s="85"/>
      <c r="C365" s="96"/>
    </row>
    <row r="366" spans="1:3" ht="15.75" customHeight="1" x14ac:dyDescent="0.35">
      <c r="A366" s="28"/>
      <c r="B366" s="85"/>
      <c r="C366" s="96"/>
    </row>
    <row r="367" spans="1:3" ht="15.75" customHeight="1" x14ac:dyDescent="0.35">
      <c r="A367" s="28"/>
      <c r="B367" s="85"/>
      <c r="C367" s="96"/>
    </row>
    <row r="368" spans="1:3" ht="15.75" customHeight="1" x14ac:dyDescent="0.35">
      <c r="A368" s="28"/>
      <c r="B368" s="85"/>
      <c r="C368" s="96"/>
    </row>
    <row r="369" spans="1:3" ht="15.75" customHeight="1" x14ac:dyDescent="0.35">
      <c r="A369" s="28"/>
      <c r="B369" s="85"/>
      <c r="C369" s="96"/>
    </row>
    <row r="370" spans="1:3" ht="15.75" customHeight="1" x14ac:dyDescent="0.35">
      <c r="A370" s="28"/>
      <c r="B370" s="85"/>
      <c r="C370" s="96"/>
    </row>
    <row r="371" spans="1:3" ht="15.75" customHeight="1" x14ac:dyDescent="0.35">
      <c r="A371" s="28"/>
      <c r="B371" s="85"/>
      <c r="C371" s="96"/>
    </row>
    <row r="372" spans="1:3" ht="15.75" customHeight="1" x14ac:dyDescent="0.35">
      <c r="A372" s="28"/>
      <c r="B372" s="85"/>
      <c r="C372" s="96"/>
    </row>
    <row r="373" spans="1:3" ht="15.75" customHeight="1" x14ac:dyDescent="0.35">
      <c r="A373" s="28"/>
      <c r="B373" s="85"/>
      <c r="C373" s="96"/>
    </row>
    <row r="374" spans="1:3" ht="15.75" customHeight="1" x14ac:dyDescent="0.35">
      <c r="A374" s="28"/>
      <c r="B374" s="85"/>
      <c r="C374" s="96"/>
    </row>
    <row r="375" spans="1:3" ht="15.75" customHeight="1" x14ac:dyDescent="0.35">
      <c r="A375" s="28"/>
      <c r="B375" s="85"/>
      <c r="C375" s="96"/>
    </row>
    <row r="376" spans="1:3" ht="15.75" customHeight="1" x14ac:dyDescent="0.35">
      <c r="A376" s="28"/>
      <c r="B376" s="85"/>
      <c r="C376" s="96"/>
    </row>
    <row r="377" spans="1:3" ht="15.75" customHeight="1" x14ac:dyDescent="0.35">
      <c r="A377" s="28"/>
      <c r="B377" s="85"/>
      <c r="C377" s="96"/>
    </row>
    <row r="378" spans="1:3" ht="15.75" customHeight="1" x14ac:dyDescent="0.35">
      <c r="A378" s="28"/>
      <c r="B378" s="85"/>
      <c r="C378" s="96"/>
    </row>
    <row r="379" spans="1:3" ht="15.75" customHeight="1" x14ac:dyDescent="0.35">
      <c r="A379" s="28"/>
      <c r="B379" s="85"/>
      <c r="C379" s="96"/>
    </row>
    <row r="380" spans="1:3" ht="15.75" customHeight="1" x14ac:dyDescent="0.35">
      <c r="A380" s="28"/>
      <c r="B380" s="85"/>
      <c r="C380" s="96"/>
    </row>
    <row r="381" spans="1:3" ht="15.75" customHeight="1" x14ac:dyDescent="0.35">
      <c r="A381" s="28"/>
      <c r="B381" s="85"/>
      <c r="C381" s="96"/>
    </row>
    <row r="382" spans="1:3" ht="15.75" customHeight="1" x14ac:dyDescent="0.35">
      <c r="A382" s="28"/>
      <c r="B382" s="85"/>
      <c r="C382" s="96"/>
    </row>
    <row r="383" spans="1:3" ht="15.75" customHeight="1" x14ac:dyDescent="0.35">
      <c r="A383" s="28"/>
      <c r="B383" s="85"/>
      <c r="C383" s="96"/>
    </row>
    <row r="384" spans="1:3" ht="15.75" customHeight="1" x14ac:dyDescent="0.35">
      <c r="A384" s="28"/>
      <c r="B384" s="85"/>
      <c r="C384" s="96"/>
    </row>
    <row r="385" spans="1:3" ht="15.75" customHeight="1" x14ac:dyDescent="0.35">
      <c r="A385" s="28"/>
      <c r="B385" s="85"/>
      <c r="C385" s="96"/>
    </row>
    <row r="386" spans="1:3" ht="15.75" customHeight="1" x14ac:dyDescent="0.35">
      <c r="A386" s="28"/>
      <c r="B386" s="85"/>
      <c r="C386" s="96"/>
    </row>
    <row r="387" spans="1:3" ht="15.75" customHeight="1" x14ac:dyDescent="0.35">
      <c r="A387" s="28"/>
      <c r="B387" s="85"/>
      <c r="C387" s="96"/>
    </row>
    <row r="388" spans="1:3" ht="15.75" customHeight="1" x14ac:dyDescent="0.35">
      <c r="A388" s="28"/>
      <c r="B388" s="85"/>
      <c r="C388" s="96"/>
    </row>
    <row r="389" spans="1:3" ht="15.75" customHeight="1" x14ac:dyDescent="0.35">
      <c r="A389" s="28"/>
      <c r="B389" s="85"/>
      <c r="C389" s="96"/>
    </row>
    <row r="390" spans="1:3" ht="15.75" customHeight="1" x14ac:dyDescent="0.35">
      <c r="A390" s="28"/>
      <c r="B390" s="85"/>
      <c r="C390" s="96"/>
    </row>
    <row r="391" spans="1:3" ht="15.75" customHeight="1" x14ac:dyDescent="0.35">
      <c r="A391" s="28"/>
      <c r="B391" s="85"/>
      <c r="C391" s="96"/>
    </row>
    <row r="392" spans="1:3" ht="15.75" customHeight="1" x14ac:dyDescent="0.35">
      <c r="A392" s="28"/>
      <c r="B392" s="85"/>
      <c r="C392" s="96"/>
    </row>
    <row r="393" spans="1:3" ht="15.75" customHeight="1" x14ac:dyDescent="0.35">
      <c r="A393" s="28"/>
      <c r="B393" s="85"/>
      <c r="C393" s="96"/>
    </row>
    <row r="394" spans="1:3" ht="15.75" customHeight="1" x14ac:dyDescent="0.35">
      <c r="A394" s="28"/>
      <c r="B394" s="85"/>
      <c r="C394" s="96"/>
    </row>
    <row r="395" spans="1:3" ht="15.75" customHeight="1" x14ac:dyDescent="0.35">
      <c r="A395" s="28"/>
      <c r="B395" s="85"/>
      <c r="C395" s="96"/>
    </row>
    <row r="396" spans="1:3" ht="15.75" customHeight="1" x14ac:dyDescent="0.35">
      <c r="A396" s="28"/>
      <c r="B396" s="85"/>
      <c r="C396" s="96"/>
    </row>
    <row r="397" spans="1:3" ht="15.75" customHeight="1" x14ac:dyDescent="0.35">
      <c r="A397" s="28"/>
      <c r="B397" s="85"/>
      <c r="C397" s="96"/>
    </row>
    <row r="398" spans="1:3" ht="15.75" customHeight="1" x14ac:dyDescent="0.35">
      <c r="A398" s="28"/>
      <c r="B398" s="85"/>
      <c r="C398" s="96"/>
    </row>
    <row r="399" spans="1:3" ht="15.75" customHeight="1" x14ac:dyDescent="0.35">
      <c r="A399" s="28"/>
      <c r="B399" s="85"/>
      <c r="C399" s="96"/>
    </row>
    <row r="400" spans="1:3" ht="15.75" customHeight="1" x14ac:dyDescent="0.35">
      <c r="A400" s="28"/>
      <c r="B400" s="85"/>
      <c r="C400" s="96"/>
    </row>
    <row r="401" spans="1:3" ht="15.75" customHeight="1" x14ac:dyDescent="0.35">
      <c r="A401" s="28"/>
      <c r="B401" s="85"/>
      <c r="C401" s="96"/>
    </row>
    <row r="402" spans="1:3" ht="15.75" customHeight="1" x14ac:dyDescent="0.35">
      <c r="A402" s="28"/>
      <c r="B402" s="85"/>
      <c r="C402" s="96"/>
    </row>
    <row r="403" spans="1:3" ht="15.75" customHeight="1" x14ac:dyDescent="0.35">
      <c r="A403" s="28"/>
      <c r="B403" s="85"/>
      <c r="C403" s="96"/>
    </row>
    <row r="404" spans="1:3" ht="15.75" customHeight="1" x14ac:dyDescent="0.35">
      <c r="A404" s="28"/>
      <c r="B404" s="85"/>
      <c r="C404" s="96"/>
    </row>
    <row r="405" spans="1:3" ht="15.75" customHeight="1" x14ac:dyDescent="0.35">
      <c r="A405" s="28"/>
      <c r="B405" s="85"/>
      <c r="C405" s="96"/>
    </row>
    <row r="406" spans="1:3" ht="15.75" customHeight="1" x14ac:dyDescent="0.35">
      <c r="A406" s="28"/>
      <c r="B406" s="85"/>
      <c r="C406" s="96"/>
    </row>
    <row r="407" spans="1:3" ht="15.75" customHeight="1" x14ac:dyDescent="0.35">
      <c r="A407" s="28"/>
      <c r="B407" s="85"/>
      <c r="C407" s="96"/>
    </row>
    <row r="408" spans="1:3" ht="15.75" customHeight="1" x14ac:dyDescent="0.35">
      <c r="A408" s="28"/>
      <c r="B408" s="85"/>
      <c r="C408" s="96"/>
    </row>
    <row r="409" spans="1:3" ht="15.75" customHeight="1" x14ac:dyDescent="0.35">
      <c r="A409" s="28"/>
      <c r="B409" s="85"/>
      <c r="C409" s="96"/>
    </row>
    <row r="410" spans="1:3" ht="15.75" customHeight="1" x14ac:dyDescent="0.35">
      <c r="A410" s="28"/>
      <c r="B410" s="85"/>
      <c r="C410" s="96"/>
    </row>
    <row r="411" spans="1:3" ht="15.75" customHeight="1" x14ac:dyDescent="0.35">
      <c r="A411" s="28"/>
      <c r="B411" s="85"/>
      <c r="C411" s="96"/>
    </row>
    <row r="412" spans="1:3" ht="15.75" customHeight="1" x14ac:dyDescent="0.35">
      <c r="A412" s="28"/>
      <c r="B412" s="85"/>
      <c r="C412" s="96"/>
    </row>
    <row r="413" spans="1:3" ht="15.75" customHeight="1" x14ac:dyDescent="0.35">
      <c r="A413" s="28"/>
      <c r="B413" s="85"/>
      <c r="C413" s="96"/>
    </row>
    <row r="414" spans="1:3" ht="15.75" customHeight="1" x14ac:dyDescent="0.35">
      <c r="A414" s="28"/>
      <c r="B414" s="85"/>
      <c r="C414" s="96"/>
    </row>
    <row r="415" spans="1:3" ht="15.75" customHeight="1" x14ac:dyDescent="0.35">
      <c r="A415" s="28"/>
      <c r="B415" s="85"/>
      <c r="C415" s="96"/>
    </row>
    <row r="416" spans="1:3" ht="15.75" customHeight="1" x14ac:dyDescent="0.35">
      <c r="A416" s="28"/>
      <c r="B416" s="85"/>
      <c r="C416" s="96"/>
    </row>
    <row r="417" spans="1:3" ht="15.75" customHeight="1" x14ac:dyDescent="0.35">
      <c r="A417" s="28"/>
      <c r="B417" s="85"/>
      <c r="C417" s="96"/>
    </row>
    <row r="418" spans="1:3" ht="15.75" customHeight="1" x14ac:dyDescent="0.35">
      <c r="A418" s="28"/>
      <c r="B418" s="85"/>
      <c r="C418" s="96"/>
    </row>
    <row r="419" spans="1:3" ht="15.75" customHeight="1" x14ac:dyDescent="0.35">
      <c r="A419" s="28"/>
      <c r="B419" s="85"/>
      <c r="C419" s="96"/>
    </row>
    <row r="420" spans="1:3" ht="15.75" customHeight="1" x14ac:dyDescent="0.35">
      <c r="A420" s="28"/>
      <c r="B420" s="85"/>
      <c r="C420" s="96"/>
    </row>
    <row r="421" spans="1:3" ht="15.75" customHeight="1" x14ac:dyDescent="0.35">
      <c r="A421" s="28"/>
      <c r="B421" s="85"/>
      <c r="C421" s="96"/>
    </row>
    <row r="422" spans="1:3" ht="15.75" customHeight="1" x14ac:dyDescent="0.35">
      <c r="A422" s="28"/>
      <c r="B422" s="85"/>
      <c r="C422" s="96"/>
    </row>
    <row r="423" spans="1:3" ht="15.75" customHeight="1" x14ac:dyDescent="0.35">
      <c r="A423" s="28"/>
      <c r="B423" s="85"/>
      <c r="C423" s="96"/>
    </row>
    <row r="424" spans="1:3" ht="15.75" customHeight="1" x14ac:dyDescent="0.35">
      <c r="A424" s="28"/>
      <c r="B424" s="85"/>
      <c r="C424" s="96"/>
    </row>
    <row r="425" spans="1:3" ht="15.75" customHeight="1" x14ac:dyDescent="0.35">
      <c r="A425" s="28"/>
      <c r="B425" s="85"/>
      <c r="C425" s="96"/>
    </row>
    <row r="426" spans="1:3" ht="15.75" customHeight="1" x14ac:dyDescent="0.35">
      <c r="A426" s="28"/>
      <c r="B426" s="85"/>
      <c r="C426" s="96"/>
    </row>
    <row r="427" spans="1:3" ht="15.75" customHeight="1" x14ac:dyDescent="0.35">
      <c r="A427" s="28"/>
      <c r="B427" s="85"/>
      <c r="C427" s="96"/>
    </row>
    <row r="428" spans="1:3" ht="15.75" customHeight="1" x14ac:dyDescent="0.35">
      <c r="A428" s="28"/>
      <c r="B428" s="85"/>
      <c r="C428" s="96"/>
    </row>
    <row r="429" spans="1:3" ht="15.75" customHeight="1" x14ac:dyDescent="0.35">
      <c r="A429" s="28"/>
      <c r="B429" s="85"/>
      <c r="C429" s="96"/>
    </row>
    <row r="430" spans="1:3" ht="15.75" customHeight="1" x14ac:dyDescent="0.35">
      <c r="A430" s="28"/>
      <c r="B430" s="85"/>
      <c r="C430" s="96"/>
    </row>
    <row r="431" spans="1:3" ht="15.75" customHeight="1" x14ac:dyDescent="0.35">
      <c r="A431" s="28"/>
      <c r="B431" s="85"/>
      <c r="C431" s="96"/>
    </row>
    <row r="432" spans="1:3" ht="15.75" customHeight="1" x14ac:dyDescent="0.35">
      <c r="A432" s="28"/>
      <c r="B432" s="85"/>
      <c r="C432" s="96"/>
    </row>
    <row r="433" spans="1:3" ht="15.75" customHeight="1" x14ac:dyDescent="0.35">
      <c r="A433" s="28"/>
      <c r="B433" s="85"/>
      <c r="C433" s="96"/>
    </row>
    <row r="434" spans="1:3" ht="15.75" customHeight="1" x14ac:dyDescent="0.35">
      <c r="A434" s="28"/>
      <c r="B434" s="85"/>
      <c r="C434" s="96"/>
    </row>
    <row r="435" spans="1:3" ht="15.75" customHeight="1" x14ac:dyDescent="0.35">
      <c r="A435" s="28"/>
      <c r="B435" s="85"/>
      <c r="C435" s="96"/>
    </row>
    <row r="436" spans="1:3" ht="15.75" customHeight="1" x14ac:dyDescent="0.35">
      <c r="A436" s="28"/>
      <c r="B436" s="85"/>
      <c r="C436" s="96"/>
    </row>
    <row r="437" spans="1:3" ht="15.75" customHeight="1" x14ac:dyDescent="0.35">
      <c r="A437" s="28"/>
      <c r="B437" s="85"/>
      <c r="C437" s="96"/>
    </row>
    <row r="438" spans="1:3" ht="15.75" customHeight="1" x14ac:dyDescent="0.35">
      <c r="A438" s="28"/>
      <c r="B438" s="85"/>
      <c r="C438" s="96"/>
    </row>
    <row r="439" spans="1:3" ht="15.75" customHeight="1" x14ac:dyDescent="0.35">
      <c r="A439" s="28"/>
      <c r="B439" s="85"/>
      <c r="C439" s="96"/>
    </row>
    <row r="440" spans="1:3" ht="15.75" customHeight="1" x14ac:dyDescent="0.35">
      <c r="A440" s="28"/>
      <c r="B440" s="85"/>
      <c r="C440" s="96"/>
    </row>
    <row r="441" spans="1:3" ht="15.75" customHeight="1" x14ac:dyDescent="0.35">
      <c r="A441" s="28"/>
      <c r="B441" s="85"/>
      <c r="C441" s="96"/>
    </row>
    <row r="442" spans="1:3" ht="15.75" customHeight="1" x14ac:dyDescent="0.35">
      <c r="A442" s="28"/>
      <c r="B442" s="85"/>
      <c r="C442" s="96"/>
    </row>
    <row r="443" spans="1:3" ht="15.75" customHeight="1" x14ac:dyDescent="0.35">
      <c r="A443" s="28"/>
      <c r="B443" s="85"/>
      <c r="C443" s="96"/>
    </row>
    <row r="444" spans="1:3" ht="15.75" customHeight="1" x14ac:dyDescent="0.35">
      <c r="A444" s="28"/>
      <c r="B444" s="85"/>
      <c r="C444" s="96"/>
    </row>
    <row r="445" spans="1:3" ht="15.75" customHeight="1" x14ac:dyDescent="0.35">
      <c r="A445" s="28"/>
      <c r="B445" s="85"/>
      <c r="C445" s="96"/>
    </row>
    <row r="446" spans="1:3" ht="15.75" customHeight="1" x14ac:dyDescent="0.35">
      <c r="A446" s="28"/>
      <c r="B446" s="85"/>
      <c r="C446" s="96"/>
    </row>
    <row r="447" spans="1:3" ht="15.75" customHeight="1" x14ac:dyDescent="0.35">
      <c r="A447" s="28"/>
      <c r="B447" s="85"/>
      <c r="C447" s="96"/>
    </row>
    <row r="448" spans="1:3" ht="15.75" customHeight="1" x14ac:dyDescent="0.35">
      <c r="A448" s="28"/>
      <c r="B448" s="85"/>
      <c r="C448" s="96"/>
    </row>
    <row r="449" spans="1:3" ht="15.75" customHeight="1" x14ac:dyDescent="0.35">
      <c r="A449" s="28"/>
      <c r="B449" s="85"/>
      <c r="C449" s="96"/>
    </row>
    <row r="450" spans="1:3" ht="15.75" customHeight="1" x14ac:dyDescent="0.35">
      <c r="A450" s="28"/>
      <c r="B450" s="85"/>
      <c r="C450" s="96"/>
    </row>
    <row r="451" spans="1:3" ht="15.75" customHeight="1" x14ac:dyDescent="0.35">
      <c r="A451" s="28"/>
      <c r="B451" s="85"/>
      <c r="C451" s="96"/>
    </row>
    <row r="452" spans="1:3" ht="15.75" customHeight="1" x14ac:dyDescent="0.35">
      <c r="A452" s="28"/>
      <c r="B452" s="85"/>
      <c r="C452" s="96"/>
    </row>
    <row r="453" spans="1:3" ht="15.75" customHeight="1" x14ac:dyDescent="0.35">
      <c r="A453" s="28"/>
      <c r="B453" s="85"/>
      <c r="C453" s="96"/>
    </row>
    <row r="454" spans="1:3" ht="15.75" customHeight="1" x14ac:dyDescent="0.35">
      <c r="A454" s="28"/>
      <c r="B454" s="85"/>
      <c r="C454" s="96"/>
    </row>
    <row r="455" spans="1:3" ht="15.75" customHeight="1" x14ac:dyDescent="0.35">
      <c r="A455" s="28"/>
      <c r="B455" s="85"/>
      <c r="C455" s="96"/>
    </row>
    <row r="456" spans="1:3" ht="15.75" customHeight="1" x14ac:dyDescent="0.35">
      <c r="A456" s="28"/>
      <c r="B456" s="85"/>
      <c r="C456" s="96"/>
    </row>
    <row r="457" spans="1:3" ht="15.75" customHeight="1" x14ac:dyDescent="0.35">
      <c r="A457" s="28"/>
      <c r="B457" s="85"/>
      <c r="C457" s="96"/>
    </row>
    <row r="458" spans="1:3" ht="15.75" customHeight="1" x14ac:dyDescent="0.35">
      <c r="A458" s="28"/>
      <c r="B458" s="85"/>
      <c r="C458" s="96"/>
    </row>
    <row r="459" spans="1:3" ht="15.75" customHeight="1" x14ac:dyDescent="0.35">
      <c r="A459" s="28"/>
      <c r="B459" s="85"/>
      <c r="C459" s="96"/>
    </row>
    <row r="460" spans="1:3" ht="15.75" customHeight="1" x14ac:dyDescent="0.35">
      <c r="A460" s="28"/>
      <c r="B460" s="85"/>
      <c r="C460" s="96"/>
    </row>
    <row r="461" spans="1:3" ht="15.75" customHeight="1" x14ac:dyDescent="0.35">
      <c r="A461" s="28"/>
      <c r="B461" s="85"/>
      <c r="C461" s="96"/>
    </row>
    <row r="462" spans="1:3" ht="15.75" customHeight="1" x14ac:dyDescent="0.35">
      <c r="A462" s="28"/>
      <c r="B462" s="85"/>
      <c r="C462" s="96"/>
    </row>
    <row r="463" spans="1:3" ht="15.75" customHeight="1" x14ac:dyDescent="0.35">
      <c r="A463" s="28"/>
      <c r="B463" s="85"/>
      <c r="C463" s="96"/>
    </row>
    <row r="464" spans="1:3" ht="15.75" customHeight="1" x14ac:dyDescent="0.35">
      <c r="A464" s="28"/>
      <c r="B464" s="85"/>
      <c r="C464" s="96"/>
    </row>
    <row r="465" spans="1:3" ht="15.75" customHeight="1" x14ac:dyDescent="0.35">
      <c r="A465" s="28"/>
      <c r="B465" s="85"/>
      <c r="C465" s="96"/>
    </row>
    <row r="466" spans="1:3" ht="15.75" customHeight="1" x14ac:dyDescent="0.35">
      <c r="A466" s="28"/>
      <c r="B466" s="85"/>
      <c r="C466" s="96"/>
    </row>
    <row r="467" spans="1:3" ht="15.75" customHeight="1" x14ac:dyDescent="0.35">
      <c r="A467" s="28"/>
      <c r="B467" s="85"/>
      <c r="C467" s="96"/>
    </row>
    <row r="468" spans="1:3" ht="15.75" customHeight="1" x14ac:dyDescent="0.35">
      <c r="A468" s="28"/>
      <c r="B468" s="85"/>
      <c r="C468" s="96"/>
    </row>
    <row r="469" spans="1:3" ht="15.75" customHeight="1" x14ac:dyDescent="0.35">
      <c r="A469" s="28"/>
      <c r="B469" s="85"/>
      <c r="C469" s="96"/>
    </row>
    <row r="470" spans="1:3" ht="15.75" customHeight="1" x14ac:dyDescent="0.35">
      <c r="A470" s="28"/>
      <c r="B470" s="85"/>
      <c r="C470" s="96"/>
    </row>
    <row r="471" spans="1:3" ht="15.75" customHeight="1" x14ac:dyDescent="0.35">
      <c r="A471" s="28"/>
      <c r="B471" s="85"/>
      <c r="C471" s="96"/>
    </row>
    <row r="472" spans="1:3" ht="15.75" customHeight="1" x14ac:dyDescent="0.35">
      <c r="A472" s="28"/>
      <c r="B472" s="85"/>
      <c r="C472" s="96"/>
    </row>
    <row r="473" spans="1:3" ht="15.75" customHeight="1" x14ac:dyDescent="0.35">
      <c r="A473" s="28"/>
      <c r="B473" s="85"/>
      <c r="C473" s="96"/>
    </row>
    <row r="474" spans="1:3" ht="15.75" customHeight="1" x14ac:dyDescent="0.35">
      <c r="A474" s="28"/>
      <c r="B474" s="85"/>
      <c r="C474" s="96"/>
    </row>
    <row r="475" spans="1:3" ht="15.75" customHeight="1" x14ac:dyDescent="0.35">
      <c r="A475" s="28"/>
      <c r="B475" s="85"/>
      <c r="C475" s="96"/>
    </row>
    <row r="476" spans="1:3" ht="15.75" customHeight="1" x14ac:dyDescent="0.35">
      <c r="A476" s="28"/>
      <c r="B476" s="85"/>
      <c r="C476" s="96"/>
    </row>
    <row r="477" spans="1:3" ht="15.75" customHeight="1" x14ac:dyDescent="0.35">
      <c r="A477" s="28"/>
      <c r="B477" s="85"/>
      <c r="C477" s="96"/>
    </row>
    <row r="478" spans="1:3" ht="15.75" customHeight="1" x14ac:dyDescent="0.35">
      <c r="A478" s="28"/>
      <c r="B478" s="85"/>
      <c r="C478" s="96"/>
    </row>
    <row r="479" spans="1:3" ht="15.75" customHeight="1" x14ac:dyDescent="0.35">
      <c r="A479" s="28"/>
      <c r="B479" s="85"/>
      <c r="C479" s="96"/>
    </row>
    <row r="480" spans="1:3" ht="15.75" customHeight="1" x14ac:dyDescent="0.35">
      <c r="A480" s="28"/>
      <c r="B480" s="85"/>
      <c r="C480" s="96"/>
    </row>
    <row r="481" spans="1:3" ht="15.75" customHeight="1" x14ac:dyDescent="0.35">
      <c r="A481" s="28"/>
      <c r="B481" s="85"/>
      <c r="C481" s="96"/>
    </row>
    <row r="482" spans="1:3" ht="15.75" customHeight="1" x14ac:dyDescent="0.35">
      <c r="A482" s="28"/>
      <c r="B482" s="85"/>
      <c r="C482" s="96"/>
    </row>
    <row r="483" spans="1:3" ht="15.75" customHeight="1" x14ac:dyDescent="0.35">
      <c r="A483" s="28"/>
      <c r="B483" s="85"/>
      <c r="C483" s="96"/>
    </row>
    <row r="484" spans="1:3" ht="15.75" customHeight="1" x14ac:dyDescent="0.35">
      <c r="A484" s="28"/>
      <c r="B484" s="85"/>
      <c r="C484" s="96"/>
    </row>
    <row r="485" spans="1:3" ht="15.75" customHeight="1" x14ac:dyDescent="0.35">
      <c r="A485" s="28"/>
      <c r="B485" s="85"/>
      <c r="C485" s="96"/>
    </row>
    <row r="486" spans="1:3" ht="15.75" customHeight="1" x14ac:dyDescent="0.35">
      <c r="A486" s="28"/>
      <c r="B486" s="85"/>
      <c r="C486" s="96"/>
    </row>
    <row r="487" spans="1:3" ht="15.75" customHeight="1" x14ac:dyDescent="0.35">
      <c r="A487" s="28"/>
      <c r="B487" s="85"/>
      <c r="C487" s="96"/>
    </row>
    <row r="488" spans="1:3" ht="15.75" customHeight="1" x14ac:dyDescent="0.35">
      <c r="A488" s="28"/>
      <c r="B488" s="85"/>
      <c r="C488" s="96"/>
    </row>
    <row r="489" spans="1:3" ht="15.75" customHeight="1" x14ac:dyDescent="0.35">
      <c r="A489" s="28"/>
      <c r="B489" s="85"/>
      <c r="C489" s="96"/>
    </row>
    <row r="490" spans="1:3" ht="15.75" customHeight="1" x14ac:dyDescent="0.35">
      <c r="A490" s="28"/>
      <c r="B490" s="85"/>
      <c r="C490" s="96"/>
    </row>
    <row r="491" spans="1:3" ht="15.75" customHeight="1" x14ac:dyDescent="0.35">
      <c r="A491" s="28"/>
      <c r="B491" s="85"/>
      <c r="C491" s="96"/>
    </row>
    <row r="492" spans="1:3" ht="15.75" customHeight="1" x14ac:dyDescent="0.35">
      <c r="A492" s="28"/>
      <c r="B492" s="85"/>
      <c r="C492" s="96"/>
    </row>
    <row r="493" spans="1:3" ht="15.75" customHeight="1" x14ac:dyDescent="0.35">
      <c r="A493" s="28"/>
      <c r="B493" s="85"/>
      <c r="C493" s="96"/>
    </row>
    <row r="494" spans="1:3" ht="15.75" customHeight="1" x14ac:dyDescent="0.35">
      <c r="A494" s="28"/>
      <c r="B494" s="85"/>
      <c r="C494" s="96"/>
    </row>
    <row r="495" spans="1:3" ht="15.75" customHeight="1" x14ac:dyDescent="0.35">
      <c r="A495" s="28"/>
      <c r="B495" s="85"/>
      <c r="C495" s="96"/>
    </row>
    <row r="496" spans="1:3" ht="15.75" customHeight="1" x14ac:dyDescent="0.35">
      <c r="A496" s="28"/>
      <c r="B496" s="85"/>
      <c r="C496" s="96"/>
    </row>
    <row r="497" spans="1:3" ht="15.75" customHeight="1" x14ac:dyDescent="0.35">
      <c r="A497" s="28"/>
      <c r="B497" s="85"/>
      <c r="C497" s="96"/>
    </row>
    <row r="498" spans="1:3" ht="15.75" customHeight="1" x14ac:dyDescent="0.35">
      <c r="A498" s="28"/>
      <c r="B498" s="85"/>
      <c r="C498" s="96"/>
    </row>
    <row r="499" spans="1:3" ht="15.75" customHeight="1" x14ac:dyDescent="0.35">
      <c r="A499" s="28"/>
      <c r="B499" s="85"/>
      <c r="C499" s="96"/>
    </row>
    <row r="500" spans="1:3" ht="15.75" customHeight="1" x14ac:dyDescent="0.35">
      <c r="A500" s="28"/>
      <c r="B500" s="85"/>
      <c r="C500" s="96"/>
    </row>
    <row r="501" spans="1:3" ht="15.75" customHeight="1" x14ac:dyDescent="0.35">
      <c r="A501" s="28"/>
      <c r="B501" s="85"/>
      <c r="C501" s="96"/>
    </row>
    <row r="502" spans="1:3" ht="15.75" customHeight="1" x14ac:dyDescent="0.35">
      <c r="A502" s="28"/>
      <c r="B502" s="85"/>
      <c r="C502" s="96"/>
    </row>
    <row r="503" spans="1:3" ht="15.75" customHeight="1" x14ac:dyDescent="0.35">
      <c r="A503" s="28"/>
      <c r="B503" s="85"/>
      <c r="C503" s="96"/>
    </row>
    <row r="504" spans="1:3" ht="15.75" customHeight="1" x14ac:dyDescent="0.35">
      <c r="A504" s="28"/>
      <c r="B504" s="85"/>
      <c r="C504" s="96"/>
    </row>
    <row r="505" spans="1:3" ht="15.75" customHeight="1" x14ac:dyDescent="0.35">
      <c r="A505" s="28"/>
      <c r="B505" s="85"/>
      <c r="C505" s="96"/>
    </row>
    <row r="506" spans="1:3" ht="15.75" customHeight="1" x14ac:dyDescent="0.35">
      <c r="A506" s="28"/>
      <c r="B506" s="85"/>
      <c r="C506" s="96"/>
    </row>
    <row r="507" spans="1:3" ht="15.75" customHeight="1" x14ac:dyDescent="0.35">
      <c r="A507" s="28"/>
      <c r="B507" s="85"/>
      <c r="C507" s="96"/>
    </row>
    <row r="508" spans="1:3" ht="15.75" customHeight="1" x14ac:dyDescent="0.35">
      <c r="A508" s="28"/>
      <c r="B508" s="85"/>
      <c r="C508" s="96"/>
    </row>
    <row r="509" spans="1:3" ht="15.75" customHeight="1" x14ac:dyDescent="0.35">
      <c r="A509" s="28"/>
      <c r="B509" s="85"/>
      <c r="C509" s="96"/>
    </row>
    <row r="510" spans="1:3" ht="15.75" customHeight="1" x14ac:dyDescent="0.35">
      <c r="A510" s="28"/>
      <c r="B510" s="85"/>
      <c r="C510" s="96"/>
    </row>
    <row r="511" spans="1:3" ht="15.75" customHeight="1" x14ac:dyDescent="0.35">
      <c r="A511" s="28"/>
      <c r="B511" s="85"/>
      <c r="C511" s="96"/>
    </row>
    <row r="512" spans="1:3" ht="15.75" customHeight="1" x14ac:dyDescent="0.35">
      <c r="A512" s="28"/>
      <c r="B512" s="85"/>
      <c r="C512" s="96"/>
    </row>
    <row r="513" spans="1:3" ht="15.75" customHeight="1" x14ac:dyDescent="0.35">
      <c r="A513" s="28"/>
      <c r="B513" s="85"/>
      <c r="C513" s="96"/>
    </row>
    <row r="514" spans="1:3" ht="15.75" customHeight="1" x14ac:dyDescent="0.35">
      <c r="A514" s="28"/>
      <c r="B514" s="85"/>
      <c r="C514" s="96"/>
    </row>
    <row r="515" spans="1:3" ht="15.75" customHeight="1" x14ac:dyDescent="0.35">
      <c r="A515" s="28"/>
      <c r="B515" s="85"/>
      <c r="C515" s="96"/>
    </row>
    <row r="516" spans="1:3" ht="15.75" customHeight="1" x14ac:dyDescent="0.35">
      <c r="A516" s="28"/>
      <c r="B516" s="85"/>
      <c r="C516" s="96"/>
    </row>
    <row r="517" spans="1:3" ht="15.75" customHeight="1" x14ac:dyDescent="0.35">
      <c r="A517" s="28"/>
      <c r="B517" s="85"/>
      <c r="C517" s="96"/>
    </row>
    <row r="518" spans="1:3" ht="15.75" customHeight="1" x14ac:dyDescent="0.35">
      <c r="A518" s="28"/>
      <c r="B518" s="85"/>
      <c r="C518" s="96"/>
    </row>
    <row r="519" spans="1:3" ht="15.75" customHeight="1" x14ac:dyDescent="0.35">
      <c r="A519" s="28"/>
      <c r="B519" s="85"/>
      <c r="C519" s="96"/>
    </row>
    <row r="520" spans="1:3" ht="15.75" customHeight="1" x14ac:dyDescent="0.35">
      <c r="A520" s="28"/>
      <c r="B520" s="85"/>
      <c r="C520" s="96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INCOME</vt:lpstr>
      <vt:lpstr>RECON</vt:lpstr>
      <vt:lpstr> EXPENSES</vt:lpstr>
      <vt:lpstr> EXPENSES HOUSE</vt:lpstr>
      <vt:lpstr>MONTHLY FOR THE YEAR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Chris Schnell</cp:lastModifiedBy>
  <cp:revision>2</cp:revision>
  <cp:lastPrinted>2026-01-20T06:48:50Z</cp:lastPrinted>
  <dcterms:created xsi:type="dcterms:W3CDTF">2020-05-26T08:43:05Z</dcterms:created>
  <dcterms:modified xsi:type="dcterms:W3CDTF">2026-05-05T10:31:13Z</dcterms:modified>
  <dc:language>en-US</dc:language>
</cp:coreProperties>
</file>