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4 APRIL ACCOUNTS\"/>
    </mc:Choice>
  </mc:AlternateContent>
  <xr:revisionPtr revIDLastSave="0" documentId="13_ncr:1_{3BEF0D98-0506-482F-9FDC-A96F111C7506}" xr6:coauthVersionLast="47" xr6:coauthVersionMax="47" xr10:uidLastSave="{00000000-0000-0000-0000-000000000000}"/>
  <bookViews>
    <workbookView xWindow="-108" yWindow="-108" windowWidth="23256" windowHeight="12456" firstSheet="1" activeTab="4" xr2:uid="{7530348A-2D9B-D147-BBFE-7340475C451A}"/>
  </bookViews>
  <sheets>
    <sheet name="LANDCO" sheetId="6" r:id="rId1"/>
    <sheet name="CAJU SUMMARY 26" sheetId="1" r:id="rId2"/>
    <sheet name="CAJU INCOME 26" sheetId="2" r:id="rId3"/>
    <sheet name="EXPENSES APRIL" sheetId="9" r:id="rId4"/>
    <sheet name="ALEX ENVELOPE" sheetId="7" r:id="rId5"/>
    <sheet name="MPESA" sheetId="10" r:id="rId6"/>
    <sheet name="EMOLA" sheetId="11" r:id="rId7"/>
    <sheet name="KrakenFuel" sheetId="8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3" hidden="1">'EXPENSES APRIL'!$B$6:$D$26</definedName>
    <definedName name="_xlnm.Print_Area" localSheetId="4">'ALEX ENVELOPE'!$A$30:$G$43</definedName>
    <definedName name="_xlnm.Print_Area" localSheetId="7">KrakenFuel!$A$1:$E$23</definedName>
    <definedName name="_xlnm.Print_Area" localSheetId="5">MPESA!$A$9:$E$27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7" l="1"/>
  <c r="G67" i="7" l="1"/>
  <c r="D42" i="10"/>
  <c r="F66" i="7"/>
  <c r="F28" i="8"/>
  <c r="B8" i="1"/>
  <c r="E49" i="11"/>
  <c r="F3" i="11" s="1"/>
  <c r="F4" i="11" s="1"/>
  <c r="G9" i="10" l="1"/>
  <c r="E3" i="10"/>
  <c r="E4" i="10" s="1"/>
  <c r="G42" i="10" s="1"/>
  <c r="F4" i="10" l="1"/>
  <c r="F2" i="10"/>
  <c r="F3" i="10" s="1"/>
  <c r="F5" i="10" l="1"/>
  <c r="D13" i="11" l="1"/>
  <c r="F12" i="11"/>
  <c r="D12" i="11"/>
  <c r="F11" i="11"/>
  <c r="F10" i="11"/>
  <c r="F49" i="11" s="1"/>
  <c r="D10" i="11"/>
  <c r="H9" i="1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E26" i="10"/>
  <c r="E20" i="10"/>
  <c r="E19" i="10"/>
  <c r="C18" i="10"/>
  <c r="C17" i="10"/>
  <c r="C16" i="10"/>
  <c r="C15" i="10"/>
  <c r="C14" i="10"/>
  <c r="E13" i="10"/>
  <c r="C13" i="10"/>
  <c r="E12" i="10"/>
  <c r="E11" i="10"/>
  <c r="C11" i="10"/>
  <c r="G10" i="10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F5" i="11" l="1"/>
  <c r="F6" i="11" s="1"/>
  <c r="H49" i="11"/>
  <c r="E42" i="10"/>
  <c r="E5" i="10" s="1"/>
  <c r="E6" i="10" s="1"/>
  <c r="H20" i="11"/>
  <c r="F63" i="7" l="1"/>
  <c r="D31" i="9"/>
  <c r="D28" i="9"/>
  <c r="D27" i="9"/>
  <c r="D33" i="9" s="1"/>
  <c r="D3" i="9" s="1"/>
  <c r="D26" i="9"/>
  <c r="D2" i="9"/>
  <c r="B4" i="1"/>
  <c r="D4" i="9" l="1"/>
  <c r="D32" i="8" l="1"/>
  <c r="C20" i="8"/>
  <c r="C70" i="8" s="1"/>
  <c r="D18" i="8"/>
  <c r="D70" i="8" s="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B2" i="8"/>
  <c r="D74" i="7"/>
  <c r="E6" i="7" s="1"/>
  <c r="C74" i="7"/>
  <c r="E4" i="7" s="1"/>
  <c r="E5" i="7" s="1"/>
  <c r="G61" i="7"/>
  <c r="F57" i="7"/>
  <c r="G45" i="7"/>
  <c r="F44" i="7"/>
  <c r="G37" i="7"/>
  <c r="G36" i="7"/>
  <c r="G35" i="7"/>
  <c r="G33" i="7"/>
  <c r="G32" i="7"/>
  <c r="G27" i="7"/>
  <c r="F21" i="7"/>
  <c r="G18" i="7"/>
  <c r="F17" i="7"/>
  <c r="F13" i="7"/>
  <c r="F74" i="7" s="1"/>
  <c r="H4" i="7" s="1"/>
  <c r="H5" i="7" s="1"/>
  <c r="H12" i="7"/>
  <c r="H11" i="7"/>
  <c r="E11" i="7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l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2" i="7" s="1"/>
  <c r="E53" i="7" s="1"/>
  <c r="E54" i="7" s="1"/>
  <c r="E55" i="7" s="1"/>
  <c r="E56" i="7" s="1"/>
  <c r="E57" i="7" s="1"/>
  <c r="E58" i="7" s="1"/>
  <c r="E60" i="7" s="1"/>
  <c r="E61" i="7" s="1"/>
  <c r="E62" i="7" s="1"/>
  <c r="E63" i="7" s="1"/>
  <c r="E7" i="7"/>
  <c r="H13" i="7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E74" i="7"/>
  <c r="G74" i="7"/>
  <c r="H6" i="7" s="1"/>
  <c r="E70" i="8"/>
  <c r="E3" i="8"/>
  <c r="E18" i="6"/>
  <c r="E8" i="6"/>
  <c r="C7" i="6"/>
  <c r="C9" i="6" s="1"/>
  <c r="E6" i="6"/>
  <c r="E5" i="6"/>
  <c r="H74" i="7" l="1"/>
  <c r="H7" i="7"/>
  <c r="E51" i="7"/>
  <c r="E7" i="6"/>
  <c r="E4" i="6"/>
  <c r="E9" i="6" l="1"/>
  <c r="C3" i="2" l="1"/>
  <c r="E16" i="6" l="1"/>
  <c r="C17" i="2" l="1"/>
  <c r="B18" i="1" l="1"/>
  <c r="E18" i="1"/>
  <c r="E20" i="1" l="1"/>
  <c r="E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G15" authorId="0" shapeId="0" xr:uid="{5CBBC7FF-B235-419F-9ADA-3F18257D0426}">
      <text>
        <r>
          <rPr>
            <b/>
            <sz val="9"/>
            <color indexed="81"/>
            <rFont val="Tahoma"/>
            <family val="2"/>
          </rPr>
          <t>Alex W/U</t>
        </r>
        <r>
          <rPr>
            <sz val="9"/>
            <color indexed="81"/>
            <rFont val="Tahoma"/>
            <family val="2"/>
          </rPr>
          <t xml:space="preserve">
Also please may you arrange with Andrissa to get the upholstery work paid directly to Elana Erasmus. Total 42 420mt.</t>
        </r>
      </text>
    </comment>
  </commentList>
</comments>
</file>

<file path=xl/sharedStrings.xml><?xml version="1.0" encoding="utf-8"?>
<sst xmlns="http://schemas.openxmlformats.org/spreadsheetml/2006/main" count="301" uniqueCount="182">
  <si>
    <t>CASA COCO</t>
  </si>
  <si>
    <t>SHARED</t>
  </si>
  <si>
    <t>SALARIES &amp; WAGES</t>
  </si>
  <si>
    <t>CASUAL WORKERS AND FOOD ALLOWANCE</t>
  </si>
  <si>
    <t>OFFICE AND BANK CHARGES</t>
  </si>
  <si>
    <t>GAS AND ELECTRISITY</t>
  </si>
  <si>
    <t>MAINTENANCE GENERAL</t>
  </si>
  <si>
    <t>MAINTENANCE GARDEN &amp; POOL</t>
  </si>
  <si>
    <t>SMALL TOOLS</t>
  </si>
  <si>
    <t>MAINTENANCE VEHICLES</t>
  </si>
  <si>
    <t>DIESEL AND PETROL</t>
  </si>
  <si>
    <t>HOUSE KEEPING</t>
  </si>
  <si>
    <t>MARINTINE &amp; MUNICIPAL TAXES IPRA &amp;TAE</t>
  </si>
  <si>
    <t>PERSONAL</t>
  </si>
  <si>
    <t>US$</t>
  </si>
  <si>
    <t>DATE</t>
  </si>
  <si>
    <t>DETAILS</t>
  </si>
  <si>
    <t>DR</t>
  </si>
  <si>
    <t>CR</t>
  </si>
  <si>
    <t>BAL</t>
  </si>
  <si>
    <t>TOTAL</t>
  </si>
  <si>
    <t>BALANCE</t>
  </si>
  <si>
    <t>OPENING BALANCE</t>
  </si>
  <si>
    <t>CASA LUZ</t>
  </si>
  <si>
    <t>CASA AURORA</t>
  </si>
  <si>
    <t>CASA CAJU</t>
  </si>
  <si>
    <t>BANK</t>
  </si>
  <si>
    <t>CASH</t>
  </si>
  <si>
    <t>DOLLAR BANK</t>
  </si>
  <si>
    <t>DESCRIPTION</t>
  </si>
  <si>
    <t xml:space="preserve">OPENING BALANCE JAN 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</si>
  <si>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</si>
  <si>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</si>
  <si>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</si>
  <si>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</si>
  <si>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</si>
  <si>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</si>
  <si>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</si>
  <si>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</si>
  <si>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</si>
  <si>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</si>
  <si>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</si>
  <si>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</si>
  <si>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HOUSE</t>
  </si>
  <si>
    <t xml:space="preserve">CASH AVAILABLE </t>
  </si>
  <si>
    <t>MONTH</t>
  </si>
  <si>
    <t>TOTAL INCOME YTD</t>
  </si>
  <si>
    <t>AMOUNT MZN</t>
  </si>
  <si>
    <t>INCOME AMOUNT</t>
  </si>
  <si>
    <t>EXPENSES AMOUNT</t>
  </si>
  <si>
    <t xml:space="preserve">BALANCED </t>
  </si>
  <si>
    <t>YES</t>
  </si>
  <si>
    <t>NEGU</t>
  </si>
  <si>
    <t>ADMIN CHARGES (BDO &amp; ANDRISA ENS )</t>
  </si>
  <si>
    <t xml:space="preserve">EQUIPMENT PRESSURE PUMP X 2 </t>
  </si>
  <si>
    <t>INSURANCE &amp; LICENSE VEHICLES</t>
  </si>
  <si>
    <t>INSURANCE PUBLIC LIBILITY</t>
  </si>
  <si>
    <t>WORKMENS COMPENSATION</t>
  </si>
  <si>
    <t>COMMUNITY DONATION</t>
  </si>
  <si>
    <t>RATE APRIL 63,25</t>
  </si>
  <si>
    <t>LANDCO BALANCES  MARCH 2026</t>
  </si>
  <si>
    <t>INCOME MARCH</t>
  </si>
  <si>
    <t>EXPENSES MARCH</t>
  </si>
  <si>
    <t>Total</t>
  </si>
  <si>
    <t>BALANCE END FEB 2026</t>
  </si>
  <si>
    <t>CASA CAJU SUMMARY 2026</t>
  </si>
  <si>
    <t>CASA CAJU INCOME 2026</t>
  </si>
  <si>
    <t>Kevin &amp; Alex Personal Cash</t>
  </si>
  <si>
    <t>Mpesa</t>
  </si>
  <si>
    <t>Emola</t>
  </si>
  <si>
    <t>CURRENT BALANCE</t>
  </si>
  <si>
    <t>CURRENT BALANCE MET</t>
  </si>
  <si>
    <t>STARLINK</t>
  </si>
  <si>
    <t>Transfer Monique Andrisa MPESA and Emola</t>
  </si>
  <si>
    <t>Transfer Alex Tackel room</t>
  </si>
  <si>
    <t>RECEIVED FROM WARREN COHEN RENT UNDERCOVER</t>
  </si>
  <si>
    <t>TRANSFER $900 TO METS @ 69</t>
  </si>
  <si>
    <t>BUY 2 CELL PHONES</t>
  </si>
  <si>
    <t>Xmas cake</t>
  </si>
  <si>
    <t>RECEIVED ALEX</t>
  </si>
  <si>
    <t>TRANSFER $500 TO METS @ 69</t>
  </si>
  <si>
    <t>Spar 1st night</t>
  </si>
  <si>
    <t>Seafood Adelino</t>
  </si>
  <si>
    <t xml:space="preserve">CaterKing Gammon </t>
  </si>
  <si>
    <t>RECEIVED FROM H1 FOR RENT UNDERCOVER</t>
  </si>
  <si>
    <t>REVERSE PAYMENT TO MONIQUE FROM LANDCO TO ENVELOPE ALEX</t>
  </si>
  <si>
    <t>PAY 2 SIM CARDS AND DATA AND FEE GP AND MACARATA</t>
  </si>
  <si>
    <t>TRANSFER TO EMOLA AND MPESA</t>
  </si>
  <si>
    <t>DEAN PAYMENT</t>
  </si>
  <si>
    <t>DERITO AIRPORT</t>
  </si>
  <si>
    <t>MARCO BEBE GIMO TIP</t>
  </si>
  <si>
    <t>PEDRO 13 DAYS BOAT</t>
  </si>
  <si>
    <t>ALEX TIP PLUS SALARY 7500</t>
  </si>
  <si>
    <t>ROCINA</t>
  </si>
  <si>
    <t>ALMEDIA 10 Days boat</t>
  </si>
  <si>
    <t xml:space="preserve">Aminosse 1 day boat plus gen </t>
  </si>
  <si>
    <t>TIGER Garden 1 day boat plus gen</t>
  </si>
  <si>
    <t>ARMINDO QUETANE HOU Guard</t>
  </si>
  <si>
    <t>PENGA Guard</t>
  </si>
  <si>
    <t>ANSELMO LUCAS HUO Guard</t>
  </si>
  <si>
    <t>CISTORA JOAO TANGUNE Laundery</t>
  </si>
  <si>
    <t>PARK FEE</t>
  </si>
  <si>
    <t>STARLINK Mpesa REFUND</t>
  </si>
  <si>
    <t>Received Lee-Ann</t>
  </si>
  <si>
    <t>AIRTIME</t>
  </si>
  <si>
    <t>Customs Documents for Tempory Export Undercover</t>
  </si>
  <si>
    <t>Victor fee to orgenize the documents</t>
  </si>
  <si>
    <t>Darian lights fix number plate ens Trailer</t>
  </si>
  <si>
    <t>REFUND CLEANING MATERIAL</t>
  </si>
  <si>
    <t>BUDGIE 11 DAYS @ $80</t>
  </si>
  <si>
    <t>Abilio Pianter sealer Fish room</t>
  </si>
  <si>
    <t>TRANSFER TO TOTAL (CASH REFUND CLEANING)</t>
  </si>
  <si>
    <t>TRANSFER TO SHAHEEN MPESA</t>
  </si>
  <si>
    <t>CHANGE DOLLAR TO METS @ 68</t>
  </si>
  <si>
    <t>BOUGHT 10 X 200 LITER CONTAINERS</t>
  </si>
  <si>
    <t>BASILIO INSPECTION KRAKEN</t>
  </si>
  <si>
    <t>ITRANSMAR KRAKEN PLUS SKIPPER</t>
  </si>
  <si>
    <t>RECEIVED WARREN FOR EXPENSES FISHING</t>
  </si>
  <si>
    <t>KRAKEN FUEL</t>
  </si>
  <si>
    <t>METICAIS</t>
  </si>
  <si>
    <t>CHEQUE Landco</t>
  </si>
  <si>
    <t>FUEL 800 LITERS @ 88,96</t>
  </si>
  <si>
    <t>KEVIN PAID FUEL</t>
  </si>
  <si>
    <t>ALEX PAID FUEL</t>
  </si>
  <si>
    <t>FUEL 1000 LITERS @ 88,96</t>
  </si>
  <si>
    <t xml:space="preserve"> WARREN PAID FUEL $1150</t>
  </si>
  <si>
    <t>ok balance</t>
  </si>
  <si>
    <t>RECEIVED LINDA 200 LITERS @ $1,5</t>
  </si>
  <si>
    <t>FUEL 200 LITERS @ 88,96</t>
  </si>
  <si>
    <t>CASH DEPOSIT AT NAZIR (REFUND CLEANING Mat)</t>
  </si>
  <si>
    <t xml:space="preserve">MPESA TO SHAHEEN </t>
  </si>
  <si>
    <t>EMOLA 868668111</t>
  </si>
  <si>
    <t>LINDA FUEL</t>
  </si>
  <si>
    <t>FUEL 275 LITERS @ 88,96 LINDA</t>
  </si>
  <si>
    <t>PAID TO BCI TOTAL</t>
  </si>
  <si>
    <t>FUEL 400 LITERS @ 88,96</t>
  </si>
  <si>
    <t>WARREN  FUEL PAID TO BCI</t>
  </si>
  <si>
    <t>ANDRISA PAID CASH TO YUSSUF BCI</t>
  </si>
  <si>
    <t>SHARED EXPENCES</t>
  </si>
  <si>
    <t>PERSONAL EXPENCES</t>
  </si>
  <si>
    <t>TOTAL EXPENCES</t>
  </si>
  <si>
    <t>PERSONAL AND SHARED EXPENSES</t>
  </si>
  <si>
    <t>DEACRIPTION</t>
  </si>
  <si>
    <t>Mets</t>
  </si>
  <si>
    <t xml:space="preserve"> SALARIES</t>
  </si>
  <si>
    <t>INSURANCE VECHICLE</t>
  </si>
  <si>
    <t>MAINTENANCE FIX WIFI RENALDO</t>
  </si>
  <si>
    <t>SKIPPERS CLEANING BOAT</t>
  </si>
  <si>
    <t>SEALER TACKLE ROOM</t>
  </si>
  <si>
    <t>STARLINK  REFUND</t>
  </si>
  <si>
    <t>Deposit</t>
  </si>
  <si>
    <t>Payments</t>
  </si>
  <si>
    <t>Bank charges</t>
  </si>
  <si>
    <t>Balance</t>
  </si>
  <si>
    <t>ADERITO AIRPORT</t>
  </si>
  <si>
    <t>PARK FEES 24250 - 1950 DOUBLE PAY GUARDS = 22300 -5000(Emola)</t>
  </si>
  <si>
    <t>Deposit Starlink monthly from Landco</t>
  </si>
  <si>
    <t>LEE-ANN</t>
  </si>
  <si>
    <t>Airtime</t>
  </si>
  <si>
    <t>Starlink refund</t>
  </si>
  <si>
    <t>Petrol for Kraken Shaheen</t>
  </si>
  <si>
    <t>Amount</t>
  </si>
  <si>
    <t>Commision</t>
  </si>
  <si>
    <t>MARCO BEBE GIMO TIP HOLIDAY</t>
  </si>
  <si>
    <t>CISTORA JOAO TANGUNE Laundry</t>
  </si>
  <si>
    <t xml:space="preserve">LEE-ANN </t>
  </si>
  <si>
    <t>TRANSFER TO TOTAL</t>
  </si>
  <si>
    <t>ALEX MPESA ACCOUNT 855920893</t>
  </si>
  <si>
    <t>Balance b/f</t>
  </si>
  <si>
    <t>Receipts</t>
  </si>
  <si>
    <t>Balance c/f</t>
  </si>
  <si>
    <t>ALEX EMOLA ACCOUNT                                            872815895</t>
  </si>
  <si>
    <t>EMOLA</t>
  </si>
  <si>
    <t>MPESA</t>
  </si>
  <si>
    <t>Crewbase DEPOSIT</t>
  </si>
  <si>
    <t>BURGLARY</t>
  </si>
  <si>
    <t>RECEIVED R80000 @ 4 CREWBASE</t>
  </si>
  <si>
    <t>PAID TO LC BANK ACCOUNT</t>
  </si>
  <si>
    <t>PAVING AT TACKEL ROOM</t>
  </si>
  <si>
    <t>BILL APRIL PARKS FEE FISH LICENSE AND SKIPPERS</t>
  </si>
  <si>
    <t>PAID DEPOSIT TO QUINITO ROOF SCULARY</t>
  </si>
  <si>
    <t>SKIPPERS @ 3 TO TAKE KRAKEN BACK TO SCOTTE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</si>
</sst>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&quot;£&quot;* #,##0.00_);_(&quot;£&quot;* \(#,##0.00\);_(&quot;£&quot;* &quot;-&quot;??_);_(@_)"/>
    <numFmt numFmtId="165" formatCode="&quot;$&quot;#,##0.00"/>
    <numFmt numFmtId="166" formatCode="[$-409]mmmm\-yy;@"/>
    <numFmt numFmtId="167" formatCode="_-* #,##0_-;\-* #,##0_-;_-* &quot;-&quot;??_-;_-@"/>
    <numFmt numFmtId="168" formatCode="_-* #,##0.00_-;\-* #,##0.00_-;_-* &quot;-&quot;??_-;_-@"/>
    <numFmt numFmtId="169" formatCode="[$MZN]\ #,##0.00"/>
    <numFmt numFmtId="170" formatCode="[$-409]d\-mmm\-yy;@"/>
    <numFmt numFmtId="171" formatCode="0.0"/>
    <numFmt numFmtId="172" formatCode="[$-1C09]General"/>
    <numFmt numFmtId="173" formatCode="[$-1C09]dd\-mmm\-yy"/>
    <numFmt numFmtId="174" formatCode="_(* #,##0.00_);_(* \(#,##0.00\);_(* &quot;-&quot;??_);_(@_)"/>
    <numFmt numFmtId="175" formatCode="[$$-409]#,##0.00"/>
    <numFmt numFmtId="176" formatCode="[$-14809]d\ mmm\ yyyy;@"/>
    <numFmt numFmtId="177" formatCode="[$-409]dd\-mmm\-yy;@"/>
  </numFmts>
  <fonts count="7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b/>
      <u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9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000000"/>
      <name val="Times New Roman"/>
      <family val="1"/>
    </font>
    <font>
      <u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theme="1" tint="0.34998626667073579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sz val="9"/>
      <color theme="1"/>
      <name val="Aptos Display"/>
      <family val="2"/>
    </font>
    <font>
      <sz val="9"/>
      <name val="Aptos Display"/>
      <family val="2"/>
    </font>
    <font>
      <sz val="10"/>
      <name val="Calibri"/>
      <family val="2"/>
      <charset val="1"/>
    </font>
    <font>
      <sz val="11"/>
      <name val="Calibri"/>
      <family val="2"/>
    </font>
    <font>
      <b/>
      <sz val="11"/>
      <color theme="9"/>
      <name val="Times New Roman"/>
      <family val="1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2"/>
      <color theme="1"/>
      <name val="Aptos Display"/>
      <family val="2"/>
    </font>
    <font>
      <b/>
      <sz val="12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  <scheme val="minor"/>
    </font>
    <font>
      <sz val="10"/>
      <name val="Aptos"/>
      <family val="2"/>
    </font>
    <font>
      <b/>
      <sz val="10"/>
      <name val="Aptos"/>
      <family val="2"/>
    </font>
    <font>
      <b/>
      <sz val="10"/>
      <color theme="1"/>
      <name val="Arial"/>
      <family val="2"/>
    </font>
    <font>
      <sz val="10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</borders>
  <cellStyleXfs count="27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47" fillId="0" borderId="0"/>
    <xf numFmtId="0" fontId="3" fillId="0" borderId="0"/>
    <xf numFmtId="0" fontId="3" fillId="0" borderId="0"/>
    <xf numFmtId="0" fontId="3" fillId="0" borderId="0"/>
    <xf numFmtId="172" fontId="55" fillId="0" borderId="0" applyBorder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44">
    <xf numFmtId="0" fontId="0" fillId="0" borderId="0" xfId="0"/>
    <xf numFmtId="0" fontId="6" fillId="0" borderId="0" xfId="2"/>
    <xf numFmtId="0" fontId="8" fillId="2" borderId="0" xfId="2" applyFont="1" applyFill="1"/>
    <xf numFmtId="0" fontId="8" fillId="2" borderId="0" xfId="2" applyFont="1" applyFill="1" applyAlignment="1">
      <alignment horizontal="left"/>
    </xf>
    <xf numFmtId="4" fontId="8" fillId="2" borderId="0" xfId="2" applyNumberFormat="1" applyFont="1" applyFill="1" applyAlignment="1">
      <alignment horizontal="right"/>
    </xf>
    <xf numFmtId="0" fontId="7" fillId="0" borderId="0" xfId="7"/>
    <xf numFmtId="169" fontId="0" fillId="0" borderId="0" xfId="0" applyNumberFormat="1"/>
    <xf numFmtId="17" fontId="8" fillId="2" borderId="0" xfId="2" applyNumberFormat="1" applyFont="1" applyFill="1" applyAlignment="1">
      <alignment horizontal="left"/>
    </xf>
    <xf numFmtId="17" fontId="6" fillId="0" borderId="0" xfId="2" applyNumberFormat="1"/>
    <xf numFmtId="4" fontId="6" fillId="0" borderId="0" xfId="2" applyNumberFormat="1" applyAlignment="1">
      <alignment horizontal="right"/>
    </xf>
    <xf numFmtId="0" fontId="13" fillId="0" borderId="0" xfId="0" applyFont="1"/>
    <xf numFmtId="0" fontId="14" fillId="0" borderId="0" xfId="7" applyFont="1"/>
    <xf numFmtId="4" fontId="14" fillId="0" borderId="0" xfId="7" applyNumberFormat="1" applyFont="1"/>
    <xf numFmtId="4" fontId="15" fillId="0" borderId="0" xfId="7" applyNumberFormat="1" applyFont="1"/>
    <xf numFmtId="4" fontId="16" fillId="0" borderId="0" xfId="7" applyNumberFormat="1" applyFont="1"/>
    <xf numFmtId="169" fontId="13" fillId="0" borderId="0" xfId="0" applyNumberFormat="1" applyFont="1"/>
    <xf numFmtId="0" fontId="13" fillId="0" borderId="0" xfId="2" applyFont="1"/>
    <xf numFmtId="0" fontId="18" fillId="2" borderId="0" xfId="2" applyFont="1" applyFill="1"/>
    <xf numFmtId="0" fontId="13" fillId="2" borderId="0" xfId="2" applyFont="1" applyFill="1"/>
    <xf numFmtId="0" fontId="18" fillId="2" borderId="1" xfId="2" applyFont="1" applyFill="1" applyBorder="1" applyAlignment="1">
      <alignment horizontal="left"/>
    </xf>
    <xf numFmtId="4" fontId="18" fillId="2" borderId="1" xfId="2" applyNumberFormat="1" applyFont="1" applyFill="1" applyBorder="1" applyAlignment="1">
      <alignment horizontal="right"/>
    </xf>
    <xf numFmtId="0" fontId="13" fillId="0" borderId="1" xfId="0" applyFont="1" applyBorder="1"/>
    <xf numFmtId="0" fontId="7" fillId="0" borderId="1" xfId="7" applyBorder="1"/>
    <xf numFmtId="0" fontId="7" fillId="4" borderId="1" xfId="7" applyFill="1" applyBorder="1"/>
    <xf numFmtId="0" fontId="14" fillId="0" borderId="1" xfId="7" applyFont="1" applyBorder="1"/>
    <xf numFmtId="4" fontId="14" fillId="0" borderId="1" xfId="7" applyNumberFormat="1" applyFont="1" applyBorder="1"/>
    <xf numFmtId="4" fontId="14" fillId="4" borderId="1" xfId="7" applyNumberFormat="1" applyFont="1" applyFill="1" applyBorder="1"/>
    <xf numFmtId="4" fontId="16" fillId="4" borderId="1" xfId="7" applyNumberFormat="1" applyFont="1" applyFill="1" applyBorder="1"/>
    <xf numFmtId="4" fontId="17" fillId="4" borderId="1" xfId="7" applyNumberFormat="1" applyFont="1" applyFill="1" applyBorder="1"/>
    <xf numFmtId="165" fontId="14" fillId="0" borderId="1" xfId="7" applyNumberFormat="1" applyFont="1" applyBorder="1"/>
    <xf numFmtId="169" fontId="13" fillId="0" borderId="1" xfId="0" applyNumberFormat="1" applyFont="1" applyBorder="1"/>
    <xf numFmtId="4" fontId="13" fillId="0" borderId="1" xfId="0" applyNumberFormat="1" applyFont="1" applyBorder="1"/>
    <xf numFmtId="0" fontId="23" fillId="0" borderId="1" xfId="7" applyFont="1" applyBorder="1"/>
    <xf numFmtId="4" fontId="23" fillId="0" borderId="1" xfId="7" applyNumberFormat="1" applyFont="1" applyBorder="1"/>
    <xf numFmtId="4" fontId="23" fillId="4" borderId="1" xfId="7" applyNumberFormat="1" applyFont="1" applyFill="1" applyBorder="1"/>
    <xf numFmtId="4" fontId="23" fillId="0" borderId="0" xfId="7" applyNumberFormat="1" applyFont="1"/>
    <xf numFmtId="0" fontId="23" fillId="0" borderId="0" xfId="7" applyFont="1"/>
    <xf numFmtId="0" fontId="23" fillId="0" borderId="1" xfId="7" applyFont="1" applyBorder="1" applyAlignment="1">
      <alignment horizontal="center"/>
    </xf>
    <xf numFmtId="0" fontId="23" fillId="0" borderId="1" xfId="7" applyFont="1" applyBorder="1" applyAlignment="1">
      <alignment horizontal="center" wrapText="1"/>
    </xf>
    <xf numFmtId="0" fontId="13" fillId="0" borderId="0" xfId="7" applyFont="1" applyAlignment="1">
      <alignment horizontal="center"/>
    </xf>
    <xf numFmtId="0" fontId="22" fillId="4" borderId="1" xfId="7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4" fontId="22" fillId="0" borderId="0" xfId="7" applyNumberFormat="1" applyFont="1"/>
    <xf numFmtId="0" fontId="22" fillId="0" borderId="0" xfId="7" applyFont="1"/>
    <xf numFmtId="0" fontId="23" fillId="0" borderId="1" xfId="0" applyFont="1" applyBorder="1"/>
    <xf numFmtId="0" fontId="0" fillId="0" borderId="1" xfId="0" applyBorder="1"/>
    <xf numFmtId="165" fontId="13" fillId="2" borderId="1" xfId="2" applyNumberFormat="1" applyFont="1" applyFill="1" applyBorder="1"/>
    <xf numFmtId="0" fontId="19" fillId="2" borderId="1" xfId="2" applyFont="1" applyFill="1" applyBorder="1"/>
    <xf numFmtId="4" fontId="13" fillId="2" borderId="1" xfId="2" applyNumberFormat="1" applyFont="1" applyFill="1" applyBorder="1"/>
    <xf numFmtId="0" fontId="14" fillId="2" borderId="1" xfId="2" applyFont="1" applyFill="1" applyBorder="1"/>
    <xf numFmtId="4" fontId="14" fillId="2" borderId="1" xfId="2" applyNumberFormat="1" applyFont="1" applyFill="1" applyBorder="1"/>
    <xf numFmtId="165" fontId="14" fillId="2" borderId="1" xfId="2" applyNumberFormat="1" applyFont="1" applyFill="1" applyBorder="1"/>
    <xf numFmtId="0" fontId="21" fillId="2" borderId="1" xfId="2" applyFont="1" applyFill="1" applyBorder="1" applyAlignment="1">
      <alignment horizontal="center"/>
    </xf>
    <xf numFmtId="4" fontId="24" fillId="0" borderId="1" xfId="1" applyNumberFormat="1" applyFont="1" applyBorder="1" applyProtection="1"/>
    <xf numFmtId="4" fontId="20" fillId="3" borderId="1" xfId="0" applyNumberFormat="1" applyFont="1" applyFill="1" applyBorder="1"/>
    <xf numFmtId="0" fontId="23" fillId="0" borderId="0" xfId="0" applyFont="1"/>
    <xf numFmtId="4" fontId="23" fillId="2" borderId="1" xfId="2" applyNumberFormat="1" applyFont="1" applyFill="1" applyBorder="1"/>
    <xf numFmtId="165" fontId="23" fillId="2" borderId="1" xfId="2" applyNumberFormat="1" applyFont="1" applyFill="1" applyBorder="1"/>
    <xf numFmtId="0" fontId="23" fillId="2" borderId="1" xfId="2" applyFont="1" applyFill="1" applyBorder="1"/>
    <xf numFmtId="17" fontId="19" fillId="2" borderId="1" xfId="2" applyNumberFormat="1" applyFont="1" applyFill="1" applyBorder="1" applyAlignment="1">
      <alignment horizontal="left"/>
    </xf>
    <xf numFmtId="4" fontId="19" fillId="2" borderId="1" xfId="2" applyNumberFormat="1" applyFont="1" applyFill="1" applyBorder="1" applyAlignment="1">
      <alignment horizontal="right"/>
    </xf>
    <xf numFmtId="17" fontId="23" fillId="2" borderId="1" xfId="2" applyNumberFormat="1" applyFont="1" applyFill="1" applyBorder="1" applyAlignment="1">
      <alignment horizontal="left"/>
    </xf>
    <xf numFmtId="0" fontId="23" fillId="0" borderId="1" xfId="2" applyFont="1" applyBorder="1"/>
    <xf numFmtId="0" fontId="23" fillId="0" borderId="1" xfId="2" applyFont="1" applyBorder="1" applyAlignment="1">
      <alignment horizontal="center"/>
    </xf>
    <xf numFmtId="0" fontId="22" fillId="0" borderId="1" xfId="3" applyFont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1" xfId="2" applyNumberFormat="1" applyFont="1" applyBorder="1"/>
    <xf numFmtId="165" fontId="23" fillId="0" borderId="1" xfId="2" applyNumberFormat="1" applyFont="1" applyBorder="1"/>
    <xf numFmtId="0" fontId="14" fillId="2" borderId="1" xfId="2" applyFont="1" applyFill="1" applyBorder="1" applyAlignment="1">
      <alignment horizontal="left"/>
    </xf>
    <xf numFmtId="0" fontId="23" fillId="2" borderId="1" xfId="2" applyFont="1" applyFill="1" applyBorder="1" applyAlignment="1">
      <alignment horizontal="left"/>
    </xf>
    <xf numFmtId="4" fontId="23" fillId="2" borderId="1" xfId="2" applyNumberFormat="1" applyFont="1" applyFill="1" applyBorder="1" applyAlignment="1">
      <alignment horizontal="left"/>
    </xf>
    <xf numFmtId="0" fontId="23" fillId="2" borderId="0" xfId="2" applyFont="1" applyFill="1" applyAlignment="1">
      <alignment horizontal="left"/>
    </xf>
    <xf numFmtId="0" fontId="25" fillId="0" borderId="0" xfId="2" applyFont="1" applyAlignment="1">
      <alignment horizontal="left"/>
    </xf>
    <xf numFmtId="0" fontId="22" fillId="0" borderId="1" xfId="7" applyFont="1" applyBorder="1"/>
    <xf numFmtId="4" fontId="13" fillId="0" borderId="1" xfId="7" applyNumberFormat="1" applyFont="1" applyBorder="1" applyAlignment="1">
      <alignment horizontal="left"/>
    </xf>
    <xf numFmtId="0" fontId="23" fillId="4" borderId="1" xfId="7" applyFont="1" applyFill="1" applyBorder="1" applyAlignment="1">
      <alignment horizontal="left"/>
    </xf>
    <xf numFmtId="4" fontId="28" fillId="4" borderId="1" xfId="7" applyNumberFormat="1" applyFont="1" applyFill="1" applyBorder="1" applyAlignment="1">
      <alignment horizontal="left"/>
    </xf>
    <xf numFmtId="4" fontId="23" fillId="4" borderId="1" xfId="7" applyNumberFormat="1" applyFont="1" applyFill="1" applyBorder="1" applyAlignment="1">
      <alignment horizontal="left"/>
    </xf>
    <xf numFmtId="4" fontId="24" fillId="0" borderId="1" xfId="0" applyNumberFormat="1" applyFont="1" applyBorder="1"/>
    <xf numFmtId="4" fontId="14" fillId="2" borderId="1" xfId="2" applyNumberFormat="1" applyFont="1" applyFill="1" applyBorder="1" applyAlignment="1">
      <alignment horizontal="right"/>
    </xf>
    <xf numFmtId="0" fontId="20" fillId="3" borderId="1" xfId="0" applyFont="1" applyFill="1" applyBorder="1" applyAlignment="1">
      <alignment horizontal="left"/>
    </xf>
    <xf numFmtId="0" fontId="7" fillId="4" borderId="0" xfId="7" applyFill="1"/>
    <xf numFmtId="0" fontId="31" fillId="0" borderId="0" xfId="7" applyFont="1" applyAlignment="1">
      <alignment wrapText="1"/>
    </xf>
    <xf numFmtId="0" fontId="31" fillId="0" borderId="0" xfId="7" applyFont="1"/>
    <xf numFmtId="0" fontId="5" fillId="0" borderId="0" xfId="7" applyFont="1"/>
    <xf numFmtId="4" fontId="7" fillId="0" borderId="0" xfId="7" applyNumberFormat="1"/>
    <xf numFmtId="4" fontId="14" fillId="0" borderId="1" xfId="0" applyNumberFormat="1" applyFont="1" applyBorder="1"/>
    <xf numFmtId="0" fontId="37" fillId="2" borderId="1" xfId="2" applyFont="1" applyFill="1" applyBorder="1"/>
    <xf numFmtId="4" fontId="37" fillId="2" borderId="1" xfId="2" applyNumberFormat="1" applyFont="1" applyFill="1" applyBorder="1" applyAlignment="1">
      <alignment horizontal="right"/>
    </xf>
    <xf numFmtId="0" fontId="4" fillId="0" borderId="1" xfId="7" applyFont="1" applyBorder="1"/>
    <xf numFmtId="4" fontId="7" fillId="0" borderId="1" xfId="7" applyNumberFormat="1" applyBorder="1"/>
    <xf numFmtId="4" fontId="41" fillId="4" borderId="1" xfId="7" applyNumberFormat="1" applyFont="1" applyFill="1" applyBorder="1"/>
    <xf numFmtId="170" fontId="42" fillId="0" borderId="0" xfId="13" applyNumberFormat="1" applyFont="1"/>
    <xf numFmtId="0" fontId="3" fillId="0" borderId="0" xfId="13"/>
    <xf numFmtId="0" fontId="43" fillId="0" borderId="0" xfId="13" applyFont="1"/>
    <xf numFmtId="1" fontId="33" fillId="0" borderId="0" xfId="13" applyNumberFormat="1" applyFont="1"/>
    <xf numFmtId="0" fontId="27" fillId="0" borderId="0" xfId="13" applyFont="1"/>
    <xf numFmtId="170" fontId="9" fillId="0" borderId="15" xfId="13" applyNumberFormat="1" applyFont="1" applyBorder="1"/>
    <xf numFmtId="0" fontId="9" fillId="0" borderId="2" xfId="13" applyFont="1" applyBorder="1"/>
    <xf numFmtId="165" fontId="9" fillId="0" borderId="4" xfId="13" applyNumberFormat="1" applyFont="1" applyBorder="1" applyAlignment="1">
      <alignment horizontal="center" wrapText="1"/>
    </xf>
    <xf numFmtId="165" fontId="9" fillId="0" borderId="3" xfId="13" applyNumberFormat="1" applyFont="1" applyBorder="1" applyAlignment="1">
      <alignment horizontal="center" wrapText="1"/>
    </xf>
    <xf numFmtId="0" fontId="45" fillId="0" borderId="4" xfId="13" applyFont="1" applyBorder="1" applyAlignment="1">
      <alignment horizontal="center" vertical="center"/>
    </xf>
    <xf numFmtId="165" fontId="46" fillId="0" borderId="4" xfId="13" applyNumberFormat="1" applyFont="1" applyBorder="1" applyAlignment="1">
      <alignment vertical="center"/>
    </xf>
    <xf numFmtId="170" fontId="9" fillId="0" borderId="12" xfId="13" applyNumberFormat="1" applyFont="1" applyBorder="1"/>
    <xf numFmtId="0" fontId="9" fillId="0" borderId="7" xfId="13" applyFont="1" applyBorder="1"/>
    <xf numFmtId="165" fontId="9" fillId="0" borderId="7" xfId="13" applyNumberFormat="1" applyFont="1" applyBorder="1"/>
    <xf numFmtId="165" fontId="11" fillId="0" borderId="8" xfId="13" applyNumberFormat="1" applyFont="1" applyBorder="1"/>
    <xf numFmtId="169" fontId="9" fillId="0" borderId="7" xfId="14" applyNumberFormat="1" applyFont="1" applyBorder="1"/>
    <xf numFmtId="169" fontId="11" fillId="0" borderId="8" xfId="14" applyNumberFormat="1" applyFont="1" applyBorder="1"/>
    <xf numFmtId="0" fontId="40" fillId="0" borderId="7" xfId="13" applyFont="1" applyBorder="1"/>
    <xf numFmtId="0" fontId="48" fillId="0" borderId="14" xfId="15" applyFont="1" applyBorder="1" applyAlignment="1">
      <alignment horizontal="left" wrapText="1"/>
    </xf>
    <xf numFmtId="165" fontId="40" fillId="0" borderId="7" xfId="13" applyNumberFormat="1" applyFont="1" applyBorder="1"/>
    <xf numFmtId="169" fontId="9" fillId="0" borderId="14" xfId="14" applyNumberFormat="1" applyFont="1" applyBorder="1"/>
    <xf numFmtId="169" fontId="11" fillId="0" borderId="16" xfId="14" applyNumberFormat="1" applyFont="1" applyBorder="1"/>
    <xf numFmtId="165" fontId="40" fillId="0" borderId="13" xfId="13" applyNumberFormat="1" applyFont="1" applyBorder="1"/>
    <xf numFmtId="169" fontId="9" fillId="0" borderId="17" xfId="13" applyNumberFormat="1" applyFont="1" applyBorder="1"/>
    <xf numFmtId="0" fontId="39" fillId="0" borderId="18" xfId="15" applyFont="1" applyBorder="1" applyAlignment="1">
      <alignment horizontal="left"/>
    </xf>
    <xf numFmtId="169" fontId="9" fillId="0" borderId="17" xfId="14" applyNumberFormat="1" applyFont="1" applyBorder="1"/>
    <xf numFmtId="0" fontId="39" fillId="0" borderId="0" xfId="15" applyFont="1" applyAlignment="1">
      <alignment horizontal="left"/>
    </xf>
    <xf numFmtId="0" fontId="40" fillId="0" borderId="13" xfId="13" applyFont="1" applyBorder="1"/>
    <xf numFmtId="169" fontId="9" fillId="0" borderId="13" xfId="14" applyNumberFormat="1" applyFont="1" applyBorder="1"/>
    <xf numFmtId="165" fontId="9" fillId="0" borderId="13" xfId="13" applyNumberFormat="1" applyFont="1" applyBorder="1"/>
    <xf numFmtId="0" fontId="34" fillId="0" borderId="9" xfId="15" applyFont="1" applyBorder="1" applyAlignment="1">
      <alignment vertical="center"/>
    </xf>
    <xf numFmtId="171" fontId="49" fillId="0" borderId="9" xfId="15" applyNumberFormat="1" applyFont="1" applyBorder="1" applyAlignment="1">
      <alignment vertical="center"/>
    </xf>
    <xf numFmtId="0" fontId="49" fillId="3" borderId="9" xfId="15" applyFont="1" applyFill="1" applyBorder="1" applyAlignment="1">
      <alignment vertical="center"/>
    </xf>
    <xf numFmtId="0" fontId="49" fillId="0" borderId="9" xfId="15" applyFont="1" applyBorder="1" applyAlignment="1">
      <alignment vertical="center"/>
    </xf>
    <xf numFmtId="0" fontId="40" fillId="0" borderId="19" xfId="13" applyFont="1" applyBorder="1"/>
    <xf numFmtId="170" fontId="9" fillId="0" borderId="20" xfId="13" applyNumberFormat="1" applyFont="1" applyBorder="1"/>
    <xf numFmtId="169" fontId="40" fillId="0" borderId="13" xfId="14" applyNumberFormat="1" applyFont="1" applyBorder="1"/>
    <xf numFmtId="0" fontId="50" fillId="0" borderId="7" xfId="16" applyFont="1" applyBorder="1" applyAlignment="1">
      <alignment horizontal="left" vertical="center"/>
    </xf>
    <xf numFmtId="43" fontId="3" fillId="0" borderId="0" xfId="13" applyNumberFormat="1"/>
    <xf numFmtId="0" fontId="31" fillId="0" borderId="0" xfId="15" applyFont="1"/>
    <xf numFmtId="170" fontId="9" fillId="0" borderId="7" xfId="13" applyNumberFormat="1" applyFont="1" applyBorder="1"/>
    <xf numFmtId="0" fontId="40" fillId="0" borderId="0" xfId="13" applyFont="1"/>
    <xf numFmtId="169" fontId="40" fillId="0" borderId="20" xfId="14" applyNumberFormat="1" applyFont="1" applyBorder="1"/>
    <xf numFmtId="169" fontId="40" fillId="0" borderId="12" xfId="14" applyNumberFormat="1" applyFont="1" applyBorder="1"/>
    <xf numFmtId="169" fontId="40" fillId="0" borderId="21" xfId="14" applyNumberFormat="1" applyFont="1" applyBorder="1"/>
    <xf numFmtId="169" fontId="40" fillId="0" borderId="22" xfId="14" applyNumberFormat="1" applyFont="1" applyBorder="1"/>
    <xf numFmtId="169" fontId="40" fillId="0" borderId="17" xfId="14" applyNumberFormat="1" applyFont="1" applyBorder="1"/>
    <xf numFmtId="169" fontId="51" fillId="0" borderId="8" xfId="14" applyNumberFormat="1" applyFont="1" applyBorder="1"/>
    <xf numFmtId="170" fontId="3" fillId="0" borderId="23" xfId="13" applyNumberFormat="1" applyBorder="1"/>
    <xf numFmtId="0" fontId="40" fillId="0" borderId="24" xfId="13" applyFont="1" applyBorder="1"/>
    <xf numFmtId="165" fontId="52" fillId="0" borderId="25" xfId="13" applyNumberFormat="1" applyFont="1" applyBorder="1"/>
    <xf numFmtId="165" fontId="52" fillId="0" borderId="26" xfId="13" applyNumberFormat="1" applyFont="1" applyBorder="1"/>
    <xf numFmtId="169" fontId="52" fillId="0" borderId="26" xfId="13" applyNumberFormat="1" applyFont="1" applyBorder="1"/>
    <xf numFmtId="170" fontId="3" fillId="0" borderId="0" xfId="13" applyNumberFormat="1"/>
    <xf numFmtId="165" fontId="3" fillId="0" borderId="0" xfId="13" applyNumberFormat="1"/>
    <xf numFmtId="165" fontId="11" fillId="0" borderId="0" xfId="13" applyNumberFormat="1" applyFont="1"/>
    <xf numFmtId="169" fontId="11" fillId="0" borderId="0" xfId="13" applyNumberFormat="1" applyFont="1"/>
    <xf numFmtId="0" fontId="3" fillId="0" borderId="0" xfId="17"/>
    <xf numFmtId="169" fontId="3" fillId="0" borderId="0" xfId="18" applyNumberFormat="1"/>
    <xf numFmtId="173" fontId="55" fillId="0" borderId="0" xfId="19" applyNumberFormat="1" applyBorder="1" applyAlignment="1" applyProtection="1">
      <alignment horizontal="right"/>
    </xf>
    <xf numFmtId="0" fontId="11" fillId="0" borderId="0" xfId="17" applyFont="1"/>
    <xf numFmtId="169" fontId="33" fillId="0" borderId="0" xfId="18" applyNumberFormat="1" applyFont="1" applyAlignment="1">
      <alignment horizontal="right"/>
    </xf>
    <xf numFmtId="169" fontId="11" fillId="0" borderId="0" xfId="18" applyNumberFormat="1" applyFont="1"/>
    <xf numFmtId="0" fontId="9" fillId="0" borderId="2" xfId="17" applyFont="1" applyBorder="1"/>
    <xf numFmtId="0" fontId="9" fillId="0" borderId="7" xfId="17" applyFont="1" applyBorder="1"/>
    <xf numFmtId="169" fontId="9" fillId="0" borderId="7" xfId="18" applyNumberFormat="1" applyFont="1" applyBorder="1"/>
    <xf numFmtId="169" fontId="11" fillId="0" borderId="8" xfId="18" applyNumberFormat="1" applyFont="1" applyBorder="1"/>
    <xf numFmtId="169" fontId="9" fillId="0" borderId="7" xfId="20" applyNumberFormat="1" applyFont="1" applyBorder="1"/>
    <xf numFmtId="169" fontId="3" fillId="0" borderId="0" xfId="17" applyNumberFormat="1"/>
    <xf numFmtId="167" fontId="9" fillId="0" borderId="0" xfId="17" applyNumberFormat="1" applyFont="1"/>
    <xf numFmtId="15" fontId="56" fillId="0" borderId="0" xfId="17" applyNumberFormat="1" applyFont="1"/>
    <xf numFmtId="0" fontId="56" fillId="0" borderId="0" xfId="17" applyFont="1"/>
    <xf numFmtId="0" fontId="9" fillId="0" borderId="0" xfId="18" applyFont="1"/>
    <xf numFmtId="0" fontId="9" fillId="4" borderId="0" xfId="18" applyFont="1" applyFill="1"/>
    <xf numFmtId="0" fontId="3" fillId="0" borderId="0" xfId="18"/>
    <xf numFmtId="0" fontId="3" fillId="4" borderId="0" xfId="18" applyFill="1"/>
    <xf numFmtId="0" fontId="3" fillId="4" borderId="0" xfId="17" applyFill="1"/>
    <xf numFmtId="169" fontId="40" fillId="0" borderId="8" xfId="20" applyNumberFormat="1" applyFont="1" applyBorder="1"/>
    <xf numFmtId="169" fontId="9" fillId="0" borderId="6" xfId="20" applyNumberFormat="1" applyFont="1" applyBorder="1"/>
    <xf numFmtId="169" fontId="9" fillId="0" borderId="13" xfId="20" applyNumberFormat="1" applyFont="1" applyBorder="1"/>
    <xf numFmtId="43" fontId="3" fillId="0" borderId="0" xfId="17" applyNumberFormat="1"/>
    <xf numFmtId="174" fontId="3" fillId="0" borderId="0" xfId="17" applyNumberFormat="1"/>
    <xf numFmtId="0" fontId="9" fillId="4" borderId="7" xfId="17" applyFont="1" applyFill="1" applyBorder="1"/>
    <xf numFmtId="169" fontId="9" fillId="4" borderId="13" xfId="20" applyNumberFormat="1" applyFont="1" applyFill="1" applyBorder="1"/>
    <xf numFmtId="169" fontId="40" fillId="4" borderId="8" xfId="20" applyNumberFormat="1" applyFont="1" applyFill="1" applyBorder="1"/>
    <xf numFmtId="0" fontId="56" fillId="0" borderId="7" xfId="17" applyFont="1" applyBorder="1"/>
    <xf numFmtId="0" fontId="9" fillId="0" borderId="29" xfId="17" applyFont="1" applyBorder="1"/>
    <xf numFmtId="169" fontId="9" fillId="0" borderId="29" xfId="20" applyNumberFormat="1" applyFont="1" applyBorder="1"/>
    <xf numFmtId="169" fontId="9" fillId="0" borderId="30" xfId="20" applyNumberFormat="1" applyFont="1" applyBorder="1"/>
    <xf numFmtId="169" fontId="9" fillId="0" borderId="19" xfId="20" applyNumberFormat="1" applyFont="1" applyBorder="1"/>
    <xf numFmtId="169" fontId="56" fillId="0" borderId="31" xfId="20" applyNumberFormat="1" applyFont="1" applyBorder="1"/>
    <xf numFmtId="169" fontId="56" fillId="0" borderId="8" xfId="20" applyNumberFormat="1" applyFont="1" applyBorder="1"/>
    <xf numFmtId="0" fontId="37" fillId="0" borderId="0" xfId="21" applyFont="1"/>
    <xf numFmtId="175" fontId="37" fillId="0" borderId="0" xfId="21" applyNumberFormat="1" applyFont="1" applyAlignment="1">
      <alignment horizontal="right"/>
    </xf>
    <xf numFmtId="175" fontId="37" fillId="0" borderId="0" xfId="21" applyNumberFormat="1" applyFont="1"/>
    <xf numFmtId="0" fontId="57" fillId="0" borderId="0" xfId="21" applyFont="1"/>
    <xf numFmtId="0" fontId="58" fillId="0" borderId="0" xfId="21" applyFont="1"/>
    <xf numFmtId="0" fontId="2" fillId="0" borderId="0" xfId="21"/>
    <xf numFmtId="4" fontId="37" fillId="0" borderId="0" xfId="21" applyNumberFormat="1" applyFont="1"/>
    <xf numFmtId="4" fontId="57" fillId="0" borderId="0" xfId="21" applyNumberFormat="1" applyFont="1"/>
    <xf numFmtId="4" fontId="59" fillId="0" borderId="32" xfId="21" applyNumberFormat="1" applyFont="1" applyBorder="1"/>
    <xf numFmtId="0" fontId="60" fillId="0" borderId="0" xfId="2" applyFont="1"/>
    <xf numFmtId="0" fontId="61" fillId="0" borderId="0" xfId="2" applyFont="1"/>
    <xf numFmtId="166" fontId="61" fillId="0" borderId="0" xfId="2" applyNumberFormat="1" applyFont="1" applyAlignment="1">
      <alignment horizontal="right"/>
    </xf>
    <xf numFmtId="0" fontId="57" fillId="0" borderId="0" xfId="2" applyFont="1"/>
    <xf numFmtId="0" fontId="62" fillId="0" borderId="0" xfId="2" applyFont="1"/>
    <xf numFmtId="0" fontId="61" fillId="2" borderId="1" xfId="2" applyFont="1" applyFill="1" applyBorder="1" applyAlignment="1">
      <alignment horizontal="left"/>
    </xf>
    <xf numFmtId="4" fontId="61" fillId="2" borderId="1" xfId="2" applyNumberFormat="1" applyFont="1" applyFill="1" applyBorder="1" applyAlignment="1">
      <alignment horizontal="right"/>
    </xf>
    <xf numFmtId="0" fontId="63" fillId="2" borderId="0" xfId="2" applyFont="1" applyFill="1" applyAlignment="1">
      <alignment horizontal="left"/>
    </xf>
    <xf numFmtId="0" fontId="64" fillId="2" borderId="0" xfId="2" applyFont="1" applyFill="1" applyAlignment="1">
      <alignment horizontal="left"/>
    </xf>
    <xf numFmtId="0" fontId="65" fillId="2" borderId="0" xfId="2" applyFont="1" applyFill="1" applyAlignment="1">
      <alignment horizontal="left"/>
    </xf>
    <xf numFmtId="0" fontId="60" fillId="2" borderId="1" xfId="2" applyFont="1" applyFill="1" applyBorder="1" applyAlignment="1">
      <alignment horizontal="left"/>
    </xf>
    <xf numFmtId="0" fontId="35" fillId="3" borderId="1" xfId="21" applyFont="1" applyFill="1" applyBorder="1"/>
    <xf numFmtId="4" fontId="36" fillId="0" borderId="1" xfId="21" applyNumberFormat="1" applyFont="1" applyBorder="1"/>
    <xf numFmtId="0" fontId="57" fillId="2" borderId="0" xfId="2" applyFont="1" applyFill="1" applyAlignment="1">
      <alignment horizontal="left"/>
    </xf>
    <xf numFmtId="0" fontId="62" fillId="2" borderId="0" xfId="2" applyFont="1" applyFill="1" applyAlignment="1">
      <alignment horizontal="left"/>
    </xf>
    <xf numFmtId="0" fontId="35" fillId="3" borderId="1" xfId="21" applyFont="1" applyFill="1" applyBorder="1" applyAlignment="1">
      <alignment horizontal="left" vertical="center" wrapText="1"/>
    </xf>
    <xf numFmtId="0" fontId="31" fillId="2" borderId="0" xfId="2" applyFont="1" applyFill="1" applyAlignment="1">
      <alignment horizontal="left"/>
    </xf>
    <xf numFmtId="0" fontId="35" fillId="3" borderId="1" xfId="21" applyFont="1" applyFill="1" applyBorder="1" applyAlignment="1">
      <alignment wrapText="1"/>
    </xf>
    <xf numFmtId="0" fontId="60" fillId="3" borderId="1" xfId="21" applyFont="1" applyFill="1" applyBorder="1"/>
    <xf numFmtId="4" fontId="60" fillId="0" borderId="1" xfId="21" applyNumberFormat="1" applyFont="1" applyBorder="1"/>
    <xf numFmtId="0" fontId="37" fillId="2" borderId="1" xfId="2" applyFont="1" applyFill="1" applyBorder="1" applyAlignment="1">
      <alignment horizontal="left"/>
    </xf>
    <xf numFmtId="0" fontId="37" fillId="3" borderId="1" xfId="21" applyFont="1" applyFill="1" applyBorder="1"/>
    <xf numFmtId="4" fontId="37" fillId="0" borderId="1" xfId="21" applyNumberFormat="1" applyFont="1" applyBorder="1"/>
    <xf numFmtId="4" fontId="59" fillId="0" borderId="1" xfId="21" applyNumberFormat="1" applyFont="1" applyBorder="1"/>
    <xf numFmtId="4" fontId="57" fillId="2" borderId="0" xfId="2" applyNumberFormat="1" applyFont="1" applyFill="1" applyAlignment="1">
      <alignment horizontal="left"/>
    </xf>
    <xf numFmtId="4" fontId="37" fillId="2" borderId="1" xfId="2" applyNumberFormat="1" applyFont="1" applyFill="1" applyBorder="1"/>
    <xf numFmtId="4" fontId="37" fillId="0" borderId="1" xfId="21" applyNumberFormat="1" applyFont="1" applyBorder="1" applyAlignment="1">
      <alignment horizontal="left" vertical="center" wrapText="1"/>
    </xf>
    <xf numFmtId="4" fontId="38" fillId="0" borderId="1" xfId="21" applyNumberFormat="1" applyFont="1" applyBorder="1" applyAlignment="1">
      <alignment horizontal="left" vertical="center" wrapText="1"/>
    </xf>
    <xf numFmtId="0" fontId="37" fillId="0" borderId="1" xfId="22" applyFont="1" applyBorder="1" applyAlignment="1">
      <alignment horizontal="left" vertical="center"/>
    </xf>
    <xf numFmtId="0" fontId="37" fillId="2" borderId="0" xfId="2" applyFont="1" applyFill="1" applyAlignment="1">
      <alignment horizontal="left"/>
    </xf>
    <xf numFmtId="4" fontId="59" fillId="2" borderId="32" xfId="2" applyNumberFormat="1" applyFont="1" applyFill="1" applyBorder="1" applyAlignment="1">
      <alignment horizontal="right"/>
    </xf>
    <xf numFmtId="4" fontId="37" fillId="2" borderId="0" xfId="2" applyNumberFormat="1" applyFont="1" applyFill="1" applyAlignment="1">
      <alignment horizontal="right"/>
    </xf>
    <xf numFmtId="0" fontId="66" fillId="2" borderId="0" xfId="2" applyFont="1" applyFill="1" applyAlignment="1">
      <alignment horizontal="left"/>
    </xf>
    <xf numFmtId="4" fontId="66" fillId="2" borderId="0" xfId="2" applyNumberFormat="1" applyFont="1" applyFill="1" applyAlignment="1">
      <alignment horizontal="right"/>
    </xf>
    <xf numFmtId="0" fontId="31" fillId="0" borderId="0" xfId="23" applyFont="1"/>
    <xf numFmtId="4" fontId="31" fillId="0" borderId="0" xfId="23" applyNumberFormat="1" applyFont="1"/>
    <xf numFmtId="169" fontId="31" fillId="0" borderId="0" xfId="23" applyNumberFormat="1" applyFont="1"/>
    <xf numFmtId="0" fontId="1" fillId="0" borderId="0" xfId="23"/>
    <xf numFmtId="4" fontId="1" fillId="0" borderId="0" xfId="23" applyNumberFormat="1"/>
    <xf numFmtId="0" fontId="50" fillId="0" borderId="9" xfId="24" applyFont="1" applyBorder="1" applyAlignment="1">
      <alignment horizontal="left" vertical="center"/>
    </xf>
    <xf numFmtId="0" fontId="31" fillId="0" borderId="9" xfId="23" applyFont="1" applyBorder="1"/>
    <xf numFmtId="4" fontId="31" fillId="0" borderId="9" xfId="23" applyNumberFormat="1" applyFont="1" applyBorder="1"/>
    <xf numFmtId="169" fontId="1" fillId="0" borderId="0" xfId="23" applyNumberFormat="1"/>
    <xf numFmtId="0" fontId="1" fillId="0" borderId="0" xfId="25"/>
    <xf numFmtId="169" fontId="1" fillId="0" borderId="0" xfId="25" applyNumberFormat="1"/>
    <xf numFmtId="169" fontId="1" fillId="5" borderId="0" xfId="25" applyNumberFormat="1" applyFill="1"/>
    <xf numFmtId="0" fontId="27" fillId="0" borderId="0" xfId="25" applyFont="1"/>
    <xf numFmtId="0" fontId="34" fillId="0" borderId="9" xfId="25" applyFont="1" applyBorder="1" applyAlignment="1">
      <alignment vertical="center"/>
    </xf>
    <xf numFmtId="0" fontId="67" fillId="0" borderId="0" xfId="23" applyFont="1"/>
    <xf numFmtId="169" fontId="67" fillId="0" borderId="0" xfId="23" applyNumberFormat="1" applyFont="1"/>
    <xf numFmtId="0" fontId="27" fillId="0" borderId="0" xfId="23" applyFont="1"/>
    <xf numFmtId="4" fontId="68" fillId="0" borderId="33" xfId="0" applyNumberFormat="1" applyFont="1" applyBorder="1" applyAlignment="1">
      <alignment vertical="center"/>
    </xf>
    <xf numFmtId="4" fontId="68" fillId="0" borderId="0" xfId="0" applyNumberFormat="1" applyFont="1" applyAlignment="1">
      <alignment vertical="center"/>
    </xf>
    <xf numFmtId="4" fontId="69" fillId="0" borderId="32" xfId="0" applyNumberFormat="1" applyFont="1" applyBorder="1" applyAlignment="1">
      <alignment vertical="center"/>
    </xf>
    <xf numFmtId="4" fontId="45" fillId="0" borderId="0" xfId="0" applyNumberFormat="1" applyFont="1" applyAlignment="1">
      <alignment horizontal="center" vertical="center"/>
    </xf>
    <xf numFmtId="4" fontId="45" fillId="0" borderId="34" xfId="0" applyNumberFormat="1" applyFont="1" applyBorder="1" applyAlignment="1">
      <alignment horizontal="right" vertical="center"/>
    </xf>
    <xf numFmtId="4" fontId="45" fillId="0" borderId="0" xfId="0" applyNumberFormat="1" applyFont="1" applyAlignment="1">
      <alignment horizontal="right" vertical="center"/>
    </xf>
    <xf numFmtId="4" fontId="70" fillId="0" borderId="26" xfId="0" applyNumberFormat="1" applyFont="1" applyBorder="1" applyAlignment="1">
      <alignment horizontal="right" vertical="center"/>
    </xf>
    <xf numFmtId="4" fontId="45" fillId="0" borderId="35" xfId="0" applyNumberFormat="1" applyFont="1" applyBorder="1" applyAlignment="1">
      <alignment horizontal="right" vertical="center"/>
    </xf>
    <xf numFmtId="170" fontId="3" fillId="0" borderId="0" xfId="17" applyNumberFormat="1"/>
    <xf numFmtId="170" fontId="3" fillId="0" borderId="2" xfId="17" applyNumberFormat="1" applyBorder="1"/>
    <xf numFmtId="170" fontId="3" fillId="0" borderId="7" xfId="17" applyNumberFormat="1" applyBorder="1"/>
    <xf numFmtId="176" fontId="1" fillId="0" borderId="0" xfId="23" applyNumberFormat="1"/>
    <xf numFmtId="176" fontId="31" fillId="0" borderId="0" xfId="23" applyNumberFormat="1" applyFont="1"/>
    <xf numFmtId="176" fontId="1" fillId="0" borderId="9" xfId="23" applyNumberFormat="1" applyBorder="1"/>
    <xf numFmtId="165" fontId="11" fillId="0" borderId="14" xfId="13" applyNumberFormat="1" applyFont="1" applyBorder="1"/>
    <xf numFmtId="165" fontId="11" fillId="0" borderId="37" xfId="13" applyNumberFormat="1" applyFont="1" applyBorder="1"/>
    <xf numFmtId="0" fontId="3" fillId="0" borderId="12" xfId="13" applyBorder="1"/>
    <xf numFmtId="169" fontId="44" fillId="0" borderId="0" xfId="13" applyNumberFormat="1" applyFont="1" applyAlignment="1">
      <alignment horizontal="right"/>
    </xf>
    <xf numFmtId="169" fontId="45" fillId="0" borderId="4" xfId="13" applyNumberFormat="1" applyFont="1" applyBorder="1" applyAlignment="1">
      <alignment horizontal="right" vertical="center"/>
    </xf>
    <xf numFmtId="169" fontId="9" fillId="0" borderId="7" xfId="13" applyNumberFormat="1" applyFont="1" applyBorder="1" applyAlignment="1">
      <alignment horizontal="right"/>
    </xf>
    <xf numFmtId="169" fontId="9" fillId="0" borderId="7" xfId="14" applyNumberFormat="1" applyFont="1" applyBorder="1" applyAlignment="1">
      <alignment horizontal="right"/>
    </xf>
    <xf numFmtId="169" fontId="39" fillId="0" borderId="7" xfId="15" applyNumberFormat="1" applyFont="1" applyBorder="1" applyAlignment="1">
      <alignment horizontal="right"/>
    </xf>
    <xf numFmtId="169" fontId="9" fillId="0" borderId="13" xfId="14" applyNumberFormat="1" applyFont="1" applyBorder="1" applyAlignment="1">
      <alignment horizontal="right"/>
    </xf>
    <xf numFmtId="169" fontId="9" fillId="4" borderId="13" xfId="14" applyNumberFormat="1" applyFont="1" applyFill="1" applyBorder="1" applyAlignment="1">
      <alignment horizontal="right"/>
    </xf>
    <xf numFmtId="169" fontId="40" fillId="4" borderId="13" xfId="14" applyNumberFormat="1" applyFont="1" applyFill="1" applyBorder="1" applyAlignment="1">
      <alignment horizontal="right"/>
    </xf>
    <xf numFmtId="169" fontId="40" fillId="0" borderId="13" xfId="14" applyNumberFormat="1" applyFont="1" applyBorder="1" applyAlignment="1">
      <alignment horizontal="right"/>
    </xf>
    <xf numFmtId="169" fontId="40" fillId="0" borderId="7" xfId="14" applyNumberFormat="1" applyFont="1" applyBorder="1" applyAlignment="1">
      <alignment horizontal="right"/>
    </xf>
    <xf numFmtId="169" fontId="3" fillId="0" borderId="7" xfId="13" applyNumberFormat="1" applyBorder="1" applyAlignment="1">
      <alignment horizontal="right"/>
    </xf>
    <xf numFmtId="169" fontId="3" fillId="0" borderId="13" xfId="13" applyNumberFormat="1" applyBorder="1" applyAlignment="1">
      <alignment horizontal="right"/>
    </xf>
    <xf numFmtId="169" fontId="52" fillId="0" borderId="27" xfId="13" applyNumberFormat="1" applyFont="1" applyBorder="1" applyAlignment="1">
      <alignment horizontal="right"/>
    </xf>
    <xf numFmtId="169" fontId="3" fillId="0" borderId="0" xfId="13" applyNumberFormat="1" applyAlignment="1">
      <alignment horizontal="right"/>
    </xf>
    <xf numFmtId="0" fontId="67" fillId="0" borderId="19" xfId="0" applyFont="1" applyBorder="1" applyAlignment="1">
      <alignment horizontal="left"/>
    </xf>
    <xf numFmtId="0" fontId="67" fillId="0" borderId="13" xfId="0" applyFont="1" applyBorder="1"/>
    <xf numFmtId="0" fontId="71" fillId="0" borderId="13" xfId="0" applyFont="1" applyBorder="1" applyAlignment="1">
      <alignment horizontal="center"/>
    </xf>
    <xf numFmtId="169" fontId="67" fillId="4" borderId="13" xfId="0" applyNumberFormat="1" applyFont="1" applyFill="1" applyBorder="1" applyAlignment="1">
      <alignment horizontal="right"/>
    </xf>
    <xf numFmtId="177" fontId="27" fillId="0" borderId="0" xfId="23" applyNumberFormat="1" applyFont="1"/>
    <xf numFmtId="177" fontId="67" fillId="0" borderId="0" xfId="23" applyNumberFormat="1" applyFont="1"/>
    <xf numFmtId="177" fontId="1" fillId="0" borderId="0" xfId="25" applyNumberFormat="1"/>
    <xf numFmtId="177" fontId="67" fillId="0" borderId="9" xfId="23" applyNumberFormat="1" applyFont="1" applyBorder="1"/>
    <xf numFmtId="0" fontId="32" fillId="0" borderId="36" xfId="24" applyFont="1" applyBorder="1" applyAlignment="1">
      <alignment horizontal="left" vertical="center"/>
    </xf>
    <xf numFmtId="177" fontId="67" fillId="0" borderId="9" xfId="25" applyNumberFormat="1" applyFont="1" applyBorder="1"/>
    <xf numFmtId="0" fontId="67" fillId="0" borderId="9" xfId="25" applyFont="1" applyBorder="1"/>
    <xf numFmtId="169" fontId="67" fillId="0" borderId="9" xfId="25" applyNumberFormat="1" applyFont="1" applyBorder="1"/>
    <xf numFmtId="169" fontId="67" fillId="5" borderId="9" xfId="25" applyNumberFormat="1" applyFont="1" applyFill="1" applyBorder="1"/>
    <xf numFmtId="0" fontId="34" fillId="0" borderId="9" xfId="25" applyFont="1" applyBorder="1"/>
    <xf numFmtId="1" fontId="34" fillId="0" borderId="9" xfId="25" applyNumberFormat="1" applyFont="1" applyBorder="1"/>
    <xf numFmtId="43" fontId="32" fillId="4" borderId="9" xfId="26" applyFont="1" applyFill="1" applyBorder="1"/>
    <xf numFmtId="177" fontId="67" fillId="4" borderId="9" xfId="25" applyNumberFormat="1" applyFont="1" applyFill="1" applyBorder="1"/>
    <xf numFmtId="0" fontId="32" fillId="0" borderId="9" xfId="24" applyFont="1" applyBorder="1" applyAlignment="1">
      <alignment horizontal="left" vertical="center"/>
    </xf>
    <xf numFmtId="176" fontId="67" fillId="0" borderId="0" xfId="23" applyNumberFormat="1" applyFont="1"/>
    <xf numFmtId="0" fontId="67" fillId="0" borderId="9" xfId="23" applyFont="1" applyBorder="1"/>
    <xf numFmtId="4" fontId="67" fillId="0" borderId="9" xfId="23" applyNumberFormat="1" applyFont="1" applyBorder="1"/>
    <xf numFmtId="4" fontId="67" fillId="4" borderId="9" xfId="23" applyNumberFormat="1" applyFont="1" applyFill="1" applyBorder="1"/>
    <xf numFmtId="165" fontId="32" fillId="0" borderId="9" xfId="25" applyNumberFormat="1" applyFont="1" applyBorder="1"/>
    <xf numFmtId="4" fontId="32" fillId="4" borderId="9" xfId="25" applyNumberFormat="1" applyFont="1" applyFill="1" applyBorder="1"/>
    <xf numFmtId="165" fontId="33" fillId="0" borderId="9" xfId="25" applyNumberFormat="1" applyFont="1" applyBorder="1"/>
    <xf numFmtId="43" fontId="32" fillId="0" borderId="9" xfId="26" applyFont="1" applyBorder="1"/>
    <xf numFmtId="171" fontId="34" fillId="0" borderId="9" xfId="23" applyNumberFormat="1" applyFont="1" applyBorder="1" applyAlignment="1">
      <alignment vertical="center"/>
    </xf>
    <xf numFmtId="0" fontId="34" fillId="3" borderId="9" xfId="23" applyFont="1" applyFill="1" applyBorder="1" applyAlignment="1">
      <alignment vertical="center"/>
    </xf>
    <xf numFmtId="0" fontId="34" fillId="0" borderId="9" xfId="23" applyFont="1" applyBorder="1" applyAlignment="1">
      <alignment vertical="center"/>
    </xf>
    <xf numFmtId="169" fontId="67" fillId="0" borderId="9" xfId="23" applyNumberFormat="1" applyFont="1" applyBorder="1"/>
    <xf numFmtId="176" fontId="67" fillId="0" borderId="9" xfId="23" applyNumberFormat="1" applyFont="1" applyBorder="1"/>
    <xf numFmtId="0" fontId="32" fillId="4" borderId="36" xfId="24" applyFont="1" applyFill="1" applyBorder="1" applyAlignment="1">
      <alignment horizontal="left" vertical="center"/>
    </xf>
    <xf numFmtId="0" fontId="32" fillId="4" borderId="9" xfId="24" applyFont="1" applyFill="1" applyBorder="1" applyAlignment="1">
      <alignment horizontal="right"/>
    </xf>
    <xf numFmtId="0" fontId="67" fillId="4" borderId="36" xfId="23" applyFont="1" applyFill="1" applyBorder="1"/>
    <xf numFmtId="0" fontId="67" fillId="4" borderId="9" xfId="23" applyFont="1" applyFill="1" applyBorder="1"/>
    <xf numFmtId="43" fontId="32" fillId="0" borderId="36" xfId="24" applyNumberFormat="1" applyFont="1" applyBorder="1" applyAlignment="1">
      <alignment horizontal="left" vertical="center"/>
    </xf>
    <xf numFmtId="0" fontId="32" fillId="0" borderId="0" xfId="24" applyFont="1" applyAlignment="1">
      <alignment horizontal="left" vertical="center"/>
    </xf>
    <xf numFmtId="4" fontId="67" fillId="0" borderId="0" xfId="23" applyNumberFormat="1" applyFont="1"/>
    <xf numFmtId="170" fontId="67" fillId="0" borderId="7" xfId="17" applyNumberFormat="1" applyFont="1" applyBorder="1"/>
    <xf numFmtId="0" fontId="32" fillId="0" borderId="7" xfId="17" applyFont="1" applyBorder="1"/>
    <xf numFmtId="169" fontId="32" fillId="0" borderId="7" xfId="18" applyNumberFormat="1" applyFont="1" applyBorder="1"/>
    <xf numFmtId="169" fontId="33" fillId="0" borderId="8" xfId="18" applyNumberFormat="1" applyFont="1" applyBorder="1"/>
    <xf numFmtId="0" fontId="67" fillId="0" borderId="0" xfId="17" applyFont="1"/>
    <xf numFmtId="169" fontId="32" fillId="0" borderId="7" xfId="20" applyNumberFormat="1" applyFont="1" applyBorder="1"/>
    <xf numFmtId="169" fontId="33" fillId="0" borderId="8" xfId="20" applyNumberFormat="1" applyFont="1" applyBorder="1"/>
    <xf numFmtId="4" fontId="67" fillId="0" borderId="0" xfId="17" applyNumberFormat="1" applyFont="1"/>
    <xf numFmtId="167" fontId="32" fillId="0" borderId="0" xfId="17" applyNumberFormat="1" applyFont="1"/>
    <xf numFmtId="167" fontId="44" fillId="0" borderId="0" xfId="17" applyNumberFormat="1" applyFont="1"/>
    <xf numFmtId="0" fontId="44" fillId="0" borderId="0" xfId="17" applyFont="1"/>
    <xf numFmtId="0" fontId="34" fillId="0" borderId="7" xfId="17" applyFont="1" applyBorder="1"/>
    <xf numFmtId="168" fontId="32" fillId="0" borderId="0" xfId="17" applyNumberFormat="1" applyFont="1"/>
    <xf numFmtId="168" fontId="32" fillId="0" borderId="0" xfId="17" applyNumberFormat="1" applyFont="1" applyAlignment="1">
      <alignment vertical="center"/>
    </xf>
    <xf numFmtId="169" fontId="32" fillId="0" borderId="13" xfId="18" applyNumberFormat="1" applyFont="1" applyBorder="1"/>
    <xf numFmtId="169" fontId="34" fillId="0" borderId="8" xfId="20" applyNumberFormat="1" applyFont="1" applyBorder="1"/>
    <xf numFmtId="0" fontId="67" fillId="0" borderId="9" xfId="24" applyFont="1" applyBorder="1" applyAlignment="1">
      <alignment horizontal="left" vertical="center"/>
    </xf>
    <xf numFmtId="175" fontId="45" fillId="0" borderId="34" xfId="0" applyNumberFormat="1" applyFont="1" applyBorder="1" applyAlignment="1">
      <alignment horizontal="right" vertical="center"/>
    </xf>
    <xf numFmtId="175" fontId="45" fillId="0" borderId="0" xfId="0" applyNumberFormat="1" applyFont="1" applyAlignment="1">
      <alignment horizontal="right" vertical="center"/>
    </xf>
    <xf numFmtId="175" fontId="45" fillId="0" borderId="35" xfId="0" applyNumberFormat="1" applyFont="1" applyBorder="1" applyAlignment="1">
      <alignment horizontal="right" vertical="center"/>
    </xf>
    <xf numFmtId="175" fontId="70" fillId="0" borderId="26" xfId="0" applyNumberFormat="1" applyFont="1" applyBorder="1" applyAlignment="1">
      <alignment horizontal="right" vertical="center"/>
    </xf>
    <xf numFmtId="0" fontId="12" fillId="0" borderId="10" xfId="4" applyFont="1" applyBorder="1" applyAlignment="1">
      <alignment horizontal="center"/>
    </xf>
    <xf numFmtId="0" fontId="12" fillId="0" borderId="11" xfId="4" applyFont="1" applyBorder="1" applyAlignment="1">
      <alignment horizontal="center"/>
    </xf>
    <xf numFmtId="0" fontId="22" fillId="4" borderId="1" xfId="7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17" fontId="29" fillId="0" borderId="0" xfId="7" applyNumberFormat="1" applyFont="1" applyAlignment="1">
      <alignment horizontal="center"/>
    </xf>
    <xf numFmtId="17" fontId="30" fillId="0" borderId="0" xfId="0" applyNumberFormat="1" applyFont="1" applyAlignment="1">
      <alignment horizontal="center"/>
    </xf>
    <xf numFmtId="0" fontId="12" fillId="0" borderId="1" xfId="4" applyFont="1" applyBorder="1" applyAlignment="1">
      <alignment horizontal="center"/>
    </xf>
    <xf numFmtId="169" fontId="40" fillId="0" borderId="28" xfId="18" applyNumberFormat="1" applyFont="1" applyBorder="1" applyAlignment="1">
      <alignment horizontal="center"/>
    </xf>
    <xf numFmtId="169" fontId="3" fillId="0" borderId="4" xfId="18" applyNumberFormat="1" applyBorder="1" applyAlignment="1">
      <alignment horizontal="center"/>
    </xf>
    <xf numFmtId="169" fontId="3" fillId="0" borderId="5" xfId="18" applyNumberFormat="1" applyBorder="1" applyAlignment="1">
      <alignment horizontal="center"/>
    </xf>
  </cellXfs>
  <cellStyles count="27">
    <cellStyle name="Comma 4" xfId="14" xr:uid="{EEA31BBD-B6FC-4A3E-A80E-E6FAAC6FD67A}"/>
    <cellStyle name="Comma 4 2" xfId="26" xr:uid="{CCEF0AB5-1FE7-477B-AB83-CFE7A799BFFB}"/>
    <cellStyle name="Comma 5 2" xfId="10" xr:uid="{AEBC4B8E-E73D-4D05-94BB-F71420667898}"/>
    <cellStyle name="Comma 5 2 2" xfId="20" xr:uid="{329F6667-41CC-4074-BDE3-078A47462C54}"/>
    <cellStyle name="Currency" xfId="1" builtinId="4"/>
    <cellStyle name="Excel Built-in Normal 2" xfId="19" xr:uid="{8ECDBB75-AC57-4086-9CC9-C60FF4907EB3}"/>
    <cellStyle name="Normal" xfId="0" builtinId="0"/>
    <cellStyle name="Normal 2" xfId="5" xr:uid="{05F83D9A-ECBE-8E4A-941E-F07EBCD2ECAC}"/>
    <cellStyle name="Normal 2 3 2" xfId="3" xr:uid="{587AC36D-8614-9945-8173-6750200A8486}"/>
    <cellStyle name="Normal 2 3 3" xfId="22" xr:uid="{EAA654FB-C78D-4DA6-89D2-0C3086521C33}"/>
    <cellStyle name="Normal 2 3 3 3" xfId="12" xr:uid="{428E2AED-00B3-4469-BD79-7F2A1B0BE0D1}"/>
    <cellStyle name="Normal 20 2" xfId="7" xr:uid="{B458068C-72A1-CA40-A0F1-9749128C879C}"/>
    <cellStyle name="Normal 3" xfId="15" xr:uid="{51BEF10D-1968-414D-96EE-C236715F5039}"/>
    <cellStyle name="Normal 4" xfId="2" xr:uid="{A743C894-7B54-FA4C-9851-985F17A305A0}"/>
    <cellStyle name="Normal 5" xfId="6" xr:uid="{CA5A6F46-D852-0143-B3CF-AE80B4CA6568}"/>
    <cellStyle name="Normal 5 2 2" xfId="8" xr:uid="{BA0A348F-A2DA-4EF5-B2E3-322CCFAEF17E}"/>
    <cellStyle name="Normal 5 2 2 2" xfId="17" xr:uid="{2FBC4F9D-92DC-4D0F-A29D-A0DC4C40D633}"/>
    <cellStyle name="Normal 6" xfId="4" xr:uid="{BC83C051-70B0-424F-ACF4-1ADAEA571CE3}"/>
    <cellStyle name="Normal 6 2" xfId="13" xr:uid="{7241530C-0143-4CEC-BBA2-352402AFFDA4}"/>
    <cellStyle name="Normal 6 3" xfId="25" xr:uid="{91EAC027-D1DE-4315-9E04-E6FC47C0F332}"/>
    <cellStyle name="Normal 7" xfId="21" xr:uid="{B956C0B0-ACDD-475C-BCCE-5DC75166069D}"/>
    <cellStyle name="Normal 7 3" xfId="11" xr:uid="{2F1B2F5A-6EDC-4FE0-9EB4-A3FEF81C2D5B}"/>
    <cellStyle name="Normal 8" xfId="23" xr:uid="{277FFF68-00AD-48B1-ACAE-FE92AE040622}"/>
    <cellStyle name="Normal 8 2" xfId="9" xr:uid="{2AE227C5-D612-472E-B1B7-6D662102A3BA}"/>
    <cellStyle name="Normal 8 2 2" xfId="18" xr:uid="{C278904E-3AA8-494B-87D5-7E2715B14FA6}"/>
    <cellStyle name="Normal 9" xfId="16" xr:uid="{1CABB782-160E-4918-8B36-A77A51B405F1}"/>
    <cellStyle name="Normal 9 2" xfId="24" xr:uid="{9E269B7B-DC36-407E-BD00-7DF1DC99F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SA%20CAJU/Guests%20Invoices/Bill%20holiday%20Alex/Visit%20April%202026/Alex%20bill%20April%202026.xlsx" TargetMode="External"/><Relationship Id="rId2" Type="http://schemas.openxmlformats.org/officeDocument/2006/relationships/externalLinkPath" Target="file:///C:\Users\Andrisa\Dropbox\Andrisa\Landco\CASA%20CAJU\Guests%20Invoices\Bill%20holiday%20Alex\Visit%20April%202026\Alex%20bill%20April%202026.xlsx" TargetMode="External"/><Relationship Id="rId1" Type="http://schemas.openxmlformats.org/officeDocument/2006/relationships/externalLinkPath" Target="/Users/Andrisa/Dropbox/Andrisa/Landco/CASA%20CAJU/Guests%20Invoices/Bill%20holiday%20Alex/Visit%20April%202026/Alex%20bill%20Apri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4%20Shareholders/04%20CAJU%20KEVIN%202026.xlsx" TargetMode="External"/><Relationship Id="rId2" Type="http://schemas.openxmlformats.org/officeDocument/2006/relationships/externalLinkPath" Target="file:///C:\Users\Andrisa\Dropbox\Andrisa\Landco\Accounts%202026\Shareholders%202026\04%20Shareholders\04%20CAJU%20KEVIN%202026.xlsx" TargetMode="External"/><Relationship Id="rId1" Type="http://schemas.openxmlformats.org/officeDocument/2006/relationships/externalLinkPath" Target="/Users/Andrisa/Dropbox/Andrisa/Landco/Accounts%202026/Shareholders%202026/04%20Shareholders/04%20CAJU%20KEVIN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%20MARCH%20ACCOUNTS/03%20MARCH%20MONTH%20END%202026.xlsx" TargetMode="External"/><Relationship Id="rId2" Type="http://schemas.openxmlformats.org/officeDocument/2006/relationships/externalLinkPath" Target="file:///C:\Users\Andrisa\Dropbox\Andrisa\Landco\Accounts%202026\Landco%20Accounts%202026\03%20MARCH%20ACCOUNTS\03%20MARCH%20MONTH%20END%202026.xlsx" TargetMode="External"/><Relationship Id="rId1" Type="http://schemas.openxmlformats.org/officeDocument/2006/relationships/externalLinkPath" Target="/Users/Andrisa/Dropbox/Andrisa/Landco/Accounts%202026/Landco%20Accounts%202026/03%20MARCH%20ACCOUNTS/03%20MARCH%20MONTH%20END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lint/Dropbox/Andrisa/Landco/Trabalho/Workers%20Cell%20number/CELL%20NO%20OF%20WORKERS.xlsx" TargetMode="External"/><Relationship Id="rId2" Type="http://schemas.openxmlformats.org/officeDocument/2006/relationships/externalLinkPath" Target="file:///C:\Users\Clint\Dropbox\Andrisa\Landco\Trabalho\Workers%20Cell%20number\CELL%20NO%20OF%20WORKERS.xlsx" TargetMode="External"/><Relationship Id="rId1" Type="http://schemas.openxmlformats.org/officeDocument/2006/relationships/externalLinkPath" Target="/Users/Clint/Dropbox/Andrisa/Landco/Trabalho/Workers%20Cell%20number/CELL%20NO%20OF%20WORKER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lint/Dropbox/Andrisa/Landco/Accounts%202026/Landco%20Accounts%202026/01%20JAN%20ACCOUNTS/01%20Petty%20Cash%20PETTY%20CASH%202026.xlsx" TargetMode="External"/><Relationship Id="rId2" Type="http://schemas.openxmlformats.org/officeDocument/2006/relationships/externalLinkPath" Target="file:///C:\Users\Clint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Clint/Dropbox/Andrisa/Landco/Accounts%202026/Landco%20Accounts%202026/01%20JAN%20ACCOUNTS/01%20Petty%20Cash%20PETTY%20CAS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trol and Parks"/>
    </sheetNames>
    <sheetDataSet>
      <sheetData sheetId="0">
        <row r="46">
          <cell r="D46">
            <v>39980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3">
          <cell r="C3">
            <v>724450.72484999988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/>
      <sheetData sheetId="2"/>
      <sheetData sheetId="3">
        <row r="6">
          <cell r="D6">
            <v>38090</v>
          </cell>
          <cell r="E6">
            <v>7630.43</v>
          </cell>
          <cell r="I6">
            <v>5688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 de salarios"/>
      <sheetName val="Sheet1"/>
      <sheetName val="Sindicate"/>
      <sheetName val="PaySlip"/>
      <sheetName val="Cell no"/>
    </sheetNames>
    <sheetDataSet>
      <sheetData sheetId="0"/>
      <sheetData sheetId="1"/>
      <sheetData sheetId="2"/>
      <sheetData sheetId="3"/>
      <sheetData sheetId="4">
        <row r="8">
          <cell r="E8">
            <v>845911293</v>
          </cell>
        </row>
        <row r="9">
          <cell r="E9">
            <v>842979613</v>
          </cell>
        </row>
        <row r="10">
          <cell r="E10">
            <v>853027429</v>
          </cell>
        </row>
        <row r="11">
          <cell r="E11">
            <v>862246051</v>
          </cell>
        </row>
        <row r="13">
          <cell r="E13">
            <v>862265991</v>
          </cell>
        </row>
        <row r="17">
          <cell r="E17">
            <v>866429715</v>
          </cell>
        </row>
        <row r="22">
          <cell r="E22">
            <v>848976998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H29">
            <v>2600</v>
          </cell>
        </row>
        <row r="30">
          <cell r="H30">
            <v>4450</v>
          </cell>
        </row>
        <row r="32">
          <cell r="H32">
            <v>900</v>
          </cell>
        </row>
        <row r="33">
          <cell r="H33">
            <v>650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1A65-5AD3-BF4A-8F42-72A9983F49D6}">
  <dimension ref="A1:L31"/>
  <sheetViews>
    <sheetView workbookViewId="0">
      <selection activeCell="C7" sqref="C7"/>
    </sheetView>
  </sheetViews>
  <sheetFormatPr defaultColWidth="8.5" defaultRowHeight="15.6" x14ac:dyDescent="0.3"/>
  <cols>
    <col min="1" max="1" width="17.69921875" customWidth="1"/>
    <col min="2" max="2" width="19.19921875" customWidth="1"/>
    <col min="3" max="3" width="18.69921875" style="6" customWidth="1"/>
    <col min="4" max="4" width="20.296875" customWidth="1"/>
    <col min="5" max="5" width="18.19921875" bestFit="1" customWidth="1"/>
    <col min="6" max="6" width="12.19921875" customWidth="1"/>
    <col min="7" max="7" width="13.19921875" customWidth="1"/>
    <col min="8" max="8" width="11.5" customWidth="1"/>
    <col min="9" max="9" width="14.3984375" customWidth="1"/>
    <col min="12" max="12" width="12.5" customWidth="1"/>
  </cols>
  <sheetData>
    <row r="1" spans="1:12" s="10" customFormat="1" ht="24.6" x14ac:dyDescent="0.4">
      <c r="A1" s="334" t="s">
        <v>60</v>
      </c>
      <c r="B1" s="335"/>
      <c r="C1" s="335"/>
      <c r="D1" s="335"/>
      <c r="E1" s="335"/>
    </row>
    <row r="2" spans="1:12" s="5" customFormat="1" ht="14.4" x14ac:dyDescent="0.3">
      <c r="A2" s="22"/>
      <c r="B2" s="22"/>
      <c r="C2" s="22"/>
      <c r="D2" s="22"/>
      <c r="E2" s="23"/>
    </row>
    <row r="3" spans="1:12" s="39" customFormat="1" ht="31.8" x14ac:dyDescent="0.35">
      <c r="A3" s="37" t="s">
        <v>43</v>
      </c>
      <c r="B3" s="38" t="s">
        <v>64</v>
      </c>
      <c r="C3" s="37" t="s">
        <v>61</v>
      </c>
      <c r="D3" s="37" t="s">
        <v>62</v>
      </c>
      <c r="E3" s="37" t="s">
        <v>21</v>
      </c>
      <c r="H3" s="5"/>
      <c r="I3" s="5"/>
      <c r="J3" s="338"/>
      <c r="K3" s="339"/>
      <c r="L3" s="339"/>
    </row>
    <row r="4" spans="1:12" s="11" customFormat="1" ht="14.4" x14ac:dyDescent="0.3">
      <c r="A4" s="89" t="s">
        <v>23</v>
      </c>
      <c r="B4" s="90">
        <v>307122.1433000004</v>
      </c>
      <c r="C4" s="90">
        <v>38400</v>
      </c>
      <c r="D4" s="90">
        <v>246152.01519999999</v>
      </c>
      <c r="E4" s="90">
        <f>+B4+C4-D4</f>
        <v>99370.128100000409</v>
      </c>
      <c r="F4" s="12"/>
      <c r="G4" s="12"/>
      <c r="H4" s="5"/>
      <c r="I4" s="5"/>
      <c r="J4" s="5"/>
      <c r="K4" s="5"/>
      <c r="L4" s="81"/>
    </row>
    <row r="5" spans="1:12" s="11" customFormat="1" ht="14.4" x14ac:dyDescent="0.3">
      <c r="A5" s="89" t="s">
        <v>24</v>
      </c>
      <c r="B5" s="90">
        <v>488315.50333333324</v>
      </c>
      <c r="C5" s="90"/>
      <c r="D5" s="90">
        <v>290384.12</v>
      </c>
      <c r="E5" s="90">
        <f t="shared" ref="E5:E8" si="0">+B5+C5-D5</f>
        <v>197931.38333333324</v>
      </c>
      <c r="F5" s="12"/>
      <c r="G5" s="12"/>
      <c r="H5" s="5"/>
      <c r="I5" s="82"/>
      <c r="J5" s="83"/>
      <c r="K5" s="83"/>
      <c r="L5" s="83"/>
    </row>
    <row r="6" spans="1:12" s="11" customFormat="1" ht="14.4" x14ac:dyDescent="0.3">
      <c r="A6" s="89" t="s">
        <v>25</v>
      </c>
      <c r="B6" s="90">
        <v>307359.50999999989</v>
      </c>
      <c r="C6" s="90"/>
      <c r="D6" s="90">
        <v>267794.73</v>
      </c>
      <c r="E6" s="90">
        <f t="shared" si="0"/>
        <v>39564.779999999912</v>
      </c>
      <c r="F6" s="12"/>
      <c r="G6" s="12"/>
      <c r="H6" s="84"/>
      <c r="I6" s="85"/>
      <c r="J6" s="85"/>
      <c r="K6" s="85"/>
      <c r="L6" s="85"/>
    </row>
    <row r="7" spans="1:12" s="11" customFormat="1" ht="14.4" x14ac:dyDescent="0.3">
      <c r="A7" s="89" t="s">
        <v>0</v>
      </c>
      <c r="B7" s="90">
        <v>-86324.163333333359</v>
      </c>
      <c r="C7" s="90">
        <f>21000*63.25</f>
        <v>1328250</v>
      </c>
      <c r="D7" s="90">
        <v>363859.04</v>
      </c>
      <c r="E7" s="90">
        <f t="shared" si="0"/>
        <v>878066.79666666663</v>
      </c>
      <c r="F7" s="12"/>
      <c r="G7" s="12"/>
      <c r="H7" s="84"/>
      <c r="I7" s="85"/>
      <c r="J7" s="85"/>
      <c r="K7" s="85"/>
      <c r="L7" s="85"/>
    </row>
    <row r="8" spans="1:12" s="11" customFormat="1" ht="14.4" x14ac:dyDescent="0.3">
      <c r="A8" s="89" t="s">
        <v>52</v>
      </c>
      <c r="B8" s="90">
        <v>170900</v>
      </c>
      <c r="C8" s="90"/>
      <c r="D8" s="90"/>
      <c r="E8" s="90">
        <f t="shared" si="0"/>
        <v>170900</v>
      </c>
      <c r="G8" s="12"/>
      <c r="H8" s="84"/>
      <c r="I8" s="85"/>
      <c r="J8" s="85"/>
      <c r="K8" s="85"/>
      <c r="L8" s="85"/>
    </row>
    <row r="9" spans="1:12" s="36" customFormat="1" x14ac:dyDescent="0.3">
      <c r="A9" s="22" t="s">
        <v>63</v>
      </c>
      <c r="B9" s="90">
        <v>1187372.9933000002</v>
      </c>
      <c r="C9" s="90">
        <f>SUM(C4:C7)</f>
        <v>1366650</v>
      </c>
      <c r="D9" s="90">
        <v>1168189.9051999999</v>
      </c>
      <c r="E9" s="90">
        <f>SUM(E4:E8)</f>
        <v>1385833.0881000003</v>
      </c>
      <c r="F9" s="35"/>
      <c r="G9" s="35"/>
      <c r="H9" s="84"/>
      <c r="I9" s="85"/>
      <c r="J9" s="85"/>
      <c r="K9" s="85"/>
      <c r="L9" s="85"/>
    </row>
    <row r="10" spans="1:12" s="11" customFormat="1" ht="14.4" x14ac:dyDescent="0.3">
      <c r="A10" s="24"/>
      <c r="B10" s="24"/>
      <c r="C10" s="26"/>
      <c r="D10" s="26"/>
      <c r="E10" s="24"/>
      <c r="H10" s="5"/>
      <c r="I10" s="85"/>
      <c r="J10" s="85"/>
      <c r="K10" s="85"/>
      <c r="L10" s="85"/>
    </row>
    <row r="11" spans="1:12" s="43" customFormat="1" x14ac:dyDescent="0.3">
      <c r="A11" s="336"/>
      <c r="B11" s="337"/>
      <c r="C11" s="40"/>
      <c r="D11" s="40"/>
      <c r="E11" s="40"/>
      <c r="F11" s="42"/>
      <c r="H11" s="5"/>
      <c r="I11" s="85"/>
      <c r="J11" s="85"/>
      <c r="K11" s="85"/>
      <c r="L11" s="85"/>
    </row>
    <row r="12" spans="1:12" s="11" customFormat="1" x14ac:dyDescent="0.3">
      <c r="A12" s="75" t="s">
        <v>27</v>
      </c>
      <c r="B12" s="73"/>
      <c r="C12" s="44"/>
      <c r="D12" s="73"/>
      <c r="E12" s="86">
        <v>475192.96250000014</v>
      </c>
      <c r="F12" s="13"/>
      <c r="G12" s="12"/>
      <c r="H12" s="12"/>
    </row>
    <row r="13" spans="1:12" s="11" customFormat="1" x14ac:dyDescent="0.3">
      <c r="A13" s="76" t="s">
        <v>26</v>
      </c>
      <c r="B13" s="27"/>
      <c r="C13" s="26"/>
      <c r="D13" s="26"/>
      <c r="E13" s="26">
        <v>304534.10999999987</v>
      </c>
      <c r="F13" s="14"/>
      <c r="G13" s="12"/>
      <c r="H13" s="12"/>
    </row>
    <row r="14" spans="1:12" s="11" customFormat="1" x14ac:dyDescent="0.3">
      <c r="A14" s="77" t="s">
        <v>28</v>
      </c>
      <c r="B14" s="27"/>
      <c r="C14" s="26"/>
      <c r="D14" s="26"/>
      <c r="E14" s="26">
        <v>606105.77500000002</v>
      </c>
      <c r="F14" s="12"/>
      <c r="H14" s="12"/>
    </row>
    <row r="15" spans="1:12" s="11" customFormat="1" x14ac:dyDescent="0.3">
      <c r="A15" s="74"/>
      <c r="B15" s="26"/>
      <c r="C15" s="26"/>
      <c r="D15" s="26"/>
      <c r="E15" s="26"/>
      <c r="F15" s="12"/>
      <c r="G15" s="12"/>
      <c r="H15" s="12"/>
    </row>
    <row r="16" spans="1:12" s="11" customFormat="1" x14ac:dyDescent="0.3">
      <c r="A16" s="34" t="s">
        <v>20</v>
      </c>
      <c r="B16" s="26"/>
      <c r="C16" s="26"/>
      <c r="D16" s="28"/>
      <c r="E16" s="91">
        <f>SUM(E12:E15)</f>
        <v>1385832.8475000001</v>
      </c>
      <c r="H16" s="12"/>
    </row>
    <row r="17" spans="1:11" s="11" customFormat="1" ht="13.8" x14ac:dyDescent="0.25">
      <c r="A17" s="26"/>
      <c r="B17" s="26"/>
      <c r="C17" s="26"/>
      <c r="D17" s="26"/>
      <c r="E17" s="26"/>
    </row>
    <row r="18" spans="1:11" s="36" customFormat="1" x14ac:dyDescent="0.3">
      <c r="A18" s="32" t="s">
        <v>50</v>
      </c>
      <c r="B18" s="41" t="s">
        <v>51</v>
      </c>
      <c r="C18" s="44"/>
      <c r="D18" s="32"/>
      <c r="E18" s="33">
        <f>+E9-E16</f>
        <v>0.24060000013560057</v>
      </c>
      <c r="I18" s="35"/>
      <c r="J18" s="35"/>
      <c r="K18" s="35"/>
    </row>
    <row r="19" spans="1:11" s="11" customFormat="1" ht="13.8" x14ac:dyDescent="0.25">
      <c r="A19" s="24"/>
      <c r="B19" s="25"/>
      <c r="C19" s="29"/>
      <c r="D19" s="25"/>
      <c r="E19" s="24"/>
      <c r="I19" s="12"/>
      <c r="J19" s="12"/>
      <c r="K19" s="12"/>
    </row>
    <row r="20" spans="1:11" s="11" customFormat="1" ht="13.8" x14ac:dyDescent="0.25">
      <c r="A20" s="24"/>
      <c r="B20" s="25"/>
      <c r="C20" s="29"/>
      <c r="D20" s="25"/>
      <c r="E20" s="24"/>
      <c r="I20" s="12"/>
      <c r="J20" s="12"/>
      <c r="K20" s="12"/>
    </row>
    <row r="21" spans="1:11" s="11" customFormat="1" ht="13.8" x14ac:dyDescent="0.25">
      <c r="A21" s="24"/>
      <c r="B21" s="25"/>
      <c r="C21" s="29"/>
      <c r="D21" s="25"/>
      <c r="E21" s="24"/>
    </row>
    <row r="22" spans="1:11" s="11" customFormat="1" ht="13.8" x14ac:dyDescent="0.25">
      <c r="A22" s="24"/>
      <c r="B22" s="25"/>
      <c r="C22" s="29"/>
      <c r="D22" s="25"/>
      <c r="E22" s="24"/>
    </row>
    <row r="23" spans="1:11" s="11" customFormat="1" ht="13.8" x14ac:dyDescent="0.25">
      <c r="A23" s="24"/>
      <c r="B23" s="25"/>
      <c r="C23" s="29"/>
      <c r="D23" s="25"/>
      <c r="E23" s="24"/>
    </row>
    <row r="24" spans="1:11" s="11" customFormat="1" ht="13.8" x14ac:dyDescent="0.25">
      <c r="A24" s="24"/>
      <c r="B24" s="25"/>
      <c r="C24" s="29"/>
      <c r="D24" s="25"/>
      <c r="E24" s="24"/>
    </row>
    <row r="25" spans="1:11" s="11" customFormat="1" ht="13.8" x14ac:dyDescent="0.25">
      <c r="A25" s="24"/>
      <c r="B25" s="25"/>
      <c r="C25" s="29"/>
      <c r="D25" s="24"/>
      <c r="E25" s="24"/>
    </row>
    <row r="26" spans="1:11" s="11" customFormat="1" ht="13.8" x14ac:dyDescent="0.25">
      <c r="A26" s="24"/>
      <c r="B26" s="25"/>
      <c r="C26" s="29"/>
      <c r="D26" s="24"/>
      <c r="E26" s="24"/>
    </row>
    <row r="27" spans="1:11" s="10" customFormat="1" x14ac:dyDescent="0.3">
      <c r="A27" s="21"/>
      <c r="B27" s="21"/>
      <c r="C27" s="30"/>
      <c r="D27" s="21"/>
      <c r="E27" s="21"/>
    </row>
    <row r="28" spans="1:11" s="10" customFormat="1" x14ac:dyDescent="0.3">
      <c r="A28" s="21"/>
      <c r="B28" s="31"/>
      <c r="C28" s="30"/>
      <c r="D28" s="21"/>
      <c r="E28" s="21"/>
    </row>
    <row r="29" spans="1:11" s="10" customFormat="1" x14ac:dyDescent="0.3">
      <c r="A29" s="21"/>
      <c r="B29" s="21"/>
      <c r="C29" s="30"/>
      <c r="D29" s="21"/>
      <c r="E29" s="21"/>
    </row>
    <row r="30" spans="1:11" s="10" customFormat="1" x14ac:dyDescent="0.3">
      <c r="C30" s="15"/>
    </row>
    <row r="31" spans="1:11" s="10" customFormat="1" x14ac:dyDescent="0.3">
      <c r="C31" s="15"/>
    </row>
  </sheetData>
  <mergeCells count="3">
    <mergeCell ref="A1:E1"/>
    <mergeCell ref="A11:B11"/>
    <mergeCell ref="J3:L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5405-4E5A-144C-A56E-B03BBD356513}">
  <dimension ref="A1:E23"/>
  <sheetViews>
    <sheetView workbookViewId="0">
      <selection activeCell="B9" sqref="B9"/>
    </sheetView>
  </sheetViews>
  <sheetFormatPr defaultColWidth="11.19921875" defaultRowHeight="15.6" x14ac:dyDescent="0.3"/>
  <cols>
    <col min="1" max="1" width="22.5" customWidth="1"/>
    <col min="2" max="2" width="17.69921875" bestFit="1" customWidth="1"/>
    <col min="4" max="4" width="11.69921875" bestFit="1" customWidth="1"/>
    <col min="5" max="5" width="20.19921875" customWidth="1"/>
  </cols>
  <sheetData>
    <row r="1" spans="1:5" s="10" customFormat="1" ht="24.6" x14ac:dyDescent="0.4">
      <c r="A1" s="334" t="s">
        <v>65</v>
      </c>
      <c r="B1" s="335"/>
      <c r="C1" s="335"/>
      <c r="D1" s="335"/>
      <c r="E1" s="335"/>
    </row>
    <row r="2" spans="1:5" x14ac:dyDescent="0.3">
      <c r="A2" s="45"/>
      <c r="B2" s="45"/>
      <c r="C2" s="45"/>
      <c r="D2" s="45"/>
      <c r="E2" s="45"/>
    </row>
    <row r="3" spans="1:5" s="65" customFormat="1" x14ac:dyDescent="0.3">
      <c r="A3" s="63" t="s">
        <v>45</v>
      </c>
      <c r="B3" s="64" t="s">
        <v>48</v>
      </c>
      <c r="C3" s="64"/>
      <c r="D3" s="63" t="s">
        <v>45</v>
      </c>
      <c r="E3" s="64" t="s">
        <v>49</v>
      </c>
    </row>
    <row r="4" spans="1:5" s="10" customFormat="1" x14ac:dyDescent="0.3">
      <c r="A4" s="49" t="s">
        <v>22</v>
      </c>
      <c r="B4" s="50">
        <f>+[2]SUMMERY!$C$3</f>
        <v>724450.72484999988</v>
      </c>
      <c r="C4" s="51"/>
      <c r="D4" s="52"/>
      <c r="E4" s="51"/>
    </row>
    <row r="5" spans="1:5" s="10" customFormat="1" x14ac:dyDescent="0.3">
      <c r="A5" s="49" t="s">
        <v>32</v>
      </c>
      <c r="B5" s="50"/>
      <c r="C5" s="51"/>
      <c r="D5" s="49" t="s">
        <v>32</v>
      </c>
      <c r="E5" s="53">
        <v>196921.21</v>
      </c>
    </row>
    <row r="6" spans="1:5" s="10" customFormat="1" x14ac:dyDescent="0.3">
      <c r="A6" s="49" t="s">
        <v>33</v>
      </c>
      <c r="B6" s="50"/>
      <c r="C6" s="51"/>
      <c r="D6" s="49" t="s">
        <v>33</v>
      </c>
      <c r="E6" s="53">
        <v>220170</v>
      </c>
    </row>
    <row r="7" spans="1:5" s="10" customFormat="1" x14ac:dyDescent="0.3">
      <c r="A7" s="49" t="s">
        <v>34</v>
      </c>
      <c r="B7" s="54"/>
      <c r="C7" s="51"/>
      <c r="D7" s="49" t="s">
        <v>34</v>
      </c>
      <c r="E7" s="50">
        <v>267794.73</v>
      </c>
    </row>
    <row r="8" spans="1:5" s="10" customFormat="1" x14ac:dyDescent="0.3">
      <c r="A8" s="49" t="s">
        <v>35</v>
      </c>
      <c r="B8" s="50">
        <f>+'CAJU INCOME 26'!C7</f>
        <v>733700</v>
      </c>
      <c r="C8" s="51"/>
      <c r="D8" s="49" t="s">
        <v>35</v>
      </c>
      <c r="E8" s="50"/>
    </row>
    <row r="9" spans="1:5" s="10" customFormat="1" x14ac:dyDescent="0.3">
      <c r="A9" s="49" t="s">
        <v>36</v>
      </c>
      <c r="B9" s="50"/>
      <c r="C9" s="51"/>
      <c r="D9" s="49" t="s">
        <v>36</v>
      </c>
      <c r="E9" s="50"/>
    </row>
    <row r="10" spans="1:5" s="10" customFormat="1" x14ac:dyDescent="0.3">
      <c r="A10" s="49" t="s">
        <v>37</v>
      </c>
      <c r="B10" s="50"/>
      <c r="C10" s="51"/>
      <c r="D10" s="49" t="s">
        <v>37</v>
      </c>
      <c r="E10" s="50"/>
    </row>
    <row r="11" spans="1:5" s="10" customFormat="1" x14ac:dyDescent="0.3">
      <c r="A11" s="49" t="s">
        <v>38</v>
      </c>
      <c r="B11" s="50"/>
      <c r="C11" s="51"/>
      <c r="D11" s="49" t="s">
        <v>38</v>
      </c>
      <c r="E11" s="50"/>
    </row>
    <row r="12" spans="1:5" s="10" customFormat="1" x14ac:dyDescent="0.3">
      <c r="A12" s="49" t="s">
        <v>39</v>
      </c>
      <c r="B12" s="50"/>
      <c r="C12" s="51"/>
      <c r="D12" s="49" t="s">
        <v>39</v>
      </c>
      <c r="E12" s="50"/>
    </row>
    <row r="13" spans="1:5" s="10" customFormat="1" x14ac:dyDescent="0.3">
      <c r="A13" s="49" t="s">
        <v>40</v>
      </c>
      <c r="B13" s="50"/>
      <c r="C13" s="51"/>
      <c r="D13" s="49" t="s">
        <v>40</v>
      </c>
      <c r="E13" s="50"/>
    </row>
    <row r="14" spans="1:5" s="10" customFormat="1" x14ac:dyDescent="0.3">
      <c r="A14" s="49" t="s">
        <v>41</v>
      </c>
      <c r="B14" s="50"/>
      <c r="C14" s="51"/>
      <c r="D14" s="49" t="s">
        <v>41</v>
      </c>
      <c r="E14" s="50"/>
    </row>
    <row r="15" spans="1:5" s="10" customFormat="1" x14ac:dyDescent="0.3">
      <c r="A15" s="49" t="s">
        <v>42</v>
      </c>
      <c r="B15" s="50"/>
      <c r="C15" s="51"/>
      <c r="D15" s="49" t="s">
        <v>42</v>
      </c>
      <c r="E15" s="50"/>
    </row>
    <row r="16" spans="1:5" s="10" customFormat="1" x14ac:dyDescent="0.3">
      <c r="A16" s="49" t="s">
        <v>31</v>
      </c>
      <c r="B16" s="50"/>
      <c r="C16" s="51"/>
      <c r="D16" s="49" t="s">
        <v>31</v>
      </c>
      <c r="E16" s="50"/>
    </row>
    <row r="17" spans="1:5" s="10" customFormat="1" x14ac:dyDescent="0.3">
      <c r="A17" s="49"/>
      <c r="B17" s="50"/>
      <c r="C17" s="51"/>
      <c r="D17" s="49"/>
      <c r="E17" s="50"/>
    </row>
    <row r="18" spans="1:5" s="55" customFormat="1" x14ac:dyDescent="0.3">
      <c r="A18" s="62" t="s">
        <v>20</v>
      </c>
      <c r="B18" s="66">
        <f>SUM(B4:B16)</f>
        <v>1458150.7248499999</v>
      </c>
      <c r="C18" s="67"/>
      <c r="D18" s="62" t="s">
        <v>20</v>
      </c>
      <c r="E18" s="66">
        <f>SUM(E5:E16)</f>
        <v>684885.94</v>
      </c>
    </row>
    <row r="19" spans="1:5" s="10" customFormat="1" x14ac:dyDescent="0.3">
      <c r="A19" s="47"/>
      <c r="B19" s="48"/>
      <c r="C19" s="46"/>
      <c r="D19" s="47"/>
      <c r="E19" s="48"/>
    </row>
    <row r="20" spans="1:5" s="55" customFormat="1" x14ac:dyDescent="0.3">
      <c r="A20" s="58" t="s">
        <v>44</v>
      </c>
      <c r="B20" s="56"/>
      <c r="C20" s="57"/>
      <c r="D20" s="58"/>
      <c r="E20" s="56">
        <f>+B18-E18</f>
        <v>773264.78484999994</v>
      </c>
    </row>
    <row r="21" spans="1:5" s="55" customFormat="1" x14ac:dyDescent="0.3">
      <c r="A21" s="58" t="s">
        <v>59</v>
      </c>
      <c r="B21" s="56"/>
      <c r="C21" s="57"/>
      <c r="D21" s="58"/>
      <c r="E21" s="57">
        <f>+E20/63.25</f>
        <v>12225.530195256915</v>
      </c>
    </row>
    <row r="22" spans="1:5" s="10" customFormat="1" x14ac:dyDescent="0.3"/>
    <row r="23" spans="1:5" s="10" customFormat="1" x14ac:dyDescent="0.3"/>
  </sheetData>
  <mergeCells count="1">
    <mergeCell ref="A1:E1"/>
  </mergeCells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E3FA-FAA4-BC4B-84BD-94475A158BF5}">
  <dimension ref="A1:W997"/>
  <sheetViews>
    <sheetView workbookViewId="0">
      <selection activeCell="B14" sqref="B14"/>
    </sheetView>
  </sheetViews>
  <sheetFormatPr defaultColWidth="12.5" defaultRowHeight="15.6" x14ac:dyDescent="0.3"/>
  <cols>
    <col min="1" max="1" width="11.69921875" style="8" bestFit="1" customWidth="1"/>
    <col min="2" max="2" width="43.69921875" style="1" customWidth="1"/>
    <col min="3" max="3" width="24.5" style="9" customWidth="1"/>
    <col min="4" max="23" width="11.69921875" style="1" customWidth="1"/>
    <col min="24" max="16384" width="12.5" style="1"/>
  </cols>
  <sheetData>
    <row r="1" spans="1:23" s="10" customFormat="1" ht="24.6" x14ac:dyDescent="0.4">
      <c r="A1" s="340" t="s">
        <v>66</v>
      </c>
      <c r="B1" s="340"/>
      <c r="C1" s="340"/>
    </row>
    <row r="2" spans="1:23" s="72" customFormat="1" ht="15.75" customHeight="1" x14ac:dyDescent="0.3">
      <c r="A2" s="61" t="s">
        <v>15</v>
      </c>
      <c r="B2" s="69" t="s">
        <v>29</v>
      </c>
      <c r="C2" s="70" t="s">
        <v>47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1:23" s="16" customFormat="1" ht="19.95" customHeight="1" x14ac:dyDescent="0.3">
      <c r="A3" s="49" t="s">
        <v>32</v>
      </c>
      <c r="B3" s="68" t="s">
        <v>30</v>
      </c>
      <c r="C3" s="78">
        <f>+'CAJU SUMMARY 26'!B4</f>
        <v>724450.72484999988</v>
      </c>
      <c r="D3" s="17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s="16" customFormat="1" ht="19.95" customHeight="1" x14ac:dyDescent="0.3">
      <c r="A4" s="49" t="s">
        <v>32</v>
      </c>
      <c r="B4" s="68"/>
      <c r="C4" s="78">
        <v>0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s="16" customFormat="1" ht="19.95" customHeight="1" x14ac:dyDescent="0.3">
      <c r="A5" s="49" t="s">
        <v>33</v>
      </c>
      <c r="B5" s="68"/>
      <c r="C5" s="79">
        <v>0</v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s="16" customFormat="1" ht="19.95" customHeight="1" x14ac:dyDescent="0.3">
      <c r="A6" s="49" t="s">
        <v>34</v>
      </c>
      <c r="B6" s="80"/>
      <c r="C6" s="79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s="16" customFormat="1" ht="19.95" customHeight="1" x14ac:dyDescent="0.3">
      <c r="A7" s="49" t="s">
        <v>35</v>
      </c>
      <c r="B7" s="68" t="s">
        <v>177</v>
      </c>
      <c r="C7" s="79">
        <v>733700</v>
      </c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s="16" customFormat="1" ht="19.95" customHeight="1" x14ac:dyDescent="0.3">
      <c r="A8" s="49" t="s">
        <v>36</v>
      </c>
      <c r="B8" s="68"/>
      <c r="C8" s="79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s="16" customFormat="1" ht="19.95" customHeight="1" x14ac:dyDescent="0.3">
      <c r="A9" s="49" t="s">
        <v>37</v>
      </c>
      <c r="B9" s="68"/>
      <c r="C9" s="79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s="16" customFormat="1" ht="19.95" customHeight="1" x14ac:dyDescent="0.3">
      <c r="A10" s="49" t="s">
        <v>38</v>
      </c>
      <c r="B10" s="68"/>
      <c r="C10" s="79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s="16" customFormat="1" ht="19.95" customHeight="1" x14ac:dyDescent="0.3">
      <c r="A11" s="49" t="s">
        <v>39</v>
      </c>
      <c r="B11" s="68"/>
      <c r="C11" s="79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s="16" customFormat="1" ht="19.95" customHeight="1" x14ac:dyDescent="0.3">
      <c r="A12" s="49" t="s">
        <v>40</v>
      </c>
      <c r="B12" s="68"/>
      <c r="C12" s="79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s="16" customFormat="1" ht="19.95" customHeight="1" x14ac:dyDescent="0.3">
      <c r="A13" s="49" t="s">
        <v>41</v>
      </c>
      <c r="B13" s="68"/>
      <c r="C13" s="79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s="16" customFormat="1" ht="19.95" customHeight="1" x14ac:dyDescent="0.3">
      <c r="A14" s="49" t="s">
        <v>42</v>
      </c>
      <c r="B14" s="68"/>
      <c r="C14" s="79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s="16" customFormat="1" ht="19.95" customHeight="1" x14ac:dyDescent="0.3">
      <c r="A15" s="49" t="s">
        <v>31</v>
      </c>
      <c r="B15" s="68"/>
      <c r="C15" s="79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s="16" customFormat="1" ht="19.95" customHeight="1" x14ac:dyDescent="0.3">
      <c r="A16" s="49"/>
      <c r="B16" s="19"/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s="16" customFormat="1" x14ac:dyDescent="0.3">
      <c r="A17" s="61" t="s">
        <v>46</v>
      </c>
      <c r="B17" s="59"/>
      <c r="C17" s="60">
        <f>SUM(C4:C15)</f>
        <v>733700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5.75" customHeight="1" x14ac:dyDescent="0.3">
      <c r="A18" s="7"/>
      <c r="B18" s="3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3">
      <c r="A19" s="7"/>
      <c r="B19" s="3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3">
      <c r="A20" s="7"/>
      <c r="B20" s="3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3">
      <c r="A21" s="7"/>
      <c r="B21" s="3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3">
      <c r="A22" s="7"/>
      <c r="B22" s="3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3">
      <c r="A23" s="7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3">
      <c r="A24" s="7"/>
      <c r="B24" s="3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3">
      <c r="A25" s="7"/>
      <c r="B25" s="3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">
      <c r="A26" s="7"/>
      <c r="B26" s="3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3">
      <c r="A27" s="7"/>
      <c r="B27" s="3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3">
      <c r="A28" s="7"/>
      <c r="B28" s="3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3">
      <c r="A29" s="7"/>
      <c r="B29" s="3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3">
      <c r="A30" s="7"/>
      <c r="B30" s="3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3">
      <c r="A31" s="7"/>
      <c r="B31" s="3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3">
      <c r="A32" s="7"/>
      <c r="B32" s="3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3">
      <c r="A33" s="7"/>
      <c r="B33" s="3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3">
      <c r="A34" s="7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3">
      <c r="A35" s="7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3">
      <c r="A36" s="7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3">
      <c r="A37" s="7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3">
      <c r="A38" s="7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3">
      <c r="A39" s="7"/>
      <c r="B39" s="3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3">
      <c r="A40" s="7"/>
      <c r="B40" s="3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3">
      <c r="A41" s="7"/>
      <c r="B41" s="3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3">
      <c r="A42" s="7"/>
      <c r="B42" s="3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3">
      <c r="A43" s="7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3">
      <c r="A44" s="7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3">
      <c r="A45" s="7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3">
      <c r="A46" s="7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3">
      <c r="A47" s="7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3">
      <c r="A48" s="7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3">
      <c r="A49" s="7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3">
      <c r="A50" s="7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3">
      <c r="A51" s="7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3">
      <c r="A52" s="7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3">
      <c r="A53" s="7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3">
      <c r="A54" s="7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3">
      <c r="A55" s="7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3">
      <c r="A56" s="7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3">
      <c r="A57" s="7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3">
      <c r="A58" s="7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3">
      <c r="A59" s="7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3">
      <c r="A60" s="7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3">
      <c r="A61" s="7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3">
      <c r="A62" s="7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3">
      <c r="A63" s="7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3">
      <c r="A64" s="7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3">
      <c r="A65" s="7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3">
      <c r="A66" s="7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3">
      <c r="A67" s="7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3">
      <c r="A68" s="7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3">
      <c r="A69" s="7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3">
      <c r="A70" s="7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3">
      <c r="A71" s="7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3">
      <c r="A72" s="7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3">
      <c r="A73" s="7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3">
      <c r="A74" s="7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3">
      <c r="A75" s="7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3">
      <c r="A76" s="7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3">
      <c r="A77" s="7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3">
      <c r="A78" s="7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3">
      <c r="A79" s="7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3">
      <c r="A80" s="7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3">
      <c r="A81" s="7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3">
      <c r="A82" s="7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3">
      <c r="A83" s="7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3">
      <c r="A84" s="7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3">
      <c r="A85" s="7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3">
      <c r="A86" s="7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3">
      <c r="A87" s="7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3">
      <c r="A88" s="7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3">
      <c r="A89" s="7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3">
      <c r="A90" s="7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3">
      <c r="A91" s="7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3">
      <c r="A92" s="7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3">
      <c r="A93" s="7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3">
      <c r="A94" s="7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3">
      <c r="A95" s="7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3">
      <c r="A96" s="7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3">
      <c r="A97" s="7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3">
      <c r="A98" s="7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3">
      <c r="A99" s="7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3">
      <c r="A100" s="7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3">
      <c r="A101" s="7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3">
      <c r="A102" s="7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3">
      <c r="A103" s="7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3">
      <c r="A104" s="7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3">
      <c r="A105" s="7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3">
      <c r="A106" s="7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3">
      <c r="A107" s="7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3">
      <c r="A108" s="7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3">
      <c r="A109" s="7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3">
      <c r="A110" s="7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3">
      <c r="A111" s="7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3">
      <c r="A112" s="7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3">
      <c r="A113" s="7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3">
      <c r="A114" s="7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3">
      <c r="A115" s="7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3">
      <c r="A116" s="7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3">
      <c r="A117" s="7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3">
      <c r="A118" s="7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3">
      <c r="A119" s="7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3">
      <c r="A120" s="7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3">
      <c r="A121" s="7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3">
      <c r="A122" s="7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3">
      <c r="A123" s="7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3">
      <c r="A124" s="7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3">
      <c r="A125" s="7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3">
      <c r="A126" s="7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3">
      <c r="A127" s="7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3">
      <c r="A128" s="7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3">
      <c r="A129" s="7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3">
      <c r="A130" s="7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3">
      <c r="A131" s="7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3">
      <c r="A132" s="7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3">
      <c r="A133" s="7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3">
      <c r="A134" s="7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3">
      <c r="A135" s="7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3">
      <c r="A136" s="7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3">
      <c r="A137" s="7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3">
      <c r="A138" s="7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3">
      <c r="A139" s="7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3">
      <c r="A140" s="7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3">
      <c r="A141" s="7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3">
      <c r="A142" s="7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3">
      <c r="A143" s="7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3">
      <c r="A144" s="7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3">
      <c r="A145" s="7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3">
      <c r="A146" s="7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3">
      <c r="A147" s="7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3">
      <c r="A148" s="7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3">
      <c r="A149" s="7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3">
      <c r="A150" s="7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3">
      <c r="A151" s="7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3">
      <c r="A152" s="7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3">
      <c r="A153" s="7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3">
      <c r="A154" s="7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3">
      <c r="A155" s="7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3">
      <c r="A156" s="7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3">
      <c r="A157" s="7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3">
      <c r="A158" s="7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3">
      <c r="A159" s="7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3">
      <c r="A160" s="7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3">
      <c r="A161" s="7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3">
      <c r="A162" s="7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3">
      <c r="A163" s="7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3">
      <c r="A164" s="7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3">
      <c r="A165" s="7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3">
      <c r="A166" s="7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3">
      <c r="A167" s="7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3">
      <c r="A168" s="7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3">
      <c r="A169" s="7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3">
      <c r="A170" s="7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3">
      <c r="A171" s="7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3">
      <c r="A172" s="7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3">
      <c r="A173" s="7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3">
      <c r="A174" s="7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3">
      <c r="A175" s="7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3">
      <c r="A176" s="7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3">
      <c r="A177" s="7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3">
      <c r="A178" s="7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3">
      <c r="A179" s="7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3">
      <c r="A180" s="7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3">
      <c r="A181" s="7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3">
      <c r="A182" s="7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3">
      <c r="A183" s="7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3">
      <c r="A184" s="7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3">
      <c r="A185" s="7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3">
      <c r="A186" s="7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3">
      <c r="A187" s="7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3">
      <c r="A188" s="7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3">
      <c r="A189" s="7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3">
      <c r="A190" s="7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3">
      <c r="A191" s="7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3">
      <c r="A192" s="7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3">
      <c r="A193" s="7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3">
      <c r="A194" s="7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3">
      <c r="A195" s="7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3">
      <c r="A196" s="7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3">
      <c r="A197" s="7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3">
      <c r="A198" s="7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3">
      <c r="A199" s="7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3">
      <c r="A200" s="7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3">
      <c r="A201" s="7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3">
      <c r="A202" s="7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3">
      <c r="A203" s="7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3">
      <c r="A204" s="7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3">
      <c r="A205" s="7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3">
      <c r="A206" s="7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3">
      <c r="A207" s="7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3">
      <c r="A208" s="7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3">
      <c r="A209" s="7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3">
      <c r="A210" s="7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3">
      <c r="A211" s="7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3">
      <c r="A212" s="7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3">
      <c r="A213" s="7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3">
      <c r="A214" s="7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3">
      <c r="A215" s="7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3">
      <c r="A216" s="7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3">
      <c r="A217" s="7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3">
      <c r="A218" s="7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3">
      <c r="A219" s="7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3">
      <c r="A220" s="7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3">
      <c r="A221" s="7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3">
      <c r="A222" s="7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3">
      <c r="A223" s="7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3">
      <c r="A224" s="7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3">
      <c r="A225" s="7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3">
      <c r="A226" s="7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3">
      <c r="A227" s="7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3">
      <c r="A228" s="7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3">
      <c r="A229" s="7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3">
      <c r="A230" s="7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3">
      <c r="A231" s="7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3">
      <c r="A232" s="7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3">
      <c r="A233" s="7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3">
      <c r="A234" s="7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3">
      <c r="A235" s="7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3">
      <c r="A236" s="7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3">
      <c r="A237" s="7"/>
      <c r="B237" s="3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3">
      <c r="A238" s="7"/>
      <c r="B238" s="3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3">
      <c r="A239" s="7"/>
      <c r="B239" s="3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3">
      <c r="A240" s="7"/>
      <c r="B240" s="3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3">
      <c r="A241" s="7"/>
      <c r="B241" s="3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3">
      <c r="A242" s="7"/>
      <c r="B242" s="3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3">
      <c r="A243" s="7"/>
      <c r="B243" s="3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3">
      <c r="A244" s="7"/>
      <c r="B244" s="3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3">
      <c r="A245" s="7"/>
      <c r="B245" s="3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3">
      <c r="A246" s="7"/>
      <c r="B246" s="3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3">
      <c r="A247" s="7"/>
      <c r="B247" s="3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3">
      <c r="A248" s="7"/>
      <c r="B248" s="3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3">
      <c r="A249" s="7"/>
      <c r="B249" s="3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3">
      <c r="A250" s="7"/>
      <c r="B250" s="3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3">
      <c r="A251" s="7"/>
      <c r="B251" s="3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3">
      <c r="A252" s="7"/>
      <c r="B252" s="3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3">
      <c r="A253" s="7"/>
      <c r="B253" s="3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3">
      <c r="A254" s="7"/>
      <c r="B254" s="3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3">
      <c r="A255" s="7"/>
      <c r="B255" s="3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3">
      <c r="A256" s="7"/>
      <c r="B256" s="3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3">
      <c r="A257" s="7"/>
      <c r="B257" s="3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3">
      <c r="A258" s="7"/>
      <c r="B258" s="3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3">
      <c r="A259" s="7"/>
      <c r="B259" s="3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3">
      <c r="A260" s="7"/>
      <c r="B260" s="3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3">
      <c r="A261" s="7"/>
      <c r="B261" s="3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3">
      <c r="A262" s="7"/>
      <c r="B262" s="3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3">
      <c r="A263" s="7"/>
      <c r="B263" s="3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3">
      <c r="A264" s="7"/>
      <c r="B264" s="3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3">
      <c r="A265" s="7"/>
      <c r="B265" s="3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3">
      <c r="A266" s="7"/>
      <c r="B266" s="3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3">
      <c r="A267" s="7"/>
      <c r="B267" s="3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3">
      <c r="A268" s="7"/>
      <c r="B268" s="3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3">
      <c r="A269" s="7"/>
      <c r="B269" s="3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3">
      <c r="A270" s="7"/>
      <c r="B270" s="3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3">
      <c r="A271" s="7"/>
      <c r="B271" s="3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3">
      <c r="A272" s="7"/>
      <c r="B272" s="3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3">
      <c r="A273" s="7"/>
      <c r="B273" s="3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3">
      <c r="A274" s="7"/>
      <c r="B274" s="3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3">
      <c r="A275" s="7"/>
      <c r="B275" s="3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3">
      <c r="A276" s="7"/>
      <c r="B276" s="3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3">
      <c r="A277" s="7"/>
      <c r="B277" s="3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3">
      <c r="A278" s="7"/>
      <c r="B278" s="3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3">
      <c r="A279" s="7"/>
      <c r="B279" s="3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3">
      <c r="A280" s="7"/>
      <c r="B280" s="3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3">
      <c r="A281" s="7"/>
      <c r="B281" s="3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3">
      <c r="A282" s="7"/>
      <c r="B282" s="3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3">
      <c r="A283" s="7"/>
      <c r="B283" s="3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3">
      <c r="A284" s="7"/>
      <c r="B284" s="3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3">
      <c r="A285" s="7"/>
      <c r="B285" s="3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3">
      <c r="A286" s="7"/>
      <c r="B286" s="3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3">
      <c r="A287" s="7"/>
      <c r="B287" s="3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3">
      <c r="A288" s="7"/>
      <c r="B288" s="3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3">
      <c r="A289" s="7"/>
      <c r="B289" s="3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3">
      <c r="A290" s="7"/>
      <c r="B290" s="3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3">
      <c r="A291" s="7"/>
      <c r="B291" s="3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3">
      <c r="A292" s="7"/>
      <c r="B292" s="3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3">
      <c r="A293" s="7"/>
      <c r="B293" s="3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3">
      <c r="A294" s="7"/>
      <c r="B294" s="3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3">
      <c r="A295" s="7"/>
      <c r="B295" s="3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3">
      <c r="A296" s="7"/>
      <c r="B296" s="3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3">
      <c r="A297" s="7"/>
      <c r="B297" s="3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3">
      <c r="A298" s="7"/>
      <c r="B298" s="3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3">
      <c r="A299" s="7"/>
      <c r="B299" s="3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3">
      <c r="A300" s="7"/>
      <c r="B300" s="3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3">
      <c r="A301" s="7"/>
      <c r="B301" s="3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3">
      <c r="A302" s="7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3">
      <c r="A303" s="7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3">
      <c r="A304" s="7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3">
      <c r="A305" s="7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3">
      <c r="A306" s="7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3">
      <c r="A307" s="7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3">
      <c r="A308" s="7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3">
      <c r="A309" s="7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3">
      <c r="A310" s="7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3">
      <c r="A311" s="7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3">
      <c r="A312" s="7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3">
      <c r="A313" s="7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3">
      <c r="A314" s="7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3">
      <c r="A315" s="7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3">
      <c r="A316" s="7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3">
      <c r="A317" s="7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3">
      <c r="A318" s="7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3">
      <c r="A319" s="7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3">
      <c r="A320" s="7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3">
      <c r="A321" s="7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3">
      <c r="A322" s="7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3">
      <c r="A323" s="7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3">
      <c r="A324" s="7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3">
      <c r="A325" s="7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3">
      <c r="A326" s="7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3">
      <c r="A327" s="7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3">
      <c r="A328" s="7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3">
      <c r="A329" s="7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3">
      <c r="A330" s="7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3">
      <c r="A331" s="7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3">
      <c r="A332" s="7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3">
      <c r="A333" s="7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3">
      <c r="A334" s="7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3">
      <c r="A335" s="7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3">
      <c r="A336" s="7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3">
      <c r="A337" s="7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3">
      <c r="A338" s="7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3">
      <c r="A339" s="7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3">
      <c r="A340" s="7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3">
      <c r="A341" s="7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3">
      <c r="A342" s="7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3">
      <c r="A343" s="7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3">
      <c r="A344" s="7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3">
      <c r="A345" s="7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3">
      <c r="A346" s="7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3">
      <c r="A347" s="7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3">
      <c r="A348" s="7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3">
      <c r="A349" s="7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3">
      <c r="A350" s="7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3">
      <c r="A351" s="7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3">
      <c r="A352" s="7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3">
      <c r="A353" s="7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3">
      <c r="A354" s="7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3">
      <c r="A355" s="7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3">
      <c r="A356" s="7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3">
      <c r="A357" s="7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3">
      <c r="A358" s="7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3">
      <c r="A359" s="7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3">
      <c r="A360" s="7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3">
      <c r="A361" s="7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3">
      <c r="A362" s="7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3">
      <c r="A363" s="7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3">
      <c r="A364" s="7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3">
      <c r="A365" s="7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3">
      <c r="A366" s="7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3">
      <c r="A367" s="7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3">
      <c r="A368" s="7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3">
      <c r="A369" s="7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3">
      <c r="A370" s="7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3">
      <c r="A371" s="7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3">
      <c r="A372" s="7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3">
      <c r="A373" s="7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3">
      <c r="A374" s="7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3">
      <c r="A375" s="7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3">
      <c r="A376" s="7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3">
      <c r="A377" s="7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3">
      <c r="A378" s="7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3">
      <c r="A379" s="7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3">
      <c r="A380" s="7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3">
      <c r="A381" s="7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3">
      <c r="A382" s="7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3">
      <c r="A383" s="7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3">
      <c r="A384" s="7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3">
      <c r="A385" s="7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3">
      <c r="A386" s="7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3">
      <c r="A387" s="7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3">
      <c r="A388" s="7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3">
      <c r="A389" s="7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3">
      <c r="A390" s="7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3">
      <c r="A391" s="7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3">
      <c r="A392" s="7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3">
      <c r="A393" s="7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3">
      <c r="A394" s="7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3">
      <c r="A395" s="7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3">
      <c r="A396" s="7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3">
      <c r="A397" s="7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3">
      <c r="A398" s="7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3">
      <c r="A399" s="7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3">
      <c r="A400" s="7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3">
      <c r="A401" s="7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3">
      <c r="A402" s="7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3">
      <c r="A403" s="7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3">
      <c r="A404" s="7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3">
      <c r="A405" s="7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3">
      <c r="A406" s="7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3">
      <c r="A407" s="7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3">
      <c r="A408" s="7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3">
      <c r="A409" s="7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3">
      <c r="A410" s="7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3">
      <c r="A411" s="7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3">
      <c r="A412" s="7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3">
      <c r="A413" s="7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3">
      <c r="A414" s="7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3">
      <c r="A415" s="7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3">
      <c r="A416" s="7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3">
      <c r="A417" s="7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3">
      <c r="A418" s="7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3">
      <c r="A419" s="7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3">
      <c r="A420" s="7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3">
      <c r="A421" s="7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3">
      <c r="A422" s="7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3">
      <c r="A423" s="7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3">
      <c r="A424" s="7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3">
      <c r="A425" s="7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3">
      <c r="A426" s="7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3">
      <c r="A427" s="7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3">
      <c r="A428" s="7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3">
      <c r="A429" s="7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3">
      <c r="A430" s="7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3">
      <c r="A431" s="7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3">
      <c r="A432" s="7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3">
      <c r="A433" s="7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3">
      <c r="A434" s="7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3">
      <c r="A435" s="7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3">
      <c r="A436" s="7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3">
      <c r="A437" s="7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3">
      <c r="A438" s="7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3">
      <c r="A439" s="7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3">
      <c r="A440" s="7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3">
      <c r="A441" s="7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3">
      <c r="A442" s="7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3">
      <c r="A443" s="7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3">
      <c r="A444" s="7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3">
      <c r="A445" s="7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3">
      <c r="A446" s="7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3">
      <c r="A447" s="7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3">
      <c r="A448" s="7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3">
      <c r="A449" s="7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3">
      <c r="A450" s="7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3">
      <c r="A451" s="7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3">
      <c r="A452" s="7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3">
      <c r="A453" s="7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3">
      <c r="A454" s="7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3">
      <c r="A455" s="7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3">
      <c r="A456" s="7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3">
      <c r="A457" s="7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3">
      <c r="A458" s="7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3">
      <c r="A459" s="7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3">
      <c r="A460" s="7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3">
      <c r="A461" s="7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3">
      <c r="A462" s="7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3">
      <c r="A463" s="7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3">
      <c r="A464" s="7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3">
      <c r="A465" s="7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3">
      <c r="A466" s="7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3">
      <c r="A467" s="7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3">
      <c r="A468" s="7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3">
      <c r="A469" s="7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3">
      <c r="A470" s="7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3">
      <c r="A471" s="7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3">
      <c r="A472" s="7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3">
      <c r="A473" s="7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3">
      <c r="A474" s="7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3">
      <c r="A475" s="7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3">
      <c r="A476" s="7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3">
      <c r="A477" s="7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3">
      <c r="A478" s="7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3">
      <c r="A479" s="7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3">
      <c r="A480" s="7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3">
      <c r="A481" s="7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3">
      <c r="A482" s="7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3">
      <c r="A483" s="7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3">
      <c r="A484" s="7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3">
      <c r="A485" s="7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3">
      <c r="A486" s="7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3">
      <c r="A487" s="7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3">
      <c r="A488" s="7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3">
      <c r="A489" s="7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3">
      <c r="A490" s="7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3">
      <c r="A491" s="7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3">
      <c r="A492" s="7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3">
      <c r="A493" s="7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3">
      <c r="A494" s="7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3">
      <c r="A495" s="7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3">
      <c r="A496" s="7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3">
      <c r="A497" s="7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3">
      <c r="A498" s="7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3">
      <c r="A499" s="7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3">
      <c r="A500" s="7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3">
      <c r="A501" s="7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3">
      <c r="A502" s="7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3">
      <c r="A503" s="7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3">
      <c r="A504" s="7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3">
      <c r="A505" s="7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3">
      <c r="A506" s="7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3">
      <c r="A507" s="7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3">
      <c r="A508" s="7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3">
      <c r="A509" s="7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3">
      <c r="A510" s="7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3">
      <c r="A511" s="7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3">
      <c r="A512" s="7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3">
      <c r="A513" s="7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3">
      <c r="A514" s="7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3">
      <c r="A515" s="7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3">
      <c r="A516" s="7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3">
      <c r="A517" s="7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3">
      <c r="A518" s="7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3">
      <c r="A519" s="7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3">
      <c r="A520" s="7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3">
      <c r="A521" s="7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3">
      <c r="A522" s="7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3">
      <c r="A523" s="7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3">
      <c r="A524" s="7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3">
      <c r="A525" s="7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3">
      <c r="A526" s="7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3">
      <c r="A527" s="7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3">
      <c r="A528" s="7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3">
      <c r="A529" s="7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3">
      <c r="A530" s="7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3">
      <c r="A531" s="7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3">
      <c r="A532" s="7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3">
      <c r="A533" s="7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3">
      <c r="A534" s="7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3">
      <c r="A535" s="7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3">
      <c r="A536" s="7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3">
      <c r="A537" s="7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3">
      <c r="A538" s="7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3">
      <c r="A539" s="7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3">
      <c r="A540" s="7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3">
      <c r="A541" s="7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3">
      <c r="A542" s="7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3">
      <c r="A543" s="7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3">
      <c r="A544" s="7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3">
      <c r="A545" s="7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3">
      <c r="A546" s="7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3">
      <c r="A547" s="7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3">
      <c r="A548" s="7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3">
      <c r="A549" s="7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3">
      <c r="A550" s="7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3">
      <c r="A551" s="7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3">
      <c r="A552" s="7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3">
      <c r="A553" s="7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3">
      <c r="A554" s="7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3">
      <c r="A555" s="7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3">
      <c r="A556" s="7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3">
      <c r="A557" s="7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3">
      <c r="A558" s="7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3">
      <c r="A559" s="7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3">
      <c r="A560" s="7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3">
      <c r="A561" s="7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3">
      <c r="A562" s="7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3">
      <c r="A563" s="7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3">
      <c r="A564" s="7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3">
      <c r="A565" s="7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3">
      <c r="A566" s="7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3">
      <c r="A567" s="7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3">
      <c r="A568" s="7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3">
      <c r="A569" s="7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3">
      <c r="A570" s="7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3">
      <c r="A571" s="7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3">
      <c r="A572" s="7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3">
      <c r="A573" s="7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3">
      <c r="A574" s="7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3">
      <c r="A575" s="7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3">
      <c r="A576" s="7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3">
      <c r="A577" s="7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3">
      <c r="A578" s="7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3">
      <c r="A579" s="7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3">
      <c r="A580" s="7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3">
      <c r="A581" s="7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3">
      <c r="A582" s="7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3">
      <c r="A583" s="7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3">
      <c r="A584" s="7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3">
      <c r="A585" s="7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3">
      <c r="A586" s="7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3">
      <c r="A587" s="7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3">
      <c r="A588" s="7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3">
      <c r="A589" s="7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3">
      <c r="A590" s="7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3">
      <c r="A591" s="7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3">
      <c r="A592" s="7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3">
      <c r="A593" s="7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3">
      <c r="A594" s="7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3">
      <c r="A595" s="7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3">
      <c r="A596" s="7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3">
      <c r="A597" s="7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3">
      <c r="A598" s="7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3">
      <c r="A599" s="7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3">
      <c r="A600" s="7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3">
      <c r="A601" s="7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3">
      <c r="A602" s="7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3">
      <c r="A603" s="7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3">
      <c r="A604" s="7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3">
      <c r="A605" s="7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3">
      <c r="A606" s="7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3">
      <c r="A607" s="7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3">
      <c r="A608" s="7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3">
      <c r="A609" s="7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3">
      <c r="A610" s="7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3">
      <c r="A611" s="7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3">
      <c r="A612" s="7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3">
      <c r="A613" s="7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3">
      <c r="A614" s="7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3">
      <c r="A615" s="7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3">
      <c r="A616" s="7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3">
      <c r="A617" s="7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3">
      <c r="A618" s="7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3">
      <c r="A619" s="7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3">
      <c r="A620" s="7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3">
      <c r="A621" s="7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3">
      <c r="A622" s="7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3">
      <c r="A623" s="7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3">
      <c r="A624" s="7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3">
      <c r="A625" s="7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3">
      <c r="A626" s="7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3">
      <c r="A627" s="7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3">
      <c r="A628" s="7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3">
      <c r="A629" s="7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3">
      <c r="A630" s="7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3">
      <c r="A631" s="7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3">
      <c r="A632" s="7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3">
      <c r="A633" s="7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3">
      <c r="A634" s="7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3">
      <c r="A635" s="7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3">
      <c r="A636" s="7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3">
      <c r="A637" s="7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3">
      <c r="A638" s="7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3">
      <c r="A639" s="7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3">
      <c r="A640" s="7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3">
      <c r="A641" s="7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3">
      <c r="A642" s="7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3">
      <c r="A643" s="7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3">
      <c r="A644" s="7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3">
      <c r="A645" s="7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3">
      <c r="A646" s="7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3">
      <c r="A647" s="7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3">
      <c r="A648" s="7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3">
      <c r="A649" s="7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3">
      <c r="A650" s="7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3">
      <c r="A651" s="7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3">
      <c r="A652" s="7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3">
      <c r="A653" s="7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3">
      <c r="A654" s="7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3">
      <c r="A655" s="7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3">
      <c r="A656" s="7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3">
      <c r="A657" s="7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3">
      <c r="A658" s="7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3">
      <c r="A659" s="7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3">
      <c r="A660" s="7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3">
      <c r="A661" s="7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3">
      <c r="A662" s="7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3">
      <c r="A663" s="7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3">
      <c r="A664" s="7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3">
      <c r="A665" s="7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3">
      <c r="A666" s="7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3">
      <c r="A667" s="7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3">
      <c r="A668" s="7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3">
      <c r="A669" s="7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3">
      <c r="A670" s="7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3">
      <c r="A671" s="7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3">
      <c r="A672" s="7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3">
      <c r="A673" s="7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3">
      <c r="A674" s="7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3">
      <c r="A675" s="7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3">
      <c r="A676" s="7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3">
      <c r="A677" s="7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3">
      <c r="A678" s="7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3">
      <c r="A679" s="7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3">
      <c r="A680" s="7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3">
      <c r="A681" s="7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3">
      <c r="A682" s="7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3">
      <c r="A683" s="7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3">
      <c r="A684" s="7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3">
      <c r="A685" s="7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3">
      <c r="A686" s="7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3">
      <c r="A687" s="7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3">
      <c r="A688" s="7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3">
      <c r="A689" s="7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3">
      <c r="A690" s="7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3">
      <c r="A691" s="7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3">
      <c r="A692" s="7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3">
      <c r="A693" s="7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3">
      <c r="A694" s="7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3">
      <c r="A695" s="7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3">
      <c r="A696" s="7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3">
      <c r="A697" s="7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3">
      <c r="A698" s="7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3">
      <c r="A699" s="7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3">
      <c r="A700" s="7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3">
      <c r="A701" s="7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3">
      <c r="A702" s="7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3">
      <c r="A703" s="7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3">
      <c r="A704" s="7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3">
      <c r="A705" s="7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3">
      <c r="A706" s="7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3">
      <c r="A707" s="7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3">
      <c r="A708" s="7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3">
      <c r="A709" s="7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3">
      <c r="A710" s="7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3">
      <c r="A711" s="7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3">
      <c r="A712" s="7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3">
      <c r="A713" s="7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3">
      <c r="A714" s="7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3">
      <c r="A715" s="7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3">
      <c r="A716" s="7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3">
      <c r="A717" s="7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3">
      <c r="A718" s="7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3">
      <c r="A719" s="7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3">
      <c r="A720" s="7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3">
      <c r="A721" s="7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3">
      <c r="A722" s="7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3">
      <c r="A723" s="7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3">
      <c r="A724" s="7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3">
      <c r="A725" s="7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3">
      <c r="A726" s="7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3">
      <c r="A727" s="7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3">
      <c r="A728" s="7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3">
      <c r="A729" s="7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3">
      <c r="A730" s="7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3">
      <c r="A731" s="7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3">
      <c r="A732" s="7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3">
      <c r="A733" s="7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3">
      <c r="A734" s="7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3">
      <c r="A735" s="7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3">
      <c r="A736" s="7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3">
      <c r="A737" s="7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3">
      <c r="A738" s="7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3">
      <c r="A739" s="7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3">
      <c r="A740" s="7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3">
      <c r="A741" s="7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3">
      <c r="A742" s="7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3">
      <c r="A743" s="7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3">
      <c r="A744" s="7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3">
      <c r="A745" s="7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3">
      <c r="A746" s="7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3">
      <c r="A747" s="7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3">
      <c r="A748" s="7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3">
      <c r="A749" s="7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3">
      <c r="A750" s="7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3">
      <c r="A751" s="7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3">
      <c r="A752" s="7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3">
      <c r="A753" s="7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3">
      <c r="A754" s="7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3">
      <c r="A755" s="7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3">
      <c r="A756" s="7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3">
      <c r="A757" s="7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3">
      <c r="A758" s="7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3">
      <c r="A759" s="7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3">
      <c r="A760" s="7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3">
      <c r="A761" s="7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3">
      <c r="A762" s="7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3">
      <c r="A763" s="7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3">
      <c r="A764" s="7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3">
      <c r="A765" s="7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3">
      <c r="A766" s="7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3">
      <c r="A767" s="7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3">
      <c r="A768" s="7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3">
      <c r="A769" s="7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3">
      <c r="A770" s="7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3">
      <c r="A771" s="7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3">
      <c r="A772" s="7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3">
      <c r="A773" s="7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3">
      <c r="A774" s="7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3">
      <c r="A775" s="7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3">
      <c r="A776" s="7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3">
      <c r="A777" s="7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3">
      <c r="A778" s="7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3">
      <c r="A779" s="7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3">
      <c r="A780" s="7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3">
      <c r="A781" s="7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3">
      <c r="A782" s="7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3">
      <c r="A783" s="7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3">
      <c r="A784" s="7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3">
      <c r="A785" s="7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3">
      <c r="A786" s="7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3">
      <c r="A787" s="7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3">
      <c r="A788" s="7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3">
      <c r="A789" s="7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3">
      <c r="A790" s="7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3">
      <c r="A791" s="7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3">
      <c r="A792" s="7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3">
      <c r="A793" s="7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3">
      <c r="A794" s="7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3">
      <c r="A795" s="7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3">
      <c r="A796" s="7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3">
      <c r="A797" s="7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3">
      <c r="A798" s="7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3">
      <c r="A799" s="7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3">
      <c r="A800" s="7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3">
      <c r="A801" s="7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3">
      <c r="A802" s="7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3">
      <c r="A803" s="7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3">
      <c r="A804" s="7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3">
      <c r="A805" s="7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3">
      <c r="A806" s="7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3">
      <c r="A807" s="7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3">
      <c r="A808" s="7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3">
      <c r="A809" s="7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3">
      <c r="A810" s="7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3">
      <c r="A811" s="7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3">
      <c r="A812" s="7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3">
      <c r="A813" s="7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3">
      <c r="A814" s="7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3">
      <c r="A815" s="7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3">
      <c r="A816" s="7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3">
      <c r="A817" s="7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3">
      <c r="A818" s="7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3">
      <c r="A819" s="7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3">
      <c r="A820" s="7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3">
      <c r="A821" s="7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3">
      <c r="A822" s="7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3">
      <c r="A823" s="7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3">
      <c r="A824" s="7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3">
      <c r="A825" s="7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3">
      <c r="A826" s="7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3">
      <c r="A827" s="7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3">
      <c r="A828" s="7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3">
      <c r="A829" s="7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3">
      <c r="A830" s="7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3">
      <c r="A831" s="7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3">
      <c r="A832" s="7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3">
      <c r="A833" s="7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3">
      <c r="A834" s="7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3">
      <c r="A835" s="7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3">
      <c r="A836" s="7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3">
      <c r="A837" s="7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3">
      <c r="A838" s="7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3">
      <c r="A839" s="7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3">
      <c r="A840" s="7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3">
      <c r="A841" s="7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3">
      <c r="A842" s="7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3">
      <c r="A843" s="7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3">
      <c r="A844" s="7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3">
      <c r="A845" s="7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3">
      <c r="A846" s="7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3">
      <c r="A847" s="7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3">
      <c r="A848" s="7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3">
      <c r="A849" s="7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3">
      <c r="A850" s="7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3">
      <c r="A851" s="7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3">
      <c r="A852" s="7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3">
      <c r="A853" s="7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3">
      <c r="A854" s="7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3">
      <c r="A855" s="7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3">
      <c r="A856" s="7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3">
      <c r="A857" s="7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3">
      <c r="A858" s="7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3">
      <c r="A859" s="7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3">
      <c r="A860" s="7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3">
      <c r="A861" s="7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3">
      <c r="A862" s="7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3">
      <c r="A863" s="7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3">
      <c r="A864" s="7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3">
      <c r="A865" s="7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3">
      <c r="A866" s="7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3">
      <c r="A867" s="7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3">
      <c r="A868" s="7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3">
      <c r="A869" s="7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3">
      <c r="A870" s="7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3">
      <c r="A871" s="7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3">
      <c r="A872" s="7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3">
      <c r="A873" s="7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3">
      <c r="A874" s="7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3">
      <c r="A875" s="7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3">
      <c r="A876" s="7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3">
      <c r="A877" s="7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3">
      <c r="A878" s="7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3">
      <c r="A879" s="7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3">
      <c r="A880" s="7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3">
      <c r="A881" s="7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3">
      <c r="A882" s="7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3">
      <c r="A883" s="7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3">
      <c r="A884" s="7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3">
      <c r="A885" s="7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3">
      <c r="A886" s="7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3">
      <c r="A887" s="7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3">
      <c r="A888" s="7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3">
      <c r="A889" s="7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3">
      <c r="A890" s="7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3">
      <c r="A891" s="7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3">
      <c r="A892" s="7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3">
      <c r="A893" s="7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3">
      <c r="A894" s="7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3">
      <c r="A895" s="7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3">
      <c r="A896" s="7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3">
      <c r="A897" s="7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3">
      <c r="A898" s="7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3">
      <c r="A899" s="7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3">
      <c r="A900" s="7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3">
      <c r="A901" s="7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3">
      <c r="A902" s="7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3">
      <c r="A903" s="7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3">
      <c r="A904" s="7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3">
      <c r="A905" s="7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3">
      <c r="A906" s="7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3">
      <c r="A907" s="7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3">
      <c r="A908" s="7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3">
      <c r="A909" s="7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3">
      <c r="A910" s="7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3">
      <c r="A911" s="7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3">
      <c r="A912" s="7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3">
      <c r="A913" s="7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3">
      <c r="A914" s="7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3">
      <c r="A915" s="7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3">
      <c r="A916" s="7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3">
      <c r="A917" s="7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3">
      <c r="A918" s="7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3">
      <c r="A919" s="7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3">
      <c r="A920" s="7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3">
      <c r="A921" s="7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3">
      <c r="A922" s="7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3">
      <c r="A923" s="7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3">
      <c r="A924" s="7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3">
      <c r="A925" s="7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3">
      <c r="A926" s="7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3">
      <c r="A927" s="7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3">
      <c r="A928" s="7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3">
      <c r="A929" s="7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3">
      <c r="A930" s="7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3">
      <c r="A931" s="7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3">
      <c r="A932" s="7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3">
      <c r="A933" s="7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3">
      <c r="A934" s="7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3">
      <c r="A935" s="7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3">
      <c r="A936" s="7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3">
      <c r="A937" s="7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3">
      <c r="A938" s="7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3">
      <c r="A939" s="7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3">
      <c r="A940" s="7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3">
      <c r="A941" s="7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3">
      <c r="A942" s="7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3">
      <c r="A943" s="7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3">
      <c r="A944" s="7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3">
      <c r="A945" s="7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3">
      <c r="A946" s="7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3">
      <c r="A947" s="7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3">
      <c r="A948" s="7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3">
      <c r="A949" s="7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3">
      <c r="A950" s="7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3">
      <c r="A951" s="7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3">
      <c r="A952" s="7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3">
      <c r="A953" s="7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3">
      <c r="A954" s="7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3">
      <c r="A955" s="7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3">
      <c r="A956" s="7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3">
      <c r="A957" s="7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3">
      <c r="A958" s="7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3">
      <c r="A959" s="7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3">
      <c r="A960" s="7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3">
      <c r="A961" s="7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3">
      <c r="A962" s="7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3">
      <c r="A963" s="7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3">
      <c r="A964" s="7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3">
      <c r="A965" s="7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3">
      <c r="A966" s="7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3">
      <c r="A967" s="7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3">
      <c r="A968" s="7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3">
      <c r="A969" s="7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3">
      <c r="A970" s="7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3">
      <c r="A971" s="7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3">
      <c r="A972" s="7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3">
      <c r="A973" s="7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3">
      <c r="A974" s="7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3">
      <c r="A975" s="7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3">
      <c r="A976" s="7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3">
      <c r="A977" s="7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3">
      <c r="A978" s="7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3">
      <c r="A979" s="7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3">
      <c r="A980" s="7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3">
      <c r="A981" s="7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3">
      <c r="A982" s="7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3">
      <c r="A983" s="7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3">
      <c r="A984" s="7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3">
      <c r="A985" s="7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3">
      <c r="A986" s="7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3">
      <c r="A987" s="7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3">
      <c r="A988" s="7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3">
      <c r="A989" s="7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3">
      <c r="A990" s="7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3">
      <c r="A991" s="7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3">
      <c r="A992" s="7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3">
      <c r="A993" s="7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3">
      <c r="A994" s="7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3">
      <c r="A995" s="7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3">
      <c r="A996" s="7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3">
      <c r="A997" s="7"/>
      <c r="B997" s="3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mergeCells count="1">
    <mergeCell ref="A1:C1"/>
  </mergeCells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DC21-67A4-4AFC-971E-A6CA8542799C}">
  <sheetPr filterMode="1"/>
  <dimension ref="B1:X1000"/>
  <sheetViews>
    <sheetView workbookViewId="0">
      <selection activeCell="F20" sqref="F20"/>
    </sheetView>
  </sheetViews>
  <sheetFormatPr defaultColWidth="11.19921875" defaultRowHeight="15" customHeight="1" x14ac:dyDescent="0.3"/>
  <cols>
    <col min="1" max="1" width="2.59765625" style="1" customWidth="1"/>
    <col min="2" max="2" width="17.3984375" style="1" customWidth="1"/>
    <col min="3" max="3" width="48.19921875" style="1" customWidth="1"/>
    <col min="4" max="4" width="17.19921875" style="9" customWidth="1"/>
    <col min="5" max="24" width="10.5" style="1" customWidth="1"/>
    <col min="25" max="16384" width="11.19921875" style="1"/>
  </cols>
  <sheetData>
    <row r="1" spans="2:24" s="189" customFormat="1" ht="14.4" x14ac:dyDescent="0.3">
      <c r="B1" s="184"/>
      <c r="C1" s="185"/>
      <c r="D1" s="186"/>
      <c r="E1" s="187"/>
      <c r="F1" s="188"/>
    </row>
    <row r="2" spans="2:24" s="189" customFormat="1" ht="14.4" x14ac:dyDescent="0.3">
      <c r="B2" s="184"/>
      <c r="C2" s="184" t="s">
        <v>138</v>
      </c>
      <c r="D2" s="190">
        <f>+D26</f>
        <v>209886.29750000002</v>
      </c>
      <c r="E2" s="191"/>
      <c r="F2" s="188"/>
    </row>
    <row r="3" spans="2:24" s="189" customFormat="1" ht="14.4" x14ac:dyDescent="0.3">
      <c r="B3" s="184"/>
      <c r="C3" s="184" t="s">
        <v>139</v>
      </c>
      <c r="D3" s="190">
        <f>+D33</f>
        <v>57908.43</v>
      </c>
      <c r="E3" s="187"/>
      <c r="F3" s="188"/>
    </row>
    <row r="4" spans="2:24" s="189" customFormat="1" thickBot="1" x14ac:dyDescent="0.35">
      <c r="B4" s="184"/>
      <c r="C4" s="184" t="s">
        <v>140</v>
      </c>
      <c r="D4" s="192">
        <f>SUM(D2:D3)</f>
        <v>267794.72750000004</v>
      </c>
      <c r="E4" s="187"/>
      <c r="F4" s="188"/>
    </row>
    <row r="5" spans="2:24" ht="45.6" customHeight="1" thickTop="1" x14ac:dyDescent="0.3">
      <c r="B5" s="193"/>
      <c r="C5" s="194" t="s">
        <v>141</v>
      </c>
      <c r="D5" s="195">
        <v>46082</v>
      </c>
      <c r="E5" s="196"/>
      <c r="F5" s="197"/>
    </row>
    <row r="6" spans="2:24" ht="19.95" customHeight="1" x14ac:dyDescent="0.3">
      <c r="B6" s="198" t="s">
        <v>1</v>
      </c>
      <c r="C6" s="198" t="s">
        <v>142</v>
      </c>
      <c r="D6" s="199" t="s">
        <v>143</v>
      </c>
      <c r="E6" s="200"/>
      <c r="F6" s="201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</row>
    <row r="7" spans="2:24" ht="19.95" customHeight="1" x14ac:dyDescent="0.5">
      <c r="B7" s="203" t="s">
        <v>1</v>
      </c>
      <c r="C7" s="204" t="s">
        <v>2</v>
      </c>
      <c r="D7" s="205">
        <v>51603.457499999997</v>
      </c>
      <c r="E7" s="200"/>
      <c r="F7" s="201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</row>
    <row r="8" spans="2:24" ht="19.95" customHeight="1" x14ac:dyDescent="0.5">
      <c r="B8" s="203" t="s">
        <v>1</v>
      </c>
      <c r="C8" s="204" t="s">
        <v>3</v>
      </c>
      <c r="D8" s="205">
        <v>5825</v>
      </c>
      <c r="E8" s="206"/>
      <c r="F8" s="20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2:24" ht="19.95" customHeight="1" x14ac:dyDescent="0.5">
      <c r="B9" s="203" t="s">
        <v>1</v>
      </c>
      <c r="C9" s="204" t="s">
        <v>4</v>
      </c>
      <c r="D9" s="205">
        <v>1335.08</v>
      </c>
      <c r="E9" s="206"/>
      <c r="F9" s="20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 ht="19.95" customHeight="1" x14ac:dyDescent="0.5">
      <c r="B10" s="203" t="s">
        <v>1</v>
      </c>
      <c r="C10" s="204" t="s">
        <v>53</v>
      </c>
      <c r="D10" s="205">
        <v>46031.5</v>
      </c>
      <c r="E10" s="206"/>
      <c r="F10" s="20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 ht="19.95" customHeight="1" x14ac:dyDescent="0.5">
      <c r="B11" s="203" t="s">
        <v>1</v>
      </c>
      <c r="C11" s="204" t="s">
        <v>5</v>
      </c>
      <c r="D11" s="205">
        <v>16798.122499999998</v>
      </c>
      <c r="E11" s="206"/>
      <c r="F11" s="20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ht="19.95" customHeight="1" x14ac:dyDescent="0.5">
      <c r="B12" s="203" t="s">
        <v>1</v>
      </c>
      <c r="C12" s="208" t="s">
        <v>6</v>
      </c>
      <c r="D12" s="205">
        <v>2287.75</v>
      </c>
      <c r="E12" s="206"/>
      <c r="F12" s="20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 ht="19.95" customHeight="1" x14ac:dyDescent="0.5">
      <c r="B13" s="203" t="s">
        <v>1</v>
      </c>
      <c r="C13" s="204" t="s">
        <v>7</v>
      </c>
      <c r="D13" s="205">
        <v>2177.5</v>
      </c>
      <c r="E13" s="206"/>
      <c r="F13" s="20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2:24" ht="19.95" customHeight="1" x14ac:dyDescent="0.5">
      <c r="B14" s="203" t="s">
        <v>1</v>
      </c>
      <c r="C14" s="204" t="s">
        <v>8</v>
      </c>
      <c r="D14" s="205">
        <v>0</v>
      </c>
      <c r="E14" s="206"/>
      <c r="F14" s="20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2:24" ht="19.95" customHeight="1" x14ac:dyDescent="0.5">
      <c r="B15" s="203" t="s">
        <v>1</v>
      </c>
      <c r="C15" s="204" t="s">
        <v>54</v>
      </c>
      <c r="D15" s="205">
        <v>0</v>
      </c>
      <c r="E15" s="206"/>
      <c r="F15" s="207"/>
      <c r="G15" s="20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2:24" ht="19.95" customHeight="1" x14ac:dyDescent="0.5">
      <c r="B16" s="203" t="s">
        <v>1</v>
      </c>
      <c r="C16" s="204" t="s">
        <v>9</v>
      </c>
      <c r="D16" s="205">
        <v>0</v>
      </c>
      <c r="E16" s="206"/>
      <c r="F16" s="20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2:24" ht="19.95" customHeight="1" x14ac:dyDescent="0.5">
      <c r="B17" s="203" t="s">
        <v>1</v>
      </c>
      <c r="C17" s="204" t="s">
        <v>55</v>
      </c>
      <c r="D17" s="205">
        <v>39989.794999999998</v>
      </c>
      <c r="E17" s="206"/>
      <c r="F17" s="20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2:24" ht="19.95" customHeight="1" x14ac:dyDescent="0.5">
      <c r="B18" s="203" t="s">
        <v>1</v>
      </c>
      <c r="C18" s="204" t="s">
        <v>56</v>
      </c>
      <c r="D18" s="205">
        <v>9375</v>
      </c>
      <c r="E18" s="206"/>
      <c r="F18" s="20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2:24" ht="19.95" customHeight="1" x14ac:dyDescent="0.5">
      <c r="B19" s="203" t="s">
        <v>1</v>
      </c>
      <c r="C19" s="204" t="s">
        <v>57</v>
      </c>
      <c r="D19" s="205">
        <v>7604.4949999999999</v>
      </c>
      <c r="E19" s="206"/>
      <c r="F19" s="20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2:24" ht="19.95" customHeight="1" x14ac:dyDescent="0.5">
      <c r="B20" s="203" t="s">
        <v>1</v>
      </c>
      <c r="C20" s="204" t="s">
        <v>10</v>
      </c>
      <c r="D20" s="205">
        <v>4442.3474999999999</v>
      </c>
      <c r="E20" s="206"/>
      <c r="F20" s="20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2:24" ht="19.95" customHeight="1" x14ac:dyDescent="0.5">
      <c r="B21" s="203" t="s">
        <v>1</v>
      </c>
      <c r="C21" s="204" t="s">
        <v>11</v>
      </c>
      <c r="D21" s="205">
        <v>5128.75</v>
      </c>
      <c r="E21" s="206"/>
      <c r="F21" s="20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2:24" ht="19.95" customHeight="1" x14ac:dyDescent="0.5">
      <c r="B22" s="203" t="s">
        <v>1</v>
      </c>
      <c r="C22" s="210" t="s">
        <v>12</v>
      </c>
      <c r="D22" s="205">
        <v>17287.5</v>
      </c>
      <c r="E22" s="206"/>
      <c r="F22" s="20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2:24" ht="19.95" customHeight="1" x14ac:dyDescent="0.5">
      <c r="B23" s="203" t="s">
        <v>1</v>
      </c>
      <c r="C23" s="204" t="s">
        <v>58</v>
      </c>
      <c r="D23" s="205">
        <v>0</v>
      </c>
      <c r="E23" s="206"/>
      <c r="F23" s="20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2:24" ht="19.95" customHeight="1" x14ac:dyDescent="0.3">
      <c r="B24" s="203" t="s">
        <v>1</v>
      </c>
      <c r="C24" s="211"/>
      <c r="D24" s="212"/>
      <c r="E24" s="206"/>
      <c r="F24" s="20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2:24" ht="19.95" customHeight="1" x14ac:dyDescent="0.3">
      <c r="B25" s="213"/>
      <c r="C25" s="214"/>
      <c r="D25" s="215"/>
      <c r="E25" s="206"/>
      <c r="F25" s="20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2:24" ht="19.95" customHeight="1" x14ac:dyDescent="0.3">
      <c r="B26" s="213"/>
      <c r="C26" s="214"/>
      <c r="D26" s="216">
        <f>SUBTOTAL(9,D7:D25)</f>
        <v>209886.29750000002</v>
      </c>
      <c r="E26" s="217"/>
      <c r="F26" s="20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2:24" ht="19.95" customHeight="1" x14ac:dyDescent="0.3">
      <c r="B27" s="87" t="s">
        <v>13</v>
      </c>
      <c r="C27" s="87" t="s">
        <v>144</v>
      </c>
      <c r="D27" s="88">
        <f>+'[3] EXPENSES HOUSE'!$D$6</f>
        <v>38090</v>
      </c>
      <c r="E27" s="217"/>
      <c r="F27" s="20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2:24" ht="19.95" customHeight="1" x14ac:dyDescent="0.3">
      <c r="B28" s="87" t="s">
        <v>13</v>
      </c>
      <c r="C28" s="87" t="s">
        <v>145</v>
      </c>
      <c r="D28" s="88">
        <f>+'[3] EXPENSES HOUSE'!$E$6</f>
        <v>7630.43</v>
      </c>
      <c r="E28" s="217"/>
      <c r="F28" s="20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2:24" ht="19.95" customHeight="1" x14ac:dyDescent="0.3">
      <c r="B29" s="87" t="s">
        <v>13</v>
      </c>
      <c r="C29" s="218" t="s">
        <v>146</v>
      </c>
      <c r="D29" s="88">
        <v>5000</v>
      </c>
      <c r="E29" s="206"/>
      <c r="F29" s="20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2:24" ht="19.95" customHeight="1" x14ac:dyDescent="0.3">
      <c r="B30" s="87" t="s">
        <v>13</v>
      </c>
      <c r="C30" s="219" t="s">
        <v>147</v>
      </c>
      <c r="D30" s="88">
        <v>1500</v>
      </c>
      <c r="E30" s="206"/>
      <c r="F30" s="20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2:24" ht="19.95" customHeight="1" x14ac:dyDescent="0.3">
      <c r="B31" s="87" t="s">
        <v>13</v>
      </c>
      <c r="C31" s="220" t="s">
        <v>148</v>
      </c>
      <c r="D31" s="88">
        <f>+'[3] EXPENSES HOUSE'!$I$6</f>
        <v>5688</v>
      </c>
      <c r="E31" s="206"/>
      <c r="F31" s="20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2:24" ht="19.95" customHeight="1" x14ac:dyDescent="0.3">
      <c r="B32" s="87" t="s">
        <v>13</v>
      </c>
      <c r="C32" s="221"/>
      <c r="D32" s="88"/>
      <c r="E32" s="206"/>
      <c r="F32" s="20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2:24" ht="19.95" customHeight="1" thickBot="1" x14ac:dyDescent="0.35">
      <c r="B33" s="222"/>
      <c r="C33" s="222"/>
      <c r="D33" s="223">
        <f>SUBTOTAL(9,D27:D32)</f>
        <v>57908.43</v>
      </c>
      <c r="E33" s="206"/>
      <c r="F33" s="20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2:24" ht="19.95" customHeight="1" thickTop="1" x14ac:dyDescent="0.3">
      <c r="B34" s="222"/>
      <c r="C34" s="222"/>
      <c r="D34" s="224"/>
      <c r="E34" s="206"/>
      <c r="F34" s="20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2:24" ht="19.95" customHeight="1" x14ac:dyDescent="0.3">
      <c r="B35" s="222"/>
      <c r="C35" s="222"/>
      <c r="D35" s="224"/>
      <c r="E35" s="206"/>
      <c r="F35" s="20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2:24" ht="19.95" customHeight="1" x14ac:dyDescent="0.3">
      <c r="B36" s="222"/>
      <c r="C36" s="222"/>
      <c r="D36" s="224"/>
      <c r="E36" s="206"/>
      <c r="F36" s="20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2:24" ht="19.95" customHeight="1" x14ac:dyDescent="0.3">
      <c r="B37" s="222"/>
      <c r="C37" s="222"/>
      <c r="D37" s="224"/>
      <c r="E37" s="206"/>
      <c r="F37" s="20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2:24" ht="19.95" customHeight="1" x14ac:dyDescent="0.3">
      <c r="B38" s="222"/>
      <c r="C38" s="222"/>
      <c r="D38" s="224"/>
      <c r="E38" s="206"/>
      <c r="F38" s="20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2:24" ht="19.95" customHeight="1" x14ac:dyDescent="0.3">
      <c r="B39" s="222"/>
      <c r="C39" s="222"/>
      <c r="D39" s="224"/>
      <c r="E39" s="206"/>
      <c r="F39" s="20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ht="19.95" customHeight="1" x14ac:dyDescent="0.3">
      <c r="B40" s="222"/>
      <c r="C40" s="222"/>
      <c r="D40" s="224"/>
      <c r="E40" s="206"/>
      <c r="F40" s="20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ht="19.95" customHeight="1" x14ac:dyDescent="0.3">
      <c r="B41" s="222"/>
      <c r="C41" s="222"/>
      <c r="D41" s="224"/>
      <c r="E41" s="206"/>
      <c r="F41" s="20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2:24" ht="19.95" customHeight="1" x14ac:dyDescent="0.3">
      <c r="B42" s="222"/>
      <c r="C42" s="222"/>
      <c r="D42" s="224"/>
      <c r="E42" s="206"/>
      <c r="F42" s="20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2:24" ht="19.95" customHeight="1" x14ac:dyDescent="0.3">
      <c r="B43" s="222"/>
      <c r="C43" s="222"/>
      <c r="D43" s="224"/>
      <c r="E43" s="206"/>
      <c r="F43" s="20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2:24" ht="19.95" customHeight="1" x14ac:dyDescent="0.3">
      <c r="B44" s="222"/>
      <c r="C44" s="222"/>
      <c r="D44" s="224"/>
      <c r="E44" s="206"/>
      <c r="F44" s="20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2:24" ht="19.95" customHeight="1" x14ac:dyDescent="0.3">
      <c r="B45" s="222"/>
      <c r="C45" s="222"/>
      <c r="D45" s="224"/>
      <c r="E45" s="206"/>
      <c r="F45" s="20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2:24" ht="19.95" customHeight="1" x14ac:dyDescent="0.3">
      <c r="B46" s="222"/>
      <c r="C46" s="222"/>
      <c r="D46" s="224"/>
      <c r="E46" s="206"/>
      <c r="F46" s="20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2:24" ht="19.95" customHeight="1" x14ac:dyDescent="0.3">
      <c r="B47" s="222"/>
      <c r="C47" s="222"/>
      <c r="D47" s="224"/>
      <c r="E47" s="206"/>
      <c r="F47" s="20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2:24" ht="19.95" customHeight="1" x14ac:dyDescent="0.3">
      <c r="B48" s="222"/>
      <c r="C48" s="222"/>
      <c r="D48" s="224"/>
      <c r="E48" s="206"/>
      <c r="F48" s="20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2:24" ht="15.75" customHeight="1" x14ac:dyDescent="0.3">
      <c r="B49" s="222"/>
      <c r="C49" s="222"/>
      <c r="D49" s="224"/>
      <c r="E49" s="206"/>
      <c r="F49" s="20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2:24" ht="15.75" customHeight="1" x14ac:dyDescent="0.3">
      <c r="B50" s="222"/>
      <c r="C50" s="222"/>
      <c r="D50" s="224"/>
      <c r="E50" s="206"/>
      <c r="F50" s="20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2:24" ht="15.75" customHeight="1" x14ac:dyDescent="0.3">
      <c r="B51" s="222"/>
      <c r="C51" s="222"/>
      <c r="D51" s="224"/>
      <c r="E51" s="206"/>
      <c r="F51" s="20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2:24" ht="15.75" customHeight="1" x14ac:dyDescent="0.3">
      <c r="B52" s="222"/>
      <c r="C52" s="222"/>
      <c r="D52" s="224"/>
      <c r="E52" s="206"/>
      <c r="F52" s="20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2:24" ht="15.75" customHeight="1" x14ac:dyDescent="0.3">
      <c r="B53" s="222"/>
      <c r="C53" s="222"/>
      <c r="D53" s="224"/>
      <c r="E53" s="206"/>
      <c r="F53" s="20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2:24" ht="15.75" customHeight="1" x14ac:dyDescent="0.3">
      <c r="B54" s="222"/>
      <c r="C54" s="222"/>
      <c r="D54" s="224"/>
      <c r="E54" s="206"/>
      <c r="F54" s="20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2:24" ht="15.75" customHeight="1" x14ac:dyDescent="0.3">
      <c r="B55" s="222"/>
      <c r="C55" s="222"/>
      <c r="D55" s="224"/>
      <c r="E55" s="206"/>
      <c r="F55" s="20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2:24" ht="15.75" customHeight="1" x14ac:dyDescent="0.3">
      <c r="B56" s="222"/>
      <c r="C56" s="222"/>
      <c r="D56" s="224"/>
      <c r="E56" s="222"/>
      <c r="F56" s="20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2:24" ht="15.75" customHeight="1" x14ac:dyDescent="0.3">
      <c r="B57" s="222"/>
      <c r="C57" s="222"/>
      <c r="D57" s="224"/>
      <c r="E57" s="222"/>
      <c r="F57" s="20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2:24" ht="15.75" customHeight="1" x14ac:dyDescent="0.3">
      <c r="B58" s="222"/>
      <c r="C58" s="222"/>
      <c r="D58" s="224"/>
      <c r="E58" s="222"/>
      <c r="F58" s="20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2:24" ht="15.75" customHeight="1" x14ac:dyDescent="0.3">
      <c r="B59" s="222"/>
      <c r="C59" s="222"/>
      <c r="D59" s="224"/>
      <c r="E59" s="222"/>
      <c r="F59" s="20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2:24" ht="15.75" customHeight="1" x14ac:dyDescent="0.3">
      <c r="B60" s="222"/>
      <c r="C60" s="222"/>
      <c r="D60" s="224"/>
      <c r="E60" s="222"/>
      <c r="F60" s="20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ht="15.75" customHeight="1" x14ac:dyDescent="0.3">
      <c r="B61" s="222"/>
      <c r="C61" s="222"/>
      <c r="D61" s="224"/>
      <c r="E61" s="222"/>
      <c r="F61" s="20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2:24" ht="15.75" customHeight="1" x14ac:dyDescent="0.3">
      <c r="B62" s="222"/>
      <c r="C62" s="222"/>
      <c r="D62" s="224"/>
      <c r="E62" s="222"/>
      <c r="F62" s="20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2:24" ht="15.75" customHeight="1" x14ac:dyDescent="0.3">
      <c r="B63" s="222"/>
      <c r="C63" s="222"/>
      <c r="D63" s="224"/>
      <c r="E63" s="222"/>
      <c r="F63" s="20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2:24" ht="15.75" customHeight="1" x14ac:dyDescent="0.3">
      <c r="B64" s="222"/>
      <c r="C64" s="222"/>
      <c r="D64" s="224"/>
      <c r="E64" s="222"/>
      <c r="F64" s="20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2:24" ht="15.75" customHeight="1" x14ac:dyDescent="0.3">
      <c r="B65" s="222"/>
      <c r="C65" s="222"/>
      <c r="D65" s="224"/>
      <c r="E65" s="222"/>
      <c r="F65" s="20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2:24" ht="15.75" customHeight="1" x14ac:dyDescent="0.3">
      <c r="B66" s="222"/>
      <c r="C66" s="222"/>
      <c r="D66" s="224"/>
      <c r="E66" s="222"/>
      <c r="F66" s="20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2:24" ht="15.75" customHeight="1" x14ac:dyDescent="0.3">
      <c r="B67" s="222"/>
      <c r="C67" s="222"/>
      <c r="D67" s="224"/>
      <c r="E67" s="222"/>
      <c r="F67" s="20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ht="15.75" customHeight="1" x14ac:dyDescent="0.3">
      <c r="B68" s="222"/>
      <c r="C68" s="222"/>
      <c r="D68" s="224"/>
      <c r="E68" s="222"/>
      <c r="F68" s="20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2:24" ht="15.75" customHeight="1" x14ac:dyDescent="0.3">
      <c r="B69" s="222"/>
      <c r="C69" s="222"/>
      <c r="D69" s="224"/>
      <c r="E69" s="222"/>
      <c r="F69" s="20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2:24" ht="15.75" customHeight="1" x14ac:dyDescent="0.3">
      <c r="B70" s="222"/>
      <c r="C70" s="222"/>
      <c r="D70" s="224"/>
      <c r="E70" s="222"/>
      <c r="F70" s="20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2:24" ht="15.75" customHeight="1" x14ac:dyDescent="0.3">
      <c r="B71" s="222"/>
      <c r="C71" s="222"/>
      <c r="D71" s="224"/>
      <c r="E71" s="222"/>
      <c r="F71" s="20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2:24" ht="15.75" customHeight="1" x14ac:dyDescent="0.3">
      <c r="B72" s="222"/>
      <c r="C72" s="222"/>
      <c r="D72" s="224"/>
      <c r="E72" s="222"/>
      <c r="F72" s="20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2:24" ht="15.75" customHeight="1" x14ac:dyDescent="0.3">
      <c r="B73" s="222"/>
      <c r="C73" s="222"/>
      <c r="D73" s="224"/>
      <c r="E73" s="222"/>
      <c r="F73" s="20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2:24" ht="15.75" customHeight="1" x14ac:dyDescent="0.3">
      <c r="B74" s="222"/>
      <c r="C74" s="222"/>
      <c r="D74" s="224"/>
      <c r="E74" s="222"/>
      <c r="F74" s="20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2:24" ht="15.75" customHeight="1" x14ac:dyDescent="0.3">
      <c r="B75" s="222"/>
      <c r="C75" s="222"/>
      <c r="D75" s="224"/>
      <c r="E75" s="222"/>
      <c r="F75" s="20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2:24" ht="15.75" customHeight="1" x14ac:dyDescent="0.3">
      <c r="B76" s="222"/>
      <c r="C76" s="222"/>
      <c r="D76" s="224"/>
      <c r="E76" s="222"/>
      <c r="F76" s="20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2:24" ht="15.75" customHeight="1" x14ac:dyDescent="0.3">
      <c r="B77" s="222"/>
      <c r="C77" s="222"/>
      <c r="D77" s="224"/>
      <c r="E77" s="222"/>
      <c r="F77" s="20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2:24" ht="15.75" customHeight="1" x14ac:dyDescent="0.3">
      <c r="B78" s="222"/>
      <c r="C78" s="222"/>
      <c r="D78" s="224"/>
      <c r="E78" s="222"/>
      <c r="F78" s="20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2:24" ht="15.75" customHeight="1" x14ac:dyDescent="0.3">
      <c r="B79" s="222"/>
      <c r="C79" s="222"/>
      <c r="D79" s="224"/>
      <c r="E79" s="222"/>
      <c r="F79" s="20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2:24" ht="15.75" customHeight="1" x14ac:dyDescent="0.3">
      <c r="B80" s="222"/>
      <c r="C80" s="222"/>
      <c r="D80" s="224"/>
      <c r="E80" s="222"/>
      <c r="F80" s="20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2:24" ht="15.75" customHeight="1" x14ac:dyDescent="0.3">
      <c r="B81" s="222"/>
      <c r="C81" s="222"/>
      <c r="D81" s="224"/>
      <c r="E81" s="222"/>
      <c r="F81" s="20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2:24" ht="15.75" customHeight="1" x14ac:dyDescent="0.3">
      <c r="B82" s="222"/>
      <c r="C82" s="222"/>
      <c r="D82" s="224"/>
      <c r="E82" s="222"/>
      <c r="F82" s="20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2:24" ht="15.75" customHeight="1" x14ac:dyDescent="0.3">
      <c r="B83" s="222"/>
      <c r="C83" s="222"/>
      <c r="D83" s="224"/>
      <c r="E83" s="222"/>
      <c r="F83" s="20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2:24" ht="15.75" customHeight="1" x14ac:dyDescent="0.3">
      <c r="B84" s="222"/>
      <c r="C84" s="222"/>
      <c r="D84" s="224"/>
      <c r="E84" s="222"/>
      <c r="F84" s="20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2:24" ht="15.75" customHeight="1" x14ac:dyDescent="0.3">
      <c r="B85" s="222"/>
      <c r="C85" s="222"/>
      <c r="D85" s="224"/>
      <c r="E85" s="222"/>
      <c r="F85" s="20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2:24" ht="15.75" customHeight="1" x14ac:dyDescent="0.3">
      <c r="B86" s="222"/>
      <c r="C86" s="222"/>
      <c r="D86" s="224"/>
      <c r="E86" s="222"/>
      <c r="F86" s="20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2:24" ht="15.75" customHeight="1" x14ac:dyDescent="0.3">
      <c r="B87" s="222"/>
      <c r="C87" s="222"/>
      <c r="D87" s="224"/>
      <c r="E87" s="222"/>
      <c r="F87" s="20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2:24" ht="15.75" customHeight="1" x14ac:dyDescent="0.3">
      <c r="B88" s="222"/>
      <c r="C88" s="222"/>
      <c r="D88" s="224"/>
      <c r="E88" s="222"/>
      <c r="F88" s="20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2:24" ht="15.75" customHeight="1" x14ac:dyDescent="0.3">
      <c r="B89" s="222"/>
      <c r="C89" s="222"/>
      <c r="D89" s="224"/>
      <c r="E89" s="222"/>
      <c r="F89" s="20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2:24" ht="15.75" customHeight="1" x14ac:dyDescent="0.3">
      <c r="B90" s="222"/>
      <c r="C90" s="222"/>
      <c r="D90" s="224"/>
      <c r="E90" s="222"/>
      <c r="F90" s="20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2:24" ht="15.75" customHeight="1" x14ac:dyDescent="0.3">
      <c r="B91" s="222"/>
      <c r="C91" s="222"/>
      <c r="D91" s="224"/>
      <c r="E91" s="222"/>
      <c r="F91" s="20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2:24" ht="15.75" customHeight="1" x14ac:dyDescent="0.3">
      <c r="B92" s="222"/>
      <c r="C92" s="222"/>
      <c r="D92" s="224"/>
      <c r="E92" s="222"/>
      <c r="F92" s="20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2:24" ht="15.75" customHeight="1" x14ac:dyDescent="0.3">
      <c r="B93" s="222"/>
      <c r="C93" s="222"/>
      <c r="D93" s="224"/>
      <c r="E93" s="222"/>
      <c r="F93" s="20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2:24" ht="15.75" customHeight="1" x14ac:dyDescent="0.3">
      <c r="B94" s="222"/>
      <c r="C94" s="222"/>
      <c r="D94" s="224"/>
      <c r="E94" s="222"/>
      <c r="F94" s="20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2:24" ht="15.75" customHeight="1" x14ac:dyDescent="0.3">
      <c r="B95" s="222"/>
      <c r="C95" s="222"/>
      <c r="D95" s="224"/>
      <c r="E95" s="222"/>
      <c r="F95" s="20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2:24" ht="15.75" customHeight="1" x14ac:dyDescent="0.3">
      <c r="B96" s="222"/>
      <c r="C96" s="222"/>
      <c r="D96" s="224"/>
      <c r="E96" s="222"/>
      <c r="F96" s="20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2:24" ht="15.75" customHeight="1" x14ac:dyDescent="0.3">
      <c r="B97" s="222"/>
      <c r="C97" s="222"/>
      <c r="D97" s="224"/>
      <c r="E97" s="222"/>
      <c r="F97" s="20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2:24" ht="15.75" customHeight="1" x14ac:dyDescent="0.3">
      <c r="B98" s="222"/>
      <c r="C98" s="222"/>
      <c r="D98" s="224"/>
      <c r="E98" s="222"/>
      <c r="F98" s="20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2:24" ht="15.75" customHeight="1" x14ac:dyDescent="0.3">
      <c r="B99" s="222"/>
      <c r="C99" s="222"/>
      <c r="D99" s="224"/>
      <c r="E99" s="222"/>
      <c r="F99" s="20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2:24" ht="15.75" customHeight="1" x14ac:dyDescent="0.3">
      <c r="B100" s="222"/>
      <c r="C100" s="222"/>
      <c r="D100" s="224"/>
      <c r="E100" s="222"/>
      <c r="F100" s="20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2:24" ht="15.75" customHeight="1" x14ac:dyDescent="0.3">
      <c r="B101" s="222"/>
      <c r="C101" s="222"/>
      <c r="D101" s="224"/>
      <c r="E101" s="222"/>
      <c r="F101" s="20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2:24" ht="15.75" customHeight="1" x14ac:dyDescent="0.3">
      <c r="B102" s="222"/>
      <c r="C102" s="222"/>
      <c r="D102" s="224"/>
      <c r="E102" s="222"/>
      <c r="F102" s="20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2:24" ht="15.75" customHeight="1" x14ac:dyDescent="0.3">
      <c r="B103" s="222"/>
      <c r="C103" s="222"/>
      <c r="D103" s="224"/>
      <c r="E103" s="222"/>
      <c r="F103" s="20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2:24" ht="15.75" customHeight="1" x14ac:dyDescent="0.3">
      <c r="B104" s="222"/>
      <c r="C104" s="222"/>
      <c r="D104" s="224"/>
      <c r="E104" s="222"/>
      <c r="F104" s="20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2:24" ht="15.75" customHeight="1" x14ac:dyDescent="0.3">
      <c r="B105" s="222"/>
      <c r="C105" s="222"/>
      <c r="D105" s="224"/>
      <c r="E105" s="222"/>
      <c r="F105" s="20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2:24" ht="15.75" customHeight="1" x14ac:dyDescent="0.3">
      <c r="B106" s="222"/>
      <c r="C106" s="222"/>
      <c r="D106" s="224"/>
      <c r="E106" s="222"/>
      <c r="F106" s="20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2:24" ht="15.75" customHeight="1" x14ac:dyDescent="0.3">
      <c r="B107" s="222"/>
      <c r="C107" s="222"/>
      <c r="D107" s="224"/>
      <c r="E107" s="222"/>
      <c r="F107" s="20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2:24" ht="15.75" customHeight="1" x14ac:dyDescent="0.3">
      <c r="B108" s="222"/>
      <c r="C108" s="222"/>
      <c r="D108" s="224"/>
      <c r="E108" s="222"/>
      <c r="F108" s="20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2:24" ht="15.75" customHeight="1" x14ac:dyDescent="0.3">
      <c r="B109" s="222"/>
      <c r="C109" s="222"/>
      <c r="D109" s="224"/>
      <c r="E109" s="222"/>
      <c r="F109" s="20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2:24" ht="15.75" customHeight="1" x14ac:dyDescent="0.3">
      <c r="B110" s="222"/>
      <c r="C110" s="222"/>
      <c r="D110" s="224"/>
      <c r="E110" s="222"/>
      <c r="F110" s="20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2:24" ht="15.75" customHeight="1" x14ac:dyDescent="0.3">
      <c r="B111" s="222"/>
      <c r="C111" s="222"/>
      <c r="D111" s="224"/>
      <c r="E111" s="222"/>
      <c r="F111" s="20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2:24" ht="15.75" customHeight="1" x14ac:dyDescent="0.3">
      <c r="B112" s="222"/>
      <c r="C112" s="222"/>
      <c r="D112" s="224"/>
      <c r="E112" s="222"/>
      <c r="F112" s="20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2:24" ht="15.75" customHeight="1" x14ac:dyDescent="0.3">
      <c r="B113" s="222"/>
      <c r="C113" s="222"/>
      <c r="D113" s="224"/>
      <c r="E113" s="222"/>
      <c r="F113" s="20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2:24" ht="15.75" customHeight="1" x14ac:dyDescent="0.3">
      <c r="B114" s="222"/>
      <c r="C114" s="222"/>
      <c r="D114" s="224"/>
      <c r="E114" s="222"/>
      <c r="F114" s="20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2:24" ht="15.75" customHeight="1" x14ac:dyDescent="0.3">
      <c r="B115" s="222"/>
      <c r="C115" s="222"/>
      <c r="D115" s="224"/>
      <c r="E115" s="222"/>
      <c r="F115" s="20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2:24" ht="15.75" customHeight="1" x14ac:dyDescent="0.3">
      <c r="B116" s="222"/>
      <c r="C116" s="222"/>
      <c r="D116" s="224"/>
      <c r="E116" s="222"/>
      <c r="F116" s="20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2:24" ht="15.75" customHeight="1" x14ac:dyDescent="0.3">
      <c r="B117" s="222"/>
      <c r="C117" s="222"/>
      <c r="D117" s="224"/>
      <c r="E117" s="222"/>
      <c r="F117" s="20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2:24" ht="15.75" customHeight="1" x14ac:dyDescent="0.3">
      <c r="B118" s="222"/>
      <c r="C118" s="222"/>
      <c r="D118" s="224"/>
      <c r="E118" s="222"/>
      <c r="F118" s="20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2:24" ht="15.75" customHeight="1" x14ac:dyDescent="0.3">
      <c r="B119" s="222"/>
      <c r="C119" s="222"/>
      <c r="D119" s="224"/>
      <c r="E119" s="222"/>
      <c r="F119" s="20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2:24" ht="15.75" customHeight="1" x14ac:dyDescent="0.3">
      <c r="B120" s="222"/>
      <c r="C120" s="222"/>
      <c r="D120" s="224"/>
      <c r="E120" s="222"/>
      <c r="F120" s="20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2:24" ht="15.75" customHeight="1" x14ac:dyDescent="0.3">
      <c r="B121" s="222"/>
      <c r="C121" s="222"/>
      <c r="D121" s="224"/>
      <c r="E121" s="222"/>
      <c r="F121" s="20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2:24" ht="15.75" customHeight="1" x14ac:dyDescent="0.3">
      <c r="B122" s="222"/>
      <c r="C122" s="222"/>
      <c r="D122" s="224"/>
      <c r="E122" s="222"/>
      <c r="F122" s="20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2:24" ht="15.75" customHeight="1" x14ac:dyDescent="0.3">
      <c r="B123" s="222"/>
      <c r="C123" s="222"/>
      <c r="D123" s="224"/>
      <c r="E123" s="222"/>
      <c r="F123" s="20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2:24" ht="15.75" customHeight="1" x14ac:dyDescent="0.3">
      <c r="B124" s="222"/>
      <c r="C124" s="222"/>
      <c r="D124" s="224"/>
      <c r="E124" s="222"/>
      <c r="F124" s="20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2:24" ht="15.75" customHeight="1" x14ac:dyDescent="0.3">
      <c r="B125" s="222"/>
      <c r="C125" s="222"/>
      <c r="D125" s="224"/>
      <c r="E125" s="222"/>
      <c r="F125" s="20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2:24" ht="15.75" customHeight="1" x14ac:dyDescent="0.3">
      <c r="B126" s="222"/>
      <c r="C126" s="222"/>
      <c r="D126" s="224"/>
      <c r="E126" s="222"/>
      <c r="F126" s="20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2:24" ht="15.75" customHeight="1" x14ac:dyDescent="0.3">
      <c r="B127" s="222"/>
      <c r="C127" s="222"/>
      <c r="D127" s="224"/>
      <c r="E127" s="222"/>
      <c r="F127" s="20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2:24" ht="15.75" customHeight="1" x14ac:dyDescent="0.3">
      <c r="B128" s="222"/>
      <c r="C128" s="222"/>
      <c r="D128" s="224"/>
      <c r="E128" s="222"/>
      <c r="F128" s="20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2:24" ht="15.75" customHeight="1" x14ac:dyDescent="0.3">
      <c r="B129" s="222"/>
      <c r="C129" s="222"/>
      <c r="D129" s="224"/>
      <c r="E129" s="222"/>
      <c r="F129" s="20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2:24" ht="15.75" customHeight="1" x14ac:dyDescent="0.3">
      <c r="B130" s="222"/>
      <c r="C130" s="222"/>
      <c r="D130" s="224"/>
      <c r="E130" s="222"/>
      <c r="F130" s="20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2:24" ht="15.75" customHeight="1" x14ac:dyDescent="0.3">
      <c r="B131" s="222"/>
      <c r="C131" s="222"/>
      <c r="D131" s="224"/>
      <c r="E131" s="222"/>
      <c r="F131" s="20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2:24" ht="15.75" customHeight="1" x14ac:dyDescent="0.3">
      <c r="B132" s="222"/>
      <c r="C132" s="222"/>
      <c r="D132" s="224"/>
      <c r="E132" s="222"/>
      <c r="F132" s="20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2:24" ht="15.75" customHeight="1" x14ac:dyDescent="0.3">
      <c r="B133" s="222"/>
      <c r="C133" s="222"/>
      <c r="D133" s="224"/>
      <c r="E133" s="222"/>
      <c r="F133" s="20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2:24" ht="15.75" customHeight="1" x14ac:dyDescent="0.3">
      <c r="B134" s="222"/>
      <c r="C134" s="222"/>
      <c r="D134" s="224"/>
      <c r="E134" s="222"/>
      <c r="F134" s="20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2:24" ht="15.75" customHeight="1" x14ac:dyDescent="0.3">
      <c r="B135" s="222"/>
      <c r="C135" s="222"/>
      <c r="D135" s="224"/>
      <c r="E135" s="222"/>
      <c r="F135" s="20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2:24" ht="15.75" customHeight="1" x14ac:dyDescent="0.3">
      <c r="B136" s="222"/>
      <c r="C136" s="222"/>
      <c r="D136" s="224"/>
      <c r="E136" s="222"/>
      <c r="F136" s="20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2:24" ht="15.75" customHeight="1" x14ac:dyDescent="0.3">
      <c r="B137" s="222"/>
      <c r="C137" s="222"/>
      <c r="D137" s="224"/>
      <c r="E137" s="222"/>
      <c r="F137" s="20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2:24" ht="15.75" customHeight="1" x14ac:dyDescent="0.3">
      <c r="B138" s="222"/>
      <c r="C138" s="222"/>
      <c r="D138" s="224"/>
      <c r="E138" s="222"/>
      <c r="F138" s="20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2:24" ht="15.75" customHeight="1" x14ac:dyDescent="0.3">
      <c r="B139" s="222"/>
      <c r="C139" s="222"/>
      <c r="D139" s="224"/>
      <c r="E139" s="222"/>
      <c r="F139" s="20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2:24" ht="15.75" customHeight="1" x14ac:dyDescent="0.3">
      <c r="B140" s="225"/>
      <c r="C140" s="225"/>
      <c r="D140" s="226"/>
      <c r="E140" s="22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2:24" ht="15.75" customHeight="1" x14ac:dyDescent="0.3">
      <c r="B141" s="225"/>
      <c r="C141" s="225"/>
      <c r="D141" s="226"/>
      <c r="E141" s="22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2:24" ht="15.75" customHeight="1" x14ac:dyDescent="0.3">
      <c r="B142" s="225"/>
      <c r="C142" s="225"/>
      <c r="D142" s="226"/>
      <c r="E142" s="22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2:24" ht="15.75" customHeight="1" x14ac:dyDescent="0.3">
      <c r="B143" s="225"/>
      <c r="C143" s="225"/>
      <c r="D143" s="226"/>
      <c r="E143" s="22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2:24" ht="15.75" customHeight="1" x14ac:dyDescent="0.3">
      <c r="B144" s="225"/>
      <c r="C144" s="225"/>
      <c r="D144" s="226"/>
      <c r="E144" s="22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2:24" ht="15.75" customHeight="1" x14ac:dyDescent="0.3">
      <c r="B145" s="225"/>
      <c r="C145" s="225"/>
      <c r="D145" s="226"/>
      <c r="E145" s="22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2:24" ht="15.75" customHeight="1" x14ac:dyDescent="0.3">
      <c r="B146" s="225"/>
      <c r="C146" s="225"/>
      <c r="D146" s="226"/>
      <c r="E146" s="22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2:24" ht="15.75" customHeight="1" x14ac:dyDescent="0.3">
      <c r="B147" s="225"/>
      <c r="C147" s="225"/>
      <c r="D147" s="226"/>
      <c r="E147" s="22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2:24" ht="15.75" customHeight="1" x14ac:dyDescent="0.3">
      <c r="B148" s="225"/>
      <c r="C148" s="225"/>
      <c r="D148" s="226"/>
      <c r="E148" s="22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2:24" ht="15.75" customHeight="1" x14ac:dyDescent="0.3">
      <c r="B149" s="225"/>
      <c r="C149" s="225"/>
      <c r="D149" s="226"/>
      <c r="E149" s="22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2:24" ht="15.75" customHeight="1" x14ac:dyDescent="0.3">
      <c r="B150" s="225"/>
      <c r="C150" s="225"/>
      <c r="D150" s="226"/>
      <c r="E150" s="22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2:24" ht="15.75" customHeight="1" x14ac:dyDescent="0.3">
      <c r="B151" s="225"/>
      <c r="C151" s="225"/>
      <c r="D151" s="226"/>
      <c r="E151" s="22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2:24" ht="15.75" customHeight="1" x14ac:dyDescent="0.3">
      <c r="B152" s="225"/>
      <c r="C152" s="225"/>
      <c r="D152" s="226"/>
      <c r="E152" s="22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2:24" ht="15.75" customHeight="1" x14ac:dyDescent="0.3">
      <c r="B153" s="225"/>
      <c r="C153" s="225"/>
      <c r="D153" s="226"/>
      <c r="E153" s="22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2:24" ht="15.75" customHeight="1" x14ac:dyDescent="0.3">
      <c r="B154" s="225"/>
      <c r="C154" s="225"/>
      <c r="D154" s="226"/>
      <c r="E154" s="22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2:24" ht="15.75" customHeight="1" x14ac:dyDescent="0.3">
      <c r="B155" s="225"/>
      <c r="C155" s="225"/>
      <c r="D155" s="226"/>
      <c r="E155" s="22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2:24" ht="15.75" customHeight="1" x14ac:dyDescent="0.3">
      <c r="B156" s="225"/>
      <c r="C156" s="225"/>
      <c r="D156" s="226"/>
      <c r="E156" s="22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2:24" ht="15.75" customHeight="1" x14ac:dyDescent="0.3">
      <c r="B157" s="225"/>
      <c r="C157" s="225"/>
      <c r="D157" s="226"/>
      <c r="E157" s="22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2:24" ht="15.75" customHeight="1" x14ac:dyDescent="0.3">
      <c r="B158" s="225"/>
      <c r="C158" s="225"/>
      <c r="D158" s="226"/>
      <c r="E158" s="22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2:24" ht="15.75" customHeight="1" x14ac:dyDescent="0.3">
      <c r="B159" s="225"/>
      <c r="C159" s="225"/>
      <c r="D159" s="226"/>
      <c r="E159" s="22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2:24" ht="15.75" customHeight="1" x14ac:dyDescent="0.3">
      <c r="B160" s="225"/>
      <c r="C160" s="225"/>
      <c r="D160" s="226"/>
      <c r="E160" s="22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2:24" ht="15.75" customHeight="1" x14ac:dyDescent="0.3">
      <c r="B161" s="225"/>
      <c r="C161" s="225"/>
      <c r="D161" s="226"/>
      <c r="E161" s="22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2:24" ht="15.75" customHeight="1" x14ac:dyDescent="0.3">
      <c r="B162" s="225"/>
      <c r="C162" s="225"/>
      <c r="D162" s="226"/>
      <c r="E162" s="22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2:24" ht="15.75" customHeight="1" x14ac:dyDescent="0.3">
      <c r="B163" s="225"/>
      <c r="C163" s="225"/>
      <c r="D163" s="226"/>
      <c r="E163" s="22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2:24" ht="15.75" customHeight="1" x14ac:dyDescent="0.3">
      <c r="B164" s="225"/>
      <c r="C164" s="225"/>
      <c r="D164" s="226"/>
      <c r="E164" s="22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2:24" ht="15.75" customHeight="1" x14ac:dyDescent="0.3">
      <c r="B165" s="225"/>
      <c r="C165" s="225"/>
      <c r="D165" s="226"/>
      <c r="E165" s="22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2:24" ht="15.75" customHeight="1" x14ac:dyDescent="0.3">
      <c r="B166" s="225"/>
      <c r="C166" s="225"/>
      <c r="D166" s="226"/>
      <c r="E166" s="22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2:24" ht="15.75" customHeight="1" x14ac:dyDescent="0.3">
      <c r="B167" s="225"/>
      <c r="C167" s="225"/>
      <c r="D167" s="226"/>
      <c r="E167" s="22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2:24" ht="15.75" customHeight="1" x14ac:dyDescent="0.3">
      <c r="B168" s="225"/>
      <c r="C168" s="225"/>
      <c r="D168" s="226"/>
      <c r="E168" s="22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2:24" ht="15.75" customHeight="1" x14ac:dyDescent="0.3">
      <c r="B169" s="225"/>
      <c r="C169" s="225"/>
      <c r="D169" s="226"/>
      <c r="E169" s="22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2:24" ht="15.75" customHeight="1" x14ac:dyDescent="0.3">
      <c r="B170" s="225"/>
      <c r="C170" s="225"/>
      <c r="D170" s="226"/>
      <c r="E170" s="22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2:24" ht="15.75" customHeight="1" x14ac:dyDescent="0.3">
      <c r="B171" s="225"/>
      <c r="C171" s="225"/>
      <c r="D171" s="226"/>
      <c r="E171" s="22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2:24" ht="15.75" customHeight="1" x14ac:dyDescent="0.3">
      <c r="B172" s="225"/>
      <c r="C172" s="225"/>
      <c r="D172" s="226"/>
      <c r="E172" s="22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2:24" ht="15.75" customHeight="1" x14ac:dyDescent="0.3">
      <c r="B173" s="225"/>
      <c r="C173" s="225"/>
      <c r="D173" s="226"/>
      <c r="E173" s="22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2:24" ht="15.75" customHeight="1" x14ac:dyDescent="0.3">
      <c r="B174" s="225"/>
      <c r="C174" s="225"/>
      <c r="D174" s="226"/>
      <c r="E174" s="22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2:24" ht="15.75" customHeight="1" x14ac:dyDescent="0.3">
      <c r="B175" s="225"/>
      <c r="C175" s="225"/>
      <c r="D175" s="226"/>
      <c r="E175" s="22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2:24" ht="15.75" customHeight="1" x14ac:dyDescent="0.3">
      <c r="B176" s="225"/>
      <c r="C176" s="225"/>
      <c r="D176" s="226"/>
      <c r="E176" s="22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2:24" ht="15.75" customHeight="1" x14ac:dyDescent="0.3">
      <c r="B177" s="225"/>
      <c r="C177" s="225"/>
      <c r="D177" s="226"/>
      <c r="E177" s="22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2:24" ht="15.75" customHeight="1" x14ac:dyDescent="0.3">
      <c r="B178" s="225"/>
      <c r="C178" s="225"/>
      <c r="D178" s="226"/>
      <c r="E178" s="22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2:24" ht="15.75" customHeight="1" x14ac:dyDescent="0.3">
      <c r="B179" s="225"/>
      <c r="C179" s="225"/>
      <c r="D179" s="226"/>
      <c r="E179" s="22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2:24" ht="15.75" customHeight="1" x14ac:dyDescent="0.3">
      <c r="B180" s="225"/>
      <c r="C180" s="225"/>
      <c r="D180" s="226"/>
      <c r="E180" s="22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2:24" ht="15.75" customHeight="1" x14ac:dyDescent="0.3">
      <c r="B181" s="225"/>
      <c r="C181" s="225"/>
      <c r="D181" s="226"/>
      <c r="E181" s="22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2:24" ht="15.75" customHeight="1" x14ac:dyDescent="0.3">
      <c r="B182" s="225"/>
      <c r="C182" s="225"/>
      <c r="D182" s="226"/>
      <c r="E182" s="22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2:24" ht="15.75" customHeight="1" x14ac:dyDescent="0.3">
      <c r="B183" s="225"/>
      <c r="C183" s="225"/>
      <c r="D183" s="226"/>
      <c r="E183" s="22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2:24" ht="15.75" customHeight="1" x14ac:dyDescent="0.3">
      <c r="B184" s="225"/>
      <c r="C184" s="225"/>
      <c r="D184" s="226"/>
      <c r="E184" s="22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2:24" ht="15.75" customHeight="1" x14ac:dyDescent="0.3">
      <c r="B185" s="225"/>
      <c r="C185" s="225"/>
      <c r="D185" s="226"/>
      <c r="E185" s="22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2:24" ht="15.75" customHeight="1" x14ac:dyDescent="0.3">
      <c r="B186" s="225"/>
      <c r="C186" s="225"/>
      <c r="D186" s="226"/>
      <c r="E186" s="22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2:24" ht="15.75" customHeight="1" x14ac:dyDescent="0.3">
      <c r="B187" s="225"/>
      <c r="C187" s="225"/>
      <c r="D187" s="226"/>
      <c r="E187" s="22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2:24" ht="15.75" customHeight="1" x14ac:dyDescent="0.3">
      <c r="B188" s="225"/>
      <c r="C188" s="225"/>
      <c r="D188" s="226"/>
      <c r="E188" s="22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2:24" ht="15.75" customHeight="1" x14ac:dyDescent="0.3">
      <c r="B189" s="225"/>
      <c r="C189" s="225"/>
      <c r="D189" s="226"/>
      <c r="E189" s="22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2:24" ht="15.75" customHeight="1" x14ac:dyDescent="0.3">
      <c r="B190" s="225"/>
      <c r="C190" s="225"/>
      <c r="D190" s="226"/>
      <c r="E190" s="22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2:24" ht="15.75" customHeight="1" x14ac:dyDescent="0.3">
      <c r="B191" s="225"/>
      <c r="C191" s="225"/>
      <c r="D191" s="226"/>
      <c r="E191" s="22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2:24" ht="15.75" customHeight="1" x14ac:dyDescent="0.3">
      <c r="B192" s="225"/>
      <c r="C192" s="225"/>
      <c r="D192" s="226"/>
      <c r="E192" s="22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2:24" ht="15.75" customHeight="1" x14ac:dyDescent="0.3">
      <c r="B193" s="225"/>
      <c r="C193" s="225"/>
      <c r="D193" s="226"/>
      <c r="E193" s="22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2:24" ht="15.75" customHeight="1" x14ac:dyDescent="0.3">
      <c r="B194" s="225"/>
      <c r="C194" s="225"/>
      <c r="D194" s="226"/>
      <c r="E194" s="22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2:24" ht="15.75" customHeight="1" x14ac:dyDescent="0.3">
      <c r="B195" s="225"/>
      <c r="C195" s="225"/>
      <c r="D195" s="226"/>
      <c r="E195" s="22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2:24" ht="15.75" customHeight="1" x14ac:dyDescent="0.3">
      <c r="B196" s="225"/>
      <c r="C196" s="225"/>
      <c r="D196" s="226"/>
      <c r="E196" s="22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2:24" ht="15.75" customHeight="1" x14ac:dyDescent="0.3">
      <c r="B197" s="225"/>
      <c r="C197" s="225"/>
      <c r="D197" s="226"/>
      <c r="E197" s="22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2:24" ht="15.75" customHeight="1" x14ac:dyDescent="0.3">
      <c r="B198" s="225"/>
      <c r="C198" s="225"/>
      <c r="D198" s="226"/>
      <c r="E198" s="22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2:24" ht="15.75" customHeight="1" x14ac:dyDescent="0.3">
      <c r="B199" s="225"/>
      <c r="C199" s="225"/>
      <c r="D199" s="226"/>
      <c r="E199" s="22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2:24" ht="15.75" customHeight="1" x14ac:dyDescent="0.3">
      <c r="B200" s="225"/>
      <c r="C200" s="225"/>
      <c r="D200" s="226"/>
      <c r="E200" s="22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2:24" ht="15.75" customHeight="1" x14ac:dyDescent="0.3">
      <c r="B201" s="225"/>
      <c r="C201" s="225"/>
      <c r="D201" s="226"/>
      <c r="E201" s="22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2:24" ht="15.75" customHeight="1" x14ac:dyDescent="0.3">
      <c r="B202" s="225"/>
      <c r="C202" s="225"/>
      <c r="D202" s="226"/>
      <c r="E202" s="22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2:24" ht="15.75" customHeight="1" x14ac:dyDescent="0.3">
      <c r="B203" s="225"/>
      <c r="C203" s="225"/>
      <c r="D203" s="226"/>
      <c r="E203" s="22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2:24" ht="15.75" customHeight="1" x14ac:dyDescent="0.3">
      <c r="B204" s="225"/>
      <c r="C204" s="225"/>
      <c r="D204" s="226"/>
      <c r="E204" s="22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2:24" ht="15.75" customHeight="1" x14ac:dyDescent="0.3">
      <c r="B205" s="225"/>
      <c r="C205" s="225"/>
      <c r="D205" s="226"/>
      <c r="E205" s="22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2:24" ht="15.75" customHeight="1" x14ac:dyDescent="0.3">
      <c r="B206" s="225"/>
      <c r="C206" s="225"/>
      <c r="D206" s="226"/>
      <c r="E206" s="22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2:24" ht="15.75" customHeight="1" x14ac:dyDescent="0.3">
      <c r="B207" s="225"/>
      <c r="C207" s="225"/>
      <c r="D207" s="226"/>
      <c r="E207" s="22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2:24" ht="15.75" customHeight="1" x14ac:dyDescent="0.3">
      <c r="B208" s="225"/>
      <c r="C208" s="225"/>
      <c r="D208" s="226"/>
      <c r="E208" s="22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2:24" ht="15.75" customHeight="1" x14ac:dyDescent="0.3">
      <c r="B209" s="225"/>
      <c r="C209" s="225"/>
      <c r="D209" s="226"/>
      <c r="E209" s="22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2:24" ht="15.75" customHeight="1" x14ac:dyDescent="0.3">
      <c r="B210" s="225"/>
      <c r="C210" s="225"/>
      <c r="D210" s="226"/>
      <c r="E210" s="22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2:24" ht="15.75" customHeight="1" x14ac:dyDescent="0.3">
      <c r="B211" s="225"/>
      <c r="C211" s="225"/>
      <c r="D211" s="226"/>
      <c r="E211" s="22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2:24" ht="15.75" customHeight="1" x14ac:dyDescent="0.3">
      <c r="B212" s="225"/>
      <c r="C212" s="225"/>
      <c r="D212" s="226"/>
      <c r="E212" s="22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2:24" ht="15.75" customHeight="1" x14ac:dyDescent="0.3">
      <c r="B213" s="225"/>
      <c r="C213" s="225"/>
      <c r="D213" s="226"/>
      <c r="E213" s="22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2:24" ht="15.75" customHeight="1" x14ac:dyDescent="0.3">
      <c r="B214" s="225"/>
      <c r="C214" s="225"/>
      <c r="D214" s="226"/>
      <c r="E214" s="22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2:24" ht="15.75" customHeight="1" x14ac:dyDescent="0.3">
      <c r="B215" s="225"/>
      <c r="C215" s="225"/>
      <c r="D215" s="226"/>
      <c r="E215" s="22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2:24" ht="15.75" customHeight="1" x14ac:dyDescent="0.3">
      <c r="B216" s="225"/>
      <c r="C216" s="225"/>
      <c r="D216" s="226"/>
      <c r="E216" s="22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2:24" ht="15.75" customHeight="1" x14ac:dyDescent="0.3">
      <c r="B217" s="225"/>
      <c r="C217" s="225"/>
      <c r="D217" s="226"/>
      <c r="E217" s="22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2:24" ht="15.75" customHeight="1" x14ac:dyDescent="0.3">
      <c r="B218" s="225"/>
      <c r="C218" s="225"/>
      <c r="D218" s="226"/>
      <c r="E218" s="22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2:24" ht="15.75" customHeight="1" x14ac:dyDescent="0.3">
      <c r="B219" s="225"/>
      <c r="C219" s="225"/>
      <c r="D219" s="226"/>
      <c r="E219" s="22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2:24" ht="15.75" customHeight="1" x14ac:dyDescent="0.3">
      <c r="B220" s="225"/>
      <c r="C220" s="225"/>
      <c r="D220" s="226"/>
      <c r="E220" s="22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2:24" ht="15.75" customHeight="1" x14ac:dyDescent="0.3">
      <c r="B221" s="225"/>
      <c r="C221" s="225"/>
      <c r="D221" s="226"/>
      <c r="E221" s="22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2:24" ht="15.75" customHeight="1" x14ac:dyDescent="0.3">
      <c r="B222" s="225"/>
      <c r="C222" s="225"/>
      <c r="D222" s="226"/>
      <c r="E222" s="22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2:24" ht="15.75" customHeight="1" x14ac:dyDescent="0.3">
      <c r="B223" s="225"/>
      <c r="C223" s="225"/>
      <c r="D223" s="226"/>
      <c r="E223" s="22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2:24" ht="15.75" customHeight="1" x14ac:dyDescent="0.3">
      <c r="B224" s="225"/>
      <c r="C224" s="225"/>
      <c r="D224" s="226"/>
      <c r="E224" s="22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2:24" ht="15.75" customHeight="1" x14ac:dyDescent="0.3">
      <c r="B225" s="225"/>
      <c r="C225" s="225"/>
      <c r="D225" s="226"/>
      <c r="E225" s="22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2:24" ht="15.75" customHeight="1" x14ac:dyDescent="0.3">
      <c r="B226" s="225"/>
      <c r="C226" s="225"/>
      <c r="D226" s="226"/>
      <c r="E226" s="22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2:24" ht="15.75" customHeight="1" x14ac:dyDescent="0.3">
      <c r="B227" s="225"/>
      <c r="C227" s="225"/>
      <c r="D227" s="226"/>
      <c r="E227" s="22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2:24" ht="15.75" customHeight="1" x14ac:dyDescent="0.3">
      <c r="B228" s="225"/>
      <c r="C228" s="225"/>
      <c r="D228" s="226"/>
      <c r="E228" s="22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2:24" ht="15.75" customHeight="1" x14ac:dyDescent="0.3">
      <c r="B229" s="225"/>
      <c r="C229" s="225"/>
      <c r="D229" s="226"/>
      <c r="E229" s="22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2:24" ht="15.75" customHeight="1" x14ac:dyDescent="0.3">
      <c r="B230" s="225"/>
      <c r="C230" s="225"/>
      <c r="D230" s="226"/>
      <c r="E230" s="22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2:24" ht="15.75" customHeight="1" x14ac:dyDescent="0.3">
      <c r="B231" s="225"/>
      <c r="C231" s="225"/>
      <c r="D231" s="226"/>
      <c r="E231" s="22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2:24" ht="15.75" customHeight="1" x14ac:dyDescent="0.3">
      <c r="B232" s="225"/>
      <c r="C232" s="225"/>
      <c r="D232" s="226"/>
      <c r="E232" s="22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2:24" ht="15.75" customHeight="1" x14ac:dyDescent="0.3">
      <c r="B233" s="225"/>
      <c r="C233" s="225"/>
      <c r="D233" s="226"/>
      <c r="E233" s="22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2:24" ht="15.75" customHeight="1" x14ac:dyDescent="0.3">
      <c r="B234" s="225"/>
      <c r="C234" s="225"/>
      <c r="D234" s="226"/>
      <c r="E234" s="22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2:24" ht="15.75" customHeight="1" x14ac:dyDescent="0.3">
      <c r="B235" s="225"/>
      <c r="C235" s="225"/>
      <c r="D235" s="226"/>
      <c r="E235" s="22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2:24" ht="15.75" customHeight="1" x14ac:dyDescent="0.3">
      <c r="B236" s="225"/>
      <c r="C236" s="225"/>
      <c r="D236" s="226"/>
      <c r="E236" s="22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2:24" ht="15.75" customHeight="1" x14ac:dyDescent="0.3">
      <c r="B237" s="225"/>
      <c r="C237" s="225"/>
      <c r="D237" s="226"/>
      <c r="E237" s="22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2:24" ht="15.75" customHeight="1" x14ac:dyDescent="0.3">
      <c r="B238" s="225"/>
      <c r="C238" s="225"/>
      <c r="D238" s="226"/>
      <c r="E238" s="22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2:24" ht="15.75" customHeight="1" x14ac:dyDescent="0.3">
      <c r="B239" s="225"/>
      <c r="C239" s="225"/>
      <c r="D239" s="226"/>
      <c r="E239" s="22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2:24" ht="15.75" customHeight="1" x14ac:dyDescent="0.3">
      <c r="B240" s="225"/>
      <c r="C240" s="225"/>
      <c r="D240" s="226"/>
      <c r="E240" s="22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2:24" ht="15.75" customHeight="1" x14ac:dyDescent="0.3">
      <c r="B241" s="225"/>
      <c r="C241" s="225"/>
      <c r="D241" s="226"/>
      <c r="E241" s="22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2:24" ht="15.75" customHeight="1" x14ac:dyDescent="0.3">
      <c r="B242" s="225"/>
      <c r="C242" s="225"/>
      <c r="D242" s="226"/>
      <c r="E242" s="22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2:24" ht="15.75" customHeight="1" x14ac:dyDescent="0.3">
      <c r="B243" s="225"/>
      <c r="C243" s="225"/>
      <c r="D243" s="226"/>
      <c r="E243" s="22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2:24" ht="15.75" customHeight="1" x14ac:dyDescent="0.3">
      <c r="B244" s="225"/>
      <c r="C244" s="225"/>
      <c r="D244" s="226"/>
      <c r="E244" s="22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2:24" ht="15.75" customHeight="1" x14ac:dyDescent="0.3">
      <c r="B245" s="225"/>
      <c r="C245" s="225"/>
      <c r="D245" s="226"/>
      <c r="E245" s="22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2:24" ht="15.75" customHeight="1" x14ac:dyDescent="0.3">
      <c r="B246" s="3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2:24" ht="15.75" customHeight="1" x14ac:dyDescent="0.3">
      <c r="B247" s="3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2:24" ht="15.75" customHeight="1" x14ac:dyDescent="0.3">
      <c r="B248" s="3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2:24" ht="15.75" customHeight="1" x14ac:dyDescent="0.3">
      <c r="B249" s="3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2:24" ht="15.75" customHeight="1" x14ac:dyDescent="0.3">
      <c r="B250" s="3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2:24" ht="15.75" customHeight="1" x14ac:dyDescent="0.3">
      <c r="B251" s="3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2:24" ht="15.75" customHeight="1" x14ac:dyDescent="0.3">
      <c r="B252" s="3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2:24" ht="15.75" customHeight="1" x14ac:dyDescent="0.3">
      <c r="B253" s="3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2:24" ht="15.75" customHeight="1" x14ac:dyDescent="0.3">
      <c r="B254" s="3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2:24" ht="15.75" customHeight="1" x14ac:dyDescent="0.3">
      <c r="B255" s="3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2:24" ht="15.75" customHeight="1" x14ac:dyDescent="0.3">
      <c r="B256" s="3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2:24" ht="15.75" customHeight="1" x14ac:dyDescent="0.3">
      <c r="B257" s="3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2:24" ht="15.75" customHeight="1" x14ac:dyDescent="0.3">
      <c r="B258" s="3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2:24" ht="15.75" customHeight="1" x14ac:dyDescent="0.3">
      <c r="B259" s="3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2:24" ht="15.75" customHeight="1" x14ac:dyDescent="0.3">
      <c r="B260" s="3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2:24" ht="15.75" customHeight="1" x14ac:dyDescent="0.3">
      <c r="B261" s="3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2:24" ht="15.75" customHeight="1" x14ac:dyDescent="0.3">
      <c r="B262" s="3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2:24" ht="15.75" customHeight="1" x14ac:dyDescent="0.3">
      <c r="B263" s="3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2:24" ht="15.75" customHeight="1" x14ac:dyDescent="0.3">
      <c r="B264" s="3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2:24" ht="15.75" customHeight="1" x14ac:dyDescent="0.3">
      <c r="B265" s="3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2:24" ht="15.75" customHeight="1" x14ac:dyDescent="0.3">
      <c r="B266" s="3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2:24" ht="15.75" customHeight="1" x14ac:dyDescent="0.3">
      <c r="B267" s="3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2:24" ht="15.75" customHeight="1" x14ac:dyDescent="0.3">
      <c r="B268" s="3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2:24" ht="15.75" customHeight="1" x14ac:dyDescent="0.3">
      <c r="B269" s="3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2:24" ht="15.75" customHeight="1" x14ac:dyDescent="0.3">
      <c r="B270" s="3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2:24" ht="15.75" customHeight="1" x14ac:dyDescent="0.3">
      <c r="B271" s="3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2:24" ht="15.75" customHeight="1" x14ac:dyDescent="0.3">
      <c r="B272" s="3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2:24" ht="15.75" customHeight="1" x14ac:dyDescent="0.3">
      <c r="B273" s="3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2:24" ht="15.75" customHeight="1" x14ac:dyDescent="0.3">
      <c r="B274" s="3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2:24" ht="15.75" customHeight="1" x14ac:dyDescent="0.3">
      <c r="B275" s="3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2:24" ht="15.75" customHeight="1" x14ac:dyDescent="0.3">
      <c r="B276" s="3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2:24" ht="15.75" customHeight="1" x14ac:dyDescent="0.3">
      <c r="B277" s="3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2:24" ht="15.75" customHeight="1" x14ac:dyDescent="0.3">
      <c r="B278" s="3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2:24" ht="15.75" customHeight="1" x14ac:dyDescent="0.3">
      <c r="B279" s="3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2:24" ht="15.75" customHeight="1" x14ac:dyDescent="0.3">
      <c r="B280" s="3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2:24" ht="15.75" customHeight="1" x14ac:dyDescent="0.3">
      <c r="B281" s="3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2:24" ht="15.75" customHeight="1" x14ac:dyDescent="0.3">
      <c r="B282" s="3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2:24" ht="15.75" customHeight="1" x14ac:dyDescent="0.3">
      <c r="B283" s="3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2:24" ht="15.75" customHeight="1" x14ac:dyDescent="0.3">
      <c r="B284" s="3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2:24" ht="15.75" customHeight="1" x14ac:dyDescent="0.3">
      <c r="B285" s="3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2:24" ht="15.75" customHeight="1" x14ac:dyDescent="0.3">
      <c r="B286" s="3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2:24" ht="15.75" customHeight="1" x14ac:dyDescent="0.3">
      <c r="B287" s="3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2:24" ht="15.75" customHeight="1" x14ac:dyDescent="0.3">
      <c r="B288" s="3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2:24" ht="15.75" customHeight="1" x14ac:dyDescent="0.3">
      <c r="B289" s="3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2:24" ht="15.75" customHeight="1" x14ac:dyDescent="0.3">
      <c r="B290" s="3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2:24" ht="15.75" customHeight="1" x14ac:dyDescent="0.3">
      <c r="B291" s="3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2:24" ht="15.75" customHeight="1" x14ac:dyDescent="0.3">
      <c r="B292" s="3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2:24" ht="15.75" customHeight="1" x14ac:dyDescent="0.3">
      <c r="B293" s="3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2:24" ht="15.75" customHeight="1" x14ac:dyDescent="0.3">
      <c r="B294" s="3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2:24" ht="15.75" customHeight="1" x14ac:dyDescent="0.3">
      <c r="B295" s="3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2:24" ht="15.75" customHeight="1" x14ac:dyDescent="0.3">
      <c r="B296" s="3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2:24" ht="15.75" customHeight="1" x14ac:dyDescent="0.3">
      <c r="B297" s="3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2:24" ht="15.75" customHeight="1" x14ac:dyDescent="0.3">
      <c r="B298" s="3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2:24" ht="15.75" customHeight="1" x14ac:dyDescent="0.3">
      <c r="B299" s="3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2:24" ht="15.75" customHeight="1" x14ac:dyDescent="0.3">
      <c r="B300" s="3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2:24" ht="15.75" customHeight="1" x14ac:dyDescent="0.3">
      <c r="B301" s="3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2:24" ht="15.75" customHeight="1" x14ac:dyDescent="0.3">
      <c r="B302" s="3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2:24" ht="15.75" customHeight="1" x14ac:dyDescent="0.3">
      <c r="B303" s="3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2:24" ht="15.75" customHeight="1" x14ac:dyDescent="0.3">
      <c r="B304" s="3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2:24" ht="15.75" customHeight="1" x14ac:dyDescent="0.3">
      <c r="B305" s="3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2:24" ht="15.75" customHeight="1" x14ac:dyDescent="0.3">
      <c r="B306" s="3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2:24" ht="15.75" customHeight="1" x14ac:dyDescent="0.3">
      <c r="B307" s="3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2:24" ht="15.75" customHeight="1" x14ac:dyDescent="0.3">
      <c r="B308" s="3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2:24" ht="15.75" customHeight="1" x14ac:dyDescent="0.3">
      <c r="B309" s="3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2:24" ht="15.75" customHeight="1" x14ac:dyDescent="0.3">
      <c r="B310" s="3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2:24" ht="15.75" customHeight="1" x14ac:dyDescent="0.3">
      <c r="B311" s="3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2:24" ht="15.75" customHeight="1" x14ac:dyDescent="0.3">
      <c r="B312" s="3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2:24" ht="15.75" customHeight="1" x14ac:dyDescent="0.3">
      <c r="B313" s="3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2:24" ht="15.75" customHeight="1" x14ac:dyDescent="0.3">
      <c r="B314" s="3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2:24" ht="15.75" customHeight="1" x14ac:dyDescent="0.3">
      <c r="B315" s="3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2:24" ht="15.75" customHeight="1" x14ac:dyDescent="0.3">
      <c r="B316" s="3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2:24" ht="15.75" customHeight="1" x14ac:dyDescent="0.3">
      <c r="B317" s="3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2:24" ht="15.75" customHeight="1" x14ac:dyDescent="0.3">
      <c r="B318" s="3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2:24" ht="15.75" customHeight="1" x14ac:dyDescent="0.3">
      <c r="B319" s="3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2:24" ht="15.75" customHeight="1" x14ac:dyDescent="0.3">
      <c r="B320" s="3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2:24" ht="15.75" customHeight="1" x14ac:dyDescent="0.3">
      <c r="B321" s="3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2:24" ht="15.75" customHeight="1" x14ac:dyDescent="0.3">
      <c r="B322" s="3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2:24" ht="15.75" customHeight="1" x14ac:dyDescent="0.3">
      <c r="B323" s="3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2:24" ht="15.75" customHeight="1" x14ac:dyDescent="0.3">
      <c r="B324" s="3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2:24" ht="15.75" customHeight="1" x14ac:dyDescent="0.3">
      <c r="B325" s="3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2:24" ht="15.75" customHeight="1" x14ac:dyDescent="0.3">
      <c r="B326" s="3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2:24" ht="15.75" customHeight="1" x14ac:dyDescent="0.3">
      <c r="B327" s="3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2:24" ht="15.75" customHeight="1" x14ac:dyDescent="0.3"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2:24" ht="15.75" customHeight="1" x14ac:dyDescent="0.3"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2:24" ht="15.75" customHeight="1" x14ac:dyDescent="0.3"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2:24" ht="15.75" customHeight="1" x14ac:dyDescent="0.3">
      <c r="B331" s="3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2:24" ht="15.75" customHeight="1" x14ac:dyDescent="0.3">
      <c r="B332" s="3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2:24" ht="15.75" customHeight="1" x14ac:dyDescent="0.3">
      <c r="B333" s="3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2:24" ht="15.75" customHeight="1" x14ac:dyDescent="0.3">
      <c r="B334" s="3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2:24" ht="15.75" customHeight="1" x14ac:dyDescent="0.3">
      <c r="B335" s="3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2:24" ht="15.75" customHeight="1" x14ac:dyDescent="0.3">
      <c r="B336" s="3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2:24" ht="15.75" customHeight="1" x14ac:dyDescent="0.3">
      <c r="B337" s="3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2:24" ht="15.75" customHeight="1" x14ac:dyDescent="0.3">
      <c r="B338" s="3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2:24" ht="15.75" customHeight="1" x14ac:dyDescent="0.3">
      <c r="B339" s="3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2:24" ht="15.75" customHeight="1" x14ac:dyDescent="0.3">
      <c r="B340" s="3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2:24" ht="15.75" customHeight="1" x14ac:dyDescent="0.3">
      <c r="B341" s="3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2:24" ht="15.75" customHeight="1" x14ac:dyDescent="0.3">
      <c r="B342" s="3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2:24" ht="15.75" customHeight="1" x14ac:dyDescent="0.3">
      <c r="B343" s="3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2:24" ht="15.75" customHeight="1" x14ac:dyDescent="0.3">
      <c r="B344" s="3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2:24" ht="15.75" customHeight="1" x14ac:dyDescent="0.3">
      <c r="B345" s="3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2:24" ht="15.75" customHeight="1" x14ac:dyDescent="0.3">
      <c r="B346" s="3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2:24" ht="15.75" customHeight="1" x14ac:dyDescent="0.3">
      <c r="B347" s="3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2:24" ht="15.75" customHeight="1" x14ac:dyDescent="0.3">
      <c r="B348" s="3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2:24" ht="15.75" customHeight="1" x14ac:dyDescent="0.3">
      <c r="B349" s="3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2:24" ht="15.75" customHeight="1" x14ac:dyDescent="0.3">
      <c r="B350" s="3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2:24" ht="15.75" customHeight="1" x14ac:dyDescent="0.3">
      <c r="B351" s="3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2:24" ht="15.75" customHeight="1" x14ac:dyDescent="0.3">
      <c r="B352" s="3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2:24" ht="15.75" customHeight="1" x14ac:dyDescent="0.3">
      <c r="B353" s="3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2:24" ht="15.75" customHeight="1" x14ac:dyDescent="0.3">
      <c r="B354" s="3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2:24" ht="15.75" customHeight="1" x14ac:dyDescent="0.3">
      <c r="B355" s="3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2:24" ht="15.75" customHeight="1" x14ac:dyDescent="0.3">
      <c r="B356" s="3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2:24" ht="15.75" customHeight="1" x14ac:dyDescent="0.3">
      <c r="B357" s="3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2:24" ht="15.75" customHeight="1" x14ac:dyDescent="0.3">
      <c r="B358" s="3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2:24" ht="15.75" customHeight="1" x14ac:dyDescent="0.3">
      <c r="B359" s="3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2:24" ht="15.75" customHeight="1" x14ac:dyDescent="0.3">
      <c r="B360" s="3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2:24" ht="15.75" customHeight="1" x14ac:dyDescent="0.3">
      <c r="B361" s="3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2:24" ht="15.75" customHeight="1" x14ac:dyDescent="0.3">
      <c r="B362" s="3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2:24" ht="15.75" customHeight="1" x14ac:dyDescent="0.3">
      <c r="B363" s="3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2:24" ht="15.75" customHeight="1" x14ac:dyDescent="0.3">
      <c r="B364" s="3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2:24" ht="15.75" customHeight="1" x14ac:dyDescent="0.3">
      <c r="B365" s="3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2:24" ht="15.75" customHeight="1" x14ac:dyDescent="0.3">
      <c r="B366" s="3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2:24" ht="15.75" customHeight="1" x14ac:dyDescent="0.3">
      <c r="B367" s="3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2:24" ht="15.75" customHeight="1" x14ac:dyDescent="0.3">
      <c r="B368" s="3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2:24" ht="15.75" customHeight="1" x14ac:dyDescent="0.3">
      <c r="B369" s="3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2:24" ht="15.75" customHeight="1" x14ac:dyDescent="0.3">
      <c r="B370" s="3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2:24" ht="15.75" customHeight="1" x14ac:dyDescent="0.3">
      <c r="B371" s="3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2:24" ht="15.75" customHeight="1" x14ac:dyDescent="0.3">
      <c r="B372" s="3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2:24" ht="15.75" customHeight="1" x14ac:dyDescent="0.3">
      <c r="B373" s="3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2:24" ht="15.75" customHeight="1" x14ac:dyDescent="0.3">
      <c r="B374" s="3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2:24" ht="15.75" customHeight="1" x14ac:dyDescent="0.3">
      <c r="B375" s="3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2:24" ht="15.75" customHeight="1" x14ac:dyDescent="0.3">
      <c r="B376" s="3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2:24" ht="15.75" customHeight="1" x14ac:dyDescent="0.3">
      <c r="B377" s="3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2:24" ht="15.75" customHeight="1" x14ac:dyDescent="0.3">
      <c r="B378" s="3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2:24" ht="15.75" customHeight="1" x14ac:dyDescent="0.3">
      <c r="B379" s="3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2:24" ht="15.75" customHeight="1" x14ac:dyDescent="0.3">
      <c r="B380" s="3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2:24" ht="15.75" customHeight="1" x14ac:dyDescent="0.3">
      <c r="B381" s="3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2:24" ht="15.75" customHeight="1" x14ac:dyDescent="0.3">
      <c r="B382" s="3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2:24" ht="15.75" customHeight="1" x14ac:dyDescent="0.3">
      <c r="B383" s="3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2:24" ht="15.75" customHeight="1" x14ac:dyDescent="0.3">
      <c r="B384" s="3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2:24" ht="15.75" customHeight="1" x14ac:dyDescent="0.3">
      <c r="B385" s="3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2:24" ht="15.75" customHeight="1" x14ac:dyDescent="0.3">
      <c r="B386" s="3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2:24" ht="15.75" customHeight="1" x14ac:dyDescent="0.3">
      <c r="B387" s="3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2:24" ht="15.75" customHeight="1" x14ac:dyDescent="0.3">
      <c r="B388" s="3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2:24" ht="15.75" customHeight="1" x14ac:dyDescent="0.3">
      <c r="B389" s="3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2:24" ht="15.75" customHeight="1" x14ac:dyDescent="0.3">
      <c r="B390" s="3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2:24" ht="15.75" customHeight="1" x14ac:dyDescent="0.3">
      <c r="B391" s="3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2:24" ht="15.75" customHeight="1" x14ac:dyDescent="0.3">
      <c r="B392" s="3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2:24" ht="15.75" customHeight="1" x14ac:dyDescent="0.3">
      <c r="B393" s="3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2:24" ht="15.75" customHeight="1" x14ac:dyDescent="0.3">
      <c r="B394" s="3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2:24" ht="15.75" customHeight="1" x14ac:dyDescent="0.3">
      <c r="B395" s="3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2:24" ht="15.75" customHeight="1" x14ac:dyDescent="0.3">
      <c r="B396" s="3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2:24" ht="15.75" customHeight="1" x14ac:dyDescent="0.3">
      <c r="B397" s="3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2:24" ht="15.75" customHeight="1" x14ac:dyDescent="0.3">
      <c r="B398" s="3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2:24" ht="15.75" customHeight="1" x14ac:dyDescent="0.3">
      <c r="B399" s="3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2:24" ht="15.75" customHeight="1" x14ac:dyDescent="0.3">
      <c r="B400" s="3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2:24" ht="15.75" customHeight="1" x14ac:dyDescent="0.3">
      <c r="B401" s="3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2:24" ht="15.75" customHeight="1" x14ac:dyDescent="0.3">
      <c r="B402" s="3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2:24" ht="15.75" customHeight="1" x14ac:dyDescent="0.3">
      <c r="B403" s="3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2:24" ht="15.75" customHeight="1" x14ac:dyDescent="0.3">
      <c r="B404" s="3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2:24" ht="15.75" customHeight="1" x14ac:dyDescent="0.3">
      <c r="B405" s="3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2:24" ht="15.75" customHeight="1" x14ac:dyDescent="0.3">
      <c r="B406" s="3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2:24" ht="15.75" customHeight="1" x14ac:dyDescent="0.3">
      <c r="B407" s="3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2:24" ht="15.75" customHeight="1" x14ac:dyDescent="0.3">
      <c r="B408" s="3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2:24" ht="15.75" customHeight="1" x14ac:dyDescent="0.3">
      <c r="B409" s="3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2:24" ht="15.75" customHeight="1" x14ac:dyDescent="0.3">
      <c r="B410" s="3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2:24" ht="15.75" customHeight="1" x14ac:dyDescent="0.3">
      <c r="B411" s="3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2:24" ht="15.75" customHeight="1" x14ac:dyDescent="0.3">
      <c r="B412" s="3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2:24" ht="15.75" customHeight="1" x14ac:dyDescent="0.3">
      <c r="B413" s="3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2:24" ht="15.75" customHeight="1" x14ac:dyDescent="0.3">
      <c r="B414" s="3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2:24" ht="15.75" customHeight="1" x14ac:dyDescent="0.3">
      <c r="B415" s="3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2:24" ht="15.75" customHeight="1" x14ac:dyDescent="0.3">
      <c r="B416" s="3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2:24" ht="15.75" customHeight="1" x14ac:dyDescent="0.3">
      <c r="B417" s="3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2:24" ht="15.75" customHeight="1" x14ac:dyDescent="0.3">
      <c r="B418" s="3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2:24" ht="15.75" customHeight="1" x14ac:dyDescent="0.3">
      <c r="B419" s="3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2:24" ht="15.75" customHeight="1" x14ac:dyDescent="0.3">
      <c r="B420" s="3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2:24" ht="15.75" customHeight="1" x14ac:dyDescent="0.3">
      <c r="B421" s="3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2:24" ht="15.75" customHeight="1" x14ac:dyDescent="0.3">
      <c r="B422" s="3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2:24" ht="15.75" customHeight="1" x14ac:dyDescent="0.3">
      <c r="B423" s="3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2:24" ht="15.75" customHeight="1" x14ac:dyDescent="0.3">
      <c r="B424" s="3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2:24" ht="15.75" customHeight="1" x14ac:dyDescent="0.3">
      <c r="B425" s="3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2:24" ht="15.75" customHeight="1" x14ac:dyDescent="0.3">
      <c r="B426" s="3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2:24" ht="15.75" customHeight="1" x14ac:dyDescent="0.3">
      <c r="B427" s="3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2:24" ht="15.75" customHeight="1" x14ac:dyDescent="0.3">
      <c r="B428" s="3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2:24" ht="15.75" customHeight="1" x14ac:dyDescent="0.3">
      <c r="B429" s="3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2:24" ht="15.75" customHeight="1" x14ac:dyDescent="0.3">
      <c r="B430" s="3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2:24" ht="15.75" customHeight="1" x14ac:dyDescent="0.3">
      <c r="B431" s="3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2:24" ht="15.75" customHeight="1" x14ac:dyDescent="0.3">
      <c r="B432" s="3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2:24" ht="15.75" customHeight="1" x14ac:dyDescent="0.3">
      <c r="B433" s="3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2:24" ht="15.75" customHeight="1" x14ac:dyDescent="0.3">
      <c r="B434" s="3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2:24" ht="15.75" customHeight="1" x14ac:dyDescent="0.3">
      <c r="B435" s="3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2:24" ht="15.75" customHeight="1" x14ac:dyDescent="0.3">
      <c r="B436" s="3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2:24" ht="15.75" customHeight="1" x14ac:dyDescent="0.3">
      <c r="B437" s="3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2:24" ht="15.75" customHeight="1" x14ac:dyDescent="0.3">
      <c r="B438" s="3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2:24" ht="15.75" customHeight="1" x14ac:dyDescent="0.3">
      <c r="B439" s="3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2:24" ht="15.75" customHeight="1" x14ac:dyDescent="0.3">
      <c r="B440" s="3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2:24" ht="15.75" customHeight="1" x14ac:dyDescent="0.3">
      <c r="B441" s="3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2:24" ht="15.75" customHeight="1" x14ac:dyDescent="0.3">
      <c r="B442" s="3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2:24" ht="15.75" customHeight="1" x14ac:dyDescent="0.3">
      <c r="B443" s="3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2:24" ht="15.75" customHeight="1" x14ac:dyDescent="0.3">
      <c r="B444" s="3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2:24" ht="15.75" customHeight="1" x14ac:dyDescent="0.3">
      <c r="B445" s="3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2:24" ht="15.75" customHeight="1" x14ac:dyDescent="0.3">
      <c r="B446" s="3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2:24" ht="15.75" customHeight="1" x14ac:dyDescent="0.3">
      <c r="B447" s="3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2:24" ht="15.75" customHeight="1" x14ac:dyDescent="0.3">
      <c r="B448" s="3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2:24" ht="15.75" customHeight="1" x14ac:dyDescent="0.3">
      <c r="B449" s="3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2:24" ht="15.75" customHeight="1" x14ac:dyDescent="0.3">
      <c r="B450" s="3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2:24" ht="15.75" customHeight="1" x14ac:dyDescent="0.3">
      <c r="B451" s="3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2:24" ht="15.75" customHeight="1" x14ac:dyDescent="0.3">
      <c r="B452" s="3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2:24" ht="15.75" customHeight="1" x14ac:dyDescent="0.3">
      <c r="B453" s="3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2:24" ht="15.75" customHeight="1" x14ac:dyDescent="0.3">
      <c r="B454" s="3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2:24" ht="15.75" customHeight="1" x14ac:dyDescent="0.3">
      <c r="B455" s="3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2:24" ht="15.75" customHeight="1" x14ac:dyDescent="0.3">
      <c r="B456" s="3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2:24" ht="15.75" customHeight="1" x14ac:dyDescent="0.3">
      <c r="B457" s="3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2:24" ht="15.75" customHeight="1" x14ac:dyDescent="0.3">
      <c r="B458" s="3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2:24" ht="15.75" customHeight="1" x14ac:dyDescent="0.3">
      <c r="B459" s="3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2:24" ht="15.75" customHeight="1" x14ac:dyDescent="0.3">
      <c r="B460" s="3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2:24" ht="15.75" customHeight="1" x14ac:dyDescent="0.3">
      <c r="B461" s="3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2:24" ht="15.75" customHeight="1" x14ac:dyDescent="0.3">
      <c r="B462" s="3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2:24" ht="15.75" customHeight="1" x14ac:dyDescent="0.3">
      <c r="B463" s="3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2:24" ht="15.75" customHeight="1" x14ac:dyDescent="0.3">
      <c r="B464" s="3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2:24" ht="15.75" customHeight="1" x14ac:dyDescent="0.3">
      <c r="B465" s="3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2:24" ht="15.75" customHeight="1" x14ac:dyDescent="0.3">
      <c r="B466" s="3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2:24" ht="15.75" customHeight="1" x14ac:dyDescent="0.3">
      <c r="B467" s="3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2:24" ht="15.75" customHeight="1" x14ac:dyDescent="0.3">
      <c r="B468" s="3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2:24" ht="15.75" customHeight="1" x14ac:dyDescent="0.3">
      <c r="B469" s="3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2:24" ht="15.75" customHeight="1" x14ac:dyDescent="0.3">
      <c r="B470" s="3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2:24" ht="15.75" customHeight="1" x14ac:dyDescent="0.3">
      <c r="B471" s="3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2:24" ht="15.75" customHeight="1" x14ac:dyDescent="0.3">
      <c r="B472" s="3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2:24" ht="15.75" customHeight="1" x14ac:dyDescent="0.3">
      <c r="B473" s="3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2:24" ht="15.75" customHeight="1" x14ac:dyDescent="0.3">
      <c r="B474" s="3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2:24" ht="15.75" customHeight="1" x14ac:dyDescent="0.3">
      <c r="B475" s="3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2:24" ht="15.75" customHeight="1" x14ac:dyDescent="0.3">
      <c r="B476" s="3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2:24" ht="15.75" customHeight="1" x14ac:dyDescent="0.3">
      <c r="B477" s="3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2:24" ht="15.75" customHeight="1" x14ac:dyDescent="0.3">
      <c r="B478" s="3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2:24" ht="15.75" customHeight="1" x14ac:dyDescent="0.3">
      <c r="B479" s="3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2:24" ht="15.75" customHeight="1" x14ac:dyDescent="0.3">
      <c r="B480" s="3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2:24" ht="15.75" customHeight="1" x14ac:dyDescent="0.3">
      <c r="B481" s="3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2:24" ht="15.75" customHeight="1" x14ac:dyDescent="0.3">
      <c r="B482" s="3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2:24" ht="15.75" customHeight="1" x14ac:dyDescent="0.3">
      <c r="B483" s="3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2:24" ht="15.75" customHeight="1" x14ac:dyDescent="0.3">
      <c r="B484" s="3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2:24" ht="15.75" customHeight="1" x14ac:dyDescent="0.3">
      <c r="B485" s="3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2:24" ht="15.75" customHeight="1" x14ac:dyDescent="0.3">
      <c r="B486" s="3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2:24" ht="15.75" customHeight="1" x14ac:dyDescent="0.3">
      <c r="B487" s="3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2:24" ht="15.75" customHeight="1" x14ac:dyDescent="0.3">
      <c r="B488" s="3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2:24" ht="15.75" customHeight="1" x14ac:dyDescent="0.3">
      <c r="B489" s="3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2:24" ht="15.75" customHeight="1" x14ac:dyDescent="0.3">
      <c r="B490" s="3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2:24" ht="15.75" customHeight="1" x14ac:dyDescent="0.3">
      <c r="B491" s="3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2:24" ht="15.75" customHeight="1" x14ac:dyDescent="0.3">
      <c r="B492" s="3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2:24" ht="15.75" customHeight="1" x14ac:dyDescent="0.3">
      <c r="B493" s="3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2:24" ht="15.75" customHeight="1" x14ac:dyDescent="0.3">
      <c r="B494" s="3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2:24" ht="15.75" customHeight="1" x14ac:dyDescent="0.3">
      <c r="B495" s="3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2:24" ht="15.75" customHeight="1" x14ac:dyDescent="0.3">
      <c r="B496" s="3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2:24" ht="15.75" customHeight="1" x14ac:dyDescent="0.3">
      <c r="B497" s="3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2:24" ht="15.75" customHeight="1" x14ac:dyDescent="0.3">
      <c r="B498" s="3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2:24" ht="15.75" customHeight="1" x14ac:dyDescent="0.3">
      <c r="B499" s="3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2:24" ht="15.75" customHeight="1" x14ac:dyDescent="0.3">
      <c r="B500" s="3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2:24" ht="15.75" customHeight="1" x14ac:dyDescent="0.3">
      <c r="B501" s="3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2:24" ht="15.75" customHeight="1" x14ac:dyDescent="0.3">
      <c r="B502" s="3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2:24" ht="15.75" customHeight="1" x14ac:dyDescent="0.3">
      <c r="B503" s="3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2:24" ht="15.75" customHeight="1" x14ac:dyDescent="0.3">
      <c r="B504" s="3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2:24" ht="15.75" customHeight="1" x14ac:dyDescent="0.3">
      <c r="B505" s="3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2:24" ht="15.75" customHeight="1" x14ac:dyDescent="0.3">
      <c r="B506" s="3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2:24" ht="15.75" customHeight="1" x14ac:dyDescent="0.3">
      <c r="B507" s="3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2:24" ht="15.75" customHeight="1" x14ac:dyDescent="0.3">
      <c r="B508" s="3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2:24" ht="15.75" customHeight="1" x14ac:dyDescent="0.3">
      <c r="B509" s="3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2:24" ht="15.75" customHeight="1" x14ac:dyDescent="0.3">
      <c r="B510" s="3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2:24" ht="15.75" customHeight="1" x14ac:dyDescent="0.3">
      <c r="B511" s="3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2:24" ht="15.75" customHeight="1" x14ac:dyDescent="0.3">
      <c r="B512" s="3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2:24" ht="15.75" customHeight="1" x14ac:dyDescent="0.3">
      <c r="B513" s="3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2:24" ht="15.75" customHeight="1" x14ac:dyDescent="0.3">
      <c r="B514" s="3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2:24" ht="15.75" customHeight="1" x14ac:dyDescent="0.3">
      <c r="B515" s="3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2:24" ht="15.75" customHeight="1" x14ac:dyDescent="0.3">
      <c r="B516" s="3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2:24" ht="15.75" customHeight="1" x14ac:dyDescent="0.3">
      <c r="B517" s="3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2:24" ht="15.75" customHeight="1" x14ac:dyDescent="0.3">
      <c r="B518" s="3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2:24" ht="15.75" customHeight="1" x14ac:dyDescent="0.3">
      <c r="B519" s="3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2:24" ht="15.75" customHeight="1" x14ac:dyDescent="0.3">
      <c r="B520" s="3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2:24" ht="15.75" customHeight="1" x14ac:dyDescent="0.3">
      <c r="B521" s="3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2:24" ht="15.75" customHeight="1" x14ac:dyDescent="0.3">
      <c r="B522" s="3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2:24" ht="15.75" customHeight="1" x14ac:dyDescent="0.3">
      <c r="B523" s="3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2:24" ht="15.75" customHeight="1" x14ac:dyDescent="0.3">
      <c r="B524" s="3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2:24" ht="15.75" customHeight="1" x14ac:dyDescent="0.3">
      <c r="B525" s="3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2:24" ht="15.75" customHeight="1" x14ac:dyDescent="0.3">
      <c r="B526" s="3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2:24" ht="15.75" customHeight="1" x14ac:dyDescent="0.3">
      <c r="B527" s="3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2:24" ht="15.75" customHeight="1" x14ac:dyDescent="0.3">
      <c r="B528" s="3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2:24" ht="15.75" customHeight="1" x14ac:dyDescent="0.3">
      <c r="B529" s="3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2:24" ht="15.75" customHeight="1" x14ac:dyDescent="0.3">
      <c r="B530" s="3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2:24" ht="15.75" customHeight="1" x14ac:dyDescent="0.3">
      <c r="B531" s="3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2:24" ht="15.75" customHeight="1" x14ac:dyDescent="0.3">
      <c r="B532" s="3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2:24" ht="15.75" customHeight="1" x14ac:dyDescent="0.3">
      <c r="B533" s="3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2:24" ht="15.75" customHeight="1" x14ac:dyDescent="0.3">
      <c r="B534" s="3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2:24" ht="15.75" customHeight="1" x14ac:dyDescent="0.3">
      <c r="B535" s="3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2:24" ht="15.75" customHeight="1" x14ac:dyDescent="0.3">
      <c r="B536" s="3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2:24" ht="15.75" customHeight="1" x14ac:dyDescent="0.3">
      <c r="B537" s="3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2:24" ht="15.75" customHeight="1" x14ac:dyDescent="0.3">
      <c r="B538" s="3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2:24" ht="15.75" customHeight="1" x14ac:dyDescent="0.3">
      <c r="B539" s="3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2:24" ht="15.75" customHeight="1" x14ac:dyDescent="0.3">
      <c r="B540" s="3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2:24" ht="15.75" customHeight="1" x14ac:dyDescent="0.3">
      <c r="B541" s="3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2:24" ht="15.75" customHeight="1" x14ac:dyDescent="0.3">
      <c r="B542" s="3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2:24" ht="15.75" customHeight="1" x14ac:dyDescent="0.3">
      <c r="B543" s="3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2:24" ht="15.75" customHeight="1" x14ac:dyDescent="0.3">
      <c r="B544" s="3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2:24" ht="15.75" customHeight="1" x14ac:dyDescent="0.3">
      <c r="B545" s="3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2:24" ht="15.75" customHeight="1" x14ac:dyDescent="0.3">
      <c r="B546" s="3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2:24" ht="15.75" customHeight="1" x14ac:dyDescent="0.3">
      <c r="B547" s="3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2:24" ht="15.75" customHeight="1" x14ac:dyDescent="0.3">
      <c r="B548" s="3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2:24" ht="15.75" customHeight="1" x14ac:dyDescent="0.3">
      <c r="B549" s="3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2:24" ht="15.75" customHeight="1" x14ac:dyDescent="0.3">
      <c r="B550" s="3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2:24" ht="15.75" customHeight="1" x14ac:dyDescent="0.3">
      <c r="B551" s="3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2:24" ht="15.75" customHeight="1" x14ac:dyDescent="0.3">
      <c r="B552" s="3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2:24" ht="15.75" customHeight="1" x14ac:dyDescent="0.3">
      <c r="B553" s="3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2:24" ht="15.75" customHeight="1" x14ac:dyDescent="0.3">
      <c r="B554" s="3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2:24" ht="15.75" customHeight="1" x14ac:dyDescent="0.3">
      <c r="B555" s="3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2:24" ht="15.75" customHeight="1" x14ac:dyDescent="0.3">
      <c r="B556" s="3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2:24" ht="15.75" customHeight="1" x14ac:dyDescent="0.3">
      <c r="B557" s="3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2:24" ht="15.75" customHeight="1" x14ac:dyDescent="0.3">
      <c r="B558" s="3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2:24" ht="15.75" customHeight="1" x14ac:dyDescent="0.3">
      <c r="B559" s="3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2:24" ht="15.75" customHeight="1" x14ac:dyDescent="0.3">
      <c r="B560" s="3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2:24" ht="15.75" customHeight="1" x14ac:dyDescent="0.3">
      <c r="B561" s="3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2:24" ht="15.75" customHeight="1" x14ac:dyDescent="0.3">
      <c r="B562" s="3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2:24" ht="15.75" customHeight="1" x14ac:dyDescent="0.3">
      <c r="B563" s="3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2:24" ht="15.75" customHeight="1" x14ac:dyDescent="0.3">
      <c r="B564" s="3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2:24" ht="15.75" customHeight="1" x14ac:dyDescent="0.3">
      <c r="B565" s="3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2:24" ht="15.75" customHeight="1" x14ac:dyDescent="0.3">
      <c r="B566" s="3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2:24" ht="15.75" customHeight="1" x14ac:dyDescent="0.3">
      <c r="B567" s="3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2:24" ht="15.75" customHeight="1" x14ac:dyDescent="0.3">
      <c r="B568" s="3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2:24" ht="15.75" customHeight="1" x14ac:dyDescent="0.3">
      <c r="B569" s="3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2:24" ht="15.75" customHeight="1" x14ac:dyDescent="0.3">
      <c r="B570" s="3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2:24" ht="15.75" customHeight="1" x14ac:dyDescent="0.3">
      <c r="B571" s="3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2:24" ht="15.75" customHeight="1" x14ac:dyDescent="0.3">
      <c r="B572" s="3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2:24" ht="15.75" customHeight="1" x14ac:dyDescent="0.3">
      <c r="B573" s="3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2:24" ht="15.75" customHeight="1" x14ac:dyDescent="0.3">
      <c r="B574" s="3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2:24" ht="15.75" customHeight="1" x14ac:dyDescent="0.3">
      <c r="B575" s="3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2:24" ht="15.75" customHeight="1" x14ac:dyDescent="0.3">
      <c r="B576" s="3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2:24" ht="15.75" customHeight="1" x14ac:dyDescent="0.3">
      <c r="B577" s="3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2:24" ht="15.75" customHeight="1" x14ac:dyDescent="0.3">
      <c r="B578" s="3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2:24" ht="15.75" customHeight="1" x14ac:dyDescent="0.3">
      <c r="B579" s="3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2:24" ht="15.75" customHeight="1" x14ac:dyDescent="0.3">
      <c r="B580" s="3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2:24" ht="15.75" customHeight="1" x14ac:dyDescent="0.3">
      <c r="B581" s="3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2:24" ht="15.75" customHeight="1" x14ac:dyDescent="0.3">
      <c r="B582" s="3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2:24" ht="15.75" customHeight="1" x14ac:dyDescent="0.3">
      <c r="B583" s="3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2:24" ht="15.75" customHeight="1" x14ac:dyDescent="0.3">
      <c r="B584" s="3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2:24" ht="15.75" customHeight="1" x14ac:dyDescent="0.3">
      <c r="B585" s="3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2:24" ht="15.75" customHeight="1" x14ac:dyDescent="0.3">
      <c r="B586" s="3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2:24" ht="15.75" customHeight="1" x14ac:dyDescent="0.3">
      <c r="B587" s="3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2:24" ht="15.75" customHeight="1" x14ac:dyDescent="0.3">
      <c r="B588" s="3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2:24" ht="15.75" customHeight="1" x14ac:dyDescent="0.3">
      <c r="B589" s="3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2:24" ht="15.75" customHeight="1" x14ac:dyDescent="0.3">
      <c r="B590" s="3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2:24" ht="15.75" customHeight="1" x14ac:dyDescent="0.3">
      <c r="B591" s="3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2:24" ht="15.75" customHeight="1" x14ac:dyDescent="0.3">
      <c r="B592" s="3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2:24" ht="15.75" customHeight="1" x14ac:dyDescent="0.3">
      <c r="B593" s="3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2:24" ht="15.75" customHeight="1" x14ac:dyDescent="0.3">
      <c r="B594" s="3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2:24" ht="15.75" customHeight="1" x14ac:dyDescent="0.3">
      <c r="B595" s="3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2:24" ht="15.75" customHeight="1" x14ac:dyDescent="0.3">
      <c r="B596" s="3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2:24" ht="15.75" customHeight="1" x14ac:dyDescent="0.3">
      <c r="B597" s="3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2:24" ht="15.75" customHeight="1" x14ac:dyDescent="0.3">
      <c r="B598" s="3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2:24" ht="15.75" customHeight="1" x14ac:dyDescent="0.3">
      <c r="B599" s="3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2:24" ht="15.75" customHeight="1" x14ac:dyDescent="0.3">
      <c r="B600" s="3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2:24" ht="15.75" customHeight="1" x14ac:dyDescent="0.3">
      <c r="B601" s="3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2:24" ht="15.75" customHeight="1" x14ac:dyDescent="0.3">
      <c r="B602" s="3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2:24" ht="15.75" customHeight="1" x14ac:dyDescent="0.3">
      <c r="B603" s="3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2:24" ht="15.75" customHeight="1" x14ac:dyDescent="0.3">
      <c r="B604" s="3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2:24" ht="15.75" customHeight="1" x14ac:dyDescent="0.3">
      <c r="B605" s="3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2:24" ht="15.75" customHeight="1" x14ac:dyDescent="0.3">
      <c r="B606" s="3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2:24" ht="15.75" customHeight="1" x14ac:dyDescent="0.3">
      <c r="B607" s="3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2:24" ht="15.75" customHeight="1" x14ac:dyDescent="0.3">
      <c r="B608" s="3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2:24" ht="15.75" customHeight="1" x14ac:dyDescent="0.3">
      <c r="B609" s="3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2:24" ht="15.75" customHeight="1" x14ac:dyDescent="0.3">
      <c r="B610" s="3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2:24" ht="15.75" customHeight="1" x14ac:dyDescent="0.3">
      <c r="B611" s="3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2:24" ht="15.75" customHeight="1" x14ac:dyDescent="0.3">
      <c r="B612" s="3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2:24" ht="15.75" customHeight="1" x14ac:dyDescent="0.3">
      <c r="B613" s="3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2:24" ht="15.75" customHeight="1" x14ac:dyDescent="0.3">
      <c r="B614" s="3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2:24" ht="15.75" customHeight="1" x14ac:dyDescent="0.3">
      <c r="B615" s="3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2:24" ht="15.75" customHeight="1" x14ac:dyDescent="0.3">
      <c r="B616" s="3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2:24" ht="15.75" customHeight="1" x14ac:dyDescent="0.3">
      <c r="B617" s="3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2:24" ht="15.75" customHeight="1" x14ac:dyDescent="0.3">
      <c r="B618" s="3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2:24" ht="15.75" customHeight="1" x14ac:dyDescent="0.3">
      <c r="B619" s="3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2:24" ht="15.75" customHeight="1" x14ac:dyDescent="0.3">
      <c r="B620" s="3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2:24" ht="15.75" customHeight="1" x14ac:dyDescent="0.3">
      <c r="B621" s="3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2:24" ht="15.75" customHeight="1" x14ac:dyDescent="0.3">
      <c r="B622" s="3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2:24" ht="15.75" customHeight="1" x14ac:dyDescent="0.3">
      <c r="B623" s="3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2:24" ht="15.75" customHeight="1" x14ac:dyDescent="0.3">
      <c r="B624" s="3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2:24" ht="15.75" customHeight="1" x14ac:dyDescent="0.3">
      <c r="B625" s="3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2:24" ht="15.75" customHeight="1" x14ac:dyDescent="0.3">
      <c r="B626" s="3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2:24" ht="15.75" customHeight="1" x14ac:dyDescent="0.3">
      <c r="B627" s="3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2:24" ht="15.75" customHeight="1" x14ac:dyDescent="0.3">
      <c r="B628" s="3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2:24" ht="15.75" customHeight="1" x14ac:dyDescent="0.3">
      <c r="B629" s="3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2:24" ht="15.75" customHeight="1" x14ac:dyDescent="0.3">
      <c r="B630" s="3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2:24" ht="15.75" customHeight="1" x14ac:dyDescent="0.3">
      <c r="B631" s="3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2:24" ht="15.75" customHeight="1" x14ac:dyDescent="0.3">
      <c r="B632" s="3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2:24" ht="15.75" customHeight="1" x14ac:dyDescent="0.3">
      <c r="B633" s="3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2:24" ht="15.75" customHeight="1" x14ac:dyDescent="0.3">
      <c r="B634" s="3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2:24" ht="15.75" customHeight="1" x14ac:dyDescent="0.3">
      <c r="B635" s="3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2:24" ht="15.75" customHeight="1" x14ac:dyDescent="0.3">
      <c r="B636" s="3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2:24" ht="15.75" customHeight="1" x14ac:dyDescent="0.3">
      <c r="B637" s="3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2:24" ht="15.75" customHeight="1" x14ac:dyDescent="0.3">
      <c r="B638" s="3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2:24" ht="15.75" customHeight="1" x14ac:dyDescent="0.3">
      <c r="B639" s="3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2:24" ht="15.75" customHeight="1" x14ac:dyDescent="0.3">
      <c r="B640" s="3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2:24" ht="15.75" customHeight="1" x14ac:dyDescent="0.3">
      <c r="B641" s="3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2:24" ht="15.75" customHeight="1" x14ac:dyDescent="0.3">
      <c r="B642" s="3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2:24" ht="15.75" customHeight="1" x14ac:dyDescent="0.3">
      <c r="B643" s="3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2:24" ht="15.75" customHeight="1" x14ac:dyDescent="0.3">
      <c r="B644" s="3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2:24" ht="15.75" customHeight="1" x14ac:dyDescent="0.3">
      <c r="B645" s="3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2:24" ht="15.75" customHeight="1" x14ac:dyDescent="0.3">
      <c r="B646" s="3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2:24" ht="15.75" customHeight="1" x14ac:dyDescent="0.3">
      <c r="B647" s="3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2:24" ht="15.75" customHeight="1" x14ac:dyDescent="0.3">
      <c r="B648" s="3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2:24" ht="15.75" customHeight="1" x14ac:dyDescent="0.3">
      <c r="B649" s="3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2:24" ht="15.75" customHeight="1" x14ac:dyDescent="0.3">
      <c r="B650" s="3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2:24" ht="15.75" customHeight="1" x14ac:dyDescent="0.3">
      <c r="B651" s="3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2:24" ht="15.75" customHeight="1" x14ac:dyDescent="0.3">
      <c r="B652" s="3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2:24" ht="15.75" customHeight="1" x14ac:dyDescent="0.3">
      <c r="B653" s="3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2:24" ht="15.75" customHeight="1" x14ac:dyDescent="0.3">
      <c r="B654" s="3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2:24" ht="15.75" customHeight="1" x14ac:dyDescent="0.3">
      <c r="B655" s="3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2:24" ht="15.75" customHeight="1" x14ac:dyDescent="0.3">
      <c r="B656" s="3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2:24" ht="15.75" customHeight="1" x14ac:dyDescent="0.3">
      <c r="B657" s="3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2:24" ht="15.75" customHeight="1" x14ac:dyDescent="0.3">
      <c r="B658" s="3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2:24" ht="15.75" customHeight="1" x14ac:dyDescent="0.3">
      <c r="B659" s="3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2:24" ht="15.75" customHeight="1" x14ac:dyDescent="0.3">
      <c r="B660" s="3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2:24" ht="15.75" customHeight="1" x14ac:dyDescent="0.3">
      <c r="B661" s="3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2:24" ht="15.75" customHeight="1" x14ac:dyDescent="0.3">
      <c r="B662" s="3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2:24" ht="15.75" customHeight="1" x14ac:dyDescent="0.3">
      <c r="B663" s="3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2:24" ht="15.75" customHeight="1" x14ac:dyDescent="0.3">
      <c r="B664" s="3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2:24" ht="15.75" customHeight="1" x14ac:dyDescent="0.3">
      <c r="B665" s="3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2:24" ht="15.75" customHeight="1" x14ac:dyDescent="0.3">
      <c r="B666" s="3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2:24" ht="15.75" customHeight="1" x14ac:dyDescent="0.3">
      <c r="B667" s="3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2:24" ht="15.75" customHeight="1" x14ac:dyDescent="0.3">
      <c r="B668" s="3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2:24" ht="15.75" customHeight="1" x14ac:dyDescent="0.3">
      <c r="B669" s="3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2:24" ht="15.75" customHeight="1" x14ac:dyDescent="0.3">
      <c r="B670" s="3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2:24" ht="15.75" customHeight="1" x14ac:dyDescent="0.3">
      <c r="B671" s="3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2:24" ht="15.75" customHeight="1" x14ac:dyDescent="0.3">
      <c r="B672" s="3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2:24" ht="15.75" customHeight="1" x14ac:dyDescent="0.3">
      <c r="B673" s="3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2:24" ht="15.75" customHeight="1" x14ac:dyDescent="0.3">
      <c r="B674" s="3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2:24" ht="15.75" customHeight="1" x14ac:dyDescent="0.3">
      <c r="B675" s="3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2:24" ht="15.75" customHeight="1" x14ac:dyDescent="0.3">
      <c r="B676" s="3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2:24" ht="15.75" customHeight="1" x14ac:dyDescent="0.3">
      <c r="B677" s="3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2:24" ht="15.75" customHeight="1" x14ac:dyDescent="0.3">
      <c r="B678" s="3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2:24" ht="15.75" customHeight="1" x14ac:dyDescent="0.3">
      <c r="B679" s="3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2:24" ht="15.75" customHeight="1" x14ac:dyDescent="0.3">
      <c r="B680" s="3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2:24" ht="15.75" customHeight="1" x14ac:dyDescent="0.3">
      <c r="B681" s="3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2:24" ht="15.75" customHeight="1" x14ac:dyDescent="0.3">
      <c r="B682" s="3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2:24" ht="15.75" customHeight="1" x14ac:dyDescent="0.3">
      <c r="B683" s="3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2:24" ht="15.75" customHeight="1" x14ac:dyDescent="0.3">
      <c r="B684" s="3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2:24" ht="15.75" customHeight="1" x14ac:dyDescent="0.3">
      <c r="B685" s="3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2:24" ht="15.75" customHeight="1" x14ac:dyDescent="0.3">
      <c r="B686" s="3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2:24" ht="15.75" customHeight="1" x14ac:dyDescent="0.3">
      <c r="B687" s="3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2:24" ht="15.75" customHeight="1" x14ac:dyDescent="0.3">
      <c r="B688" s="3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2:24" ht="15.75" customHeight="1" x14ac:dyDescent="0.3">
      <c r="B689" s="3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2:24" ht="15.75" customHeight="1" x14ac:dyDescent="0.3">
      <c r="B690" s="3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2:24" ht="15.75" customHeight="1" x14ac:dyDescent="0.3">
      <c r="B691" s="3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2:24" ht="15.75" customHeight="1" x14ac:dyDescent="0.3">
      <c r="B692" s="3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2:24" ht="15.75" customHeight="1" x14ac:dyDescent="0.3">
      <c r="B693" s="3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2:24" ht="15.75" customHeight="1" x14ac:dyDescent="0.3">
      <c r="B694" s="3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2:24" ht="15.75" customHeight="1" x14ac:dyDescent="0.3">
      <c r="B695" s="3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2:24" ht="15.75" customHeight="1" x14ac:dyDescent="0.3">
      <c r="B696" s="3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2:24" ht="15.75" customHeight="1" x14ac:dyDescent="0.3">
      <c r="B697" s="3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2:24" ht="15.75" customHeight="1" x14ac:dyDescent="0.3">
      <c r="B698" s="3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2:24" ht="15.75" customHeight="1" x14ac:dyDescent="0.3">
      <c r="B699" s="3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2:24" ht="15.75" customHeight="1" x14ac:dyDescent="0.3">
      <c r="B700" s="3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2:24" ht="15.75" customHeight="1" x14ac:dyDescent="0.3">
      <c r="B701" s="3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2:24" ht="15.75" customHeight="1" x14ac:dyDescent="0.3">
      <c r="B702" s="3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2:24" ht="15.75" customHeight="1" x14ac:dyDescent="0.3">
      <c r="B703" s="3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2:24" ht="15.75" customHeight="1" x14ac:dyDescent="0.3">
      <c r="B704" s="3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2:24" ht="15.75" customHeight="1" x14ac:dyDescent="0.3">
      <c r="B705" s="3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2:24" ht="15.75" customHeight="1" x14ac:dyDescent="0.3">
      <c r="B706" s="3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2:24" ht="15.75" customHeight="1" x14ac:dyDescent="0.3">
      <c r="B707" s="3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2:24" ht="15.75" customHeight="1" x14ac:dyDescent="0.3">
      <c r="B708" s="3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2:24" ht="15.75" customHeight="1" x14ac:dyDescent="0.3">
      <c r="B709" s="3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2:24" ht="15.75" customHeight="1" x14ac:dyDescent="0.3">
      <c r="B710" s="3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2:24" ht="15.75" customHeight="1" x14ac:dyDescent="0.3">
      <c r="B711" s="3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2:24" ht="15.75" customHeight="1" x14ac:dyDescent="0.3">
      <c r="B712" s="3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2:24" ht="15.75" customHeight="1" x14ac:dyDescent="0.3">
      <c r="B713" s="3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2:24" ht="15.75" customHeight="1" x14ac:dyDescent="0.3">
      <c r="B714" s="3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2:24" ht="15.75" customHeight="1" x14ac:dyDescent="0.3">
      <c r="B715" s="3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2:24" ht="15.75" customHeight="1" x14ac:dyDescent="0.3">
      <c r="B716" s="3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2:24" ht="15.75" customHeight="1" x14ac:dyDescent="0.3">
      <c r="B717" s="3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2:24" ht="15.75" customHeight="1" x14ac:dyDescent="0.3">
      <c r="B718" s="3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2:24" ht="15.75" customHeight="1" x14ac:dyDescent="0.3">
      <c r="B719" s="3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2:24" ht="15.75" customHeight="1" x14ac:dyDescent="0.3">
      <c r="B720" s="3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2:24" ht="15.75" customHeight="1" x14ac:dyDescent="0.3">
      <c r="B721" s="3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2:24" ht="15.75" customHeight="1" x14ac:dyDescent="0.3">
      <c r="B722" s="3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2:24" ht="15.75" customHeight="1" x14ac:dyDescent="0.3">
      <c r="B723" s="3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2:24" ht="15.75" customHeight="1" x14ac:dyDescent="0.3">
      <c r="B724" s="3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2:24" ht="15.75" customHeight="1" x14ac:dyDescent="0.3">
      <c r="B725" s="3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2:24" ht="15.75" customHeight="1" x14ac:dyDescent="0.3">
      <c r="B726" s="3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2:24" ht="15.75" customHeight="1" x14ac:dyDescent="0.3">
      <c r="B727" s="3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2:24" ht="15.75" customHeight="1" x14ac:dyDescent="0.3">
      <c r="B728" s="3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2:24" ht="15.75" customHeight="1" x14ac:dyDescent="0.3">
      <c r="B729" s="3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2:24" ht="15.75" customHeight="1" x14ac:dyDescent="0.3">
      <c r="B730" s="3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2:24" ht="15.75" customHeight="1" x14ac:dyDescent="0.3">
      <c r="B731" s="3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2:24" ht="15.75" customHeight="1" x14ac:dyDescent="0.3">
      <c r="B732" s="3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2:24" ht="15.75" customHeight="1" x14ac:dyDescent="0.3">
      <c r="B733" s="3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2:24" ht="15.75" customHeight="1" x14ac:dyDescent="0.3">
      <c r="B734" s="3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2:24" ht="15.75" customHeight="1" x14ac:dyDescent="0.3">
      <c r="B735" s="3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2:24" ht="15.75" customHeight="1" x14ac:dyDescent="0.3">
      <c r="B736" s="3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2:24" ht="15.75" customHeight="1" x14ac:dyDescent="0.3">
      <c r="B737" s="3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2:24" ht="15.75" customHeight="1" x14ac:dyDescent="0.3">
      <c r="B738" s="3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2:24" ht="15.75" customHeight="1" x14ac:dyDescent="0.3">
      <c r="B739" s="3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2:24" ht="15.75" customHeight="1" x14ac:dyDescent="0.3">
      <c r="B740" s="3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2:24" ht="15.75" customHeight="1" x14ac:dyDescent="0.3">
      <c r="B741" s="3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2:24" ht="15.75" customHeight="1" x14ac:dyDescent="0.3">
      <c r="B742" s="3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2:24" ht="15.75" customHeight="1" x14ac:dyDescent="0.3">
      <c r="B743" s="3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2:24" ht="15.75" customHeight="1" x14ac:dyDescent="0.3">
      <c r="B744" s="3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2:24" ht="15.75" customHeight="1" x14ac:dyDescent="0.3">
      <c r="B745" s="3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2:24" ht="15.75" customHeight="1" x14ac:dyDescent="0.3">
      <c r="B746" s="3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2:24" ht="15.75" customHeight="1" x14ac:dyDescent="0.3">
      <c r="B747" s="3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2:24" ht="15.75" customHeight="1" x14ac:dyDescent="0.3">
      <c r="B748" s="3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2:24" ht="15.75" customHeight="1" x14ac:dyDescent="0.3">
      <c r="B749" s="3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2:24" ht="15.75" customHeight="1" x14ac:dyDescent="0.3">
      <c r="B750" s="3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2:24" ht="15.75" customHeight="1" x14ac:dyDescent="0.3">
      <c r="B751" s="3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2:24" ht="15.75" customHeight="1" x14ac:dyDescent="0.3">
      <c r="B752" s="3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2:24" ht="15.75" customHeight="1" x14ac:dyDescent="0.3">
      <c r="B753" s="3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2:24" ht="15.75" customHeight="1" x14ac:dyDescent="0.3">
      <c r="B754" s="3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2:24" ht="15.75" customHeight="1" x14ac:dyDescent="0.3">
      <c r="B755" s="3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2:24" ht="15.75" customHeight="1" x14ac:dyDescent="0.3">
      <c r="B756" s="3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2:24" ht="15.75" customHeight="1" x14ac:dyDescent="0.3">
      <c r="B757" s="3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2:24" ht="15.75" customHeight="1" x14ac:dyDescent="0.3">
      <c r="B758" s="3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2:24" ht="15.75" customHeight="1" x14ac:dyDescent="0.3">
      <c r="B759" s="3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2:24" ht="15.75" customHeight="1" x14ac:dyDescent="0.3">
      <c r="B760" s="3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2:24" ht="15.75" customHeight="1" x14ac:dyDescent="0.3">
      <c r="B761" s="3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2:24" ht="15.75" customHeight="1" x14ac:dyDescent="0.3">
      <c r="B762" s="3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2:24" ht="15.75" customHeight="1" x14ac:dyDescent="0.3">
      <c r="B763" s="3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2:24" ht="15.75" customHeight="1" x14ac:dyDescent="0.3">
      <c r="B764" s="3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2:24" ht="15.75" customHeight="1" x14ac:dyDescent="0.3">
      <c r="B765" s="3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2:24" ht="15.75" customHeight="1" x14ac:dyDescent="0.3">
      <c r="B766" s="3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2:24" ht="15.75" customHeight="1" x14ac:dyDescent="0.3">
      <c r="B767" s="3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2:24" ht="15.75" customHeight="1" x14ac:dyDescent="0.3">
      <c r="B768" s="3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2:24" ht="15.75" customHeight="1" x14ac:dyDescent="0.3">
      <c r="B769" s="3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2:24" ht="15.75" customHeight="1" x14ac:dyDescent="0.3">
      <c r="B770" s="3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2:24" ht="15.75" customHeight="1" x14ac:dyDescent="0.3">
      <c r="B771" s="3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2:24" ht="15.75" customHeight="1" x14ac:dyDescent="0.3">
      <c r="B772" s="3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2:24" ht="15.75" customHeight="1" x14ac:dyDescent="0.3">
      <c r="B773" s="3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2:24" ht="15.75" customHeight="1" x14ac:dyDescent="0.3">
      <c r="B774" s="3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2:24" ht="15.75" customHeight="1" x14ac:dyDescent="0.3">
      <c r="B775" s="3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2:24" ht="15.75" customHeight="1" x14ac:dyDescent="0.3">
      <c r="B776" s="3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2:24" ht="15.75" customHeight="1" x14ac:dyDescent="0.3">
      <c r="B777" s="3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2:24" ht="15.75" customHeight="1" x14ac:dyDescent="0.3">
      <c r="B778" s="3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2:24" ht="15.75" customHeight="1" x14ac:dyDescent="0.3">
      <c r="B779" s="3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2:24" ht="15.75" customHeight="1" x14ac:dyDescent="0.3">
      <c r="B780" s="3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2:24" ht="15.75" customHeight="1" x14ac:dyDescent="0.3">
      <c r="B781" s="3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2:24" ht="15.75" customHeight="1" x14ac:dyDescent="0.3">
      <c r="B782" s="3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2:24" ht="15.75" customHeight="1" x14ac:dyDescent="0.3">
      <c r="B783" s="3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2:24" ht="15.75" customHeight="1" x14ac:dyDescent="0.3">
      <c r="B784" s="3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2:24" ht="15.75" customHeight="1" x14ac:dyDescent="0.3">
      <c r="B785" s="3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2:24" ht="15.75" customHeight="1" x14ac:dyDescent="0.3">
      <c r="B786" s="3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2:24" ht="15.75" customHeight="1" x14ac:dyDescent="0.3">
      <c r="B787" s="3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2:24" ht="15.75" customHeight="1" x14ac:dyDescent="0.3">
      <c r="B788" s="3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2:24" ht="15.75" customHeight="1" x14ac:dyDescent="0.3">
      <c r="B789" s="3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2:24" ht="15.75" customHeight="1" x14ac:dyDescent="0.3">
      <c r="B790" s="3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2:24" ht="15.75" customHeight="1" x14ac:dyDescent="0.3">
      <c r="B791" s="3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2:24" ht="15.75" customHeight="1" x14ac:dyDescent="0.3">
      <c r="B792" s="3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2:24" ht="15.75" customHeight="1" x14ac:dyDescent="0.3">
      <c r="B793" s="3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2:24" ht="15.75" customHeight="1" x14ac:dyDescent="0.3">
      <c r="B794" s="3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2:24" ht="15.75" customHeight="1" x14ac:dyDescent="0.3">
      <c r="B795" s="3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2:24" ht="15.75" customHeight="1" x14ac:dyDescent="0.3">
      <c r="B796" s="3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2:24" ht="15.75" customHeight="1" x14ac:dyDescent="0.3">
      <c r="B797" s="3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2:24" ht="15.75" customHeight="1" x14ac:dyDescent="0.3">
      <c r="B798" s="3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2:24" ht="15.75" customHeight="1" x14ac:dyDescent="0.3">
      <c r="B799" s="3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2:24" ht="15.75" customHeight="1" x14ac:dyDescent="0.3">
      <c r="B800" s="3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2:24" ht="15.75" customHeight="1" x14ac:dyDescent="0.3">
      <c r="B801" s="3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2:24" ht="15.75" customHeight="1" x14ac:dyDescent="0.3">
      <c r="B802" s="3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2:24" ht="15.75" customHeight="1" x14ac:dyDescent="0.3">
      <c r="B803" s="3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2:24" ht="15.75" customHeight="1" x14ac:dyDescent="0.3">
      <c r="B804" s="3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2:24" ht="15.75" customHeight="1" x14ac:dyDescent="0.3">
      <c r="B805" s="3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2:24" ht="15.75" customHeight="1" x14ac:dyDescent="0.3">
      <c r="B806" s="3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2:24" ht="15.75" customHeight="1" x14ac:dyDescent="0.3">
      <c r="B807" s="3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2:24" ht="15.75" customHeight="1" x14ac:dyDescent="0.3">
      <c r="B808" s="3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2:24" ht="15.75" customHeight="1" x14ac:dyDescent="0.3">
      <c r="B809" s="3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2:24" ht="15.75" customHeight="1" x14ac:dyDescent="0.3">
      <c r="B810" s="3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2:24" ht="15.75" customHeight="1" x14ac:dyDescent="0.3">
      <c r="B811" s="3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2:24" ht="15.75" customHeight="1" x14ac:dyDescent="0.3">
      <c r="B812" s="3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2:24" ht="15.75" customHeight="1" x14ac:dyDescent="0.3">
      <c r="B813" s="3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2:24" ht="15.75" customHeight="1" x14ac:dyDescent="0.3">
      <c r="B814" s="3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2:24" ht="15.75" customHeight="1" x14ac:dyDescent="0.3">
      <c r="B815" s="3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2:24" ht="15.75" customHeight="1" x14ac:dyDescent="0.3">
      <c r="B816" s="3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2:24" ht="15.75" customHeight="1" x14ac:dyDescent="0.3">
      <c r="B817" s="3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2:24" ht="15.75" customHeight="1" x14ac:dyDescent="0.3">
      <c r="B818" s="3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2:24" ht="15.75" customHeight="1" x14ac:dyDescent="0.3">
      <c r="B819" s="3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2:24" ht="15.75" customHeight="1" x14ac:dyDescent="0.3">
      <c r="B820" s="3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2:24" ht="15.75" customHeight="1" x14ac:dyDescent="0.3">
      <c r="B821" s="3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2:24" ht="15.75" customHeight="1" x14ac:dyDescent="0.3">
      <c r="B822" s="3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2:24" ht="15.75" customHeight="1" x14ac:dyDescent="0.3">
      <c r="B823" s="3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2:24" ht="15.75" customHeight="1" x14ac:dyDescent="0.3">
      <c r="B824" s="3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2:24" ht="15.75" customHeight="1" x14ac:dyDescent="0.3">
      <c r="B825" s="3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2:24" ht="15.75" customHeight="1" x14ac:dyDescent="0.3">
      <c r="B826" s="3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2:24" ht="15.75" customHeight="1" x14ac:dyDescent="0.3">
      <c r="B827" s="3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2:24" ht="15.75" customHeight="1" x14ac:dyDescent="0.3">
      <c r="B828" s="3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2:24" ht="15.75" customHeight="1" x14ac:dyDescent="0.3">
      <c r="B829" s="3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2:24" ht="15.75" customHeight="1" x14ac:dyDescent="0.3">
      <c r="B830" s="3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2:24" ht="15.75" customHeight="1" x14ac:dyDescent="0.3">
      <c r="B831" s="3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2:24" ht="15.75" customHeight="1" x14ac:dyDescent="0.3">
      <c r="B832" s="3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2:24" ht="15.75" customHeight="1" x14ac:dyDescent="0.3">
      <c r="B833" s="3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2:24" ht="15.75" customHeight="1" x14ac:dyDescent="0.3">
      <c r="B834" s="3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2:24" ht="15.75" customHeight="1" x14ac:dyDescent="0.3">
      <c r="B835" s="3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2:24" ht="15.75" customHeight="1" x14ac:dyDescent="0.3">
      <c r="B836" s="3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2:24" ht="15.75" customHeight="1" x14ac:dyDescent="0.3">
      <c r="B837" s="3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2:24" ht="15.75" customHeight="1" x14ac:dyDescent="0.3">
      <c r="B838" s="3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2:24" ht="15.75" customHeight="1" x14ac:dyDescent="0.3">
      <c r="B839" s="3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2:24" ht="15.75" customHeight="1" x14ac:dyDescent="0.3">
      <c r="B840" s="3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2:24" ht="15.75" customHeight="1" x14ac:dyDescent="0.3">
      <c r="B841" s="3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2:24" ht="15.75" customHeight="1" x14ac:dyDescent="0.3">
      <c r="B842" s="3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2:24" ht="15.75" customHeight="1" x14ac:dyDescent="0.3">
      <c r="B843" s="3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2:24" ht="15.75" customHeight="1" x14ac:dyDescent="0.3">
      <c r="B844" s="3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2:24" ht="15.75" customHeight="1" x14ac:dyDescent="0.3">
      <c r="B845" s="3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2:24" ht="15.75" customHeight="1" x14ac:dyDescent="0.3">
      <c r="B846" s="3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2:24" ht="15.75" customHeight="1" x14ac:dyDescent="0.3">
      <c r="B847" s="3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2:24" ht="15.75" customHeight="1" x14ac:dyDescent="0.3">
      <c r="B848" s="3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2:24" ht="15.75" customHeight="1" x14ac:dyDescent="0.3">
      <c r="B849" s="3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2:24" ht="15.75" customHeight="1" x14ac:dyDescent="0.3">
      <c r="B850" s="3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2:24" ht="15.75" customHeight="1" x14ac:dyDescent="0.3">
      <c r="B851" s="3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2:24" ht="15.75" customHeight="1" x14ac:dyDescent="0.3">
      <c r="B852" s="3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2:24" ht="15.75" customHeight="1" x14ac:dyDescent="0.3">
      <c r="B853" s="3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2:24" ht="15.75" customHeight="1" x14ac:dyDescent="0.3">
      <c r="B854" s="3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2:24" ht="15.75" customHeight="1" x14ac:dyDescent="0.3">
      <c r="B855" s="3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2:24" ht="15.75" customHeight="1" x14ac:dyDescent="0.3">
      <c r="B856" s="3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2:24" ht="15.75" customHeight="1" x14ac:dyDescent="0.3">
      <c r="B857" s="3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2:24" ht="15.75" customHeight="1" x14ac:dyDescent="0.3">
      <c r="B858" s="3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2:24" ht="15.75" customHeight="1" x14ac:dyDescent="0.3">
      <c r="B859" s="3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2:24" ht="15.75" customHeight="1" x14ac:dyDescent="0.3">
      <c r="B860" s="3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2:24" ht="15.75" customHeight="1" x14ac:dyDescent="0.3">
      <c r="B861" s="3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2:24" ht="15.75" customHeight="1" x14ac:dyDescent="0.3">
      <c r="B862" s="3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2:24" ht="15.75" customHeight="1" x14ac:dyDescent="0.3">
      <c r="B863" s="3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2:24" ht="15.75" customHeight="1" x14ac:dyDescent="0.3">
      <c r="B864" s="3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2:24" ht="15.75" customHeight="1" x14ac:dyDescent="0.3">
      <c r="B865" s="3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2:24" ht="15.75" customHeight="1" x14ac:dyDescent="0.3">
      <c r="B866" s="3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2:24" ht="15.75" customHeight="1" x14ac:dyDescent="0.3">
      <c r="B867" s="3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2:24" ht="15.75" customHeight="1" x14ac:dyDescent="0.3">
      <c r="B868" s="3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2:24" ht="15.75" customHeight="1" x14ac:dyDescent="0.3">
      <c r="B869" s="3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2:24" ht="15.75" customHeight="1" x14ac:dyDescent="0.3">
      <c r="B870" s="3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2:24" ht="15.75" customHeight="1" x14ac:dyDescent="0.3">
      <c r="B871" s="3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2:24" ht="15.75" customHeight="1" x14ac:dyDescent="0.3">
      <c r="B872" s="3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2:24" ht="15.75" customHeight="1" x14ac:dyDescent="0.3">
      <c r="B873" s="3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2:24" ht="15.75" customHeight="1" x14ac:dyDescent="0.3">
      <c r="B874" s="3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2:24" ht="15.75" customHeight="1" x14ac:dyDescent="0.3">
      <c r="B875" s="3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2:24" ht="15.75" customHeight="1" x14ac:dyDescent="0.3">
      <c r="B876" s="3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2:24" ht="15.75" customHeight="1" x14ac:dyDescent="0.3">
      <c r="B877" s="3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2:24" ht="15.75" customHeight="1" x14ac:dyDescent="0.3">
      <c r="B878" s="3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2:24" ht="15.75" customHeight="1" x14ac:dyDescent="0.3">
      <c r="B879" s="3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2:24" ht="15.75" customHeight="1" x14ac:dyDescent="0.3">
      <c r="B880" s="3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2:24" ht="15.75" customHeight="1" x14ac:dyDescent="0.3">
      <c r="B881" s="3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2:24" ht="15.75" customHeight="1" x14ac:dyDescent="0.3">
      <c r="B882" s="3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2:24" ht="15.75" customHeight="1" x14ac:dyDescent="0.3">
      <c r="B883" s="3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2:24" ht="15.75" customHeight="1" x14ac:dyDescent="0.3">
      <c r="B884" s="3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2:24" ht="15.75" customHeight="1" x14ac:dyDescent="0.3">
      <c r="B885" s="3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2:24" ht="15.75" customHeight="1" x14ac:dyDescent="0.3">
      <c r="B886" s="3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2:24" ht="15.75" customHeight="1" x14ac:dyDescent="0.3">
      <c r="B887" s="3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2:24" ht="15.75" customHeight="1" x14ac:dyDescent="0.3">
      <c r="B888" s="3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2:24" ht="15.75" customHeight="1" x14ac:dyDescent="0.3">
      <c r="B889" s="3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2:24" ht="15.75" customHeight="1" x14ac:dyDescent="0.3">
      <c r="B890" s="3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2:24" ht="15.75" customHeight="1" x14ac:dyDescent="0.3">
      <c r="B891" s="3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2:24" ht="15.75" customHeight="1" x14ac:dyDescent="0.3">
      <c r="B892" s="3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2:24" ht="15.75" customHeight="1" x14ac:dyDescent="0.3">
      <c r="B893" s="3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2:24" ht="15.75" customHeight="1" x14ac:dyDescent="0.3">
      <c r="B894" s="3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2:24" ht="15.75" customHeight="1" x14ac:dyDescent="0.3">
      <c r="B895" s="3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2:24" ht="15.75" customHeight="1" x14ac:dyDescent="0.3">
      <c r="B896" s="3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2:24" ht="15.75" customHeight="1" x14ac:dyDescent="0.3">
      <c r="B897" s="3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2:24" ht="15.75" customHeight="1" x14ac:dyDescent="0.3">
      <c r="B898" s="3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2:24" ht="15.75" customHeight="1" x14ac:dyDescent="0.3">
      <c r="B899" s="3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2:24" ht="15.75" customHeight="1" x14ac:dyDescent="0.3">
      <c r="B900" s="3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2:24" ht="15.75" customHeight="1" x14ac:dyDescent="0.3">
      <c r="B901" s="3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2:24" ht="15.75" customHeight="1" x14ac:dyDescent="0.3">
      <c r="B902" s="3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2:24" ht="15.75" customHeight="1" x14ac:dyDescent="0.3">
      <c r="B903" s="3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2:24" ht="15.75" customHeight="1" x14ac:dyDescent="0.3">
      <c r="B904" s="3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2:24" ht="15.75" customHeight="1" x14ac:dyDescent="0.3">
      <c r="B905" s="3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2:24" ht="15.75" customHeight="1" x14ac:dyDescent="0.3">
      <c r="B906" s="3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2:24" ht="15.75" customHeight="1" x14ac:dyDescent="0.3">
      <c r="B907" s="3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2:24" ht="15.75" customHeight="1" x14ac:dyDescent="0.3">
      <c r="B908" s="3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2:24" ht="15.75" customHeight="1" x14ac:dyDescent="0.3">
      <c r="B909" s="3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2:24" ht="15.75" customHeight="1" x14ac:dyDescent="0.3">
      <c r="B910" s="3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2:24" ht="15.75" customHeight="1" x14ac:dyDescent="0.3">
      <c r="B911" s="3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2:24" ht="15.75" customHeight="1" x14ac:dyDescent="0.3">
      <c r="B912" s="3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2:24" ht="15.75" customHeight="1" x14ac:dyDescent="0.3">
      <c r="B913" s="3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2:24" ht="15.75" customHeight="1" x14ac:dyDescent="0.3">
      <c r="B914" s="3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2:24" ht="15.75" customHeight="1" x14ac:dyDescent="0.3">
      <c r="B915" s="3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2:24" ht="15.75" customHeight="1" x14ac:dyDescent="0.3">
      <c r="B916" s="3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2:24" ht="15.75" customHeight="1" x14ac:dyDescent="0.3">
      <c r="B917" s="3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2:24" ht="15.75" customHeight="1" x14ac:dyDescent="0.3">
      <c r="B918" s="3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2:24" ht="15.75" customHeight="1" x14ac:dyDescent="0.3">
      <c r="B919" s="3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2:24" ht="15.75" customHeight="1" x14ac:dyDescent="0.3">
      <c r="B920" s="3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2:24" ht="15.75" customHeight="1" x14ac:dyDescent="0.3">
      <c r="B921" s="3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2:24" ht="15.75" customHeight="1" x14ac:dyDescent="0.3">
      <c r="B922" s="3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2:24" ht="15.75" customHeight="1" x14ac:dyDescent="0.3">
      <c r="B923" s="3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2:24" ht="15.75" customHeight="1" x14ac:dyDescent="0.3">
      <c r="B924" s="3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2:24" ht="15.75" customHeight="1" x14ac:dyDescent="0.3">
      <c r="B925" s="3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2:24" ht="15.75" customHeight="1" x14ac:dyDescent="0.3">
      <c r="B926" s="3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2:24" ht="15.75" customHeight="1" x14ac:dyDescent="0.3">
      <c r="B927" s="3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2:24" ht="15.75" customHeight="1" x14ac:dyDescent="0.3">
      <c r="B928" s="3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2:24" ht="15.75" customHeight="1" x14ac:dyDescent="0.3">
      <c r="B929" s="3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2:24" ht="15.75" customHeight="1" x14ac:dyDescent="0.3">
      <c r="B930" s="3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2:24" ht="15.75" customHeight="1" x14ac:dyDescent="0.3">
      <c r="B931" s="3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2:24" ht="15.75" customHeight="1" x14ac:dyDescent="0.3">
      <c r="B932" s="3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2:24" ht="15.75" customHeight="1" x14ac:dyDescent="0.3">
      <c r="B933" s="3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2:24" ht="15.75" customHeight="1" x14ac:dyDescent="0.3">
      <c r="B934" s="3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2:24" ht="15.75" customHeight="1" x14ac:dyDescent="0.3">
      <c r="B935" s="3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2:24" ht="15.75" customHeight="1" x14ac:dyDescent="0.3">
      <c r="B936" s="3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2:24" ht="15.75" customHeight="1" x14ac:dyDescent="0.3">
      <c r="B937" s="3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2:24" ht="15.75" customHeight="1" x14ac:dyDescent="0.3">
      <c r="B938" s="3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2:24" ht="15.75" customHeight="1" x14ac:dyDescent="0.3">
      <c r="B939" s="3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2:24" ht="15.75" customHeight="1" x14ac:dyDescent="0.3">
      <c r="B940" s="3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2:24" ht="15.75" customHeight="1" x14ac:dyDescent="0.3">
      <c r="B941" s="3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2:24" ht="15.75" customHeight="1" x14ac:dyDescent="0.3">
      <c r="B942" s="3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2:24" ht="15.75" customHeight="1" x14ac:dyDescent="0.3">
      <c r="B943" s="3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2:24" ht="15.75" customHeight="1" x14ac:dyDescent="0.3">
      <c r="B944" s="3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2:24" ht="15.75" customHeight="1" x14ac:dyDescent="0.3">
      <c r="B945" s="3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2:24" ht="15.75" customHeight="1" x14ac:dyDescent="0.3">
      <c r="B946" s="3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2:24" ht="15.75" customHeight="1" x14ac:dyDescent="0.3">
      <c r="B947" s="3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2:24" ht="15.75" customHeight="1" x14ac:dyDescent="0.3">
      <c r="B948" s="3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2:24" ht="15.75" customHeight="1" x14ac:dyDescent="0.3">
      <c r="B949" s="3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2:24" ht="15.75" customHeight="1" x14ac:dyDescent="0.3">
      <c r="B950" s="3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2:24" ht="15.75" customHeight="1" x14ac:dyDescent="0.3">
      <c r="B951" s="3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2:24" ht="15.75" customHeight="1" x14ac:dyDescent="0.3">
      <c r="B952" s="3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2:24" ht="15.75" customHeight="1" x14ac:dyDescent="0.3">
      <c r="B953" s="3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2:24" ht="15.75" customHeight="1" x14ac:dyDescent="0.3">
      <c r="B954" s="3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2:24" ht="15.75" customHeight="1" x14ac:dyDescent="0.3">
      <c r="B955" s="3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2:24" ht="15.75" customHeight="1" x14ac:dyDescent="0.3">
      <c r="B956" s="3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2:24" ht="15.75" customHeight="1" x14ac:dyDescent="0.3">
      <c r="B957" s="3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2:24" ht="15.75" customHeight="1" x14ac:dyDescent="0.3">
      <c r="B958" s="3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2:24" ht="15.75" customHeight="1" x14ac:dyDescent="0.3">
      <c r="B959" s="3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2:24" ht="15.75" customHeight="1" x14ac:dyDescent="0.3">
      <c r="B960" s="3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2:24" ht="15.75" customHeight="1" x14ac:dyDescent="0.3">
      <c r="B961" s="3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2:24" ht="15.75" customHeight="1" x14ac:dyDescent="0.3">
      <c r="B962" s="3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2:24" ht="15.75" customHeight="1" x14ac:dyDescent="0.3">
      <c r="B963" s="3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2:24" ht="15.75" customHeight="1" x14ac:dyDescent="0.3">
      <c r="B964" s="3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2:24" ht="15.75" customHeight="1" x14ac:dyDescent="0.3">
      <c r="B965" s="3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2:24" ht="15.75" customHeight="1" x14ac:dyDescent="0.3">
      <c r="B966" s="3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2:24" ht="15.75" customHeight="1" x14ac:dyDescent="0.3">
      <c r="B967" s="3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2:24" ht="15.75" customHeight="1" x14ac:dyDescent="0.3">
      <c r="B968" s="3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2:24" ht="15.75" customHeight="1" x14ac:dyDescent="0.3">
      <c r="B969" s="3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2:24" ht="15.75" customHeight="1" x14ac:dyDescent="0.3">
      <c r="B970" s="3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2:24" ht="15.75" customHeight="1" x14ac:dyDescent="0.3">
      <c r="B971" s="3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2:24" ht="15.75" customHeight="1" x14ac:dyDescent="0.3">
      <c r="B972" s="3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2:24" ht="15.75" customHeight="1" x14ac:dyDescent="0.3">
      <c r="B973" s="3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2:24" ht="15.75" customHeight="1" x14ac:dyDescent="0.3">
      <c r="B974" s="3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2:24" ht="15.75" customHeight="1" x14ac:dyDescent="0.3">
      <c r="B975" s="3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2:24" ht="15.75" customHeight="1" x14ac:dyDescent="0.3">
      <c r="B976" s="3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2:24" ht="15.75" customHeight="1" x14ac:dyDescent="0.3">
      <c r="B977" s="3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2:24" ht="15.75" customHeight="1" x14ac:dyDescent="0.3">
      <c r="B978" s="3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2:24" ht="15.75" customHeight="1" x14ac:dyDescent="0.3">
      <c r="B979" s="3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2:24" ht="15.75" customHeight="1" x14ac:dyDescent="0.3">
      <c r="B980" s="3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2:24" ht="15.75" customHeight="1" x14ac:dyDescent="0.3">
      <c r="B981" s="3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2:24" ht="15.75" customHeight="1" x14ac:dyDescent="0.3">
      <c r="B982" s="3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2:24" ht="15.75" customHeight="1" x14ac:dyDescent="0.3">
      <c r="B983" s="3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2:24" ht="15.75" customHeight="1" x14ac:dyDescent="0.3">
      <c r="B984" s="3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2:24" ht="15.75" customHeight="1" x14ac:dyDescent="0.3">
      <c r="B985" s="3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2:24" ht="15.75" customHeight="1" x14ac:dyDescent="0.3">
      <c r="B986" s="3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2:24" ht="15.75" customHeight="1" x14ac:dyDescent="0.3">
      <c r="B987" s="3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2:24" ht="15.75" customHeight="1" x14ac:dyDescent="0.3">
      <c r="B988" s="3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2:24" ht="15.75" customHeight="1" x14ac:dyDescent="0.3">
      <c r="B989" s="3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2:24" ht="15.75" customHeight="1" x14ac:dyDescent="0.3">
      <c r="B990" s="3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2:24" ht="15.75" customHeight="1" x14ac:dyDescent="0.3">
      <c r="B991" s="3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2:24" ht="15.75" customHeight="1" x14ac:dyDescent="0.3">
      <c r="B992" s="3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2:24" ht="15.75" customHeight="1" x14ac:dyDescent="0.3">
      <c r="B993" s="3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2:24" ht="15.75" customHeight="1" x14ac:dyDescent="0.3">
      <c r="B994" s="3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2:24" ht="15.75" customHeight="1" x14ac:dyDescent="0.3">
      <c r="B995" s="3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2:24" ht="15.75" customHeight="1" x14ac:dyDescent="0.3">
      <c r="B996" s="3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2:24" ht="15.75" customHeight="1" x14ac:dyDescent="0.3">
      <c r="B997" s="3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2:24" ht="15.75" customHeight="1" x14ac:dyDescent="0.3">
      <c r="B998" s="3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2:24" ht="15.75" customHeight="1" x14ac:dyDescent="0.3">
      <c r="B999" s="3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2:24" ht="15.75" customHeight="1" x14ac:dyDescent="0.3">
      <c r="B1000" s="3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autoFilter ref="B6:D26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1B9E-D6A8-4A81-B594-C98ECF3A8124}">
  <sheetPr>
    <tabColor rgb="FFF4B083"/>
    <pageSetUpPr fitToPage="1"/>
  </sheetPr>
  <dimension ref="A1:J1042"/>
  <sheetViews>
    <sheetView tabSelected="1" workbookViewId="0">
      <pane xSplit="2" ySplit="10" topLeftCell="C67" activePane="bottomRight" state="frozen"/>
      <selection activeCell="H1" sqref="H1"/>
      <selection pane="topRight" activeCell="J1" sqref="J1"/>
      <selection pane="bottomLeft" activeCell="H5" sqref="H5"/>
      <selection pane="bottomRight" activeCell="E78" sqref="E78"/>
    </sheetView>
  </sheetViews>
  <sheetFormatPr defaultColWidth="13" defaultRowHeight="15" customHeight="1" x14ac:dyDescent="0.3"/>
  <cols>
    <col min="1" max="1" width="9.8984375" style="145" customWidth="1"/>
    <col min="2" max="2" width="37.796875" style="93" customWidth="1"/>
    <col min="3" max="3" width="11.8984375" style="93" customWidth="1"/>
    <col min="4" max="4" width="9.59765625" style="93" customWidth="1"/>
    <col min="5" max="5" width="10.796875" style="93" customWidth="1"/>
    <col min="6" max="6" width="15" style="93" customWidth="1"/>
    <col min="7" max="7" width="14.8984375" style="274" customWidth="1"/>
    <col min="8" max="8" width="13.5" style="93" customWidth="1"/>
    <col min="9" max="9" width="2.69921875" style="93" customWidth="1"/>
    <col min="10" max="16384" width="13" style="93"/>
  </cols>
  <sheetData>
    <row r="1" spans="1:8" ht="18" x14ac:dyDescent="0.35">
      <c r="A1" s="92" t="s">
        <v>67</v>
      </c>
      <c r="C1" s="94" t="s">
        <v>68</v>
      </c>
      <c r="D1" s="95">
        <v>855920893</v>
      </c>
      <c r="E1" s="96"/>
      <c r="F1" s="96" t="s">
        <v>69</v>
      </c>
      <c r="G1" s="261"/>
      <c r="H1" s="95">
        <v>861590067</v>
      </c>
    </row>
    <row r="3" spans="1:8" ht="15" customHeight="1" x14ac:dyDescent="0.3">
      <c r="D3" s="247" t="s">
        <v>168</v>
      </c>
      <c r="E3" s="330">
        <v>0</v>
      </c>
      <c r="G3" s="247" t="s">
        <v>168</v>
      </c>
      <c r="H3" s="248">
        <v>0</v>
      </c>
    </row>
    <row r="4" spans="1:8" ht="15" customHeight="1" x14ac:dyDescent="0.3">
      <c r="D4" s="247" t="s">
        <v>169</v>
      </c>
      <c r="E4" s="331">
        <f>+C74</f>
        <v>2980</v>
      </c>
      <c r="G4" s="247" t="s">
        <v>169</v>
      </c>
      <c r="H4" s="249">
        <f>+F74</f>
        <v>781080</v>
      </c>
    </row>
    <row r="5" spans="1:8" ht="15" customHeight="1" x14ac:dyDescent="0.3">
      <c r="D5" s="247" t="s">
        <v>63</v>
      </c>
      <c r="E5" s="332">
        <f>+E3+E4</f>
        <v>2980</v>
      </c>
      <c r="G5" s="247" t="s">
        <v>63</v>
      </c>
      <c r="H5" s="251">
        <f>+H3+H4</f>
        <v>781080</v>
      </c>
    </row>
    <row r="6" spans="1:8" ht="15" customHeight="1" x14ac:dyDescent="0.3">
      <c r="D6" s="247" t="s">
        <v>151</v>
      </c>
      <c r="E6" s="331">
        <f>+D74</f>
        <v>2980</v>
      </c>
      <c r="G6" s="247" t="s">
        <v>151</v>
      </c>
      <c r="H6" s="249">
        <f>+G74</f>
        <v>717947</v>
      </c>
    </row>
    <row r="7" spans="1:8" ht="15" customHeight="1" thickBot="1" x14ac:dyDescent="0.35">
      <c r="D7" s="247" t="s">
        <v>170</v>
      </c>
      <c r="E7" s="333">
        <f>+E5-E6</f>
        <v>0</v>
      </c>
      <c r="G7" s="247" t="s">
        <v>170</v>
      </c>
      <c r="H7" s="250">
        <f>+H5-H6</f>
        <v>63133</v>
      </c>
    </row>
    <row r="8" spans="1:8" ht="15" customHeight="1" thickTop="1" x14ac:dyDescent="0.3"/>
    <row r="9" spans="1:8" ht="14.4" x14ac:dyDescent="0.3">
      <c r="A9" s="97"/>
      <c r="B9" s="98"/>
      <c r="C9" s="99"/>
      <c r="D9" s="100" t="s">
        <v>14</v>
      </c>
      <c r="E9" s="101"/>
      <c r="F9" s="101"/>
      <c r="G9" s="262"/>
      <c r="H9" s="102"/>
    </row>
    <row r="10" spans="1:8" ht="14.4" x14ac:dyDescent="0.3">
      <c r="A10" s="103" t="s">
        <v>15</v>
      </c>
      <c r="B10" s="104" t="s">
        <v>16</v>
      </c>
      <c r="C10" s="105" t="s">
        <v>18</v>
      </c>
      <c r="D10" s="105" t="s">
        <v>17</v>
      </c>
      <c r="E10" s="106" t="s">
        <v>19</v>
      </c>
      <c r="F10" s="105" t="s">
        <v>18</v>
      </c>
      <c r="G10" s="263" t="s">
        <v>17</v>
      </c>
      <c r="H10" s="106" t="s">
        <v>19</v>
      </c>
    </row>
    <row r="11" spans="1:8" ht="14.4" x14ac:dyDescent="0.3">
      <c r="A11" s="103">
        <v>45962</v>
      </c>
      <c r="B11" s="104" t="s">
        <v>21</v>
      </c>
      <c r="C11" s="105">
        <v>0</v>
      </c>
      <c r="D11" s="105"/>
      <c r="E11" s="106">
        <f>+C11-D11</f>
        <v>0</v>
      </c>
      <c r="F11" s="107">
        <v>0</v>
      </c>
      <c r="G11" s="264"/>
      <c r="H11" s="108">
        <f>+F11</f>
        <v>0</v>
      </c>
    </row>
    <row r="12" spans="1:8" ht="14.4" x14ac:dyDescent="0.3">
      <c r="A12" s="103">
        <v>45963</v>
      </c>
      <c r="B12" s="104" t="s">
        <v>72</v>
      </c>
      <c r="C12" s="105"/>
      <c r="D12" s="105"/>
      <c r="E12" s="106">
        <f>+E11+C12-D12</f>
        <v>0</v>
      </c>
      <c r="F12" s="107">
        <v>3000</v>
      </c>
      <c r="G12" s="264"/>
      <c r="H12" s="108">
        <f>+F12-G12</f>
        <v>3000</v>
      </c>
    </row>
    <row r="13" spans="1:8" ht="15.75" customHeight="1" x14ac:dyDescent="0.3">
      <c r="A13" s="103">
        <v>45980</v>
      </c>
      <c r="B13" s="109" t="s">
        <v>73</v>
      </c>
      <c r="C13" s="105"/>
      <c r="D13" s="105"/>
      <c r="E13" s="106">
        <f t="shared" ref="E13:E17" si="0">+E12+C13-D13</f>
        <v>0</v>
      </c>
      <c r="F13" s="107">
        <f>26500*3.9</f>
        <v>103350</v>
      </c>
      <c r="G13" s="264"/>
      <c r="H13" s="108">
        <f>+H12+F13-G13</f>
        <v>106350</v>
      </c>
    </row>
    <row r="14" spans="1:8" ht="15.75" customHeight="1" x14ac:dyDescent="0.3">
      <c r="A14" s="103">
        <v>45980</v>
      </c>
      <c r="B14" s="110" t="s">
        <v>74</v>
      </c>
      <c r="C14" s="105"/>
      <c r="D14" s="105"/>
      <c r="E14" s="106">
        <f t="shared" si="0"/>
        <v>0</v>
      </c>
      <c r="F14" s="107"/>
      <c r="G14" s="264">
        <v>103350</v>
      </c>
      <c r="H14" s="108">
        <f>+H13+F14-G14</f>
        <v>3000</v>
      </c>
    </row>
    <row r="15" spans="1:8" ht="15.75" customHeight="1" x14ac:dyDescent="0.3">
      <c r="A15" s="103">
        <v>45992</v>
      </c>
      <c r="B15" s="104" t="s">
        <v>72</v>
      </c>
      <c r="C15" s="105"/>
      <c r="D15" s="105"/>
      <c r="E15" s="106">
        <f t="shared" si="0"/>
        <v>0</v>
      </c>
      <c r="F15" s="107">
        <v>3000</v>
      </c>
      <c r="G15" s="264"/>
      <c r="H15" s="108">
        <f t="shared" ref="H15:H72" si="1">+H14+F15-G15</f>
        <v>6000</v>
      </c>
    </row>
    <row r="16" spans="1:8" ht="14.4" customHeight="1" x14ac:dyDescent="0.3">
      <c r="A16" s="103">
        <v>46014</v>
      </c>
      <c r="B16" s="104" t="s">
        <v>75</v>
      </c>
      <c r="C16" s="105">
        <v>900</v>
      </c>
      <c r="D16" s="105"/>
      <c r="E16" s="106">
        <f t="shared" si="0"/>
        <v>900</v>
      </c>
      <c r="F16" s="107"/>
      <c r="G16" s="264"/>
      <c r="H16" s="108">
        <f t="shared" si="1"/>
        <v>6000</v>
      </c>
    </row>
    <row r="17" spans="1:8" ht="15.75" customHeight="1" x14ac:dyDescent="0.3">
      <c r="A17" s="103">
        <v>46014</v>
      </c>
      <c r="B17" s="104" t="s">
        <v>76</v>
      </c>
      <c r="C17" s="105"/>
      <c r="D17" s="105">
        <v>900</v>
      </c>
      <c r="E17" s="106">
        <f t="shared" si="0"/>
        <v>0</v>
      </c>
      <c r="F17" s="107">
        <f>+D17*69</f>
        <v>62100</v>
      </c>
      <c r="G17" s="264"/>
      <c r="H17" s="108">
        <f t="shared" si="1"/>
        <v>68100</v>
      </c>
    </row>
    <row r="18" spans="1:8" ht="15.75" customHeight="1" x14ac:dyDescent="0.3">
      <c r="A18" s="103">
        <v>46014</v>
      </c>
      <c r="B18" s="104" t="s">
        <v>77</v>
      </c>
      <c r="C18" s="105"/>
      <c r="D18" s="105"/>
      <c r="E18" s="106">
        <f>+E17+C18-D18</f>
        <v>0</v>
      </c>
      <c r="F18" s="107"/>
      <c r="G18" s="264">
        <f>9500*2</f>
        <v>19000</v>
      </c>
      <c r="H18" s="108">
        <f t="shared" si="1"/>
        <v>49100</v>
      </c>
    </row>
    <row r="19" spans="1:8" ht="15.75" customHeight="1" x14ac:dyDescent="0.3">
      <c r="A19" s="103">
        <v>46014</v>
      </c>
      <c r="B19" s="104" t="s">
        <v>78</v>
      </c>
      <c r="C19" s="105"/>
      <c r="D19" s="105"/>
      <c r="E19" s="106">
        <f>+E18+C19-D19</f>
        <v>0</v>
      </c>
      <c r="F19" s="107"/>
      <c r="G19" s="264">
        <v>1350</v>
      </c>
      <c r="H19" s="108">
        <f t="shared" si="1"/>
        <v>47750</v>
      </c>
    </row>
    <row r="20" spans="1:8" ht="15.75" customHeight="1" x14ac:dyDescent="0.3">
      <c r="A20" s="103">
        <v>46017</v>
      </c>
      <c r="B20" s="109" t="s">
        <v>79</v>
      </c>
      <c r="C20" s="111">
        <v>500</v>
      </c>
      <c r="D20" s="111"/>
      <c r="E20" s="106">
        <f>+E19+C20-D20</f>
        <v>500</v>
      </c>
      <c r="F20" s="112"/>
      <c r="G20" s="264"/>
      <c r="H20" s="113">
        <f t="shared" si="1"/>
        <v>47750</v>
      </c>
    </row>
    <row r="21" spans="1:8" ht="15.75" customHeight="1" x14ac:dyDescent="0.3">
      <c r="A21" s="103">
        <v>46016</v>
      </c>
      <c r="B21" s="104" t="s">
        <v>80</v>
      </c>
      <c r="C21" s="114"/>
      <c r="D21" s="114">
        <v>500</v>
      </c>
      <c r="E21" s="106">
        <f>+E20+C21-D21</f>
        <v>0</v>
      </c>
      <c r="F21" s="115">
        <f>+D21*69</f>
        <v>34500</v>
      </c>
      <c r="G21" s="263"/>
      <c r="H21" s="113">
        <f t="shared" si="1"/>
        <v>82250</v>
      </c>
    </row>
    <row r="22" spans="1:8" ht="15.75" customHeight="1" x14ac:dyDescent="0.3">
      <c r="A22" s="103">
        <v>46002</v>
      </c>
      <c r="B22" s="116" t="s">
        <v>81</v>
      </c>
      <c r="C22" s="114"/>
      <c r="D22" s="114"/>
      <c r="E22" s="106">
        <f t="shared" ref="E22:E63" si="2">+E21+C22-D22</f>
        <v>0</v>
      </c>
      <c r="F22" s="115"/>
      <c r="G22" s="265">
        <v>4700</v>
      </c>
      <c r="H22" s="113">
        <f t="shared" si="1"/>
        <v>77550</v>
      </c>
    </row>
    <row r="23" spans="1:8" ht="15.75" customHeight="1" x14ac:dyDescent="0.3">
      <c r="A23" s="103">
        <v>46003</v>
      </c>
      <c r="B23" s="116" t="s">
        <v>82</v>
      </c>
      <c r="C23" s="111"/>
      <c r="D23" s="111"/>
      <c r="E23" s="106">
        <f t="shared" si="2"/>
        <v>0</v>
      </c>
      <c r="F23" s="112"/>
      <c r="G23" s="265">
        <v>9710</v>
      </c>
      <c r="H23" s="113">
        <f t="shared" si="1"/>
        <v>67840</v>
      </c>
    </row>
    <row r="24" spans="1:8" ht="15.75" customHeight="1" x14ac:dyDescent="0.3">
      <c r="A24" s="103">
        <v>46010</v>
      </c>
      <c r="B24" s="116" t="s">
        <v>83</v>
      </c>
      <c r="C24" s="114"/>
      <c r="D24" s="114"/>
      <c r="E24" s="106">
        <f t="shared" si="2"/>
        <v>0</v>
      </c>
      <c r="F24" s="117"/>
      <c r="G24" s="265">
        <v>2220</v>
      </c>
      <c r="H24" s="113">
        <f t="shared" si="1"/>
        <v>65620</v>
      </c>
    </row>
    <row r="25" spans="1:8" ht="15.75" customHeight="1" x14ac:dyDescent="0.3">
      <c r="A25" s="103">
        <v>46011</v>
      </c>
      <c r="B25" s="118" t="s">
        <v>84</v>
      </c>
      <c r="C25" s="114">
        <v>300</v>
      </c>
      <c r="D25" s="114"/>
      <c r="E25" s="106">
        <f t="shared" si="2"/>
        <v>300</v>
      </c>
      <c r="F25" s="117"/>
      <c r="G25" s="265"/>
      <c r="H25" s="113">
        <f t="shared" si="1"/>
        <v>65620</v>
      </c>
    </row>
    <row r="26" spans="1:8" ht="15.75" customHeight="1" x14ac:dyDescent="0.3">
      <c r="A26" s="103">
        <v>46020</v>
      </c>
      <c r="B26" s="119" t="s">
        <v>85</v>
      </c>
      <c r="C26" s="114">
        <v>0</v>
      </c>
      <c r="D26" s="114"/>
      <c r="E26" s="106">
        <f t="shared" si="2"/>
        <v>300</v>
      </c>
      <c r="F26" s="120"/>
      <c r="G26" s="266"/>
      <c r="H26" s="108">
        <f t="shared" si="1"/>
        <v>65620</v>
      </c>
    </row>
    <row r="27" spans="1:8" ht="15.75" customHeight="1" x14ac:dyDescent="0.3">
      <c r="A27" s="103">
        <v>46020</v>
      </c>
      <c r="B27" s="119" t="s">
        <v>86</v>
      </c>
      <c r="C27" s="121"/>
      <c r="D27" s="121"/>
      <c r="E27" s="106">
        <f t="shared" si="2"/>
        <v>300</v>
      </c>
      <c r="F27" s="120"/>
      <c r="G27" s="266">
        <f>400+200+200+200+500</f>
        <v>1500</v>
      </c>
      <c r="H27" s="108">
        <f t="shared" si="1"/>
        <v>64120</v>
      </c>
    </row>
    <row r="28" spans="1:8" ht="15.75" customHeight="1" x14ac:dyDescent="0.3">
      <c r="A28" s="103">
        <v>46020</v>
      </c>
      <c r="B28" s="119" t="s">
        <v>87</v>
      </c>
      <c r="C28" s="121"/>
      <c r="D28" s="121"/>
      <c r="E28" s="106">
        <f t="shared" si="2"/>
        <v>300</v>
      </c>
      <c r="F28" s="120"/>
      <c r="G28" s="266"/>
      <c r="H28" s="108">
        <f t="shared" si="1"/>
        <v>64120</v>
      </c>
    </row>
    <row r="29" spans="1:8" ht="15.75" customHeight="1" x14ac:dyDescent="0.3">
      <c r="A29" s="103">
        <v>46028</v>
      </c>
      <c r="B29" s="119" t="s">
        <v>88</v>
      </c>
      <c r="C29" s="121"/>
      <c r="D29" s="121">
        <v>400</v>
      </c>
      <c r="E29" s="106">
        <f t="shared" si="2"/>
        <v>-100</v>
      </c>
      <c r="F29" s="120"/>
      <c r="G29" s="266"/>
      <c r="H29" s="108">
        <f t="shared" si="1"/>
        <v>64120</v>
      </c>
    </row>
    <row r="30" spans="1:8" ht="15.75" customHeight="1" x14ac:dyDescent="0.3">
      <c r="A30" s="103">
        <v>46030</v>
      </c>
      <c r="B30" s="119" t="s">
        <v>89</v>
      </c>
      <c r="C30" s="121"/>
      <c r="D30" s="121"/>
      <c r="E30" s="106">
        <f t="shared" si="2"/>
        <v>-100</v>
      </c>
      <c r="F30" s="120"/>
      <c r="G30" s="267">
        <v>960</v>
      </c>
      <c r="H30" s="108">
        <f t="shared" si="1"/>
        <v>63160</v>
      </c>
    </row>
    <row r="31" spans="1:8" ht="15.75" customHeight="1" x14ac:dyDescent="0.3">
      <c r="A31" s="103">
        <v>46030</v>
      </c>
      <c r="B31" s="122" t="s">
        <v>90</v>
      </c>
      <c r="C31" s="121"/>
      <c r="D31" s="121"/>
      <c r="E31" s="106">
        <f t="shared" si="2"/>
        <v>-100</v>
      </c>
      <c r="F31" s="120"/>
      <c r="G31" s="268">
        <v>6500</v>
      </c>
      <c r="H31" s="108">
        <f t="shared" si="1"/>
        <v>56660</v>
      </c>
    </row>
    <row r="32" spans="1:8" ht="15.75" customHeight="1" x14ac:dyDescent="0.3">
      <c r="A32" s="103">
        <v>46030</v>
      </c>
      <c r="B32" s="119" t="s">
        <v>91</v>
      </c>
      <c r="C32" s="121"/>
      <c r="D32" s="121"/>
      <c r="E32" s="106">
        <f t="shared" si="2"/>
        <v>-100</v>
      </c>
      <c r="F32" s="120"/>
      <c r="G32" s="267">
        <f>3900+3250</f>
        <v>7150</v>
      </c>
      <c r="H32" s="108">
        <f t="shared" si="1"/>
        <v>49510</v>
      </c>
    </row>
    <row r="33" spans="1:10" ht="15.75" customHeight="1" x14ac:dyDescent="0.3">
      <c r="A33" s="103">
        <v>46030</v>
      </c>
      <c r="B33" s="119" t="s">
        <v>92</v>
      </c>
      <c r="C33" s="121"/>
      <c r="D33" s="121"/>
      <c r="E33" s="106">
        <f t="shared" si="2"/>
        <v>-100</v>
      </c>
      <c r="F33" s="120"/>
      <c r="G33" s="267">
        <f>3250+7500</f>
        <v>10750</v>
      </c>
      <c r="H33" s="108">
        <f t="shared" si="1"/>
        <v>38760</v>
      </c>
    </row>
    <row r="34" spans="1:10" ht="15.75" customHeight="1" x14ac:dyDescent="0.3">
      <c r="A34" s="103">
        <v>46030</v>
      </c>
      <c r="B34" s="119" t="s">
        <v>93</v>
      </c>
      <c r="C34" s="121"/>
      <c r="D34" s="121"/>
      <c r="E34" s="106">
        <f t="shared" si="2"/>
        <v>-100</v>
      </c>
      <c r="F34" s="120"/>
      <c r="G34" s="267">
        <v>2600</v>
      </c>
      <c r="H34" s="108">
        <f t="shared" si="1"/>
        <v>36160</v>
      </c>
    </row>
    <row r="35" spans="1:10" ht="15.75" customHeight="1" x14ac:dyDescent="0.3">
      <c r="A35" s="103">
        <v>46030</v>
      </c>
      <c r="B35" s="119" t="s">
        <v>94</v>
      </c>
      <c r="C35" s="121"/>
      <c r="D35" s="121"/>
      <c r="E35" s="106">
        <f t="shared" si="2"/>
        <v>-100</v>
      </c>
      <c r="F35" s="120"/>
      <c r="G35" s="267">
        <f>1950+2500</f>
        <v>4450</v>
      </c>
      <c r="H35" s="108">
        <f t="shared" si="1"/>
        <v>31710</v>
      </c>
    </row>
    <row r="36" spans="1:10" ht="15.75" customHeight="1" x14ac:dyDescent="0.3">
      <c r="A36" s="103">
        <v>46030</v>
      </c>
      <c r="B36" s="109" t="s">
        <v>95</v>
      </c>
      <c r="C36" s="114"/>
      <c r="D36" s="114"/>
      <c r="E36" s="106">
        <f t="shared" si="2"/>
        <v>-100</v>
      </c>
      <c r="F36" s="120"/>
      <c r="G36" s="267">
        <f>250+650</f>
        <v>900</v>
      </c>
      <c r="H36" s="108">
        <f t="shared" si="1"/>
        <v>30810</v>
      </c>
    </row>
    <row r="37" spans="1:10" ht="15.75" customHeight="1" x14ac:dyDescent="0.3">
      <c r="A37" s="103">
        <v>46030</v>
      </c>
      <c r="B37" s="119" t="s">
        <v>96</v>
      </c>
      <c r="C37" s="121"/>
      <c r="D37" s="121"/>
      <c r="E37" s="106">
        <f t="shared" si="2"/>
        <v>-100</v>
      </c>
      <c r="F37" s="120"/>
      <c r="G37" s="267">
        <f>250+650</f>
        <v>900</v>
      </c>
      <c r="H37" s="108">
        <f t="shared" si="1"/>
        <v>29910</v>
      </c>
    </row>
    <row r="38" spans="1:10" ht="15.75" customHeight="1" x14ac:dyDescent="0.3">
      <c r="A38" s="103">
        <v>46030</v>
      </c>
      <c r="B38" s="123" t="s">
        <v>97</v>
      </c>
      <c r="C38" s="121"/>
      <c r="D38" s="121"/>
      <c r="E38" s="106">
        <f t="shared" si="2"/>
        <v>-100</v>
      </c>
      <c r="F38" s="120"/>
      <c r="G38" s="267">
        <v>650</v>
      </c>
      <c r="H38" s="108">
        <f t="shared" si="1"/>
        <v>29260</v>
      </c>
    </row>
    <row r="39" spans="1:10" ht="15.75" customHeight="1" x14ac:dyDescent="0.3">
      <c r="A39" s="103">
        <v>46030</v>
      </c>
      <c r="B39" s="124" t="s">
        <v>98</v>
      </c>
      <c r="C39" s="121"/>
      <c r="D39" s="121"/>
      <c r="E39" s="106">
        <f t="shared" si="2"/>
        <v>-100</v>
      </c>
      <c r="F39" s="120"/>
      <c r="G39" s="267">
        <v>650</v>
      </c>
      <c r="H39" s="108">
        <f t="shared" si="1"/>
        <v>28610</v>
      </c>
    </row>
    <row r="40" spans="1:10" ht="15.75" customHeight="1" x14ac:dyDescent="0.3">
      <c r="A40" s="103">
        <v>46030</v>
      </c>
      <c r="B40" s="125" t="s">
        <v>99</v>
      </c>
      <c r="C40" s="121"/>
      <c r="D40" s="121"/>
      <c r="E40" s="106">
        <f t="shared" si="2"/>
        <v>-100</v>
      </c>
      <c r="F40" s="120"/>
      <c r="G40" s="267">
        <v>650</v>
      </c>
      <c r="H40" s="108">
        <f t="shared" si="1"/>
        <v>27960</v>
      </c>
    </row>
    <row r="41" spans="1:10" ht="15.75" customHeight="1" x14ac:dyDescent="0.3">
      <c r="A41" s="103">
        <v>46030</v>
      </c>
      <c r="B41" s="125" t="s">
        <v>100</v>
      </c>
      <c r="C41" s="121"/>
      <c r="D41" s="121"/>
      <c r="E41" s="106">
        <f t="shared" si="2"/>
        <v>-100</v>
      </c>
      <c r="F41" s="120"/>
      <c r="G41" s="267">
        <v>650</v>
      </c>
      <c r="H41" s="108">
        <f t="shared" si="1"/>
        <v>27310</v>
      </c>
    </row>
    <row r="42" spans="1:10" ht="15.75" customHeight="1" x14ac:dyDescent="0.3">
      <c r="A42" s="103">
        <v>46030</v>
      </c>
      <c r="B42" s="126" t="s">
        <v>101</v>
      </c>
      <c r="C42" s="121"/>
      <c r="D42" s="121"/>
      <c r="E42" s="106">
        <f t="shared" si="2"/>
        <v>-100</v>
      </c>
      <c r="F42" s="120"/>
      <c r="G42" s="267">
        <v>24250</v>
      </c>
      <c r="H42" s="108">
        <f t="shared" si="1"/>
        <v>3060</v>
      </c>
    </row>
    <row r="43" spans="1:10" ht="15.75" customHeight="1" x14ac:dyDescent="0.3">
      <c r="A43" s="103">
        <v>46023</v>
      </c>
      <c r="B43" s="119" t="s">
        <v>102</v>
      </c>
      <c r="C43" s="121"/>
      <c r="D43" s="121"/>
      <c r="E43" s="106">
        <f t="shared" si="2"/>
        <v>-100</v>
      </c>
      <c r="F43" s="120">
        <v>3000</v>
      </c>
      <c r="G43" s="267"/>
      <c r="H43" s="108">
        <f t="shared" si="1"/>
        <v>6060</v>
      </c>
    </row>
    <row r="44" spans="1:10" ht="15.75" customHeight="1" x14ac:dyDescent="0.3">
      <c r="A44" s="127">
        <v>46059</v>
      </c>
      <c r="B44" s="109" t="s">
        <v>103</v>
      </c>
      <c r="C44" s="114"/>
      <c r="D44" s="114"/>
      <c r="E44" s="106">
        <f t="shared" si="2"/>
        <v>-100</v>
      </c>
      <c r="F44" s="128">
        <f>66420*2</f>
        <v>132840</v>
      </c>
      <c r="G44" s="268"/>
      <c r="H44" s="108">
        <f t="shared" si="1"/>
        <v>138900</v>
      </c>
    </row>
    <row r="45" spans="1:10" ht="15.75" customHeight="1" x14ac:dyDescent="0.3">
      <c r="A45" s="127">
        <v>46066</v>
      </c>
      <c r="B45" s="109" t="s">
        <v>104</v>
      </c>
      <c r="C45" s="114"/>
      <c r="D45" s="114"/>
      <c r="E45" s="106">
        <f t="shared" si="2"/>
        <v>-100</v>
      </c>
      <c r="F45" s="128"/>
      <c r="G45" s="268">
        <f>507-30</f>
        <v>477</v>
      </c>
      <c r="H45" s="108">
        <f t="shared" si="1"/>
        <v>138423</v>
      </c>
    </row>
    <row r="46" spans="1:10" ht="15.75" customHeight="1" x14ac:dyDescent="0.3">
      <c r="A46" s="127">
        <v>46073</v>
      </c>
      <c r="B46" s="129" t="s">
        <v>105</v>
      </c>
      <c r="C46" s="114"/>
      <c r="D46" s="114"/>
      <c r="E46" s="106">
        <f t="shared" si="2"/>
        <v>-100</v>
      </c>
      <c r="F46" s="128"/>
      <c r="G46" s="268">
        <v>5000</v>
      </c>
      <c r="H46" s="108">
        <f t="shared" si="1"/>
        <v>133423</v>
      </c>
      <c r="J46" s="130"/>
    </row>
    <row r="47" spans="1:10" ht="15.75" customHeight="1" x14ac:dyDescent="0.3">
      <c r="A47" s="127">
        <v>46073</v>
      </c>
      <c r="B47" s="129" t="s">
        <v>106</v>
      </c>
      <c r="C47" s="114"/>
      <c r="D47" s="114"/>
      <c r="E47" s="106">
        <f t="shared" si="2"/>
        <v>-100</v>
      </c>
      <c r="F47" s="128"/>
      <c r="G47" s="268">
        <v>1000</v>
      </c>
      <c r="H47" s="108">
        <f t="shared" si="1"/>
        <v>132423</v>
      </c>
    </row>
    <row r="48" spans="1:10" ht="15.75" customHeight="1" x14ac:dyDescent="0.3">
      <c r="A48" s="127">
        <v>46073</v>
      </c>
      <c r="B48" s="131" t="s">
        <v>107</v>
      </c>
      <c r="C48" s="114"/>
      <c r="D48" s="114"/>
      <c r="E48" s="106">
        <f t="shared" si="2"/>
        <v>-100</v>
      </c>
      <c r="F48" s="120"/>
      <c r="G48" s="267">
        <v>13000</v>
      </c>
      <c r="H48" s="108">
        <f t="shared" si="1"/>
        <v>119423</v>
      </c>
    </row>
    <row r="49" spans="1:10" ht="15.75" customHeight="1" x14ac:dyDescent="0.3">
      <c r="A49" s="127">
        <v>46074</v>
      </c>
      <c r="B49" s="119" t="s">
        <v>102</v>
      </c>
      <c r="C49" s="114"/>
      <c r="D49" s="114"/>
      <c r="E49" s="106">
        <f t="shared" si="2"/>
        <v>-100</v>
      </c>
      <c r="F49" s="128">
        <v>3000</v>
      </c>
      <c r="G49" s="268"/>
      <c r="H49" s="108">
        <f t="shared" si="1"/>
        <v>122423</v>
      </c>
    </row>
    <row r="50" spans="1:10" ht="15.75" customHeight="1" x14ac:dyDescent="0.3">
      <c r="A50" s="127">
        <v>46081</v>
      </c>
      <c r="B50" s="119" t="s">
        <v>108</v>
      </c>
      <c r="C50" s="114"/>
      <c r="D50" s="114"/>
      <c r="E50" s="106">
        <f t="shared" si="2"/>
        <v>-100</v>
      </c>
      <c r="F50" s="128">
        <v>30050</v>
      </c>
      <c r="G50" s="268"/>
      <c r="H50" s="108">
        <f t="shared" si="1"/>
        <v>152473</v>
      </c>
    </row>
    <row r="51" spans="1:10" ht="15.75" customHeight="1" x14ac:dyDescent="0.3">
      <c r="A51" s="127">
        <v>46083</v>
      </c>
      <c r="B51" s="119" t="s">
        <v>149</v>
      </c>
      <c r="C51" s="114"/>
      <c r="D51" s="114"/>
      <c r="E51" s="106">
        <f t="shared" ref="E51" si="3">+E50+C51-D51</f>
        <v>-100</v>
      </c>
      <c r="F51" s="128">
        <v>3000</v>
      </c>
      <c r="G51" s="268"/>
      <c r="H51" s="108">
        <f t="shared" si="1"/>
        <v>155473</v>
      </c>
    </row>
    <row r="52" spans="1:10" ht="15.75" customHeight="1" x14ac:dyDescent="0.3">
      <c r="A52" s="127">
        <v>46086</v>
      </c>
      <c r="B52" s="119" t="s">
        <v>109</v>
      </c>
      <c r="C52" s="114">
        <v>880</v>
      </c>
      <c r="D52" s="114"/>
      <c r="E52" s="106">
        <f>+E50+C52-D52</f>
        <v>780</v>
      </c>
      <c r="F52" s="128"/>
      <c r="G52" s="268"/>
      <c r="H52" s="108">
        <f t="shared" si="1"/>
        <v>155473</v>
      </c>
      <c r="J52" s="130"/>
    </row>
    <row r="53" spans="1:10" ht="15.75" customHeight="1" x14ac:dyDescent="0.3">
      <c r="A53" s="132">
        <v>46106</v>
      </c>
      <c r="B53" s="133" t="s">
        <v>110</v>
      </c>
      <c r="C53" s="114"/>
      <c r="D53" s="114"/>
      <c r="E53" s="106">
        <f t="shared" si="2"/>
        <v>780</v>
      </c>
      <c r="F53" s="134"/>
      <c r="G53" s="269">
        <v>1500</v>
      </c>
      <c r="H53" s="108">
        <f t="shared" si="1"/>
        <v>153973</v>
      </c>
    </row>
    <row r="54" spans="1:10" ht="15.75" customHeight="1" x14ac:dyDescent="0.3">
      <c r="A54" s="132">
        <v>46107</v>
      </c>
      <c r="B54" s="109" t="s">
        <v>111</v>
      </c>
      <c r="C54" s="111"/>
      <c r="D54" s="111"/>
      <c r="E54" s="106">
        <f t="shared" si="2"/>
        <v>780</v>
      </c>
      <c r="F54" s="135"/>
      <c r="G54" s="270">
        <v>30000</v>
      </c>
      <c r="H54" s="108">
        <f t="shared" si="1"/>
        <v>123973</v>
      </c>
    </row>
    <row r="55" spans="1:10" ht="15.75" customHeight="1" x14ac:dyDescent="0.3">
      <c r="A55" s="132">
        <v>46107</v>
      </c>
      <c r="B55" s="119" t="s">
        <v>112</v>
      </c>
      <c r="C55" s="114"/>
      <c r="D55" s="114"/>
      <c r="E55" s="106">
        <f t="shared" si="2"/>
        <v>780</v>
      </c>
      <c r="F55" s="136"/>
      <c r="G55" s="270">
        <v>54000</v>
      </c>
      <c r="H55" s="108">
        <f t="shared" si="1"/>
        <v>69973</v>
      </c>
    </row>
    <row r="56" spans="1:10" ht="15.75" customHeight="1" x14ac:dyDescent="0.3">
      <c r="A56" s="132">
        <v>46107</v>
      </c>
      <c r="B56" s="119" t="s">
        <v>112</v>
      </c>
      <c r="C56" s="114"/>
      <c r="D56" s="114"/>
      <c r="E56" s="106">
        <f t="shared" si="2"/>
        <v>780</v>
      </c>
      <c r="F56" s="136"/>
      <c r="G56" s="270">
        <v>66000</v>
      </c>
      <c r="H56" s="108">
        <f t="shared" si="1"/>
        <v>3973</v>
      </c>
    </row>
    <row r="57" spans="1:10" ht="15.75" customHeight="1" x14ac:dyDescent="0.3">
      <c r="A57" s="132">
        <v>46111</v>
      </c>
      <c r="B57" s="119" t="s">
        <v>113</v>
      </c>
      <c r="C57" s="114"/>
      <c r="D57" s="114">
        <v>400</v>
      </c>
      <c r="E57" s="106">
        <f t="shared" si="2"/>
        <v>380</v>
      </c>
      <c r="F57" s="136">
        <f>+D57*68</f>
        <v>27200</v>
      </c>
      <c r="G57" s="270"/>
      <c r="H57" s="108">
        <f t="shared" si="1"/>
        <v>31173</v>
      </c>
    </row>
    <row r="58" spans="1:10" ht="15.75" customHeight="1" x14ac:dyDescent="0.3">
      <c r="A58" s="132">
        <v>46111</v>
      </c>
      <c r="B58" s="119" t="s">
        <v>114</v>
      </c>
      <c r="C58" s="114"/>
      <c r="D58" s="114"/>
      <c r="E58" s="106">
        <f t="shared" si="2"/>
        <v>380</v>
      </c>
      <c r="F58" s="136"/>
      <c r="G58" s="271">
        <v>10000</v>
      </c>
      <c r="H58" s="108">
        <f t="shared" si="1"/>
        <v>21173</v>
      </c>
    </row>
    <row r="59" spans="1:10" ht="15.75" customHeight="1" x14ac:dyDescent="0.3">
      <c r="A59" s="132">
        <v>46113</v>
      </c>
      <c r="B59" s="119" t="s">
        <v>149</v>
      </c>
      <c r="C59" s="114"/>
      <c r="D59" s="114"/>
      <c r="E59" s="106"/>
      <c r="F59" s="137">
        <v>3000</v>
      </c>
      <c r="G59" s="272"/>
      <c r="H59" s="108">
        <f t="shared" si="1"/>
        <v>24173</v>
      </c>
    </row>
    <row r="60" spans="1:10" ht="15.75" customHeight="1" x14ac:dyDescent="0.3">
      <c r="A60" s="132">
        <v>46120</v>
      </c>
      <c r="B60" s="119" t="s">
        <v>115</v>
      </c>
      <c r="C60" s="114"/>
      <c r="D60" s="114"/>
      <c r="E60" s="106">
        <f>+E58+C60-D60</f>
        <v>380</v>
      </c>
      <c r="F60" s="137"/>
      <c r="G60" s="272">
        <v>3600</v>
      </c>
      <c r="H60" s="108">
        <f t="shared" si="1"/>
        <v>20573</v>
      </c>
    </row>
    <row r="61" spans="1:10" ht="15.75" customHeight="1" x14ac:dyDescent="0.3">
      <c r="A61" s="132">
        <v>46121</v>
      </c>
      <c r="B61" s="119" t="s">
        <v>116</v>
      </c>
      <c r="C61" s="114"/>
      <c r="D61" s="114"/>
      <c r="E61" s="106">
        <f t="shared" si="2"/>
        <v>380</v>
      </c>
      <c r="F61" s="137"/>
      <c r="G61" s="272">
        <f>10650+400</f>
        <v>11050</v>
      </c>
      <c r="H61" s="108">
        <f t="shared" si="1"/>
        <v>9523</v>
      </c>
    </row>
    <row r="62" spans="1:10" ht="15.75" customHeight="1" x14ac:dyDescent="0.3">
      <c r="A62" s="132">
        <v>46128</v>
      </c>
      <c r="B62" s="119" t="s">
        <v>117</v>
      </c>
      <c r="C62" s="114">
        <v>400</v>
      </c>
      <c r="D62" s="114"/>
      <c r="E62" s="106">
        <f t="shared" si="2"/>
        <v>780</v>
      </c>
      <c r="F62" s="137"/>
      <c r="G62" s="272"/>
      <c r="H62" s="108">
        <f t="shared" si="1"/>
        <v>9523</v>
      </c>
    </row>
    <row r="63" spans="1:10" ht="15.75" customHeight="1" x14ac:dyDescent="0.3">
      <c r="A63" s="132">
        <v>46129</v>
      </c>
      <c r="B63" s="119" t="s">
        <v>113</v>
      </c>
      <c r="C63" s="114"/>
      <c r="D63" s="114">
        <v>780</v>
      </c>
      <c r="E63" s="259">
        <f t="shared" si="2"/>
        <v>0</v>
      </c>
      <c r="F63" s="137">
        <f>780*68</f>
        <v>53040</v>
      </c>
      <c r="G63" s="272"/>
      <c r="H63" s="108">
        <f t="shared" si="1"/>
        <v>62563</v>
      </c>
    </row>
    <row r="64" spans="1:10" ht="15.75" customHeight="1" x14ac:dyDescent="0.3">
      <c r="A64" s="132">
        <v>46129</v>
      </c>
      <c r="B64" s="156" t="s">
        <v>137</v>
      </c>
      <c r="C64" s="159"/>
      <c r="D64" s="111"/>
      <c r="E64" s="258"/>
      <c r="F64" s="260"/>
      <c r="G64" s="272">
        <v>20000</v>
      </c>
      <c r="H64" s="108">
        <f t="shared" si="1"/>
        <v>42563</v>
      </c>
    </row>
    <row r="65" spans="1:8" ht="15.75" customHeight="1" x14ac:dyDescent="0.3">
      <c r="A65" s="132">
        <v>46139</v>
      </c>
      <c r="B65" s="275" t="s">
        <v>178</v>
      </c>
      <c r="C65" s="276"/>
      <c r="D65" s="277"/>
      <c r="E65" s="258"/>
      <c r="F65" s="260"/>
      <c r="G65" s="278">
        <v>12000</v>
      </c>
      <c r="H65" s="108">
        <f t="shared" si="1"/>
        <v>30563</v>
      </c>
    </row>
    <row r="66" spans="1:8" ht="15.75" customHeight="1" x14ac:dyDescent="0.3">
      <c r="A66" s="132">
        <v>46139</v>
      </c>
      <c r="B66" s="119" t="s">
        <v>176</v>
      </c>
      <c r="C66" s="114"/>
      <c r="D66" s="114"/>
      <c r="E66" s="106"/>
      <c r="F66" s="137">
        <f>80000*4</f>
        <v>320000</v>
      </c>
      <c r="G66" s="272"/>
      <c r="H66" s="108">
        <f t="shared" si="1"/>
        <v>350563</v>
      </c>
    </row>
    <row r="67" spans="1:8" ht="15.75" customHeight="1" x14ac:dyDescent="0.3">
      <c r="A67" s="132">
        <v>46140</v>
      </c>
      <c r="B67" s="119" t="s">
        <v>175</v>
      </c>
      <c r="C67" s="114"/>
      <c r="D67" s="114"/>
      <c r="E67" s="106"/>
      <c r="F67" s="137"/>
      <c r="G67" s="272">
        <f>1375*70</f>
        <v>96250</v>
      </c>
      <c r="H67" s="108">
        <f t="shared" si="1"/>
        <v>254313</v>
      </c>
    </row>
    <row r="68" spans="1:8" ht="15.75" customHeight="1" x14ac:dyDescent="0.3">
      <c r="A68" s="132">
        <v>46140</v>
      </c>
      <c r="B68" s="119" t="s">
        <v>179</v>
      </c>
      <c r="C68" s="114"/>
      <c r="D68" s="114"/>
      <c r="E68" s="106"/>
      <c r="F68" s="137"/>
      <c r="G68" s="272">
        <f>+'[1]Petrol and Parks'!$D$46</f>
        <v>39980</v>
      </c>
      <c r="H68" s="108">
        <f t="shared" si="1"/>
        <v>214333</v>
      </c>
    </row>
    <row r="69" spans="1:8" ht="15.75" customHeight="1" x14ac:dyDescent="0.3">
      <c r="A69" s="132">
        <v>46140</v>
      </c>
      <c r="B69" s="119" t="s">
        <v>180</v>
      </c>
      <c r="C69" s="114"/>
      <c r="D69" s="114"/>
      <c r="E69" s="106"/>
      <c r="F69" s="137"/>
      <c r="G69" s="272">
        <v>70000</v>
      </c>
      <c r="H69" s="108">
        <f t="shared" si="1"/>
        <v>144333</v>
      </c>
    </row>
    <row r="70" spans="1:8" ht="15.75" customHeight="1" x14ac:dyDescent="0.3">
      <c r="A70" s="132">
        <v>46140</v>
      </c>
      <c r="B70" s="119" t="s">
        <v>172</v>
      </c>
      <c r="C70" s="114"/>
      <c r="D70" s="114"/>
      <c r="E70" s="106"/>
      <c r="F70" s="137"/>
      <c r="G70" s="272">
        <v>30000</v>
      </c>
      <c r="H70" s="108">
        <f t="shared" si="1"/>
        <v>114333</v>
      </c>
    </row>
    <row r="71" spans="1:8" ht="15.75" customHeight="1" x14ac:dyDescent="0.3">
      <c r="A71" s="132">
        <v>46140</v>
      </c>
      <c r="B71" s="119" t="s">
        <v>173</v>
      </c>
      <c r="C71" s="114"/>
      <c r="D71" s="114"/>
      <c r="E71" s="106"/>
      <c r="F71" s="137"/>
      <c r="G71" s="272">
        <v>50000</v>
      </c>
      <c r="H71" s="108">
        <f t="shared" si="1"/>
        <v>64333</v>
      </c>
    </row>
    <row r="72" spans="1:8" ht="15.75" customHeight="1" x14ac:dyDescent="0.3">
      <c r="A72" s="132">
        <v>46141</v>
      </c>
      <c r="B72" s="119" t="s">
        <v>181</v>
      </c>
      <c r="C72" s="114"/>
      <c r="D72" s="114"/>
      <c r="E72" s="106"/>
      <c r="F72" s="137"/>
      <c r="G72" s="272">
        <v>1200</v>
      </c>
      <c r="H72" s="108">
        <f t="shared" si="1"/>
        <v>63133</v>
      </c>
    </row>
    <row r="73" spans="1:8" ht="15.75" customHeight="1" x14ac:dyDescent="0.3">
      <c r="A73" s="132"/>
      <c r="B73" s="119"/>
      <c r="C73" s="114"/>
      <c r="D73" s="114"/>
      <c r="E73" s="106"/>
      <c r="F73" s="138"/>
      <c r="G73" s="269"/>
      <c r="H73" s="139"/>
    </row>
    <row r="74" spans="1:8" ht="15.75" customHeight="1" thickBot="1" x14ac:dyDescent="0.35">
      <c r="A74" s="140"/>
      <c r="B74" s="141"/>
      <c r="C74" s="142">
        <f>SUM(C11:C73)</f>
        <v>2980</v>
      </c>
      <c r="D74" s="142">
        <f>SUM(D11:D73)</f>
        <v>2980</v>
      </c>
      <c r="E74" s="143">
        <f>+C74-D74</f>
        <v>0</v>
      </c>
      <c r="F74" s="144">
        <f>SUM(F11:F73)</f>
        <v>781080</v>
      </c>
      <c r="G74" s="273">
        <f>SUM(G11:G73)</f>
        <v>717947</v>
      </c>
      <c r="H74" s="144">
        <f>+H5-H6</f>
        <v>63133</v>
      </c>
    </row>
    <row r="75" spans="1:8" ht="15.75" customHeight="1" thickTop="1" x14ac:dyDescent="0.3">
      <c r="C75" s="146"/>
      <c r="D75" s="146"/>
      <c r="E75" s="147"/>
      <c r="F75" s="146"/>
      <c r="H75" s="147"/>
    </row>
    <row r="76" spans="1:8" ht="15.75" customHeight="1" x14ac:dyDescent="0.3">
      <c r="C76" s="146"/>
      <c r="D76" s="146"/>
      <c r="E76" s="147"/>
      <c r="F76" s="146"/>
      <c r="H76" s="147"/>
    </row>
    <row r="77" spans="1:8" ht="15.75" customHeight="1" x14ac:dyDescent="0.3">
      <c r="C77" s="146"/>
      <c r="D77" s="146"/>
      <c r="E77" s="147"/>
      <c r="F77" s="146"/>
      <c r="H77" s="148"/>
    </row>
    <row r="78" spans="1:8" ht="15.75" customHeight="1" x14ac:dyDescent="0.3">
      <c r="C78" s="146"/>
      <c r="D78" s="146"/>
      <c r="E78" s="147"/>
      <c r="F78" s="146"/>
      <c r="H78" s="148"/>
    </row>
    <row r="79" spans="1:8" ht="15.75" customHeight="1" x14ac:dyDescent="0.3">
      <c r="C79" s="146"/>
      <c r="D79" s="146"/>
      <c r="E79" s="147"/>
      <c r="F79" s="146"/>
      <c r="H79" s="148"/>
    </row>
    <row r="80" spans="1:8" ht="15.75" customHeight="1" x14ac:dyDescent="0.3">
      <c r="C80" s="146"/>
      <c r="D80" s="146"/>
      <c r="E80" s="147"/>
      <c r="F80" s="146"/>
      <c r="H80" s="148"/>
    </row>
    <row r="81" spans="3:8" ht="15.75" customHeight="1" x14ac:dyDescent="0.3">
      <c r="C81" s="146"/>
      <c r="D81" s="146"/>
      <c r="E81" s="147"/>
      <c r="F81" s="146"/>
      <c r="H81" s="147"/>
    </row>
    <row r="82" spans="3:8" ht="15.75" customHeight="1" x14ac:dyDescent="0.3">
      <c r="C82" s="146"/>
      <c r="D82" s="146"/>
      <c r="E82" s="147"/>
      <c r="F82" s="146"/>
      <c r="H82" s="147"/>
    </row>
    <row r="83" spans="3:8" ht="15.75" customHeight="1" x14ac:dyDescent="0.3">
      <c r="C83" s="146"/>
      <c r="D83" s="146"/>
      <c r="E83" s="147"/>
      <c r="F83" s="146"/>
      <c r="H83" s="148"/>
    </row>
    <row r="84" spans="3:8" ht="15.75" customHeight="1" x14ac:dyDescent="0.3">
      <c r="C84" s="146"/>
      <c r="D84" s="146"/>
      <c r="E84" s="147"/>
      <c r="F84" s="146"/>
      <c r="H84" s="147"/>
    </row>
    <row r="85" spans="3:8" ht="15.75" customHeight="1" x14ac:dyDescent="0.3">
      <c r="C85" s="146"/>
      <c r="D85" s="146"/>
      <c r="E85" s="147"/>
      <c r="F85" s="146"/>
      <c r="H85" s="147"/>
    </row>
    <row r="86" spans="3:8" ht="15.75" customHeight="1" x14ac:dyDescent="0.3">
      <c r="C86" s="146"/>
      <c r="D86" s="146"/>
      <c r="E86" s="147"/>
      <c r="F86" s="146"/>
      <c r="H86" s="147"/>
    </row>
    <row r="87" spans="3:8" ht="15.75" customHeight="1" x14ac:dyDescent="0.3">
      <c r="C87" s="146"/>
      <c r="D87" s="146"/>
      <c r="E87" s="147"/>
      <c r="F87" s="146"/>
      <c r="H87" s="147"/>
    </row>
    <row r="88" spans="3:8" ht="15.75" customHeight="1" x14ac:dyDescent="0.3">
      <c r="C88" s="146"/>
      <c r="D88" s="146"/>
      <c r="E88" s="147"/>
      <c r="F88" s="146"/>
      <c r="H88" s="147"/>
    </row>
    <row r="89" spans="3:8" ht="15.75" customHeight="1" x14ac:dyDescent="0.3">
      <c r="C89" s="146"/>
      <c r="D89" s="146"/>
      <c r="E89" s="147"/>
      <c r="F89" s="146"/>
      <c r="H89" s="147"/>
    </row>
    <row r="90" spans="3:8" ht="15.75" customHeight="1" x14ac:dyDescent="0.3">
      <c r="C90" s="146"/>
      <c r="D90" s="146"/>
      <c r="E90" s="147"/>
      <c r="F90" s="146"/>
      <c r="H90" s="147"/>
    </row>
    <row r="91" spans="3:8" ht="15.75" customHeight="1" x14ac:dyDescent="0.3">
      <c r="C91" s="146"/>
      <c r="D91" s="146"/>
      <c r="E91" s="147"/>
      <c r="F91" s="146"/>
      <c r="H91" s="147"/>
    </row>
    <row r="92" spans="3:8" ht="15.75" customHeight="1" x14ac:dyDescent="0.3">
      <c r="C92" s="146"/>
      <c r="D92" s="146"/>
      <c r="E92" s="147"/>
      <c r="F92" s="146"/>
      <c r="H92" s="147"/>
    </row>
    <row r="93" spans="3:8" ht="15.75" customHeight="1" x14ac:dyDescent="0.3">
      <c r="C93" s="146"/>
      <c r="D93" s="146"/>
      <c r="E93" s="147"/>
      <c r="F93" s="146"/>
      <c r="H93" s="147"/>
    </row>
    <row r="94" spans="3:8" ht="15.75" customHeight="1" x14ac:dyDescent="0.3">
      <c r="C94" s="146"/>
      <c r="D94" s="146"/>
      <c r="E94" s="147"/>
      <c r="F94" s="146"/>
      <c r="H94" s="147"/>
    </row>
    <row r="95" spans="3:8" ht="15.75" customHeight="1" x14ac:dyDescent="0.3">
      <c r="C95" s="146"/>
      <c r="D95" s="146"/>
      <c r="E95" s="147"/>
      <c r="F95" s="146"/>
      <c r="H95" s="147"/>
    </row>
    <row r="96" spans="3:8" ht="15.75" customHeight="1" x14ac:dyDescent="0.3">
      <c r="C96" s="146"/>
      <c r="D96" s="146"/>
      <c r="E96" s="147"/>
      <c r="F96" s="146"/>
      <c r="H96" s="147"/>
    </row>
    <row r="97" spans="3:8" ht="15.75" customHeight="1" x14ac:dyDescent="0.3">
      <c r="C97" s="146"/>
      <c r="D97" s="146"/>
      <c r="E97" s="147"/>
      <c r="F97" s="146"/>
      <c r="H97" s="147"/>
    </row>
    <row r="98" spans="3:8" ht="15.75" customHeight="1" x14ac:dyDescent="0.3">
      <c r="C98" s="146"/>
      <c r="D98" s="146"/>
      <c r="E98" s="147"/>
      <c r="F98" s="146"/>
      <c r="H98" s="147"/>
    </row>
    <row r="99" spans="3:8" ht="15.75" customHeight="1" x14ac:dyDescent="0.3">
      <c r="C99" s="146"/>
      <c r="D99" s="146"/>
      <c r="E99" s="147"/>
      <c r="F99" s="146"/>
      <c r="H99" s="147"/>
    </row>
    <row r="100" spans="3:8" ht="15.75" customHeight="1" x14ac:dyDescent="0.3">
      <c r="C100" s="146"/>
      <c r="D100" s="146"/>
      <c r="E100" s="147"/>
      <c r="F100" s="146"/>
      <c r="H100" s="147"/>
    </row>
    <row r="101" spans="3:8" ht="15.75" customHeight="1" x14ac:dyDescent="0.3">
      <c r="C101" s="146"/>
      <c r="D101" s="146"/>
      <c r="E101" s="147"/>
      <c r="F101" s="146"/>
      <c r="H101" s="147"/>
    </row>
    <row r="102" spans="3:8" ht="15.75" customHeight="1" x14ac:dyDescent="0.3">
      <c r="C102" s="146"/>
      <c r="D102" s="146"/>
      <c r="E102" s="147"/>
      <c r="F102" s="146"/>
      <c r="H102" s="147"/>
    </row>
    <row r="103" spans="3:8" ht="15.75" customHeight="1" x14ac:dyDescent="0.3">
      <c r="C103" s="146"/>
      <c r="D103" s="146"/>
      <c r="E103" s="147"/>
      <c r="F103" s="146"/>
      <c r="H103" s="147"/>
    </row>
    <row r="104" spans="3:8" ht="15.75" customHeight="1" x14ac:dyDescent="0.3">
      <c r="C104" s="146"/>
      <c r="D104" s="146"/>
      <c r="E104" s="147"/>
      <c r="F104" s="146"/>
      <c r="H104" s="147"/>
    </row>
    <row r="105" spans="3:8" ht="15.75" customHeight="1" x14ac:dyDescent="0.3">
      <c r="C105" s="146"/>
      <c r="D105" s="146"/>
      <c r="E105" s="147"/>
      <c r="F105" s="146"/>
      <c r="H105" s="147"/>
    </row>
    <row r="106" spans="3:8" ht="15.75" customHeight="1" x14ac:dyDescent="0.3">
      <c r="C106" s="146"/>
      <c r="D106" s="146"/>
      <c r="E106" s="147"/>
      <c r="F106" s="146"/>
      <c r="H106" s="147"/>
    </row>
    <row r="107" spans="3:8" ht="15.75" customHeight="1" x14ac:dyDescent="0.3">
      <c r="C107" s="146"/>
      <c r="D107" s="146"/>
      <c r="E107" s="147"/>
      <c r="F107" s="146"/>
      <c r="H107" s="147"/>
    </row>
    <row r="108" spans="3:8" ht="15.75" customHeight="1" x14ac:dyDescent="0.3">
      <c r="C108" s="146"/>
      <c r="D108" s="146"/>
      <c r="E108" s="147"/>
      <c r="F108" s="146"/>
      <c r="H108" s="147"/>
    </row>
    <row r="109" spans="3:8" ht="15.75" customHeight="1" x14ac:dyDescent="0.3">
      <c r="C109" s="146"/>
      <c r="D109" s="146"/>
      <c r="E109" s="147"/>
      <c r="F109" s="146"/>
      <c r="H109" s="147"/>
    </row>
    <row r="110" spans="3:8" ht="15.75" customHeight="1" x14ac:dyDescent="0.3">
      <c r="C110" s="146"/>
      <c r="D110" s="146"/>
      <c r="E110" s="147"/>
      <c r="F110" s="146"/>
      <c r="H110" s="147"/>
    </row>
    <row r="111" spans="3:8" ht="15.75" customHeight="1" x14ac:dyDescent="0.3">
      <c r="C111" s="146"/>
      <c r="D111" s="146"/>
      <c r="E111" s="147"/>
      <c r="F111" s="146"/>
      <c r="H111" s="147"/>
    </row>
    <row r="112" spans="3:8" ht="15.75" customHeight="1" x14ac:dyDescent="0.3">
      <c r="C112" s="146"/>
      <c r="D112" s="146"/>
      <c r="E112" s="147"/>
      <c r="F112" s="146"/>
      <c r="H112" s="147"/>
    </row>
    <row r="113" spans="3:8" ht="15.75" customHeight="1" x14ac:dyDescent="0.3">
      <c r="C113" s="146"/>
      <c r="D113" s="146"/>
      <c r="E113" s="147"/>
      <c r="F113" s="146"/>
      <c r="H113" s="147"/>
    </row>
    <row r="114" spans="3:8" ht="15.75" customHeight="1" x14ac:dyDescent="0.3">
      <c r="C114" s="146"/>
      <c r="D114" s="146"/>
      <c r="E114" s="147"/>
      <c r="F114" s="146"/>
      <c r="H114" s="147"/>
    </row>
    <row r="115" spans="3:8" ht="15.75" customHeight="1" x14ac:dyDescent="0.3">
      <c r="C115" s="146"/>
      <c r="D115" s="146"/>
      <c r="E115" s="147"/>
      <c r="F115" s="146"/>
      <c r="H115" s="147"/>
    </row>
    <row r="116" spans="3:8" ht="15.75" customHeight="1" x14ac:dyDescent="0.3">
      <c r="C116" s="146"/>
      <c r="D116" s="146"/>
      <c r="E116" s="147"/>
      <c r="F116" s="146"/>
      <c r="H116" s="147"/>
    </row>
    <row r="117" spans="3:8" ht="15.75" customHeight="1" x14ac:dyDescent="0.3">
      <c r="C117" s="146"/>
      <c r="D117" s="146"/>
      <c r="E117" s="147"/>
      <c r="F117" s="146"/>
      <c r="H117" s="147"/>
    </row>
    <row r="118" spans="3:8" ht="15.75" customHeight="1" x14ac:dyDescent="0.3">
      <c r="C118" s="146"/>
      <c r="D118" s="146"/>
      <c r="E118" s="147"/>
      <c r="F118" s="146"/>
      <c r="H118" s="147"/>
    </row>
    <row r="119" spans="3:8" ht="15.75" customHeight="1" x14ac:dyDescent="0.3">
      <c r="C119" s="146"/>
      <c r="D119" s="146"/>
      <c r="E119" s="147"/>
      <c r="F119" s="146"/>
      <c r="H119" s="147"/>
    </row>
    <row r="120" spans="3:8" ht="15.75" customHeight="1" x14ac:dyDescent="0.3">
      <c r="C120" s="146"/>
      <c r="D120" s="146"/>
      <c r="E120" s="147"/>
      <c r="F120" s="146"/>
      <c r="H120" s="147"/>
    </row>
    <row r="121" spans="3:8" ht="15.75" customHeight="1" x14ac:dyDescent="0.3">
      <c r="C121" s="146"/>
      <c r="D121" s="146"/>
      <c r="E121" s="147"/>
      <c r="F121" s="146"/>
      <c r="H121" s="147"/>
    </row>
    <row r="122" spans="3:8" ht="15.75" customHeight="1" x14ac:dyDescent="0.3">
      <c r="C122" s="146"/>
      <c r="D122" s="146"/>
      <c r="E122" s="147"/>
      <c r="F122" s="146"/>
      <c r="H122" s="147"/>
    </row>
    <row r="123" spans="3:8" ht="15.75" customHeight="1" x14ac:dyDescent="0.3">
      <c r="C123" s="146"/>
      <c r="D123" s="146"/>
      <c r="E123" s="147"/>
      <c r="F123" s="146"/>
      <c r="H123" s="147"/>
    </row>
    <row r="124" spans="3:8" ht="15.75" customHeight="1" x14ac:dyDescent="0.3">
      <c r="C124" s="146"/>
      <c r="D124" s="146"/>
      <c r="E124" s="147"/>
      <c r="F124" s="146"/>
      <c r="H124" s="147"/>
    </row>
    <row r="125" spans="3:8" ht="15.75" customHeight="1" x14ac:dyDescent="0.3">
      <c r="C125" s="146"/>
      <c r="D125" s="146"/>
      <c r="E125" s="147"/>
      <c r="F125" s="146"/>
      <c r="H125" s="147"/>
    </row>
    <row r="126" spans="3:8" ht="15.75" customHeight="1" x14ac:dyDescent="0.3">
      <c r="C126" s="146"/>
      <c r="D126" s="146"/>
      <c r="E126" s="147"/>
      <c r="F126" s="146"/>
      <c r="H126" s="147"/>
    </row>
    <row r="127" spans="3:8" ht="15.75" customHeight="1" x14ac:dyDescent="0.3">
      <c r="C127" s="146"/>
      <c r="D127" s="146"/>
      <c r="E127" s="147"/>
      <c r="F127" s="146"/>
      <c r="H127" s="147"/>
    </row>
    <row r="128" spans="3:8" ht="15.75" customHeight="1" x14ac:dyDescent="0.3">
      <c r="C128" s="146"/>
      <c r="D128" s="146"/>
      <c r="E128" s="147"/>
      <c r="F128" s="146"/>
      <c r="H128" s="147"/>
    </row>
    <row r="129" spans="3:8" ht="15.75" customHeight="1" x14ac:dyDescent="0.3">
      <c r="C129" s="146"/>
      <c r="D129" s="146"/>
      <c r="E129" s="147"/>
      <c r="F129" s="146"/>
      <c r="H129" s="147"/>
    </row>
    <row r="130" spans="3:8" ht="15.75" customHeight="1" x14ac:dyDescent="0.3">
      <c r="C130" s="146"/>
      <c r="D130" s="146"/>
      <c r="E130" s="147"/>
      <c r="F130" s="146"/>
      <c r="H130" s="147"/>
    </row>
    <row r="131" spans="3:8" ht="15.75" customHeight="1" x14ac:dyDescent="0.3">
      <c r="C131" s="146"/>
      <c r="D131" s="146"/>
      <c r="E131" s="147"/>
      <c r="F131" s="146"/>
      <c r="H131" s="147"/>
    </row>
    <row r="132" spans="3:8" ht="15.75" customHeight="1" x14ac:dyDescent="0.3">
      <c r="C132" s="146"/>
      <c r="D132" s="146"/>
      <c r="E132" s="147"/>
      <c r="F132" s="146"/>
      <c r="H132" s="147"/>
    </row>
    <row r="133" spans="3:8" ht="15.75" customHeight="1" x14ac:dyDescent="0.3">
      <c r="C133" s="146"/>
      <c r="D133" s="146"/>
      <c r="E133" s="147"/>
      <c r="F133" s="146"/>
      <c r="H133" s="147"/>
    </row>
    <row r="134" spans="3:8" ht="15.75" customHeight="1" x14ac:dyDescent="0.3">
      <c r="C134" s="146"/>
      <c r="D134" s="146"/>
      <c r="E134" s="147"/>
      <c r="F134" s="146"/>
      <c r="H134" s="147"/>
    </row>
    <row r="135" spans="3:8" ht="15.75" customHeight="1" x14ac:dyDescent="0.3">
      <c r="C135" s="146"/>
      <c r="D135" s="146"/>
      <c r="E135" s="147"/>
      <c r="F135" s="146"/>
      <c r="H135" s="147"/>
    </row>
    <row r="136" spans="3:8" ht="15.75" customHeight="1" x14ac:dyDescent="0.3">
      <c r="C136" s="146"/>
      <c r="D136" s="146"/>
      <c r="E136" s="147"/>
      <c r="F136" s="146"/>
      <c r="H136" s="147"/>
    </row>
    <row r="137" spans="3:8" ht="15.75" customHeight="1" x14ac:dyDescent="0.3">
      <c r="C137" s="146"/>
      <c r="D137" s="146"/>
      <c r="E137" s="147"/>
      <c r="F137" s="146"/>
      <c r="H137" s="147"/>
    </row>
    <row r="138" spans="3:8" ht="15.75" customHeight="1" x14ac:dyDescent="0.3">
      <c r="C138" s="146"/>
      <c r="D138" s="146"/>
      <c r="E138" s="147"/>
      <c r="F138" s="146"/>
      <c r="H138" s="147"/>
    </row>
    <row r="139" spans="3:8" ht="15.75" customHeight="1" x14ac:dyDescent="0.3">
      <c r="C139" s="146"/>
      <c r="D139" s="146"/>
      <c r="E139" s="147"/>
      <c r="F139" s="146"/>
      <c r="H139" s="147"/>
    </row>
    <row r="140" spans="3:8" ht="15.75" customHeight="1" x14ac:dyDescent="0.3">
      <c r="C140" s="146"/>
      <c r="D140" s="146"/>
      <c r="E140" s="147"/>
      <c r="F140" s="146"/>
      <c r="H140" s="147"/>
    </row>
    <row r="141" spans="3:8" ht="15.75" customHeight="1" x14ac:dyDescent="0.3">
      <c r="C141" s="146"/>
      <c r="D141" s="146"/>
      <c r="E141" s="147"/>
      <c r="F141" s="146"/>
      <c r="H141" s="147"/>
    </row>
    <row r="142" spans="3:8" ht="15.75" customHeight="1" x14ac:dyDescent="0.3">
      <c r="C142" s="146"/>
      <c r="D142" s="146"/>
      <c r="E142" s="147"/>
      <c r="F142" s="146"/>
      <c r="H142" s="147"/>
    </row>
    <row r="143" spans="3:8" ht="15.75" customHeight="1" x14ac:dyDescent="0.3">
      <c r="C143" s="146"/>
      <c r="D143" s="146"/>
      <c r="E143" s="147"/>
      <c r="F143" s="146"/>
      <c r="H143" s="147"/>
    </row>
    <row r="144" spans="3:8" ht="15.75" customHeight="1" x14ac:dyDescent="0.3">
      <c r="C144" s="146"/>
      <c r="D144" s="146"/>
      <c r="E144" s="147"/>
      <c r="F144" s="146"/>
      <c r="H144" s="147"/>
    </row>
    <row r="145" spans="3:8" ht="15.75" customHeight="1" x14ac:dyDescent="0.3">
      <c r="C145" s="146"/>
      <c r="D145" s="146"/>
      <c r="E145" s="147"/>
      <c r="F145" s="146"/>
      <c r="H145" s="147"/>
    </row>
    <row r="146" spans="3:8" ht="15.75" customHeight="1" x14ac:dyDescent="0.3">
      <c r="C146" s="146"/>
      <c r="D146" s="146"/>
      <c r="E146" s="147"/>
      <c r="F146" s="146"/>
      <c r="H146" s="147"/>
    </row>
    <row r="147" spans="3:8" ht="15.75" customHeight="1" x14ac:dyDescent="0.3">
      <c r="C147" s="146"/>
      <c r="D147" s="146"/>
      <c r="E147" s="147"/>
      <c r="F147" s="146"/>
      <c r="H147" s="147"/>
    </row>
    <row r="148" spans="3:8" ht="15.75" customHeight="1" x14ac:dyDescent="0.3">
      <c r="C148" s="146"/>
      <c r="D148" s="146"/>
      <c r="E148" s="147"/>
      <c r="F148" s="146"/>
      <c r="H148" s="147"/>
    </row>
    <row r="149" spans="3:8" ht="15.75" customHeight="1" x14ac:dyDescent="0.3">
      <c r="C149" s="146"/>
      <c r="D149" s="146"/>
      <c r="E149" s="147"/>
      <c r="F149" s="146"/>
      <c r="H149" s="147"/>
    </row>
    <row r="150" spans="3:8" ht="15.75" customHeight="1" x14ac:dyDescent="0.3">
      <c r="C150" s="146"/>
      <c r="D150" s="146"/>
      <c r="E150" s="147"/>
      <c r="F150" s="146"/>
      <c r="H150" s="147"/>
    </row>
    <row r="151" spans="3:8" ht="15.75" customHeight="1" x14ac:dyDescent="0.3">
      <c r="C151" s="146"/>
      <c r="D151" s="146"/>
      <c r="E151" s="147"/>
      <c r="F151" s="146"/>
      <c r="H151" s="147"/>
    </row>
    <row r="152" spans="3:8" ht="15.75" customHeight="1" x14ac:dyDescent="0.3">
      <c r="C152" s="146"/>
      <c r="D152" s="146"/>
      <c r="E152" s="147"/>
      <c r="F152" s="146"/>
      <c r="H152" s="147"/>
    </row>
    <row r="153" spans="3:8" ht="15.75" customHeight="1" x14ac:dyDescent="0.3">
      <c r="C153" s="146"/>
      <c r="D153" s="146"/>
      <c r="E153" s="147"/>
      <c r="F153" s="146"/>
      <c r="H153" s="147"/>
    </row>
    <row r="154" spans="3:8" ht="15.75" customHeight="1" x14ac:dyDescent="0.3">
      <c r="C154" s="146"/>
      <c r="D154" s="146"/>
      <c r="E154" s="147"/>
      <c r="F154" s="146"/>
      <c r="H154" s="147"/>
    </row>
    <row r="155" spans="3:8" ht="15.75" customHeight="1" x14ac:dyDescent="0.3">
      <c r="C155" s="146"/>
      <c r="D155" s="146"/>
      <c r="E155" s="147"/>
      <c r="F155" s="146"/>
      <c r="H155" s="147"/>
    </row>
    <row r="156" spans="3:8" ht="15.75" customHeight="1" x14ac:dyDescent="0.3">
      <c r="C156" s="146"/>
      <c r="D156" s="146"/>
      <c r="E156" s="147"/>
      <c r="F156" s="146"/>
      <c r="H156" s="147"/>
    </row>
    <row r="157" spans="3:8" ht="15.75" customHeight="1" x14ac:dyDescent="0.3">
      <c r="C157" s="146"/>
      <c r="D157" s="146"/>
      <c r="E157" s="147"/>
      <c r="F157" s="146"/>
      <c r="H157" s="147"/>
    </row>
    <row r="158" spans="3:8" ht="15.75" customHeight="1" x14ac:dyDescent="0.3">
      <c r="C158" s="146"/>
      <c r="D158" s="146"/>
      <c r="E158" s="147"/>
      <c r="F158" s="146"/>
      <c r="H158" s="147"/>
    </row>
    <row r="159" spans="3:8" ht="15.75" customHeight="1" x14ac:dyDescent="0.3">
      <c r="C159" s="146"/>
      <c r="D159" s="146"/>
      <c r="E159" s="147"/>
      <c r="F159" s="146"/>
      <c r="H159" s="147"/>
    </row>
    <row r="160" spans="3:8" ht="15.75" customHeight="1" x14ac:dyDescent="0.3">
      <c r="C160" s="146"/>
      <c r="D160" s="146"/>
      <c r="E160" s="147"/>
      <c r="F160" s="146"/>
      <c r="H160" s="147"/>
    </row>
    <row r="161" spans="3:8" ht="15.75" customHeight="1" x14ac:dyDescent="0.3">
      <c r="C161" s="146"/>
      <c r="D161" s="146"/>
      <c r="E161" s="147"/>
      <c r="F161" s="146"/>
      <c r="H161" s="147"/>
    </row>
    <row r="162" spans="3:8" ht="15.75" customHeight="1" x14ac:dyDescent="0.3">
      <c r="C162" s="146"/>
      <c r="D162" s="146"/>
      <c r="E162" s="147"/>
      <c r="F162" s="146"/>
      <c r="H162" s="147"/>
    </row>
    <row r="163" spans="3:8" ht="15.75" customHeight="1" x14ac:dyDescent="0.3">
      <c r="C163" s="146"/>
      <c r="D163" s="146"/>
      <c r="E163" s="147"/>
      <c r="F163" s="146"/>
      <c r="H163" s="147"/>
    </row>
    <row r="164" spans="3:8" ht="15.75" customHeight="1" x14ac:dyDescent="0.3">
      <c r="C164" s="146"/>
      <c r="D164" s="146"/>
      <c r="E164" s="147"/>
      <c r="F164" s="146"/>
      <c r="H164" s="147"/>
    </row>
    <row r="165" spans="3:8" ht="15.75" customHeight="1" x14ac:dyDescent="0.3">
      <c r="C165" s="146"/>
      <c r="D165" s="146"/>
      <c r="E165" s="147"/>
      <c r="F165" s="146"/>
      <c r="H165" s="147"/>
    </row>
    <row r="166" spans="3:8" ht="15.75" customHeight="1" x14ac:dyDescent="0.3">
      <c r="C166" s="146"/>
      <c r="D166" s="146"/>
      <c r="E166" s="147"/>
      <c r="F166" s="146"/>
      <c r="H166" s="147"/>
    </row>
    <row r="167" spans="3:8" ht="15.75" customHeight="1" x14ac:dyDescent="0.3">
      <c r="C167" s="146"/>
      <c r="D167" s="146"/>
      <c r="E167" s="147"/>
      <c r="F167" s="146"/>
      <c r="H167" s="147"/>
    </row>
    <row r="168" spans="3:8" ht="15.75" customHeight="1" x14ac:dyDescent="0.3">
      <c r="C168" s="146"/>
      <c r="D168" s="146"/>
      <c r="E168" s="147"/>
      <c r="F168" s="146"/>
      <c r="H168" s="147"/>
    </row>
    <row r="169" spans="3:8" ht="15.75" customHeight="1" x14ac:dyDescent="0.3">
      <c r="C169" s="146"/>
      <c r="D169" s="146"/>
      <c r="E169" s="147"/>
      <c r="F169" s="146"/>
      <c r="H169" s="147"/>
    </row>
    <row r="170" spans="3:8" ht="15.75" customHeight="1" x14ac:dyDescent="0.3">
      <c r="C170" s="146"/>
      <c r="D170" s="146"/>
      <c r="E170" s="147"/>
      <c r="F170" s="146"/>
      <c r="H170" s="147"/>
    </row>
    <row r="171" spans="3:8" ht="15.75" customHeight="1" x14ac:dyDescent="0.3">
      <c r="C171" s="146"/>
      <c r="D171" s="146"/>
      <c r="E171" s="147"/>
      <c r="F171" s="146"/>
      <c r="H171" s="147"/>
    </row>
    <row r="172" spans="3:8" ht="15.75" customHeight="1" x14ac:dyDescent="0.3">
      <c r="C172" s="146"/>
      <c r="D172" s="146"/>
      <c r="E172" s="147"/>
      <c r="F172" s="146"/>
      <c r="H172" s="147"/>
    </row>
    <row r="173" spans="3:8" ht="15.75" customHeight="1" x14ac:dyDescent="0.3">
      <c r="C173" s="146"/>
      <c r="D173" s="146"/>
      <c r="E173" s="147"/>
      <c r="F173" s="146"/>
      <c r="H173" s="147"/>
    </row>
    <row r="174" spans="3:8" ht="15.75" customHeight="1" x14ac:dyDescent="0.3">
      <c r="C174" s="146"/>
      <c r="D174" s="146"/>
      <c r="E174" s="147"/>
      <c r="F174" s="146"/>
      <c r="H174" s="147"/>
    </row>
    <row r="175" spans="3:8" ht="15.75" customHeight="1" x14ac:dyDescent="0.3">
      <c r="C175" s="146"/>
      <c r="D175" s="146"/>
      <c r="E175" s="147"/>
      <c r="F175" s="146"/>
      <c r="H175" s="147"/>
    </row>
    <row r="176" spans="3:8" ht="15.75" customHeight="1" x14ac:dyDescent="0.3">
      <c r="C176" s="146"/>
      <c r="D176" s="146"/>
      <c r="E176" s="147"/>
      <c r="F176" s="146"/>
      <c r="H176" s="147"/>
    </row>
    <row r="177" spans="3:8" ht="15.75" customHeight="1" x14ac:dyDescent="0.3">
      <c r="C177" s="146"/>
      <c r="D177" s="146"/>
      <c r="E177" s="147"/>
      <c r="F177" s="146"/>
      <c r="H177" s="147"/>
    </row>
    <row r="178" spans="3:8" ht="15.75" customHeight="1" x14ac:dyDescent="0.3">
      <c r="C178" s="146"/>
      <c r="D178" s="146"/>
      <c r="E178" s="147"/>
      <c r="F178" s="146"/>
      <c r="H178" s="147"/>
    </row>
    <row r="179" spans="3:8" ht="15.75" customHeight="1" x14ac:dyDescent="0.3">
      <c r="C179" s="146"/>
      <c r="D179" s="146"/>
      <c r="E179" s="147"/>
      <c r="F179" s="146"/>
      <c r="H179" s="147"/>
    </row>
    <row r="180" spans="3:8" ht="15.75" customHeight="1" x14ac:dyDescent="0.3">
      <c r="C180" s="146"/>
      <c r="D180" s="146"/>
      <c r="E180" s="147"/>
      <c r="F180" s="146"/>
      <c r="H180" s="147"/>
    </row>
    <row r="181" spans="3:8" ht="15.75" customHeight="1" x14ac:dyDescent="0.3">
      <c r="C181" s="146"/>
      <c r="D181" s="146"/>
      <c r="E181" s="147"/>
      <c r="F181" s="146"/>
      <c r="H181" s="147"/>
    </row>
    <row r="182" spans="3:8" ht="15.75" customHeight="1" x14ac:dyDescent="0.3">
      <c r="C182" s="146"/>
      <c r="D182" s="146"/>
      <c r="E182" s="147"/>
      <c r="F182" s="146"/>
      <c r="H182" s="147"/>
    </row>
    <row r="183" spans="3:8" ht="15.75" customHeight="1" x14ac:dyDescent="0.3">
      <c r="C183" s="146"/>
      <c r="D183" s="146"/>
      <c r="E183" s="147"/>
      <c r="F183" s="146"/>
      <c r="H183" s="147"/>
    </row>
    <row r="184" spans="3:8" ht="15.75" customHeight="1" x14ac:dyDescent="0.3">
      <c r="C184" s="146"/>
      <c r="D184" s="146"/>
      <c r="E184" s="147"/>
      <c r="F184" s="146"/>
      <c r="H184" s="147"/>
    </row>
    <row r="185" spans="3:8" ht="15.75" customHeight="1" x14ac:dyDescent="0.3">
      <c r="C185" s="146"/>
      <c r="D185" s="146"/>
      <c r="E185" s="147"/>
      <c r="F185" s="146"/>
      <c r="H185" s="147"/>
    </row>
    <row r="186" spans="3:8" ht="15.75" customHeight="1" x14ac:dyDescent="0.3">
      <c r="C186" s="146"/>
      <c r="D186" s="146"/>
      <c r="E186" s="147"/>
      <c r="F186" s="146"/>
      <c r="H186" s="147"/>
    </row>
    <row r="187" spans="3:8" ht="15.75" customHeight="1" x14ac:dyDescent="0.3">
      <c r="C187" s="146"/>
      <c r="D187" s="146"/>
      <c r="E187" s="147"/>
      <c r="F187" s="146"/>
      <c r="H187" s="147"/>
    </row>
    <row r="188" spans="3:8" ht="15.75" customHeight="1" x14ac:dyDescent="0.3">
      <c r="C188" s="146"/>
      <c r="D188" s="146"/>
      <c r="E188" s="147"/>
      <c r="F188" s="146"/>
      <c r="H188" s="147"/>
    </row>
    <row r="189" spans="3:8" ht="15.75" customHeight="1" x14ac:dyDescent="0.3">
      <c r="C189" s="146"/>
      <c r="D189" s="146"/>
      <c r="E189" s="147"/>
      <c r="F189" s="146"/>
      <c r="H189" s="147"/>
    </row>
    <row r="190" spans="3:8" ht="15.75" customHeight="1" x14ac:dyDescent="0.3">
      <c r="C190" s="146"/>
      <c r="D190" s="146"/>
      <c r="E190" s="147"/>
      <c r="F190" s="146"/>
      <c r="H190" s="147"/>
    </row>
    <row r="191" spans="3:8" ht="15.75" customHeight="1" x14ac:dyDescent="0.3">
      <c r="C191" s="146"/>
      <c r="D191" s="146"/>
      <c r="E191" s="147"/>
      <c r="F191" s="146"/>
      <c r="H191" s="147"/>
    </row>
    <row r="192" spans="3:8" ht="15.75" customHeight="1" x14ac:dyDescent="0.3">
      <c r="C192" s="146"/>
      <c r="D192" s="146"/>
      <c r="E192" s="147"/>
      <c r="F192" s="146"/>
      <c r="H192" s="147"/>
    </row>
    <row r="193" spans="3:8" ht="15.75" customHeight="1" x14ac:dyDescent="0.3">
      <c r="C193" s="146"/>
      <c r="D193" s="146"/>
      <c r="E193" s="147"/>
      <c r="F193" s="146"/>
      <c r="H193" s="147"/>
    </row>
    <row r="194" spans="3:8" ht="15.75" customHeight="1" x14ac:dyDescent="0.3">
      <c r="C194" s="146"/>
      <c r="D194" s="146"/>
      <c r="E194" s="147"/>
      <c r="F194" s="146"/>
      <c r="H194" s="147"/>
    </row>
    <row r="195" spans="3:8" ht="15.75" customHeight="1" x14ac:dyDescent="0.3">
      <c r="C195" s="146"/>
      <c r="D195" s="146"/>
      <c r="E195" s="147"/>
      <c r="F195" s="146"/>
      <c r="H195" s="147"/>
    </row>
    <row r="196" spans="3:8" ht="15.75" customHeight="1" x14ac:dyDescent="0.3">
      <c r="C196" s="146"/>
      <c r="D196" s="146"/>
      <c r="E196" s="147"/>
      <c r="F196" s="146"/>
      <c r="H196" s="147"/>
    </row>
    <row r="197" spans="3:8" ht="15.75" customHeight="1" x14ac:dyDescent="0.3">
      <c r="C197" s="146"/>
      <c r="D197" s="146"/>
      <c r="E197" s="147"/>
      <c r="F197" s="146"/>
      <c r="H197" s="147"/>
    </row>
    <row r="198" spans="3:8" ht="15.75" customHeight="1" x14ac:dyDescent="0.3">
      <c r="C198" s="146"/>
      <c r="D198" s="146"/>
      <c r="E198" s="147"/>
      <c r="F198" s="146"/>
      <c r="H198" s="147"/>
    </row>
    <row r="199" spans="3:8" ht="15.75" customHeight="1" x14ac:dyDescent="0.3">
      <c r="C199" s="146"/>
      <c r="D199" s="146"/>
      <c r="E199" s="147"/>
      <c r="F199" s="146"/>
      <c r="H199" s="147"/>
    </row>
    <row r="200" spans="3:8" ht="15.75" customHeight="1" x14ac:dyDescent="0.3">
      <c r="C200" s="146"/>
      <c r="D200" s="146"/>
      <c r="E200" s="147"/>
      <c r="F200" s="146"/>
      <c r="H200" s="147"/>
    </row>
    <row r="201" spans="3:8" ht="15.75" customHeight="1" x14ac:dyDescent="0.3">
      <c r="C201" s="146"/>
      <c r="D201" s="146"/>
      <c r="E201" s="147"/>
      <c r="F201" s="146"/>
      <c r="H201" s="147"/>
    </row>
    <row r="202" spans="3:8" ht="15.75" customHeight="1" x14ac:dyDescent="0.3">
      <c r="C202" s="146"/>
      <c r="D202" s="146"/>
      <c r="E202" s="147"/>
      <c r="F202" s="146"/>
      <c r="H202" s="147"/>
    </row>
    <row r="203" spans="3:8" ht="15.75" customHeight="1" x14ac:dyDescent="0.3">
      <c r="C203" s="146"/>
      <c r="D203" s="146"/>
      <c r="E203" s="147"/>
      <c r="F203" s="146"/>
      <c r="H203" s="147"/>
    </row>
    <row r="204" spans="3:8" ht="15.75" customHeight="1" x14ac:dyDescent="0.3">
      <c r="C204" s="146"/>
      <c r="D204" s="146"/>
      <c r="E204" s="147"/>
      <c r="F204" s="146"/>
      <c r="H204" s="147"/>
    </row>
    <row r="205" spans="3:8" ht="15.75" customHeight="1" x14ac:dyDescent="0.3">
      <c r="C205" s="146"/>
      <c r="D205" s="146"/>
      <c r="E205" s="147"/>
      <c r="F205" s="146"/>
      <c r="H205" s="147"/>
    </row>
    <row r="206" spans="3:8" ht="15.75" customHeight="1" x14ac:dyDescent="0.3">
      <c r="C206" s="146"/>
      <c r="D206" s="146"/>
      <c r="E206" s="147"/>
      <c r="F206" s="146"/>
      <c r="H206" s="147"/>
    </row>
    <row r="207" spans="3:8" ht="15.75" customHeight="1" x14ac:dyDescent="0.3">
      <c r="C207" s="146"/>
      <c r="D207" s="146"/>
      <c r="E207" s="147"/>
      <c r="F207" s="146"/>
      <c r="H207" s="147"/>
    </row>
    <row r="208" spans="3:8" ht="15.75" customHeight="1" x14ac:dyDescent="0.3">
      <c r="C208" s="146"/>
      <c r="D208" s="146"/>
      <c r="E208" s="147"/>
      <c r="F208" s="146"/>
      <c r="H208" s="147"/>
    </row>
    <row r="209" spans="3:8" ht="15.75" customHeight="1" x14ac:dyDescent="0.3">
      <c r="C209" s="146"/>
      <c r="D209" s="146"/>
      <c r="E209" s="147"/>
      <c r="F209" s="146"/>
      <c r="H209" s="147"/>
    </row>
    <row r="210" spans="3:8" ht="15.75" customHeight="1" x14ac:dyDescent="0.3">
      <c r="C210" s="146"/>
      <c r="D210" s="146"/>
      <c r="E210" s="147"/>
      <c r="F210" s="146"/>
      <c r="H210" s="147"/>
    </row>
    <row r="211" spans="3:8" ht="15.75" customHeight="1" x14ac:dyDescent="0.3">
      <c r="C211" s="146"/>
      <c r="D211" s="146"/>
      <c r="E211" s="147"/>
      <c r="F211" s="146"/>
      <c r="H211" s="147"/>
    </row>
    <row r="212" spans="3:8" ht="15.75" customHeight="1" x14ac:dyDescent="0.3">
      <c r="C212" s="146"/>
      <c r="D212" s="146"/>
      <c r="E212" s="147"/>
      <c r="F212" s="146"/>
      <c r="H212" s="147"/>
    </row>
    <row r="213" spans="3:8" ht="15.75" customHeight="1" x14ac:dyDescent="0.3">
      <c r="C213" s="146"/>
      <c r="D213" s="146"/>
      <c r="E213" s="147"/>
      <c r="F213" s="146"/>
      <c r="H213" s="147"/>
    </row>
    <row r="214" spans="3:8" ht="15.75" customHeight="1" x14ac:dyDescent="0.3">
      <c r="C214" s="146"/>
      <c r="D214" s="146"/>
      <c r="E214" s="147"/>
      <c r="F214" s="146"/>
      <c r="H214" s="147"/>
    </row>
    <row r="215" spans="3:8" ht="15.75" customHeight="1" x14ac:dyDescent="0.3">
      <c r="C215" s="146"/>
      <c r="D215" s="146"/>
      <c r="E215" s="147"/>
      <c r="F215" s="146"/>
      <c r="H215" s="147"/>
    </row>
    <row r="216" spans="3:8" ht="15.75" customHeight="1" x14ac:dyDescent="0.3">
      <c r="C216" s="146"/>
      <c r="D216" s="146"/>
      <c r="E216" s="147"/>
      <c r="F216" s="146"/>
      <c r="H216" s="147"/>
    </row>
    <row r="217" spans="3:8" ht="15.75" customHeight="1" x14ac:dyDescent="0.3">
      <c r="C217" s="146"/>
      <c r="D217" s="146"/>
      <c r="E217" s="147"/>
      <c r="F217" s="146"/>
      <c r="H217" s="147"/>
    </row>
    <row r="218" spans="3:8" ht="15.75" customHeight="1" x14ac:dyDescent="0.3">
      <c r="C218" s="146"/>
      <c r="D218" s="146"/>
      <c r="E218" s="147"/>
      <c r="F218" s="146"/>
      <c r="H218" s="147"/>
    </row>
    <row r="219" spans="3:8" ht="15.75" customHeight="1" x14ac:dyDescent="0.3">
      <c r="C219" s="146"/>
      <c r="D219" s="146"/>
      <c r="E219" s="147"/>
      <c r="F219" s="146"/>
      <c r="H219" s="147"/>
    </row>
    <row r="220" spans="3:8" ht="15.75" customHeight="1" x14ac:dyDescent="0.3">
      <c r="C220" s="146"/>
      <c r="D220" s="146"/>
      <c r="E220" s="147"/>
      <c r="F220" s="146"/>
      <c r="H220" s="147"/>
    </row>
    <row r="221" spans="3:8" ht="15.75" customHeight="1" x14ac:dyDescent="0.3">
      <c r="C221" s="146"/>
      <c r="D221" s="146"/>
      <c r="E221" s="147"/>
      <c r="F221" s="146"/>
      <c r="H221" s="147"/>
    </row>
    <row r="222" spans="3:8" ht="15.75" customHeight="1" x14ac:dyDescent="0.3">
      <c r="C222" s="146"/>
      <c r="D222" s="146"/>
      <c r="E222" s="147"/>
      <c r="F222" s="146"/>
      <c r="H222" s="147"/>
    </row>
    <row r="223" spans="3:8" ht="15.75" customHeight="1" x14ac:dyDescent="0.3">
      <c r="C223" s="146"/>
      <c r="D223" s="146"/>
      <c r="E223" s="147"/>
      <c r="F223" s="146"/>
      <c r="H223" s="147"/>
    </row>
    <row r="224" spans="3:8" ht="15.75" customHeight="1" x14ac:dyDescent="0.3">
      <c r="C224" s="146"/>
      <c r="D224" s="146"/>
      <c r="E224" s="147"/>
      <c r="F224" s="146"/>
      <c r="H224" s="147"/>
    </row>
    <row r="225" spans="3:8" ht="15.75" customHeight="1" x14ac:dyDescent="0.3">
      <c r="C225" s="146"/>
      <c r="D225" s="146"/>
      <c r="E225" s="147"/>
      <c r="F225" s="146"/>
      <c r="H225" s="147"/>
    </row>
    <row r="226" spans="3:8" ht="15.75" customHeight="1" x14ac:dyDescent="0.3">
      <c r="C226" s="146"/>
      <c r="D226" s="146"/>
      <c r="E226" s="147"/>
      <c r="F226" s="146"/>
      <c r="H226" s="147"/>
    </row>
    <row r="227" spans="3:8" ht="15.75" customHeight="1" x14ac:dyDescent="0.3">
      <c r="C227" s="146"/>
      <c r="D227" s="146"/>
      <c r="E227" s="147"/>
      <c r="F227" s="146"/>
      <c r="H227" s="147"/>
    </row>
    <row r="228" spans="3:8" ht="15.75" customHeight="1" x14ac:dyDescent="0.3">
      <c r="C228" s="146"/>
      <c r="D228" s="146"/>
      <c r="E228" s="147"/>
      <c r="F228" s="146"/>
      <c r="H228" s="147"/>
    </row>
    <row r="229" spans="3:8" ht="15.75" customHeight="1" x14ac:dyDescent="0.3">
      <c r="C229" s="146"/>
      <c r="D229" s="146"/>
      <c r="E229" s="147"/>
      <c r="F229" s="146"/>
      <c r="H229" s="147"/>
    </row>
    <row r="230" spans="3:8" ht="15.75" customHeight="1" x14ac:dyDescent="0.3">
      <c r="C230" s="146"/>
      <c r="D230" s="146"/>
      <c r="E230" s="147"/>
      <c r="F230" s="146"/>
      <c r="H230" s="147"/>
    </row>
    <row r="231" spans="3:8" ht="15.75" customHeight="1" x14ac:dyDescent="0.3">
      <c r="C231" s="146"/>
      <c r="D231" s="146"/>
      <c r="E231" s="147"/>
      <c r="F231" s="146"/>
      <c r="H231" s="147"/>
    </row>
    <row r="232" spans="3:8" ht="15.75" customHeight="1" x14ac:dyDescent="0.3">
      <c r="C232" s="146"/>
      <c r="D232" s="146"/>
      <c r="E232" s="147"/>
      <c r="F232" s="146"/>
      <c r="H232" s="147"/>
    </row>
    <row r="233" spans="3:8" ht="15.75" customHeight="1" x14ac:dyDescent="0.3">
      <c r="C233" s="146"/>
      <c r="D233" s="146"/>
      <c r="E233" s="147"/>
      <c r="F233" s="146"/>
      <c r="H233" s="147"/>
    </row>
    <row r="234" spans="3:8" ht="15.75" customHeight="1" x14ac:dyDescent="0.3">
      <c r="C234" s="146"/>
      <c r="D234" s="146"/>
      <c r="E234" s="147"/>
      <c r="F234" s="146"/>
      <c r="H234" s="147"/>
    </row>
    <row r="235" spans="3:8" ht="15.75" customHeight="1" x14ac:dyDescent="0.3">
      <c r="C235" s="146"/>
      <c r="D235" s="146"/>
      <c r="E235" s="147"/>
      <c r="F235" s="146"/>
      <c r="H235" s="147"/>
    </row>
    <row r="236" spans="3:8" ht="15.75" customHeight="1" x14ac:dyDescent="0.3">
      <c r="C236" s="146"/>
      <c r="D236" s="146"/>
      <c r="E236" s="147"/>
      <c r="F236" s="146"/>
      <c r="H236" s="147"/>
    </row>
    <row r="237" spans="3:8" ht="15.75" customHeight="1" x14ac:dyDescent="0.3">
      <c r="C237" s="146"/>
      <c r="D237" s="146"/>
      <c r="E237" s="147"/>
      <c r="F237" s="146"/>
      <c r="H237" s="147"/>
    </row>
    <row r="238" spans="3:8" ht="15.75" customHeight="1" x14ac:dyDescent="0.3">
      <c r="C238" s="146"/>
      <c r="D238" s="146"/>
      <c r="E238" s="147"/>
      <c r="F238" s="146"/>
      <c r="H238" s="147"/>
    </row>
    <row r="239" spans="3:8" ht="15.75" customHeight="1" x14ac:dyDescent="0.3">
      <c r="C239" s="146"/>
      <c r="D239" s="146"/>
      <c r="E239" s="147"/>
      <c r="F239" s="146"/>
      <c r="H239" s="147"/>
    </row>
    <row r="240" spans="3:8" ht="15.75" customHeight="1" x14ac:dyDescent="0.3">
      <c r="C240" s="146"/>
      <c r="D240" s="146"/>
      <c r="E240" s="147"/>
      <c r="F240" s="146"/>
      <c r="H240" s="147"/>
    </row>
    <row r="241" spans="3:8" ht="15.75" customHeight="1" x14ac:dyDescent="0.3">
      <c r="C241" s="146"/>
      <c r="D241" s="146"/>
      <c r="E241" s="147"/>
      <c r="F241" s="146"/>
      <c r="H241" s="147"/>
    </row>
    <row r="242" spans="3:8" ht="15.75" customHeight="1" x14ac:dyDescent="0.3">
      <c r="C242" s="146"/>
      <c r="D242" s="146"/>
      <c r="E242" s="147"/>
      <c r="F242" s="146"/>
      <c r="H242" s="147"/>
    </row>
    <row r="243" spans="3:8" ht="15.75" customHeight="1" x14ac:dyDescent="0.3">
      <c r="C243" s="146"/>
      <c r="D243" s="146"/>
      <c r="E243" s="147"/>
      <c r="F243" s="146"/>
      <c r="H243" s="147"/>
    </row>
    <row r="244" spans="3:8" ht="15.75" customHeight="1" x14ac:dyDescent="0.3">
      <c r="C244" s="146"/>
      <c r="D244" s="146"/>
      <c r="E244" s="147"/>
      <c r="F244" s="146"/>
      <c r="H244" s="147"/>
    </row>
    <row r="245" spans="3:8" ht="15.75" customHeight="1" x14ac:dyDescent="0.3">
      <c r="C245" s="146"/>
      <c r="D245" s="146"/>
      <c r="E245" s="147"/>
      <c r="F245" s="146"/>
      <c r="H245" s="147"/>
    </row>
    <row r="246" spans="3:8" ht="15.75" customHeight="1" x14ac:dyDescent="0.3">
      <c r="C246" s="146"/>
      <c r="D246" s="146"/>
      <c r="E246" s="147"/>
      <c r="F246" s="146"/>
      <c r="H246" s="147"/>
    </row>
    <row r="247" spans="3:8" ht="15.75" customHeight="1" x14ac:dyDescent="0.3">
      <c r="C247" s="146"/>
      <c r="D247" s="146"/>
      <c r="E247" s="147"/>
      <c r="F247" s="146"/>
      <c r="H247" s="147"/>
    </row>
    <row r="248" spans="3:8" ht="15.75" customHeight="1" x14ac:dyDescent="0.3">
      <c r="C248" s="146"/>
      <c r="D248" s="146"/>
      <c r="E248" s="147"/>
      <c r="F248" s="146"/>
      <c r="H248" s="147"/>
    </row>
    <row r="249" spans="3:8" ht="15.75" customHeight="1" x14ac:dyDescent="0.3">
      <c r="C249" s="146"/>
      <c r="D249" s="146"/>
      <c r="E249" s="147"/>
      <c r="F249" s="146"/>
      <c r="H249" s="147"/>
    </row>
    <row r="250" spans="3:8" ht="15.75" customHeight="1" x14ac:dyDescent="0.3">
      <c r="C250" s="146"/>
      <c r="D250" s="146"/>
      <c r="E250" s="147"/>
      <c r="F250" s="146"/>
      <c r="H250" s="147"/>
    </row>
    <row r="251" spans="3:8" ht="15.75" customHeight="1" x14ac:dyDescent="0.3">
      <c r="C251" s="146"/>
      <c r="D251" s="146"/>
      <c r="E251" s="147"/>
      <c r="F251" s="146"/>
      <c r="H251" s="147"/>
    </row>
    <row r="252" spans="3:8" ht="15.75" customHeight="1" x14ac:dyDescent="0.3">
      <c r="C252" s="146"/>
      <c r="D252" s="146"/>
      <c r="E252" s="147"/>
      <c r="F252" s="146"/>
      <c r="H252" s="147"/>
    </row>
    <row r="253" spans="3:8" ht="15.75" customHeight="1" x14ac:dyDescent="0.3">
      <c r="C253" s="146"/>
      <c r="D253" s="146"/>
      <c r="E253" s="147"/>
      <c r="F253" s="146"/>
      <c r="H253" s="147"/>
    </row>
    <row r="254" spans="3:8" ht="15.75" customHeight="1" x14ac:dyDescent="0.3">
      <c r="C254" s="146"/>
      <c r="D254" s="146"/>
      <c r="E254" s="147"/>
      <c r="F254" s="146"/>
      <c r="H254" s="147"/>
    </row>
    <row r="255" spans="3:8" ht="15.75" customHeight="1" x14ac:dyDescent="0.3">
      <c r="C255" s="146"/>
      <c r="D255" s="146"/>
      <c r="E255" s="147"/>
      <c r="F255" s="146"/>
      <c r="H255" s="147"/>
    </row>
    <row r="256" spans="3:8" ht="15.75" customHeight="1" x14ac:dyDescent="0.3">
      <c r="C256" s="146"/>
      <c r="D256" s="146"/>
      <c r="E256" s="147"/>
      <c r="F256" s="146"/>
      <c r="H256" s="147"/>
    </row>
    <row r="257" spans="3:8" ht="15.75" customHeight="1" x14ac:dyDescent="0.3">
      <c r="C257" s="146"/>
      <c r="D257" s="146"/>
      <c r="E257" s="147"/>
      <c r="F257" s="146"/>
      <c r="H257" s="147"/>
    </row>
    <row r="258" spans="3:8" ht="15.75" customHeight="1" x14ac:dyDescent="0.3">
      <c r="C258" s="146"/>
      <c r="D258" s="146"/>
      <c r="E258" s="147"/>
      <c r="F258" s="146"/>
      <c r="H258" s="147"/>
    </row>
    <row r="259" spans="3:8" ht="15.75" customHeight="1" x14ac:dyDescent="0.3">
      <c r="C259" s="146"/>
      <c r="D259" s="146"/>
      <c r="E259" s="147"/>
      <c r="F259" s="146"/>
      <c r="H259" s="147"/>
    </row>
    <row r="260" spans="3:8" ht="15.75" customHeight="1" x14ac:dyDescent="0.3">
      <c r="C260" s="146"/>
      <c r="D260" s="146"/>
      <c r="E260" s="147"/>
      <c r="F260" s="146"/>
      <c r="H260" s="147"/>
    </row>
    <row r="261" spans="3:8" ht="15.75" customHeight="1" x14ac:dyDescent="0.3">
      <c r="C261" s="146"/>
      <c r="D261" s="146"/>
      <c r="E261" s="147"/>
      <c r="F261" s="146"/>
      <c r="H261" s="147"/>
    </row>
    <row r="262" spans="3:8" ht="15.75" customHeight="1" x14ac:dyDescent="0.3">
      <c r="C262" s="146"/>
      <c r="D262" s="146"/>
      <c r="E262" s="147"/>
      <c r="F262" s="146"/>
      <c r="H262" s="147"/>
    </row>
    <row r="263" spans="3:8" ht="15.75" customHeight="1" x14ac:dyDescent="0.3">
      <c r="C263" s="146"/>
      <c r="D263" s="146"/>
      <c r="E263" s="147"/>
      <c r="F263" s="146"/>
      <c r="H263" s="147"/>
    </row>
    <row r="264" spans="3:8" ht="15.75" customHeight="1" x14ac:dyDescent="0.3">
      <c r="C264" s="146"/>
      <c r="D264" s="146"/>
      <c r="E264" s="147"/>
      <c r="F264" s="146"/>
      <c r="H264" s="147"/>
    </row>
    <row r="265" spans="3:8" ht="15.75" customHeight="1" x14ac:dyDescent="0.3">
      <c r="C265" s="146"/>
      <c r="D265" s="146"/>
      <c r="E265" s="147"/>
      <c r="F265" s="146"/>
      <c r="H265" s="147"/>
    </row>
    <row r="266" spans="3:8" ht="15.75" customHeight="1" x14ac:dyDescent="0.3">
      <c r="C266" s="146"/>
      <c r="D266" s="146"/>
      <c r="E266" s="147"/>
      <c r="F266" s="146"/>
      <c r="H266" s="147"/>
    </row>
    <row r="267" spans="3:8" ht="15.75" customHeight="1" x14ac:dyDescent="0.3">
      <c r="C267" s="146"/>
      <c r="D267" s="146"/>
      <c r="E267" s="147"/>
      <c r="F267" s="146"/>
      <c r="H267" s="147"/>
    </row>
    <row r="268" spans="3:8" ht="15.75" customHeight="1" x14ac:dyDescent="0.3">
      <c r="C268" s="146"/>
      <c r="D268" s="146"/>
      <c r="E268" s="147"/>
      <c r="F268" s="146"/>
      <c r="H268" s="147"/>
    </row>
    <row r="269" spans="3:8" ht="15.75" customHeight="1" x14ac:dyDescent="0.3">
      <c r="C269" s="146"/>
      <c r="D269" s="146"/>
      <c r="E269" s="147"/>
      <c r="F269" s="146"/>
      <c r="H269" s="147"/>
    </row>
    <row r="270" spans="3:8" ht="15.75" customHeight="1" x14ac:dyDescent="0.3">
      <c r="C270" s="146"/>
      <c r="D270" s="146"/>
      <c r="E270" s="147"/>
      <c r="F270" s="146"/>
      <c r="H270" s="147"/>
    </row>
    <row r="271" spans="3:8" ht="15.75" customHeight="1" x14ac:dyDescent="0.3">
      <c r="C271" s="146"/>
      <c r="D271" s="146"/>
      <c r="E271" s="147"/>
      <c r="F271" s="146"/>
      <c r="H271" s="147"/>
    </row>
    <row r="272" spans="3:8" ht="15.75" customHeight="1" x14ac:dyDescent="0.3">
      <c r="C272" s="146"/>
      <c r="D272" s="146"/>
      <c r="E272" s="147"/>
      <c r="F272" s="146"/>
      <c r="H272" s="147"/>
    </row>
    <row r="273" spans="3:8" ht="15.75" customHeight="1" x14ac:dyDescent="0.3">
      <c r="C273" s="146"/>
      <c r="D273" s="146"/>
      <c r="E273" s="147"/>
      <c r="F273" s="146"/>
      <c r="H273" s="147"/>
    </row>
    <row r="274" spans="3:8" ht="15.75" customHeight="1" x14ac:dyDescent="0.3">
      <c r="C274" s="146"/>
      <c r="D274" s="146"/>
      <c r="E274" s="147"/>
      <c r="F274" s="146"/>
      <c r="H274" s="147"/>
    </row>
    <row r="275" spans="3:8" ht="15.75" customHeight="1" x14ac:dyDescent="0.3">
      <c r="C275" s="146"/>
      <c r="D275" s="146"/>
      <c r="E275" s="147"/>
      <c r="F275" s="146"/>
      <c r="H275" s="147"/>
    </row>
    <row r="276" spans="3:8" ht="15.75" customHeight="1" x14ac:dyDescent="0.3">
      <c r="C276" s="146"/>
      <c r="D276" s="146"/>
      <c r="E276" s="147"/>
      <c r="F276" s="146"/>
      <c r="H276" s="147"/>
    </row>
    <row r="277" spans="3:8" ht="15.75" customHeight="1" x14ac:dyDescent="0.3">
      <c r="C277" s="146"/>
      <c r="D277" s="146"/>
      <c r="E277" s="147"/>
      <c r="F277" s="146"/>
      <c r="H277" s="147"/>
    </row>
    <row r="278" spans="3:8" ht="15.75" customHeight="1" x14ac:dyDescent="0.3">
      <c r="C278" s="146"/>
      <c r="D278" s="146"/>
      <c r="E278" s="147"/>
      <c r="F278" s="146"/>
      <c r="H278" s="147"/>
    </row>
    <row r="279" spans="3:8" ht="15.75" customHeight="1" x14ac:dyDescent="0.3">
      <c r="C279" s="146"/>
      <c r="D279" s="146"/>
      <c r="E279" s="147"/>
      <c r="F279" s="146"/>
      <c r="H279" s="147"/>
    </row>
    <row r="280" spans="3:8" ht="15.75" customHeight="1" x14ac:dyDescent="0.3">
      <c r="C280" s="146"/>
      <c r="D280" s="146"/>
      <c r="E280" s="147"/>
      <c r="F280" s="146"/>
      <c r="H280" s="147"/>
    </row>
    <row r="281" spans="3:8" ht="15.75" customHeight="1" x14ac:dyDescent="0.3">
      <c r="C281" s="146"/>
      <c r="D281" s="146"/>
      <c r="E281" s="147"/>
      <c r="F281" s="146"/>
      <c r="H281" s="147"/>
    </row>
    <row r="282" spans="3:8" ht="15.75" customHeight="1" x14ac:dyDescent="0.3">
      <c r="C282" s="146"/>
      <c r="D282" s="146"/>
      <c r="E282" s="147"/>
      <c r="F282" s="146"/>
      <c r="H282" s="147"/>
    </row>
    <row r="283" spans="3:8" ht="15.75" customHeight="1" x14ac:dyDescent="0.3">
      <c r="C283" s="146"/>
      <c r="D283" s="146"/>
      <c r="E283" s="147"/>
      <c r="F283" s="146"/>
      <c r="H283" s="147"/>
    </row>
    <row r="284" spans="3:8" ht="15.75" customHeight="1" x14ac:dyDescent="0.3">
      <c r="C284" s="146"/>
      <c r="D284" s="146"/>
      <c r="E284" s="147"/>
      <c r="F284" s="146"/>
      <c r="H284" s="147"/>
    </row>
    <row r="285" spans="3:8" ht="15.75" customHeight="1" x14ac:dyDescent="0.3">
      <c r="C285" s="146"/>
      <c r="D285" s="146"/>
      <c r="E285" s="147"/>
      <c r="F285" s="146"/>
      <c r="H285" s="147"/>
    </row>
    <row r="286" spans="3:8" ht="15.75" customHeight="1" x14ac:dyDescent="0.3">
      <c r="C286" s="146"/>
      <c r="D286" s="146"/>
      <c r="E286" s="147"/>
      <c r="F286" s="146"/>
      <c r="H286" s="147"/>
    </row>
    <row r="287" spans="3:8" ht="15.75" customHeight="1" x14ac:dyDescent="0.3">
      <c r="C287" s="146"/>
      <c r="D287" s="146"/>
      <c r="E287" s="147"/>
      <c r="F287" s="146"/>
      <c r="H287" s="147"/>
    </row>
    <row r="288" spans="3:8" ht="15.75" customHeight="1" x14ac:dyDescent="0.3">
      <c r="C288" s="146"/>
      <c r="D288" s="146"/>
      <c r="E288" s="147"/>
      <c r="F288" s="146"/>
      <c r="H288" s="147"/>
    </row>
    <row r="289" spans="3:8" ht="15.75" customHeight="1" x14ac:dyDescent="0.3">
      <c r="C289" s="146"/>
      <c r="D289" s="146"/>
      <c r="E289" s="147"/>
      <c r="F289" s="146"/>
      <c r="H289" s="147"/>
    </row>
    <row r="290" spans="3:8" ht="15.75" customHeight="1" x14ac:dyDescent="0.3">
      <c r="C290" s="146"/>
      <c r="D290" s="146"/>
      <c r="E290" s="147"/>
      <c r="F290" s="146"/>
      <c r="H290" s="147"/>
    </row>
    <row r="291" spans="3:8" ht="15.75" customHeight="1" x14ac:dyDescent="0.3">
      <c r="C291" s="146"/>
      <c r="D291" s="146"/>
      <c r="E291" s="147"/>
      <c r="F291" s="146"/>
      <c r="H291" s="147"/>
    </row>
    <row r="292" spans="3:8" ht="15.75" customHeight="1" x14ac:dyDescent="0.3">
      <c r="C292" s="146"/>
      <c r="D292" s="146"/>
      <c r="E292" s="147"/>
      <c r="F292" s="146"/>
      <c r="H292" s="147"/>
    </row>
    <row r="293" spans="3:8" ht="15.75" customHeight="1" x14ac:dyDescent="0.3">
      <c r="C293" s="146"/>
      <c r="D293" s="146"/>
      <c r="E293" s="147"/>
      <c r="F293" s="146"/>
      <c r="H293" s="147"/>
    </row>
    <row r="294" spans="3:8" ht="15.75" customHeight="1" x14ac:dyDescent="0.3">
      <c r="C294" s="146"/>
      <c r="D294" s="146"/>
      <c r="E294" s="147"/>
      <c r="F294" s="146"/>
      <c r="H294" s="147"/>
    </row>
    <row r="295" spans="3:8" ht="15.75" customHeight="1" x14ac:dyDescent="0.3">
      <c r="C295" s="146"/>
      <c r="D295" s="146"/>
      <c r="E295" s="147"/>
      <c r="F295" s="146"/>
      <c r="H295" s="147"/>
    </row>
    <row r="296" spans="3:8" ht="15.75" customHeight="1" x14ac:dyDescent="0.3">
      <c r="C296" s="146"/>
      <c r="D296" s="146"/>
      <c r="E296" s="147"/>
      <c r="F296" s="146"/>
      <c r="H296" s="147"/>
    </row>
    <row r="297" spans="3:8" ht="15.75" customHeight="1" x14ac:dyDescent="0.3">
      <c r="C297" s="146"/>
      <c r="D297" s="146"/>
      <c r="E297" s="147"/>
      <c r="F297" s="146"/>
      <c r="H297" s="147"/>
    </row>
    <row r="298" spans="3:8" ht="15.75" customHeight="1" x14ac:dyDescent="0.3">
      <c r="C298" s="146"/>
      <c r="D298" s="146"/>
      <c r="E298" s="147"/>
      <c r="F298" s="146"/>
      <c r="H298" s="147"/>
    </row>
    <row r="299" spans="3:8" ht="15.75" customHeight="1" x14ac:dyDescent="0.3">
      <c r="C299" s="146"/>
      <c r="D299" s="146"/>
      <c r="E299" s="147"/>
      <c r="F299" s="146"/>
      <c r="H299" s="147"/>
    </row>
    <row r="300" spans="3:8" ht="15.75" customHeight="1" x14ac:dyDescent="0.3">
      <c r="C300" s="146"/>
      <c r="D300" s="146"/>
      <c r="E300" s="147"/>
      <c r="F300" s="146"/>
      <c r="H300" s="147"/>
    </row>
    <row r="301" spans="3:8" ht="15.75" customHeight="1" x14ac:dyDescent="0.3">
      <c r="C301" s="146"/>
      <c r="D301" s="146"/>
      <c r="E301" s="147"/>
      <c r="F301" s="146"/>
      <c r="H301" s="147"/>
    </row>
    <row r="302" spans="3:8" ht="15.75" customHeight="1" x14ac:dyDescent="0.3">
      <c r="C302" s="146"/>
      <c r="D302" s="146"/>
      <c r="E302" s="147"/>
      <c r="F302" s="146"/>
      <c r="H302" s="147"/>
    </row>
    <row r="303" spans="3:8" ht="15.75" customHeight="1" x14ac:dyDescent="0.3">
      <c r="C303" s="146"/>
      <c r="D303" s="146"/>
      <c r="E303" s="147"/>
      <c r="F303" s="146"/>
      <c r="H303" s="147"/>
    </row>
    <row r="304" spans="3:8" ht="15.75" customHeight="1" x14ac:dyDescent="0.3">
      <c r="C304" s="146"/>
      <c r="D304" s="146"/>
      <c r="E304" s="147"/>
      <c r="F304" s="146"/>
      <c r="H304" s="147"/>
    </row>
    <row r="305" spans="3:8" ht="15.75" customHeight="1" x14ac:dyDescent="0.3">
      <c r="C305" s="146"/>
      <c r="D305" s="146"/>
      <c r="E305" s="147"/>
      <c r="F305" s="146"/>
      <c r="H305" s="147"/>
    </row>
    <row r="306" spans="3:8" ht="15.75" customHeight="1" x14ac:dyDescent="0.3">
      <c r="C306" s="146"/>
      <c r="D306" s="146"/>
      <c r="E306" s="147"/>
      <c r="F306" s="146"/>
      <c r="H306" s="147"/>
    </row>
    <row r="307" spans="3:8" ht="15.75" customHeight="1" x14ac:dyDescent="0.3">
      <c r="C307" s="146"/>
      <c r="D307" s="146"/>
      <c r="E307" s="147"/>
      <c r="F307" s="146"/>
      <c r="H307" s="147"/>
    </row>
    <row r="308" spans="3:8" ht="15.75" customHeight="1" x14ac:dyDescent="0.3">
      <c r="C308" s="146"/>
      <c r="D308" s="146"/>
      <c r="E308" s="147"/>
      <c r="F308" s="146"/>
      <c r="H308" s="147"/>
    </row>
    <row r="309" spans="3:8" ht="15.75" customHeight="1" x14ac:dyDescent="0.3">
      <c r="C309" s="146"/>
      <c r="D309" s="146"/>
      <c r="E309" s="147"/>
      <c r="F309" s="146"/>
      <c r="H309" s="147"/>
    </row>
    <row r="310" spans="3:8" ht="15.75" customHeight="1" x14ac:dyDescent="0.3">
      <c r="C310" s="146"/>
      <c r="D310" s="146"/>
      <c r="E310" s="147"/>
      <c r="F310" s="146"/>
      <c r="H310" s="147"/>
    </row>
    <row r="311" spans="3:8" ht="15.75" customHeight="1" x14ac:dyDescent="0.3">
      <c r="C311" s="146"/>
      <c r="D311" s="146"/>
      <c r="E311" s="147"/>
      <c r="F311" s="146"/>
      <c r="H311" s="147"/>
    </row>
    <row r="312" spans="3:8" ht="15.75" customHeight="1" x14ac:dyDescent="0.3">
      <c r="C312" s="146"/>
      <c r="D312" s="146"/>
      <c r="E312" s="147"/>
      <c r="F312" s="146"/>
      <c r="H312" s="147"/>
    </row>
    <row r="313" spans="3:8" ht="15.75" customHeight="1" x14ac:dyDescent="0.3">
      <c r="C313" s="146"/>
      <c r="D313" s="146"/>
      <c r="E313" s="147"/>
      <c r="F313" s="146"/>
      <c r="H313" s="147"/>
    </row>
    <row r="314" spans="3:8" ht="15.75" customHeight="1" x14ac:dyDescent="0.3">
      <c r="C314" s="146"/>
      <c r="D314" s="146"/>
      <c r="E314" s="147"/>
      <c r="F314" s="146"/>
      <c r="H314" s="147"/>
    </row>
    <row r="315" spans="3:8" ht="15.75" customHeight="1" x14ac:dyDescent="0.3">
      <c r="C315" s="146"/>
      <c r="D315" s="146"/>
      <c r="E315" s="147"/>
      <c r="F315" s="146"/>
      <c r="H315" s="147"/>
    </row>
    <row r="316" spans="3:8" ht="15.75" customHeight="1" x14ac:dyDescent="0.3">
      <c r="C316" s="146"/>
      <c r="D316" s="146"/>
      <c r="E316" s="147"/>
      <c r="F316" s="146"/>
      <c r="H316" s="147"/>
    </row>
    <row r="317" spans="3:8" ht="15.75" customHeight="1" x14ac:dyDescent="0.3">
      <c r="C317" s="146"/>
      <c r="D317" s="146"/>
      <c r="E317" s="147"/>
      <c r="F317" s="146"/>
      <c r="H317" s="147"/>
    </row>
    <row r="318" spans="3:8" ht="15.75" customHeight="1" x14ac:dyDescent="0.3">
      <c r="C318" s="146"/>
      <c r="D318" s="146"/>
      <c r="E318" s="147"/>
      <c r="F318" s="146"/>
      <c r="H318" s="147"/>
    </row>
    <row r="319" spans="3:8" ht="15.75" customHeight="1" x14ac:dyDescent="0.3">
      <c r="C319" s="146"/>
      <c r="D319" s="146"/>
      <c r="E319" s="147"/>
      <c r="F319" s="146"/>
      <c r="H319" s="147"/>
    </row>
    <row r="320" spans="3:8" ht="15.75" customHeight="1" x14ac:dyDescent="0.3">
      <c r="C320" s="146"/>
      <c r="D320" s="146"/>
      <c r="E320" s="147"/>
      <c r="F320" s="146"/>
      <c r="H320" s="147"/>
    </row>
    <row r="321" spans="3:8" ht="15.75" customHeight="1" x14ac:dyDescent="0.3">
      <c r="C321" s="146"/>
      <c r="D321" s="146"/>
      <c r="E321" s="147"/>
      <c r="F321" s="146"/>
      <c r="H321" s="147"/>
    </row>
    <row r="322" spans="3:8" ht="15.75" customHeight="1" x14ac:dyDescent="0.3">
      <c r="C322" s="146"/>
      <c r="D322" s="146"/>
      <c r="E322" s="147"/>
      <c r="F322" s="146"/>
      <c r="H322" s="147"/>
    </row>
    <row r="323" spans="3:8" ht="15.75" customHeight="1" x14ac:dyDescent="0.3">
      <c r="C323" s="146"/>
      <c r="D323" s="146"/>
      <c r="E323" s="147"/>
      <c r="F323" s="146"/>
      <c r="H323" s="147"/>
    </row>
    <row r="324" spans="3:8" ht="15.75" customHeight="1" x14ac:dyDescent="0.3">
      <c r="C324" s="146"/>
      <c r="D324" s="146"/>
      <c r="E324" s="147"/>
      <c r="F324" s="146"/>
      <c r="H324" s="147"/>
    </row>
    <row r="325" spans="3:8" ht="15.75" customHeight="1" x14ac:dyDescent="0.3">
      <c r="C325" s="146"/>
      <c r="D325" s="146"/>
      <c r="E325" s="147"/>
      <c r="F325" s="146"/>
      <c r="H325" s="147"/>
    </row>
    <row r="326" spans="3:8" ht="15.75" customHeight="1" x14ac:dyDescent="0.3">
      <c r="C326" s="146"/>
      <c r="D326" s="146"/>
      <c r="E326" s="147"/>
      <c r="F326" s="146"/>
      <c r="H326" s="147"/>
    </row>
    <row r="327" spans="3:8" ht="15.75" customHeight="1" x14ac:dyDescent="0.3">
      <c r="C327" s="146"/>
      <c r="D327" s="146"/>
      <c r="E327" s="147"/>
      <c r="F327" s="146"/>
      <c r="H327" s="147"/>
    </row>
    <row r="328" spans="3:8" ht="15.75" customHeight="1" x14ac:dyDescent="0.3">
      <c r="C328" s="146"/>
      <c r="D328" s="146"/>
      <c r="E328" s="147"/>
      <c r="F328" s="146"/>
      <c r="H328" s="147"/>
    </row>
    <row r="329" spans="3:8" ht="15.75" customHeight="1" x14ac:dyDescent="0.3">
      <c r="C329" s="146"/>
      <c r="D329" s="146"/>
      <c r="E329" s="147"/>
      <c r="F329" s="146"/>
      <c r="H329" s="147"/>
    </row>
    <row r="330" spans="3:8" ht="15.75" customHeight="1" x14ac:dyDescent="0.3">
      <c r="C330" s="146"/>
      <c r="D330" s="146"/>
      <c r="E330" s="147"/>
      <c r="F330" s="146"/>
      <c r="H330" s="147"/>
    </row>
    <row r="331" spans="3:8" ht="15.75" customHeight="1" x14ac:dyDescent="0.3">
      <c r="C331" s="146"/>
      <c r="D331" s="146"/>
      <c r="E331" s="147"/>
      <c r="F331" s="146"/>
      <c r="H331" s="147"/>
    </row>
    <row r="332" spans="3:8" ht="15.75" customHeight="1" x14ac:dyDescent="0.3">
      <c r="C332" s="146"/>
      <c r="D332" s="146"/>
      <c r="E332" s="147"/>
      <c r="F332" s="146"/>
      <c r="H332" s="147"/>
    </row>
    <row r="333" spans="3:8" ht="15.75" customHeight="1" x14ac:dyDescent="0.3">
      <c r="C333" s="146"/>
      <c r="D333" s="146"/>
      <c r="E333" s="147"/>
      <c r="F333" s="146"/>
      <c r="H333" s="147"/>
    </row>
    <row r="334" spans="3:8" ht="15.75" customHeight="1" x14ac:dyDescent="0.3">
      <c r="C334" s="146"/>
      <c r="D334" s="146"/>
      <c r="E334" s="147"/>
      <c r="F334" s="146"/>
      <c r="H334" s="147"/>
    </row>
    <row r="335" spans="3:8" ht="15.75" customHeight="1" x14ac:dyDescent="0.3">
      <c r="C335" s="146"/>
      <c r="D335" s="146"/>
      <c r="E335" s="147"/>
      <c r="F335" s="146"/>
      <c r="H335" s="147"/>
    </row>
    <row r="336" spans="3:8" ht="15.75" customHeight="1" x14ac:dyDescent="0.3">
      <c r="C336" s="146"/>
      <c r="D336" s="146"/>
      <c r="E336" s="147"/>
      <c r="F336" s="146"/>
      <c r="H336" s="147"/>
    </row>
    <row r="337" spans="3:8" ht="15.75" customHeight="1" x14ac:dyDescent="0.3">
      <c r="C337" s="146"/>
      <c r="D337" s="146"/>
      <c r="E337" s="147"/>
      <c r="F337" s="146"/>
      <c r="H337" s="147"/>
    </row>
    <row r="338" spans="3:8" ht="15.75" customHeight="1" x14ac:dyDescent="0.3">
      <c r="C338" s="146"/>
      <c r="D338" s="146"/>
      <c r="E338" s="147"/>
      <c r="F338" s="146"/>
      <c r="H338" s="147"/>
    </row>
    <row r="339" spans="3:8" ht="15.75" customHeight="1" x14ac:dyDescent="0.3">
      <c r="C339" s="146"/>
      <c r="D339" s="146"/>
      <c r="E339" s="147"/>
      <c r="F339" s="146"/>
      <c r="H339" s="147"/>
    </row>
    <row r="340" spans="3:8" ht="15.75" customHeight="1" x14ac:dyDescent="0.3">
      <c r="C340" s="146"/>
      <c r="D340" s="146"/>
      <c r="E340" s="147"/>
      <c r="F340" s="146"/>
      <c r="H340" s="147"/>
    </row>
    <row r="341" spans="3:8" ht="15.75" customHeight="1" x14ac:dyDescent="0.3">
      <c r="C341" s="146"/>
      <c r="D341" s="146"/>
      <c r="E341" s="147"/>
      <c r="F341" s="146"/>
      <c r="H341" s="147"/>
    </row>
    <row r="342" spans="3:8" ht="15.75" customHeight="1" x14ac:dyDescent="0.3">
      <c r="C342" s="146"/>
      <c r="D342" s="146"/>
      <c r="E342" s="147"/>
      <c r="F342" s="146"/>
      <c r="H342" s="147"/>
    </row>
    <row r="343" spans="3:8" ht="15.75" customHeight="1" x14ac:dyDescent="0.3">
      <c r="C343" s="146"/>
      <c r="D343" s="146"/>
      <c r="E343" s="147"/>
      <c r="F343" s="146"/>
      <c r="H343" s="147"/>
    </row>
    <row r="344" spans="3:8" ht="15.75" customHeight="1" x14ac:dyDescent="0.3">
      <c r="C344" s="146"/>
      <c r="D344" s="146"/>
      <c r="E344" s="147"/>
      <c r="F344" s="146"/>
      <c r="H344" s="147"/>
    </row>
    <row r="345" spans="3:8" ht="15.75" customHeight="1" x14ac:dyDescent="0.3">
      <c r="C345" s="146"/>
      <c r="D345" s="146"/>
      <c r="E345" s="147"/>
      <c r="F345" s="146"/>
      <c r="H345" s="147"/>
    </row>
    <row r="346" spans="3:8" ht="15.75" customHeight="1" x14ac:dyDescent="0.3">
      <c r="C346" s="146"/>
      <c r="D346" s="146"/>
      <c r="E346" s="147"/>
      <c r="F346" s="146"/>
      <c r="H346" s="147"/>
    </row>
    <row r="347" spans="3:8" ht="15.75" customHeight="1" x14ac:dyDescent="0.3">
      <c r="C347" s="146"/>
      <c r="D347" s="146"/>
      <c r="E347" s="147"/>
      <c r="F347" s="146"/>
      <c r="H347" s="147"/>
    </row>
    <row r="348" spans="3:8" ht="15.75" customHeight="1" x14ac:dyDescent="0.3">
      <c r="C348" s="146"/>
      <c r="D348" s="146"/>
      <c r="E348" s="147"/>
      <c r="F348" s="146"/>
      <c r="H348" s="147"/>
    </row>
    <row r="349" spans="3:8" ht="15.75" customHeight="1" x14ac:dyDescent="0.3">
      <c r="C349" s="146"/>
      <c r="D349" s="146"/>
      <c r="E349" s="147"/>
      <c r="F349" s="146"/>
      <c r="H349" s="147"/>
    </row>
    <row r="350" spans="3:8" ht="15.75" customHeight="1" x14ac:dyDescent="0.3">
      <c r="C350" s="146"/>
      <c r="D350" s="146"/>
      <c r="E350" s="147"/>
      <c r="F350" s="146"/>
      <c r="H350" s="147"/>
    </row>
    <row r="351" spans="3:8" ht="15.75" customHeight="1" x14ac:dyDescent="0.3">
      <c r="C351" s="146"/>
      <c r="D351" s="146"/>
      <c r="E351" s="147"/>
      <c r="F351" s="146"/>
      <c r="H351" s="147"/>
    </row>
    <row r="352" spans="3:8" ht="15.75" customHeight="1" x14ac:dyDescent="0.3">
      <c r="C352" s="146"/>
      <c r="D352" s="146"/>
      <c r="E352" s="147"/>
      <c r="F352" s="146"/>
      <c r="H352" s="147"/>
    </row>
    <row r="353" spans="3:8" ht="15.75" customHeight="1" x14ac:dyDescent="0.3">
      <c r="C353" s="146"/>
      <c r="D353" s="146"/>
      <c r="E353" s="147"/>
      <c r="F353" s="146"/>
      <c r="H353" s="147"/>
    </row>
    <row r="354" spans="3:8" ht="15.75" customHeight="1" x14ac:dyDescent="0.3">
      <c r="C354" s="146"/>
      <c r="D354" s="146"/>
      <c r="E354" s="147"/>
      <c r="F354" s="146"/>
      <c r="H354" s="147"/>
    </row>
    <row r="355" spans="3:8" ht="15.75" customHeight="1" x14ac:dyDescent="0.3">
      <c r="C355" s="146"/>
      <c r="D355" s="146"/>
      <c r="E355" s="147"/>
      <c r="F355" s="146"/>
      <c r="H355" s="147"/>
    </row>
    <row r="356" spans="3:8" ht="15.75" customHeight="1" x14ac:dyDescent="0.3">
      <c r="C356" s="146"/>
      <c r="D356" s="146"/>
      <c r="E356" s="147"/>
      <c r="F356" s="146"/>
      <c r="H356" s="147"/>
    </row>
    <row r="357" spans="3:8" ht="15.75" customHeight="1" x14ac:dyDescent="0.3">
      <c r="C357" s="146"/>
      <c r="D357" s="146"/>
      <c r="E357" s="147"/>
      <c r="F357" s="146"/>
      <c r="H357" s="147"/>
    </row>
    <row r="358" spans="3:8" ht="15.75" customHeight="1" x14ac:dyDescent="0.3">
      <c r="C358" s="146"/>
      <c r="D358" s="146"/>
      <c r="E358" s="147"/>
      <c r="F358" s="146"/>
      <c r="H358" s="147"/>
    </row>
    <row r="359" spans="3:8" ht="15.75" customHeight="1" x14ac:dyDescent="0.3">
      <c r="C359" s="146"/>
      <c r="D359" s="146"/>
      <c r="E359" s="147"/>
      <c r="F359" s="146"/>
      <c r="H359" s="147"/>
    </row>
    <row r="360" spans="3:8" ht="15.75" customHeight="1" x14ac:dyDescent="0.3">
      <c r="C360" s="146"/>
      <c r="D360" s="146"/>
      <c r="E360" s="147"/>
      <c r="F360" s="146"/>
      <c r="H360" s="147"/>
    </row>
    <row r="361" spans="3:8" ht="15.75" customHeight="1" x14ac:dyDescent="0.3">
      <c r="C361" s="146"/>
      <c r="D361" s="146"/>
      <c r="E361" s="147"/>
      <c r="F361" s="146"/>
      <c r="H361" s="147"/>
    </row>
    <row r="362" spans="3:8" ht="15.75" customHeight="1" x14ac:dyDescent="0.3">
      <c r="C362" s="146"/>
      <c r="D362" s="146"/>
      <c r="E362" s="147"/>
      <c r="F362" s="146"/>
      <c r="H362" s="147"/>
    </row>
    <row r="363" spans="3:8" ht="15.75" customHeight="1" x14ac:dyDescent="0.3">
      <c r="C363" s="146"/>
      <c r="D363" s="146"/>
      <c r="E363" s="147"/>
      <c r="F363" s="146"/>
      <c r="H363" s="147"/>
    </row>
    <row r="364" spans="3:8" ht="15.75" customHeight="1" x14ac:dyDescent="0.3">
      <c r="C364" s="146"/>
      <c r="D364" s="146"/>
      <c r="E364" s="147"/>
      <c r="F364" s="146"/>
      <c r="H364" s="147"/>
    </row>
    <row r="365" spans="3:8" ht="15.75" customHeight="1" x14ac:dyDescent="0.3">
      <c r="C365" s="146"/>
      <c r="D365" s="146"/>
      <c r="E365" s="147"/>
      <c r="F365" s="146"/>
      <c r="H365" s="147"/>
    </row>
    <row r="366" spans="3:8" ht="15.75" customHeight="1" x14ac:dyDescent="0.3">
      <c r="C366" s="146"/>
      <c r="D366" s="146"/>
      <c r="E366" s="147"/>
      <c r="F366" s="146"/>
      <c r="H366" s="147"/>
    </row>
    <row r="367" spans="3:8" ht="15.75" customHeight="1" x14ac:dyDescent="0.3">
      <c r="C367" s="146"/>
      <c r="D367" s="146"/>
      <c r="E367" s="147"/>
      <c r="F367" s="146"/>
      <c r="H367" s="147"/>
    </row>
    <row r="368" spans="3:8" ht="15.75" customHeight="1" x14ac:dyDescent="0.3">
      <c r="C368" s="146"/>
      <c r="D368" s="146"/>
      <c r="E368" s="147"/>
      <c r="F368" s="146"/>
      <c r="H368" s="147"/>
    </row>
    <row r="369" spans="3:8" ht="15.75" customHeight="1" x14ac:dyDescent="0.3">
      <c r="C369" s="146"/>
      <c r="D369" s="146"/>
      <c r="E369" s="147"/>
      <c r="F369" s="146"/>
      <c r="H369" s="147"/>
    </row>
    <row r="370" spans="3:8" ht="15.75" customHeight="1" x14ac:dyDescent="0.3">
      <c r="C370" s="146"/>
      <c r="D370" s="146"/>
      <c r="E370" s="147"/>
      <c r="F370" s="146"/>
      <c r="H370" s="147"/>
    </row>
    <row r="371" spans="3:8" ht="15.75" customHeight="1" x14ac:dyDescent="0.3">
      <c r="C371" s="146"/>
      <c r="D371" s="146"/>
      <c r="E371" s="147"/>
      <c r="F371" s="146"/>
      <c r="H371" s="147"/>
    </row>
    <row r="372" spans="3:8" ht="15.75" customHeight="1" x14ac:dyDescent="0.3">
      <c r="C372" s="146"/>
      <c r="D372" s="146"/>
      <c r="E372" s="147"/>
      <c r="F372" s="146"/>
      <c r="H372" s="147"/>
    </row>
    <row r="373" spans="3:8" ht="15.75" customHeight="1" x14ac:dyDescent="0.3">
      <c r="C373" s="146"/>
      <c r="D373" s="146"/>
      <c r="E373" s="147"/>
      <c r="F373" s="146"/>
      <c r="H373" s="147"/>
    </row>
    <row r="374" spans="3:8" ht="15.75" customHeight="1" x14ac:dyDescent="0.3">
      <c r="C374" s="146"/>
      <c r="D374" s="146"/>
      <c r="E374" s="147"/>
      <c r="F374" s="146"/>
      <c r="H374" s="147"/>
    </row>
    <row r="375" spans="3:8" ht="15.75" customHeight="1" x14ac:dyDescent="0.3">
      <c r="C375" s="146"/>
      <c r="D375" s="146"/>
      <c r="E375" s="147"/>
      <c r="F375" s="146"/>
      <c r="H375" s="147"/>
    </row>
    <row r="376" spans="3:8" ht="15.75" customHeight="1" x14ac:dyDescent="0.3">
      <c r="C376" s="146"/>
      <c r="D376" s="146"/>
      <c r="E376" s="147"/>
      <c r="F376" s="146"/>
      <c r="H376" s="147"/>
    </row>
    <row r="377" spans="3:8" ht="15.75" customHeight="1" x14ac:dyDescent="0.3">
      <c r="C377" s="146"/>
      <c r="D377" s="146"/>
      <c r="E377" s="147"/>
      <c r="F377" s="146"/>
      <c r="H377" s="147"/>
    </row>
    <row r="378" spans="3:8" ht="15.75" customHeight="1" x14ac:dyDescent="0.3">
      <c r="C378" s="146"/>
      <c r="D378" s="146"/>
      <c r="E378" s="147"/>
      <c r="F378" s="146"/>
      <c r="H378" s="147"/>
    </row>
    <row r="379" spans="3:8" ht="15.75" customHeight="1" x14ac:dyDescent="0.3">
      <c r="C379" s="146"/>
      <c r="D379" s="146"/>
      <c r="E379" s="147"/>
      <c r="F379" s="146"/>
      <c r="H379" s="147"/>
    </row>
    <row r="380" spans="3:8" ht="15.75" customHeight="1" x14ac:dyDescent="0.3">
      <c r="C380" s="146"/>
      <c r="D380" s="146"/>
      <c r="E380" s="147"/>
      <c r="F380" s="146"/>
      <c r="H380" s="147"/>
    </row>
    <row r="381" spans="3:8" ht="15.75" customHeight="1" x14ac:dyDescent="0.3">
      <c r="C381" s="146"/>
      <c r="D381" s="146"/>
      <c r="E381" s="147"/>
      <c r="F381" s="146"/>
      <c r="H381" s="147"/>
    </row>
    <row r="382" spans="3:8" ht="15.75" customHeight="1" x14ac:dyDescent="0.3">
      <c r="C382" s="146"/>
      <c r="D382" s="146"/>
      <c r="E382" s="147"/>
      <c r="F382" s="146"/>
      <c r="H382" s="147"/>
    </row>
    <row r="383" spans="3:8" ht="15.75" customHeight="1" x14ac:dyDescent="0.3">
      <c r="C383" s="146"/>
      <c r="D383" s="146"/>
      <c r="E383" s="147"/>
      <c r="F383" s="146"/>
      <c r="H383" s="147"/>
    </row>
    <row r="384" spans="3:8" ht="15.75" customHeight="1" x14ac:dyDescent="0.3">
      <c r="C384" s="146"/>
      <c r="D384" s="146"/>
      <c r="E384" s="147"/>
      <c r="F384" s="146"/>
      <c r="H384" s="147"/>
    </row>
    <row r="385" spans="3:8" ht="15.75" customHeight="1" x14ac:dyDescent="0.3">
      <c r="C385" s="146"/>
      <c r="D385" s="146"/>
      <c r="E385" s="147"/>
      <c r="F385" s="146"/>
      <c r="H385" s="147"/>
    </row>
    <row r="386" spans="3:8" ht="15.75" customHeight="1" x14ac:dyDescent="0.3">
      <c r="C386" s="146"/>
      <c r="D386" s="146"/>
      <c r="E386" s="147"/>
      <c r="F386" s="146"/>
      <c r="H386" s="147"/>
    </row>
    <row r="387" spans="3:8" ht="15.75" customHeight="1" x14ac:dyDescent="0.3">
      <c r="C387" s="146"/>
      <c r="D387" s="146"/>
      <c r="E387" s="147"/>
      <c r="F387" s="146"/>
      <c r="H387" s="147"/>
    </row>
    <row r="388" spans="3:8" ht="15.75" customHeight="1" x14ac:dyDescent="0.3">
      <c r="C388" s="146"/>
      <c r="D388" s="146"/>
      <c r="E388" s="147"/>
      <c r="F388" s="146"/>
      <c r="H388" s="147"/>
    </row>
    <row r="389" spans="3:8" ht="15.75" customHeight="1" x14ac:dyDescent="0.3">
      <c r="C389" s="146"/>
      <c r="D389" s="146"/>
      <c r="E389" s="147"/>
      <c r="F389" s="146"/>
      <c r="H389" s="147"/>
    </row>
    <row r="390" spans="3:8" ht="15.75" customHeight="1" x14ac:dyDescent="0.3">
      <c r="C390" s="146"/>
      <c r="D390" s="146"/>
      <c r="E390" s="147"/>
      <c r="F390" s="146"/>
      <c r="H390" s="147"/>
    </row>
    <row r="391" spans="3:8" ht="15.75" customHeight="1" x14ac:dyDescent="0.3">
      <c r="C391" s="146"/>
      <c r="D391" s="146"/>
      <c r="E391" s="147"/>
      <c r="F391" s="146"/>
      <c r="H391" s="147"/>
    </row>
    <row r="392" spans="3:8" ht="15.75" customHeight="1" x14ac:dyDescent="0.3">
      <c r="C392" s="146"/>
      <c r="D392" s="146"/>
      <c r="E392" s="147"/>
      <c r="F392" s="146"/>
      <c r="H392" s="147"/>
    </row>
    <row r="393" spans="3:8" ht="15.75" customHeight="1" x14ac:dyDescent="0.3">
      <c r="C393" s="146"/>
      <c r="D393" s="146"/>
      <c r="E393" s="147"/>
      <c r="F393" s="146"/>
      <c r="H393" s="147"/>
    </row>
    <row r="394" spans="3:8" ht="15.75" customHeight="1" x14ac:dyDescent="0.3">
      <c r="C394" s="146"/>
      <c r="D394" s="146"/>
      <c r="E394" s="147"/>
      <c r="F394" s="146"/>
      <c r="H394" s="147"/>
    </row>
    <row r="395" spans="3:8" ht="15.75" customHeight="1" x14ac:dyDescent="0.3">
      <c r="C395" s="146"/>
      <c r="D395" s="146"/>
      <c r="E395" s="147"/>
      <c r="F395" s="146"/>
      <c r="H395" s="147"/>
    </row>
    <row r="396" spans="3:8" ht="15.75" customHeight="1" x14ac:dyDescent="0.3">
      <c r="C396" s="146"/>
      <c r="D396" s="146"/>
      <c r="E396" s="147"/>
      <c r="F396" s="146"/>
      <c r="H396" s="147"/>
    </row>
    <row r="397" spans="3:8" ht="15.75" customHeight="1" x14ac:dyDescent="0.3">
      <c r="C397" s="146"/>
      <c r="D397" s="146"/>
      <c r="E397" s="147"/>
      <c r="F397" s="146"/>
      <c r="H397" s="147"/>
    </row>
    <row r="398" spans="3:8" ht="15.75" customHeight="1" x14ac:dyDescent="0.3">
      <c r="C398" s="146"/>
      <c r="D398" s="146"/>
      <c r="E398" s="147"/>
      <c r="F398" s="146"/>
      <c r="H398" s="147"/>
    </row>
    <row r="399" spans="3:8" ht="15.75" customHeight="1" x14ac:dyDescent="0.3">
      <c r="C399" s="146"/>
      <c r="D399" s="146"/>
      <c r="E399" s="147"/>
      <c r="F399" s="146"/>
      <c r="H399" s="147"/>
    </row>
    <row r="400" spans="3:8" ht="15.75" customHeight="1" x14ac:dyDescent="0.3">
      <c r="C400" s="146"/>
      <c r="D400" s="146"/>
      <c r="E400" s="147"/>
      <c r="F400" s="146"/>
      <c r="H400" s="147"/>
    </row>
    <row r="401" spans="3:8" ht="15.75" customHeight="1" x14ac:dyDescent="0.3">
      <c r="C401" s="146"/>
      <c r="D401" s="146"/>
      <c r="E401" s="147"/>
      <c r="F401" s="146"/>
      <c r="H401" s="147"/>
    </row>
    <row r="402" spans="3:8" ht="15.75" customHeight="1" x14ac:dyDescent="0.3">
      <c r="C402" s="146"/>
      <c r="D402" s="146"/>
      <c r="E402" s="147"/>
      <c r="F402" s="146"/>
      <c r="H402" s="147"/>
    </row>
    <row r="403" spans="3:8" ht="15.75" customHeight="1" x14ac:dyDescent="0.3">
      <c r="C403" s="146"/>
      <c r="D403" s="146"/>
      <c r="E403" s="147"/>
      <c r="F403" s="146"/>
      <c r="H403" s="147"/>
    </row>
    <row r="404" spans="3:8" ht="15.75" customHeight="1" x14ac:dyDescent="0.3">
      <c r="C404" s="146"/>
      <c r="D404" s="146"/>
      <c r="E404" s="147"/>
      <c r="F404" s="146"/>
      <c r="H404" s="147"/>
    </row>
    <row r="405" spans="3:8" ht="15.75" customHeight="1" x14ac:dyDescent="0.3">
      <c r="C405" s="146"/>
      <c r="D405" s="146"/>
      <c r="E405" s="147"/>
      <c r="F405" s="146"/>
      <c r="H405" s="147"/>
    </row>
    <row r="406" spans="3:8" ht="15.75" customHeight="1" x14ac:dyDescent="0.3">
      <c r="C406" s="146"/>
      <c r="D406" s="146"/>
      <c r="E406" s="147"/>
      <c r="F406" s="146"/>
      <c r="H406" s="147"/>
    </row>
    <row r="407" spans="3:8" ht="15.75" customHeight="1" x14ac:dyDescent="0.3">
      <c r="C407" s="146"/>
      <c r="D407" s="146"/>
      <c r="E407" s="147"/>
      <c r="F407" s="146"/>
      <c r="H407" s="147"/>
    </row>
    <row r="408" spans="3:8" ht="15.75" customHeight="1" x14ac:dyDescent="0.3">
      <c r="C408" s="146"/>
      <c r="D408" s="146"/>
      <c r="E408" s="147"/>
      <c r="F408" s="146"/>
      <c r="H408" s="147"/>
    </row>
    <row r="409" spans="3:8" ht="15.75" customHeight="1" x14ac:dyDescent="0.3">
      <c r="C409" s="146"/>
      <c r="D409" s="146"/>
      <c r="E409" s="147"/>
      <c r="F409" s="146"/>
      <c r="H409" s="147"/>
    </row>
    <row r="410" spans="3:8" ht="15.75" customHeight="1" x14ac:dyDescent="0.3">
      <c r="C410" s="146"/>
      <c r="D410" s="146"/>
      <c r="E410" s="147"/>
      <c r="F410" s="146"/>
      <c r="H410" s="147"/>
    </row>
    <row r="411" spans="3:8" ht="15.75" customHeight="1" x14ac:dyDescent="0.3">
      <c r="C411" s="146"/>
      <c r="D411" s="146"/>
      <c r="E411" s="147"/>
      <c r="F411" s="146"/>
      <c r="H411" s="147"/>
    </row>
    <row r="412" spans="3:8" ht="15.75" customHeight="1" x14ac:dyDescent="0.3">
      <c r="C412" s="146"/>
      <c r="D412" s="146"/>
      <c r="E412" s="147"/>
      <c r="F412" s="146"/>
      <c r="H412" s="147"/>
    </row>
    <row r="413" spans="3:8" ht="15.75" customHeight="1" x14ac:dyDescent="0.3">
      <c r="C413" s="146"/>
      <c r="D413" s="146"/>
      <c r="E413" s="147"/>
      <c r="F413" s="146"/>
      <c r="H413" s="147"/>
    </row>
    <row r="414" spans="3:8" ht="15.75" customHeight="1" x14ac:dyDescent="0.3">
      <c r="C414" s="146"/>
      <c r="D414" s="146"/>
      <c r="E414" s="147"/>
      <c r="F414" s="146"/>
      <c r="H414" s="147"/>
    </row>
    <row r="415" spans="3:8" ht="15.75" customHeight="1" x14ac:dyDescent="0.3">
      <c r="C415" s="146"/>
      <c r="D415" s="146"/>
      <c r="E415" s="147"/>
      <c r="F415" s="146"/>
      <c r="H415" s="147"/>
    </row>
    <row r="416" spans="3:8" ht="15.75" customHeight="1" x14ac:dyDescent="0.3">
      <c r="C416" s="146"/>
      <c r="D416" s="146"/>
      <c r="E416" s="147"/>
      <c r="F416" s="146"/>
      <c r="H416" s="147"/>
    </row>
    <row r="417" spans="3:8" ht="15.75" customHeight="1" x14ac:dyDescent="0.3">
      <c r="C417" s="146"/>
      <c r="D417" s="146"/>
      <c r="E417" s="147"/>
      <c r="F417" s="146"/>
      <c r="H417" s="147"/>
    </row>
    <row r="418" spans="3:8" ht="15.75" customHeight="1" x14ac:dyDescent="0.3">
      <c r="C418" s="146"/>
      <c r="D418" s="146"/>
      <c r="E418" s="147"/>
      <c r="F418" s="146"/>
      <c r="H418" s="147"/>
    </row>
    <row r="419" spans="3:8" ht="15.75" customHeight="1" x14ac:dyDescent="0.3">
      <c r="C419" s="146"/>
      <c r="D419" s="146"/>
      <c r="E419" s="147"/>
      <c r="F419" s="146"/>
      <c r="H419" s="147"/>
    </row>
    <row r="420" spans="3:8" ht="15.75" customHeight="1" x14ac:dyDescent="0.3">
      <c r="C420" s="146"/>
      <c r="D420" s="146"/>
      <c r="E420" s="147"/>
      <c r="F420" s="146"/>
      <c r="H420" s="147"/>
    </row>
    <row r="421" spans="3:8" ht="15.75" customHeight="1" x14ac:dyDescent="0.3">
      <c r="C421" s="146"/>
      <c r="D421" s="146"/>
      <c r="E421" s="147"/>
      <c r="F421" s="146"/>
      <c r="H421" s="147"/>
    </row>
    <row r="422" spans="3:8" ht="15.75" customHeight="1" x14ac:dyDescent="0.3">
      <c r="C422" s="146"/>
      <c r="D422" s="146"/>
      <c r="E422" s="147"/>
      <c r="F422" s="146"/>
      <c r="H422" s="147"/>
    </row>
    <row r="423" spans="3:8" ht="15.75" customHeight="1" x14ac:dyDescent="0.3">
      <c r="C423" s="146"/>
      <c r="D423" s="146"/>
      <c r="E423" s="147"/>
      <c r="F423" s="146"/>
      <c r="H423" s="147"/>
    </row>
    <row r="424" spans="3:8" ht="15.75" customHeight="1" x14ac:dyDescent="0.3">
      <c r="C424" s="146"/>
      <c r="D424" s="146"/>
      <c r="E424" s="147"/>
      <c r="F424" s="146"/>
      <c r="H424" s="147"/>
    </row>
    <row r="425" spans="3:8" ht="15.75" customHeight="1" x14ac:dyDescent="0.3">
      <c r="C425" s="146"/>
      <c r="D425" s="146"/>
      <c r="E425" s="147"/>
      <c r="F425" s="146"/>
      <c r="H425" s="147"/>
    </row>
    <row r="426" spans="3:8" ht="15.75" customHeight="1" x14ac:dyDescent="0.3">
      <c r="C426" s="146"/>
      <c r="D426" s="146"/>
      <c r="E426" s="147"/>
      <c r="F426" s="146"/>
      <c r="H426" s="147"/>
    </row>
    <row r="427" spans="3:8" ht="15.75" customHeight="1" x14ac:dyDescent="0.3">
      <c r="C427" s="146"/>
      <c r="D427" s="146"/>
      <c r="E427" s="147"/>
      <c r="F427" s="146"/>
      <c r="H427" s="147"/>
    </row>
    <row r="428" spans="3:8" ht="15.75" customHeight="1" x14ac:dyDescent="0.3">
      <c r="C428" s="146"/>
      <c r="D428" s="146"/>
      <c r="E428" s="147"/>
      <c r="F428" s="146"/>
      <c r="H428" s="147"/>
    </row>
    <row r="429" spans="3:8" ht="15.75" customHeight="1" x14ac:dyDescent="0.3">
      <c r="C429" s="146"/>
      <c r="D429" s="146"/>
      <c r="E429" s="147"/>
      <c r="F429" s="146"/>
      <c r="H429" s="147"/>
    </row>
    <row r="430" spans="3:8" ht="15.75" customHeight="1" x14ac:dyDescent="0.3">
      <c r="C430" s="146"/>
      <c r="D430" s="146"/>
      <c r="E430" s="147"/>
      <c r="F430" s="146"/>
      <c r="H430" s="147"/>
    </row>
    <row r="431" spans="3:8" ht="15.75" customHeight="1" x14ac:dyDescent="0.3">
      <c r="C431" s="146"/>
      <c r="D431" s="146"/>
      <c r="E431" s="147"/>
      <c r="F431" s="146"/>
      <c r="H431" s="147"/>
    </row>
    <row r="432" spans="3:8" ht="15.75" customHeight="1" x14ac:dyDescent="0.3">
      <c r="C432" s="146"/>
      <c r="D432" s="146"/>
      <c r="E432" s="147"/>
      <c r="F432" s="146"/>
      <c r="H432" s="147"/>
    </row>
    <row r="433" spans="3:8" ht="15.75" customHeight="1" x14ac:dyDescent="0.3">
      <c r="C433" s="146"/>
      <c r="D433" s="146"/>
      <c r="E433" s="147"/>
      <c r="F433" s="146"/>
      <c r="H433" s="147"/>
    </row>
    <row r="434" spans="3:8" ht="15.75" customHeight="1" x14ac:dyDescent="0.3">
      <c r="C434" s="146"/>
      <c r="D434" s="146"/>
      <c r="E434" s="147"/>
      <c r="F434" s="146"/>
      <c r="H434" s="147"/>
    </row>
    <row r="435" spans="3:8" ht="15.75" customHeight="1" x14ac:dyDescent="0.3">
      <c r="C435" s="146"/>
      <c r="D435" s="146"/>
      <c r="E435" s="147"/>
      <c r="F435" s="146"/>
      <c r="H435" s="147"/>
    </row>
    <row r="436" spans="3:8" ht="15.75" customHeight="1" x14ac:dyDescent="0.3">
      <c r="C436" s="146"/>
      <c r="D436" s="146"/>
      <c r="E436" s="147"/>
      <c r="F436" s="146"/>
      <c r="H436" s="147"/>
    </row>
    <row r="437" spans="3:8" ht="15.75" customHeight="1" x14ac:dyDescent="0.3">
      <c r="C437" s="146"/>
      <c r="D437" s="146"/>
      <c r="E437" s="147"/>
      <c r="F437" s="146"/>
      <c r="H437" s="147"/>
    </row>
    <row r="438" spans="3:8" ht="15.75" customHeight="1" x14ac:dyDescent="0.3">
      <c r="C438" s="146"/>
      <c r="D438" s="146"/>
      <c r="E438" s="147"/>
      <c r="F438" s="146"/>
      <c r="H438" s="147"/>
    </row>
    <row r="439" spans="3:8" ht="15.75" customHeight="1" x14ac:dyDescent="0.3">
      <c r="C439" s="146"/>
      <c r="D439" s="146"/>
      <c r="E439" s="147"/>
      <c r="F439" s="146"/>
      <c r="H439" s="147"/>
    </row>
    <row r="440" spans="3:8" ht="15.75" customHeight="1" x14ac:dyDescent="0.3">
      <c r="C440" s="146"/>
      <c r="D440" s="146"/>
      <c r="E440" s="147"/>
      <c r="F440" s="146"/>
      <c r="H440" s="147"/>
    </row>
    <row r="441" spans="3:8" ht="15.75" customHeight="1" x14ac:dyDescent="0.3">
      <c r="C441" s="146"/>
      <c r="D441" s="146"/>
      <c r="E441" s="147"/>
      <c r="F441" s="146"/>
      <c r="H441" s="147"/>
    </row>
    <row r="442" spans="3:8" ht="15.75" customHeight="1" x14ac:dyDescent="0.3">
      <c r="C442" s="146"/>
      <c r="D442" s="146"/>
      <c r="E442" s="147"/>
      <c r="F442" s="146"/>
      <c r="H442" s="147"/>
    </row>
    <row r="443" spans="3:8" ht="15.75" customHeight="1" x14ac:dyDescent="0.3">
      <c r="C443" s="146"/>
      <c r="D443" s="146"/>
      <c r="E443" s="147"/>
      <c r="F443" s="146"/>
      <c r="H443" s="147"/>
    </row>
    <row r="444" spans="3:8" ht="15.75" customHeight="1" x14ac:dyDescent="0.3">
      <c r="C444" s="146"/>
      <c r="D444" s="146"/>
      <c r="E444" s="147"/>
      <c r="F444" s="146"/>
      <c r="H444" s="147"/>
    </row>
    <row r="445" spans="3:8" ht="15.75" customHeight="1" x14ac:dyDescent="0.3">
      <c r="C445" s="146"/>
      <c r="D445" s="146"/>
      <c r="E445" s="147"/>
      <c r="F445" s="146"/>
      <c r="H445" s="147"/>
    </row>
    <row r="446" spans="3:8" ht="15.75" customHeight="1" x14ac:dyDescent="0.3">
      <c r="C446" s="146"/>
      <c r="D446" s="146"/>
      <c r="E446" s="147"/>
      <c r="F446" s="146"/>
      <c r="H446" s="147"/>
    </row>
    <row r="447" spans="3:8" ht="15.75" customHeight="1" x14ac:dyDescent="0.3">
      <c r="C447" s="146"/>
      <c r="D447" s="146"/>
      <c r="E447" s="147"/>
      <c r="F447" s="146"/>
      <c r="H447" s="147"/>
    </row>
    <row r="448" spans="3:8" ht="15.75" customHeight="1" x14ac:dyDescent="0.3">
      <c r="C448" s="146"/>
      <c r="D448" s="146"/>
      <c r="E448" s="147"/>
      <c r="F448" s="146"/>
      <c r="H448" s="147"/>
    </row>
    <row r="449" spans="3:8" ht="15.75" customHeight="1" x14ac:dyDescent="0.3">
      <c r="C449" s="146"/>
      <c r="D449" s="146"/>
      <c r="E449" s="147"/>
      <c r="F449" s="146"/>
      <c r="H449" s="147"/>
    </row>
    <row r="450" spans="3:8" ht="15.75" customHeight="1" x14ac:dyDescent="0.3">
      <c r="C450" s="146"/>
      <c r="D450" s="146"/>
      <c r="E450" s="147"/>
      <c r="F450" s="146"/>
      <c r="H450" s="147"/>
    </row>
    <row r="451" spans="3:8" ht="15.75" customHeight="1" x14ac:dyDescent="0.3">
      <c r="C451" s="146"/>
      <c r="D451" s="146"/>
      <c r="E451" s="147"/>
      <c r="F451" s="146"/>
      <c r="H451" s="147"/>
    </row>
    <row r="452" spans="3:8" ht="15.75" customHeight="1" x14ac:dyDescent="0.3">
      <c r="C452" s="146"/>
      <c r="D452" s="146"/>
      <c r="E452" s="147"/>
      <c r="F452" s="146"/>
      <c r="H452" s="147"/>
    </row>
    <row r="453" spans="3:8" ht="15.75" customHeight="1" x14ac:dyDescent="0.3">
      <c r="C453" s="146"/>
      <c r="D453" s="146"/>
      <c r="E453" s="147"/>
      <c r="F453" s="146"/>
      <c r="H453" s="147"/>
    </row>
    <row r="454" spans="3:8" ht="15.75" customHeight="1" x14ac:dyDescent="0.3">
      <c r="C454" s="146"/>
      <c r="D454" s="146"/>
      <c r="E454" s="147"/>
      <c r="F454" s="146"/>
      <c r="H454" s="147"/>
    </row>
    <row r="455" spans="3:8" ht="15.75" customHeight="1" x14ac:dyDescent="0.3">
      <c r="C455" s="146"/>
      <c r="D455" s="146"/>
      <c r="E455" s="147"/>
      <c r="F455" s="146"/>
      <c r="H455" s="147"/>
    </row>
    <row r="456" spans="3:8" ht="15.75" customHeight="1" x14ac:dyDescent="0.3">
      <c r="C456" s="146"/>
      <c r="D456" s="146"/>
      <c r="E456" s="147"/>
      <c r="F456" s="146"/>
      <c r="H456" s="147"/>
    </row>
    <row r="457" spans="3:8" ht="15.75" customHeight="1" x14ac:dyDescent="0.3">
      <c r="C457" s="146"/>
      <c r="D457" s="146"/>
      <c r="E457" s="147"/>
      <c r="F457" s="146"/>
      <c r="H457" s="147"/>
    </row>
    <row r="458" spans="3:8" ht="15.75" customHeight="1" x14ac:dyDescent="0.3">
      <c r="C458" s="146"/>
      <c r="D458" s="146"/>
      <c r="E458" s="147"/>
      <c r="F458" s="146"/>
      <c r="H458" s="147"/>
    </row>
    <row r="459" spans="3:8" ht="15.75" customHeight="1" x14ac:dyDescent="0.3">
      <c r="C459" s="146"/>
      <c r="D459" s="146"/>
      <c r="E459" s="147"/>
      <c r="F459" s="146"/>
      <c r="H459" s="147"/>
    </row>
    <row r="460" spans="3:8" ht="15.75" customHeight="1" x14ac:dyDescent="0.3">
      <c r="C460" s="146"/>
      <c r="D460" s="146"/>
      <c r="E460" s="147"/>
      <c r="F460" s="146"/>
      <c r="H460" s="147"/>
    </row>
    <row r="461" spans="3:8" ht="15.75" customHeight="1" x14ac:dyDescent="0.3">
      <c r="C461" s="146"/>
      <c r="D461" s="146"/>
      <c r="E461" s="147"/>
      <c r="F461" s="146"/>
      <c r="H461" s="147"/>
    </row>
    <row r="462" spans="3:8" ht="15.75" customHeight="1" x14ac:dyDescent="0.3">
      <c r="C462" s="146"/>
      <c r="D462" s="146"/>
      <c r="E462" s="147"/>
      <c r="F462" s="146"/>
      <c r="H462" s="147"/>
    </row>
    <row r="463" spans="3:8" ht="15.75" customHeight="1" x14ac:dyDescent="0.3">
      <c r="C463" s="146"/>
      <c r="D463" s="146"/>
      <c r="E463" s="147"/>
      <c r="F463" s="146"/>
      <c r="H463" s="147"/>
    </row>
    <row r="464" spans="3:8" ht="15.75" customHeight="1" x14ac:dyDescent="0.3">
      <c r="C464" s="146"/>
      <c r="D464" s="146"/>
      <c r="E464" s="147"/>
      <c r="F464" s="146"/>
      <c r="H464" s="147"/>
    </row>
    <row r="465" spans="3:8" ht="15.75" customHeight="1" x14ac:dyDescent="0.3">
      <c r="C465" s="146"/>
      <c r="D465" s="146"/>
      <c r="E465" s="147"/>
      <c r="F465" s="146"/>
      <c r="H465" s="147"/>
    </row>
    <row r="466" spans="3:8" ht="15.75" customHeight="1" x14ac:dyDescent="0.3">
      <c r="C466" s="146"/>
      <c r="D466" s="146"/>
      <c r="E466" s="147"/>
      <c r="F466" s="146"/>
      <c r="H466" s="147"/>
    </row>
    <row r="467" spans="3:8" ht="15.75" customHeight="1" x14ac:dyDescent="0.3">
      <c r="C467" s="146"/>
      <c r="D467" s="146"/>
      <c r="E467" s="147"/>
      <c r="F467" s="146"/>
      <c r="H467" s="147"/>
    </row>
    <row r="468" spans="3:8" ht="15.75" customHeight="1" x14ac:dyDescent="0.3">
      <c r="C468" s="146"/>
      <c r="D468" s="146"/>
      <c r="E468" s="147"/>
      <c r="F468" s="146"/>
      <c r="H468" s="147"/>
    </row>
    <row r="469" spans="3:8" ht="15.75" customHeight="1" x14ac:dyDescent="0.3">
      <c r="C469" s="146"/>
      <c r="D469" s="146"/>
      <c r="E469" s="147"/>
      <c r="F469" s="146"/>
      <c r="H469" s="147"/>
    </row>
    <row r="470" spans="3:8" ht="15.75" customHeight="1" x14ac:dyDescent="0.3">
      <c r="C470" s="146"/>
      <c r="D470" s="146"/>
      <c r="E470" s="147"/>
      <c r="F470" s="146"/>
      <c r="H470" s="147"/>
    </row>
    <row r="471" spans="3:8" ht="15.75" customHeight="1" x14ac:dyDescent="0.3">
      <c r="C471" s="146"/>
      <c r="D471" s="146"/>
      <c r="E471" s="147"/>
      <c r="F471" s="146"/>
      <c r="H471" s="147"/>
    </row>
    <row r="472" spans="3:8" ht="15.75" customHeight="1" x14ac:dyDescent="0.3">
      <c r="C472" s="146"/>
      <c r="D472" s="146"/>
      <c r="E472" s="147"/>
      <c r="F472" s="146"/>
      <c r="H472" s="147"/>
    </row>
    <row r="473" spans="3:8" ht="15.75" customHeight="1" x14ac:dyDescent="0.3">
      <c r="C473" s="146"/>
      <c r="D473" s="146"/>
      <c r="E473" s="147"/>
      <c r="F473" s="146"/>
      <c r="H473" s="147"/>
    </row>
    <row r="474" spans="3:8" ht="15.75" customHeight="1" x14ac:dyDescent="0.3">
      <c r="C474" s="146"/>
      <c r="D474" s="146"/>
      <c r="E474" s="147"/>
      <c r="F474" s="146"/>
      <c r="H474" s="147"/>
    </row>
    <row r="475" spans="3:8" ht="15.75" customHeight="1" x14ac:dyDescent="0.3">
      <c r="C475" s="146"/>
      <c r="D475" s="146"/>
      <c r="E475" s="147"/>
      <c r="F475" s="146"/>
      <c r="H475" s="147"/>
    </row>
    <row r="476" spans="3:8" ht="15.75" customHeight="1" x14ac:dyDescent="0.3">
      <c r="C476" s="146"/>
      <c r="D476" s="146"/>
      <c r="E476" s="147"/>
      <c r="F476" s="146"/>
      <c r="H476" s="147"/>
    </row>
    <row r="477" spans="3:8" ht="15.75" customHeight="1" x14ac:dyDescent="0.3">
      <c r="C477" s="146"/>
      <c r="D477" s="146"/>
      <c r="E477" s="147"/>
      <c r="F477" s="146"/>
      <c r="H477" s="147"/>
    </row>
    <row r="478" spans="3:8" ht="15.75" customHeight="1" x14ac:dyDescent="0.3">
      <c r="C478" s="146"/>
      <c r="D478" s="146"/>
      <c r="E478" s="147"/>
      <c r="F478" s="146"/>
      <c r="H478" s="147"/>
    </row>
    <row r="479" spans="3:8" ht="15.75" customHeight="1" x14ac:dyDescent="0.3">
      <c r="C479" s="146"/>
      <c r="D479" s="146"/>
      <c r="E479" s="147"/>
      <c r="F479" s="146"/>
      <c r="H479" s="147"/>
    </row>
    <row r="480" spans="3:8" ht="15.75" customHeight="1" x14ac:dyDescent="0.3">
      <c r="C480" s="146"/>
      <c r="D480" s="146"/>
      <c r="E480" s="147"/>
      <c r="F480" s="146"/>
      <c r="H480" s="147"/>
    </row>
    <row r="481" spans="3:8" ht="15.75" customHeight="1" x14ac:dyDescent="0.3">
      <c r="C481" s="146"/>
      <c r="D481" s="146"/>
      <c r="E481" s="147"/>
      <c r="F481" s="146"/>
      <c r="H481" s="147"/>
    </row>
    <row r="482" spans="3:8" ht="15.75" customHeight="1" x14ac:dyDescent="0.3">
      <c r="C482" s="146"/>
      <c r="D482" s="146"/>
      <c r="E482" s="147"/>
      <c r="F482" s="146"/>
      <c r="H482" s="147"/>
    </row>
    <row r="483" spans="3:8" ht="15.75" customHeight="1" x14ac:dyDescent="0.3">
      <c r="C483" s="146"/>
      <c r="D483" s="146"/>
      <c r="E483" s="147"/>
      <c r="F483" s="146"/>
      <c r="H483" s="147"/>
    </row>
    <row r="484" spans="3:8" ht="15.75" customHeight="1" x14ac:dyDescent="0.3">
      <c r="C484" s="146"/>
      <c r="D484" s="146"/>
      <c r="E484" s="147"/>
      <c r="F484" s="146"/>
      <c r="H484" s="147"/>
    </row>
    <row r="485" spans="3:8" ht="15.75" customHeight="1" x14ac:dyDescent="0.3">
      <c r="C485" s="146"/>
      <c r="D485" s="146"/>
      <c r="E485" s="147"/>
      <c r="F485" s="146"/>
      <c r="H485" s="147"/>
    </row>
    <row r="486" spans="3:8" ht="15.75" customHeight="1" x14ac:dyDescent="0.3">
      <c r="C486" s="146"/>
      <c r="D486" s="146"/>
      <c r="E486" s="147"/>
      <c r="F486" s="146"/>
      <c r="H486" s="147"/>
    </row>
    <row r="487" spans="3:8" ht="15.75" customHeight="1" x14ac:dyDescent="0.3">
      <c r="C487" s="146"/>
      <c r="D487" s="146"/>
      <c r="E487" s="147"/>
      <c r="F487" s="146"/>
      <c r="H487" s="147"/>
    </row>
    <row r="488" spans="3:8" ht="15.75" customHeight="1" x14ac:dyDescent="0.3">
      <c r="C488" s="146"/>
      <c r="D488" s="146"/>
      <c r="E488" s="147"/>
      <c r="F488" s="146"/>
      <c r="H488" s="147"/>
    </row>
    <row r="489" spans="3:8" ht="15.75" customHeight="1" x14ac:dyDescent="0.3">
      <c r="C489" s="146"/>
      <c r="D489" s="146"/>
      <c r="E489" s="147"/>
      <c r="F489" s="146"/>
      <c r="H489" s="147"/>
    </row>
    <row r="490" spans="3:8" ht="15.75" customHeight="1" x14ac:dyDescent="0.3">
      <c r="C490" s="146"/>
      <c r="D490" s="146"/>
      <c r="E490" s="147"/>
      <c r="F490" s="146"/>
      <c r="H490" s="147"/>
    </row>
    <row r="491" spans="3:8" ht="15.75" customHeight="1" x14ac:dyDescent="0.3">
      <c r="C491" s="146"/>
      <c r="D491" s="146"/>
      <c r="E491" s="147"/>
      <c r="F491" s="146"/>
      <c r="H491" s="147"/>
    </row>
    <row r="492" spans="3:8" ht="15.75" customHeight="1" x14ac:dyDescent="0.3">
      <c r="C492" s="146"/>
      <c r="D492" s="146"/>
      <c r="E492" s="147"/>
      <c r="F492" s="146"/>
      <c r="H492" s="147"/>
    </row>
    <row r="493" spans="3:8" ht="15.75" customHeight="1" x14ac:dyDescent="0.3">
      <c r="C493" s="146"/>
      <c r="D493" s="146"/>
      <c r="E493" s="147"/>
      <c r="F493" s="146"/>
      <c r="H493" s="147"/>
    </row>
    <row r="494" spans="3:8" ht="15.75" customHeight="1" x14ac:dyDescent="0.3">
      <c r="C494" s="146"/>
      <c r="D494" s="146"/>
      <c r="E494" s="147"/>
      <c r="F494" s="146"/>
      <c r="H494" s="147"/>
    </row>
    <row r="495" spans="3:8" ht="15.75" customHeight="1" x14ac:dyDescent="0.3">
      <c r="C495" s="146"/>
      <c r="D495" s="146"/>
      <c r="E495" s="147"/>
      <c r="F495" s="146"/>
      <c r="H495" s="147"/>
    </row>
    <row r="496" spans="3:8" ht="15.75" customHeight="1" x14ac:dyDescent="0.3">
      <c r="C496" s="146"/>
      <c r="D496" s="146"/>
      <c r="E496" s="147"/>
      <c r="F496" s="146"/>
      <c r="H496" s="147"/>
    </row>
    <row r="497" spans="3:8" ht="15.75" customHeight="1" x14ac:dyDescent="0.3">
      <c r="C497" s="146"/>
      <c r="D497" s="146"/>
      <c r="E497" s="147"/>
      <c r="F497" s="146"/>
      <c r="H497" s="147"/>
    </row>
    <row r="498" spans="3:8" ht="15.75" customHeight="1" x14ac:dyDescent="0.3">
      <c r="C498" s="146"/>
      <c r="D498" s="146"/>
      <c r="E498" s="147"/>
      <c r="F498" s="146"/>
      <c r="H498" s="147"/>
    </row>
    <row r="499" spans="3:8" ht="15.75" customHeight="1" x14ac:dyDescent="0.3">
      <c r="C499" s="146"/>
      <c r="D499" s="146"/>
      <c r="E499" s="147"/>
      <c r="F499" s="146"/>
      <c r="H499" s="147"/>
    </row>
    <row r="500" spans="3:8" ht="15.75" customHeight="1" x14ac:dyDescent="0.3">
      <c r="C500" s="146"/>
      <c r="D500" s="146"/>
      <c r="E500" s="147"/>
      <c r="F500" s="146"/>
      <c r="H500" s="147"/>
    </row>
    <row r="501" spans="3:8" ht="15.75" customHeight="1" x14ac:dyDescent="0.3">
      <c r="C501" s="146"/>
      <c r="D501" s="146"/>
      <c r="E501" s="147"/>
      <c r="F501" s="146"/>
      <c r="H501" s="147"/>
    </row>
    <row r="502" spans="3:8" ht="15.75" customHeight="1" x14ac:dyDescent="0.3">
      <c r="C502" s="146"/>
      <c r="D502" s="146"/>
      <c r="E502" s="147"/>
      <c r="F502" s="146"/>
      <c r="H502" s="147"/>
    </row>
    <row r="503" spans="3:8" ht="15.75" customHeight="1" x14ac:dyDescent="0.3">
      <c r="C503" s="146"/>
      <c r="D503" s="146"/>
      <c r="E503" s="147"/>
      <c r="F503" s="146"/>
      <c r="H503" s="147"/>
    </row>
    <row r="504" spans="3:8" ht="15.75" customHeight="1" x14ac:dyDescent="0.3">
      <c r="C504" s="146"/>
      <c r="D504" s="146"/>
      <c r="E504" s="147"/>
      <c r="F504" s="146"/>
      <c r="H504" s="147"/>
    </row>
    <row r="505" spans="3:8" ht="15.75" customHeight="1" x14ac:dyDescent="0.3">
      <c r="C505" s="146"/>
      <c r="D505" s="146"/>
      <c r="E505" s="147"/>
      <c r="F505" s="146"/>
      <c r="H505" s="147"/>
    </row>
    <row r="506" spans="3:8" ht="15.75" customHeight="1" x14ac:dyDescent="0.3">
      <c r="C506" s="146"/>
      <c r="D506" s="146"/>
      <c r="E506" s="147"/>
      <c r="F506" s="146"/>
      <c r="H506" s="147"/>
    </row>
    <row r="507" spans="3:8" ht="15.75" customHeight="1" x14ac:dyDescent="0.3">
      <c r="C507" s="146"/>
      <c r="D507" s="146"/>
      <c r="E507" s="147"/>
      <c r="F507" s="146"/>
      <c r="H507" s="147"/>
    </row>
    <row r="508" spans="3:8" ht="15.75" customHeight="1" x14ac:dyDescent="0.3">
      <c r="C508" s="146"/>
      <c r="D508" s="146"/>
      <c r="E508" s="147"/>
      <c r="F508" s="146"/>
      <c r="H508" s="147"/>
    </row>
    <row r="509" spans="3:8" ht="15.75" customHeight="1" x14ac:dyDescent="0.3">
      <c r="C509" s="146"/>
      <c r="D509" s="146"/>
      <c r="E509" s="147"/>
      <c r="F509" s="146"/>
      <c r="H509" s="147"/>
    </row>
    <row r="510" spans="3:8" ht="15.75" customHeight="1" x14ac:dyDescent="0.3">
      <c r="C510" s="146"/>
      <c r="D510" s="146"/>
      <c r="E510" s="147"/>
      <c r="F510" s="146"/>
      <c r="H510" s="147"/>
    </row>
    <row r="511" spans="3:8" ht="15.75" customHeight="1" x14ac:dyDescent="0.3">
      <c r="C511" s="146"/>
      <c r="D511" s="146"/>
      <c r="E511" s="147"/>
      <c r="F511" s="146"/>
      <c r="H511" s="147"/>
    </row>
    <row r="512" spans="3:8" ht="15.75" customHeight="1" x14ac:dyDescent="0.3">
      <c r="C512" s="146"/>
      <c r="D512" s="146"/>
      <c r="E512" s="147"/>
      <c r="F512" s="146"/>
      <c r="H512" s="147"/>
    </row>
    <row r="513" spans="3:8" ht="15.75" customHeight="1" x14ac:dyDescent="0.3">
      <c r="C513" s="146"/>
      <c r="D513" s="146"/>
      <c r="E513" s="147"/>
      <c r="F513" s="146"/>
      <c r="H513" s="147"/>
    </row>
    <row r="514" spans="3:8" ht="15.75" customHeight="1" x14ac:dyDescent="0.3">
      <c r="C514" s="146"/>
      <c r="D514" s="146"/>
      <c r="E514" s="147"/>
      <c r="F514" s="146"/>
      <c r="H514" s="147"/>
    </row>
    <row r="515" spans="3:8" ht="15.75" customHeight="1" x14ac:dyDescent="0.3">
      <c r="C515" s="146"/>
      <c r="D515" s="146"/>
      <c r="E515" s="147"/>
      <c r="F515" s="146"/>
      <c r="H515" s="147"/>
    </row>
    <row r="516" spans="3:8" ht="15.75" customHeight="1" x14ac:dyDescent="0.3">
      <c r="C516" s="146"/>
      <c r="D516" s="146"/>
      <c r="E516" s="147"/>
      <c r="F516" s="146"/>
      <c r="H516" s="147"/>
    </row>
    <row r="517" spans="3:8" ht="15.75" customHeight="1" x14ac:dyDescent="0.3">
      <c r="C517" s="146"/>
      <c r="D517" s="146"/>
      <c r="E517" s="147"/>
      <c r="F517" s="146"/>
      <c r="H517" s="147"/>
    </row>
    <row r="518" spans="3:8" ht="15.75" customHeight="1" x14ac:dyDescent="0.3">
      <c r="C518" s="146"/>
      <c r="D518" s="146"/>
      <c r="E518" s="147"/>
      <c r="F518" s="146"/>
      <c r="H518" s="147"/>
    </row>
    <row r="519" spans="3:8" ht="15.75" customHeight="1" x14ac:dyDescent="0.3">
      <c r="C519" s="146"/>
      <c r="D519" s="146"/>
      <c r="E519" s="147"/>
      <c r="F519" s="146"/>
      <c r="H519" s="147"/>
    </row>
    <row r="520" spans="3:8" ht="15.75" customHeight="1" x14ac:dyDescent="0.3">
      <c r="C520" s="146"/>
      <c r="D520" s="146"/>
      <c r="E520" s="147"/>
      <c r="F520" s="146"/>
      <c r="H520" s="147"/>
    </row>
    <row r="521" spans="3:8" ht="15.75" customHeight="1" x14ac:dyDescent="0.3">
      <c r="C521" s="146"/>
      <c r="D521" s="146"/>
      <c r="E521" s="147"/>
      <c r="F521" s="146"/>
      <c r="H521" s="147"/>
    </row>
    <row r="522" spans="3:8" ht="15.75" customHeight="1" x14ac:dyDescent="0.3">
      <c r="C522" s="146"/>
      <c r="D522" s="146"/>
      <c r="E522" s="147"/>
      <c r="F522" s="146"/>
      <c r="H522" s="147"/>
    </row>
    <row r="523" spans="3:8" ht="15.75" customHeight="1" x14ac:dyDescent="0.3">
      <c r="C523" s="146"/>
      <c r="D523" s="146"/>
      <c r="E523" s="147"/>
      <c r="F523" s="146"/>
      <c r="H523" s="147"/>
    </row>
    <row r="524" spans="3:8" ht="15.75" customHeight="1" x14ac:dyDescent="0.3">
      <c r="C524" s="146"/>
      <c r="D524" s="146"/>
      <c r="E524" s="147"/>
      <c r="F524" s="146"/>
      <c r="H524" s="147"/>
    </row>
    <row r="525" spans="3:8" ht="15.75" customHeight="1" x14ac:dyDescent="0.3">
      <c r="C525" s="146"/>
      <c r="D525" s="146"/>
      <c r="E525" s="147"/>
      <c r="F525" s="146"/>
      <c r="H525" s="147"/>
    </row>
    <row r="526" spans="3:8" ht="15.75" customHeight="1" x14ac:dyDescent="0.3">
      <c r="C526" s="146"/>
      <c r="D526" s="146"/>
      <c r="E526" s="147"/>
      <c r="F526" s="146"/>
      <c r="H526" s="147"/>
    </row>
    <row r="527" spans="3:8" ht="15.75" customHeight="1" x14ac:dyDescent="0.3">
      <c r="C527" s="146"/>
      <c r="D527" s="146"/>
      <c r="E527" s="147"/>
      <c r="F527" s="146"/>
      <c r="H527" s="147"/>
    </row>
    <row r="528" spans="3:8" ht="15.75" customHeight="1" x14ac:dyDescent="0.3">
      <c r="C528" s="146"/>
      <c r="D528" s="146"/>
      <c r="E528" s="147"/>
      <c r="F528" s="146"/>
      <c r="H528" s="147"/>
    </row>
    <row r="529" spans="3:8" ht="15.75" customHeight="1" x14ac:dyDescent="0.3">
      <c r="C529" s="146"/>
      <c r="D529" s="146"/>
      <c r="E529" s="147"/>
      <c r="F529" s="146"/>
      <c r="H529" s="147"/>
    </row>
    <row r="530" spans="3:8" ht="15.75" customHeight="1" x14ac:dyDescent="0.3">
      <c r="C530" s="146"/>
      <c r="D530" s="146"/>
      <c r="E530" s="147"/>
      <c r="F530" s="146"/>
      <c r="H530" s="147"/>
    </row>
    <row r="531" spans="3:8" ht="15.75" customHeight="1" x14ac:dyDescent="0.3">
      <c r="C531" s="146"/>
      <c r="D531" s="146"/>
      <c r="E531" s="147"/>
      <c r="F531" s="146"/>
      <c r="H531" s="147"/>
    </row>
    <row r="532" spans="3:8" ht="15.75" customHeight="1" x14ac:dyDescent="0.3">
      <c r="C532" s="146"/>
      <c r="D532" s="146"/>
      <c r="E532" s="147"/>
      <c r="F532" s="146"/>
      <c r="H532" s="147"/>
    </row>
    <row r="533" spans="3:8" ht="15.75" customHeight="1" x14ac:dyDescent="0.3">
      <c r="C533" s="146"/>
      <c r="D533" s="146"/>
      <c r="E533" s="147"/>
      <c r="F533" s="146"/>
      <c r="H533" s="147"/>
    </row>
    <row r="534" spans="3:8" ht="15.75" customHeight="1" x14ac:dyDescent="0.3">
      <c r="C534" s="146"/>
      <c r="D534" s="146"/>
      <c r="E534" s="147"/>
      <c r="F534" s="146"/>
      <c r="H534" s="147"/>
    </row>
    <row r="535" spans="3:8" ht="15.75" customHeight="1" x14ac:dyDescent="0.3">
      <c r="C535" s="146"/>
      <c r="D535" s="146"/>
      <c r="E535" s="147"/>
      <c r="F535" s="146"/>
      <c r="H535" s="147"/>
    </row>
    <row r="536" spans="3:8" ht="15.75" customHeight="1" x14ac:dyDescent="0.3">
      <c r="C536" s="146"/>
      <c r="D536" s="146"/>
      <c r="E536" s="147"/>
      <c r="F536" s="146"/>
      <c r="H536" s="147"/>
    </row>
    <row r="537" spans="3:8" ht="15.75" customHeight="1" x14ac:dyDescent="0.3">
      <c r="C537" s="146"/>
      <c r="D537" s="146"/>
      <c r="E537" s="147"/>
      <c r="F537" s="146"/>
      <c r="H537" s="147"/>
    </row>
    <row r="538" spans="3:8" ht="15.75" customHeight="1" x14ac:dyDescent="0.3">
      <c r="C538" s="146"/>
      <c r="D538" s="146"/>
      <c r="E538" s="147"/>
      <c r="F538" s="146"/>
      <c r="H538" s="147"/>
    </row>
    <row r="539" spans="3:8" ht="15.75" customHeight="1" x14ac:dyDescent="0.3">
      <c r="C539" s="146"/>
      <c r="D539" s="146"/>
      <c r="E539" s="147"/>
      <c r="F539" s="146"/>
      <c r="H539" s="147"/>
    </row>
    <row r="540" spans="3:8" ht="15.75" customHeight="1" x14ac:dyDescent="0.3">
      <c r="C540" s="146"/>
      <c r="D540" s="146"/>
      <c r="E540" s="147"/>
      <c r="F540" s="146"/>
      <c r="H540" s="147"/>
    </row>
    <row r="541" spans="3:8" ht="15.75" customHeight="1" x14ac:dyDescent="0.3">
      <c r="C541" s="146"/>
      <c r="D541" s="146"/>
      <c r="E541" s="147"/>
      <c r="F541" s="146"/>
      <c r="H541" s="147"/>
    </row>
    <row r="542" spans="3:8" ht="15.75" customHeight="1" x14ac:dyDescent="0.3">
      <c r="C542" s="146"/>
      <c r="D542" s="146"/>
      <c r="E542" s="147"/>
      <c r="F542" s="146"/>
      <c r="H542" s="147"/>
    </row>
    <row r="543" spans="3:8" ht="15.75" customHeight="1" x14ac:dyDescent="0.3">
      <c r="C543" s="146"/>
      <c r="D543" s="146"/>
      <c r="E543" s="147"/>
      <c r="F543" s="146"/>
      <c r="H543" s="147"/>
    </row>
    <row r="544" spans="3:8" ht="15.75" customHeight="1" x14ac:dyDescent="0.3">
      <c r="C544" s="146"/>
      <c r="D544" s="146"/>
      <c r="E544" s="147"/>
      <c r="F544" s="146"/>
      <c r="H544" s="147"/>
    </row>
    <row r="545" spans="3:8" ht="15.75" customHeight="1" x14ac:dyDescent="0.3">
      <c r="C545" s="146"/>
      <c r="D545" s="146"/>
      <c r="E545" s="147"/>
      <c r="F545" s="146"/>
      <c r="H545" s="147"/>
    </row>
    <row r="546" spans="3:8" ht="15.75" customHeight="1" x14ac:dyDescent="0.3">
      <c r="C546" s="146"/>
      <c r="D546" s="146"/>
      <c r="E546" s="147"/>
      <c r="F546" s="146"/>
      <c r="H546" s="147"/>
    </row>
    <row r="547" spans="3:8" ht="15.75" customHeight="1" x14ac:dyDescent="0.3">
      <c r="C547" s="146"/>
      <c r="D547" s="146"/>
      <c r="E547" s="147"/>
      <c r="F547" s="146"/>
      <c r="H547" s="147"/>
    </row>
    <row r="548" spans="3:8" ht="15.75" customHeight="1" x14ac:dyDescent="0.3">
      <c r="C548" s="146"/>
      <c r="D548" s="146"/>
      <c r="E548" s="147"/>
      <c r="F548" s="146"/>
      <c r="H548" s="147"/>
    </row>
    <row r="549" spans="3:8" ht="15.75" customHeight="1" x14ac:dyDescent="0.3">
      <c r="C549" s="146"/>
      <c r="D549" s="146"/>
      <c r="E549" s="147"/>
      <c r="F549" s="146"/>
      <c r="H549" s="147"/>
    </row>
    <row r="550" spans="3:8" ht="15.75" customHeight="1" x14ac:dyDescent="0.3">
      <c r="C550" s="146"/>
      <c r="D550" s="146"/>
      <c r="E550" s="147"/>
      <c r="F550" s="146"/>
      <c r="H550" s="147"/>
    </row>
    <row r="551" spans="3:8" ht="15.75" customHeight="1" x14ac:dyDescent="0.3">
      <c r="C551" s="146"/>
      <c r="D551" s="146"/>
      <c r="E551" s="147"/>
      <c r="F551" s="146"/>
      <c r="H551" s="147"/>
    </row>
    <row r="552" spans="3:8" ht="15.75" customHeight="1" x14ac:dyDescent="0.3">
      <c r="C552" s="146"/>
      <c r="D552" s="146"/>
      <c r="E552" s="147"/>
      <c r="F552" s="146"/>
      <c r="H552" s="147"/>
    </row>
    <row r="553" spans="3:8" ht="15.75" customHeight="1" x14ac:dyDescent="0.3">
      <c r="C553" s="146"/>
      <c r="D553" s="146"/>
      <c r="E553" s="147"/>
      <c r="F553" s="146"/>
      <c r="H553" s="147"/>
    </row>
    <row r="554" spans="3:8" ht="15.75" customHeight="1" x14ac:dyDescent="0.3">
      <c r="C554" s="146"/>
      <c r="D554" s="146"/>
      <c r="E554" s="147"/>
      <c r="F554" s="146"/>
      <c r="H554" s="147"/>
    </row>
    <row r="555" spans="3:8" ht="15.75" customHeight="1" x14ac:dyDescent="0.3">
      <c r="C555" s="146"/>
      <c r="D555" s="146"/>
      <c r="E555" s="147"/>
      <c r="F555" s="146"/>
      <c r="H555" s="147"/>
    </row>
    <row r="556" spans="3:8" ht="15.75" customHeight="1" x14ac:dyDescent="0.3">
      <c r="C556" s="146"/>
      <c r="D556" s="146"/>
      <c r="E556" s="147"/>
      <c r="F556" s="146"/>
      <c r="H556" s="147"/>
    </row>
    <row r="557" spans="3:8" ht="15.75" customHeight="1" x14ac:dyDescent="0.3">
      <c r="C557" s="146"/>
      <c r="D557" s="146"/>
      <c r="E557" s="147"/>
      <c r="F557" s="146"/>
      <c r="H557" s="147"/>
    </row>
    <row r="558" spans="3:8" ht="15.75" customHeight="1" x14ac:dyDescent="0.3">
      <c r="C558" s="146"/>
      <c r="D558" s="146"/>
      <c r="E558" s="147"/>
      <c r="F558" s="146"/>
      <c r="H558" s="147"/>
    </row>
    <row r="559" spans="3:8" ht="15.75" customHeight="1" x14ac:dyDescent="0.3">
      <c r="C559" s="146"/>
      <c r="D559" s="146"/>
      <c r="E559" s="147"/>
      <c r="F559" s="146"/>
      <c r="H559" s="147"/>
    </row>
    <row r="560" spans="3:8" ht="15.75" customHeight="1" x14ac:dyDescent="0.3">
      <c r="C560" s="146"/>
      <c r="D560" s="146"/>
      <c r="E560" s="147"/>
      <c r="F560" s="146"/>
      <c r="H560" s="147"/>
    </row>
    <row r="561" spans="3:8" ht="15.75" customHeight="1" x14ac:dyDescent="0.3">
      <c r="C561" s="146"/>
      <c r="D561" s="146"/>
      <c r="E561" s="147"/>
      <c r="F561" s="146"/>
      <c r="H561" s="147"/>
    </row>
    <row r="562" spans="3:8" ht="15.75" customHeight="1" x14ac:dyDescent="0.3">
      <c r="C562" s="146"/>
      <c r="D562" s="146"/>
      <c r="E562" s="147"/>
      <c r="F562" s="146"/>
      <c r="H562" s="147"/>
    </row>
    <row r="563" spans="3:8" ht="15.75" customHeight="1" x14ac:dyDescent="0.3">
      <c r="C563" s="146"/>
      <c r="D563" s="146"/>
      <c r="E563" s="147"/>
      <c r="F563" s="146"/>
      <c r="H563" s="147"/>
    </row>
    <row r="564" spans="3:8" ht="15.75" customHeight="1" x14ac:dyDescent="0.3">
      <c r="C564" s="146"/>
      <c r="D564" s="146"/>
      <c r="E564" s="147"/>
      <c r="F564" s="146"/>
      <c r="H564" s="147"/>
    </row>
    <row r="565" spans="3:8" ht="15.75" customHeight="1" x14ac:dyDescent="0.3">
      <c r="C565" s="146"/>
      <c r="D565" s="146"/>
      <c r="E565" s="147"/>
      <c r="F565" s="146"/>
      <c r="H565" s="147"/>
    </row>
    <row r="566" spans="3:8" ht="15.75" customHeight="1" x14ac:dyDescent="0.3">
      <c r="C566" s="146"/>
      <c r="D566" s="146"/>
      <c r="E566" s="147"/>
      <c r="F566" s="146"/>
      <c r="H566" s="147"/>
    </row>
    <row r="567" spans="3:8" ht="15.75" customHeight="1" x14ac:dyDescent="0.3">
      <c r="C567" s="146"/>
      <c r="D567" s="146"/>
      <c r="E567" s="147"/>
      <c r="F567" s="146"/>
      <c r="H567" s="147"/>
    </row>
    <row r="568" spans="3:8" ht="15.75" customHeight="1" x14ac:dyDescent="0.3">
      <c r="C568" s="146"/>
      <c r="D568" s="146"/>
      <c r="E568" s="147"/>
      <c r="F568" s="146"/>
      <c r="H568" s="147"/>
    </row>
    <row r="569" spans="3:8" ht="15.75" customHeight="1" x14ac:dyDescent="0.3">
      <c r="C569" s="146"/>
      <c r="D569" s="146"/>
      <c r="E569" s="147"/>
      <c r="F569" s="146"/>
      <c r="H569" s="147"/>
    </row>
    <row r="570" spans="3:8" ht="15.75" customHeight="1" x14ac:dyDescent="0.3">
      <c r="C570" s="146"/>
      <c r="D570" s="146"/>
      <c r="E570" s="147"/>
      <c r="F570" s="146"/>
      <c r="H570" s="147"/>
    </row>
    <row r="571" spans="3:8" ht="15.75" customHeight="1" x14ac:dyDescent="0.3">
      <c r="C571" s="146"/>
      <c r="D571" s="146"/>
      <c r="E571" s="147"/>
      <c r="F571" s="146"/>
      <c r="H571" s="147"/>
    </row>
    <row r="572" spans="3:8" ht="15.75" customHeight="1" x14ac:dyDescent="0.3">
      <c r="C572" s="146"/>
      <c r="D572" s="146"/>
      <c r="E572" s="147"/>
      <c r="F572" s="146"/>
      <c r="H572" s="147"/>
    </row>
    <row r="573" spans="3:8" ht="15.75" customHeight="1" x14ac:dyDescent="0.3">
      <c r="C573" s="146"/>
      <c r="D573" s="146"/>
      <c r="E573" s="147"/>
      <c r="F573" s="146"/>
      <c r="H573" s="147"/>
    </row>
    <row r="574" spans="3:8" ht="15.75" customHeight="1" x14ac:dyDescent="0.3">
      <c r="C574" s="146"/>
      <c r="D574" s="146"/>
      <c r="E574" s="147"/>
      <c r="F574" s="146"/>
      <c r="H574" s="147"/>
    </row>
    <row r="575" spans="3:8" ht="15.75" customHeight="1" x14ac:dyDescent="0.3">
      <c r="C575" s="146"/>
      <c r="D575" s="146"/>
      <c r="E575" s="147"/>
      <c r="F575" s="146"/>
      <c r="H575" s="147"/>
    </row>
    <row r="576" spans="3:8" ht="15.75" customHeight="1" x14ac:dyDescent="0.3">
      <c r="C576" s="146"/>
      <c r="D576" s="146"/>
      <c r="E576" s="147"/>
      <c r="F576" s="146"/>
      <c r="H576" s="147"/>
    </row>
    <row r="577" spans="3:8" ht="15.75" customHeight="1" x14ac:dyDescent="0.3">
      <c r="C577" s="146"/>
      <c r="D577" s="146"/>
      <c r="E577" s="147"/>
      <c r="F577" s="146"/>
      <c r="H577" s="147"/>
    </row>
    <row r="578" spans="3:8" ht="15.75" customHeight="1" x14ac:dyDescent="0.3">
      <c r="C578" s="146"/>
      <c r="D578" s="146"/>
      <c r="E578" s="147"/>
      <c r="F578" s="146"/>
      <c r="H578" s="147"/>
    </row>
    <row r="579" spans="3:8" ht="15.75" customHeight="1" x14ac:dyDescent="0.3">
      <c r="C579" s="146"/>
      <c r="D579" s="146"/>
      <c r="E579" s="147"/>
      <c r="F579" s="146"/>
      <c r="H579" s="147"/>
    </row>
    <row r="580" spans="3:8" ht="15.75" customHeight="1" x14ac:dyDescent="0.3">
      <c r="C580" s="146"/>
      <c r="D580" s="146"/>
      <c r="E580" s="147"/>
      <c r="F580" s="146"/>
      <c r="H580" s="147"/>
    </row>
    <row r="581" spans="3:8" ht="15.75" customHeight="1" x14ac:dyDescent="0.3">
      <c r="C581" s="146"/>
      <c r="D581" s="146"/>
      <c r="E581" s="147"/>
      <c r="F581" s="146"/>
      <c r="H581" s="147"/>
    </row>
    <row r="582" spans="3:8" ht="15.75" customHeight="1" x14ac:dyDescent="0.3">
      <c r="C582" s="146"/>
      <c r="D582" s="146"/>
      <c r="E582" s="147"/>
      <c r="F582" s="146"/>
      <c r="H582" s="147"/>
    </row>
    <row r="583" spans="3:8" ht="15.75" customHeight="1" x14ac:dyDescent="0.3">
      <c r="C583" s="146"/>
      <c r="D583" s="146"/>
      <c r="E583" s="147"/>
      <c r="F583" s="146"/>
      <c r="H583" s="147"/>
    </row>
    <row r="584" spans="3:8" ht="15.75" customHeight="1" x14ac:dyDescent="0.3">
      <c r="C584" s="146"/>
      <c r="D584" s="146"/>
      <c r="E584" s="147"/>
      <c r="F584" s="146"/>
      <c r="H584" s="147"/>
    </row>
    <row r="585" spans="3:8" ht="15.75" customHeight="1" x14ac:dyDescent="0.3">
      <c r="C585" s="146"/>
      <c r="D585" s="146"/>
      <c r="E585" s="147"/>
      <c r="F585" s="146"/>
      <c r="H585" s="147"/>
    </row>
    <row r="586" spans="3:8" ht="15.75" customHeight="1" x14ac:dyDescent="0.3">
      <c r="C586" s="146"/>
      <c r="D586" s="146"/>
      <c r="E586" s="147"/>
      <c r="F586" s="146"/>
      <c r="H586" s="147"/>
    </row>
    <row r="587" spans="3:8" ht="15.75" customHeight="1" x14ac:dyDescent="0.3">
      <c r="C587" s="146"/>
      <c r="D587" s="146"/>
      <c r="E587" s="147"/>
      <c r="F587" s="146"/>
      <c r="H587" s="147"/>
    </row>
    <row r="588" spans="3:8" ht="15.75" customHeight="1" x14ac:dyDescent="0.3">
      <c r="C588" s="146"/>
      <c r="D588" s="146"/>
      <c r="E588" s="147"/>
      <c r="F588" s="146"/>
      <c r="H588" s="147"/>
    </row>
    <row r="589" spans="3:8" ht="15.75" customHeight="1" x14ac:dyDescent="0.3">
      <c r="C589" s="146"/>
      <c r="D589" s="146"/>
      <c r="E589" s="147"/>
      <c r="F589" s="146"/>
      <c r="H589" s="147"/>
    </row>
    <row r="590" spans="3:8" ht="15.75" customHeight="1" x14ac:dyDescent="0.3">
      <c r="C590" s="146"/>
      <c r="D590" s="146"/>
      <c r="E590" s="147"/>
      <c r="F590" s="146"/>
      <c r="H590" s="147"/>
    </row>
    <row r="591" spans="3:8" ht="15.75" customHeight="1" x14ac:dyDescent="0.3">
      <c r="C591" s="146"/>
      <c r="D591" s="146"/>
      <c r="E591" s="147"/>
      <c r="F591" s="146"/>
      <c r="H591" s="147"/>
    </row>
    <row r="592" spans="3:8" ht="15.75" customHeight="1" x14ac:dyDescent="0.3">
      <c r="C592" s="146"/>
      <c r="D592" s="146"/>
      <c r="E592" s="147"/>
      <c r="F592" s="146"/>
      <c r="H592" s="147"/>
    </row>
    <row r="593" spans="3:8" ht="15.75" customHeight="1" x14ac:dyDescent="0.3">
      <c r="C593" s="146"/>
      <c r="D593" s="146"/>
      <c r="E593" s="147"/>
      <c r="F593" s="146"/>
      <c r="H593" s="147"/>
    </row>
    <row r="594" spans="3:8" ht="15.75" customHeight="1" x14ac:dyDescent="0.3">
      <c r="C594" s="146"/>
      <c r="D594" s="146"/>
      <c r="E594" s="147"/>
      <c r="F594" s="146"/>
      <c r="H594" s="147"/>
    </row>
    <row r="595" spans="3:8" ht="15.75" customHeight="1" x14ac:dyDescent="0.3">
      <c r="C595" s="146"/>
      <c r="D595" s="146"/>
      <c r="E595" s="147"/>
      <c r="F595" s="146"/>
      <c r="H595" s="147"/>
    </row>
    <row r="596" spans="3:8" ht="15.75" customHeight="1" x14ac:dyDescent="0.3">
      <c r="C596" s="146"/>
      <c r="D596" s="146"/>
      <c r="E596" s="147"/>
      <c r="F596" s="146"/>
      <c r="H596" s="147"/>
    </row>
    <row r="597" spans="3:8" ht="15.75" customHeight="1" x14ac:dyDescent="0.3">
      <c r="C597" s="146"/>
      <c r="D597" s="146"/>
      <c r="E597" s="147"/>
      <c r="F597" s="146"/>
      <c r="H597" s="147"/>
    </row>
    <row r="598" spans="3:8" ht="15.75" customHeight="1" x14ac:dyDescent="0.3">
      <c r="C598" s="146"/>
      <c r="D598" s="146"/>
      <c r="E598" s="147"/>
      <c r="F598" s="146"/>
      <c r="H598" s="147"/>
    </row>
    <row r="599" spans="3:8" ht="15.75" customHeight="1" x14ac:dyDescent="0.3">
      <c r="C599" s="146"/>
      <c r="D599" s="146"/>
      <c r="E599" s="147"/>
      <c r="F599" s="146"/>
      <c r="H599" s="147"/>
    </row>
    <row r="600" spans="3:8" ht="15.75" customHeight="1" x14ac:dyDescent="0.3">
      <c r="C600" s="146"/>
      <c r="D600" s="146"/>
      <c r="E600" s="147"/>
      <c r="F600" s="146"/>
      <c r="H600" s="147"/>
    </row>
    <row r="601" spans="3:8" ht="15.75" customHeight="1" x14ac:dyDescent="0.3">
      <c r="C601" s="146"/>
      <c r="D601" s="146"/>
      <c r="E601" s="147"/>
      <c r="F601" s="146"/>
      <c r="H601" s="147"/>
    </row>
    <row r="602" spans="3:8" ht="15.75" customHeight="1" x14ac:dyDescent="0.3">
      <c r="C602" s="146"/>
      <c r="D602" s="146"/>
      <c r="E602" s="147"/>
      <c r="F602" s="146"/>
      <c r="H602" s="147"/>
    </row>
    <row r="603" spans="3:8" ht="15.75" customHeight="1" x14ac:dyDescent="0.3">
      <c r="C603" s="146"/>
      <c r="D603" s="146"/>
      <c r="E603" s="147"/>
      <c r="F603" s="146"/>
      <c r="H603" s="147"/>
    </row>
    <row r="604" spans="3:8" ht="15.75" customHeight="1" x14ac:dyDescent="0.3">
      <c r="C604" s="146"/>
      <c r="D604" s="146"/>
      <c r="E604" s="147"/>
      <c r="F604" s="146"/>
      <c r="H604" s="147"/>
    </row>
    <row r="605" spans="3:8" ht="15.75" customHeight="1" x14ac:dyDescent="0.3">
      <c r="C605" s="146"/>
      <c r="D605" s="146"/>
      <c r="E605" s="147"/>
      <c r="F605" s="146"/>
      <c r="H605" s="147"/>
    </row>
    <row r="606" spans="3:8" ht="15.75" customHeight="1" x14ac:dyDescent="0.3">
      <c r="C606" s="146"/>
      <c r="D606" s="146"/>
      <c r="E606" s="147"/>
      <c r="F606" s="146"/>
      <c r="H606" s="147"/>
    </row>
    <row r="607" spans="3:8" ht="15.75" customHeight="1" x14ac:dyDescent="0.3">
      <c r="C607" s="146"/>
      <c r="D607" s="146"/>
      <c r="E607" s="147"/>
      <c r="F607" s="146"/>
      <c r="H607" s="147"/>
    </row>
    <row r="608" spans="3:8" ht="15.75" customHeight="1" x14ac:dyDescent="0.3">
      <c r="C608" s="146"/>
      <c r="D608" s="146"/>
      <c r="E608" s="147"/>
      <c r="F608" s="146"/>
      <c r="H608" s="147"/>
    </row>
    <row r="609" spans="3:8" ht="15.75" customHeight="1" x14ac:dyDescent="0.3">
      <c r="C609" s="146"/>
      <c r="D609" s="146"/>
      <c r="E609" s="147"/>
      <c r="F609" s="146"/>
      <c r="H609" s="147"/>
    </row>
    <row r="610" spans="3:8" ht="15.75" customHeight="1" x14ac:dyDescent="0.3">
      <c r="C610" s="146"/>
      <c r="D610" s="146"/>
      <c r="E610" s="147"/>
      <c r="F610" s="146"/>
      <c r="H610" s="147"/>
    </row>
    <row r="611" spans="3:8" ht="15.75" customHeight="1" x14ac:dyDescent="0.3">
      <c r="C611" s="146"/>
      <c r="D611" s="146"/>
      <c r="E611" s="147"/>
      <c r="F611" s="146"/>
      <c r="H611" s="147"/>
    </row>
    <row r="612" spans="3:8" ht="15.75" customHeight="1" x14ac:dyDescent="0.3">
      <c r="C612" s="146"/>
      <c r="D612" s="146"/>
      <c r="E612" s="147"/>
      <c r="F612" s="146"/>
      <c r="H612" s="147"/>
    </row>
    <row r="613" spans="3:8" ht="15.75" customHeight="1" x14ac:dyDescent="0.3">
      <c r="C613" s="146"/>
      <c r="D613" s="146"/>
      <c r="E613" s="147"/>
      <c r="F613" s="146"/>
      <c r="H613" s="147"/>
    </row>
    <row r="614" spans="3:8" ht="15.75" customHeight="1" x14ac:dyDescent="0.3">
      <c r="C614" s="146"/>
      <c r="D614" s="146"/>
      <c r="E614" s="147"/>
      <c r="F614" s="146"/>
      <c r="H614" s="147"/>
    </row>
    <row r="615" spans="3:8" ht="15.75" customHeight="1" x14ac:dyDescent="0.3">
      <c r="C615" s="146"/>
      <c r="D615" s="146"/>
      <c r="E615" s="147"/>
      <c r="F615" s="146"/>
      <c r="H615" s="147"/>
    </row>
    <row r="616" spans="3:8" ht="15.75" customHeight="1" x14ac:dyDescent="0.3">
      <c r="C616" s="146"/>
      <c r="D616" s="146"/>
      <c r="E616" s="147"/>
      <c r="F616" s="146"/>
      <c r="H616" s="147"/>
    </row>
    <row r="617" spans="3:8" ht="15.75" customHeight="1" x14ac:dyDescent="0.3">
      <c r="C617" s="146"/>
      <c r="D617" s="146"/>
      <c r="E617" s="147"/>
      <c r="F617" s="146"/>
      <c r="H617" s="147"/>
    </row>
    <row r="618" spans="3:8" ht="15.75" customHeight="1" x14ac:dyDescent="0.3">
      <c r="C618" s="146"/>
      <c r="D618" s="146"/>
      <c r="E618" s="147"/>
      <c r="F618" s="146"/>
      <c r="H618" s="147"/>
    </row>
    <row r="619" spans="3:8" ht="15.75" customHeight="1" x14ac:dyDescent="0.3">
      <c r="C619" s="146"/>
      <c r="D619" s="146"/>
      <c r="E619" s="147"/>
      <c r="F619" s="146"/>
      <c r="H619" s="147"/>
    </row>
    <row r="620" spans="3:8" ht="15.75" customHeight="1" x14ac:dyDescent="0.3">
      <c r="C620" s="146"/>
      <c r="D620" s="146"/>
      <c r="E620" s="147"/>
      <c r="F620" s="146"/>
      <c r="H620" s="147"/>
    </row>
    <row r="621" spans="3:8" ht="15.75" customHeight="1" x14ac:dyDescent="0.3">
      <c r="C621" s="146"/>
      <c r="D621" s="146"/>
      <c r="E621" s="147"/>
      <c r="F621" s="146"/>
      <c r="H621" s="147"/>
    </row>
    <row r="622" spans="3:8" ht="15.75" customHeight="1" x14ac:dyDescent="0.3">
      <c r="C622" s="146"/>
      <c r="D622" s="146"/>
      <c r="E622" s="147"/>
      <c r="F622" s="146"/>
      <c r="H622" s="147"/>
    </row>
    <row r="623" spans="3:8" ht="15.75" customHeight="1" x14ac:dyDescent="0.3">
      <c r="C623" s="146"/>
      <c r="D623" s="146"/>
      <c r="E623" s="147"/>
      <c r="F623" s="146"/>
      <c r="H623" s="147"/>
    </row>
    <row r="624" spans="3:8" ht="15.75" customHeight="1" x14ac:dyDescent="0.3">
      <c r="C624" s="146"/>
      <c r="D624" s="146"/>
      <c r="E624" s="147"/>
      <c r="F624" s="146"/>
      <c r="H624" s="147"/>
    </row>
    <row r="625" spans="3:8" ht="15.75" customHeight="1" x14ac:dyDescent="0.3">
      <c r="C625" s="146"/>
      <c r="D625" s="146"/>
      <c r="E625" s="147"/>
      <c r="F625" s="146"/>
      <c r="H625" s="147"/>
    </row>
    <row r="626" spans="3:8" ht="15.75" customHeight="1" x14ac:dyDescent="0.3">
      <c r="C626" s="146"/>
      <c r="D626" s="146"/>
      <c r="E626" s="147"/>
      <c r="F626" s="146"/>
      <c r="H626" s="147"/>
    </row>
    <row r="627" spans="3:8" ht="15.75" customHeight="1" x14ac:dyDescent="0.3">
      <c r="C627" s="146"/>
      <c r="D627" s="146"/>
      <c r="E627" s="147"/>
      <c r="F627" s="146"/>
      <c r="H627" s="147"/>
    </row>
    <row r="628" spans="3:8" ht="15.75" customHeight="1" x14ac:dyDescent="0.3">
      <c r="C628" s="146"/>
      <c r="D628" s="146"/>
      <c r="E628" s="147"/>
      <c r="F628" s="146"/>
      <c r="H628" s="147"/>
    </row>
    <row r="629" spans="3:8" ht="15.75" customHeight="1" x14ac:dyDescent="0.3">
      <c r="C629" s="146"/>
      <c r="D629" s="146"/>
      <c r="E629" s="147"/>
      <c r="F629" s="146"/>
      <c r="H629" s="147"/>
    </row>
    <row r="630" spans="3:8" ht="15.75" customHeight="1" x14ac:dyDescent="0.3">
      <c r="C630" s="146"/>
      <c r="D630" s="146"/>
      <c r="E630" s="147"/>
      <c r="F630" s="146"/>
      <c r="H630" s="147"/>
    </row>
    <row r="631" spans="3:8" ht="15.75" customHeight="1" x14ac:dyDescent="0.3">
      <c r="C631" s="146"/>
      <c r="D631" s="146"/>
      <c r="E631" s="147"/>
      <c r="F631" s="146"/>
      <c r="H631" s="147"/>
    </row>
    <row r="632" spans="3:8" ht="15.75" customHeight="1" x14ac:dyDescent="0.3">
      <c r="C632" s="146"/>
      <c r="D632" s="146"/>
      <c r="E632" s="147"/>
      <c r="F632" s="146"/>
      <c r="H632" s="147"/>
    </row>
    <row r="633" spans="3:8" ht="15.75" customHeight="1" x14ac:dyDescent="0.3">
      <c r="C633" s="146"/>
      <c r="D633" s="146"/>
      <c r="E633" s="147"/>
      <c r="F633" s="146"/>
      <c r="H633" s="147"/>
    </row>
    <row r="634" spans="3:8" ht="15.75" customHeight="1" x14ac:dyDescent="0.3">
      <c r="C634" s="146"/>
      <c r="D634" s="146"/>
      <c r="E634" s="147"/>
      <c r="F634" s="146"/>
      <c r="H634" s="147"/>
    </row>
    <row r="635" spans="3:8" ht="15.75" customHeight="1" x14ac:dyDescent="0.3">
      <c r="C635" s="146"/>
      <c r="D635" s="146"/>
      <c r="E635" s="147"/>
      <c r="F635" s="146"/>
      <c r="H635" s="147"/>
    </row>
    <row r="636" spans="3:8" ht="15.75" customHeight="1" x14ac:dyDescent="0.3">
      <c r="C636" s="146"/>
      <c r="D636" s="146"/>
      <c r="E636" s="147"/>
      <c r="F636" s="146"/>
      <c r="H636" s="147"/>
    </row>
    <row r="637" spans="3:8" ht="15.75" customHeight="1" x14ac:dyDescent="0.3">
      <c r="C637" s="146"/>
      <c r="D637" s="146"/>
      <c r="E637" s="147"/>
      <c r="F637" s="146"/>
      <c r="H637" s="147"/>
    </row>
    <row r="638" spans="3:8" ht="15.75" customHeight="1" x14ac:dyDescent="0.3">
      <c r="C638" s="146"/>
      <c r="D638" s="146"/>
      <c r="E638" s="147"/>
      <c r="F638" s="146"/>
      <c r="H638" s="147"/>
    </row>
    <row r="639" spans="3:8" ht="15.75" customHeight="1" x14ac:dyDescent="0.3">
      <c r="C639" s="146"/>
      <c r="D639" s="146"/>
      <c r="E639" s="147"/>
      <c r="F639" s="146"/>
      <c r="H639" s="147"/>
    </row>
    <row r="640" spans="3:8" ht="15.75" customHeight="1" x14ac:dyDescent="0.3">
      <c r="C640" s="146"/>
      <c r="D640" s="146"/>
      <c r="E640" s="147"/>
      <c r="F640" s="146"/>
      <c r="H640" s="147"/>
    </row>
    <row r="641" spans="3:8" ht="15.75" customHeight="1" x14ac:dyDescent="0.3">
      <c r="C641" s="146"/>
      <c r="D641" s="146"/>
      <c r="E641" s="147"/>
      <c r="F641" s="146"/>
      <c r="H641" s="147"/>
    </row>
    <row r="642" spans="3:8" ht="15.75" customHeight="1" x14ac:dyDescent="0.3">
      <c r="C642" s="146"/>
      <c r="D642" s="146"/>
      <c r="E642" s="147"/>
      <c r="F642" s="146"/>
      <c r="H642" s="147"/>
    </row>
    <row r="643" spans="3:8" ht="15.75" customHeight="1" x14ac:dyDescent="0.3">
      <c r="C643" s="146"/>
      <c r="D643" s="146"/>
      <c r="E643" s="147"/>
      <c r="F643" s="146"/>
      <c r="H643" s="147"/>
    </row>
    <row r="644" spans="3:8" ht="15.75" customHeight="1" x14ac:dyDescent="0.3">
      <c r="C644" s="146"/>
      <c r="D644" s="146"/>
      <c r="E644" s="147"/>
      <c r="F644" s="146"/>
      <c r="H644" s="147"/>
    </row>
    <row r="645" spans="3:8" ht="15.75" customHeight="1" x14ac:dyDescent="0.3">
      <c r="C645" s="146"/>
      <c r="D645" s="146"/>
      <c r="E645" s="147"/>
      <c r="F645" s="146"/>
      <c r="H645" s="147"/>
    </row>
    <row r="646" spans="3:8" ht="15.75" customHeight="1" x14ac:dyDescent="0.3">
      <c r="C646" s="146"/>
      <c r="D646" s="146"/>
      <c r="E646" s="147"/>
      <c r="F646" s="146"/>
      <c r="H646" s="147"/>
    </row>
    <row r="647" spans="3:8" ht="15.75" customHeight="1" x14ac:dyDescent="0.3">
      <c r="C647" s="146"/>
      <c r="D647" s="146"/>
      <c r="E647" s="147"/>
      <c r="F647" s="146"/>
      <c r="H647" s="147"/>
    </row>
    <row r="648" spans="3:8" ht="15.75" customHeight="1" x14ac:dyDescent="0.3">
      <c r="C648" s="146"/>
      <c r="D648" s="146"/>
      <c r="E648" s="147"/>
      <c r="F648" s="146"/>
      <c r="H648" s="147"/>
    </row>
    <row r="649" spans="3:8" ht="15.75" customHeight="1" x14ac:dyDescent="0.3">
      <c r="C649" s="146"/>
      <c r="D649" s="146"/>
      <c r="E649" s="147"/>
      <c r="F649" s="146"/>
      <c r="H649" s="147"/>
    </row>
    <row r="650" spans="3:8" ht="15.75" customHeight="1" x14ac:dyDescent="0.3">
      <c r="C650" s="146"/>
      <c r="D650" s="146"/>
      <c r="E650" s="147"/>
      <c r="F650" s="146"/>
      <c r="H650" s="147"/>
    </row>
    <row r="651" spans="3:8" ht="15.75" customHeight="1" x14ac:dyDescent="0.3">
      <c r="C651" s="146"/>
      <c r="D651" s="146"/>
      <c r="E651" s="147"/>
      <c r="F651" s="146"/>
      <c r="H651" s="147"/>
    </row>
    <row r="652" spans="3:8" ht="15.75" customHeight="1" x14ac:dyDescent="0.3">
      <c r="C652" s="146"/>
      <c r="D652" s="146"/>
      <c r="E652" s="147"/>
      <c r="F652" s="146"/>
      <c r="H652" s="147"/>
    </row>
    <row r="653" spans="3:8" ht="15.75" customHeight="1" x14ac:dyDescent="0.3">
      <c r="C653" s="146"/>
      <c r="D653" s="146"/>
      <c r="E653" s="147"/>
      <c r="F653" s="146"/>
      <c r="H653" s="147"/>
    </row>
    <row r="654" spans="3:8" ht="15.75" customHeight="1" x14ac:dyDescent="0.3">
      <c r="C654" s="146"/>
      <c r="D654" s="146"/>
      <c r="E654" s="147"/>
      <c r="F654" s="146"/>
      <c r="H654" s="147"/>
    </row>
    <row r="655" spans="3:8" ht="15.75" customHeight="1" x14ac:dyDescent="0.3">
      <c r="C655" s="146"/>
      <c r="D655" s="146"/>
      <c r="E655" s="147"/>
      <c r="F655" s="146"/>
      <c r="H655" s="147"/>
    </row>
    <row r="656" spans="3:8" ht="15.75" customHeight="1" x14ac:dyDescent="0.3">
      <c r="C656" s="146"/>
      <c r="D656" s="146"/>
      <c r="E656" s="147"/>
      <c r="F656" s="146"/>
      <c r="H656" s="147"/>
    </row>
    <row r="657" spans="3:8" ht="15.75" customHeight="1" x14ac:dyDescent="0.3">
      <c r="C657" s="146"/>
      <c r="D657" s="146"/>
      <c r="E657" s="147"/>
      <c r="F657" s="146"/>
      <c r="H657" s="147"/>
    </row>
    <row r="658" spans="3:8" ht="15.75" customHeight="1" x14ac:dyDescent="0.3">
      <c r="C658" s="146"/>
      <c r="D658" s="146"/>
      <c r="E658" s="147"/>
      <c r="F658" s="146"/>
      <c r="H658" s="147"/>
    </row>
    <row r="659" spans="3:8" ht="15.75" customHeight="1" x14ac:dyDescent="0.3">
      <c r="C659" s="146"/>
      <c r="D659" s="146"/>
      <c r="E659" s="147"/>
      <c r="F659" s="146"/>
      <c r="H659" s="147"/>
    </row>
    <row r="660" spans="3:8" ht="15.75" customHeight="1" x14ac:dyDescent="0.3">
      <c r="C660" s="146"/>
      <c r="D660" s="146"/>
      <c r="E660" s="147"/>
      <c r="F660" s="146"/>
      <c r="H660" s="147"/>
    </row>
    <row r="661" spans="3:8" ht="15.75" customHeight="1" x14ac:dyDescent="0.3">
      <c r="C661" s="146"/>
      <c r="D661" s="146"/>
      <c r="E661" s="147"/>
      <c r="F661" s="146"/>
      <c r="H661" s="147"/>
    </row>
    <row r="662" spans="3:8" ht="15.75" customHeight="1" x14ac:dyDescent="0.3">
      <c r="C662" s="146"/>
      <c r="D662" s="146"/>
      <c r="E662" s="147"/>
      <c r="F662" s="146"/>
      <c r="H662" s="147"/>
    </row>
    <row r="663" spans="3:8" ht="15.75" customHeight="1" x14ac:dyDescent="0.3">
      <c r="C663" s="146"/>
      <c r="D663" s="146"/>
      <c r="E663" s="147"/>
      <c r="F663" s="146"/>
      <c r="H663" s="147"/>
    </row>
    <row r="664" spans="3:8" ht="15.75" customHeight="1" x14ac:dyDescent="0.3">
      <c r="C664" s="146"/>
      <c r="D664" s="146"/>
      <c r="E664" s="147"/>
      <c r="F664" s="146"/>
      <c r="H664" s="147"/>
    </row>
    <row r="665" spans="3:8" ht="15.75" customHeight="1" x14ac:dyDescent="0.3">
      <c r="C665" s="146"/>
      <c r="D665" s="146"/>
      <c r="E665" s="147"/>
      <c r="F665" s="146"/>
      <c r="H665" s="147"/>
    </row>
    <row r="666" spans="3:8" ht="15.75" customHeight="1" x14ac:dyDescent="0.3">
      <c r="C666" s="146"/>
      <c r="D666" s="146"/>
      <c r="E666" s="147"/>
      <c r="F666" s="146"/>
      <c r="H666" s="147"/>
    </row>
    <row r="667" spans="3:8" ht="15.75" customHeight="1" x14ac:dyDescent="0.3">
      <c r="C667" s="146"/>
      <c r="D667" s="146"/>
      <c r="E667" s="147"/>
      <c r="F667" s="146"/>
      <c r="H667" s="147"/>
    </row>
    <row r="668" spans="3:8" ht="15.75" customHeight="1" x14ac:dyDescent="0.3">
      <c r="C668" s="146"/>
      <c r="D668" s="146"/>
      <c r="E668" s="147"/>
      <c r="F668" s="146"/>
      <c r="H668" s="147"/>
    </row>
    <row r="669" spans="3:8" ht="15.75" customHeight="1" x14ac:dyDescent="0.3">
      <c r="C669" s="146"/>
      <c r="D669" s="146"/>
      <c r="E669" s="147"/>
      <c r="F669" s="146"/>
      <c r="H669" s="147"/>
    </row>
    <row r="670" spans="3:8" ht="15.75" customHeight="1" x14ac:dyDescent="0.3">
      <c r="C670" s="146"/>
      <c r="D670" s="146"/>
      <c r="E670" s="147"/>
      <c r="F670" s="146"/>
      <c r="H670" s="147"/>
    </row>
    <row r="671" spans="3:8" ht="15.75" customHeight="1" x14ac:dyDescent="0.3">
      <c r="C671" s="146"/>
      <c r="D671" s="146"/>
      <c r="E671" s="147"/>
      <c r="F671" s="146"/>
      <c r="H671" s="147"/>
    </row>
    <row r="672" spans="3:8" ht="15.75" customHeight="1" x14ac:dyDescent="0.3">
      <c r="C672" s="146"/>
      <c r="D672" s="146"/>
      <c r="E672" s="147"/>
      <c r="F672" s="146"/>
      <c r="H672" s="147"/>
    </row>
    <row r="673" spans="3:8" ht="15.75" customHeight="1" x14ac:dyDescent="0.3">
      <c r="C673" s="146"/>
      <c r="D673" s="146"/>
      <c r="E673" s="147"/>
      <c r="F673" s="146"/>
      <c r="H673" s="147"/>
    </row>
    <row r="674" spans="3:8" ht="15.75" customHeight="1" x14ac:dyDescent="0.3">
      <c r="C674" s="146"/>
      <c r="D674" s="146"/>
      <c r="E674" s="147"/>
      <c r="F674" s="146"/>
      <c r="H674" s="147"/>
    </row>
    <row r="675" spans="3:8" ht="15.75" customHeight="1" x14ac:dyDescent="0.3">
      <c r="C675" s="146"/>
      <c r="D675" s="146"/>
      <c r="E675" s="147"/>
      <c r="F675" s="146"/>
      <c r="H675" s="147"/>
    </row>
    <row r="676" spans="3:8" ht="15.75" customHeight="1" x14ac:dyDescent="0.3">
      <c r="C676" s="146"/>
      <c r="D676" s="146"/>
      <c r="E676" s="147"/>
      <c r="F676" s="146"/>
      <c r="H676" s="147"/>
    </row>
    <row r="677" spans="3:8" ht="15.75" customHeight="1" x14ac:dyDescent="0.3">
      <c r="C677" s="146"/>
      <c r="D677" s="146"/>
      <c r="E677" s="147"/>
      <c r="F677" s="146"/>
      <c r="H677" s="147"/>
    </row>
    <row r="678" spans="3:8" ht="15.75" customHeight="1" x14ac:dyDescent="0.3">
      <c r="C678" s="146"/>
      <c r="D678" s="146"/>
      <c r="E678" s="147"/>
      <c r="F678" s="146"/>
      <c r="H678" s="147"/>
    </row>
    <row r="679" spans="3:8" ht="15.75" customHeight="1" x14ac:dyDescent="0.3">
      <c r="C679" s="146"/>
      <c r="D679" s="146"/>
      <c r="E679" s="147"/>
      <c r="F679" s="146"/>
      <c r="H679" s="147"/>
    </row>
    <row r="680" spans="3:8" ht="15.75" customHeight="1" x14ac:dyDescent="0.3">
      <c r="C680" s="146"/>
      <c r="D680" s="146"/>
      <c r="E680" s="147"/>
      <c r="F680" s="146"/>
      <c r="H680" s="147"/>
    </row>
    <row r="681" spans="3:8" ht="15.75" customHeight="1" x14ac:dyDescent="0.3">
      <c r="C681" s="146"/>
      <c r="D681" s="146"/>
      <c r="E681" s="147"/>
      <c r="F681" s="146"/>
      <c r="H681" s="147"/>
    </row>
    <row r="682" spans="3:8" ht="15.75" customHeight="1" x14ac:dyDescent="0.3">
      <c r="C682" s="146"/>
      <c r="D682" s="146"/>
      <c r="E682" s="147"/>
      <c r="F682" s="146"/>
      <c r="H682" s="147"/>
    </row>
    <row r="683" spans="3:8" ht="15.75" customHeight="1" x14ac:dyDescent="0.3">
      <c r="C683" s="146"/>
      <c r="D683" s="146"/>
      <c r="E683" s="147"/>
      <c r="F683" s="146"/>
      <c r="H683" s="147"/>
    </row>
    <row r="684" spans="3:8" ht="15.75" customHeight="1" x14ac:dyDescent="0.3">
      <c r="C684" s="146"/>
      <c r="D684" s="146"/>
      <c r="E684" s="147"/>
      <c r="F684" s="146"/>
      <c r="H684" s="147"/>
    </row>
    <row r="685" spans="3:8" ht="15.75" customHeight="1" x14ac:dyDescent="0.3">
      <c r="C685" s="146"/>
      <c r="D685" s="146"/>
      <c r="E685" s="147"/>
      <c r="F685" s="146"/>
      <c r="H685" s="147"/>
    </row>
    <row r="686" spans="3:8" ht="15.75" customHeight="1" x14ac:dyDescent="0.3">
      <c r="C686" s="146"/>
      <c r="D686" s="146"/>
      <c r="E686" s="147"/>
      <c r="F686" s="146"/>
      <c r="H686" s="147"/>
    </row>
    <row r="687" spans="3:8" ht="15.75" customHeight="1" x14ac:dyDescent="0.3">
      <c r="C687" s="146"/>
      <c r="D687" s="146"/>
      <c r="E687" s="147"/>
      <c r="F687" s="146"/>
      <c r="H687" s="147"/>
    </row>
    <row r="688" spans="3:8" ht="15.75" customHeight="1" x14ac:dyDescent="0.3">
      <c r="C688" s="146"/>
      <c r="D688" s="146"/>
      <c r="E688" s="147"/>
      <c r="F688" s="146"/>
      <c r="H688" s="147"/>
    </row>
    <row r="689" spans="3:8" ht="15.75" customHeight="1" x14ac:dyDescent="0.3">
      <c r="C689" s="146"/>
      <c r="D689" s="146"/>
      <c r="E689" s="147"/>
      <c r="F689" s="146"/>
      <c r="H689" s="147"/>
    </row>
    <row r="690" spans="3:8" ht="15.75" customHeight="1" x14ac:dyDescent="0.3">
      <c r="C690" s="146"/>
      <c r="D690" s="146"/>
      <c r="E690" s="147"/>
      <c r="F690" s="146"/>
      <c r="H690" s="147"/>
    </row>
    <row r="691" spans="3:8" ht="15.75" customHeight="1" x14ac:dyDescent="0.3">
      <c r="C691" s="146"/>
      <c r="D691" s="146"/>
      <c r="E691" s="147"/>
      <c r="F691" s="146"/>
      <c r="H691" s="147"/>
    </row>
    <row r="692" spans="3:8" ht="15.75" customHeight="1" x14ac:dyDescent="0.3">
      <c r="C692" s="146"/>
      <c r="D692" s="146"/>
      <c r="E692" s="147"/>
      <c r="F692" s="146"/>
      <c r="H692" s="147"/>
    </row>
    <row r="693" spans="3:8" ht="15.75" customHeight="1" x14ac:dyDescent="0.3">
      <c r="C693" s="146"/>
      <c r="D693" s="146"/>
      <c r="E693" s="147"/>
      <c r="F693" s="146"/>
      <c r="H693" s="147"/>
    </row>
    <row r="694" spans="3:8" ht="15.75" customHeight="1" x14ac:dyDescent="0.3">
      <c r="C694" s="146"/>
      <c r="D694" s="146"/>
      <c r="E694" s="147"/>
      <c r="F694" s="146"/>
      <c r="H694" s="147"/>
    </row>
    <row r="695" spans="3:8" ht="15.75" customHeight="1" x14ac:dyDescent="0.3">
      <c r="C695" s="146"/>
      <c r="D695" s="146"/>
      <c r="E695" s="147"/>
      <c r="F695" s="146"/>
      <c r="H695" s="147"/>
    </row>
    <row r="696" spans="3:8" ht="15.75" customHeight="1" x14ac:dyDescent="0.3">
      <c r="C696" s="146"/>
      <c r="D696" s="146"/>
      <c r="E696" s="147"/>
      <c r="F696" s="146"/>
      <c r="H696" s="147"/>
    </row>
    <row r="697" spans="3:8" ht="15.75" customHeight="1" x14ac:dyDescent="0.3">
      <c r="C697" s="146"/>
      <c r="D697" s="146"/>
      <c r="E697" s="147"/>
      <c r="F697" s="146"/>
      <c r="H697" s="147"/>
    </row>
    <row r="698" spans="3:8" ht="15.75" customHeight="1" x14ac:dyDescent="0.3">
      <c r="C698" s="146"/>
      <c r="D698" s="146"/>
      <c r="E698" s="147"/>
      <c r="F698" s="146"/>
      <c r="H698" s="147"/>
    </row>
    <row r="699" spans="3:8" ht="15.75" customHeight="1" x14ac:dyDescent="0.3">
      <c r="C699" s="146"/>
      <c r="D699" s="146"/>
      <c r="E699" s="147"/>
      <c r="F699" s="146"/>
      <c r="H699" s="147"/>
    </row>
    <row r="700" spans="3:8" ht="15.75" customHeight="1" x14ac:dyDescent="0.3">
      <c r="C700" s="146"/>
      <c r="D700" s="146"/>
      <c r="E700" s="147"/>
      <c r="F700" s="146"/>
      <c r="H700" s="147"/>
    </row>
    <row r="701" spans="3:8" ht="15.75" customHeight="1" x14ac:dyDescent="0.3">
      <c r="C701" s="146"/>
      <c r="D701" s="146"/>
      <c r="E701" s="147"/>
      <c r="F701" s="146"/>
      <c r="H701" s="147"/>
    </row>
    <row r="702" spans="3:8" ht="15.75" customHeight="1" x14ac:dyDescent="0.3">
      <c r="C702" s="146"/>
      <c r="D702" s="146"/>
      <c r="E702" s="147"/>
      <c r="F702" s="146"/>
      <c r="H702" s="147"/>
    </row>
    <row r="703" spans="3:8" ht="15.75" customHeight="1" x14ac:dyDescent="0.3">
      <c r="C703" s="146"/>
      <c r="D703" s="146"/>
      <c r="E703" s="147"/>
      <c r="F703" s="146"/>
      <c r="H703" s="147"/>
    </row>
    <row r="704" spans="3:8" ht="15.75" customHeight="1" x14ac:dyDescent="0.3">
      <c r="C704" s="146"/>
      <c r="D704" s="146"/>
      <c r="E704" s="147"/>
      <c r="F704" s="146"/>
      <c r="H704" s="147"/>
    </row>
    <row r="705" spans="3:8" ht="15.75" customHeight="1" x14ac:dyDescent="0.3">
      <c r="C705" s="146"/>
      <c r="D705" s="146"/>
      <c r="E705" s="147"/>
      <c r="F705" s="146"/>
      <c r="H705" s="147"/>
    </row>
    <row r="706" spans="3:8" ht="15.75" customHeight="1" x14ac:dyDescent="0.3">
      <c r="C706" s="146"/>
      <c r="D706" s="146"/>
      <c r="E706" s="147"/>
      <c r="F706" s="146"/>
      <c r="H706" s="147"/>
    </row>
    <row r="707" spans="3:8" ht="15.75" customHeight="1" x14ac:dyDescent="0.3">
      <c r="C707" s="146"/>
      <c r="D707" s="146"/>
      <c r="E707" s="147"/>
      <c r="F707" s="146"/>
      <c r="H707" s="147"/>
    </row>
    <row r="708" spans="3:8" ht="15.75" customHeight="1" x14ac:dyDescent="0.3">
      <c r="C708" s="146"/>
      <c r="D708" s="146"/>
      <c r="E708" s="147"/>
      <c r="F708" s="146"/>
      <c r="H708" s="147"/>
    </row>
    <row r="709" spans="3:8" ht="15.75" customHeight="1" x14ac:dyDescent="0.3">
      <c r="C709" s="146"/>
      <c r="D709" s="146"/>
      <c r="E709" s="147"/>
      <c r="F709" s="146"/>
      <c r="H709" s="147"/>
    </row>
    <row r="710" spans="3:8" ht="15.75" customHeight="1" x14ac:dyDescent="0.3">
      <c r="C710" s="146"/>
      <c r="D710" s="146"/>
      <c r="E710" s="147"/>
      <c r="F710" s="146"/>
      <c r="H710" s="147"/>
    </row>
    <row r="711" spans="3:8" ht="15.75" customHeight="1" x14ac:dyDescent="0.3">
      <c r="C711" s="146"/>
      <c r="D711" s="146"/>
      <c r="E711" s="147"/>
      <c r="F711" s="146"/>
      <c r="H711" s="147"/>
    </row>
    <row r="712" spans="3:8" ht="15.75" customHeight="1" x14ac:dyDescent="0.3">
      <c r="C712" s="146"/>
      <c r="D712" s="146"/>
      <c r="E712" s="147"/>
      <c r="F712" s="146"/>
      <c r="H712" s="147"/>
    </row>
    <row r="713" spans="3:8" ht="15.75" customHeight="1" x14ac:dyDescent="0.3">
      <c r="C713" s="146"/>
      <c r="D713" s="146"/>
      <c r="E713" s="147"/>
      <c r="F713" s="146"/>
      <c r="H713" s="147"/>
    </row>
    <row r="714" spans="3:8" ht="15.75" customHeight="1" x14ac:dyDescent="0.3">
      <c r="C714" s="146"/>
      <c r="D714" s="146"/>
      <c r="E714" s="147"/>
      <c r="F714" s="146"/>
      <c r="H714" s="147"/>
    </row>
    <row r="715" spans="3:8" ht="15.75" customHeight="1" x14ac:dyDescent="0.3">
      <c r="C715" s="146"/>
      <c r="D715" s="146"/>
      <c r="E715" s="147"/>
      <c r="F715" s="146"/>
      <c r="H715" s="147"/>
    </row>
    <row r="716" spans="3:8" ht="15.75" customHeight="1" x14ac:dyDescent="0.3">
      <c r="C716" s="146"/>
      <c r="D716" s="146"/>
      <c r="E716" s="147"/>
      <c r="F716" s="146"/>
      <c r="H716" s="147"/>
    </row>
    <row r="717" spans="3:8" ht="15.75" customHeight="1" x14ac:dyDescent="0.3">
      <c r="C717" s="146"/>
      <c r="D717" s="146"/>
      <c r="E717" s="147"/>
      <c r="F717" s="146"/>
      <c r="H717" s="147"/>
    </row>
    <row r="718" spans="3:8" ht="15.75" customHeight="1" x14ac:dyDescent="0.3">
      <c r="C718" s="146"/>
      <c r="D718" s="146"/>
      <c r="E718" s="147"/>
      <c r="F718" s="146"/>
      <c r="H718" s="147"/>
    </row>
    <row r="719" spans="3:8" ht="15.75" customHeight="1" x14ac:dyDescent="0.3">
      <c r="C719" s="146"/>
      <c r="D719" s="146"/>
      <c r="E719" s="147"/>
      <c r="F719" s="146"/>
      <c r="H719" s="147"/>
    </row>
    <row r="720" spans="3:8" ht="15.75" customHeight="1" x14ac:dyDescent="0.3">
      <c r="C720" s="146"/>
      <c r="D720" s="146"/>
      <c r="E720" s="147"/>
      <c r="F720" s="146"/>
      <c r="H720" s="147"/>
    </row>
    <row r="721" spans="3:8" ht="15.75" customHeight="1" x14ac:dyDescent="0.3">
      <c r="C721" s="146"/>
      <c r="D721" s="146"/>
      <c r="E721" s="147"/>
      <c r="F721" s="146"/>
      <c r="H721" s="147"/>
    </row>
    <row r="722" spans="3:8" ht="15.75" customHeight="1" x14ac:dyDescent="0.3">
      <c r="C722" s="146"/>
      <c r="D722" s="146"/>
      <c r="E722" s="147"/>
      <c r="F722" s="146"/>
      <c r="H722" s="147"/>
    </row>
    <row r="723" spans="3:8" ht="15.75" customHeight="1" x14ac:dyDescent="0.3">
      <c r="C723" s="146"/>
      <c r="D723" s="146"/>
      <c r="E723" s="147"/>
      <c r="F723" s="146"/>
      <c r="H723" s="147"/>
    </row>
    <row r="724" spans="3:8" ht="15.75" customHeight="1" x14ac:dyDescent="0.3">
      <c r="C724" s="146"/>
      <c r="D724" s="146"/>
      <c r="E724" s="147"/>
      <c r="F724" s="146"/>
      <c r="H724" s="147"/>
    </row>
    <row r="725" spans="3:8" ht="15.75" customHeight="1" x14ac:dyDescent="0.3">
      <c r="C725" s="146"/>
      <c r="D725" s="146"/>
      <c r="E725" s="147"/>
      <c r="F725" s="146"/>
      <c r="H725" s="147"/>
    </row>
    <row r="726" spans="3:8" ht="15.75" customHeight="1" x14ac:dyDescent="0.3">
      <c r="C726" s="146"/>
      <c r="D726" s="146"/>
      <c r="E726" s="147"/>
      <c r="F726" s="146"/>
      <c r="H726" s="147"/>
    </row>
    <row r="727" spans="3:8" ht="15.75" customHeight="1" x14ac:dyDescent="0.3">
      <c r="C727" s="146"/>
      <c r="D727" s="146"/>
      <c r="E727" s="147"/>
      <c r="F727" s="146"/>
      <c r="H727" s="147"/>
    </row>
    <row r="728" spans="3:8" ht="15.75" customHeight="1" x14ac:dyDescent="0.3">
      <c r="C728" s="146"/>
      <c r="D728" s="146"/>
      <c r="E728" s="147"/>
      <c r="F728" s="146"/>
      <c r="H728" s="147"/>
    </row>
    <row r="729" spans="3:8" ht="15.75" customHeight="1" x14ac:dyDescent="0.3">
      <c r="C729" s="146"/>
      <c r="D729" s="146"/>
      <c r="E729" s="147"/>
      <c r="F729" s="146"/>
      <c r="H729" s="147"/>
    </row>
    <row r="730" spans="3:8" ht="15.75" customHeight="1" x14ac:dyDescent="0.3">
      <c r="C730" s="146"/>
      <c r="D730" s="146"/>
      <c r="E730" s="147"/>
      <c r="F730" s="146"/>
      <c r="H730" s="147"/>
    </row>
    <row r="731" spans="3:8" ht="15.75" customHeight="1" x14ac:dyDescent="0.3">
      <c r="C731" s="146"/>
      <c r="D731" s="146"/>
      <c r="E731" s="147"/>
      <c r="F731" s="146"/>
      <c r="H731" s="147"/>
    </row>
    <row r="732" spans="3:8" ht="15.75" customHeight="1" x14ac:dyDescent="0.3">
      <c r="C732" s="146"/>
      <c r="D732" s="146"/>
      <c r="E732" s="147"/>
      <c r="F732" s="146"/>
      <c r="H732" s="147"/>
    </row>
    <row r="733" spans="3:8" ht="15.75" customHeight="1" x14ac:dyDescent="0.3">
      <c r="C733" s="146"/>
      <c r="D733" s="146"/>
      <c r="E733" s="147"/>
      <c r="F733" s="146"/>
      <c r="H733" s="147"/>
    </row>
    <row r="734" spans="3:8" ht="15.75" customHeight="1" x14ac:dyDescent="0.3">
      <c r="C734" s="146"/>
      <c r="D734" s="146"/>
      <c r="E734" s="147"/>
      <c r="F734" s="146"/>
      <c r="H734" s="147"/>
    </row>
    <row r="735" spans="3:8" ht="15.75" customHeight="1" x14ac:dyDescent="0.3">
      <c r="C735" s="146"/>
      <c r="D735" s="146"/>
      <c r="E735" s="147"/>
      <c r="F735" s="146"/>
      <c r="H735" s="147"/>
    </row>
    <row r="736" spans="3:8" ht="15.75" customHeight="1" x14ac:dyDescent="0.3">
      <c r="C736" s="146"/>
      <c r="D736" s="146"/>
      <c r="E736" s="147"/>
      <c r="F736" s="146"/>
      <c r="H736" s="147"/>
    </row>
    <row r="737" spans="3:8" ht="15.75" customHeight="1" x14ac:dyDescent="0.3">
      <c r="C737" s="146"/>
      <c r="D737" s="146"/>
      <c r="E737" s="147"/>
      <c r="F737" s="146"/>
      <c r="H737" s="147"/>
    </row>
    <row r="738" spans="3:8" ht="15.75" customHeight="1" x14ac:dyDescent="0.3">
      <c r="C738" s="146"/>
      <c r="D738" s="146"/>
      <c r="E738" s="147"/>
      <c r="F738" s="146"/>
      <c r="H738" s="147"/>
    </row>
    <row r="739" spans="3:8" ht="15.75" customHeight="1" x14ac:dyDescent="0.3">
      <c r="C739" s="146"/>
      <c r="D739" s="146"/>
      <c r="E739" s="147"/>
      <c r="F739" s="146"/>
      <c r="H739" s="147"/>
    </row>
    <row r="740" spans="3:8" ht="15.75" customHeight="1" x14ac:dyDescent="0.3">
      <c r="C740" s="146"/>
      <c r="D740" s="146"/>
      <c r="E740" s="147"/>
      <c r="F740" s="146"/>
      <c r="H740" s="147"/>
    </row>
    <row r="741" spans="3:8" ht="15.75" customHeight="1" x14ac:dyDescent="0.3">
      <c r="C741" s="146"/>
      <c r="D741" s="146"/>
      <c r="E741" s="147"/>
      <c r="F741" s="146"/>
      <c r="H741" s="147"/>
    </row>
    <row r="742" spans="3:8" ht="15.75" customHeight="1" x14ac:dyDescent="0.3">
      <c r="C742" s="146"/>
      <c r="D742" s="146"/>
      <c r="E742" s="147"/>
      <c r="F742" s="146"/>
      <c r="H742" s="147"/>
    </row>
    <row r="743" spans="3:8" ht="15.75" customHeight="1" x14ac:dyDescent="0.3">
      <c r="C743" s="146"/>
      <c r="D743" s="146"/>
      <c r="E743" s="147"/>
      <c r="F743" s="146"/>
      <c r="H743" s="147"/>
    </row>
    <row r="744" spans="3:8" ht="15.75" customHeight="1" x14ac:dyDescent="0.3">
      <c r="C744" s="146"/>
      <c r="D744" s="146"/>
      <c r="E744" s="147"/>
      <c r="F744" s="146"/>
      <c r="H744" s="147"/>
    </row>
    <row r="745" spans="3:8" ht="15.75" customHeight="1" x14ac:dyDescent="0.3">
      <c r="C745" s="146"/>
      <c r="D745" s="146"/>
      <c r="E745" s="147"/>
      <c r="F745" s="146"/>
      <c r="H745" s="147"/>
    </row>
    <row r="746" spans="3:8" ht="15.75" customHeight="1" x14ac:dyDescent="0.3">
      <c r="C746" s="146"/>
      <c r="D746" s="146"/>
      <c r="E746" s="147"/>
      <c r="F746" s="146"/>
      <c r="H746" s="147"/>
    </row>
    <row r="747" spans="3:8" ht="15.75" customHeight="1" x14ac:dyDescent="0.3">
      <c r="C747" s="146"/>
      <c r="D747" s="146"/>
      <c r="E747" s="147"/>
      <c r="F747" s="146"/>
      <c r="H747" s="147"/>
    </row>
    <row r="748" spans="3:8" ht="15.75" customHeight="1" x14ac:dyDescent="0.3">
      <c r="C748" s="146"/>
      <c r="D748" s="146"/>
      <c r="E748" s="147"/>
      <c r="F748" s="146"/>
      <c r="H748" s="147"/>
    </row>
    <row r="749" spans="3:8" ht="15.75" customHeight="1" x14ac:dyDescent="0.3">
      <c r="C749" s="146"/>
      <c r="D749" s="146"/>
      <c r="E749" s="147"/>
      <c r="F749" s="146"/>
      <c r="H749" s="147"/>
    </row>
    <row r="750" spans="3:8" ht="15.75" customHeight="1" x14ac:dyDescent="0.3">
      <c r="C750" s="146"/>
      <c r="D750" s="146"/>
      <c r="E750" s="147"/>
      <c r="F750" s="146"/>
      <c r="H750" s="147"/>
    </row>
    <row r="751" spans="3:8" ht="15.75" customHeight="1" x14ac:dyDescent="0.3">
      <c r="C751" s="146"/>
      <c r="D751" s="146"/>
      <c r="E751" s="147"/>
      <c r="F751" s="146"/>
      <c r="H751" s="147"/>
    </row>
    <row r="752" spans="3:8" ht="15.75" customHeight="1" x14ac:dyDescent="0.3">
      <c r="C752" s="146"/>
      <c r="D752" s="146"/>
      <c r="E752" s="147"/>
      <c r="F752" s="146"/>
      <c r="H752" s="147"/>
    </row>
    <row r="753" spans="3:8" ht="15.75" customHeight="1" x14ac:dyDescent="0.3">
      <c r="C753" s="146"/>
      <c r="D753" s="146"/>
      <c r="E753" s="147"/>
      <c r="F753" s="146"/>
      <c r="H753" s="147"/>
    </row>
    <row r="754" spans="3:8" ht="15.75" customHeight="1" x14ac:dyDescent="0.3">
      <c r="C754" s="146"/>
      <c r="D754" s="146"/>
      <c r="E754" s="147"/>
      <c r="F754" s="146"/>
      <c r="H754" s="147"/>
    </row>
    <row r="755" spans="3:8" ht="15.75" customHeight="1" x14ac:dyDescent="0.3">
      <c r="C755" s="146"/>
      <c r="D755" s="146"/>
      <c r="E755" s="147"/>
      <c r="F755" s="146"/>
      <c r="H755" s="147"/>
    </row>
    <row r="756" spans="3:8" ht="15.75" customHeight="1" x14ac:dyDescent="0.3">
      <c r="C756" s="146"/>
      <c r="D756" s="146"/>
      <c r="E756" s="147"/>
      <c r="F756" s="146"/>
      <c r="H756" s="147"/>
    </row>
    <row r="757" spans="3:8" ht="15.75" customHeight="1" x14ac:dyDescent="0.3">
      <c r="C757" s="146"/>
      <c r="D757" s="146"/>
      <c r="E757" s="147"/>
      <c r="F757" s="146"/>
      <c r="H757" s="147"/>
    </row>
    <row r="758" spans="3:8" ht="15.75" customHeight="1" x14ac:dyDescent="0.3">
      <c r="C758" s="146"/>
      <c r="D758" s="146"/>
      <c r="E758" s="147"/>
      <c r="F758" s="146"/>
      <c r="H758" s="147"/>
    </row>
    <row r="759" spans="3:8" ht="15.75" customHeight="1" x14ac:dyDescent="0.3">
      <c r="C759" s="146"/>
      <c r="D759" s="146"/>
      <c r="E759" s="147"/>
      <c r="F759" s="146"/>
      <c r="H759" s="147"/>
    </row>
    <row r="760" spans="3:8" ht="15.75" customHeight="1" x14ac:dyDescent="0.3">
      <c r="C760" s="146"/>
      <c r="D760" s="146"/>
      <c r="E760" s="147"/>
      <c r="F760" s="146"/>
      <c r="H760" s="147"/>
    </row>
    <row r="761" spans="3:8" ht="15.75" customHeight="1" x14ac:dyDescent="0.3">
      <c r="C761" s="146"/>
      <c r="D761" s="146"/>
      <c r="E761" s="147"/>
      <c r="F761" s="146"/>
      <c r="H761" s="147"/>
    </row>
    <row r="762" spans="3:8" ht="15.75" customHeight="1" x14ac:dyDescent="0.3">
      <c r="C762" s="146"/>
      <c r="D762" s="146"/>
      <c r="E762" s="147"/>
      <c r="F762" s="146"/>
      <c r="H762" s="147"/>
    </row>
    <row r="763" spans="3:8" ht="15.75" customHeight="1" x14ac:dyDescent="0.3">
      <c r="C763" s="146"/>
      <c r="D763" s="146"/>
      <c r="E763" s="147"/>
      <c r="F763" s="146"/>
      <c r="H763" s="147"/>
    </row>
    <row r="764" spans="3:8" ht="15.75" customHeight="1" x14ac:dyDescent="0.3">
      <c r="C764" s="146"/>
      <c r="D764" s="146"/>
      <c r="E764" s="147"/>
      <c r="F764" s="146"/>
      <c r="H764" s="147"/>
    </row>
    <row r="765" spans="3:8" ht="15.75" customHeight="1" x14ac:dyDescent="0.3">
      <c r="C765" s="146"/>
      <c r="D765" s="146"/>
      <c r="E765" s="147"/>
      <c r="F765" s="146"/>
      <c r="H765" s="147"/>
    </row>
    <row r="766" spans="3:8" ht="15.75" customHeight="1" x14ac:dyDescent="0.3">
      <c r="C766" s="146"/>
      <c r="D766" s="146"/>
      <c r="E766" s="147"/>
      <c r="F766" s="146"/>
      <c r="H766" s="147"/>
    </row>
    <row r="767" spans="3:8" ht="15.75" customHeight="1" x14ac:dyDescent="0.3">
      <c r="C767" s="146"/>
      <c r="D767" s="146"/>
      <c r="E767" s="147"/>
      <c r="F767" s="146"/>
      <c r="H767" s="147"/>
    </row>
    <row r="768" spans="3:8" ht="15.75" customHeight="1" x14ac:dyDescent="0.3">
      <c r="C768" s="146"/>
      <c r="D768" s="146"/>
      <c r="E768" s="147"/>
      <c r="F768" s="146"/>
      <c r="H768" s="147"/>
    </row>
    <row r="769" spans="3:8" ht="15.75" customHeight="1" x14ac:dyDescent="0.3">
      <c r="C769" s="146"/>
      <c r="D769" s="146"/>
      <c r="E769" s="147"/>
      <c r="F769" s="146"/>
      <c r="H769" s="147"/>
    </row>
    <row r="770" spans="3:8" ht="15.75" customHeight="1" x14ac:dyDescent="0.3">
      <c r="C770" s="146"/>
      <c r="D770" s="146"/>
      <c r="E770" s="147"/>
      <c r="F770" s="146"/>
      <c r="H770" s="147"/>
    </row>
    <row r="771" spans="3:8" ht="15.75" customHeight="1" x14ac:dyDescent="0.3">
      <c r="C771" s="146"/>
      <c r="D771" s="146"/>
      <c r="E771" s="147"/>
      <c r="F771" s="146"/>
      <c r="H771" s="147"/>
    </row>
    <row r="772" spans="3:8" ht="15.75" customHeight="1" x14ac:dyDescent="0.3">
      <c r="C772" s="146"/>
      <c r="D772" s="146"/>
      <c r="E772" s="147"/>
      <c r="F772" s="146"/>
      <c r="H772" s="147"/>
    </row>
    <row r="773" spans="3:8" ht="15.75" customHeight="1" x14ac:dyDescent="0.3">
      <c r="C773" s="146"/>
      <c r="D773" s="146"/>
      <c r="E773" s="147"/>
      <c r="F773" s="146"/>
      <c r="H773" s="147"/>
    </row>
    <row r="774" spans="3:8" ht="15.75" customHeight="1" x14ac:dyDescent="0.3">
      <c r="C774" s="146"/>
      <c r="D774" s="146"/>
      <c r="E774" s="147"/>
      <c r="F774" s="146"/>
      <c r="H774" s="147"/>
    </row>
    <row r="775" spans="3:8" ht="15.75" customHeight="1" x14ac:dyDescent="0.3">
      <c r="C775" s="146"/>
      <c r="D775" s="146"/>
      <c r="E775" s="147"/>
      <c r="F775" s="146"/>
      <c r="H775" s="147"/>
    </row>
    <row r="776" spans="3:8" ht="15.75" customHeight="1" x14ac:dyDescent="0.3">
      <c r="C776" s="146"/>
      <c r="D776" s="146"/>
      <c r="E776" s="147"/>
      <c r="F776" s="146"/>
      <c r="H776" s="147"/>
    </row>
    <row r="777" spans="3:8" ht="15.75" customHeight="1" x14ac:dyDescent="0.3">
      <c r="C777" s="146"/>
      <c r="D777" s="146"/>
      <c r="E777" s="147"/>
      <c r="F777" s="146"/>
      <c r="H777" s="147"/>
    </row>
    <row r="778" spans="3:8" ht="15.75" customHeight="1" x14ac:dyDescent="0.3">
      <c r="C778" s="146"/>
      <c r="D778" s="146"/>
      <c r="E778" s="147"/>
      <c r="F778" s="146"/>
      <c r="H778" s="147"/>
    </row>
    <row r="779" spans="3:8" ht="15.75" customHeight="1" x14ac:dyDescent="0.3">
      <c r="C779" s="146"/>
      <c r="D779" s="146"/>
      <c r="E779" s="147"/>
      <c r="F779" s="146"/>
      <c r="H779" s="147"/>
    </row>
    <row r="780" spans="3:8" ht="15.75" customHeight="1" x14ac:dyDescent="0.3">
      <c r="C780" s="146"/>
      <c r="D780" s="146"/>
      <c r="E780" s="147"/>
      <c r="F780" s="146"/>
      <c r="H780" s="147"/>
    </row>
    <row r="781" spans="3:8" ht="15.75" customHeight="1" x14ac:dyDescent="0.3">
      <c r="C781" s="146"/>
      <c r="D781" s="146"/>
      <c r="E781" s="147"/>
      <c r="F781" s="146"/>
      <c r="H781" s="147"/>
    </row>
    <row r="782" spans="3:8" ht="15.75" customHeight="1" x14ac:dyDescent="0.3">
      <c r="C782" s="146"/>
      <c r="D782" s="146"/>
      <c r="E782" s="147"/>
      <c r="F782" s="146"/>
      <c r="H782" s="147"/>
    </row>
    <row r="783" spans="3:8" ht="15.75" customHeight="1" x14ac:dyDescent="0.3">
      <c r="C783" s="146"/>
      <c r="D783" s="146"/>
      <c r="E783" s="147"/>
      <c r="F783" s="146"/>
      <c r="H783" s="147"/>
    </row>
    <row r="784" spans="3:8" ht="15.75" customHeight="1" x14ac:dyDescent="0.3">
      <c r="C784" s="146"/>
      <c r="D784" s="146"/>
      <c r="E784" s="147"/>
      <c r="F784" s="146"/>
      <c r="H784" s="147"/>
    </row>
    <row r="785" spans="3:8" ht="15.75" customHeight="1" x14ac:dyDescent="0.3">
      <c r="C785" s="146"/>
      <c r="D785" s="146"/>
      <c r="E785" s="147"/>
      <c r="F785" s="146"/>
      <c r="H785" s="147"/>
    </row>
    <row r="786" spans="3:8" ht="15.75" customHeight="1" x14ac:dyDescent="0.3">
      <c r="C786" s="146"/>
      <c r="D786" s="146"/>
      <c r="E786" s="147"/>
      <c r="F786" s="146"/>
      <c r="H786" s="147"/>
    </row>
    <row r="787" spans="3:8" ht="15.75" customHeight="1" x14ac:dyDescent="0.3">
      <c r="C787" s="146"/>
      <c r="D787" s="146"/>
      <c r="E787" s="147"/>
      <c r="F787" s="146"/>
      <c r="H787" s="147"/>
    </row>
    <row r="788" spans="3:8" ht="15.75" customHeight="1" x14ac:dyDescent="0.3">
      <c r="C788" s="146"/>
      <c r="D788" s="146"/>
      <c r="E788" s="147"/>
      <c r="F788" s="146"/>
      <c r="H788" s="147"/>
    </row>
    <row r="789" spans="3:8" ht="15.75" customHeight="1" x14ac:dyDescent="0.3">
      <c r="C789" s="146"/>
      <c r="D789" s="146"/>
      <c r="E789" s="147"/>
      <c r="F789" s="146"/>
      <c r="H789" s="147"/>
    </row>
    <row r="790" spans="3:8" ht="15.75" customHeight="1" x14ac:dyDescent="0.3">
      <c r="C790" s="146"/>
      <c r="D790" s="146"/>
      <c r="E790" s="147"/>
      <c r="F790" s="146"/>
      <c r="H790" s="147"/>
    </row>
    <row r="791" spans="3:8" ht="15.75" customHeight="1" x14ac:dyDescent="0.3">
      <c r="C791" s="146"/>
      <c r="D791" s="146"/>
      <c r="E791" s="147"/>
      <c r="F791" s="146"/>
      <c r="H791" s="147"/>
    </row>
    <row r="792" spans="3:8" ht="15.75" customHeight="1" x14ac:dyDescent="0.3">
      <c r="C792" s="146"/>
      <c r="D792" s="146"/>
      <c r="E792" s="147"/>
      <c r="F792" s="146"/>
      <c r="H792" s="147"/>
    </row>
    <row r="793" spans="3:8" ht="15.75" customHeight="1" x14ac:dyDescent="0.3">
      <c r="C793" s="146"/>
      <c r="D793" s="146"/>
      <c r="E793" s="147"/>
      <c r="F793" s="146"/>
      <c r="H793" s="147"/>
    </row>
    <row r="794" spans="3:8" ht="15.75" customHeight="1" x14ac:dyDescent="0.3">
      <c r="C794" s="146"/>
      <c r="D794" s="146"/>
      <c r="E794" s="147"/>
      <c r="F794" s="146"/>
      <c r="H794" s="147"/>
    </row>
    <row r="795" spans="3:8" ht="15.75" customHeight="1" x14ac:dyDescent="0.3">
      <c r="C795" s="146"/>
      <c r="D795" s="146"/>
      <c r="E795" s="147"/>
      <c r="F795" s="146"/>
      <c r="H795" s="147"/>
    </row>
    <row r="796" spans="3:8" ht="15.75" customHeight="1" x14ac:dyDescent="0.3">
      <c r="C796" s="146"/>
      <c r="D796" s="146"/>
      <c r="E796" s="147"/>
      <c r="F796" s="146"/>
      <c r="H796" s="147"/>
    </row>
    <row r="797" spans="3:8" ht="15.75" customHeight="1" x14ac:dyDescent="0.3">
      <c r="C797" s="146"/>
      <c r="D797" s="146"/>
      <c r="E797" s="147"/>
      <c r="F797" s="146"/>
      <c r="H797" s="147"/>
    </row>
    <row r="798" spans="3:8" ht="15.75" customHeight="1" x14ac:dyDescent="0.3">
      <c r="C798" s="146"/>
      <c r="D798" s="146"/>
      <c r="E798" s="147"/>
      <c r="F798" s="146"/>
      <c r="H798" s="147"/>
    </row>
    <row r="799" spans="3:8" ht="15.75" customHeight="1" x14ac:dyDescent="0.3">
      <c r="C799" s="146"/>
      <c r="D799" s="146"/>
      <c r="E799" s="147"/>
      <c r="F799" s="146"/>
      <c r="H799" s="147"/>
    </row>
    <row r="800" spans="3:8" ht="15.75" customHeight="1" x14ac:dyDescent="0.3">
      <c r="C800" s="146"/>
      <c r="D800" s="146"/>
      <c r="E800" s="147"/>
      <c r="F800" s="146"/>
      <c r="H800" s="147"/>
    </row>
    <row r="801" spans="3:8" ht="15.75" customHeight="1" x14ac:dyDescent="0.3">
      <c r="C801" s="146"/>
      <c r="D801" s="146"/>
      <c r="E801" s="147"/>
      <c r="F801" s="146"/>
      <c r="H801" s="147"/>
    </row>
    <row r="802" spans="3:8" ht="15.75" customHeight="1" x14ac:dyDescent="0.3">
      <c r="C802" s="146"/>
      <c r="D802" s="146"/>
      <c r="E802" s="147"/>
      <c r="F802" s="146"/>
      <c r="H802" s="147"/>
    </row>
    <row r="803" spans="3:8" ht="15.75" customHeight="1" x14ac:dyDescent="0.3">
      <c r="C803" s="146"/>
      <c r="D803" s="146"/>
      <c r="E803" s="147"/>
      <c r="F803" s="146"/>
      <c r="H803" s="147"/>
    </row>
    <row r="804" spans="3:8" ht="15.75" customHeight="1" x14ac:dyDescent="0.3">
      <c r="C804" s="146"/>
      <c r="D804" s="146"/>
      <c r="E804" s="147"/>
      <c r="F804" s="146"/>
      <c r="H804" s="147"/>
    </row>
    <row r="805" spans="3:8" ht="15.75" customHeight="1" x14ac:dyDescent="0.3">
      <c r="C805" s="146"/>
      <c r="D805" s="146"/>
      <c r="E805" s="147"/>
      <c r="F805" s="146"/>
      <c r="H805" s="147"/>
    </row>
    <row r="806" spans="3:8" ht="15.75" customHeight="1" x14ac:dyDescent="0.3">
      <c r="C806" s="146"/>
      <c r="D806" s="146"/>
      <c r="E806" s="147"/>
      <c r="F806" s="146"/>
      <c r="H806" s="147"/>
    </row>
    <row r="807" spans="3:8" ht="15.75" customHeight="1" x14ac:dyDescent="0.3">
      <c r="C807" s="146"/>
      <c r="D807" s="146"/>
      <c r="E807" s="147"/>
      <c r="F807" s="146"/>
      <c r="H807" s="147"/>
    </row>
    <row r="808" spans="3:8" ht="15.75" customHeight="1" x14ac:dyDescent="0.3">
      <c r="C808" s="146"/>
      <c r="D808" s="146"/>
      <c r="E808" s="147"/>
      <c r="F808" s="146"/>
      <c r="H808" s="147"/>
    </row>
    <row r="809" spans="3:8" ht="15.75" customHeight="1" x14ac:dyDescent="0.3">
      <c r="C809" s="146"/>
      <c r="D809" s="146"/>
      <c r="E809" s="147"/>
      <c r="F809" s="146"/>
      <c r="H809" s="147"/>
    </row>
    <row r="810" spans="3:8" ht="15.75" customHeight="1" x14ac:dyDescent="0.3">
      <c r="C810" s="146"/>
      <c r="D810" s="146"/>
      <c r="E810" s="147"/>
      <c r="F810" s="146"/>
      <c r="H810" s="147"/>
    </row>
    <row r="811" spans="3:8" ht="15.75" customHeight="1" x14ac:dyDescent="0.3">
      <c r="C811" s="146"/>
      <c r="D811" s="146"/>
      <c r="E811" s="147"/>
      <c r="F811" s="146"/>
      <c r="H811" s="147"/>
    </row>
    <row r="812" spans="3:8" ht="15.75" customHeight="1" x14ac:dyDescent="0.3">
      <c r="C812" s="146"/>
      <c r="D812" s="146"/>
      <c r="E812" s="147"/>
      <c r="F812" s="146"/>
      <c r="H812" s="147"/>
    </row>
    <row r="813" spans="3:8" ht="15.75" customHeight="1" x14ac:dyDescent="0.3">
      <c r="C813" s="146"/>
      <c r="D813" s="146"/>
      <c r="E813" s="147"/>
      <c r="F813" s="146"/>
      <c r="H813" s="147"/>
    </row>
    <row r="814" spans="3:8" ht="15.75" customHeight="1" x14ac:dyDescent="0.3">
      <c r="C814" s="146"/>
      <c r="D814" s="146"/>
      <c r="E814" s="147"/>
      <c r="F814" s="146"/>
      <c r="H814" s="147"/>
    </row>
    <row r="815" spans="3:8" ht="15.75" customHeight="1" x14ac:dyDescent="0.3">
      <c r="C815" s="146"/>
      <c r="D815" s="146"/>
      <c r="E815" s="147"/>
      <c r="F815" s="146"/>
      <c r="H815" s="147"/>
    </row>
    <row r="816" spans="3:8" ht="15.75" customHeight="1" x14ac:dyDescent="0.3">
      <c r="C816" s="146"/>
      <c r="D816" s="146"/>
      <c r="E816" s="147"/>
      <c r="F816" s="146"/>
      <c r="H816" s="147"/>
    </row>
    <row r="817" spans="3:8" ht="15.75" customHeight="1" x14ac:dyDescent="0.3">
      <c r="C817" s="146"/>
      <c r="D817" s="146"/>
      <c r="E817" s="147"/>
      <c r="F817" s="146"/>
      <c r="H817" s="147"/>
    </row>
    <row r="818" spans="3:8" ht="15.75" customHeight="1" x14ac:dyDescent="0.3">
      <c r="C818" s="146"/>
      <c r="D818" s="146"/>
      <c r="E818" s="147"/>
      <c r="F818" s="146"/>
      <c r="H818" s="147"/>
    </row>
    <row r="819" spans="3:8" ht="15.75" customHeight="1" x14ac:dyDescent="0.3">
      <c r="C819" s="146"/>
      <c r="D819" s="146"/>
      <c r="E819" s="147"/>
      <c r="F819" s="146"/>
      <c r="H819" s="147"/>
    </row>
    <row r="820" spans="3:8" ht="15.75" customHeight="1" x14ac:dyDescent="0.3">
      <c r="C820" s="146"/>
      <c r="D820" s="146"/>
      <c r="E820" s="147"/>
      <c r="F820" s="146"/>
      <c r="H820" s="147"/>
    </row>
    <row r="821" spans="3:8" ht="15.75" customHeight="1" x14ac:dyDescent="0.3">
      <c r="C821" s="146"/>
      <c r="D821" s="146"/>
      <c r="E821" s="147"/>
      <c r="F821" s="146"/>
      <c r="H821" s="147"/>
    </row>
    <row r="822" spans="3:8" ht="15.75" customHeight="1" x14ac:dyDescent="0.3">
      <c r="C822" s="146"/>
      <c r="D822" s="146"/>
      <c r="E822" s="147"/>
      <c r="F822" s="146"/>
      <c r="H822" s="147"/>
    </row>
    <row r="823" spans="3:8" ht="15.75" customHeight="1" x14ac:dyDescent="0.3">
      <c r="C823" s="146"/>
      <c r="D823" s="146"/>
      <c r="E823" s="147"/>
      <c r="F823" s="146"/>
      <c r="H823" s="147"/>
    </row>
    <row r="824" spans="3:8" ht="15.75" customHeight="1" x14ac:dyDescent="0.3">
      <c r="C824" s="146"/>
      <c r="D824" s="146"/>
      <c r="E824" s="147"/>
      <c r="F824" s="146"/>
      <c r="H824" s="147"/>
    </row>
    <row r="825" spans="3:8" ht="15.75" customHeight="1" x14ac:dyDescent="0.3">
      <c r="C825" s="146"/>
      <c r="D825" s="146"/>
      <c r="E825" s="147"/>
      <c r="F825" s="146"/>
      <c r="H825" s="147"/>
    </row>
    <row r="826" spans="3:8" ht="15.75" customHeight="1" x14ac:dyDescent="0.3">
      <c r="C826" s="146"/>
      <c r="D826" s="146"/>
      <c r="E826" s="147"/>
      <c r="F826" s="146"/>
      <c r="H826" s="147"/>
    </row>
    <row r="827" spans="3:8" ht="15.75" customHeight="1" x14ac:dyDescent="0.3">
      <c r="C827" s="146"/>
      <c r="D827" s="146"/>
      <c r="E827" s="147"/>
      <c r="F827" s="146"/>
      <c r="H827" s="147"/>
    </row>
    <row r="828" spans="3:8" ht="15.75" customHeight="1" x14ac:dyDescent="0.3">
      <c r="C828" s="146"/>
      <c r="D828" s="146"/>
      <c r="E828" s="147"/>
      <c r="F828" s="146"/>
      <c r="H828" s="147"/>
    </row>
    <row r="829" spans="3:8" ht="15.75" customHeight="1" x14ac:dyDescent="0.3">
      <c r="C829" s="146"/>
      <c r="D829" s="146"/>
      <c r="E829" s="147"/>
      <c r="F829" s="146"/>
      <c r="H829" s="147"/>
    </row>
    <row r="830" spans="3:8" ht="15.75" customHeight="1" x14ac:dyDescent="0.3">
      <c r="C830" s="146"/>
      <c r="D830" s="146"/>
      <c r="E830" s="147"/>
      <c r="F830" s="146"/>
      <c r="H830" s="147"/>
    </row>
    <row r="831" spans="3:8" ht="15.75" customHeight="1" x14ac:dyDescent="0.3">
      <c r="C831" s="146"/>
      <c r="D831" s="146"/>
      <c r="E831" s="147"/>
      <c r="F831" s="146"/>
      <c r="H831" s="147"/>
    </row>
    <row r="832" spans="3:8" ht="15.75" customHeight="1" x14ac:dyDescent="0.3">
      <c r="C832" s="146"/>
      <c r="D832" s="146"/>
      <c r="E832" s="147"/>
      <c r="F832" s="146"/>
      <c r="H832" s="147"/>
    </row>
    <row r="833" spans="3:8" ht="15.75" customHeight="1" x14ac:dyDescent="0.3">
      <c r="C833" s="146"/>
      <c r="D833" s="146"/>
      <c r="E833" s="147"/>
      <c r="F833" s="146"/>
      <c r="H833" s="147"/>
    </row>
    <row r="834" spans="3:8" ht="15.75" customHeight="1" x14ac:dyDescent="0.3">
      <c r="C834" s="146"/>
      <c r="D834" s="146"/>
      <c r="E834" s="147"/>
      <c r="F834" s="146"/>
      <c r="H834" s="147"/>
    </row>
    <row r="835" spans="3:8" ht="15.75" customHeight="1" x14ac:dyDescent="0.3">
      <c r="C835" s="146"/>
      <c r="D835" s="146"/>
      <c r="E835" s="147"/>
      <c r="F835" s="146"/>
      <c r="H835" s="147"/>
    </row>
    <row r="836" spans="3:8" ht="15.75" customHeight="1" x14ac:dyDescent="0.3">
      <c r="C836" s="146"/>
      <c r="D836" s="146"/>
      <c r="E836" s="147"/>
      <c r="F836" s="146"/>
      <c r="H836" s="147"/>
    </row>
    <row r="837" spans="3:8" ht="15.75" customHeight="1" x14ac:dyDescent="0.3">
      <c r="C837" s="146"/>
      <c r="D837" s="146"/>
      <c r="E837" s="147"/>
      <c r="F837" s="146"/>
      <c r="H837" s="147"/>
    </row>
    <row r="838" spans="3:8" ht="15.75" customHeight="1" x14ac:dyDescent="0.3">
      <c r="C838" s="146"/>
      <c r="D838" s="146"/>
      <c r="E838" s="147"/>
      <c r="F838" s="146"/>
      <c r="H838" s="147"/>
    </row>
    <row r="839" spans="3:8" ht="15.75" customHeight="1" x14ac:dyDescent="0.3">
      <c r="C839" s="146"/>
      <c r="D839" s="146"/>
      <c r="E839" s="147"/>
      <c r="F839" s="146"/>
      <c r="H839" s="147"/>
    </row>
    <row r="840" spans="3:8" ht="15.75" customHeight="1" x14ac:dyDescent="0.3">
      <c r="C840" s="146"/>
      <c r="D840" s="146"/>
      <c r="E840" s="147"/>
      <c r="F840" s="146"/>
      <c r="H840" s="147"/>
    </row>
    <row r="841" spans="3:8" ht="15.75" customHeight="1" x14ac:dyDescent="0.3">
      <c r="C841" s="146"/>
      <c r="D841" s="146"/>
      <c r="E841" s="147"/>
      <c r="F841" s="146"/>
      <c r="H841" s="147"/>
    </row>
    <row r="842" spans="3:8" ht="15.75" customHeight="1" x14ac:dyDescent="0.3">
      <c r="C842" s="146"/>
      <c r="D842" s="146"/>
      <c r="E842" s="147"/>
      <c r="F842" s="146"/>
      <c r="H842" s="147"/>
    </row>
    <row r="843" spans="3:8" ht="15.75" customHeight="1" x14ac:dyDescent="0.3">
      <c r="C843" s="146"/>
      <c r="D843" s="146"/>
      <c r="E843" s="147"/>
      <c r="F843" s="146"/>
      <c r="H843" s="147"/>
    </row>
    <row r="844" spans="3:8" ht="15.75" customHeight="1" x14ac:dyDescent="0.3">
      <c r="C844" s="146"/>
      <c r="D844" s="146"/>
      <c r="E844" s="147"/>
      <c r="F844" s="146"/>
      <c r="H844" s="147"/>
    </row>
    <row r="845" spans="3:8" ht="15.75" customHeight="1" x14ac:dyDescent="0.3">
      <c r="C845" s="146"/>
      <c r="D845" s="146"/>
      <c r="E845" s="147"/>
      <c r="F845" s="146"/>
      <c r="H845" s="147"/>
    </row>
    <row r="846" spans="3:8" ht="15.75" customHeight="1" x14ac:dyDescent="0.3">
      <c r="C846" s="146"/>
      <c r="D846" s="146"/>
      <c r="E846" s="147"/>
      <c r="F846" s="146"/>
      <c r="H846" s="147"/>
    </row>
    <row r="847" spans="3:8" ht="15.75" customHeight="1" x14ac:dyDescent="0.3">
      <c r="C847" s="146"/>
      <c r="D847" s="146"/>
      <c r="E847" s="147"/>
      <c r="F847" s="146"/>
      <c r="H847" s="147"/>
    </row>
    <row r="848" spans="3:8" ht="15.75" customHeight="1" x14ac:dyDescent="0.3">
      <c r="C848" s="146"/>
      <c r="D848" s="146"/>
      <c r="E848" s="147"/>
      <c r="F848" s="146"/>
      <c r="H848" s="147"/>
    </row>
    <row r="849" spans="3:8" ht="15.75" customHeight="1" x14ac:dyDescent="0.3">
      <c r="C849" s="146"/>
      <c r="D849" s="146"/>
      <c r="E849" s="147"/>
      <c r="F849" s="146"/>
      <c r="H849" s="147"/>
    </row>
    <row r="850" spans="3:8" ht="15.75" customHeight="1" x14ac:dyDescent="0.3">
      <c r="C850" s="146"/>
      <c r="D850" s="146"/>
      <c r="E850" s="147"/>
      <c r="F850" s="146"/>
      <c r="H850" s="147"/>
    </row>
    <row r="851" spans="3:8" ht="15.75" customHeight="1" x14ac:dyDescent="0.3">
      <c r="C851" s="146"/>
      <c r="D851" s="146"/>
      <c r="E851" s="147"/>
      <c r="F851" s="146"/>
      <c r="H851" s="147"/>
    </row>
    <row r="852" spans="3:8" ht="15.75" customHeight="1" x14ac:dyDescent="0.3">
      <c r="C852" s="146"/>
      <c r="D852" s="146"/>
      <c r="E852" s="147"/>
      <c r="F852" s="146"/>
      <c r="H852" s="147"/>
    </row>
    <row r="853" spans="3:8" ht="15.75" customHeight="1" x14ac:dyDescent="0.3">
      <c r="C853" s="146"/>
      <c r="D853" s="146"/>
      <c r="E853" s="147"/>
      <c r="F853" s="146"/>
      <c r="H853" s="147"/>
    </row>
    <row r="854" spans="3:8" ht="15.75" customHeight="1" x14ac:dyDescent="0.3">
      <c r="C854" s="146"/>
      <c r="D854" s="146"/>
      <c r="E854" s="147"/>
      <c r="F854" s="146"/>
      <c r="H854" s="147"/>
    </row>
    <row r="855" spans="3:8" ht="15.75" customHeight="1" x14ac:dyDescent="0.3">
      <c r="C855" s="146"/>
      <c r="D855" s="146"/>
      <c r="E855" s="147"/>
      <c r="F855" s="146"/>
      <c r="H855" s="147"/>
    </row>
    <row r="856" spans="3:8" ht="15.75" customHeight="1" x14ac:dyDescent="0.3">
      <c r="C856" s="146"/>
      <c r="D856" s="146"/>
      <c r="E856" s="147"/>
      <c r="F856" s="146"/>
      <c r="H856" s="147"/>
    </row>
    <row r="857" spans="3:8" ht="15.75" customHeight="1" x14ac:dyDescent="0.3">
      <c r="C857" s="146"/>
      <c r="D857" s="146"/>
      <c r="E857" s="147"/>
      <c r="F857" s="146"/>
      <c r="H857" s="147"/>
    </row>
    <row r="858" spans="3:8" ht="15.75" customHeight="1" x14ac:dyDescent="0.3">
      <c r="C858" s="146"/>
      <c r="D858" s="146"/>
      <c r="E858" s="147"/>
      <c r="F858" s="146"/>
      <c r="H858" s="147"/>
    </row>
    <row r="859" spans="3:8" ht="15.75" customHeight="1" x14ac:dyDescent="0.3">
      <c r="C859" s="146"/>
      <c r="D859" s="146"/>
      <c r="E859" s="147"/>
      <c r="F859" s="146"/>
      <c r="H859" s="147"/>
    </row>
    <row r="860" spans="3:8" ht="15.75" customHeight="1" x14ac:dyDescent="0.3">
      <c r="C860" s="146"/>
      <c r="D860" s="146"/>
      <c r="E860" s="147"/>
      <c r="F860" s="146"/>
      <c r="H860" s="147"/>
    </row>
    <row r="861" spans="3:8" ht="15.75" customHeight="1" x14ac:dyDescent="0.3">
      <c r="C861" s="146"/>
      <c r="D861" s="146"/>
      <c r="E861" s="147"/>
      <c r="F861" s="146"/>
      <c r="H861" s="147"/>
    </row>
    <row r="862" spans="3:8" ht="15.75" customHeight="1" x14ac:dyDescent="0.3">
      <c r="C862" s="146"/>
      <c r="D862" s="146"/>
      <c r="E862" s="147"/>
      <c r="F862" s="146"/>
      <c r="H862" s="147"/>
    </row>
    <row r="863" spans="3:8" ht="15.75" customHeight="1" x14ac:dyDescent="0.3">
      <c r="C863" s="146"/>
      <c r="D863" s="146"/>
      <c r="E863" s="147"/>
      <c r="F863" s="146"/>
      <c r="H863" s="147"/>
    </row>
    <row r="864" spans="3:8" ht="15.75" customHeight="1" x14ac:dyDescent="0.3">
      <c r="C864" s="146"/>
      <c r="D864" s="146"/>
      <c r="E864" s="147"/>
      <c r="F864" s="146"/>
      <c r="H864" s="147"/>
    </row>
    <row r="865" spans="3:8" ht="15.75" customHeight="1" x14ac:dyDescent="0.3">
      <c r="C865" s="146"/>
      <c r="D865" s="146"/>
      <c r="E865" s="147"/>
      <c r="F865" s="146"/>
      <c r="H865" s="147"/>
    </row>
    <row r="866" spans="3:8" ht="15.75" customHeight="1" x14ac:dyDescent="0.3">
      <c r="C866" s="146"/>
      <c r="D866" s="146"/>
      <c r="E866" s="147"/>
      <c r="F866" s="146"/>
      <c r="H866" s="147"/>
    </row>
    <row r="867" spans="3:8" ht="15.75" customHeight="1" x14ac:dyDescent="0.3">
      <c r="C867" s="146"/>
      <c r="D867" s="146"/>
      <c r="E867" s="147"/>
      <c r="F867" s="146"/>
      <c r="H867" s="147"/>
    </row>
    <row r="868" spans="3:8" ht="15.75" customHeight="1" x14ac:dyDescent="0.3">
      <c r="C868" s="146"/>
      <c r="D868" s="146"/>
      <c r="E868" s="147"/>
      <c r="F868" s="146"/>
      <c r="H868" s="147"/>
    </row>
    <row r="869" spans="3:8" ht="15.75" customHeight="1" x14ac:dyDescent="0.3">
      <c r="C869" s="146"/>
      <c r="D869" s="146"/>
      <c r="E869" s="147"/>
      <c r="F869" s="146"/>
      <c r="H869" s="147"/>
    </row>
    <row r="870" spans="3:8" ht="15.75" customHeight="1" x14ac:dyDescent="0.3">
      <c r="C870" s="146"/>
      <c r="D870" s="146"/>
      <c r="E870" s="147"/>
      <c r="F870" s="146"/>
      <c r="H870" s="147"/>
    </row>
    <row r="871" spans="3:8" ht="15.75" customHeight="1" x14ac:dyDescent="0.3">
      <c r="C871" s="146"/>
      <c r="D871" s="146"/>
      <c r="E871" s="147"/>
      <c r="F871" s="146"/>
      <c r="H871" s="147"/>
    </row>
    <row r="872" spans="3:8" ht="15.75" customHeight="1" x14ac:dyDescent="0.3">
      <c r="C872" s="146"/>
      <c r="D872" s="146"/>
      <c r="E872" s="147"/>
      <c r="F872" s="146"/>
      <c r="H872" s="147"/>
    </row>
    <row r="873" spans="3:8" ht="15.75" customHeight="1" x14ac:dyDescent="0.3">
      <c r="C873" s="146"/>
      <c r="D873" s="146"/>
      <c r="E873" s="147"/>
      <c r="F873" s="146"/>
      <c r="H873" s="147"/>
    </row>
    <row r="874" spans="3:8" ht="15.75" customHeight="1" x14ac:dyDescent="0.3">
      <c r="C874" s="146"/>
      <c r="D874" s="146"/>
      <c r="E874" s="147"/>
      <c r="F874" s="146"/>
      <c r="H874" s="147"/>
    </row>
    <row r="875" spans="3:8" ht="15.75" customHeight="1" x14ac:dyDescent="0.3">
      <c r="C875" s="146"/>
      <c r="D875" s="146"/>
      <c r="E875" s="147"/>
      <c r="F875" s="146"/>
      <c r="H875" s="147"/>
    </row>
    <row r="876" spans="3:8" ht="15.75" customHeight="1" x14ac:dyDescent="0.3">
      <c r="C876" s="146"/>
      <c r="D876" s="146"/>
      <c r="E876" s="147"/>
      <c r="F876" s="146"/>
      <c r="H876" s="147"/>
    </row>
    <row r="877" spans="3:8" ht="15.75" customHeight="1" x14ac:dyDescent="0.3">
      <c r="C877" s="146"/>
      <c r="D877" s="146"/>
      <c r="E877" s="147"/>
      <c r="F877" s="146"/>
      <c r="H877" s="147"/>
    </row>
    <row r="878" spans="3:8" ht="15.75" customHeight="1" x14ac:dyDescent="0.3">
      <c r="C878" s="146"/>
      <c r="D878" s="146"/>
      <c r="E878" s="147"/>
      <c r="F878" s="146"/>
      <c r="H878" s="147"/>
    </row>
    <row r="879" spans="3:8" ht="15.75" customHeight="1" x14ac:dyDescent="0.3">
      <c r="C879" s="146"/>
      <c r="D879" s="146"/>
      <c r="E879" s="147"/>
      <c r="F879" s="146"/>
      <c r="H879" s="147"/>
    </row>
    <row r="880" spans="3:8" ht="15.75" customHeight="1" x14ac:dyDescent="0.3">
      <c r="C880" s="146"/>
      <c r="D880" s="146"/>
      <c r="E880" s="147"/>
      <c r="F880" s="146"/>
      <c r="H880" s="147"/>
    </row>
    <row r="881" spans="3:8" ht="15.75" customHeight="1" x14ac:dyDescent="0.3">
      <c r="C881" s="146"/>
      <c r="D881" s="146"/>
      <c r="E881" s="147"/>
      <c r="F881" s="146"/>
      <c r="H881" s="147"/>
    </row>
    <row r="882" spans="3:8" ht="15.75" customHeight="1" x14ac:dyDescent="0.3">
      <c r="C882" s="146"/>
      <c r="D882" s="146"/>
      <c r="E882" s="147"/>
      <c r="F882" s="146"/>
      <c r="H882" s="147"/>
    </row>
    <row r="883" spans="3:8" ht="15.75" customHeight="1" x14ac:dyDescent="0.3">
      <c r="C883" s="146"/>
      <c r="D883" s="146"/>
      <c r="E883" s="147"/>
      <c r="F883" s="146"/>
      <c r="H883" s="147"/>
    </row>
    <row r="884" spans="3:8" ht="15.75" customHeight="1" x14ac:dyDescent="0.3">
      <c r="C884" s="146"/>
      <c r="D884" s="146"/>
      <c r="E884" s="147"/>
      <c r="F884" s="146"/>
      <c r="H884" s="147"/>
    </row>
    <row r="885" spans="3:8" ht="15.75" customHeight="1" x14ac:dyDescent="0.3">
      <c r="C885" s="146"/>
      <c r="D885" s="146"/>
      <c r="E885" s="147"/>
      <c r="F885" s="146"/>
      <c r="H885" s="147"/>
    </row>
    <row r="886" spans="3:8" ht="15.75" customHeight="1" x14ac:dyDescent="0.3">
      <c r="C886" s="146"/>
      <c r="D886" s="146"/>
      <c r="E886" s="147"/>
      <c r="F886" s="146"/>
      <c r="H886" s="147"/>
    </row>
    <row r="887" spans="3:8" ht="15.75" customHeight="1" x14ac:dyDescent="0.3">
      <c r="C887" s="146"/>
      <c r="D887" s="146"/>
      <c r="E887" s="147"/>
      <c r="F887" s="146"/>
      <c r="H887" s="147"/>
    </row>
    <row r="888" spans="3:8" ht="15.75" customHeight="1" x14ac:dyDescent="0.3">
      <c r="C888" s="146"/>
      <c r="D888" s="146"/>
      <c r="E888" s="147"/>
      <c r="F888" s="146"/>
      <c r="H888" s="147"/>
    </row>
    <row r="889" spans="3:8" ht="15.75" customHeight="1" x14ac:dyDescent="0.3">
      <c r="C889" s="146"/>
      <c r="D889" s="146"/>
      <c r="E889" s="147"/>
      <c r="F889" s="146"/>
      <c r="H889" s="147"/>
    </row>
    <row r="890" spans="3:8" ht="15.75" customHeight="1" x14ac:dyDescent="0.3">
      <c r="C890" s="146"/>
      <c r="D890" s="146"/>
      <c r="E890" s="147"/>
      <c r="F890" s="146"/>
      <c r="H890" s="147"/>
    </row>
    <row r="891" spans="3:8" ht="15.75" customHeight="1" x14ac:dyDescent="0.3">
      <c r="C891" s="146"/>
      <c r="D891" s="146"/>
      <c r="E891" s="147"/>
      <c r="F891" s="146"/>
      <c r="H891" s="147"/>
    </row>
    <row r="892" spans="3:8" ht="15.75" customHeight="1" x14ac:dyDescent="0.3">
      <c r="C892" s="146"/>
      <c r="D892" s="146"/>
      <c r="E892" s="147"/>
      <c r="F892" s="146"/>
      <c r="H892" s="147"/>
    </row>
    <row r="893" spans="3:8" ht="15.75" customHeight="1" x14ac:dyDescent="0.3">
      <c r="C893" s="146"/>
      <c r="D893" s="146"/>
      <c r="E893" s="147"/>
      <c r="F893" s="146"/>
      <c r="H893" s="147"/>
    </row>
    <row r="894" spans="3:8" ht="15.75" customHeight="1" x14ac:dyDescent="0.3">
      <c r="C894" s="146"/>
      <c r="D894" s="146"/>
      <c r="E894" s="147"/>
      <c r="F894" s="146"/>
      <c r="H894" s="147"/>
    </row>
    <row r="895" spans="3:8" ht="15.75" customHeight="1" x14ac:dyDescent="0.3">
      <c r="C895" s="146"/>
      <c r="D895" s="146"/>
      <c r="E895" s="147"/>
      <c r="F895" s="146"/>
      <c r="H895" s="147"/>
    </row>
    <row r="896" spans="3:8" ht="15.75" customHeight="1" x14ac:dyDescent="0.3">
      <c r="C896" s="146"/>
      <c r="D896" s="146"/>
      <c r="E896" s="147"/>
      <c r="F896" s="146"/>
      <c r="H896" s="147"/>
    </row>
    <row r="897" spans="3:8" ht="15.75" customHeight="1" x14ac:dyDescent="0.3">
      <c r="C897" s="146"/>
      <c r="D897" s="146"/>
      <c r="E897" s="147"/>
      <c r="F897" s="146"/>
      <c r="H897" s="147"/>
    </row>
    <row r="898" spans="3:8" ht="15.75" customHeight="1" x14ac:dyDescent="0.3">
      <c r="C898" s="146"/>
      <c r="D898" s="146"/>
      <c r="E898" s="147"/>
      <c r="F898" s="146"/>
      <c r="H898" s="147"/>
    </row>
    <row r="899" spans="3:8" ht="15.75" customHeight="1" x14ac:dyDescent="0.3">
      <c r="C899" s="146"/>
      <c r="D899" s="146"/>
      <c r="E899" s="147"/>
      <c r="F899" s="146"/>
      <c r="H899" s="147"/>
    </row>
    <row r="900" spans="3:8" ht="15.75" customHeight="1" x14ac:dyDescent="0.3">
      <c r="C900" s="146"/>
      <c r="D900" s="146"/>
      <c r="E900" s="147"/>
      <c r="F900" s="146"/>
      <c r="H900" s="147"/>
    </row>
    <row r="901" spans="3:8" ht="15.75" customHeight="1" x14ac:dyDescent="0.3">
      <c r="C901" s="146"/>
      <c r="D901" s="146"/>
      <c r="E901" s="147"/>
      <c r="F901" s="146"/>
      <c r="H901" s="147"/>
    </row>
    <row r="902" spans="3:8" ht="15.75" customHeight="1" x14ac:dyDescent="0.3">
      <c r="C902" s="146"/>
      <c r="D902" s="146"/>
      <c r="E902" s="147"/>
      <c r="F902" s="146"/>
      <c r="H902" s="147"/>
    </row>
    <row r="903" spans="3:8" ht="15.75" customHeight="1" x14ac:dyDescent="0.3">
      <c r="C903" s="146"/>
      <c r="D903" s="146"/>
      <c r="E903" s="147"/>
      <c r="F903" s="146"/>
      <c r="H903" s="147"/>
    </row>
    <row r="904" spans="3:8" ht="15.75" customHeight="1" x14ac:dyDescent="0.3">
      <c r="C904" s="146"/>
      <c r="D904" s="146"/>
      <c r="E904" s="147"/>
      <c r="F904" s="146"/>
      <c r="H904" s="147"/>
    </row>
    <row r="905" spans="3:8" ht="15.75" customHeight="1" x14ac:dyDescent="0.3">
      <c r="C905" s="146"/>
      <c r="D905" s="146"/>
      <c r="E905" s="147"/>
      <c r="F905" s="146"/>
      <c r="H905" s="147"/>
    </row>
    <row r="906" spans="3:8" ht="15.75" customHeight="1" x14ac:dyDescent="0.3">
      <c r="C906" s="146"/>
      <c r="D906" s="146"/>
      <c r="E906" s="147"/>
      <c r="F906" s="146"/>
      <c r="H906" s="147"/>
    </row>
    <row r="907" spans="3:8" ht="15.75" customHeight="1" x14ac:dyDescent="0.3">
      <c r="C907" s="146"/>
      <c r="D907" s="146"/>
      <c r="E907" s="147"/>
      <c r="F907" s="146"/>
      <c r="H907" s="147"/>
    </row>
    <row r="908" spans="3:8" ht="15.75" customHeight="1" x14ac:dyDescent="0.3">
      <c r="C908" s="146"/>
      <c r="D908" s="146"/>
      <c r="E908" s="147"/>
      <c r="F908" s="146"/>
      <c r="H908" s="147"/>
    </row>
    <row r="909" spans="3:8" ht="15.75" customHeight="1" x14ac:dyDescent="0.3">
      <c r="C909" s="146"/>
      <c r="D909" s="146"/>
      <c r="E909" s="147"/>
      <c r="F909" s="146"/>
      <c r="H909" s="147"/>
    </row>
    <row r="910" spans="3:8" ht="15.75" customHeight="1" x14ac:dyDescent="0.3">
      <c r="C910" s="146"/>
      <c r="D910" s="146"/>
      <c r="E910" s="147"/>
      <c r="F910" s="146"/>
      <c r="H910" s="147"/>
    </row>
    <row r="911" spans="3:8" ht="15.75" customHeight="1" x14ac:dyDescent="0.3">
      <c r="C911" s="146"/>
      <c r="D911" s="146"/>
      <c r="E911" s="147"/>
      <c r="F911" s="146"/>
      <c r="H911" s="147"/>
    </row>
    <row r="912" spans="3:8" ht="15.75" customHeight="1" x14ac:dyDescent="0.3">
      <c r="C912" s="146"/>
      <c r="D912" s="146"/>
      <c r="E912" s="147"/>
      <c r="F912" s="146"/>
      <c r="H912" s="147"/>
    </row>
    <row r="913" spans="3:8" ht="15.75" customHeight="1" x14ac:dyDescent="0.3">
      <c r="C913" s="146"/>
      <c r="D913" s="146"/>
      <c r="E913" s="147"/>
      <c r="F913" s="146"/>
      <c r="H913" s="147"/>
    </row>
    <row r="914" spans="3:8" ht="15.75" customHeight="1" x14ac:dyDescent="0.3">
      <c r="C914" s="146"/>
      <c r="D914" s="146"/>
      <c r="E914" s="147"/>
      <c r="F914" s="146"/>
      <c r="H914" s="147"/>
    </row>
    <row r="915" spans="3:8" ht="15.75" customHeight="1" x14ac:dyDescent="0.3">
      <c r="C915" s="146"/>
      <c r="D915" s="146"/>
      <c r="E915" s="147"/>
      <c r="F915" s="146"/>
      <c r="H915" s="147"/>
    </row>
    <row r="916" spans="3:8" ht="15.75" customHeight="1" x14ac:dyDescent="0.3">
      <c r="C916" s="146"/>
      <c r="D916" s="146"/>
      <c r="E916" s="147"/>
      <c r="F916" s="146"/>
      <c r="H916" s="147"/>
    </row>
    <row r="917" spans="3:8" ht="15.75" customHeight="1" x14ac:dyDescent="0.3">
      <c r="C917" s="146"/>
      <c r="D917" s="146"/>
      <c r="E917" s="147"/>
      <c r="F917" s="146"/>
      <c r="H917" s="147"/>
    </row>
    <row r="918" spans="3:8" ht="15.75" customHeight="1" x14ac:dyDescent="0.3">
      <c r="C918" s="146"/>
      <c r="D918" s="146"/>
      <c r="E918" s="147"/>
      <c r="F918" s="146"/>
      <c r="H918" s="147"/>
    </row>
    <row r="919" spans="3:8" ht="15.75" customHeight="1" x14ac:dyDescent="0.3">
      <c r="C919" s="146"/>
      <c r="D919" s="146"/>
      <c r="E919" s="147"/>
      <c r="F919" s="146"/>
      <c r="H919" s="147"/>
    </row>
    <row r="920" spans="3:8" ht="15.75" customHeight="1" x14ac:dyDescent="0.3">
      <c r="C920" s="146"/>
      <c r="D920" s="146"/>
      <c r="E920" s="147"/>
      <c r="F920" s="146"/>
      <c r="H920" s="147"/>
    </row>
    <row r="921" spans="3:8" ht="15.75" customHeight="1" x14ac:dyDescent="0.3">
      <c r="C921" s="146"/>
      <c r="D921" s="146"/>
      <c r="E921" s="147"/>
      <c r="F921" s="146"/>
      <c r="H921" s="147"/>
    </row>
    <row r="922" spans="3:8" ht="15.75" customHeight="1" x14ac:dyDescent="0.3">
      <c r="C922" s="146"/>
      <c r="D922" s="146"/>
      <c r="E922" s="147"/>
      <c r="F922" s="146"/>
      <c r="H922" s="147"/>
    </row>
    <row r="923" spans="3:8" ht="15.75" customHeight="1" x14ac:dyDescent="0.3">
      <c r="C923" s="146"/>
      <c r="D923" s="146"/>
      <c r="E923" s="147"/>
      <c r="F923" s="146"/>
      <c r="H923" s="147"/>
    </row>
    <row r="924" spans="3:8" ht="15.75" customHeight="1" x14ac:dyDescent="0.3">
      <c r="C924" s="146"/>
      <c r="D924" s="146"/>
      <c r="E924" s="147"/>
      <c r="F924" s="146"/>
      <c r="H924" s="147"/>
    </row>
    <row r="925" spans="3:8" ht="15.75" customHeight="1" x14ac:dyDescent="0.3">
      <c r="C925" s="146"/>
      <c r="D925" s="146"/>
      <c r="E925" s="147"/>
      <c r="F925" s="146"/>
      <c r="H925" s="147"/>
    </row>
    <row r="926" spans="3:8" ht="15.75" customHeight="1" x14ac:dyDescent="0.3">
      <c r="C926" s="146"/>
      <c r="D926" s="146"/>
      <c r="E926" s="147"/>
      <c r="F926" s="146"/>
      <c r="H926" s="147"/>
    </row>
    <row r="927" spans="3:8" ht="15.75" customHeight="1" x14ac:dyDescent="0.3">
      <c r="C927" s="146"/>
      <c r="D927" s="146"/>
      <c r="E927" s="147"/>
      <c r="F927" s="146"/>
      <c r="H927" s="147"/>
    </row>
    <row r="928" spans="3:8" ht="15.75" customHeight="1" x14ac:dyDescent="0.3">
      <c r="C928" s="146"/>
      <c r="D928" s="146"/>
      <c r="E928" s="147"/>
      <c r="F928" s="146"/>
      <c r="H928" s="147"/>
    </row>
    <row r="929" spans="3:8" ht="15.75" customHeight="1" x14ac:dyDescent="0.3">
      <c r="C929" s="146"/>
      <c r="D929" s="146"/>
      <c r="E929" s="147"/>
      <c r="F929" s="146"/>
      <c r="H929" s="147"/>
    </row>
    <row r="930" spans="3:8" ht="15.75" customHeight="1" x14ac:dyDescent="0.3">
      <c r="C930" s="146"/>
      <c r="D930" s="146"/>
      <c r="E930" s="147"/>
      <c r="F930" s="146"/>
      <c r="H930" s="147"/>
    </row>
    <row r="931" spans="3:8" ht="15.75" customHeight="1" x14ac:dyDescent="0.3">
      <c r="C931" s="146"/>
      <c r="D931" s="146"/>
      <c r="E931" s="147"/>
      <c r="F931" s="146"/>
      <c r="H931" s="147"/>
    </row>
    <row r="932" spans="3:8" ht="15.75" customHeight="1" x14ac:dyDescent="0.3">
      <c r="C932" s="146"/>
      <c r="D932" s="146"/>
      <c r="E932" s="147"/>
      <c r="F932" s="146"/>
      <c r="H932" s="147"/>
    </row>
    <row r="933" spans="3:8" ht="15.75" customHeight="1" x14ac:dyDescent="0.3">
      <c r="C933" s="146"/>
      <c r="D933" s="146"/>
      <c r="E933" s="147"/>
      <c r="F933" s="146"/>
      <c r="H933" s="147"/>
    </row>
    <row r="934" spans="3:8" ht="15.75" customHeight="1" x14ac:dyDescent="0.3">
      <c r="C934" s="146"/>
      <c r="D934" s="146"/>
      <c r="E934" s="147"/>
      <c r="F934" s="146"/>
      <c r="H934" s="147"/>
    </row>
    <row r="935" spans="3:8" ht="15.75" customHeight="1" x14ac:dyDescent="0.3">
      <c r="C935" s="146"/>
      <c r="D935" s="146"/>
      <c r="E935" s="147"/>
      <c r="F935" s="146"/>
      <c r="H935" s="147"/>
    </row>
    <row r="936" spans="3:8" ht="15.75" customHeight="1" x14ac:dyDescent="0.3">
      <c r="C936" s="146"/>
      <c r="D936" s="146"/>
      <c r="E936" s="147"/>
      <c r="F936" s="146"/>
      <c r="H936" s="147"/>
    </row>
    <row r="937" spans="3:8" ht="15.75" customHeight="1" x14ac:dyDescent="0.3">
      <c r="C937" s="146"/>
      <c r="D937" s="146"/>
      <c r="E937" s="147"/>
      <c r="F937" s="146"/>
      <c r="H937" s="147"/>
    </row>
    <row r="938" spans="3:8" ht="15.75" customHeight="1" x14ac:dyDescent="0.3">
      <c r="C938" s="146"/>
      <c r="D938" s="146"/>
      <c r="E938" s="147"/>
      <c r="F938" s="146"/>
      <c r="H938" s="147"/>
    </row>
    <row r="939" spans="3:8" ht="15.75" customHeight="1" x14ac:dyDescent="0.3">
      <c r="C939" s="146"/>
      <c r="D939" s="146"/>
      <c r="E939" s="147"/>
      <c r="F939" s="146"/>
      <c r="H939" s="147"/>
    </row>
    <row r="940" spans="3:8" ht="15.75" customHeight="1" x14ac:dyDescent="0.3">
      <c r="C940" s="146"/>
      <c r="D940" s="146"/>
      <c r="E940" s="147"/>
      <c r="F940" s="146"/>
      <c r="H940" s="147"/>
    </row>
    <row r="941" spans="3:8" ht="15.75" customHeight="1" x14ac:dyDescent="0.3">
      <c r="C941" s="146"/>
      <c r="D941" s="146"/>
      <c r="E941" s="147"/>
      <c r="F941" s="146"/>
      <c r="H941" s="147"/>
    </row>
    <row r="942" spans="3:8" ht="15.75" customHeight="1" x14ac:dyDescent="0.3">
      <c r="C942" s="146"/>
      <c r="D942" s="146"/>
      <c r="E942" s="147"/>
      <c r="F942" s="146"/>
      <c r="H942" s="147"/>
    </row>
    <row r="943" spans="3:8" ht="15.75" customHeight="1" x14ac:dyDescent="0.3">
      <c r="C943" s="146"/>
      <c r="D943" s="146"/>
      <c r="E943" s="147"/>
      <c r="F943" s="146"/>
      <c r="H943" s="147"/>
    </row>
    <row r="944" spans="3:8" ht="15.75" customHeight="1" x14ac:dyDescent="0.3">
      <c r="C944" s="146"/>
      <c r="D944" s="146"/>
      <c r="E944" s="147"/>
      <c r="F944" s="146"/>
      <c r="H944" s="147"/>
    </row>
    <row r="945" spans="3:8" ht="15.75" customHeight="1" x14ac:dyDescent="0.3">
      <c r="C945" s="146"/>
      <c r="D945" s="146"/>
      <c r="E945" s="147"/>
      <c r="F945" s="146"/>
      <c r="H945" s="147"/>
    </row>
    <row r="946" spans="3:8" ht="15.75" customHeight="1" x14ac:dyDescent="0.3">
      <c r="C946" s="146"/>
      <c r="D946" s="146"/>
      <c r="E946" s="147"/>
      <c r="F946" s="146"/>
      <c r="H946" s="147"/>
    </row>
    <row r="947" spans="3:8" ht="15.75" customHeight="1" x14ac:dyDescent="0.3">
      <c r="C947" s="146"/>
      <c r="D947" s="146"/>
      <c r="E947" s="147"/>
      <c r="F947" s="146"/>
      <c r="H947" s="147"/>
    </row>
    <row r="948" spans="3:8" ht="15.75" customHeight="1" x14ac:dyDescent="0.3">
      <c r="C948" s="146"/>
      <c r="D948" s="146"/>
      <c r="E948" s="147"/>
      <c r="F948" s="146"/>
      <c r="H948" s="147"/>
    </row>
    <row r="949" spans="3:8" ht="15.75" customHeight="1" x14ac:dyDescent="0.3">
      <c r="C949" s="146"/>
      <c r="D949" s="146"/>
      <c r="E949" s="147"/>
      <c r="F949" s="146"/>
      <c r="H949" s="147"/>
    </row>
    <row r="950" spans="3:8" ht="15.75" customHeight="1" x14ac:dyDescent="0.3">
      <c r="C950" s="146"/>
      <c r="D950" s="146"/>
      <c r="E950" s="147"/>
      <c r="F950" s="146"/>
      <c r="H950" s="147"/>
    </row>
    <row r="951" spans="3:8" ht="15.75" customHeight="1" x14ac:dyDescent="0.3">
      <c r="C951" s="146"/>
      <c r="D951" s="146"/>
      <c r="E951" s="147"/>
      <c r="F951" s="146"/>
      <c r="H951" s="147"/>
    </row>
    <row r="952" spans="3:8" ht="15.75" customHeight="1" x14ac:dyDescent="0.3">
      <c r="C952" s="146"/>
      <c r="D952" s="146"/>
      <c r="E952" s="147"/>
      <c r="F952" s="146"/>
      <c r="H952" s="147"/>
    </row>
    <row r="953" spans="3:8" ht="15.75" customHeight="1" x14ac:dyDescent="0.3">
      <c r="C953" s="146"/>
      <c r="D953" s="146"/>
      <c r="E953" s="147"/>
      <c r="F953" s="146"/>
      <c r="H953" s="147"/>
    </row>
    <row r="954" spans="3:8" ht="15.75" customHeight="1" x14ac:dyDescent="0.3">
      <c r="C954" s="146"/>
      <c r="D954" s="146"/>
      <c r="E954" s="147"/>
      <c r="F954" s="146"/>
      <c r="H954" s="147"/>
    </row>
    <row r="955" spans="3:8" ht="15.75" customHeight="1" x14ac:dyDescent="0.3">
      <c r="C955" s="146"/>
      <c r="D955" s="146"/>
      <c r="E955" s="147"/>
      <c r="F955" s="146"/>
      <c r="H955" s="147"/>
    </row>
    <row r="956" spans="3:8" ht="15.75" customHeight="1" x14ac:dyDescent="0.3">
      <c r="C956" s="146"/>
      <c r="D956" s="146"/>
      <c r="E956" s="147"/>
      <c r="F956" s="146"/>
      <c r="H956" s="147"/>
    </row>
    <row r="957" spans="3:8" ht="15.75" customHeight="1" x14ac:dyDescent="0.3">
      <c r="C957" s="146"/>
      <c r="D957" s="146"/>
      <c r="E957" s="147"/>
      <c r="F957" s="146"/>
      <c r="H957" s="147"/>
    </row>
    <row r="958" spans="3:8" ht="15.75" customHeight="1" x14ac:dyDescent="0.3">
      <c r="C958" s="146"/>
      <c r="D958" s="146"/>
      <c r="E958" s="147"/>
      <c r="F958" s="146"/>
      <c r="H958" s="147"/>
    </row>
    <row r="959" spans="3:8" ht="15.75" customHeight="1" x14ac:dyDescent="0.3">
      <c r="C959" s="146"/>
      <c r="D959" s="146"/>
      <c r="E959" s="147"/>
      <c r="F959" s="146"/>
      <c r="H959" s="147"/>
    </row>
    <row r="960" spans="3:8" ht="15.75" customHeight="1" x14ac:dyDescent="0.3">
      <c r="C960" s="146"/>
      <c r="D960" s="146"/>
      <c r="E960" s="147"/>
      <c r="F960" s="146"/>
      <c r="H960" s="147"/>
    </row>
    <row r="961" spans="3:8" ht="15.75" customHeight="1" x14ac:dyDescent="0.3">
      <c r="C961" s="146"/>
      <c r="D961" s="146"/>
      <c r="E961" s="147"/>
      <c r="F961" s="146"/>
      <c r="H961" s="147"/>
    </row>
    <row r="962" spans="3:8" ht="15.75" customHeight="1" x14ac:dyDescent="0.3">
      <c r="C962" s="146"/>
      <c r="D962" s="146"/>
      <c r="E962" s="147"/>
      <c r="F962" s="146"/>
      <c r="H962" s="147"/>
    </row>
    <row r="963" spans="3:8" ht="15.75" customHeight="1" x14ac:dyDescent="0.3">
      <c r="C963" s="146"/>
      <c r="D963" s="146"/>
      <c r="E963" s="147"/>
      <c r="F963" s="146"/>
      <c r="H963" s="147"/>
    </row>
    <row r="964" spans="3:8" ht="15.75" customHeight="1" x14ac:dyDescent="0.3">
      <c r="C964" s="146"/>
      <c r="D964" s="146"/>
      <c r="E964" s="147"/>
      <c r="F964" s="146"/>
      <c r="H964" s="147"/>
    </row>
    <row r="965" spans="3:8" ht="15.75" customHeight="1" x14ac:dyDescent="0.3">
      <c r="C965" s="146"/>
      <c r="D965" s="146"/>
      <c r="E965" s="147"/>
      <c r="F965" s="146"/>
      <c r="H965" s="147"/>
    </row>
    <row r="966" spans="3:8" ht="15.75" customHeight="1" x14ac:dyDescent="0.3">
      <c r="C966" s="146"/>
      <c r="D966" s="146"/>
      <c r="E966" s="147"/>
      <c r="F966" s="146"/>
      <c r="H966" s="147"/>
    </row>
    <row r="967" spans="3:8" ht="15.75" customHeight="1" x14ac:dyDescent="0.3">
      <c r="C967" s="146"/>
      <c r="D967" s="146"/>
      <c r="E967" s="147"/>
      <c r="F967" s="146"/>
      <c r="H967" s="147"/>
    </row>
    <row r="968" spans="3:8" ht="15.75" customHeight="1" x14ac:dyDescent="0.3">
      <c r="C968" s="146"/>
      <c r="D968" s="146"/>
      <c r="E968" s="147"/>
      <c r="F968" s="146"/>
      <c r="H968" s="147"/>
    </row>
    <row r="969" spans="3:8" ht="15.75" customHeight="1" x14ac:dyDescent="0.3">
      <c r="C969" s="146"/>
      <c r="D969" s="146"/>
      <c r="E969" s="147"/>
      <c r="F969" s="146"/>
      <c r="H969" s="147"/>
    </row>
    <row r="970" spans="3:8" ht="15.75" customHeight="1" x14ac:dyDescent="0.3">
      <c r="C970" s="146"/>
      <c r="D970" s="146"/>
      <c r="E970" s="147"/>
      <c r="F970" s="146"/>
      <c r="H970" s="147"/>
    </row>
    <row r="971" spans="3:8" ht="15.75" customHeight="1" x14ac:dyDescent="0.3">
      <c r="C971" s="146"/>
      <c r="D971" s="146"/>
      <c r="E971" s="147"/>
      <c r="F971" s="146"/>
      <c r="H971" s="147"/>
    </row>
    <row r="972" spans="3:8" ht="15.75" customHeight="1" x14ac:dyDescent="0.3">
      <c r="C972" s="146"/>
      <c r="D972" s="146"/>
      <c r="E972" s="147"/>
      <c r="F972" s="146"/>
      <c r="H972" s="147"/>
    </row>
    <row r="973" spans="3:8" ht="15.75" customHeight="1" x14ac:dyDescent="0.3">
      <c r="C973" s="146"/>
      <c r="D973" s="146"/>
      <c r="E973" s="147"/>
      <c r="F973" s="146"/>
      <c r="H973" s="147"/>
    </row>
    <row r="974" spans="3:8" ht="15.75" customHeight="1" x14ac:dyDescent="0.3">
      <c r="C974" s="146"/>
      <c r="D974" s="146"/>
      <c r="E974" s="147"/>
      <c r="F974" s="146"/>
      <c r="H974" s="147"/>
    </row>
    <row r="975" spans="3:8" ht="15.75" customHeight="1" x14ac:dyDescent="0.3">
      <c r="C975" s="146"/>
      <c r="D975" s="146"/>
      <c r="E975" s="147"/>
      <c r="F975" s="146"/>
      <c r="H975" s="147"/>
    </row>
    <row r="976" spans="3:8" ht="15.75" customHeight="1" x14ac:dyDescent="0.3">
      <c r="C976" s="146"/>
      <c r="D976" s="146"/>
      <c r="E976" s="147"/>
      <c r="F976" s="146"/>
      <c r="H976" s="147"/>
    </row>
    <row r="977" spans="3:8" ht="15.75" customHeight="1" x14ac:dyDescent="0.3">
      <c r="C977" s="146"/>
      <c r="D977" s="146"/>
      <c r="E977" s="147"/>
      <c r="F977" s="146"/>
      <c r="H977" s="147"/>
    </row>
    <row r="978" spans="3:8" ht="15.75" customHeight="1" x14ac:dyDescent="0.3">
      <c r="C978" s="146"/>
      <c r="D978" s="146"/>
      <c r="E978" s="147"/>
      <c r="F978" s="146"/>
      <c r="H978" s="147"/>
    </row>
    <row r="979" spans="3:8" ht="15.75" customHeight="1" x14ac:dyDescent="0.3">
      <c r="C979" s="146"/>
      <c r="D979" s="146"/>
      <c r="E979" s="147"/>
      <c r="F979" s="146"/>
      <c r="H979" s="147"/>
    </row>
    <row r="980" spans="3:8" ht="15.75" customHeight="1" x14ac:dyDescent="0.3">
      <c r="C980" s="146"/>
      <c r="D980" s="146"/>
      <c r="E980" s="147"/>
      <c r="F980" s="146"/>
      <c r="H980" s="147"/>
    </row>
    <row r="981" spans="3:8" ht="15.75" customHeight="1" x14ac:dyDescent="0.3">
      <c r="C981" s="146"/>
      <c r="D981" s="146"/>
      <c r="E981" s="147"/>
      <c r="F981" s="146"/>
      <c r="H981" s="147"/>
    </row>
    <row r="982" spans="3:8" ht="15.75" customHeight="1" x14ac:dyDescent="0.3">
      <c r="C982" s="146"/>
      <c r="D982" s="146"/>
      <c r="E982" s="147"/>
      <c r="F982" s="146"/>
      <c r="H982" s="147"/>
    </row>
    <row r="983" spans="3:8" ht="15.75" customHeight="1" x14ac:dyDescent="0.3">
      <c r="C983" s="146"/>
      <c r="D983" s="146"/>
      <c r="E983" s="147"/>
      <c r="F983" s="146"/>
      <c r="H983" s="147"/>
    </row>
    <row r="984" spans="3:8" ht="15.75" customHeight="1" x14ac:dyDescent="0.3">
      <c r="C984" s="146"/>
      <c r="D984" s="146"/>
      <c r="E984" s="147"/>
      <c r="F984" s="146"/>
      <c r="H984" s="147"/>
    </row>
    <row r="985" spans="3:8" ht="15.75" customHeight="1" x14ac:dyDescent="0.3">
      <c r="C985" s="146"/>
      <c r="D985" s="146"/>
      <c r="E985" s="147"/>
      <c r="F985" s="146"/>
      <c r="H985" s="147"/>
    </row>
    <row r="986" spans="3:8" ht="15.75" customHeight="1" x14ac:dyDescent="0.3">
      <c r="C986" s="146"/>
      <c r="D986" s="146"/>
      <c r="E986" s="147"/>
      <c r="F986" s="146"/>
      <c r="H986" s="147"/>
    </row>
    <row r="987" spans="3:8" ht="15.75" customHeight="1" x14ac:dyDescent="0.3">
      <c r="C987" s="146"/>
      <c r="D987" s="146"/>
      <c r="E987" s="147"/>
      <c r="F987" s="146"/>
      <c r="H987" s="147"/>
    </row>
    <row r="988" spans="3:8" ht="15.75" customHeight="1" x14ac:dyDescent="0.3">
      <c r="C988" s="146"/>
      <c r="D988" s="146"/>
      <c r="E988" s="147"/>
      <c r="F988" s="146"/>
      <c r="H988" s="147"/>
    </row>
    <row r="989" spans="3:8" ht="15.75" customHeight="1" x14ac:dyDescent="0.3">
      <c r="C989" s="146"/>
      <c r="D989" s="146"/>
      <c r="E989" s="147"/>
      <c r="F989" s="146"/>
      <c r="H989" s="147"/>
    </row>
    <row r="990" spans="3:8" ht="15.75" customHeight="1" x14ac:dyDescent="0.3">
      <c r="C990" s="146"/>
      <c r="D990" s="146"/>
      <c r="E990" s="147"/>
      <c r="F990" s="146"/>
      <c r="H990" s="147"/>
    </row>
    <row r="991" spans="3:8" ht="15.75" customHeight="1" x14ac:dyDescent="0.3">
      <c r="C991" s="146"/>
      <c r="D991" s="146"/>
      <c r="E991" s="147"/>
      <c r="F991" s="146"/>
      <c r="H991" s="147"/>
    </row>
    <row r="992" spans="3:8" ht="15.75" customHeight="1" x14ac:dyDescent="0.3">
      <c r="C992" s="146"/>
      <c r="D992" s="146"/>
      <c r="E992" s="147"/>
      <c r="F992" s="146"/>
      <c r="H992" s="147"/>
    </row>
    <row r="993" spans="3:8" ht="15.75" customHeight="1" x14ac:dyDescent="0.3">
      <c r="C993" s="146"/>
      <c r="D993" s="146"/>
      <c r="E993" s="147"/>
      <c r="F993" s="146"/>
      <c r="H993" s="147"/>
    </row>
    <row r="994" spans="3:8" ht="15.75" customHeight="1" x14ac:dyDescent="0.3">
      <c r="C994" s="146"/>
      <c r="D994" s="146"/>
      <c r="E994" s="147"/>
      <c r="F994" s="146"/>
      <c r="H994" s="147"/>
    </row>
    <row r="995" spans="3:8" ht="15.75" customHeight="1" x14ac:dyDescent="0.3">
      <c r="C995" s="146"/>
      <c r="D995" s="146"/>
      <c r="E995" s="147"/>
      <c r="F995" s="146"/>
      <c r="H995" s="147"/>
    </row>
    <row r="996" spans="3:8" ht="15.75" customHeight="1" x14ac:dyDescent="0.3">
      <c r="C996" s="146"/>
      <c r="D996" s="146"/>
      <c r="E996" s="147"/>
      <c r="F996" s="146"/>
      <c r="H996" s="147"/>
    </row>
    <row r="997" spans="3:8" ht="15.75" customHeight="1" x14ac:dyDescent="0.3">
      <c r="C997" s="146"/>
      <c r="D997" s="146"/>
      <c r="E997" s="147"/>
      <c r="F997" s="146"/>
      <c r="H997" s="147"/>
    </row>
    <row r="998" spans="3:8" ht="15.75" customHeight="1" x14ac:dyDescent="0.3">
      <c r="C998" s="146"/>
      <c r="D998" s="146"/>
      <c r="E998" s="147"/>
      <c r="F998" s="146"/>
      <c r="H998" s="147"/>
    </row>
    <row r="999" spans="3:8" ht="15.75" customHeight="1" x14ac:dyDescent="0.3">
      <c r="C999" s="146"/>
      <c r="D999" s="146"/>
      <c r="E999" s="147"/>
      <c r="F999" s="146"/>
      <c r="H999" s="147"/>
    </row>
    <row r="1000" spans="3:8" ht="15.75" customHeight="1" x14ac:dyDescent="0.3">
      <c r="C1000" s="146"/>
      <c r="D1000" s="146"/>
      <c r="E1000" s="147"/>
      <c r="F1000" s="146"/>
      <c r="H1000" s="147"/>
    </row>
    <row r="1001" spans="3:8" ht="15.75" customHeight="1" x14ac:dyDescent="0.3">
      <c r="C1001" s="146"/>
      <c r="D1001" s="146"/>
      <c r="E1001" s="147"/>
      <c r="F1001" s="146"/>
      <c r="H1001" s="147"/>
    </row>
    <row r="1002" spans="3:8" ht="15.75" customHeight="1" x14ac:dyDescent="0.3">
      <c r="C1002" s="146"/>
      <c r="D1002" s="146"/>
      <c r="E1002" s="147"/>
      <c r="F1002" s="146"/>
      <c r="H1002" s="147"/>
    </row>
    <row r="1003" spans="3:8" ht="15.75" customHeight="1" x14ac:dyDescent="0.3">
      <c r="C1003" s="146"/>
      <c r="D1003" s="146"/>
      <c r="E1003" s="147"/>
      <c r="F1003" s="146"/>
      <c r="H1003" s="147"/>
    </row>
    <row r="1004" spans="3:8" ht="15.75" customHeight="1" x14ac:dyDescent="0.3">
      <c r="C1004" s="146"/>
      <c r="D1004" s="146"/>
      <c r="E1004" s="147"/>
      <c r="F1004" s="146"/>
      <c r="H1004" s="147"/>
    </row>
    <row r="1005" spans="3:8" ht="15.75" customHeight="1" x14ac:dyDescent="0.3">
      <c r="C1005" s="146"/>
      <c r="D1005" s="146"/>
      <c r="E1005" s="147"/>
      <c r="F1005" s="146"/>
      <c r="H1005" s="147"/>
    </row>
    <row r="1006" spans="3:8" ht="15.75" customHeight="1" x14ac:dyDescent="0.3">
      <c r="C1006" s="146"/>
      <c r="D1006" s="146"/>
      <c r="E1006" s="147"/>
      <c r="F1006" s="146"/>
      <c r="H1006" s="147"/>
    </row>
    <row r="1007" spans="3:8" ht="15.75" customHeight="1" x14ac:dyDescent="0.3">
      <c r="C1007" s="146"/>
      <c r="D1007" s="146"/>
      <c r="E1007" s="147"/>
      <c r="F1007" s="146"/>
      <c r="H1007" s="147"/>
    </row>
    <row r="1008" spans="3:8" ht="15.75" customHeight="1" x14ac:dyDescent="0.3">
      <c r="C1008" s="146"/>
      <c r="D1008" s="146"/>
      <c r="E1008" s="147"/>
      <c r="F1008" s="146"/>
      <c r="H1008" s="147"/>
    </row>
    <row r="1009" spans="3:8" ht="15.75" customHeight="1" x14ac:dyDescent="0.3">
      <c r="C1009" s="146"/>
      <c r="D1009" s="146"/>
      <c r="E1009" s="147"/>
      <c r="F1009" s="146"/>
      <c r="H1009" s="147"/>
    </row>
    <row r="1010" spans="3:8" ht="15.75" customHeight="1" x14ac:dyDescent="0.3">
      <c r="C1010" s="146"/>
      <c r="D1010" s="146"/>
      <c r="E1010" s="147"/>
      <c r="F1010" s="146"/>
      <c r="H1010" s="147"/>
    </row>
    <row r="1011" spans="3:8" ht="15.75" customHeight="1" x14ac:dyDescent="0.3">
      <c r="C1011" s="146"/>
      <c r="D1011" s="146"/>
      <c r="E1011" s="147"/>
      <c r="F1011" s="146"/>
      <c r="H1011" s="147"/>
    </row>
    <row r="1012" spans="3:8" ht="15.75" customHeight="1" x14ac:dyDescent="0.3">
      <c r="C1012" s="146"/>
      <c r="D1012" s="146"/>
      <c r="E1012" s="147"/>
      <c r="F1012" s="146"/>
      <c r="H1012" s="147"/>
    </row>
    <row r="1013" spans="3:8" ht="15.75" customHeight="1" x14ac:dyDescent="0.3">
      <c r="C1013" s="146"/>
      <c r="D1013" s="146"/>
      <c r="E1013" s="147"/>
      <c r="F1013" s="146"/>
      <c r="H1013" s="147"/>
    </row>
    <row r="1014" spans="3:8" ht="15.75" customHeight="1" x14ac:dyDescent="0.3">
      <c r="C1014" s="146"/>
      <c r="D1014" s="146"/>
      <c r="E1014" s="147"/>
      <c r="F1014" s="146"/>
      <c r="H1014" s="147"/>
    </row>
    <row r="1015" spans="3:8" ht="15.75" customHeight="1" x14ac:dyDescent="0.3">
      <c r="C1015" s="146"/>
      <c r="D1015" s="146"/>
      <c r="E1015" s="147"/>
      <c r="F1015" s="146"/>
      <c r="H1015" s="147"/>
    </row>
    <row r="1016" spans="3:8" ht="15.75" customHeight="1" x14ac:dyDescent="0.3">
      <c r="C1016" s="146"/>
      <c r="D1016" s="146"/>
      <c r="E1016" s="147"/>
      <c r="F1016" s="146"/>
      <c r="H1016" s="147"/>
    </row>
    <row r="1017" spans="3:8" ht="15.75" customHeight="1" x14ac:dyDescent="0.3">
      <c r="C1017" s="146"/>
      <c r="D1017" s="146"/>
      <c r="E1017" s="147"/>
      <c r="F1017" s="146"/>
      <c r="H1017" s="147"/>
    </row>
    <row r="1018" spans="3:8" ht="15.75" customHeight="1" x14ac:dyDescent="0.3">
      <c r="C1018" s="146"/>
      <c r="D1018" s="146"/>
      <c r="E1018" s="147"/>
      <c r="F1018" s="146"/>
      <c r="H1018" s="147"/>
    </row>
    <row r="1019" spans="3:8" ht="15.75" customHeight="1" x14ac:dyDescent="0.3">
      <c r="C1019" s="146"/>
      <c r="D1019" s="146"/>
      <c r="E1019" s="147"/>
      <c r="F1019" s="146"/>
      <c r="H1019" s="147"/>
    </row>
    <row r="1020" spans="3:8" ht="15.75" customHeight="1" x14ac:dyDescent="0.3">
      <c r="C1020" s="146"/>
      <c r="D1020" s="146"/>
      <c r="E1020" s="147"/>
      <c r="F1020" s="146"/>
      <c r="H1020" s="147"/>
    </row>
    <row r="1021" spans="3:8" ht="15.75" customHeight="1" x14ac:dyDescent="0.3">
      <c r="C1021" s="146"/>
      <c r="D1021" s="146"/>
      <c r="E1021" s="147"/>
      <c r="F1021" s="146"/>
      <c r="H1021" s="147"/>
    </row>
    <row r="1022" spans="3:8" ht="15.75" customHeight="1" x14ac:dyDescent="0.3">
      <c r="C1022" s="146"/>
      <c r="D1022" s="146"/>
      <c r="E1022" s="147"/>
      <c r="F1022" s="146"/>
      <c r="H1022" s="147"/>
    </row>
    <row r="1023" spans="3:8" ht="15.75" customHeight="1" x14ac:dyDescent="0.3">
      <c r="C1023" s="146"/>
      <c r="D1023" s="146"/>
      <c r="E1023" s="147"/>
      <c r="F1023" s="146"/>
      <c r="H1023" s="147"/>
    </row>
    <row r="1024" spans="3:8" ht="15.75" customHeight="1" x14ac:dyDescent="0.3">
      <c r="C1024" s="146"/>
      <c r="D1024" s="146"/>
      <c r="E1024" s="147"/>
      <c r="F1024" s="146"/>
      <c r="H1024" s="147"/>
    </row>
    <row r="1025" spans="3:8" ht="15.75" customHeight="1" x14ac:dyDescent="0.3">
      <c r="C1025" s="146"/>
      <c r="D1025" s="146"/>
      <c r="E1025" s="147"/>
      <c r="F1025" s="146"/>
      <c r="H1025" s="147"/>
    </row>
    <row r="1026" spans="3:8" ht="15.75" customHeight="1" x14ac:dyDescent="0.3">
      <c r="C1026" s="146"/>
      <c r="D1026" s="146"/>
      <c r="E1026" s="147"/>
      <c r="F1026" s="146"/>
      <c r="H1026" s="147"/>
    </row>
    <row r="1027" spans="3:8" ht="15.75" customHeight="1" x14ac:dyDescent="0.3">
      <c r="C1027" s="146"/>
      <c r="D1027" s="146"/>
      <c r="E1027" s="147"/>
      <c r="F1027" s="146"/>
      <c r="H1027" s="147"/>
    </row>
    <row r="1028" spans="3:8" ht="15.75" customHeight="1" x14ac:dyDescent="0.3">
      <c r="C1028" s="146"/>
      <c r="D1028" s="146"/>
      <c r="E1028" s="147"/>
      <c r="F1028" s="146"/>
      <c r="H1028" s="147"/>
    </row>
    <row r="1029" spans="3:8" ht="15.75" customHeight="1" x14ac:dyDescent="0.3">
      <c r="C1029" s="146"/>
      <c r="D1029" s="146"/>
      <c r="E1029" s="147"/>
      <c r="F1029" s="146"/>
      <c r="H1029" s="147"/>
    </row>
    <row r="1030" spans="3:8" ht="15.75" customHeight="1" x14ac:dyDescent="0.3">
      <c r="C1030" s="146"/>
      <c r="D1030" s="146"/>
      <c r="E1030" s="147"/>
      <c r="F1030" s="146"/>
      <c r="H1030" s="147"/>
    </row>
    <row r="1031" spans="3:8" ht="15.75" customHeight="1" x14ac:dyDescent="0.3">
      <c r="C1031" s="146"/>
      <c r="D1031" s="146"/>
      <c r="E1031" s="147"/>
      <c r="F1031" s="146"/>
      <c r="H1031" s="147"/>
    </row>
    <row r="1032" spans="3:8" ht="15.75" customHeight="1" x14ac:dyDescent="0.3">
      <c r="C1032" s="146"/>
      <c r="D1032" s="146"/>
      <c r="E1032" s="147"/>
      <c r="F1032" s="146"/>
      <c r="H1032" s="147"/>
    </row>
    <row r="1033" spans="3:8" ht="15.75" customHeight="1" x14ac:dyDescent="0.3">
      <c r="C1033" s="146"/>
      <c r="D1033" s="146"/>
      <c r="E1033" s="147"/>
      <c r="F1033" s="146"/>
      <c r="H1033" s="147"/>
    </row>
    <row r="1034" spans="3:8" ht="15.75" customHeight="1" x14ac:dyDescent="0.3">
      <c r="C1034" s="146"/>
      <c r="D1034" s="146"/>
      <c r="E1034" s="147"/>
      <c r="F1034" s="146"/>
      <c r="H1034" s="147"/>
    </row>
    <row r="1035" spans="3:8" ht="15.75" customHeight="1" x14ac:dyDescent="0.3">
      <c r="C1035" s="146"/>
      <c r="D1035" s="146"/>
      <c r="E1035" s="147"/>
      <c r="F1035" s="146"/>
      <c r="H1035" s="147"/>
    </row>
    <row r="1036" spans="3:8" ht="15.75" customHeight="1" x14ac:dyDescent="0.3">
      <c r="C1036" s="146"/>
      <c r="D1036" s="146"/>
      <c r="E1036" s="147"/>
      <c r="F1036" s="146"/>
      <c r="H1036" s="147"/>
    </row>
    <row r="1037" spans="3:8" ht="15.75" customHeight="1" x14ac:dyDescent="0.3">
      <c r="C1037" s="146"/>
      <c r="D1037" s="146"/>
      <c r="E1037" s="147"/>
      <c r="F1037" s="146"/>
      <c r="H1037" s="147"/>
    </row>
    <row r="1038" spans="3:8" ht="15.75" customHeight="1" x14ac:dyDescent="0.3">
      <c r="C1038" s="146"/>
      <c r="D1038" s="146"/>
      <c r="E1038" s="147"/>
      <c r="F1038" s="146"/>
      <c r="H1038" s="147"/>
    </row>
    <row r="1039" spans="3:8" ht="15.75" customHeight="1" x14ac:dyDescent="0.3">
      <c r="C1039" s="146"/>
      <c r="D1039" s="146"/>
      <c r="E1039" s="147"/>
      <c r="F1039" s="146"/>
      <c r="H1039" s="147"/>
    </row>
    <row r="1040" spans="3:8" ht="15.75" customHeight="1" x14ac:dyDescent="0.3">
      <c r="C1040" s="146"/>
      <c r="D1040" s="146"/>
      <c r="E1040" s="147"/>
      <c r="F1040" s="146"/>
      <c r="H1040" s="147"/>
    </row>
    <row r="1041" spans="3:8" ht="15.75" customHeight="1" x14ac:dyDescent="0.3">
      <c r="C1041" s="146"/>
      <c r="D1041" s="146"/>
      <c r="E1041" s="147"/>
      <c r="F1041" s="146"/>
      <c r="H1041" s="147"/>
    </row>
    <row r="1042" spans="3:8" ht="15.75" customHeight="1" x14ac:dyDescent="0.3">
      <c r="C1042" s="146"/>
      <c r="D1042" s="146"/>
      <c r="E1042" s="147"/>
      <c r="F1042" s="146"/>
      <c r="H1042" s="147"/>
    </row>
  </sheetData>
  <printOptions horizontalCentered="1"/>
  <pageMargins left="0.51181102362204722" right="0.31496062992125984" top="0.35433070866141736" bottom="0.35433070866141736" header="0" footer="0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5BE5-F9CB-4FD6-91E9-DDC5418FD0AC}">
  <sheetPr>
    <pageSetUpPr fitToPage="1"/>
  </sheetPr>
  <dimension ref="A1:H454"/>
  <sheetViews>
    <sheetView zoomScale="102" zoomScaleNormal="112" workbookViewId="0">
      <pane xSplit="2" ySplit="8" topLeftCell="C9" activePane="bottomRight" state="frozen"/>
      <selection pane="topRight" activeCell="C1" sqref="C1"/>
      <selection pane="bottomLeft" activeCell="A3" sqref="A3"/>
      <selection pane="bottomRight" activeCell="D30" sqref="D30"/>
    </sheetView>
  </sheetViews>
  <sheetFormatPr defaultRowHeight="14.4" x14ac:dyDescent="0.3"/>
  <cols>
    <col min="1" max="1" width="9.8984375" style="255" customWidth="1"/>
    <col min="2" max="2" width="33.69921875" style="230" customWidth="1"/>
    <col min="3" max="3" width="12.5" style="230" customWidth="1"/>
    <col min="4" max="4" width="13.3984375" style="231" customWidth="1"/>
    <col min="5" max="5" width="12.8984375" style="231" customWidth="1"/>
    <col min="6" max="6" width="12.09765625" style="235" hidden="1" customWidth="1"/>
    <col min="7" max="7" width="17.19921875" style="235" customWidth="1"/>
    <col min="8" max="8" width="8.796875" style="231"/>
    <col min="9" max="16384" width="8.796875" style="230"/>
  </cols>
  <sheetData>
    <row r="1" spans="1:8" x14ac:dyDescent="0.3">
      <c r="B1" s="243" t="s">
        <v>167</v>
      </c>
    </row>
    <row r="2" spans="1:8" x14ac:dyDescent="0.3">
      <c r="B2" s="243"/>
      <c r="D2" s="247" t="s">
        <v>168</v>
      </c>
      <c r="E2" s="248">
        <v>32100</v>
      </c>
      <c r="F2" s="244">
        <f>+E64-E9</f>
        <v>0</v>
      </c>
      <c r="G2" s="231"/>
      <c r="H2" s="230"/>
    </row>
    <row r="3" spans="1:8" x14ac:dyDescent="0.3">
      <c r="B3" s="243"/>
      <c r="D3" s="247" t="s">
        <v>169</v>
      </c>
      <c r="E3" s="249">
        <f>+D42</f>
        <v>122420</v>
      </c>
      <c r="F3" s="244" t="e">
        <f>#REF!+F2</f>
        <v>#REF!</v>
      </c>
      <c r="G3" s="230"/>
      <c r="H3" s="230"/>
    </row>
    <row r="4" spans="1:8" x14ac:dyDescent="0.3">
      <c r="B4" s="243"/>
      <c r="D4" s="247" t="s">
        <v>63</v>
      </c>
      <c r="E4" s="251">
        <f>+E2+E3</f>
        <v>154520</v>
      </c>
      <c r="F4" s="245">
        <f>+F64</f>
        <v>0</v>
      </c>
      <c r="G4" s="230"/>
      <c r="H4" s="230"/>
    </row>
    <row r="5" spans="1:8" ht="15" thickBot="1" x14ac:dyDescent="0.35">
      <c r="B5" s="243"/>
      <c r="D5" s="247" t="s">
        <v>151</v>
      </c>
      <c r="E5" s="249">
        <f>+E42</f>
        <v>103617</v>
      </c>
      <c r="F5" s="246" t="e">
        <f>F3-F4</f>
        <v>#REF!</v>
      </c>
      <c r="G5" s="230"/>
      <c r="H5" s="230"/>
    </row>
    <row r="6" spans="1:8" ht="15.6" thickTop="1" thickBot="1" x14ac:dyDescent="0.35">
      <c r="B6" s="241"/>
      <c r="C6" s="241"/>
      <c r="D6" s="247" t="s">
        <v>170</v>
      </c>
      <c r="E6" s="250">
        <f>+E4-E5</f>
        <v>50903</v>
      </c>
      <c r="F6" s="242"/>
      <c r="G6" s="242"/>
    </row>
    <row r="7" spans="1:8" ht="15" thickTop="1" x14ac:dyDescent="0.3"/>
    <row r="8" spans="1:8" x14ac:dyDescent="0.3">
      <c r="A8" s="256"/>
      <c r="B8" s="227">
        <v>1987</v>
      </c>
      <c r="C8" s="227"/>
      <c r="D8" s="228" t="s">
        <v>150</v>
      </c>
      <c r="E8" s="228" t="s">
        <v>151</v>
      </c>
      <c r="F8" s="229" t="s">
        <v>152</v>
      </c>
      <c r="G8" s="229" t="s">
        <v>153</v>
      </c>
      <c r="H8" s="228"/>
    </row>
    <row r="9" spans="1:8" s="231" customFormat="1" x14ac:dyDescent="0.3">
      <c r="A9" s="293">
        <v>46023</v>
      </c>
      <c r="B9" s="292" t="s">
        <v>153</v>
      </c>
      <c r="C9" s="294"/>
      <c r="D9" s="295"/>
      <c r="E9" s="296"/>
      <c r="F9" s="295"/>
      <c r="G9" s="295">
        <f>+E2</f>
        <v>32100</v>
      </c>
      <c r="H9" s="295"/>
    </row>
    <row r="10" spans="1:8" s="231" customFormat="1" x14ac:dyDescent="0.3">
      <c r="A10" s="293">
        <v>46031</v>
      </c>
      <c r="B10" s="288" t="s">
        <v>154</v>
      </c>
      <c r="C10" s="288">
        <v>848913562</v>
      </c>
      <c r="D10" s="297"/>
      <c r="E10" s="298">
        <v>960</v>
      </c>
      <c r="F10" s="299"/>
      <c r="G10" s="300">
        <f t="shared" ref="G10:G29" si="0">+G9+D10-E10</f>
        <v>31140</v>
      </c>
      <c r="H10" s="295"/>
    </row>
    <row r="11" spans="1:8" s="231" customFormat="1" x14ac:dyDescent="0.3">
      <c r="A11" s="293">
        <v>46031</v>
      </c>
      <c r="B11" s="288" t="s">
        <v>93</v>
      </c>
      <c r="C11" s="289">
        <f>+'[4]Cell no'!$E$22</f>
        <v>848976998</v>
      </c>
      <c r="D11" s="295"/>
      <c r="E11" s="296">
        <f>+'[5]Alex &amp; Kevin'!$H$29</f>
        <v>2600</v>
      </c>
      <c r="F11" s="295"/>
      <c r="G11" s="300">
        <f t="shared" si="0"/>
        <v>28540</v>
      </c>
      <c r="H11" s="295"/>
    </row>
    <row r="12" spans="1:8" s="231" customFormat="1" x14ac:dyDescent="0.3">
      <c r="A12" s="293">
        <v>46031</v>
      </c>
      <c r="B12" s="288" t="s">
        <v>96</v>
      </c>
      <c r="C12" s="288">
        <v>850713713</v>
      </c>
      <c r="D12" s="295"/>
      <c r="E12" s="296">
        <f>+'[5]Alex &amp; Kevin'!$H$32</f>
        <v>900</v>
      </c>
      <c r="F12" s="295"/>
      <c r="G12" s="300">
        <f t="shared" si="0"/>
        <v>27640</v>
      </c>
      <c r="H12" s="295"/>
    </row>
    <row r="13" spans="1:8" s="231" customFormat="1" x14ac:dyDescent="0.3">
      <c r="A13" s="293">
        <v>46031</v>
      </c>
      <c r="B13" s="301" t="s">
        <v>97</v>
      </c>
      <c r="C13" s="289">
        <f>+'[4]Cell no'!$E$8</f>
        <v>845911293</v>
      </c>
      <c r="D13" s="295"/>
      <c r="E13" s="296">
        <f>+'[5]Alex &amp; Kevin'!$H$33</f>
        <v>650</v>
      </c>
      <c r="F13" s="295"/>
      <c r="G13" s="300">
        <f t="shared" si="0"/>
        <v>26990</v>
      </c>
      <c r="H13" s="295"/>
    </row>
    <row r="14" spans="1:8" s="231" customFormat="1" x14ac:dyDescent="0.3">
      <c r="A14" s="293">
        <v>46031</v>
      </c>
      <c r="B14" s="302" t="s">
        <v>98</v>
      </c>
      <c r="C14" s="289">
        <f>+'[4]Cell no'!$E$9</f>
        <v>842979613</v>
      </c>
      <c r="D14" s="295"/>
      <c r="E14" s="296">
        <v>650</v>
      </c>
      <c r="F14" s="295"/>
      <c r="G14" s="300">
        <f t="shared" si="0"/>
        <v>26340</v>
      </c>
      <c r="H14" s="295"/>
    </row>
    <row r="15" spans="1:8" s="231" customFormat="1" x14ac:dyDescent="0.3">
      <c r="A15" s="293">
        <v>46031</v>
      </c>
      <c r="B15" s="303" t="s">
        <v>99</v>
      </c>
      <c r="C15" s="289">
        <f>+'[4]Cell no'!$E$10</f>
        <v>853027429</v>
      </c>
      <c r="D15" s="295"/>
      <c r="E15" s="296">
        <v>650</v>
      </c>
      <c r="F15" s="295"/>
      <c r="G15" s="300">
        <f t="shared" si="0"/>
        <v>25690</v>
      </c>
      <c r="H15" s="295"/>
    </row>
    <row r="16" spans="1:8" s="231" customFormat="1" x14ac:dyDescent="0.3">
      <c r="A16" s="293">
        <v>46031</v>
      </c>
      <c r="B16" s="301" t="s">
        <v>97</v>
      </c>
      <c r="C16" s="289">
        <f>+'[4]Cell no'!$E$8</f>
        <v>845911293</v>
      </c>
      <c r="D16" s="304"/>
      <c r="E16" s="290">
        <v>650</v>
      </c>
      <c r="F16" s="295"/>
      <c r="G16" s="300">
        <f t="shared" si="0"/>
        <v>25040</v>
      </c>
      <c r="H16" s="295"/>
    </row>
    <row r="17" spans="1:8" s="231" customFormat="1" x14ac:dyDescent="0.3">
      <c r="A17" s="293">
        <v>46031</v>
      </c>
      <c r="B17" s="302" t="s">
        <v>98</v>
      </c>
      <c r="C17" s="289">
        <f>+'[4]Cell no'!$E$9</f>
        <v>842979613</v>
      </c>
      <c r="D17" s="304"/>
      <c r="E17" s="290">
        <v>650</v>
      </c>
      <c r="F17" s="295"/>
      <c r="G17" s="300">
        <f t="shared" si="0"/>
        <v>24390</v>
      </c>
      <c r="H17" s="295"/>
    </row>
    <row r="18" spans="1:8" s="231" customFormat="1" x14ac:dyDescent="0.3">
      <c r="A18" s="293">
        <v>46031</v>
      </c>
      <c r="B18" s="303" t="s">
        <v>99</v>
      </c>
      <c r="C18" s="289">
        <f>+'[4]Cell no'!$E$10</f>
        <v>853027429</v>
      </c>
      <c r="D18" s="304"/>
      <c r="E18" s="290">
        <v>650</v>
      </c>
      <c r="F18" s="295"/>
      <c r="G18" s="300">
        <f t="shared" si="0"/>
        <v>23740</v>
      </c>
      <c r="H18" s="295"/>
    </row>
    <row r="19" spans="1:8" s="231" customFormat="1" x14ac:dyDescent="0.3">
      <c r="A19" s="293">
        <v>46031</v>
      </c>
      <c r="B19" s="288" t="s">
        <v>94</v>
      </c>
      <c r="C19" s="289">
        <v>840574384</v>
      </c>
      <c r="D19" s="295"/>
      <c r="E19" s="296">
        <f>+'[5]Alex &amp; Kevin'!$H$30</f>
        <v>4450</v>
      </c>
      <c r="F19" s="295"/>
      <c r="G19" s="300">
        <f t="shared" si="0"/>
        <v>19290</v>
      </c>
      <c r="H19" s="295"/>
    </row>
    <row r="20" spans="1:8" s="231" customFormat="1" x14ac:dyDescent="0.3">
      <c r="A20" s="293">
        <v>46031</v>
      </c>
      <c r="B20" s="292" t="s">
        <v>155</v>
      </c>
      <c r="C20" s="304"/>
      <c r="D20" s="295"/>
      <c r="E20" s="295">
        <f>24250-1950-5000</f>
        <v>17300</v>
      </c>
      <c r="F20" s="295"/>
      <c r="G20" s="300">
        <f t="shared" si="0"/>
        <v>1990</v>
      </c>
      <c r="H20" s="295"/>
    </row>
    <row r="21" spans="1:8" s="231" customFormat="1" x14ac:dyDescent="0.3">
      <c r="A21" s="305">
        <v>46031</v>
      </c>
      <c r="B21" s="283" t="s">
        <v>156</v>
      </c>
      <c r="C21" s="304"/>
      <c r="D21" s="295">
        <v>3000</v>
      </c>
      <c r="E21" s="295"/>
      <c r="F21" s="295"/>
      <c r="G21" s="300">
        <f t="shared" si="0"/>
        <v>4990</v>
      </c>
      <c r="H21" s="295"/>
    </row>
    <row r="22" spans="1:8" s="231" customFormat="1" x14ac:dyDescent="0.3">
      <c r="A22" s="305">
        <v>46062</v>
      </c>
      <c r="B22" s="283" t="s">
        <v>157</v>
      </c>
      <c r="C22" s="295"/>
      <c r="D22" s="295">
        <v>66420</v>
      </c>
      <c r="E22" s="295"/>
      <c r="F22" s="295"/>
      <c r="G22" s="300">
        <f t="shared" si="0"/>
        <v>71410</v>
      </c>
      <c r="H22" s="295"/>
    </row>
    <row r="23" spans="1:8" s="231" customFormat="1" x14ac:dyDescent="0.3">
      <c r="A23" s="305">
        <v>46066</v>
      </c>
      <c r="B23" s="283" t="s">
        <v>158</v>
      </c>
      <c r="C23" s="295"/>
      <c r="D23" s="295"/>
      <c r="E23" s="295">
        <v>507</v>
      </c>
      <c r="F23" s="295"/>
      <c r="G23" s="300">
        <f t="shared" si="0"/>
        <v>70903</v>
      </c>
      <c r="H23" s="295"/>
    </row>
    <row r="24" spans="1:8" s="231" customFormat="1" x14ac:dyDescent="0.3">
      <c r="A24" s="305">
        <v>46073</v>
      </c>
      <c r="B24" s="306" t="s">
        <v>105</v>
      </c>
      <c r="C24" s="307">
        <v>842414490</v>
      </c>
      <c r="D24" s="296"/>
      <c r="E24" s="296">
        <v>5000</v>
      </c>
      <c r="F24" s="295"/>
      <c r="G24" s="300">
        <f t="shared" si="0"/>
        <v>65903</v>
      </c>
      <c r="H24" s="295"/>
    </row>
    <row r="25" spans="1:8" s="231" customFormat="1" x14ac:dyDescent="0.3">
      <c r="A25" s="305">
        <v>46073</v>
      </c>
      <c r="B25" s="306" t="s">
        <v>106</v>
      </c>
      <c r="C25" s="307">
        <v>842414490</v>
      </c>
      <c r="D25" s="296"/>
      <c r="E25" s="296">
        <v>1000</v>
      </c>
      <c r="F25" s="295"/>
      <c r="G25" s="300">
        <f t="shared" si="0"/>
        <v>64903</v>
      </c>
      <c r="H25" s="295"/>
    </row>
    <row r="26" spans="1:8" s="231" customFormat="1" x14ac:dyDescent="0.3">
      <c r="A26" s="305">
        <v>46073</v>
      </c>
      <c r="B26" s="308" t="s">
        <v>107</v>
      </c>
      <c r="C26" s="309">
        <v>847250140</v>
      </c>
      <c r="D26" s="296"/>
      <c r="E26" s="296">
        <f>10500+2500</f>
        <v>13000</v>
      </c>
      <c r="F26" s="295"/>
      <c r="G26" s="300">
        <f t="shared" si="0"/>
        <v>51903</v>
      </c>
      <c r="H26" s="295"/>
    </row>
    <row r="27" spans="1:8" s="231" customFormat="1" x14ac:dyDescent="0.3">
      <c r="A27" s="305">
        <v>46073</v>
      </c>
      <c r="B27" s="283" t="s">
        <v>159</v>
      </c>
      <c r="C27" s="309">
        <v>847250140</v>
      </c>
      <c r="D27" s="295">
        <v>3000</v>
      </c>
      <c r="E27" s="295"/>
      <c r="F27" s="295"/>
      <c r="G27" s="300">
        <f t="shared" si="0"/>
        <v>54903</v>
      </c>
      <c r="H27" s="295"/>
    </row>
    <row r="28" spans="1:8" s="231" customFormat="1" x14ac:dyDescent="0.3">
      <c r="A28" s="305">
        <v>46107</v>
      </c>
      <c r="B28" s="283" t="s">
        <v>160</v>
      </c>
      <c r="C28" s="294">
        <v>845666556</v>
      </c>
      <c r="D28" s="295"/>
      <c r="E28" s="295">
        <v>54000</v>
      </c>
      <c r="F28" s="295"/>
      <c r="G28" s="300">
        <f t="shared" si="0"/>
        <v>903</v>
      </c>
      <c r="H28" s="295"/>
    </row>
    <row r="29" spans="1:8" s="231" customFormat="1" x14ac:dyDescent="0.3">
      <c r="A29" s="305">
        <v>46140</v>
      </c>
      <c r="B29" s="283" t="s">
        <v>174</v>
      </c>
      <c r="C29" s="294"/>
      <c r="D29" s="295">
        <v>50000</v>
      </c>
      <c r="E29" s="295"/>
      <c r="F29" s="295"/>
      <c r="G29" s="300">
        <f t="shared" si="0"/>
        <v>50903</v>
      </c>
      <c r="H29" s="295"/>
    </row>
    <row r="30" spans="1:8" s="231" customFormat="1" x14ac:dyDescent="0.3">
      <c r="A30" s="305"/>
      <c r="B30" s="310"/>
      <c r="C30" s="294"/>
      <c r="D30" s="295"/>
      <c r="E30" s="295"/>
      <c r="F30" s="295"/>
      <c r="G30" s="295">
        <f t="shared" ref="G30:G33" si="1">+G29+D30-E30-F30</f>
        <v>50903</v>
      </c>
      <c r="H30" s="295"/>
    </row>
    <row r="31" spans="1:8" s="231" customFormat="1" x14ac:dyDescent="0.3">
      <c r="A31" s="305"/>
      <c r="B31" s="310"/>
      <c r="C31" s="294"/>
      <c r="D31" s="295"/>
      <c r="E31" s="295"/>
      <c r="F31" s="295"/>
      <c r="G31" s="295">
        <f t="shared" si="1"/>
        <v>50903</v>
      </c>
      <c r="H31" s="295"/>
    </row>
    <row r="32" spans="1:8" s="231" customFormat="1" x14ac:dyDescent="0.3">
      <c r="A32" s="305"/>
      <c r="B32" s="283"/>
      <c r="C32" s="294"/>
      <c r="D32" s="295"/>
      <c r="E32" s="295"/>
      <c r="F32" s="295"/>
      <c r="G32" s="295">
        <f t="shared" si="1"/>
        <v>50903</v>
      </c>
      <c r="H32" s="295"/>
    </row>
    <row r="33" spans="1:8" s="231" customFormat="1" x14ac:dyDescent="0.3">
      <c r="A33" s="305"/>
      <c r="B33" s="311"/>
      <c r="C33" s="241"/>
      <c r="D33" s="312"/>
      <c r="E33" s="312"/>
      <c r="F33" s="312"/>
      <c r="G33" s="312">
        <f t="shared" si="1"/>
        <v>50903</v>
      </c>
      <c r="H33" s="312"/>
    </row>
    <row r="34" spans="1:8" s="231" customFormat="1" x14ac:dyDescent="0.3">
      <c r="A34" s="305"/>
      <c r="B34" s="283"/>
      <c r="C34" s="294"/>
      <c r="D34" s="295"/>
      <c r="E34" s="295"/>
      <c r="F34" s="295"/>
      <c r="G34" s="295">
        <f t="shared" ref="G34:G40" si="2">+G33+D34-E34-F34</f>
        <v>50903</v>
      </c>
      <c r="H34" s="295"/>
    </row>
    <row r="35" spans="1:8" s="231" customFormat="1" x14ac:dyDescent="0.3">
      <c r="A35" s="305"/>
      <c r="B35" s="311"/>
      <c r="C35" s="241"/>
      <c r="D35" s="295"/>
      <c r="E35" s="295"/>
      <c r="F35" s="312"/>
      <c r="G35" s="312">
        <f t="shared" si="2"/>
        <v>50903</v>
      </c>
      <c r="H35" s="312"/>
    </row>
    <row r="36" spans="1:8" s="231" customFormat="1" x14ac:dyDescent="0.3">
      <c r="A36" s="305"/>
      <c r="B36" s="283"/>
      <c r="C36" s="294"/>
      <c r="D36" s="295"/>
      <c r="E36" s="295"/>
      <c r="F36" s="295"/>
      <c r="G36" s="295">
        <f t="shared" si="2"/>
        <v>50903</v>
      </c>
      <c r="H36" s="295"/>
    </row>
    <row r="37" spans="1:8" s="231" customFormat="1" x14ac:dyDescent="0.3">
      <c r="A37" s="305"/>
      <c r="B37" s="311"/>
      <c r="C37" s="241"/>
      <c r="D37" s="295"/>
      <c r="E37" s="295"/>
      <c r="F37" s="312"/>
      <c r="G37" s="312">
        <f t="shared" si="2"/>
        <v>50903</v>
      </c>
      <c r="H37" s="312"/>
    </row>
    <row r="38" spans="1:8" s="231" customFormat="1" x14ac:dyDescent="0.3">
      <c r="A38" s="305"/>
      <c r="B38" s="283"/>
      <c r="C38" s="294"/>
      <c r="D38" s="295"/>
      <c r="E38" s="295"/>
      <c r="F38" s="295"/>
      <c r="G38" s="295">
        <f t="shared" si="2"/>
        <v>50903</v>
      </c>
      <c r="H38" s="295"/>
    </row>
    <row r="39" spans="1:8" s="231" customFormat="1" x14ac:dyDescent="0.3">
      <c r="A39" s="305"/>
      <c r="B39" s="311"/>
      <c r="C39" s="241"/>
      <c r="D39" s="295"/>
      <c r="E39" s="295"/>
      <c r="F39" s="312"/>
      <c r="G39" s="312">
        <f t="shared" si="2"/>
        <v>50903</v>
      </c>
      <c r="H39" s="312"/>
    </row>
    <row r="40" spans="1:8" s="231" customFormat="1" x14ac:dyDescent="0.3">
      <c r="A40" s="305"/>
      <c r="B40" s="283"/>
      <c r="C40" s="294"/>
      <c r="D40" s="295"/>
      <c r="E40" s="295"/>
      <c r="F40" s="295"/>
      <c r="G40" s="295">
        <f t="shared" si="2"/>
        <v>50903</v>
      </c>
      <c r="H40" s="295"/>
    </row>
    <row r="41" spans="1:8" s="231" customFormat="1" x14ac:dyDescent="0.3">
      <c r="A41" s="305"/>
      <c r="B41" s="292"/>
      <c r="C41" s="294"/>
      <c r="D41" s="295"/>
      <c r="E41" s="295"/>
      <c r="F41" s="295"/>
      <c r="G41" s="295">
        <f t="shared" ref="G41" si="3">+G40+D41-E41-F41</f>
        <v>50903</v>
      </c>
      <c r="H41" s="295"/>
    </row>
    <row r="42" spans="1:8" s="231" customFormat="1" x14ac:dyDescent="0.3">
      <c r="A42" s="257"/>
      <c r="B42" s="329" t="s">
        <v>20</v>
      </c>
      <c r="C42" s="294"/>
      <c r="D42" s="295">
        <f>SUM(D10:D40)</f>
        <v>122420</v>
      </c>
      <c r="E42" s="295">
        <f>SUM(E10:E40)</f>
        <v>103617</v>
      </c>
      <c r="F42" s="234"/>
      <c r="G42" s="295">
        <f>+E4-E42</f>
        <v>50903</v>
      </c>
      <c r="H42" s="234"/>
    </row>
    <row r="43" spans="1:8" s="231" customFormat="1" x14ac:dyDescent="0.3">
      <c r="A43" s="255"/>
      <c r="B43" s="241"/>
      <c r="C43" s="241"/>
      <c r="D43" s="312"/>
      <c r="E43" s="312"/>
    </row>
    <row r="44" spans="1:8" s="231" customFormat="1" x14ac:dyDescent="0.3">
      <c r="A44" s="255"/>
      <c r="B44" s="230"/>
      <c r="C44" s="230"/>
    </row>
    <row r="45" spans="1:8" s="231" customFormat="1" x14ac:dyDescent="0.3">
      <c r="A45" s="255"/>
      <c r="B45" s="230"/>
      <c r="C45" s="230"/>
    </row>
    <row r="46" spans="1:8" s="231" customFormat="1" x14ac:dyDescent="0.3">
      <c r="A46" s="255"/>
      <c r="B46" s="230"/>
      <c r="C46" s="230"/>
    </row>
    <row r="47" spans="1:8" s="231" customFormat="1" x14ac:dyDescent="0.3">
      <c r="A47" s="255"/>
      <c r="B47" s="230"/>
      <c r="C47" s="230"/>
    </row>
    <row r="48" spans="1:8" s="231" customFormat="1" x14ac:dyDescent="0.3">
      <c r="A48" s="255"/>
      <c r="B48" s="230"/>
      <c r="C48" s="230"/>
    </row>
    <row r="49" spans="1:3" s="231" customFormat="1" x14ac:dyDescent="0.3">
      <c r="A49" s="255"/>
      <c r="B49" s="230"/>
      <c r="C49" s="230"/>
    </row>
    <row r="50" spans="1:3" s="231" customFormat="1" x14ac:dyDescent="0.3">
      <c r="A50" s="255"/>
      <c r="B50" s="230"/>
      <c r="C50" s="230"/>
    </row>
    <row r="51" spans="1:3" s="231" customFormat="1" x14ac:dyDescent="0.3">
      <c r="A51" s="255"/>
      <c r="B51" s="230"/>
      <c r="C51" s="230"/>
    </row>
    <row r="52" spans="1:3" s="231" customFormat="1" x14ac:dyDescent="0.3">
      <c r="A52" s="255"/>
      <c r="B52" s="230"/>
      <c r="C52" s="230"/>
    </row>
    <row r="53" spans="1:3" s="231" customFormat="1" x14ac:dyDescent="0.3">
      <c r="A53" s="255"/>
      <c r="B53" s="230"/>
      <c r="C53" s="230"/>
    </row>
    <row r="54" spans="1:3" s="231" customFormat="1" x14ac:dyDescent="0.3">
      <c r="A54" s="255"/>
      <c r="B54" s="230"/>
      <c r="C54" s="230"/>
    </row>
    <row r="55" spans="1:3" s="231" customFormat="1" x14ac:dyDescent="0.3">
      <c r="A55" s="255"/>
      <c r="B55" s="230"/>
      <c r="C55" s="230"/>
    </row>
    <row r="56" spans="1:3" s="231" customFormat="1" x14ac:dyDescent="0.3">
      <c r="A56" s="255"/>
      <c r="B56" s="230"/>
      <c r="C56" s="230"/>
    </row>
    <row r="57" spans="1:3" s="231" customFormat="1" x14ac:dyDescent="0.3">
      <c r="A57" s="255"/>
      <c r="B57" s="230"/>
      <c r="C57" s="230"/>
    </row>
    <row r="58" spans="1:3" s="231" customFormat="1" x14ac:dyDescent="0.3">
      <c r="A58" s="255"/>
      <c r="B58" s="230"/>
      <c r="C58" s="230"/>
    </row>
    <row r="59" spans="1:3" s="231" customFormat="1" x14ac:dyDescent="0.3">
      <c r="A59" s="255"/>
      <c r="B59" s="230"/>
      <c r="C59" s="230"/>
    </row>
    <row r="60" spans="1:3" s="231" customFormat="1" x14ac:dyDescent="0.3">
      <c r="A60" s="255"/>
      <c r="B60" s="230"/>
      <c r="C60" s="230"/>
    </row>
    <row r="61" spans="1:3" s="231" customFormat="1" x14ac:dyDescent="0.3">
      <c r="A61" s="255"/>
      <c r="B61" s="230"/>
      <c r="C61" s="230"/>
    </row>
    <row r="62" spans="1:3" s="231" customFormat="1" x14ac:dyDescent="0.3">
      <c r="A62" s="255"/>
      <c r="B62" s="230"/>
      <c r="C62" s="230"/>
    </row>
    <row r="63" spans="1:3" s="231" customFormat="1" x14ac:dyDescent="0.3">
      <c r="A63" s="255"/>
      <c r="B63" s="230"/>
      <c r="C63" s="230"/>
    </row>
    <row r="64" spans="1:3" s="231" customFormat="1" x14ac:dyDescent="0.3">
      <c r="A64" s="255"/>
      <c r="B64" s="230"/>
      <c r="C64" s="230"/>
    </row>
    <row r="65" spans="1:3" s="231" customFormat="1" x14ac:dyDescent="0.3">
      <c r="A65" s="255"/>
      <c r="B65" s="230"/>
      <c r="C65" s="230"/>
    </row>
    <row r="66" spans="1:3" s="231" customFormat="1" x14ac:dyDescent="0.3">
      <c r="A66" s="255"/>
      <c r="B66" s="230"/>
      <c r="C66" s="230"/>
    </row>
    <row r="67" spans="1:3" s="231" customFormat="1" x14ac:dyDescent="0.3">
      <c r="A67" s="255"/>
      <c r="B67" s="230"/>
      <c r="C67" s="230"/>
    </row>
    <row r="68" spans="1:3" s="231" customFormat="1" x14ac:dyDescent="0.3">
      <c r="A68" s="255"/>
      <c r="B68" s="230"/>
      <c r="C68" s="230"/>
    </row>
    <row r="69" spans="1:3" s="231" customFormat="1" x14ac:dyDescent="0.3">
      <c r="A69" s="255"/>
      <c r="B69" s="230"/>
      <c r="C69" s="230"/>
    </row>
    <row r="70" spans="1:3" s="231" customFormat="1" x14ac:dyDescent="0.3">
      <c r="A70" s="255"/>
      <c r="B70" s="230"/>
      <c r="C70" s="230"/>
    </row>
    <row r="71" spans="1:3" s="231" customFormat="1" x14ac:dyDescent="0.3">
      <c r="A71" s="255"/>
      <c r="B71" s="230"/>
      <c r="C71" s="230"/>
    </row>
    <row r="72" spans="1:3" s="231" customFormat="1" x14ac:dyDescent="0.3">
      <c r="A72" s="255"/>
      <c r="B72" s="230"/>
      <c r="C72" s="230"/>
    </row>
    <row r="73" spans="1:3" s="231" customFormat="1" x14ac:dyDescent="0.3">
      <c r="A73" s="255"/>
      <c r="B73" s="230"/>
      <c r="C73" s="230"/>
    </row>
    <row r="74" spans="1:3" s="231" customFormat="1" x14ac:dyDescent="0.3">
      <c r="A74" s="255"/>
      <c r="B74" s="230"/>
      <c r="C74" s="230"/>
    </row>
    <row r="75" spans="1:3" s="231" customFormat="1" x14ac:dyDescent="0.3">
      <c r="A75" s="255"/>
      <c r="B75" s="230"/>
      <c r="C75" s="230"/>
    </row>
    <row r="76" spans="1:3" s="231" customFormat="1" x14ac:dyDescent="0.3">
      <c r="A76" s="255"/>
      <c r="B76" s="230"/>
      <c r="C76" s="230"/>
    </row>
    <row r="77" spans="1:3" s="231" customFormat="1" x14ac:dyDescent="0.3">
      <c r="A77" s="255"/>
      <c r="B77" s="230"/>
      <c r="C77" s="230"/>
    </row>
    <row r="78" spans="1:3" s="231" customFormat="1" x14ac:dyDescent="0.3">
      <c r="A78" s="255"/>
      <c r="B78" s="230"/>
      <c r="C78" s="230"/>
    </row>
    <row r="79" spans="1:3" s="231" customFormat="1" x14ac:dyDescent="0.3">
      <c r="A79" s="255"/>
      <c r="B79" s="230"/>
      <c r="C79" s="230"/>
    </row>
    <row r="80" spans="1:3" s="231" customFormat="1" x14ac:dyDescent="0.3">
      <c r="A80" s="255"/>
      <c r="B80" s="230"/>
      <c r="C80" s="230"/>
    </row>
    <row r="81" spans="1:3" s="231" customFormat="1" x14ac:dyDescent="0.3">
      <c r="A81" s="255"/>
      <c r="B81" s="230"/>
      <c r="C81" s="230"/>
    </row>
    <row r="82" spans="1:3" s="231" customFormat="1" x14ac:dyDescent="0.3">
      <c r="A82" s="255"/>
      <c r="B82" s="230"/>
      <c r="C82" s="230"/>
    </row>
    <row r="83" spans="1:3" s="231" customFormat="1" x14ac:dyDescent="0.3">
      <c r="A83" s="255"/>
      <c r="B83" s="230"/>
      <c r="C83" s="230"/>
    </row>
    <row r="84" spans="1:3" s="231" customFormat="1" x14ac:dyDescent="0.3">
      <c r="A84" s="255"/>
      <c r="B84" s="230"/>
      <c r="C84" s="230"/>
    </row>
    <row r="85" spans="1:3" s="231" customFormat="1" x14ac:dyDescent="0.3">
      <c r="A85" s="255"/>
      <c r="B85" s="230"/>
      <c r="C85" s="230"/>
    </row>
    <row r="86" spans="1:3" s="231" customFormat="1" x14ac:dyDescent="0.3">
      <c r="A86" s="255"/>
      <c r="B86" s="230"/>
      <c r="C86" s="230"/>
    </row>
    <row r="87" spans="1:3" s="231" customFormat="1" x14ac:dyDescent="0.3">
      <c r="A87" s="255"/>
      <c r="B87" s="230"/>
      <c r="C87" s="230"/>
    </row>
    <row r="88" spans="1:3" s="231" customFormat="1" x14ac:dyDescent="0.3">
      <c r="A88" s="255"/>
      <c r="B88" s="230"/>
      <c r="C88" s="230"/>
    </row>
    <row r="89" spans="1:3" s="231" customFormat="1" x14ac:dyDescent="0.3">
      <c r="A89" s="255"/>
      <c r="B89" s="230"/>
      <c r="C89" s="230"/>
    </row>
    <row r="90" spans="1:3" s="231" customFormat="1" x14ac:dyDescent="0.3">
      <c r="A90" s="255"/>
      <c r="B90" s="230"/>
      <c r="C90" s="230"/>
    </row>
    <row r="91" spans="1:3" s="231" customFormat="1" x14ac:dyDescent="0.3">
      <c r="A91" s="255"/>
      <c r="B91" s="230"/>
      <c r="C91" s="230"/>
    </row>
    <row r="92" spans="1:3" s="231" customFormat="1" x14ac:dyDescent="0.3">
      <c r="A92" s="255"/>
      <c r="B92" s="230"/>
      <c r="C92" s="230"/>
    </row>
    <row r="93" spans="1:3" s="231" customFormat="1" x14ac:dyDescent="0.3">
      <c r="A93" s="255"/>
      <c r="B93" s="230"/>
      <c r="C93" s="230"/>
    </row>
    <row r="94" spans="1:3" s="231" customFormat="1" x14ac:dyDescent="0.3">
      <c r="A94" s="255"/>
      <c r="B94" s="230"/>
      <c r="C94" s="230"/>
    </row>
    <row r="95" spans="1:3" s="231" customFormat="1" x14ac:dyDescent="0.3">
      <c r="A95" s="255"/>
      <c r="B95" s="230"/>
      <c r="C95" s="230"/>
    </row>
    <row r="96" spans="1:3" s="231" customFormat="1" x14ac:dyDescent="0.3">
      <c r="A96" s="255"/>
      <c r="B96" s="230"/>
      <c r="C96" s="230"/>
    </row>
    <row r="97" spans="1:3" s="231" customFormat="1" x14ac:dyDescent="0.3">
      <c r="A97" s="255"/>
      <c r="B97" s="230"/>
      <c r="C97" s="230"/>
    </row>
    <row r="98" spans="1:3" s="231" customFormat="1" x14ac:dyDescent="0.3">
      <c r="A98" s="255"/>
      <c r="B98" s="230"/>
      <c r="C98" s="230"/>
    </row>
    <row r="99" spans="1:3" s="231" customFormat="1" x14ac:dyDescent="0.3">
      <c r="A99" s="255"/>
      <c r="B99" s="230"/>
      <c r="C99" s="230"/>
    </row>
    <row r="100" spans="1:3" s="231" customFormat="1" x14ac:dyDescent="0.3">
      <c r="A100" s="255"/>
      <c r="B100" s="230"/>
      <c r="C100" s="230"/>
    </row>
    <row r="101" spans="1:3" s="231" customFormat="1" x14ac:dyDescent="0.3">
      <c r="A101" s="255"/>
      <c r="B101" s="230"/>
      <c r="C101" s="230"/>
    </row>
    <row r="102" spans="1:3" s="231" customFormat="1" x14ac:dyDescent="0.3">
      <c r="A102" s="255"/>
      <c r="B102" s="230"/>
      <c r="C102" s="230"/>
    </row>
    <row r="103" spans="1:3" s="231" customFormat="1" x14ac:dyDescent="0.3">
      <c r="A103" s="255"/>
      <c r="B103" s="230"/>
      <c r="C103" s="230"/>
    </row>
    <row r="104" spans="1:3" s="231" customFormat="1" x14ac:dyDescent="0.3">
      <c r="A104" s="255"/>
      <c r="B104" s="230"/>
      <c r="C104" s="230"/>
    </row>
    <row r="105" spans="1:3" s="231" customFormat="1" x14ac:dyDescent="0.3">
      <c r="A105" s="255"/>
      <c r="B105" s="230"/>
      <c r="C105" s="230"/>
    </row>
    <row r="106" spans="1:3" s="231" customFormat="1" x14ac:dyDescent="0.3">
      <c r="A106" s="255"/>
      <c r="B106" s="230"/>
      <c r="C106" s="230"/>
    </row>
    <row r="107" spans="1:3" s="231" customFormat="1" x14ac:dyDescent="0.3">
      <c r="A107" s="255"/>
      <c r="B107" s="230"/>
      <c r="C107" s="230"/>
    </row>
    <row r="108" spans="1:3" s="231" customFormat="1" x14ac:dyDescent="0.3">
      <c r="A108" s="255"/>
      <c r="B108" s="230"/>
      <c r="C108" s="230"/>
    </row>
    <row r="109" spans="1:3" s="231" customFormat="1" x14ac:dyDescent="0.3">
      <c r="A109" s="255"/>
      <c r="B109" s="230"/>
      <c r="C109" s="230"/>
    </row>
    <row r="110" spans="1:3" s="231" customFormat="1" x14ac:dyDescent="0.3">
      <c r="A110" s="255"/>
      <c r="B110" s="230"/>
      <c r="C110" s="230"/>
    </row>
    <row r="111" spans="1:3" s="231" customFormat="1" x14ac:dyDescent="0.3">
      <c r="A111" s="255"/>
      <c r="B111" s="230"/>
      <c r="C111" s="230"/>
    </row>
    <row r="112" spans="1:3" s="231" customFormat="1" x14ac:dyDescent="0.3">
      <c r="A112" s="255"/>
      <c r="B112" s="230"/>
      <c r="C112" s="230"/>
    </row>
    <row r="113" spans="1:3" s="231" customFormat="1" x14ac:dyDescent="0.3">
      <c r="A113" s="255"/>
      <c r="B113" s="230"/>
      <c r="C113" s="230"/>
    </row>
    <row r="114" spans="1:3" s="231" customFormat="1" x14ac:dyDescent="0.3">
      <c r="A114" s="255"/>
      <c r="B114" s="230"/>
      <c r="C114" s="230"/>
    </row>
    <row r="115" spans="1:3" s="231" customFormat="1" x14ac:dyDescent="0.3">
      <c r="A115" s="255"/>
      <c r="B115" s="230"/>
      <c r="C115" s="230"/>
    </row>
    <row r="116" spans="1:3" s="231" customFormat="1" x14ac:dyDescent="0.3">
      <c r="A116" s="255"/>
      <c r="B116" s="230"/>
      <c r="C116" s="230"/>
    </row>
    <row r="117" spans="1:3" s="231" customFormat="1" x14ac:dyDescent="0.3">
      <c r="A117" s="255"/>
      <c r="B117" s="230"/>
      <c r="C117" s="230"/>
    </row>
    <row r="118" spans="1:3" s="231" customFormat="1" x14ac:dyDescent="0.3">
      <c r="A118" s="255"/>
      <c r="B118" s="230"/>
      <c r="C118" s="230"/>
    </row>
    <row r="119" spans="1:3" s="231" customFormat="1" x14ac:dyDescent="0.3">
      <c r="A119" s="255"/>
      <c r="B119" s="230"/>
      <c r="C119" s="230"/>
    </row>
    <row r="120" spans="1:3" s="231" customFormat="1" x14ac:dyDescent="0.3">
      <c r="A120" s="255"/>
      <c r="B120" s="230"/>
      <c r="C120" s="230"/>
    </row>
    <row r="121" spans="1:3" s="231" customFormat="1" x14ac:dyDescent="0.3">
      <c r="A121" s="255"/>
      <c r="B121" s="230"/>
      <c r="C121" s="230"/>
    </row>
    <row r="122" spans="1:3" s="231" customFormat="1" x14ac:dyDescent="0.3">
      <c r="A122" s="255"/>
      <c r="B122" s="230"/>
      <c r="C122" s="230"/>
    </row>
    <row r="123" spans="1:3" s="231" customFormat="1" x14ac:dyDescent="0.3">
      <c r="A123" s="255"/>
      <c r="B123" s="230"/>
      <c r="C123" s="230"/>
    </row>
    <row r="124" spans="1:3" s="231" customFormat="1" x14ac:dyDescent="0.3">
      <c r="A124" s="255"/>
      <c r="B124" s="230"/>
      <c r="C124" s="230"/>
    </row>
    <row r="125" spans="1:3" s="231" customFormat="1" x14ac:dyDescent="0.3">
      <c r="A125" s="255"/>
      <c r="B125" s="230"/>
      <c r="C125" s="230"/>
    </row>
    <row r="126" spans="1:3" s="231" customFormat="1" x14ac:dyDescent="0.3">
      <c r="A126" s="255"/>
      <c r="B126" s="230"/>
      <c r="C126" s="230"/>
    </row>
    <row r="127" spans="1:3" s="231" customFormat="1" x14ac:dyDescent="0.3">
      <c r="A127" s="255"/>
      <c r="B127" s="230"/>
      <c r="C127" s="230"/>
    </row>
    <row r="128" spans="1:3" s="231" customFormat="1" x14ac:dyDescent="0.3">
      <c r="A128" s="255"/>
      <c r="B128" s="230"/>
      <c r="C128" s="230"/>
    </row>
    <row r="129" spans="1:3" s="231" customFormat="1" x14ac:dyDescent="0.3">
      <c r="A129" s="255"/>
      <c r="B129" s="230"/>
      <c r="C129" s="230"/>
    </row>
    <row r="130" spans="1:3" s="231" customFormat="1" x14ac:dyDescent="0.3">
      <c r="A130" s="255"/>
      <c r="B130" s="230"/>
      <c r="C130" s="230"/>
    </row>
    <row r="131" spans="1:3" s="231" customFormat="1" x14ac:dyDescent="0.3">
      <c r="A131" s="255"/>
      <c r="B131" s="230"/>
      <c r="C131" s="230"/>
    </row>
    <row r="132" spans="1:3" s="231" customFormat="1" x14ac:dyDescent="0.3">
      <c r="A132" s="255"/>
      <c r="B132" s="230"/>
      <c r="C132" s="230"/>
    </row>
    <row r="133" spans="1:3" s="231" customFormat="1" x14ac:dyDescent="0.3">
      <c r="A133" s="255"/>
      <c r="B133" s="230"/>
      <c r="C133" s="230"/>
    </row>
    <row r="134" spans="1:3" s="231" customFormat="1" x14ac:dyDescent="0.3">
      <c r="A134" s="255"/>
      <c r="B134" s="230"/>
      <c r="C134" s="230"/>
    </row>
    <row r="135" spans="1:3" s="231" customFormat="1" x14ac:dyDescent="0.3">
      <c r="A135" s="255"/>
      <c r="B135" s="230"/>
      <c r="C135" s="230"/>
    </row>
    <row r="136" spans="1:3" s="231" customFormat="1" x14ac:dyDescent="0.3">
      <c r="A136" s="255"/>
      <c r="B136" s="230"/>
      <c r="C136" s="230"/>
    </row>
    <row r="137" spans="1:3" s="231" customFormat="1" x14ac:dyDescent="0.3">
      <c r="A137" s="255"/>
      <c r="B137" s="230"/>
      <c r="C137" s="230"/>
    </row>
    <row r="138" spans="1:3" s="231" customFormat="1" x14ac:dyDescent="0.3">
      <c r="A138" s="255"/>
      <c r="B138" s="230"/>
      <c r="C138" s="230"/>
    </row>
    <row r="139" spans="1:3" s="231" customFormat="1" x14ac:dyDescent="0.3">
      <c r="A139" s="255"/>
      <c r="B139" s="230"/>
      <c r="C139" s="230"/>
    </row>
    <row r="140" spans="1:3" s="231" customFormat="1" x14ac:dyDescent="0.3">
      <c r="A140" s="255"/>
      <c r="B140" s="230"/>
      <c r="C140" s="230"/>
    </row>
    <row r="141" spans="1:3" s="231" customFormat="1" x14ac:dyDescent="0.3">
      <c r="A141" s="255"/>
      <c r="B141" s="230"/>
      <c r="C141" s="230"/>
    </row>
    <row r="142" spans="1:3" s="231" customFormat="1" x14ac:dyDescent="0.3">
      <c r="A142" s="255"/>
      <c r="B142" s="230"/>
      <c r="C142" s="230"/>
    </row>
    <row r="143" spans="1:3" s="231" customFormat="1" x14ac:dyDescent="0.3">
      <c r="A143" s="255"/>
      <c r="B143" s="230"/>
      <c r="C143" s="230"/>
    </row>
    <row r="144" spans="1:3" s="231" customFormat="1" x14ac:dyDescent="0.3">
      <c r="A144" s="255"/>
      <c r="B144" s="230"/>
      <c r="C144" s="230"/>
    </row>
    <row r="145" spans="1:3" s="231" customFormat="1" x14ac:dyDescent="0.3">
      <c r="A145" s="255"/>
      <c r="B145" s="230"/>
      <c r="C145" s="230"/>
    </row>
    <row r="146" spans="1:3" s="231" customFormat="1" x14ac:dyDescent="0.3">
      <c r="A146" s="255"/>
      <c r="B146" s="230"/>
      <c r="C146" s="230"/>
    </row>
    <row r="147" spans="1:3" s="231" customFormat="1" x14ac:dyDescent="0.3">
      <c r="A147" s="255"/>
      <c r="B147" s="230"/>
      <c r="C147" s="230"/>
    </row>
    <row r="148" spans="1:3" s="231" customFormat="1" x14ac:dyDescent="0.3">
      <c r="A148" s="255"/>
      <c r="B148" s="230"/>
      <c r="C148" s="230"/>
    </row>
    <row r="149" spans="1:3" s="231" customFormat="1" x14ac:dyDescent="0.3">
      <c r="A149" s="255"/>
      <c r="B149" s="230"/>
      <c r="C149" s="230"/>
    </row>
    <row r="150" spans="1:3" s="231" customFormat="1" x14ac:dyDescent="0.3">
      <c r="A150" s="255"/>
      <c r="B150" s="230"/>
      <c r="C150" s="230"/>
    </row>
    <row r="151" spans="1:3" s="231" customFormat="1" x14ac:dyDescent="0.3">
      <c r="A151" s="255"/>
      <c r="B151" s="230"/>
      <c r="C151" s="230"/>
    </row>
    <row r="152" spans="1:3" s="231" customFormat="1" x14ac:dyDescent="0.3">
      <c r="A152" s="255"/>
      <c r="B152" s="230"/>
      <c r="C152" s="230"/>
    </row>
    <row r="153" spans="1:3" s="231" customFormat="1" x14ac:dyDescent="0.3">
      <c r="A153" s="255"/>
      <c r="B153" s="230"/>
      <c r="C153" s="230"/>
    </row>
    <row r="154" spans="1:3" s="231" customFormat="1" x14ac:dyDescent="0.3">
      <c r="A154" s="255"/>
      <c r="B154" s="230"/>
      <c r="C154" s="230"/>
    </row>
    <row r="155" spans="1:3" s="231" customFormat="1" x14ac:dyDescent="0.3">
      <c r="A155" s="255"/>
      <c r="B155" s="230"/>
      <c r="C155" s="230"/>
    </row>
    <row r="156" spans="1:3" s="231" customFormat="1" x14ac:dyDescent="0.3">
      <c r="A156" s="255"/>
      <c r="B156" s="230"/>
      <c r="C156" s="230"/>
    </row>
    <row r="157" spans="1:3" s="231" customFormat="1" x14ac:dyDescent="0.3">
      <c r="A157" s="255"/>
      <c r="B157" s="230"/>
      <c r="C157" s="230"/>
    </row>
    <row r="158" spans="1:3" s="231" customFormat="1" x14ac:dyDescent="0.3">
      <c r="A158" s="255"/>
      <c r="B158" s="230"/>
      <c r="C158" s="230"/>
    </row>
    <row r="159" spans="1:3" s="231" customFormat="1" x14ac:dyDescent="0.3">
      <c r="A159" s="255"/>
      <c r="B159" s="230"/>
      <c r="C159" s="230"/>
    </row>
    <row r="160" spans="1:3" s="231" customFormat="1" x14ac:dyDescent="0.3">
      <c r="A160" s="255"/>
      <c r="B160" s="230"/>
      <c r="C160" s="230"/>
    </row>
    <row r="161" spans="1:3" s="231" customFormat="1" x14ac:dyDescent="0.3">
      <c r="A161" s="255"/>
      <c r="B161" s="230"/>
      <c r="C161" s="230"/>
    </row>
    <row r="162" spans="1:3" s="231" customFormat="1" x14ac:dyDescent="0.3">
      <c r="A162" s="255"/>
      <c r="B162" s="230"/>
      <c r="C162" s="230"/>
    </row>
    <row r="163" spans="1:3" s="231" customFormat="1" x14ac:dyDescent="0.3">
      <c r="A163" s="255"/>
      <c r="B163" s="230"/>
      <c r="C163" s="230"/>
    </row>
    <row r="164" spans="1:3" s="231" customFormat="1" x14ac:dyDescent="0.3">
      <c r="A164" s="255"/>
      <c r="B164" s="230"/>
      <c r="C164" s="230"/>
    </row>
    <row r="165" spans="1:3" s="231" customFormat="1" x14ac:dyDescent="0.3">
      <c r="A165" s="255"/>
      <c r="B165" s="230"/>
      <c r="C165" s="230"/>
    </row>
    <row r="166" spans="1:3" s="231" customFormat="1" x14ac:dyDescent="0.3">
      <c r="A166" s="255"/>
      <c r="B166" s="230"/>
      <c r="C166" s="230"/>
    </row>
    <row r="167" spans="1:3" s="231" customFormat="1" x14ac:dyDescent="0.3">
      <c r="A167" s="255"/>
      <c r="B167" s="230"/>
      <c r="C167" s="230"/>
    </row>
    <row r="168" spans="1:3" s="231" customFormat="1" x14ac:dyDescent="0.3">
      <c r="A168" s="255"/>
      <c r="B168" s="230"/>
      <c r="C168" s="230"/>
    </row>
    <row r="169" spans="1:3" s="231" customFormat="1" x14ac:dyDescent="0.3">
      <c r="A169" s="255"/>
      <c r="B169" s="230"/>
      <c r="C169" s="230"/>
    </row>
    <row r="170" spans="1:3" s="231" customFormat="1" x14ac:dyDescent="0.3">
      <c r="A170" s="255"/>
      <c r="B170" s="230"/>
      <c r="C170" s="230"/>
    </row>
    <row r="171" spans="1:3" s="231" customFormat="1" x14ac:dyDescent="0.3">
      <c r="A171" s="255"/>
      <c r="B171" s="230"/>
      <c r="C171" s="230"/>
    </row>
    <row r="172" spans="1:3" s="231" customFormat="1" x14ac:dyDescent="0.3">
      <c r="A172" s="255"/>
      <c r="B172" s="230"/>
      <c r="C172" s="230"/>
    </row>
    <row r="173" spans="1:3" s="231" customFormat="1" x14ac:dyDescent="0.3">
      <c r="A173" s="255"/>
      <c r="B173" s="230"/>
      <c r="C173" s="230"/>
    </row>
    <row r="174" spans="1:3" s="231" customFormat="1" x14ac:dyDescent="0.3">
      <c r="A174" s="255"/>
      <c r="B174" s="230"/>
      <c r="C174" s="230"/>
    </row>
    <row r="175" spans="1:3" s="231" customFormat="1" x14ac:dyDescent="0.3">
      <c r="A175" s="255"/>
      <c r="B175" s="230"/>
      <c r="C175" s="230"/>
    </row>
    <row r="176" spans="1:3" s="231" customFormat="1" x14ac:dyDescent="0.3">
      <c r="A176" s="255"/>
      <c r="B176" s="230"/>
      <c r="C176" s="230"/>
    </row>
    <row r="177" spans="1:3" s="231" customFormat="1" x14ac:dyDescent="0.3">
      <c r="A177" s="255"/>
      <c r="B177" s="230"/>
      <c r="C177" s="230"/>
    </row>
    <row r="178" spans="1:3" s="231" customFormat="1" x14ac:dyDescent="0.3">
      <c r="A178" s="255"/>
      <c r="B178" s="230"/>
      <c r="C178" s="230"/>
    </row>
    <row r="179" spans="1:3" s="231" customFormat="1" x14ac:dyDescent="0.3">
      <c r="A179" s="255"/>
      <c r="B179" s="230"/>
      <c r="C179" s="230"/>
    </row>
    <row r="180" spans="1:3" s="231" customFormat="1" x14ac:dyDescent="0.3">
      <c r="A180" s="255"/>
      <c r="B180" s="230"/>
      <c r="C180" s="230"/>
    </row>
    <row r="181" spans="1:3" s="231" customFormat="1" x14ac:dyDescent="0.3">
      <c r="A181" s="255"/>
      <c r="B181" s="230"/>
      <c r="C181" s="230"/>
    </row>
    <row r="182" spans="1:3" s="231" customFormat="1" x14ac:dyDescent="0.3">
      <c r="A182" s="255"/>
      <c r="B182" s="230"/>
      <c r="C182" s="230"/>
    </row>
    <row r="183" spans="1:3" s="231" customFormat="1" x14ac:dyDescent="0.3">
      <c r="A183" s="255"/>
      <c r="B183" s="230"/>
      <c r="C183" s="230"/>
    </row>
    <row r="184" spans="1:3" s="231" customFormat="1" x14ac:dyDescent="0.3">
      <c r="A184" s="255"/>
      <c r="B184" s="230"/>
      <c r="C184" s="230"/>
    </row>
    <row r="185" spans="1:3" s="231" customFormat="1" x14ac:dyDescent="0.3">
      <c r="A185" s="255"/>
      <c r="B185" s="230"/>
      <c r="C185" s="230"/>
    </row>
    <row r="186" spans="1:3" s="231" customFormat="1" x14ac:dyDescent="0.3">
      <c r="A186" s="255"/>
      <c r="B186" s="230"/>
      <c r="C186" s="230"/>
    </row>
    <row r="187" spans="1:3" s="231" customFormat="1" x14ac:dyDescent="0.3">
      <c r="A187" s="255"/>
      <c r="B187" s="230"/>
      <c r="C187" s="230"/>
    </row>
    <row r="188" spans="1:3" s="231" customFormat="1" x14ac:dyDescent="0.3">
      <c r="A188" s="255"/>
      <c r="B188" s="230"/>
      <c r="C188" s="230"/>
    </row>
    <row r="189" spans="1:3" s="231" customFormat="1" x14ac:dyDescent="0.3">
      <c r="A189" s="255"/>
      <c r="B189" s="230"/>
      <c r="C189" s="230"/>
    </row>
    <row r="190" spans="1:3" s="231" customFormat="1" x14ac:dyDescent="0.3">
      <c r="A190" s="255"/>
      <c r="B190" s="230"/>
      <c r="C190" s="230"/>
    </row>
    <row r="191" spans="1:3" s="231" customFormat="1" x14ac:dyDescent="0.3">
      <c r="A191" s="255"/>
      <c r="B191" s="230"/>
      <c r="C191" s="230"/>
    </row>
    <row r="192" spans="1:3" s="231" customFormat="1" x14ac:dyDescent="0.3">
      <c r="A192" s="255"/>
      <c r="B192" s="230"/>
      <c r="C192" s="230"/>
    </row>
    <row r="193" spans="1:3" s="231" customFormat="1" x14ac:dyDescent="0.3">
      <c r="A193" s="255"/>
      <c r="B193" s="230"/>
      <c r="C193" s="230"/>
    </row>
    <row r="194" spans="1:3" s="231" customFormat="1" x14ac:dyDescent="0.3">
      <c r="A194" s="255"/>
      <c r="B194" s="230"/>
      <c r="C194" s="230"/>
    </row>
    <row r="195" spans="1:3" s="231" customFormat="1" x14ac:dyDescent="0.3">
      <c r="A195" s="255"/>
      <c r="B195" s="230"/>
      <c r="C195" s="230"/>
    </row>
    <row r="196" spans="1:3" s="231" customFormat="1" x14ac:dyDescent="0.3">
      <c r="A196" s="255"/>
      <c r="B196" s="230"/>
      <c r="C196" s="230"/>
    </row>
    <row r="197" spans="1:3" s="231" customFormat="1" x14ac:dyDescent="0.3">
      <c r="A197" s="255"/>
      <c r="B197" s="230"/>
      <c r="C197" s="230"/>
    </row>
    <row r="198" spans="1:3" s="231" customFormat="1" x14ac:dyDescent="0.3">
      <c r="A198" s="255"/>
      <c r="B198" s="230"/>
      <c r="C198" s="230"/>
    </row>
    <row r="199" spans="1:3" s="231" customFormat="1" x14ac:dyDescent="0.3">
      <c r="A199" s="255"/>
      <c r="B199" s="230"/>
      <c r="C199" s="230"/>
    </row>
    <row r="200" spans="1:3" s="231" customFormat="1" x14ac:dyDescent="0.3">
      <c r="A200" s="255"/>
      <c r="B200" s="230"/>
      <c r="C200" s="230"/>
    </row>
    <row r="201" spans="1:3" s="231" customFormat="1" x14ac:dyDescent="0.3">
      <c r="A201" s="255"/>
      <c r="B201" s="230"/>
      <c r="C201" s="230"/>
    </row>
    <row r="202" spans="1:3" s="231" customFormat="1" x14ac:dyDescent="0.3">
      <c r="A202" s="255"/>
      <c r="B202" s="230"/>
      <c r="C202" s="230"/>
    </row>
    <row r="203" spans="1:3" s="231" customFormat="1" x14ac:dyDescent="0.3">
      <c r="A203" s="255"/>
      <c r="B203" s="230"/>
      <c r="C203" s="230"/>
    </row>
    <row r="204" spans="1:3" s="231" customFormat="1" x14ac:dyDescent="0.3">
      <c r="A204" s="255"/>
      <c r="B204" s="230"/>
      <c r="C204" s="230"/>
    </row>
    <row r="205" spans="1:3" s="231" customFormat="1" x14ac:dyDescent="0.3">
      <c r="A205" s="255"/>
      <c r="B205" s="230"/>
      <c r="C205" s="230"/>
    </row>
    <row r="206" spans="1:3" s="231" customFormat="1" x14ac:dyDescent="0.3">
      <c r="A206" s="255"/>
      <c r="B206" s="230"/>
      <c r="C206" s="230"/>
    </row>
    <row r="207" spans="1:3" s="231" customFormat="1" x14ac:dyDescent="0.3">
      <c r="A207" s="255"/>
      <c r="B207" s="230"/>
      <c r="C207" s="230"/>
    </row>
    <row r="208" spans="1:3" s="231" customFormat="1" x14ac:dyDescent="0.3">
      <c r="A208" s="255"/>
      <c r="B208" s="230"/>
      <c r="C208" s="230"/>
    </row>
    <row r="209" spans="1:3" s="231" customFormat="1" x14ac:dyDescent="0.3">
      <c r="A209" s="255"/>
      <c r="B209" s="230"/>
      <c r="C209" s="230"/>
    </row>
    <row r="210" spans="1:3" s="231" customFormat="1" x14ac:dyDescent="0.3">
      <c r="A210" s="255"/>
      <c r="B210" s="230"/>
      <c r="C210" s="230"/>
    </row>
    <row r="211" spans="1:3" s="231" customFormat="1" x14ac:dyDescent="0.3">
      <c r="A211" s="255"/>
      <c r="B211" s="230"/>
      <c r="C211" s="230"/>
    </row>
    <row r="212" spans="1:3" s="231" customFormat="1" x14ac:dyDescent="0.3">
      <c r="A212" s="255"/>
      <c r="B212" s="230"/>
      <c r="C212" s="230"/>
    </row>
    <row r="213" spans="1:3" s="231" customFormat="1" x14ac:dyDescent="0.3">
      <c r="A213" s="255"/>
      <c r="B213" s="230"/>
      <c r="C213" s="230"/>
    </row>
    <row r="214" spans="1:3" s="231" customFormat="1" x14ac:dyDescent="0.3">
      <c r="A214" s="255"/>
      <c r="B214" s="230"/>
      <c r="C214" s="230"/>
    </row>
    <row r="215" spans="1:3" s="231" customFormat="1" x14ac:dyDescent="0.3">
      <c r="A215" s="255"/>
      <c r="B215" s="230"/>
      <c r="C215" s="230"/>
    </row>
    <row r="216" spans="1:3" s="231" customFormat="1" x14ac:dyDescent="0.3">
      <c r="A216" s="255"/>
      <c r="B216" s="230"/>
      <c r="C216" s="230"/>
    </row>
    <row r="217" spans="1:3" s="231" customFormat="1" x14ac:dyDescent="0.3">
      <c r="A217" s="255"/>
      <c r="B217" s="230"/>
      <c r="C217" s="230"/>
    </row>
    <row r="218" spans="1:3" s="231" customFormat="1" x14ac:dyDescent="0.3">
      <c r="A218" s="255"/>
      <c r="B218" s="230"/>
      <c r="C218" s="230"/>
    </row>
    <row r="219" spans="1:3" s="231" customFormat="1" x14ac:dyDescent="0.3">
      <c r="A219" s="255"/>
      <c r="B219" s="230"/>
      <c r="C219" s="230"/>
    </row>
    <row r="220" spans="1:3" s="231" customFormat="1" x14ac:dyDescent="0.3">
      <c r="A220" s="255"/>
      <c r="B220" s="230"/>
      <c r="C220" s="230"/>
    </row>
    <row r="221" spans="1:3" s="231" customFormat="1" x14ac:dyDescent="0.3">
      <c r="A221" s="255"/>
      <c r="B221" s="230"/>
      <c r="C221" s="230"/>
    </row>
    <row r="222" spans="1:3" s="231" customFormat="1" x14ac:dyDescent="0.3">
      <c r="A222" s="255"/>
      <c r="B222" s="230"/>
      <c r="C222" s="230"/>
    </row>
    <row r="223" spans="1:3" s="231" customFormat="1" x14ac:dyDescent="0.3">
      <c r="A223" s="255"/>
      <c r="B223" s="230"/>
      <c r="C223" s="230"/>
    </row>
    <row r="224" spans="1:3" s="231" customFormat="1" x14ac:dyDescent="0.3">
      <c r="A224" s="255"/>
      <c r="B224" s="230"/>
      <c r="C224" s="230"/>
    </row>
    <row r="225" spans="1:3" s="231" customFormat="1" x14ac:dyDescent="0.3">
      <c r="A225" s="255"/>
      <c r="B225" s="230"/>
      <c r="C225" s="230"/>
    </row>
    <row r="226" spans="1:3" s="231" customFormat="1" x14ac:dyDescent="0.3">
      <c r="A226" s="255"/>
      <c r="B226" s="230"/>
      <c r="C226" s="230"/>
    </row>
    <row r="227" spans="1:3" s="231" customFormat="1" x14ac:dyDescent="0.3">
      <c r="A227" s="255"/>
      <c r="B227" s="230"/>
      <c r="C227" s="230"/>
    </row>
    <row r="228" spans="1:3" s="231" customFormat="1" x14ac:dyDescent="0.3">
      <c r="A228" s="255"/>
      <c r="B228" s="230"/>
      <c r="C228" s="230"/>
    </row>
    <row r="229" spans="1:3" s="231" customFormat="1" x14ac:dyDescent="0.3">
      <c r="A229" s="255"/>
      <c r="B229" s="230"/>
      <c r="C229" s="230"/>
    </row>
    <row r="230" spans="1:3" s="231" customFormat="1" x14ac:dyDescent="0.3">
      <c r="A230" s="255"/>
      <c r="B230" s="230"/>
      <c r="C230" s="230"/>
    </row>
    <row r="231" spans="1:3" s="231" customFormat="1" x14ac:dyDescent="0.3">
      <c r="A231" s="255"/>
      <c r="B231" s="230"/>
      <c r="C231" s="230"/>
    </row>
    <row r="232" spans="1:3" s="231" customFormat="1" x14ac:dyDescent="0.3">
      <c r="A232" s="255"/>
      <c r="B232" s="230"/>
      <c r="C232" s="230"/>
    </row>
    <row r="233" spans="1:3" s="231" customFormat="1" x14ac:dyDescent="0.3">
      <c r="A233" s="255"/>
      <c r="B233" s="230"/>
      <c r="C233" s="230"/>
    </row>
    <row r="234" spans="1:3" s="231" customFormat="1" x14ac:dyDescent="0.3">
      <c r="A234" s="255"/>
      <c r="B234" s="230"/>
      <c r="C234" s="230"/>
    </row>
    <row r="235" spans="1:3" s="231" customFormat="1" x14ac:dyDescent="0.3">
      <c r="A235" s="255"/>
      <c r="B235" s="230"/>
      <c r="C235" s="230"/>
    </row>
    <row r="236" spans="1:3" s="231" customFormat="1" x14ac:dyDescent="0.3">
      <c r="A236" s="255"/>
      <c r="B236" s="230"/>
      <c r="C236" s="230"/>
    </row>
    <row r="237" spans="1:3" s="231" customFormat="1" x14ac:dyDescent="0.3">
      <c r="A237" s="255"/>
      <c r="B237" s="230"/>
      <c r="C237" s="230"/>
    </row>
    <row r="238" spans="1:3" s="231" customFormat="1" x14ac:dyDescent="0.3">
      <c r="A238" s="255"/>
      <c r="B238" s="230"/>
      <c r="C238" s="230"/>
    </row>
    <row r="239" spans="1:3" s="231" customFormat="1" x14ac:dyDescent="0.3">
      <c r="A239" s="255"/>
      <c r="B239" s="230"/>
      <c r="C239" s="230"/>
    </row>
    <row r="240" spans="1:3" s="231" customFormat="1" x14ac:dyDescent="0.3">
      <c r="A240" s="255"/>
      <c r="B240" s="230"/>
      <c r="C240" s="230"/>
    </row>
    <row r="241" spans="1:3" s="231" customFormat="1" x14ac:dyDescent="0.3">
      <c r="A241" s="255"/>
      <c r="B241" s="230"/>
      <c r="C241" s="230"/>
    </row>
    <row r="242" spans="1:3" s="231" customFormat="1" x14ac:dyDescent="0.3">
      <c r="A242" s="255"/>
      <c r="B242" s="230"/>
      <c r="C242" s="230"/>
    </row>
    <row r="243" spans="1:3" s="231" customFormat="1" x14ac:dyDescent="0.3">
      <c r="A243" s="255"/>
      <c r="B243" s="230"/>
      <c r="C243" s="230"/>
    </row>
    <row r="244" spans="1:3" s="231" customFormat="1" x14ac:dyDescent="0.3">
      <c r="A244" s="255"/>
      <c r="B244" s="230"/>
      <c r="C244" s="230"/>
    </row>
    <row r="245" spans="1:3" s="231" customFormat="1" x14ac:dyDescent="0.3">
      <c r="A245" s="255"/>
      <c r="B245" s="230"/>
      <c r="C245" s="230"/>
    </row>
    <row r="246" spans="1:3" s="231" customFormat="1" x14ac:dyDescent="0.3">
      <c r="A246" s="255"/>
      <c r="B246" s="230"/>
      <c r="C246" s="230"/>
    </row>
    <row r="247" spans="1:3" s="231" customFormat="1" x14ac:dyDescent="0.3">
      <c r="A247" s="255"/>
      <c r="B247" s="230"/>
      <c r="C247" s="230"/>
    </row>
    <row r="248" spans="1:3" s="231" customFormat="1" x14ac:dyDescent="0.3">
      <c r="A248" s="255"/>
      <c r="B248" s="230"/>
      <c r="C248" s="230"/>
    </row>
    <row r="249" spans="1:3" s="231" customFormat="1" x14ac:dyDescent="0.3">
      <c r="A249" s="255"/>
      <c r="B249" s="230"/>
      <c r="C249" s="230"/>
    </row>
    <row r="250" spans="1:3" s="231" customFormat="1" x14ac:dyDescent="0.3">
      <c r="A250" s="255"/>
      <c r="B250" s="230"/>
      <c r="C250" s="230"/>
    </row>
    <row r="251" spans="1:3" s="231" customFormat="1" x14ac:dyDescent="0.3">
      <c r="A251" s="255"/>
      <c r="B251" s="230"/>
      <c r="C251" s="230"/>
    </row>
    <row r="252" spans="1:3" s="231" customFormat="1" x14ac:dyDescent="0.3">
      <c r="A252" s="255"/>
      <c r="B252" s="230"/>
      <c r="C252" s="230"/>
    </row>
    <row r="253" spans="1:3" s="231" customFormat="1" x14ac:dyDescent="0.3">
      <c r="A253" s="255"/>
      <c r="B253" s="230"/>
      <c r="C253" s="230"/>
    </row>
    <row r="254" spans="1:3" s="231" customFormat="1" x14ac:dyDescent="0.3">
      <c r="A254" s="255"/>
      <c r="B254" s="230"/>
      <c r="C254" s="230"/>
    </row>
    <row r="255" spans="1:3" s="231" customFormat="1" x14ac:dyDescent="0.3">
      <c r="A255" s="255"/>
      <c r="B255" s="230"/>
      <c r="C255" s="230"/>
    </row>
    <row r="256" spans="1:3" s="231" customFormat="1" x14ac:dyDescent="0.3">
      <c r="A256" s="255"/>
      <c r="B256" s="230"/>
      <c r="C256" s="230"/>
    </row>
    <row r="257" spans="1:3" s="231" customFormat="1" x14ac:dyDescent="0.3">
      <c r="A257" s="255"/>
      <c r="B257" s="230"/>
      <c r="C257" s="230"/>
    </row>
    <row r="258" spans="1:3" s="231" customFormat="1" x14ac:dyDescent="0.3">
      <c r="A258" s="255"/>
      <c r="B258" s="230"/>
      <c r="C258" s="230"/>
    </row>
    <row r="259" spans="1:3" s="231" customFormat="1" x14ac:dyDescent="0.3">
      <c r="A259" s="255"/>
      <c r="B259" s="230"/>
      <c r="C259" s="230"/>
    </row>
    <row r="260" spans="1:3" s="231" customFormat="1" x14ac:dyDescent="0.3">
      <c r="A260" s="255"/>
      <c r="B260" s="230"/>
      <c r="C260" s="230"/>
    </row>
    <row r="261" spans="1:3" s="231" customFormat="1" x14ac:dyDescent="0.3">
      <c r="A261" s="255"/>
      <c r="B261" s="230"/>
      <c r="C261" s="230"/>
    </row>
    <row r="262" spans="1:3" s="231" customFormat="1" x14ac:dyDescent="0.3">
      <c r="A262" s="255"/>
      <c r="B262" s="230"/>
      <c r="C262" s="230"/>
    </row>
    <row r="263" spans="1:3" s="231" customFormat="1" x14ac:dyDescent="0.3">
      <c r="A263" s="255"/>
      <c r="B263" s="230"/>
      <c r="C263" s="230"/>
    </row>
    <row r="264" spans="1:3" s="231" customFormat="1" x14ac:dyDescent="0.3">
      <c r="A264" s="255"/>
      <c r="B264" s="230"/>
      <c r="C264" s="230"/>
    </row>
    <row r="265" spans="1:3" s="231" customFormat="1" x14ac:dyDescent="0.3">
      <c r="A265" s="255"/>
      <c r="B265" s="230"/>
      <c r="C265" s="230"/>
    </row>
    <row r="266" spans="1:3" s="231" customFormat="1" x14ac:dyDescent="0.3">
      <c r="A266" s="255"/>
      <c r="B266" s="230"/>
      <c r="C266" s="230"/>
    </row>
    <row r="267" spans="1:3" s="231" customFormat="1" x14ac:dyDescent="0.3">
      <c r="A267" s="255"/>
      <c r="B267" s="230"/>
      <c r="C267" s="230"/>
    </row>
    <row r="268" spans="1:3" s="231" customFormat="1" x14ac:dyDescent="0.3">
      <c r="A268" s="255"/>
      <c r="B268" s="230"/>
      <c r="C268" s="230"/>
    </row>
    <row r="269" spans="1:3" s="231" customFormat="1" x14ac:dyDescent="0.3">
      <c r="A269" s="255"/>
      <c r="B269" s="230"/>
      <c r="C269" s="230"/>
    </row>
    <row r="270" spans="1:3" s="231" customFormat="1" x14ac:dyDescent="0.3">
      <c r="A270" s="255"/>
      <c r="B270" s="230"/>
      <c r="C270" s="230"/>
    </row>
    <row r="271" spans="1:3" s="231" customFormat="1" x14ac:dyDescent="0.3">
      <c r="A271" s="255"/>
      <c r="B271" s="230"/>
      <c r="C271" s="230"/>
    </row>
    <row r="272" spans="1:3" s="231" customFormat="1" x14ac:dyDescent="0.3">
      <c r="A272" s="255"/>
      <c r="B272" s="230"/>
      <c r="C272" s="230"/>
    </row>
    <row r="273" spans="1:3" s="231" customFormat="1" x14ac:dyDescent="0.3">
      <c r="A273" s="255"/>
      <c r="B273" s="230"/>
      <c r="C273" s="230"/>
    </row>
    <row r="274" spans="1:3" s="231" customFormat="1" x14ac:dyDescent="0.3">
      <c r="A274" s="255"/>
      <c r="B274" s="230"/>
      <c r="C274" s="230"/>
    </row>
    <row r="275" spans="1:3" s="231" customFormat="1" x14ac:dyDescent="0.3">
      <c r="A275" s="255"/>
      <c r="B275" s="230"/>
      <c r="C275" s="230"/>
    </row>
    <row r="276" spans="1:3" s="231" customFormat="1" x14ac:dyDescent="0.3">
      <c r="A276" s="255"/>
      <c r="B276" s="230"/>
      <c r="C276" s="230"/>
    </row>
    <row r="277" spans="1:3" s="231" customFormat="1" x14ac:dyDescent="0.3">
      <c r="A277" s="255"/>
      <c r="B277" s="230"/>
      <c r="C277" s="230"/>
    </row>
    <row r="278" spans="1:3" s="231" customFormat="1" x14ac:dyDescent="0.3">
      <c r="A278" s="255"/>
      <c r="B278" s="230"/>
      <c r="C278" s="230"/>
    </row>
    <row r="279" spans="1:3" s="231" customFormat="1" x14ac:dyDescent="0.3">
      <c r="A279" s="255"/>
      <c r="B279" s="230"/>
      <c r="C279" s="230"/>
    </row>
    <row r="280" spans="1:3" s="231" customFormat="1" x14ac:dyDescent="0.3">
      <c r="A280" s="255"/>
      <c r="B280" s="230"/>
      <c r="C280" s="230"/>
    </row>
    <row r="281" spans="1:3" s="231" customFormat="1" x14ac:dyDescent="0.3">
      <c r="A281" s="255"/>
      <c r="B281" s="230"/>
      <c r="C281" s="230"/>
    </row>
    <row r="282" spans="1:3" s="231" customFormat="1" x14ac:dyDescent="0.3">
      <c r="A282" s="255"/>
      <c r="B282" s="230"/>
      <c r="C282" s="230"/>
    </row>
    <row r="283" spans="1:3" s="231" customFormat="1" x14ac:dyDescent="0.3">
      <c r="A283" s="255"/>
      <c r="B283" s="230"/>
      <c r="C283" s="230"/>
    </row>
    <row r="284" spans="1:3" s="231" customFormat="1" x14ac:dyDescent="0.3">
      <c r="A284" s="255"/>
      <c r="B284" s="230"/>
      <c r="C284" s="230"/>
    </row>
    <row r="285" spans="1:3" s="231" customFormat="1" x14ac:dyDescent="0.3">
      <c r="A285" s="255"/>
      <c r="B285" s="230"/>
      <c r="C285" s="230"/>
    </row>
    <row r="286" spans="1:3" s="231" customFormat="1" x14ac:dyDescent="0.3">
      <c r="A286" s="255"/>
      <c r="B286" s="230"/>
      <c r="C286" s="230"/>
    </row>
    <row r="287" spans="1:3" s="231" customFormat="1" x14ac:dyDescent="0.3">
      <c r="A287" s="255"/>
      <c r="B287" s="230"/>
      <c r="C287" s="230"/>
    </row>
    <row r="288" spans="1:3" s="231" customFormat="1" x14ac:dyDescent="0.3">
      <c r="A288" s="255"/>
      <c r="B288" s="230"/>
      <c r="C288" s="230"/>
    </row>
    <row r="289" spans="1:3" s="231" customFormat="1" x14ac:dyDescent="0.3">
      <c r="A289" s="255"/>
      <c r="B289" s="230"/>
      <c r="C289" s="230"/>
    </row>
    <row r="290" spans="1:3" s="231" customFormat="1" x14ac:dyDescent="0.3">
      <c r="A290" s="255"/>
      <c r="B290" s="230"/>
      <c r="C290" s="230"/>
    </row>
    <row r="291" spans="1:3" s="231" customFormat="1" x14ac:dyDescent="0.3">
      <c r="A291" s="255"/>
      <c r="B291" s="230"/>
      <c r="C291" s="230"/>
    </row>
    <row r="292" spans="1:3" s="231" customFormat="1" x14ac:dyDescent="0.3">
      <c r="A292" s="255"/>
      <c r="B292" s="230"/>
      <c r="C292" s="230"/>
    </row>
    <row r="293" spans="1:3" s="231" customFormat="1" x14ac:dyDescent="0.3">
      <c r="A293" s="255"/>
      <c r="B293" s="230"/>
      <c r="C293" s="230"/>
    </row>
    <row r="294" spans="1:3" s="231" customFormat="1" x14ac:dyDescent="0.3">
      <c r="A294" s="255"/>
      <c r="B294" s="230"/>
      <c r="C294" s="230"/>
    </row>
    <row r="295" spans="1:3" s="231" customFormat="1" x14ac:dyDescent="0.3">
      <c r="A295" s="255"/>
      <c r="B295" s="230"/>
      <c r="C295" s="230"/>
    </row>
    <row r="296" spans="1:3" s="231" customFormat="1" x14ac:dyDescent="0.3">
      <c r="A296" s="255"/>
      <c r="B296" s="230"/>
      <c r="C296" s="230"/>
    </row>
    <row r="297" spans="1:3" s="231" customFormat="1" x14ac:dyDescent="0.3">
      <c r="A297" s="255"/>
      <c r="B297" s="230"/>
      <c r="C297" s="230"/>
    </row>
    <row r="298" spans="1:3" s="231" customFormat="1" x14ac:dyDescent="0.3">
      <c r="A298" s="255"/>
      <c r="B298" s="230"/>
      <c r="C298" s="230"/>
    </row>
    <row r="299" spans="1:3" s="231" customFormat="1" x14ac:dyDescent="0.3">
      <c r="A299" s="255"/>
      <c r="B299" s="230"/>
      <c r="C299" s="230"/>
    </row>
    <row r="300" spans="1:3" s="231" customFormat="1" x14ac:dyDescent="0.3">
      <c r="A300" s="255"/>
      <c r="B300" s="230"/>
      <c r="C300" s="230"/>
    </row>
    <row r="301" spans="1:3" s="231" customFormat="1" x14ac:dyDescent="0.3">
      <c r="A301" s="255"/>
      <c r="B301" s="230"/>
      <c r="C301" s="230"/>
    </row>
    <row r="302" spans="1:3" s="231" customFormat="1" x14ac:dyDescent="0.3">
      <c r="A302" s="255"/>
      <c r="B302" s="230"/>
      <c r="C302" s="230"/>
    </row>
    <row r="303" spans="1:3" s="231" customFormat="1" x14ac:dyDescent="0.3">
      <c r="A303" s="255"/>
      <c r="B303" s="230"/>
      <c r="C303" s="230"/>
    </row>
    <row r="304" spans="1:3" s="231" customFormat="1" x14ac:dyDescent="0.3">
      <c r="A304" s="255"/>
      <c r="B304" s="230"/>
      <c r="C304" s="230"/>
    </row>
    <row r="305" spans="1:3" s="231" customFormat="1" x14ac:dyDescent="0.3">
      <c r="A305" s="255"/>
      <c r="B305" s="230"/>
      <c r="C305" s="230"/>
    </row>
    <row r="306" spans="1:3" s="231" customFormat="1" x14ac:dyDescent="0.3">
      <c r="A306" s="255"/>
      <c r="B306" s="230"/>
      <c r="C306" s="230"/>
    </row>
    <row r="307" spans="1:3" s="231" customFormat="1" x14ac:dyDescent="0.3">
      <c r="A307" s="255"/>
      <c r="B307" s="230"/>
      <c r="C307" s="230"/>
    </row>
    <row r="308" spans="1:3" s="231" customFormat="1" x14ac:dyDescent="0.3">
      <c r="A308" s="255"/>
      <c r="B308" s="230"/>
      <c r="C308" s="230"/>
    </row>
    <row r="309" spans="1:3" s="231" customFormat="1" x14ac:dyDescent="0.3">
      <c r="A309" s="255"/>
      <c r="B309" s="230"/>
      <c r="C309" s="230"/>
    </row>
    <row r="310" spans="1:3" s="231" customFormat="1" x14ac:dyDescent="0.3">
      <c r="A310" s="255"/>
      <c r="B310" s="230"/>
      <c r="C310" s="230"/>
    </row>
    <row r="311" spans="1:3" s="231" customFormat="1" x14ac:dyDescent="0.3">
      <c r="A311" s="255"/>
      <c r="B311" s="230"/>
      <c r="C311" s="230"/>
    </row>
    <row r="312" spans="1:3" s="231" customFormat="1" x14ac:dyDescent="0.3">
      <c r="A312" s="255"/>
      <c r="B312" s="230"/>
      <c r="C312" s="230"/>
    </row>
    <row r="313" spans="1:3" s="231" customFormat="1" x14ac:dyDescent="0.3">
      <c r="A313" s="255"/>
      <c r="B313" s="230"/>
      <c r="C313" s="230"/>
    </row>
    <row r="314" spans="1:3" s="231" customFormat="1" x14ac:dyDescent="0.3">
      <c r="A314" s="255"/>
      <c r="B314" s="230"/>
      <c r="C314" s="230"/>
    </row>
    <row r="315" spans="1:3" s="231" customFormat="1" x14ac:dyDescent="0.3">
      <c r="A315" s="255"/>
      <c r="B315" s="230"/>
      <c r="C315" s="230"/>
    </row>
    <row r="316" spans="1:3" s="231" customFormat="1" x14ac:dyDescent="0.3">
      <c r="A316" s="255"/>
      <c r="B316" s="230"/>
      <c r="C316" s="230"/>
    </row>
    <row r="317" spans="1:3" s="231" customFormat="1" x14ac:dyDescent="0.3">
      <c r="A317" s="255"/>
      <c r="B317" s="230"/>
      <c r="C317" s="230"/>
    </row>
    <row r="318" spans="1:3" s="231" customFormat="1" x14ac:dyDescent="0.3">
      <c r="A318" s="255"/>
      <c r="B318" s="230"/>
      <c r="C318" s="230"/>
    </row>
    <row r="319" spans="1:3" s="231" customFormat="1" x14ac:dyDescent="0.3">
      <c r="A319" s="255"/>
      <c r="B319" s="230"/>
      <c r="C319" s="230"/>
    </row>
    <row r="320" spans="1:3" s="231" customFormat="1" x14ac:dyDescent="0.3">
      <c r="A320" s="255"/>
      <c r="B320" s="230"/>
      <c r="C320" s="230"/>
    </row>
    <row r="321" spans="1:3" s="231" customFormat="1" x14ac:dyDescent="0.3">
      <c r="A321" s="255"/>
      <c r="B321" s="230"/>
      <c r="C321" s="230"/>
    </row>
    <row r="322" spans="1:3" s="231" customFormat="1" x14ac:dyDescent="0.3">
      <c r="A322" s="255"/>
      <c r="B322" s="230"/>
      <c r="C322" s="230"/>
    </row>
    <row r="323" spans="1:3" s="231" customFormat="1" x14ac:dyDescent="0.3">
      <c r="A323" s="255"/>
      <c r="B323" s="230"/>
      <c r="C323" s="230"/>
    </row>
    <row r="324" spans="1:3" s="231" customFormat="1" x14ac:dyDescent="0.3">
      <c r="A324" s="255"/>
      <c r="B324" s="230"/>
      <c r="C324" s="230"/>
    </row>
    <row r="325" spans="1:3" s="231" customFormat="1" x14ac:dyDescent="0.3">
      <c r="A325" s="255"/>
      <c r="B325" s="230"/>
      <c r="C325" s="230"/>
    </row>
    <row r="326" spans="1:3" s="231" customFormat="1" x14ac:dyDescent="0.3">
      <c r="A326" s="255"/>
      <c r="B326" s="230"/>
      <c r="C326" s="230"/>
    </row>
    <row r="327" spans="1:3" s="231" customFormat="1" x14ac:dyDescent="0.3">
      <c r="A327" s="255"/>
      <c r="B327" s="230"/>
      <c r="C327" s="230"/>
    </row>
    <row r="328" spans="1:3" s="231" customFormat="1" x14ac:dyDescent="0.3">
      <c r="A328" s="255"/>
      <c r="B328" s="230"/>
      <c r="C328" s="230"/>
    </row>
    <row r="329" spans="1:3" s="231" customFormat="1" x14ac:dyDescent="0.3">
      <c r="A329" s="255"/>
      <c r="B329" s="230"/>
      <c r="C329" s="230"/>
    </row>
    <row r="330" spans="1:3" s="231" customFormat="1" x14ac:dyDescent="0.3">
      <c r="A330" s="255"/>
      <c r="B330" s="230"/>
      <c r="C330" s="230"/>
    </row>
    <row r="331" spans="1:3" s="231" customFormat="1" x14ac:dyDescent="0.3">
      <c r="A331" s="255"/>
      <c r="B331" s="230"/>
      <c r="C331" s="230"/>
    </row>
    <row r="332" spans="1:3" s="231" customFormat="1" x14ac:dyDescent="0.3">
      <c r="A332" s="255"/>
      <c r="B332" s="230"/>
      <c r="C332" s="230"/>
    </row>
    <row r="333" spans="1:3" s="231" customFormat="1" x14ac:dyDescent="0.3">
      <c r="A333" s="255"/>
      <c r="B333" s="230"/>
      <c r="C333" s="230"/>
    </row>
    <row r="334" spans="1:3" s="231" customFormat="1" x14ac:dyDescent="0.3">
      <c r="A334" s="255"/>
      <c r="B334" s="230"/>
      <c r="C334" s="230"/>
    </row>
    <row r="335" spans="1:3" s="231" customFormat="1" x14ac:dyDescent="0.3">
      <c r="A335" s="255"/>
      <c r="B335" s="230"/>
      <c r="C335" s="230"/>
    </row>
    <row r="336" spans="1:3" s="231" customFormat="1" x14ac:dyDescent="0.3">
      <c r="A336" s="255"/>
      <c r="B336" s="230"/>
      <c r="C336" s="230"/>
    </row>
    <row r="337" spans="1:3" s="231" customFormat="1" x14ac:dyDescent="0.3">
      <c r="A337" s="255"/>
      <c r="B337" s="230"/>
      <c r="C337" s="230"/>
    </row>
    <row r="338" spans="1:3" s="231" customFormat="1" x14ac:dyDescent="0.3">
      <c r="A338" s="255"/>
      <c r="B338" s="230"/>
      <c r="C338" s="230"/>
    </row>
    <row r="339" spans="1:3" s="231" customFormat="1" x14ac:dyDescent="0.3">
      <c r="A339" s="255"/>
      <c r="B339" s="230"/>
      <c r="C339" s="230"/>
    </row>
    <row r="340" spans="1:3" s="231" customFormat="1" x14ac:dyDescent="0.3">
      <c r="A340" s="255"/>
      <c r="B340" s="230"/>
      <c r="C340" s="230"/>
    </row>
    <row r="341" spans="1:3" s="231" customFormat="1" x14ac:dyDescent="0.3">
      <c r="A341" s="255"/>
      <c r="B341" s="230"/>
      <c r="C341" s="230"/>
    </row>
    <row r="342" spans="1:3" s="231" customFormat="1" x14ac:dyDescent="0.3">
      <c r="A342" s="255"/>
      <c r="B342" s="230"/>
      <c r="C342" s="230"/>
    </row>
    <row r="343" spans="1:3" s="231" customFormat="1" x14ac:dyDescent="0.3">
      <c r="A343" s="255"/>
      <c r="B343" s="230"/>
      <c r="C343" s="230"/>
    </row>
    <row r="344" spans="1:3" s="231" customFormat="1" x14ac:dyDescent="0.3">
      <c r="A344" s="255"/>
      <c r="B344" s="230"/>
      <c r="C344" s="230"/>
    </row>
    <row r="345" spans="1:3" s="231" customFormat="1" x14ac:dyDescent="0.3">
      <c r="A345" s="255"/>
      <c r="B345" s="230"/>
      <c r="C345" s="230"/>
    </row>
    <row r="346" spans="1:3" s="231" customFormat="1" x14ac:dyDescent="0.3">
      <c r="A346" s="255"/>
      <c r="B346" s="230"/>
      <c r="C346" s="230"/>
    </row>
    <row r="347" spans="1:3" s="231" customFormat="1" x14ac:dyDescent="0.3">
      <c r="A347" s="255"/>
      <c r="B347" s="230"/>
      <c r="C347" s="230"/>
    </row>
    <row r="348" spans="1:3" s="231" customFormat="1" x14ac:dyDescent="0.3">
      <c r="A348" s="255"/>
      <c r="B348" s="230"/>
      <c r="C348" s="230"/>
    </row>
    <row r="349" spans="1:3" s="231" customFormat="1" x14ac:dyDescent="0.3">
      <c r="A349" s="255"/>
      <c r="B349" s="230"/>
      <c r="C349" s="230"/>
    </row>
    <row r="350" spans="1:3" s="231" customFormat="1" x14ac:dyDescent="0.3">
      <c r="A350" s="255"/>
      <c r="B350" s="230"/>
      <c r="C350" s="230"/>
    </row>
    <row r="351" spans="1:3" s="231" customFormat="1" x14ac:dyDescent="0.3">
      <c r="A351" s="255"/>
      <c r="B351" s="230"/>
      <c r="C351" s="230"/>
    </row>
    <row r="352" spans="1:3" s="231" customFormat="1" x14ac:dyDescent="0.3">
      <c r="A352" s="255"/>
      <c r="B352" s="230"/>
      <c r="C352" s="230"/>
    </row>
    <row r="353" spans="1:3" s="231" customFormat="1" x14ac:dyDescent="0.3">
      <c r="A353" s="255"/>
      <c r="B353" s="230"/>
      <c r="C353" s="230"/>
    </row>
    <row r="354" spans="1:3" s="231" customFormat="1" x14ac:dyDescent="0.3">
      <c r="A354" s="255"/>
      <c r="B354" s="230"/>
      <c r="C354" s="230"/>
    </row>
    <row r="355" spans="1:3" s="231" customFormat="1" x14ac:dyDescent="0.3">
      <c r="A355" s="255"/>
      <c r="B355" s="230"/>
      <c r="C355" s="230"/>
    </row>
    <row r="356" spans="1:3" s="231" customFormat="1" x14ac:dyDescent="0.3">
      <c r="A356" s="255"/>
      <c r="B356" s="230"/>
      <c r="C356" s="230"/>
    </row>
    <row r="357" spans="1:3" s="231" customFormat="1" x14ac:dyDescent="0.3">
      <c r="A357" s="255"/>
      <c r="B357" s="230"/>
      <c r="C357" s="230"/>
    </row>
    <row r="358" spans="1:3" s="231" customFormat="1" x14ac:dyDescent="0.3">
      <c r="A358" s="255"/>
      <c r="B358" s="230"/>
      <c r="C358" s="230"/>
    </row>
    <row r="359" spans="1:3" s="231" customFormat="1" x14ac:dyDescent="0.3">
      <c r="A359" s="255"/>
      <c r="B359" s="230"/>
      <c r="C359" s="230"/>
    </row>
    <row r="360" spans="1:3" s="231" customFormat="1" x14ac:dyDescent="0.3">
      <c r="A360" s="255"/>
      <c r="B360" s="230"/>
      <c r="C360" s="230"/>
    </row>
    <row r="361" spans="1:3" s="231" customFormat="1" x14ac:dyDescent="0.3">
      <c r="A361" s="255"/>
      <c r="B361" s="230"/>
      <c r="C361" s="230"/>
    </row>
    <row r="362" spans="1:3" s="231" customFormat="1" x14ac:dyDescent="0.3">
      <c r="A362" s="255"/>
      <c r="B362" s="230"/>
      <c r="C362" s="230"/>
    </row>
    <row r="363" spans="1:3" s="231" customFormat="1" x14ac:dyDescent="0.3">
      <c r="A363" s="255"/>
      <c r="B363" s="230"/>
      <c r="C363" s="230"/>
    </row>
    <row r="364" spans="1:3" s="231" customFormat="1" x14ac:dyDescent="0.3">
      <c r="A364" s="255"/>
      <c r="B364" s="230"/>
      <c r="C364" s="230"/>
    </row>
    <row r="365" spans="1:3" s="231" customFormat="1" x14ac:dyDescent="0.3">
      <c r="A365" s="255"/>
      <c r="B365" s="230"/>
      <c r="C365" s="230"/>
    </row>
    <row r="366" spans="1:3" s="231" customFormat="1" x14ac:dyDescent="0.3">
      <c r="A366" s="255"/>
      <c r="B366" s="230"/>
      <c r="C366" s="230"/>
    </row>
    <row r="367" spans="1:3" s="231" customFormat="1" x14ac:dyDescent="0.3">
      <c r="A367" s="255"/>
      <c r="B367" s="230"/>
      <c r="C367" s="230"/>
    </row>
    <row r="368" spans="1:3" s="231" customFormat="1" x14ac:dyDescent="0.3">
      <c r="A368" s="255"/>
      <c r="B368" s="230"/>
      <c r="C368" s="230"/>
    </row>
    <row r="369" spans="1:3" s="231" customFormat="1" x14ac:dyDescent="0.3">
      <c r="A369" s="255"/>
      <c r="B369" s="230"/>
      <c r="C369" s="230"/>
    </row>
    <row r="370" spans="1:3" s="231" customFormat="1" x14ac:dyDescent="0.3">
      <c r="A370" s="255"/>
      <c r="B370" s="230"/>
      <c r="C370" s="230"/>
    </row>
    <row r="371" spans="1:3" s="231" customFormat="1" x14ac:dyDescent="0.3">
      <c r="A371" s="255"/>
      <c r="B371" s="230"/>
      <c r="C371" s="230"/>
    </row>
    <row r="372" spans="1:3" s="231" customFormat="1" x14ac:dyDescent="0.3">
      <c r="A372" s="255"/>
      <c r="B372" s="230"/>
      <c r="C372" s="230"/>
    </row>
    <row r="373" spans="1:3" s="231" customFormat="1" x14ac:dyDescent="0.3">
      <c r="A373" s="255"/>
      <c r="B373" s="230"/>
      <c r="C373" s="230"/>
    </row>
    <row r="374" spans="1:3" s="231" customFormat="1" x14ac:dyDescent="0.3">
      <c r="A374" s="255"/>
      <c r="B374" s="230"/>
      <c r="C374" s="230"/>
    </row>
    <row r="375" spans="1:3" s="231" customFormat="1" x14ac:dyDescent="0.3">
      <c r="A375" s="255"/>
      <c r="B375" s="230"/>
      <c r="C375" s="230"/>
    </row>
    <row r="376" spans="1:3" s="231" customFormat="1" x14ac:dyDescent="0.3">
      <c r="A376" s="255"/>
      <c r="B376" s="230"/>
      <c r="C376" s="230"/>
    </row>
    <row r="377" spans="1:3" s="231" customFormat="1" x14ac:dyDescent="0.3">
      <c r="A377" s="255"/>
      <c r="B377" s="230"/>
      <c r="C377" s="230"/>
    </row>
    <row r="378" spans="1:3" s="231" customFormat="1" x14ac:dyDescent="0.3">
      <c r="A378" s="255"/>
      <c r="B378" s="230"/>
      <c r="C378" s="230"/>
    </row>
    <row r="379" spans="1:3" s="231" customFormat="1" x14ac:dyDescent="0.3">
      <c r="A379" s="255"/>
      <c r="B379" s="230"/>
      <c r="C379" s="230"/>
    </row>
    <row r="380" spans="1:3" s="231" customFormat="1" x14ac:dyDescent="0.3">
      <c r="A380" s="255"/>
      <c r="B380" s="230"/>
      <c r="C380" s="230"/>
    </row>
    <row r="381" spans="1:3" s="231" customFormat="1" x14ac:dyDescent="0.3">
      <c r="A381" s="255"/>
      <c r="B381" s="230"/>
      <c r="C381" s="230"/>
    </row>
    <row r="382" spans="1:3" s="231" customFormat="1" x14ac:dyDescent="0.3">
      <c r="A382" s="255"/>
      <c r="B382" s="230"/>
      <c r="C382" s="230"/>
    </row>
    <row r="383" spans="1:3" s="231" customFormat="1" x14ac:dyDescent="0.3">
      <c r="A383" s="255"/>
      <c r="B383" s="230"/>
      <c r="C383" s="230"/>
    </row>
    <row r="384" spans="1:3" s="231" customFormat="1" x14ac:dyDescent="0.3">
      <c r="A384" s="255"/>
      <c r="B384" s="230"/>
      <c r="C384" s="230"/>
    </row>
    <row r="385" spans="1:3" s="231" customFormat="1" x14ac:dyDescent="0.3">
      <c r="A385" s="255"/>
      <c r="B385" s="230"/>
      <c r="C385" s="230"/>
    </row>
    <row r="386" spans="1:3" s="231" customFormat="1" x14ac:dyDescent="0.3">
      <c r="A386" s="255"/>
      <c r="B386" s="230"/>
      <c r="C386" s="230"/>
    </row>
    <row r="387" spans="1:3" s="231" customFormat="1" x14ac:dyDescent="0.3">
      <c r="A387" s="255"/>
      <c r="B387" s="230"/>
      <c r="C387" s="230"/>
    </row>
    <row r="388" spans="1:3" s="231" customFormat="1" x14ac:dyDescent="0.3">
      <c r="A388" s="255"/>
      <c r="B388" s="230"/>
      <c r="C388" s="230"/>
    </row>
    <row r="389" spans="1:3" s="231" customFormat="1" x14ac:dyDescent="0.3">
      <c r="A389" s="255"/>
      <c r="B389" s="230"/>
      <c r="C389" s="230"/>
    </row>
    <row r="390" spans="1:3" s="231" customFormat="1" x14ac:dyDescent="0.3">
      <c r="A390" s="255"/>
      <c r="B390" s="230"/>
      <c r="C390" s="230"/>
    </row>
    <row r="391" spans="1:3" s="231" customFormat="1" x14ac:dyDescent="0.3">
      <c r="A391" s="255"/>
      <c r="B391" s="230"/>
      <c r="C391" s="230"/>
    </row>
    <row r="392" spans="1:3" s="231" customFormat="1" x14ac:dyDescent="0.3">
      <c r="A392" s="255"/>
      <c r="B392" s="230"/>
      <c r="C392" s="230"/>
    </row>
    <row r="393" spans="1:3" s="231" customFormat="1" x14ac:dyDescent="0.3">
      <c r="A393" s="255"/>
      <c r="B393" s="230"/>
      <c r="C393" s="230"/>
    </row>
    <row r="394" spans="1:3" s="231" customFormat="1" x14ac:dyDescent="0.3">
      <c r="A394" s="255"/>
      <c r="B394" s="230"/>
      <c r="C394" s="230"/>
    </row>
    <row r="395" spans="1:3" s="231" customFormat="1" x14ac:dyDescent="0.3">
      <c r="A395" s="255"/>
      <c r="B395" s="230"/>
      <c r="C395" s="230"/>
    </row>
    <row r="396" spans="1:3" s="231" customFormat="1" x14ac:dyDescent="0.3">
      <c r="A396" s="255"/>
      <c r="B396" s="230"/>
      <c r="C396" s="230"/>
    </row>
    <row r="397" spans="1:3" s="231" customFormat="1" x14ac:dyDescent="0.3">
      <c r="A397" s="255"/>
      <c r="B397" s="230"/>
      <c r="C397" s="230"/>
    </row>
    <row r="398" spans="1:3" s="231" customFormat="1" x14ac:dyDescent="0.3">
      <c r="A398" s="255"/>
      <c r="B398" s="230"/>
      <c r="C398" s="230"/>
    </row>
    <row r="399" spans="1:3" s="231" customFormat="1" x14ac:dyDescent="0.3">
      <c r="A399" s="255"/>
      <c r="B399" s="230"/>
      <c r="C399" s="230"/>
    </row>
    <row r="400" spans="1:3" s="231" customFormat="1" x14ac:dyDescent="0.3">
      <c r="A400" s="255"/>
      <c r="B400" s="230"/>
      <c r="C400" s="230"/>
    </row>
    <row r="401" spans="1:3" s="231" customFormat="1" x14ac:dyDescent="0.3">
      <c r="A401" s="255"/>
      <c r="B401" s="230"/>
      <c r="C401" s="230"/>
    </row>
    <row r="402" spans="1:3" s="231" customFormat="1" x14ac:dyDescent="0.3">
      <c r="A402" s="255"/>
      <c r="B402" s="230"/>
      <c r="C402" s="230"/>
    </row>
    <row r="403" spans="1:3" s="231" customFormat="1" x14ac:dyDescent="0.3">
      <c r="A403" s="255"/>
      <c r="B403" s="230"/>
      <c r="C403" s="230"/>
    </row>
    <row r="404" spans="1:3" s="231" customFormat="1" x14ac:dyDescent="0.3">
      <c r="A404" s="255"/>
      <c r="B404" s="230"/>
      <c r="C404" s="230"/>
    </row>
    <row r="405" spans="1:3" s="231" customFormat="1" x14ac:dyDescent="0.3">
      <c r="A405" s="255"/>
      <c r="B405" s="230"/>
      <c r="C405" s="230"/>
    </row>
    <row r="406" spans="1:3" s="231" customFormat="1" x14ac:dyDescent="0.3">
      <c r="A406" s="255"/>
      <c r="B406" s="230"/>
      <c r="C406" s="230"/>
    </row>
    <row r="407" spans="1:3" s="231" customFormat="1" x14ac:dyDescent="0.3">
      <c r="A407" s="255"/>
      <c r="B407" s="230"/>
      <c r="C407" s="230"/>
    </row>
    <row r="408" spans="1:3" s="231" customFormat="1" x14ac:dyDescent="0.3">
      <c r="A408" s="255"/>
      <c r="B408" s="230"/>
      <c r="C408" s="230"/>
    </row>
    <row r="409" spans="1:3" s="231" customFormat="1" x14ac:dyDescent="0.3">
      <c r="A409" s="255"/>
      <c r="B409" s="230"/>
      <c r="C409" s="230"/>
    </row>
    <row r="410" spans="1:3" s="231" customFormat="1" x14ac:dyDescent="0.3">
      <c r="A410" s="255"/>
      <c r="B410" s="230"/>
      <c r="C410" s="230"/>
    </row>
    <row r="411" spans="1:3" s="231" customFormat="1" x14ac:dyDescent="0.3">
      <c r="A411" s="255"/>
      <c r="B411" s="230"/>
      <c r="C411" s="230"/>
    </row>
    <row r="412" spans="1:3" s="231" customFormat="1" x14ac:dyDescent="0.3">
      <c r="A412" s="255"/>
      <c r="B412" s="230"/>
      <c r="C412" s="230"/>
    </row>
    <row r="413" spans="1:3" s="231" customFormat="1" x14ac:dyDescent="0.3">
      <c r="A413" s="255"/>
      <c r="B413" s="230"/>
      <c r="C413" s="230"/>
    </row>
    <row r="414" spans="1:3" s="231" customFormat="1" x14ac:dyDescent="0.3">
      <c r="A414" s="255"/>
      <c r="B414" s="230"/>
      <c r="C414" s="230"/>
    </row>
    <row r="415" spans="1:3" s="231" customFormat="1" x14ac:dyDescent="0.3">
      <c r="A415" s="255"/>
      <c r="B415" s="230"/>
      <c r="C415" s="230"/>
    </row>
    <row r="416" spans="1:3" s="231" customFormat="1" x14ac:dyDescent="0.3">
      <c r="A416" s="255"/>
      <c r="B416" s="230"/>
      <c r="C416" s="230"/>
    </row>
    <row r="417" spans="1:3" s="231" customFormat="1" x14ac:dyDescent="0.3">
      <c r="A417" s="255"/>
      <c r="B417" s="230"/>
      <c r="C417" s="230"/>
    </row>
    <row r="418" spans="1:3" s="231" customFormat="1" x14ac:dyDescent="0.3">
      <c r="A418" s="255"/>
      <c r="B418" s="230"/>
      <c r="C418" s="230"/>
    </row>
    <row r="419" spans="1:3" s="231" customFormat="1" x14ac:dyDescent="0.3">
      <c r="A419" s="255"/>
      <c r="B419" s="230"/>
      <c r="C419" s="230"/>
    </row>
    <row r="420" spans="1:3" s="231" customFormat="1" x14ac:dyDescent="0.3">
      <c r="A420" s="255"/>
      <c r="B420" s="230"/>
      <c r="C420" s="230"/>
    </row>
    <row r="421" spans="1:3" s="231" customFormat="1" x14ac:dyDescent="0.3">
      <c r="A421" s="255"/>
      <c r="B421" s="230"/>
      <c r="C421" s="230"/>
    </row>
    <row r="422" spans="1:3" s="231" customFormat="1" x14ac:dyDescent="0.3">
      <c r="A422" s="255"/>
      <c r="B422" s="230"/>
      <c r="C422" s="230"/>
    </row>
    <row r="423" spans="1:3" s="231" customFormat="1" x14ac:dyDescent="0.3">
      <c r="A423" s="255"/>
      <c r="B423" s="230"/>
      <c r="C423" s="230"/>
    </row>
    <row r="424" spans="1:3" s="231" customFormat="1" x14ac:dyDescent="0.3">
      <c r="A424" s="255"/>
      <c r="B424" s="230"/>
      <c r="C424" s="230"/>
    </row>
    <row r="425" spans="1:3" s="231" customFormat="1" x14ac:dyDescent="0.3">
      <c r="A425" s="255"/>
      <c r="B425" s="230"/>
      <c r="C425" s="230"/>
    </row>
    <row r="426" spans="1:3" s="231" customFormat="1" x14ac:dyDescent="0.3">
      <c r="A426" s="255"/>
      <c r="B426" s="230"/>
      <c r="C426" s="230"/>
    </row>
    <row r="427" spans="1:3" s="231" customFormat="1" x14ac:dyDescent="0.3">
      <c r="A427" s="255"/>
      <c r="B427" s="230"/>
      <c r="C427" s="230"/>
    </row>
    <row r="428" spans="1:3" s="231" customFormat="1" x14ac:dyDescent="0.3">
      <c r="A428" s="255"/>
      <c r="B428" s="230"/>
      <c r="C428" s="230"/>
    </row>
    <row r="429" spans="1:3" s="231" customFormat="1" x14ac:dyDescent="0.3">
      <c r="A429" s="255"/>
      <c r="B429" s="230"/>
      <c r="C429" s="230"/>
    </row>
    <row r="430" spans="1:3" s="231" customFormat="1" x14ac:dyDescent="0.3">
      <c r="A430" s="255"/>
      <c r="B430" s="230"/>
      <c r="C430" s="230"/>
    </row>
    <row r="431" spans="1:3" s="231" customFormat="1" x14ac:dyDescent="0.3">
      <c r="A431" s="255"/>
      <c r="B431" s="230"/>
      <c r="C431" s="230"/>
    </row>
    <row r="432" spans="1:3" s="231" customFormat="1" x14ac:dyDescent="0.3">
      <c r="A432" s="255"/>
      <c r="B432" s="230"/>
      <c r="C432" s="230"/>
    </row>
    <row r="433" spans="1:3" s="231" customFormat="1" x14ac:dyDescent="0.3">
      <c r="A433" s="255"/>
      <c r="B433" s="230"/>
      <c r="C433" s="230"/>
    </row>
    <row r="434" spans="1:3" s="231" customFormat="1" x14ac:dyDescent="0.3">
      <c r="A434" s="255"/>
      <c r="B434" s="230"/>
      <c r="C434" s="230"/>
    </row>
    <row r="435" spans="1:3" s="231" customFormat="1" x14ac:dyDescent="0.3">
      <c r="A435" s="255"/>
      <c r="B435" s="230"/>
      <c r="C435" s="230"/>
    </row>
    <row r="436" spans="1:3" s="231" customFormat="1" x14ac:dyDescent="0.3">
      <c r="A436" s="255"/>
      <c r="B436" s="230"/>
      <c r="C436" s="230"/>
    </row>
    <row r="437" spans="1:3" s="231" customFormat="1" x14ac:dyDescent="0.3">
      <c r="A437" s="255"/>
      <c r="B437" s="230"/>
      <c r="C437" s="230"/>
    </row>
    <row r="438" spans="1:3" s="231" customFormat="1" x14ac:dyDescent="0.3">
      <c r="A438" s="255"/>
      <c r="B438" s="230"/>
      <c r="C438" s="230"/>
    </row>
    <row r="439" spans="1:3" s="231" customFormat="1" x14ac:dyDescent="0.3">
      <c r="A439" s="255"/>
      <c r="B439" s="230"/>
      <c r="C439" s="230"/>
    </row>
    <row r="440" spans="1:3" s="231" customFormat="1" x14ac:dyDescent="0.3">
      <c r="A440" s="255"/>
      <c r="B440" s="230"/>
      <c r="C440" s="230"/>
    </row>
    <row r="441" spans="1:3" s="231" customFormat="1" x14ac:dyDescent="0.3">
      <c r="A441" s="255"/>
      <c r="B441" s="230"/>
      <c r="C441" s="230"/>
    </row>
    <row r="442" spans="1:3" s="231" customFormat="1" x14ac:dyDescent="0.3">
      <c r="A442" s="255"/>
      <c r="B442" s="230"/>
      <c r="C442" s="230"/>
    </row>
    <row r="443" spans="1:3" s="231" customFormat="1" x14ac:dyDescent="0.3">
      <c r="A443" s="255"/>
      <c r="B443" s="230"/>
      <c r="C443" s="230"/>
    </row>
    <row r="444" spans="1:3" s="231" customFormat="1" x14ac:dyDescent="0.3">
      <c r="A444" s="255"/>
      <c r="B444" s="230"/>
      <c r="C444" s="230"/>
    </row>
    <row r="445" spans="1:3" s="231" customFormat="1" x14ac:dyDescent="0.3">
      <c r="A445" s="255"/>
      <c r="B445" s="230"/>
      <c r="C445" s="230"/>
    </row>
    <row r="446" spans="1:3" s="231" customFormat="1" x14ac:dyDescent="0.3">
      <c r="A446" s="255"/>
      <c r="B446" s="230"/>
      <c r="C446" s="230"/>
    </row>
    <row r="447" spans="1:3" s="231" customFormat="1" x14ac:dyDescent="0.3">
      <c r="A447" s="255"/>
      <c r="B447" s="230"/>
      <c r="C447" s="230"/>
    </row>
    <row r="448" spans="1:3" s="231" customFormat="1" x14ac:dyDescent="0.3">
      <c r="A448" s="255"/>
      <c r="B448" s="230"/>
      <c r="C448" s="230"/>
    </row>
    <row r="449" spans="1:3" s="231" customFormat="1" x14ac:dyDescent="0.3">
      <c r="A449" s="255"/>
      <c r="B449" s="230"/>
      <c r="C449" s="230"/>
    </row>
    <row r="450" spans="1:3" s="231" customFormat="1" x14ac:dyDescent="0.3">
      <c r="A450" s="255"/>
      <c r="B450" s="230"/>
      <c r="C450" s="230"/>
    </row>
    <row r="451" spans="1:3" s="231" customFormat="1" x14ac:dyDescent="0.3">
      <c r="A451" s="255"/>
      <c r="B451" s="230"/>
      <c r="C451" s="230"/>
    </row>
    <row r="452" spans="1:3" s="231" customFormat="1" x14ac:dyDescent="0.3">
      <c r="A452" s="255"/>
      <c r="B452" s="230"/>
      <c r="C452" s="230"/>
    </row>
    <row r="453" spans="1:3" s="231" customFormat="1" x14ac:dyDescent="0.3">
      <c r="A453" s="255"/>
      <c r="B453" s="230"/>
      <c r="C453" s="230"/>
    </row>
    <row r="454" spans="1:3" s="231" customFormat="1" x14ac:dyDescent="0.3">
      <c r="A454" s="255"/>
      <c r="B454" s="230"/>
      <c r="C454" s="230"/>
    </row>
  </sheetData>
  <pageMargins left="0.7" right="0.7" top="0.75" bottom="0.75" header="0.3" footer="0.3"/>
  <pageSetup scale="9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947A-FEED-4FAA-AA36-E88F0EC3280D}">
  <dimension ref="B1:K49"/>
  <sheetViews>
    <sheetView topLeftCell="B1" workbookViewId="0">
      <pane xSplit="2" ySplit="7" topLeftCell="D8" activePane="bottomRight" state="frozen"/>
      <selection activeCell="B1" sqref="B1"/>
      <selection pane="topRight" activeCell="D1" sqref="D1"/>
      <selection pane="bottomLeft" activeCell="B3" sqref="B3"/>
      <selection pane="bottomRight" activeCell="C22" sqref="C22"/>
    </sheetView>
  </sheetViews>
  <sheetFormatPr defaultRowHeight="14.4" x14ac:dyDescent="0.3"/>
  <cols>
    <col min="1" max="1" width="8.796875" style="236"/>
    <col min="2" max="2" width="13.19921875" style="281" bestFit="1" customWidth="1"/>
    <col min="3" max="3" width="52.09765625" style="236" customWidth="1"/>
    <col min="4" max="4" width="11.09765625" style="236" customWidth="1"/>
    <col min="5" max="5" width="12.09765625" style="237" customWidth="1"/>
    <col min="6" max="6" width="17.3984375" style="237" customWidth="1"/>
    <col min="7" max="7" width="12.09765625" style="238" hidden="1" customWidth="1"/>
    <col min="8" max="8" width="17.19921875" style="237" customWidth="1"/>
    <col min="9" max="16384" width="8.796875" style="236"/>
  </cols>
  <sheetData>
    <row r="1" spans="2:11" s="230" customFormat="1" x14ac:dyDescent="0.3">
      <c r="B1" s="279" t="s">
        <v>171</v>
      </c>
      <c r="D1" s="231"/>
      <c r="E1" s="231"/>
      <c r="F1" s="235"/>
      <c r="G1" s="235"/>
      <c r="H1" s="231"/>
      <c r="K1" s="230">
        <v>197505</v>
      </c>
    </row>
    <row r="2" spans="2:11" s="230" customFormat="1" x14ac:dyDescent="0.3">
      <c r="B2" s="279"/>
      <c r="D2" s="247" t="s">
        <v>168</v>
      </c>
      <c r="F2" s="248">
        <v>32100</v>
      </c>
      <c r="G2" s="231"/>
    </row>
    <row r="3" spans="2:11" s="230" customFormat="1" x14ac:dyDescent="0.3">
      <c r="B3" s="279"/>
      <c r="D3" s="247" t="s">
        <v>169</v>
      </c>
      <c r="F3" s="248">
        <f>+E49</f>
        <v>96420</v>
      </c>
    </row>
    <row r="4" spans="2:11" s="230" customFormat="1" x14ac:dyDescent="0.3">
      <c r="B4" s="279"/>
      <c r="D4" s="247" t="s">
        <v>63</v>
      </c>
      <c r="F4" s="248">
        <f>+F2+F3</f>
        <v>128520</v>
      </c>
    </row>
    <row r="5" spans="2:11" s="230" customFormat="1" x14ac:dyDescent="0.3">
      <c r="B5" s="279"/>
      <c r="D5" s="247" t="s">
        <v>151</v>
      </c>
      <c r="F5" s="249">
        <f>+F49</f>
        <v>98450</v>
      </c>
    </row>
    <row r="6" spans="2:11" s="230" customFormat="1" ht="15" thickBot="1" x14ac:dyDescent="0.35">
      <c r="B6" s="280"/>
      <c r="C6" s="241"/>
      <c r="D6" s="247" t="s">
        <v>170</v>
      </c>
      <c r="F6" s="250">
        <f>+F4-F5</f>
        <v>30070</v>
      </c>
      <c r="G6" s="242"/>
      <c r="H6" s="231"/>
    </row>
    <row r="7" spans="2:11" ht="15" thickTop="1" x14ac:dyDescent="0.3">
      <c r="C7" s="239">
        <v>861590067</v>
      </c>
      <c r="E7" s="237" t="s">
        <v>150</v>
      </c>
      <c r="F7" s="237" t="s">
        <v>161</v>
      </c>
      <c r="G7" s="238" t="s">
        <v>162</v>
      </c>
      <c r="H7" s="237" t="s">
        <v>153</v>
      </c>
    </row>
    <row r="8" spans="2:11" x14ac:dyDescent="0.3">
      <c r="B8" s="284">
        <v>46023</v>
      </c>
      <c r="C8" s="285" t="s">
        <v>153</v>
      </c>
      <c r="D8" s="285"/>
      <c r="E8" s="286"/>
      <c r="F8" s="286"/>
      <c r="G8" s="287"/>
      <c r="H8" s="286">
        <v>32100</v>
      </c>
    </row>
    <row r="9" spans="2:11" x14ac:dyDescent="0.3">
      <c r="B9" s="284">
        <v>46030</v>
      </c>
      <c r="C9" s="240" t="s">
        <v>163</v>
      </c>
      <c r="D9" s="285">
        <v>877999071</v>
      </c>
      <c r="E9" s="286"/>
      <c r="F9" s="290">
        <v>6500</v>
      </c>
      <c r="G9" s="287"/>
      <c r="H9" s="286">
        <f>+H8+E9-F9</f>
        <v>25600</v>
      </c>
    </row>
    <row r="10" spans="2:11" x14ac:dyDescent="0.3">
      <c r="B10" s="284">
        <v>46030</v>
      </c>
      <c r="C10" s="288" t="s">
        <v>91</v>
      </c>
      <c r="D10" s="289">
        <f>+'[4]Cell no'!$E$13</f>
        <v>862265991</v>
      </c>
      <c r="E10" s="286"/>
      <c r="F10" s="290">
        <f>3900+3250</f>
        <v>7150</v>
      </c>
      <c r="G10" s="287"/>
      <c r="H10" s="286">
        <f t="shared" ref="H10:H19" si="0">+H9+E10-F10</f>
        <v>18450</v>
      </c>
    </row>
    <row r="11" spans="2:11" x14ac:dyDescent="0.3">
      <c r="B11" s="284">
        <v>46030</v>
      </c>
      <c r="C11" s="288" t="s">
        <v>92</v>
      </c>
      <c r="D11" s="288">
        <v>867118245</v>
      </c>
      <c r="E11" s="286"/>
      <c r="F11" s="290">
        <f>3250+7500</f>
        <v>10750</v>
      </c>
      <c r="G11" s="287"/>
      <c r="H11" s="286">
        <f t="shared" si="0"/>
        <v>7700</v>
      </c>
    </row>
    <row r="12" spans="2:11" x14ac:dyDescent="0.3">
      <c r="B12" s="284">
        <v>46030</v>
      </c>
      <c r="C12" s="288" t="s">
        <v>95</v>
      </c>
      <c r="D12" s="289">
        <f>+'[4]Cell no'!$E$17</f>
        <v>866429715</v>
      </c>
      <c r="E12" s="286"/>
      <c r="F12" s="290">
        <f>250+650</f>
        <v>900</v>
      </c>
      <c r="G12" s="287"/>
      <c r="H12" s="286">
        <f t="shared" si="0"/>
        <v>6800</v>
      </c>
    </row>
    <row r="13" spans="2:11" x14ac:dyDescent="0.3">
      <c r="B13" s="284">
        <v>46030</v>
      </c>
      <c r="C13" s="240" t="s">
        <v>164</v>
      </c>
      <c r="D13" s="289">
        <f>+'[4]Cell no'!$E$11</f>
        <v>862246051</v>
      </c>
      <c r="E13" s="286"/>
      <c r="F13" s="290">
        <v>650</v>
      </c>
      <c r="G13" s="287"/>
      <c r="H13" s="286">
        <f t="shared" si="0"/>
        <v>6150</v>
      </c>
    </row>
    <row r="14" spans="2:11" x14ac:dyDescent="0.3">
      <c r="B14" s="291">
        <v>46034</v>
      </c>
      <c r="C14" s="288" t="s">
        <v>101</v>
      </c>
      <c r="D14" s="285">
        <v>847250140</v>
      </c>
      <c r="E14" s="286"/>
      <c r="F14" s="286">
        <v>5000</v>
      </c>
      <c r="G14" s="287"/>
      <c r="H14" s="286">
        <f t="shared" si="0"/>
        <v>1150</v>
      </c>
    </row>
    <row r="15" spans="2:11" x14ac:dyDescent="0.3">
      <c r="B15" s="291">
        <v>46062</v>
      </c>
      <c r="C15" s="288" t="s">
        <v>165</v>
      </c>
      <c r="D15" s="285"/>
      <c r="E15" s="286">
        <v>66420</v>
      </c>
      <c r="F15" s="286"/>
      <c r="G15" s="287"/>
      <c r="H15" s="286">
        <f t="shared" si="0"/>
        <v>67570</v>
      </c>
    </row>
    <row r="16" spans="2:11" x14ac:dyDescent="0.3">
      <c r="B16" s="291">
        <v>46106</v>
      </c>
      <c r="C16" s="288" t="s">
        <v>110</v>
      </c>
      <c r="D16" s="285">
        <v>877330599</v>
      </c>
      <c r="E16" s="286"/>
      <c r="F16" s="286">
        <v>1500</v>
      </c>
      <c r="G16" s="287"/>
      <c r="H16" s="286">
        <f t="shared" si="0"/>
        <v>66070</v>
      </c>
    </row>
    <row r="17" spans="2:8" x14ac:dyDescent="0.3">
      <c r="B17" s="291">
        <v>46107</v>
      </c>
      <c r="C17" s="288" t="s">
        <v>166</v>
      </c>
      <c r="D17" s="285">
        <v>868668111</v>
      </c>
      <c r="E17" s="286"/>
      <c r="F17" s="286">
        <v>66000</v>
      </c>
      <c r="G17" s="287"/>
      <c r="H17" s="286">
        <f t="shared" si="0"/>
        <v>70</v>
      </c>
    </row>
    <row r="18" spans="2:8" x14ac:dyDescent="0.3">
      <c r="B18" s="282">
        <v>46140</v>
      </c>
      <c r="C18" s="292" t="s">
        <v>174</v>
      </c>
      <c r="D18" s="285"/>
      <c r="E18" s="286">
        <v>30000</v>
      </c>
      <c r="F18" s="286"/>
      <c r="G18" s="287"/>
      <c r="H18" s="286">
        <f t="shared" si="0"/>
        <v>30070</v>
      </c>
    </row>
    <row r="19" spans="2:8" x14ac:dyDescent="0.3">
      <c r="B19" s="284"/>
      <c r="C19" s="285"/>
      <c r="D19" s="285"/>
      <c r="E19" s="286"/>
      <c r="F19" s="286"/>
      <c r="G19" s="287"/>
      <c r="H19" s="286">
        <f t="shared" si="0"/>
        <v>30070</v>
      </c>
    </row>
    <row r="20" spans="2:8" x14ac:dyDescent="0.3">
      <c r="B20" s="284"/>
      <c r="C20" s="285"/>
      <c r="D20" s="285"/>
      <c r="E20" s="286"/>
      <c r="F20" s="286"/>
      <c r="G20" s="287"/>
      <c r="H20" s="286">
        <f>+H19+E20-F20</f>
        <v>30070</v>
      </c>
    </row>
    <row r="21" spans="2:8" x14ac:dyDescent="0.3">
      <c r="B21" s="284"/>
      <c r="C21" s="285"/>
      <c r="D21" s="285"/>
      <c r="E21" s="286"/>
      <c r="F21" s="286"/>
      <c r="G21" s="287"/>
      <c r="H21" s="286"/>
    </row>
    <row r="22" spans="2:8" x14ac:dyDescent="0.3">
      <c r="B22" s="284"/>
      <c r="C22" s="285"/>
      <c r="D22" s="285"/>
      <c r="E22" s="286"/>
      <c r="F22" s="286"/>
      <c r="G22" s="287"/>
      <c r="H22" s="286"/>
    </row>
    <row r="23" spans="2:8" x14ac:dyDescent="0.3">
      <c r="B23" s="284"/>
      <c r="C23" s="285"/>
      <c r="D23" s="285"/>
      <c r="E23" s="286"/>
      <c r="F23" s="286"/>
      <c r="G23" s="287"/>
      <c r="H23" s="286"/>
    </row>
    <row r="24" spans="2:8" x14ac:dyDescent="0.3">
      <c r="B24" s="284"/>
      <c r="C24" s="285"/>
      <c r="D24" s="285"/>
      <c r="E24" s="286"/>
      <c r="F24" s="286"/>
      <c r="G24" s="287"/>
      <c r="H24" s="286"/>
    </row>
    <row r="25" spans="2:8" x14ac:dyDescent="0.3">
      <c r="B25" s="284"/>
      <c r="C25" s="285"/>
      <c r="D25" s="285"/>
      <c r="E25" s="286"/>
      <c r="F25" s="286"/>
      <c r="G25" s="287"/>
      <c r="H25" s="286"/>
    </row>
    <row r="26" spans="2:8" x14ac:dyDescent="0.3">
      <c r="B26" s="284"/>
      <c r="C26" s="285"/>
      <c r="D26" s="285"/>
      <c r="E26" s="286"/>
      <c r="F26" s="286"/>
      <c r="G26" s="287"/>
      <c r="H26" s="286"/>
    </row>
    <row r="27" spans="2:8" x14ac:dyDescent="0.3">
      <c r="B27" s="284"/>
      <c r="C27" s="285"/>
      <c r="D27" s="285"/>
      <c r="E27" s="286"/>
      <c r="F27" s="286"/>
      <c r="G27" s="287"/>
      <c r="H27" s="286"/>
    </row>
    <row r="28" spans="2:8" x14ac:dyDescent="0.3">
      <c r="B28" s="284"/>
      <c r="C28" s="285"/>
      <c r="D28" s="285"/>
      <c r="E28" s="286"/>
      <c r="F28" s="286"/>
      <c r="G28" s="287"/>
      <c r="H28" s="286"/>
    </row>
    <row r="49" spans="3:8" x14ac:dyDescent="0.3">
      <c r="C49" s="232" t="s">
        <v>20</v>
      </c>
      <c r="D49" s="233"/>
      <c r="E49" s="234">
        <f>SUM(E9:E42)</f>
        <v>96420</v>
      </c>
      <c r="F49" s="234">
        <f>SUM(F9:F41)</f>
        <v>98450</v>
      </c>
      <c r="G49" s="234"/>
      <c r="H49" s="234">
        <f>+F4-F49</f>
        <v>30070</v>
      </c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C490-2A50-46A0-A689-AAAA12473366}">
  <sheetPr>
    <tabColor rgb="FFF4B083"/>
    <pageSetUpPr fitToPage="1"/>
  </sheetPr>
  <dimension ref="A1:I1049"/>
  <sheetViews>
    <sheetView workbookViewId="0">
      <pane xSplit="2" ySplit="6" topLeftCell="C7" activePane="bottomRight" state="frozen"/>
      <selection pane="topRight" activeCell="H1" sqref="H1"/>
      <selection pane="bottomLeft" activeCell="A17" sqref="A17"/>
      <selection pane="bottomRight" activeCell="E70" sqref="E70"/>
    </sheetView>
  </sheetViews>
  <sheetFormatPr defaultColWidth="17.19921875" defaultRowHeight="15" customHeight="1" x14ac:dyDescent="0.3"/>
  <cols>
    <col min="1" max="1" width="9.5" style="252" customWidth="1"/>
    <col min="2" max="2" width="33.8984375" style="149" customWidth="1"/>
    <col min="3" max="3" width="12.8984375" style="150" customWidth="1"/>
    <col min="4" max="4" width="15.59765625" style="150" customWidth="1"/>
    <col min="5" max="5" width="14.3984375" style="150" customWidth="1"/>
    <col min="6" max="16384" width="17.19921875" style="149"/>
  </cols>
  <sheetData>
    <row r="1" spans="1:8" ht="15" customHeight="1" x14ac:dyDescent="0.3">
      <c r="B1" s="149" t="s">
        <v>118</v>
      </c>
    </row>
    <row r="2" spans="1:8" ht="15" customHeight="1" x14ac:dyDescent="0.3">
      <c r="B2" s="151">
        <f ca="1">TODAY()</f>
        <v>46142</v>
      </c>
    </row>
    <row r="3" spans="1:8" ht="14.4" x14ac:dyDescent="0.3">
      <c r="B3" s="152"/>
      <c r="C3" s="153" t="s">
        <v>71</v>
      </c>
      <c r="D3" s="154"/>
      <c r="E3" s="154">
        <f>+C70-D70</f>
        <v>11136</v>
      </c>
    </row>
    <row r="4" spans="1:8" ht="14.4" x14ac:dyDescent="0.3">
      <c r="E4" s="154"/>
    </row>
    <row r="5" spans="1:8" ht="14.4" x14ac:dyDescent="0.3">
      <c r="A5" s="253"/>
      <c r="B5" s="155"/>
      <c r="C5" s="341" t="s">
        <v>119</v>
      </c>
      <c r="D5" s="342"/>
      <c r="E5" s="343"/>
    </row>
    <row r="6" spans="1:8" ht="20.100000000000001" customHeight="1" x14ac:dyDescent="0.3">
      <c r="A6" s="252" t="s">
        <v>15</v>
      </c>
      <c r="B6" s="156" t="s">
        <v>16</v>
      </c>
      <c r="C6" s="157" t="s">
        <v>18</v>
      </c>
      <c r="D6" s="157" t="s">
        <v>17</v>
      </c>
      <c r="E6" s="158" t="s">
        <v>19</v>
      </c>
    </row>
    <row r="7" spans="1:8" ht="31.5" customHeight="1" x14ac:dyDescent="0.3">
      <c r="A7" s="313">
        <v>45957</v>
      </c>
      <c r="B7" s="314" t="s">
        <v>120</v>
      </c>
      <c r="C7" s="315">
        <v>80000</v>
      </c>
      <c r="D7" s="315">
        <v>0</v>
      </c>
      <c r="E7" s="316">
        <f>+C7-D7</f>
        <v>80000</v>
      </c>
      <c r="F7" s="317"/>
    </row>
    <row r="8" spans="1:8" ht="14.4" x14ac:dyDescent="0.3">
      <c r="A8" s="313">
        <v>45958</v>
      </c>
      <c r="B8" s="314" t="s">
        <v>121</v>
      </c>
      <c r="C8" s="318"/>
      <c r="D8" s="318">
        <v>71168</v>
      </c>
      <c r="E8" s="319">
        <f t="shared" ref="E8:E34" si="0">E7-D8+C8</f>
        <v>8832</v>
      </c>
      <c r="F8" s="317"/>
    </row>
    <row r="9" spans="1:8" ht="14.4" x14ac:dyDescent="0.3">
      <c r="A9" s="313">
        <v>45960</v>
      </c>
      <c r="B9" s="314" t="s">
        <v>122</v>
      </c>
      <c r="C9" s="318">
        <v>134000</v>
      </c>
      <c r="D9" s="318"/>
      <c r="E9" s="319">
        <f t="shared" si="0"/>
        <v>142832</v>
      </c>
      <c r="F9" s="317"/>
      <c r="G9" s="160"/>
    </row>
    <row r="10" spans="1:8" ht="14.4" x14ac:dyDescent="0.3">
      <c r="A10" s="313">
        <v>45962</v>
      </c>
      <c r="B10" s="314" t="s">
        <v>121</v>
      </c>
      <c r="C10" s="318"/>
      <c r="D10" s="318">
        <v>71168</v>
      </c>
      <c r="E10" s="319">
        <f t="shared" si="0"/>
        <v>71664</v>
      </c>
      <c r="F10" s="320"/>
    </row>
    <row r="11" spans="1:8" ht="14.4" x14ac:dyDescent="0.3">
      <c r="A11" s="313">
        <v>45965</v>
      </c>
      <c r="B11" s="314" t="s">
        <v>123</v>
      </c>
      <c r="C11" s="318">
        <v>19140</v>
      </c>
      <c r="D11" s="318"/>
      <c r="E11" s="319">
        <f t="shared" si="0"/>
        <v>90804</v>
      </c>
      <c r="F11" s="317"/>
    </row>
    <row r="12" spans="1:8" ht="14.4" x14ac:dyDescent="0.3">
      <c r="A12" s="313">
        <v>45972</v>
      </c>
      <c r="B12" s="314" t="s">
        <v>123</v>
      </c>
      <c r="C12" s="318">
        <v>4872</v>
      </c>
      <c r="D12" s="318"/>
      <c r="E12" s="319">
        <f t="shared" si="0"/>
        <v>95676</v>
      </c>
      <c r="F12" s="317"/>
    </row>
    <row r="13" spans="1:8" ht="14.4" x14ac:dyDescent="0.3">
      <c r="A13" s="313">
        <v>45979</v>
      </c>
      <c r="B13" s="314" t="s">
        <v>123</v>
      </c>
      <c r="C13" s="318">
        <v>189750</v>
      </c>
      <c r="D13" s="318"/>
      <c r="E13" s="319">
        <f t="shared" si="0"/>
        <v>285426</v>
      </c>
      <c r="F13" s="317"/>
    </row>
    <row r="14" spans="1:8" ht="14.4" x14ac:dyDescent="0.3">
      <c r="A14" s="313">
        <v>46000</v>
      </c>
      <c r="B14" s="314" t="s">
        <v>121</v>
      </c>
      <c r="C14" s="318"/>
      <c r="D14" s="318">
        <v>71168</v>
      </c>
      <c r="E14" s="319">
        <f t="shared" si="0"/>
        <v>214258</v>
      </c>
      <c r="F14" s="321"/>
    </row>
    <row r="15" spans="1:8" ht="14.4" x14ac:dyDescent="0.3">
      <c r="A15" s="313">
        <v>46008</v>
      </c>
      <c r="B15" s="314" t="s">
        <v>124</v>
      </c>
      <c r="C15" s="318"/>
      <c r="D15" s="318">
        <v>88960</v>
      </c>
      <c r="E15" s="319">
        <f t="shared" si="0"/>
        <v>125298</v>
      </c>
      <c r="F15" s="317"/>
    </row>
    <row r="16" spans="1:8" ht="14.4" x14ac:dyDescent="0.3">
      <c r="A16" s="313">
        <v>46014</v>
      </c>
      <c r="B16" s="314" t="s">
        <v>125</v>
      </c>
      <c r="C16" s="318">
        <v>79350</v>
      </c>
      <c r="D16" s="318"/>
      <c r="E16" s="319">
        <f t="shared" si="0"/>
        <v>204648</v>
      </c>
      <c r="F16" s="322" t="s">
        <v>126</v>
      </c>
      <c r="G16" s="162"/>
      <c r="H16" s="163"/>
    </row>
    <row r="17" spans="1:9" ht="14.4" x14ac:dyDescent="0.3">
      <c r="A17" s="313">
        <v>46385</v>
      </c>
      <c r="B17" s="314" t="s">
        <v>124</v>
      </c>
      <c r="C17" s="318"/>
      <c r="D17" s="318">
        <v>88960</v>
      </c>
      <c r="E17" s="319">
        <f t="shared" si="0"/>
        <v>115688</v>
      </c>
      <c r="F17" s="317"/>
    </row>
    <row r="18" spans="1:9" ht="14.4" x14ac:dyDescent="0.3">
      <c r="A18" s="313">
        <v>46025</v>
      </c>
      <c r="B18" s="314" t="s">
        <v>121</v>
      </c>
      <c r="C18" s="318"/>
      <c r="D18" s="318">
        <f>88.96*800</f>
        <v>71168</v>
      </c>
      <c r="E18" s="319">
        <f t="shared" si="0"/>
        <v>44520</v>
      </c>
      <c r="F18" s="317"/>
    </row>
    <row r="19" spans="1:9" ht="15.75" customHeight="1" x14ac:dyDescent="0.3">
      <c r="A19" s="313">
        <v>46027</v>
      </c>
      <c r="B19" s="314" t="s">
        <v>124</v>
      </c>
      <c r="C19" s="318"/>
      <c r="D19" s="318">
        <v>88960</v>
      </c>
      <c r="E19" s="319">
        <f t="shared" si="0"/>
        <v>-44440</v>
      </c>
      <c r="F19" s="323"/>
      <c r="G19" s="164"/>
      <c r="H19" s="165"/>
      <c r="I19" s="164"/>
    </row>
    <row r="20" spans="1:9" ht="14.4" x14ac:dyDescent="0.3">
      <c r="A20" s="313">
        <v>46101</v>
      </c>
      <c r="B20" s="314" t="s">
        <v>127</v>
      </c>
      <c r="C20" s="318">
        <f>200*88.96</f>
        <v>17792</v>
      </c>
      <c r="D20" s="318"/>
      <c r="E20" s="319">
        <f t="shared" si="0"/>
        <v>-26648</v>
      </c>
      <c r="F20" s="320"/>
    </row>
    <row r="21" spans="1:9" ht="14.4" x14ac:dyDescent="0.3">
      <c r="A21" s="313">
        <v>46104</v>
      </c>
      <c r="B21" s="314" t="s">
        <v>128</v>
      </c>
      <c r="C21" s="318"/>
      <c r="D21" s="318">
        <v>17792</v>
      </c>
      <c r="E21" s="319">
        <f t="shared" si="0"/>
        <v>-44440</v>
      </c>
      <c r="F21" s="317"/>
    </row>
    <row r="22" spans="1:9" ht="15.75" customHeight="1" x14ac:dyDescent="0.3">
      <c r="A22" s="313">
        <v>46107</v>
      </c>
      <c r="B22" s="314" t="s">
        <v>129</v>
      </c>
      <c r="C22" s="318">
        <v>30000</v>
      </c>
      <c r="D22" s="318"/>
      <c r="E22" s="319">
        <f t="shared" si="0"/>
        <v>-14440</v>
      </c>
      <c r="F22" s="317"/>
      <c r="G22" s="164"/>
      <c r="H22" s="165"/>
      <c r="I22" s="164"/>
    </row>
    <row r="23" spans="1:9" ht="14.4" x14ac:dyDescent="0.3">
      <c r="A23" s="313">
        <v>46107</v>
      </c>
      <c r="B23" s="324" t="s">
        <v>130</v>
      </c>
      <c r="C23" s="318">
        <v>54000</v>
      </c>
      <c r="D23" s="318"/>
      <c r="E23" s="319">
        <f t="shared" si="0"/>
        <v>39560</v>
      </c>
      <c r="F23" s="325"/>
      <c r="G23" s="164"/>
      <c r="H23" s="164"/>
      <c r="I23" s="164"/>
    </row>
    <row r="24" spans="1:9" ht="14.4" x14ac:dyDescent="0.3">
      <c r="A24" s="313">
        <v>46107</v>
      </c>
      <c r="B24" s="314" t="s">
        <v>124</v>
      </c>
      <c r="C24" s="318"/>
      <c r="D24" s="318">
        <v>88960</v>
      </c>
      <c r="E24" s="319">
        <f t="shared" si="0"/>
        <v>-49400</v>
      </c>
      <c r="F24" s="326"/>
      <c r="G24" s="164"/>
      <c r="H24" s="165"/>
      <c r="I24" s="164"/>
    </row>
    <row r="25" spans="1:9" ht="15.75" customHeight="1" x14ac:dyDescent="0.3">
      <c r="A25" s="313">
        <v>46107</v>
      </c>
      <c r="B25" s="324" t="s">
        <v>131</v>
      </c>
      <c r="C25" s="318">
        <v>66000</v>
      </c>
      <c r="D25" s="318"/>
      <c r="E25" s="319">
        <f t="shared" si="0"/>
        <v>16600</v>
      </c>
      <c r="F25" s="325"/>
      <c r="G25" s="164"/>
      <c r="H25" s="165"/>
      <c r="I25" s="164"/>
    </row>
    <row r="26" spans="1:9" ht="15.75" customHeight="1" x14ac:dyDescent="0.3">
      <c r="A26" s="313">
        <v>46108</v>
      </c>
      <c r="B26" s="314" t="s">
        <v>132</v>
      </c>
      <c r="C26" s="318">
        <v>24464</v>
      </c>
      <c r="D26" s="318"/>
      <c r="E26" s="319">
        <f t="shared" si="0"/>
        <v>41064</v>
      </c>
      <c r="F26" s="317"/>
      <c r="G26" s="164"/>
      <c r="H26" s="165"/>
      <c r="I26" s="164"/>
    </row>
    <row r="27" spans="1:9" ht="15.75" customHeight="1" x14ac:dyDescent="0.3">
      <c r="A27" s="313">
        <v>46109</v>
      </c>
      <c r="B27" s="314" t="s">
        <v>133</v>
      </c>
      <c r="C27" s="318"/>
      <c r="D27" s="318">
        <v>24464</v>
      </c>
      <c r="E27" s="319">
        <f t="shared" si="0"/>
        <v>16600</v>
      </c>
      <c r="F27" s="317"/>
      <c r="G27" s="164"/>
      <c r="H27" s="165"/>
      <c r="I27" s="164"/>
    </row>
    <row r="28" spans="1:9" ht="15.75" customHeight="1" x14ac:dyDescent="0.3">
      <c r="A28" s="313">
        <v>46116</v>
      </c>
      <c r="B28" s="314" t="s">
        <v>124</v>
      </c>
      <c r="C28" s="318"/>
      <c r="D28" s="318">
        <v>88960</v>
      </c>
      <c r="E28" s="319">
        <f t="shared" si="0"/>
        <v>-72360</v>
      </c>
      <c r="F28" s="317">
        <f>88.96*400</f>
        <v>35584</v>
      </c>
      <c r="G28" s="164"/>
      <c r="H28" s="165"/>
      <c r="I28" s="164"/>
    </row>
    <row r="29" spans="1:9" ht="15.75" customHeight="1" x14ac:dyDescent="0.3">
      <c r="A29" s="313">
        <v>46117</v>
      </c>
      <c r="B29" s="314" t="s">
        <v>134</v>
      </c>
      <c r="C29" s="318">
        <v>253000</v>
      </c>
      <c r="D29" s="318"/>
      <c r="E29" s="319">
        <f t="shared" si="0"/>
        <v>180640</v>
      </c>
      <c r="F29" s="317"/>
      <c r="G29" s="164"/>
      <c r="H29" s="165"/>
      <c r="I29" s="164"/>
    </row>
    <row r="30" spans="1:9" ht="15.75" customHeight="1" x14ac:dyDescent="0.3">
      <c r="A30" s="313">
        <v>46126</v>
      </c>
      <c r="B30" s="314" t="s">
        <v>124</v>
      </c>
      <c r="C30" s="318"/>
      <c r="D30" s="318">
        <v>88960</v>
      </c>
      <c r="E30" s="319">
        <f t="shared" si="0"/>
        <v>91680</v>
      </c>
      <c r="F30" s="317"/>
      <c r="G30" s="164"/>
      <c r="H30" s="165"/>
      <c r="I30" s="164"/>
    </row>
    <row r="31" spans="1:9" ht="15.75" customHeight="1" x14ac:dyDescent="0.3">
      <c r="A31" s="313">
        <v>46127</v>
      </c>
      <c r="B31" s="314" t="s">
        <v>124</v>
      </c>
      <c r="C31" s="318"/>
      <c r="D31" s="318">
        <v>88960</v>
      </c>
      <c r="E31" s="319">
        <f t="shared" si="0"/>
        <v>2720</v>
      </c>
      <c r="F31" s="317"/>
      <c r="G31" s="166"/>
      <c r="H31" s="167"/>
      <c r="I31" s="164"/>
    </row>
    <row r="32" spans="1:9" ht="15.75" customHeight="1" x14ac:dyDescent="0.3">
      <c r="A32" s="313">
        <v>46129</v>
      </c>
      <c r="B32" s="314" t="s">
        <v>135</v>
      </c>
      <c r="C32" s="318"/>
      <c r="D32" s="318">
        <f>400*88.96</f>
        <v>35584</v>
      </c>
      <c r="E32" s="319">
        <f t="shared" si="0"/>
        <v>-32864</v>
      </c>
      <c r="F32" s="317"/>
      <c r="G32" s="166"/>
      <c r="H32" s="167"/>
      <c r="I32" s="164"/>
    </row>
    <row r="33" spans="1:8" ht="15.75" customHeight="1" x14ac:dyDescent="0.3">
      <c r="A33" s="313">
        <v>46129</v>
      </c>
      <c r="B33" s="314" t="s">
        <v>136</v>
      </c>
      <c r="C33" s="318">
        <v>24000</v>
      </c>
      <c r="D33" s="318"/>
      <c r="E33" s="319">
        <f t="shared" si="0"/>
        <v>-8864</v>
      </c>
      <c r="F33" s="317"/>
      <c r="H33" s="168"/>
    </row>
    <row r="34" spans="1:8" ht="15.75" customHeight="1" x14ac:dyDescent="0.3">
      <c r="A34" s="313">
        <v>46129</v>
      </c>
      <c r="B34" s="314" t="s">
        <v>137</v>
      </c>
      <c r="C34" s="318">
        <v>20000</v>
      </c>
      <c r="D34" s="318"/>
      <c r="E34" s="319">
        <f t="shared" si="0"/>
        <v>11136</v>
      </c>
      <c r="F34" s="317"/>
      <c r="H34" s="168"/>
    </row>
    <row r="35" spans="1:8" ht="15.75" customHeight="1" x14ac:dyDescent="0.3">
      <c r="A35" s="313"/>
      <c r="B35" s="314"/>
      <c r="C35" s="318"/>
      <c r="D35" s="318"/>
      <c r="E35" s="319"/>
      <c r="F35" s="317"/>
      <c r="H35" s="168"/>
    </row>
    <row r="36" spans="1:8" ht="15.75" customHeight="1" x14ac:dyDescent="0.3">
      <c r="A36" s="313"/>
      <c r="B36" s="324"/>
      <c r="C36" s="327"/>
      <c r="D36" s="327"/>
      <c r="E36" s="328"/>
      <c r="F36" s="317"/>
      <c r="H36" s="168"/>
    </row>
    <row r="37" spans="1:8" ht="15.75" customHeight="1" x14ac:dyDescent="0.3">
      <c r="A37" s="254"/>
      <c r="B37" s="156"/>
      <c r="C37" s="159"/>
      <c r="D37" s="170"/>
      <c r="E37" s="169"/>
      <c r="F37" s="161"/>
      <c r="H37" s="168"/>
    </row>
    <row r="38" spans="1:8" ht="15.75" customHeight="1" x14ac:dyDescent="0.3">
      <c r="A38" s="254"/>
      <c r="B38" s="156"/>
      <c r="C38" s="171"/>
      <c r="D38" s="171"/>
      <c r="E38" s="169"/>
      <c r="H38" s="168"/>
    </row>
    <row r="39" spans="1:8" ht="15.75" customHeight="1" x14ac:dyDescent="0.3">
      <c r="A39" s="254"/>
      <c r="B39" s="156"/>
      <c r="C39" s="171"/>
      <c r="D39" s="171"/>
      <c r="E39" s="169"/>
      <c r="H39" s="168"/>
    </row>
    <row r="40" spans="1:8" ht="15.75" customHeight="1" x14ac:dyDescent="0.3">
      <c r="A40" s="254"/>
      <c r="B40" s="156"/>
      <c r="C40" s="171"/>
      <c r="D40" s="171"/>
      <c r="E40" s="169"/>
      <c r="H40" s="168"/>
    </row>
    <row r="41" spans="1:8" ht="15.75" customHeight="1" x14ac:dyDescent="0.3">
      <c r="A41" s="254"/>
      <c r="B41" s="156"/>
      <c r="C41" s="171"/>
      <c r="D41" s="171"/>
      <c r="E41" s="169"/>
      <c r="H41" s="168"/>
    </row>
    <row r="42" spans="1:8" ht="15.75" customHeight="1" x14ac:dyDescent="0.3">
      <c r="A42" s="254"/>
      <c r="B42" s="156"/>
      <c r="C42" s="171"/>
      <c r="D42" s="171"/>
      <c r="E42" s="169"/>
      <c r="H42" s="168"/>
    </row>
    <row r="43" spans="1:8" ht="15.75" customHeight="1" x14ac:dyDescent="0.3">
      <c r="A43" s="254"/>
      <c r="B43" s="156"/>
      <c r="C43" s="171"/>
      <c r="D43" s="171"/>
      <c r="E43" s="169"/>
      <c r="H43" s="168"/>
    </row>
    <row r="44" spans="1:8" ht="15.75" customHeight="1" x14ac:dyDescent="0.3">
      <c r="A44" s="254"/>
      <c r="B44" s="156"/>
      <c r="C44" s="171"/>
      <c r="D44" s="171"/>
      <c r="E44" s="169"/>
      <c r="H44" s="168"/>
    </row>
    <row r="45" spans="1:8" ht="15.75" customHeight="1" x14ac:dyDescent="0.3">
      <c r="A45" s="254"/>
      <c r="B45" s="156"/>
      <c r="C45" s="171"/>
      <c r="D45" s="171"/>
      <c r="E45" s="169"/>
      <c r="H45" s="168"/>
    </row>
    <row r="46" spans="1:8" ht="15.75" customHeight="1" x14ac:dyDescent="0.3">
      <c r="A46" s="254"/>
      <c r="B46" s="156"/>
      <c r="C46" s="171"/>
      <c r="D46" s="171"/>
      <c r="E46" s="169"/>
      <c r="H46" s="168"/>
    </row>
    <row r="47" spans="1:8" ht="15.75" customHeight="1" x14ac:dyDescent="0.3">
      <c r="A47" s="254"/>
      <c r="B47" s="156"/>
      <c r="C47" s="171"/>
      <c r="D47" s="171"/>
      <c r="E47" s="169"/>
      <c r="F47" s="172"/>
      <c r="H47" s="168"/>
    </row>
    <row r="48" spans="1:8" ht="15.75" customHeight="1" x14ac:dyDescent="0.3">
      <c r="A48" s="254"/>
      <c r="B48" s="156"/>
      <c r="C48" s="171"/>
      <c r="D48" s="171"/>
      <c r="E48" s="169"/>
      <c r="F48" s="172"/>
      <c r="H48" s="168"/>
    </row>
    <row r="49" spans="1:8" ht="15.75" customHeight="1" x14ac:dyDescent="0.3">
      <c r="A49" s="254"/>
      <c r="B49" s="156"/>
      <c r="C49" s="171"/>
      <c r="D49" s="171"/>
      <c r="E49" s="169"/>
      <c r="F49" s="173"/>
      <c r="H49" s="168"/>
    </row>
    <row r="50" spans="1:8" ht="15.75" customHeight="1" x14ac:dyDescent="0.3">
      <c r="A50" s="254"/>
      <c r="B50" s="156"/>
      <c r="C50" s="171"/>
      <c r="D50" s="171"/>
      <c r="E50" s="169"/>
      <c r="H50" s="168"/>
    </row>
    <row r="51" spans="1:8" ht="15.75" customHeight="1" x14ac:dyDescent="0.3">
      <c r="A51" s="254"/>
      <c r="B51" s="156"/>
      <c r="C51" s="171"/>
      <c r="D51" s="171"/>
      <c r="E51" s="169"/>
      <c r="H51" s="168"/>
    </row>
    <row r="52" spans="1:8" ht="15.75" customHeight="1" x14ac:dyDescent="0.3">
      <c r="A52" s="254"/>
      <c r="B52" s="156"/>
      <c r="C52" s="171"/>
      <c r="D52" s="171"/>
      <c r="E52" s="169"/>
      <c r="H52" s="168"/>
    </row>
    <row r="53" spans="1:8" ht="15.75" customHeight="1" x14ac:dyDescent="0.3">
      <c r="A53" s="254"/>
      <c r="B53" s="156"/>
      <c r="C53" s="171"/>
      <c r="D53" s="171"/>
      <c r="E53" s="169"/>
      <c r="F53" s="172"/>
      <c r="H53" s="168"/>
    </row>
    <row r="54" spans="1:8" ht="15.75" customHeight="1" x14ac:dyDescent="0.3">
      <c r="A54" s="254"/>
      <c r="B54" s="156"/>
      <c r="C54" s="171"/>
      <c r="D54" s="171"/>
      <c r="E54" s="169"/>
      <c r="F54" s="172"/>
      <c r="H54" s="168"/>
    </row>
    <row r="55" spans="1:8" ht="15.75" customHeight="1" x14ac:dyDescent="0.3">
      <c r="A55" s="254"/>
      <c r="B55" s="156"/>
      <c r="C55" s="171"/>
      <c r="D55" s="171"/>
      <c r="E55" s="169"/>
      <c r="F55" s="173"/>
      <c r="H55" s="168"/>
    </row>
    <row r="56" spans="1:8" ht="15.75" customHeight="1" x14ac:dyDescent="0.3">
      <c r="A56" s="254"/>
      <c r="B56" s="156"/>
      <c r="C56" s="171"/>
      <c r="D56" s="171"/>
      <c r="E56" s="169"/>
      <c r="H56" s="168"/>
    </row>
    <row r="57" spans="1:8" ht="15.75" customHeight="1" x14ac:dyDescent="0.3">
      <c r="A57" s="254"/>
      <c r="B57" s="156"/>
      <c r="C57" s="171"/>
      <c r="D57" s="171"/>
      <c r="E57" s="169"/>
      <c r="H57" s="168"/>
    </row>
    <row r="58" spans="1:8" ht="15.75" customHeight="1" x14ac:dyDescent="0.3">
      <c r="A58" s="254"/>
      <c r="B58" s="156"/>
      <c r="C58" s="171"/>
      <c r="D58" s="171"/>
      <c r="E58" s="169"/>
      <c r="H58" s="168"/>
    </row>
    <row r="59" spans="1:8" ht="15.75" customHeight="1" x14ac:dyDescent="0.3">
      <c r="A59" s="254"/>
      <c r="B59" s="156"/>
      <c r="C59" s="171"/>
      <c r="D59" s="171"/>
      <c r="E59" s="169"/>
      <c r="H59" s="168"/>
    </row>
    <row r="60" spans="1:8" ht="15.75" customHeight="1" x14ac:dyDescent="0.3">
      <c r="A60" s="254"/>
      <c r="B60" s="156"/>
      <c r="C60" s="171"/>
      <c r="D60" s="171"/>
      <c r="E60" s="169"/>
      <c r="H60" s="168"/>
    </row>
    <row r="61" spans="1:8" ht="15.75" customHeight="1" x14ac:dyDescent="0.3">
      <c r="A61" s="254"/>
      <c r="B61" s="156"/>
      <c r="C61" s="171"/>
      <c r="D61" s="171"/>
      <c r="E61" s="169"/>
      <c r="H61" s="168"/>
    </row>
    <row r="62" spans="1:8" ht="15.75" customHeight="1" x14ac:dyDescent="0.3">
      <c r="A62" s="254"/>
      <c r="B62" s="156"/>
      <c r="C62" s="171"/>
      <c r="D62" s="171"/>
      <c r="E62" s="169"/>
      <c r="H62" s="168"/>
    </row>
    <row r="63" spans="1:8" ht="15.75" customHeight="1" x14ac:dyDescent="0.3">
      <c r="A63" s="254"/>
      <c r="B63" s="156"/>
      <c r="C63" s="171"/>
      <c r="D63" s="171"/>
      <c r="E63" s="169"/>
      <c r="H63" s="168"/>
    </row>
    <row r="64" spans="1:8" ht="15.75" customHeight="1" x14ac:dyDescent="0.3">
      <c r="A64" s="254"/>
      <c r="B64" s="174"/>
      <c r="C64" s="175"/>
      <c r="D64" s="175"/>
      <c r="E64" s="176"/>
      <c r="H64" s="168"/>
    </row>
    <row r="65" spans="1:8" ht="15.75" customHeight="1" x14ac:dyDescent="0.3">
      <c r="A65" s="254"/>
      <c r="B65" s="156"/>
      <c r="C65" s="171"/>
      <c r="D65" s="171"/>
      <c r="E65" s="169"/>
      <c r="H65" s="168"/>
    </row>
    <row r="66" spans="1:8" ht="15.75" customHeight="1" x14ac:dyDescent="0.3">
      <c r="A66" s="254"/>
      <c r="B66" s="156"/>
      <c r="C66" s="171"/>
      <c r="D66" s="171"/>
      <c r="E66" s="169"/>
      <c r="H66" s="168"/>
    </row>
    <row r="67" spans="1:8" ht="15.75" customHeight="1" x14ac:dyDescent="0.3">
      <c r="A67" s="254"/>
      <c r="B67" s="156"/>
      <c r="C67" s="171"/>
      <c r="D67" s="171"/>
      <c r="E67" s="169"/>
      <c r="H67" s="168"/>
    </row>
    <row r="68" spans="1:8" ht="15.75" customHeight="1" x14ac:dyDescent="0.3">
      <c r="A68" s="254"/>
      <c r="B68" s="156"/>
      <c r="C68" s="171"/>
      <c r="D68" s="171"/>
      <c r="E68" s="169"/>
      <c r="H68" s="168"/>
    </row>
    <row r="69" spans="1:8" ht="15.75" customHeight="1" x14ac:dyDescent="0.3">
      <c r="A69" s="254"/>
      <c r="B69" s="156"/>
      <c r="C69" s="171"/>
      <c r="D69" s="171"/>
      <c r="E69" s="169"/>
      <c r="H69" s="168"/>
    </row>
    <row r="70" spans="1:8" ht="15.75" customHeight="1" x14ac:dyDescent="0.3">
      <c r="A70" s="254"/>
      <c r="B70" s="177" t="s">
        <v>70</v>
      </c>
      <c r="C70" s="171">
        <f>SUM(C7:C69)</f>
        <v>996368</v>
      </c>
      <c r="D70" s="171">
        <f>SUM(D7:D69)</f>
        <v>985232</v>
      </c>
      <c r="E70" s="169">
        <f>+C70-D70</f>
        <v>11136</v>
      </c>
      <c r="F70" s="163"/>
      <c r="H70" s="168"/>
    </row>
    <row r="71" spans="1:8" ht="15.75" customHeight="1" x14ac:dyDescent="0.3">
      <c r="A71" s="254"/>
      <c r="B71" s="178"/>
      <c r="C71" s="179"/>
      <c r="D71" s="180"/>
      <c r="E71" s="169"/>
      <c r="G71" s="161"/>
      <c r="H71" s="168"/>
    </row>
    <row r="72" spans="1:8" ht="15.75" customHeight="1" x14ac:dyDescent="0.3">
      <c r="C72" s="181"/>
      <c r="D72" s="181"/>
      <c r="E72" s="182"/>
      <c r="H72" s="168"/>
    </row>
    <row r="73" spans="1:8" ht="15.75" customHeight="1" x14ac:dyDescent="0.3">
      <c r="C73" s="171"/>
      <c r="D73" s="171"/>
      <c r="E73" s="183"/>
      <c r="H73" s="168"/>
    </row>
    <row r="74" spans="1:8" ht="15.75" customHeight="1" x14ac:dyDescent="0.3">
      <c r="C74" s="171"/>
      <c r="D74" s="171"/>
      <c r="E74" s="183"/>
      <c r="H74" s="168"/>
    </row>
    <row r="75" spans="1:8" ht="15.75" customHeight="1" x14ac:dyDescent="0.3">
      <c r="C75" s="171"/>
      <c r="D75" s="171"/>
      <c r="E75" s="183"/>
      <c r="H75" s="168"/>
    </row>
    <row r="76" spans="1:8" ht="15.75" customHeight="1" x14ac:dyDescent="0.3">
      <c r="C76" s="171"/>
      <c r="D76" s="171"/>
      <c r="E76" s="183"/>
    </row>
    <row r="77" spans="1:8" ht="15.75" customHeight="1" x14ac:dyDescent="0.3">
      <c r="C77" s="171"/>
      <c r="D77" s="171"/>
      <c r="E77" s="183"/>
    </row>
    <row r="78" spans="1:8" ht="15.75" customHeight="1" x14ac:dyDescent="0.3">
      <c r="C78" s="171"/>
      <c r="D78" s="171"/>
      <c r="E78" s="183"/>
    </row>
    <row r="79" spans="1:8" ht="15.75" customHeight="1" x14ac:dyDescent="0.3">
      <c r="C79" s="171"/>
      <c r="D79" s="171"/>
      <c r="E79" s="183"/>
    </row>
    <row r="80" spans="1:8" ht="15.75" customHeight="1" x14ac:dyDescent="0.3">
      <c r="C80" s="171"/>
      <c r="D80" s="171"/>
      <c r="E80" s="183"/>
    </row>
    <row r="81" spans="3:5" ht="15.75" customHeight="1" x14ac:dyDescent="0.3">
      <c r="C81" s="171"/>
      <c r="D81" s="171"/>
      <c r="E81" s="183"/>
    </row>
    <row r="82" spans="3:5" ht="15.75" customHeight="1" x14ac:dyDescent="0.3">
      <c r="C82" s="171"/>
      <c r="D82" s="171"/>
      <c r="E82" s="183"/>
    </row>
    <row r="83" spans="3:5" ht="15.75" customHeight="1" x14ac:dyDescent="0.3">
      <c r="E83" s="154"/>
    </row>
    <row r="84" spans="3:5" ht="15.75" customHeight="1" x14ac:dyDescent="0.3">
      <c r="E84" s="154"/>
    </row>
    <row r="85" spans="3:5" ht="15.75" customHeight="1" x14ac:dyDescent="0.3">
      <c r="E85" s="154"/>
    </row>
    <row r="86" spans="3:5" ht="15.75" customHeight="1" x14ac:dyDescent="0.3">
      <c r="E86" s="154"/>
    </row>
    <row r="87" spans="3:5" ht="15.75" customHeight="1" x14ac:dyDescent="0.3">
      <c r="E87" s="154"/>
    </row>
    <row r="88" spans="3:5" ht="15.75" customHeight="1" x14ac:dyDescent="0.3">
      <c r="E88" s="154"/>
    </row>
    <row r="89" spans="3:5" ht="15.75" customHeight="1" x14ac:dyDescent="0.3">
      <c r="E89" s="154"/>
    </row>
    <row r="90" spans="3:5" ht="15.75" customHeight="1" x14ac:dyDescent="0.3">
      <c r="E90" s="154"/>
    </row>
    <row r="91" spans="3:5" ht="15.75" customHeight="1" x14ac:dyDescent="0.3">
      <c r="E91" s="154"/>
    </row>
    <row r="92" spans="3:5" ht="15.75" customHeight="1" x14ac:dyDescent="0.3">
      <c r="E92" s="154"/>
    </row>
    <row r="93" spans="3:5" ht="15.75" customHeight="1" x14ac:dyDescent="0.3">
      <c r="E93" s="154"/>
    </row>
    <row r="94" spans="3:5" ht="15.75" customHeight="1" x14ac:dyDescent="0.3">
      <c r="E94" s="154"/>
    </row>
    <row r="95" spans="3:5" ht="15.75" customHeight="1" x14ac:dyDescent="0.3">
      <c r="E95" s="154"/>
    </row>
    <row r="96" spans="3:5" ht="15.75" customHeight="1" x14ac:dyDescent="0.3">
      <c r="E96" s="154"/>
    </row>
    <row r="97" spans="5:5" ht="15.75" customHeight="1" x14ac:dyDescent="0.3">
      <c r="E97" s="154"/>
    </row>
    <row r="98" spans="5:5" ht="15.75" customHeight="1" x14ac:dyDescent="0.3">
      <c r="E98" s="154"/>
    </row>
    <row r="99" spans="5:5" ht="15.75" customHeight="1" x14ac:dyDescent="0.3">
      <c r="E99" s="154"/>
    </row>
    <row r="100" spans="5:5" ht="15.75" customHeight="1" x14ac:dyDescent="0.3">
      <c r="E100" s="154"/>
    </row>
    <row r="101" spans="5:5" ht="15.75" customHeight="1" x14ac:dyDescent="0.3">
      <c r="E101" s="154"/>
    </row>
    <row r="102" spans="5:5" ht="15.75" customHeight="1" x14ac:dyDescent="0.3">
      <c r="E102" s="154"/>
    </row>
    <row r="103" spans="5:5" ht="15.75" customHeight="1" x14ac:dyDescent="0.3">
      <c r="E103" s="154"/>
    </row>
    <row r="104" spans="5:5" ht="15.75" customHeight="1" x14ac:dyDescent="0.3">
      <c r="E104" s="154"/>
    </row>
    <row r="105" spans="5:5" ht="15.75" customHeight="1" x14ac:dyDescent="0.3">
      <c r="E105" s="154"/>
    </row>
    <row r="106" spans="5:5" ht="15.75" customHeight="1" x14ac:dyDescent="0.3">
      <c r="E106" s="154"/>
    </row>
    <row r="107" spans="5:5" ht="15.75" customHeight="1" x14ac:dyDescent="0.3">
      <c r="E107" s="154"/>
    </row>
    <row r="108" spans="5:5" ht="15.75" customHeight="1" x14ac:dyDescent="0.3">
      <c r="E108" s="154"/>
    </row>
    <row r="109" spans="5:5" ht="15.75" customHeight="1" x14ac:dyDescent="0.3">
      <c r="E109" s="154"/>
    </row>
    <row r="110" spans="5:5" ht="15.75" customHeight="1" x14ac:dyDescent="0.3">
      <c r="E110" s="154"/>
    </row>
    <row r="111" spans="5:5" ht="15.75" customHeight="1" x14ac:dyDescent="0.3">
      <c r="E111" s="154"/>
    </row>
    <row r="112" spans="5:5" ht="15.75" customHeight="1" x14ac:dyDescent="0.3">
      <c r="E112" s="154"/>
    </row>
    <row r="113" spans="5:5" ht="15.75" customHeight="1" x14ac:dyDescent="0.3">
      <c r="E113" s="154"/>
    </row>
    <row r="114" spans="5:5" ht="15.75" customHeight="1" x14ac:dyDescent="0.3">
      <c r="E114" s="154"/>
    </row>
    <row r="115" spans="5:5" ht="15.75" customHeight="1" x14ac:dyDescent="0.3">
      <c r="E115" s="154"/>
    </row>
    <row r="116" spans="5:5" ht="15.75" customHeight="1" x14ac:dyDescent="0.3">
      <c r="E116" s="154"/>
    </row>
    <row r="117" spans="5:5" ht="15.75" customHeight="1" x14ac:dyDescent="0.3">
      <c r="E117" s="154"/>
    </row>
    <row r="118" spans="5:5" ht="15.75" customHeight="1" x14ac:dyDescent="0.3">
      <c r="E118" s="154"/>
    </row>
    <row r="119" spans="5:5" ht="15.75" customHeight="1" x14ac:dyDescent="0.3">
      <c r="E119" s="154"/>
    </row>
    <row r="120" spans="5:5" ht="15.75" customHeight="1" x14ac:dyDescent="0.3">
      <c r="E120" s="154"/>
    </row>
    <row r="121" spans="5:5" ht="15.75" customHeight="1" x14ac:dyDescent="0.3">
      <c r="E121" s="154"/>
    </row>
    <row r="122" spans="5:5" ht="15.75" customHeight="1" x14ac:dyDescent="0.3">
      <c r="E122" s="154"/>
    </row>
    <row r="123" spans="5:5" ht="15.75" customHeight="1" x14ac:dyDescent="0.3">
      <c r="E123" s="154"/>
    </row>
    <row r="124" spans="5:5" ht="15.75" customHeight="1" x14ac:dyDescent="0.3">
      <c r="E124" s="154"/>
    </row>
    <row r="125" spans="5:5" ht="15.75" customHeight="1" x14ac:dyDescent="0.3">
      <c r="E125" s="154"/>
    </row>
    <row r="126" spans="5:5" ht="15.75" customHeight="1" x14ac:dyDescent="0.3">
      <c r="E126" s="154"/>
    </row>
    <row r="127" spans="5:5" ht="15.75" customHeight="1" x14ac:dyDescent="0.3">
      <c r="E127" s="154"/>
    </row>
    <row r="128" spans="5:5" ht="15.75" customHeight="1" x14ac:dyDescent="0.3">
      <c r="E128" s="154"/>
    </row>
    <row r="129" spans="5:5" ht="15.75" customHeight="1" x14ac:dyDescent="0.3">
      <c r="E129" s="154"/>
    </row>
    <row r="130" spans="5:5" ht="15.75" customHeight="1" x14ac:dyDescent="0.3">
      <c r="E130" s="154"/>
    </row>
    <row r="131" spans="5:5" ht="15.75" customHeight="1" x14ac:dyDescent="0.3">
      <c r="E131" s="154"/>
    </row>
    <row r="132" spans="5:5" ht="15.75" customHeight="1" x14ac:dyDescent="0.3">
      <c r="E132" s="154"/>
    </row>
    <row r="133" spans="5:5" ht="15.75" customHeight="1" x14ac:dyDescent="0.3">
      <c r="E133" s="154"/>
    </row>
    <row r="134" spans="5:5" ht="15.75" customHeight="1" x14ac:dyDescent="0.3">
      <c r="E134" s="154"/>
    </row>
    <row r="135" spans="5:5" ht="15.75" customHeight="1" x14ac:dyDescent="0.3">
      <c r="E135" s="154"/>
    </row>
    <row r="136" spans="5:5" ht="15.75" customHeight="1" x14ac:dyDescent="0.3">
      <c r="E136" s="154"/>
    </row>
    <row r="137" spans="5:5" ht="15.75" customHeight="1" x14ac:dyDescent="0.3">
      <c r="E137" s="154"/>
    </row>
    <row r="138" spans="5:5" ht="15.75" customHeight="1" x14ac:dyDescent="0.3">
      <c r="E138" s="154"/>
    </row>
    <row r="139" spans="5:5" ht="15.75" customHeight="1" x14ac:dyDescent="0.3">
      <c r="E139" s="154"/>
    </row>
    <row r="140" spans="5:5" ht="15.75" customHeight="1" x14ac:dyDescent="0.3">
      <c r="E140" s="154"/>
    </row>
    <row r="141" spans="5:5" ht="15.75" customHeight="1" x14ac:dyDescent="0.3">
      <c r="E141" s="154"/>
    </row>
    <row r="142" spans="5:5" ht="15.75" customHeight="1" x14ac:dyDescent="0.3">
      <c r="E142" s="154"/>
    </row>
    <row r="143" spans="5:5" ht="15.75" customHeight="1" x14ac:dyDescent="0.3">
      <c r="E143" s="154"/>
    </row>
    <row r="144" spans="5:5" ht="15.75" customHeight="1" x14ac:dyDescent="0.3">
      <c r="E144" s="154"/>
    </row>
    <row r="145" spans="5:5" ht="15.75" customHeight="1" x14ac:dyDescent="0.3">
      <c r="E145" s="154"/>
    </row>
    <row r="146" spans="5:5" ht="15.75" customHeight="1" x14ac:dyDescent="0.3">
      <c r="E146" s="154"/>
    </row>
    <row r="147" spans="5:5" ht="15.75" customHeight="1" x14ac:dyDescent="0.3">
      <c r="E147" s="154"/>
    </row>
    <row r="148" spans="5:5" ht="15.75" customHeight="1" x14ac:dyDescent="0.3">
      <c r="E148" s="154"/>
    </row>
    <row r="149" spans="5:5" ht="15.75" customHeight="1" x14ac:dyDescent="0.3">
      <c r="E149" s="154"/>
    </row>
    <row r="150" spans="5:5" ht="15.75" customHeight="1" x14ac:dyDescent="0.3">
      <c r="E150" s="154"/>
    </row>
    <row r="151" spans="5:5" ht="15.75" customHeight="1" x14ac:dyDescent="0.3">
      <c r="E151" s="154"/>
    </row>
    <row r="152" spans="5:5" ht="15.75" customHeight="1" x14ac:dyDescent="0.3">
      <c r="E152" s="154"/>
    </row>
    <row r="153" spans="5:5" ht="15.75" customHeight="1" x14ac:dyDescent="0.3">
      <c r="E153" s="154"/>
    </row>
    <row r="154" spans="5:5" ht="15.75" customHeight="1" x14ac:dyDescent="0.3">
      <c r="E154" s="154"/>
    </row>
    <row r="155" spans="5:5" ht="15.75" customHeight="1" x14ac:dyDescent="0.3">
      <c r="E155" s="154"/>
    </row>
    <row r="156" spans="5:5" ht="15.75" customHeight="1" x14ac:dyDescent="0.3">
      <c r="E156" s="154"/>
    </row>
    <row r="157" spans="5:5" ht="15.75" customHeight="1" x14ac:dyDescent="0.3">
      <c r="E157" s="154"/>
    </row>
    <row r="158" spans="5:5" ht="15.75" customHeight="1" x14ac:dyDescent="0.3">
      <c r="E158" s="154"/>
    </row>
    <row r="159" spans="5:5" ht="15.75" customHeight="1" x14ac:dyDescent="0.3">
      <c r="E159" s="154"/>
    </row>
    <row r="160" spans="5:5" ht="15.75" customHeight="1" x14ac:dyDescent="0.3">
      <c r="E160" s="154"/>
    </row>
    <row r="161" spans="5:5" ht="15.75" customHeight="1" x14ac:dyDescent="0.3">
      <c r="E161" s="154"/>
    </row>
    <row r="162" spans="5:5" ht="15.75" customHeight="1" x14ac:dyDescent="0.3">
      <c r="E162" s="154"/>
    </row>
    <row r="163" spans="5:5" ht="15.75" customHeight="1" x14ac:dyDescent="0.3">
      <c r="E163" s="154"/>
    </row>
    <row r="164" spans="5:5" ht="15.75" customHeight="1" x14ac:dyDescent="0.3">
      <c r="E164" s="154"/>
    </row>
    <row r="165" spans="5:5" ht="15.75" customHeight="1" x14ac:dyDescent="0.3">
      <c r="E165" s="154"/>
    </row>
    <row r="166" spans="5:5" ht="15.75" customHeight="1" x14ac:dyDescent="0.3">
      <c r="E166" s="154"/>
    </row>
    <row r="167" spans="5:5" ht="15.75" customHeight="1" x14ac:dyDescent="0.3">
      <c r="E167" s="154"/>
    </row>
    <row r="168" spans="5:5" ht="15.75" customHeight="1" x14ac:dyDescent="0.3">
      <c r="E168" s="154"/>
    </row>
    <row r="169" spans="5:5" ht="15.75" customHeight="1" x14ac:dyDescent="0.3">
      <c r="E169" s="154"/>
    </row>
    <row r="170" spans="5:5" ht="15.75" customHeight="1" x14ac:dyDescent="0.3">
      <c r="E170" s="154"/>
    </row>
    <row r="171" spans="5:5" ht="15.75" customHeight="1" x14ac:dyDescent="0.3">
      <c r="E171" s="154"/>
    </row>
    <row r="172" spans="5:5" ht="15.75" customHeight="1" x14ac:dyDescent="0.3">
      <c r="E172" s="154"/>
    </row>
    <row r="173" spans="5:5" ht="15.75" customHeight="1" x14ac:dyDescent="0.3">
      <c r="E173" s="154"/>
    </row>
    <row r="174" spans="5:5" ht="15.75" customHeight="1" x14ac:dyDescent="0.3">
      <c r="E174" s="154"/>
    </row>
    <row r="175" spans="5:5" ht="15.75" customHeight="1" x14ac:dyDescent="0.3">
      <c r="E175" s="154"/>
    </row>
    <row r="176" spans="5:5" ht="15.75" customHeight="1" x14ac:dyDescent="0.3">
      <c r="E176" s="154"/>
    </row>
    <row r="177" spans="5:5" ht="15.75" customHeight="1" x14ac:dyDescent="0.3">
      <c r="E177" s="154"/>
    </row>
    <row r="178" spans="5:5" ht="15.75" customHeight="1" x14ac:dyDescent="0.3">
      <c r="E178" s="154"/>
    </row>
    <row r="179" spans="5:5" ht="15.75" customHeight="1" x14ac:dyDescent="0.3">
      <c r="E179" s="154"/>
    </row>
    <row r="180" spans="5:5" ht="15.75" customHeight="1" x14ac:dyDescent="0.3">
      <c r="E180" s="154"/>
    </row>
    <row r="181" spans="5:5" ht="15.75" customHeight="1" x14ac:dyDescent="0.3">
      <c r="E181" s="154"/>
    </row>
    <row r="182" spans="5:5" ht="15.75" customHeight="1" x14ac:dyDescent="0.3">
      <c r="E182" s="154"/>
    </row>
    <row r="183" spans="5:5" ht="15.75" customHeight="1" x14ac:dyDescent="0.3">
      <c r="E183" s="154"/>
    </row>
    <row r="184" spans="5:5" ht="15.75" customHeight="1" x14ac:dyDescent="0.3">
      <c r="E184" s="154"/>
    </row>
    <row r="185" spans="5:5" ht="15.75" customHeight="1" x14ac:dyDescent="0.3">
      <c r="E185" s="154"/>
    </row>
    <row r="186" spans="5:5" ht="15.75" customHeight="1" x14ac:dyDescent="0.3">
      <c r="E186" s="154"/>
    </row>
    <row r="187" spans="5:5" ht="15.75" customHeight="1" x14ac:dyDescent="0.3">
      <c r="E187" s="154"/>
    </row>
    <row r="188" spans="5:5" ht="15.75" customHeight="1" x14ac:dyDescent="0.3">
      <c r="E188" s="154"/>
    </row>
    <row r="189" spans="5:5" ht="15.75" customHeight="1" x14ac:dyDescent="0.3">
      <c r="E189" s="154"/>
    </row>
    <row r="190" spans="5:5" ht="15.75" customHeight="1" x14ac:dyDescent="0.3">
      <c r="E190" s="154"/>
    </row>
    <row r="191" spans="5:5" ht="15.75" customHeight="1" x14ac:dyDescent="0.3">
      <c r="E191" s="154"/>
    </row>
    <row r="192" spans="5:5" ht="15.75" customHeight="1" x14ac:dyDescent="0.3">
      <c r="E192" s="154"/>
    </row>
    <row r="193" spans="5:5" ht="15.75" customHeight="1" x14ac:dyDescent="0.3">
      <c r="E193" s="154"/>
    </row>
    <row r="194" spans="5:5" ht="15.75" customHeight="1" x14ac:dyDescent="0.3">
      <c r="E194" s="154"/>
    </row>
    <row r="195" spans="5:5" ht="15.75" customHeight="1" x14ac:dyDescent="0.3">
      <c r="E195" s="154"/>
    </row>
    <row r="196" spans="5:5" ht="15.75" customHeight="1" x14ac:dyDescent="0.3">
      <c r="E196" s="154"/>
    </row>
    <row r="197" spans="5:5" ht="15.75" customHeight="1" x14ac:dyDescent="0.3">
      <c r="E197" s="154"/>
    </row>
    <row r="198" spans="5:5" ht="15.75" customHeight="1" x14ac:dyDescent="0.3">
      <c r="E198" s="154"/>
    </row>
    <row r="199" spans="5:5" ht="15.75" customHeight="1" x14ac:dyDescent="0.3">
      <c r="E199" s="154"/>
    </row>
    <row r="200" spans="5:5" ht="15.75" customHeight="1" x14ac:dyDescent="0.3">
      <c r="E200" s="154"/>
    </row>
    <row r="201" spans="5:5" ht="15.75" customHeight="1" x14ac:dyDescent="0.3">
      <c r="E201" s="154"/>
    </row>
    <row r="202" spans="5:5" ht="15.75" customHeight="1" x14ac:dyDescent="0.3">
      <c r="E202" s="154"/>
    </row>
    <row r="203" spans="5:5" ht="15.75" customHeight="1" x14ac:dyDescent="0.3">
      <c r="E203" s="154"/>
    </row>
    <row r="204" spans="5:5" ht="15.75" customHeight="1" x14ac:dyDescent="0.3">
      <c r="E204" s="154"/>
    </row>
    <row r="205" spans="5:5" ht="15.75" customHeight="1" x14ac:dyDescent="0.3">
      <c r="E205" s="154"/>
    </row>
    <row r="206" spans="5:5" ht="15.75" customHeight="1" x14ac:dyDescent="0.3">
      <c r="E206" s="154"/>
    </row>
    <row r="207" spans="5:5" ht="15.75" customHeight="1" x14ac:dyDescent="0.3">
      <c r="E207" s="154"/>
    </row>
    <row r="208" spans="5:5" ht="15.75" customHeight="1" x14ac:dyDescent="0.3">
      <c r="E208" s="154"/>
    </row>
    <row r="209" spans="5:5" ht="15.75" customHeight="1" x14ac:dyDescent="0.3">
      <c r="E209" s="154"/>
    </row>
    <row r="210" spans="5:5" ht="15.75" customHeight="1" x14ac:dyDescent="0.3">
      <c r="E210" s="154"/>
    </row>
    <row r="211" spans="5:5" ht="15.75" customHeight="1" x14ac:dyDescent="0.3">
      <c r="E211" s="154"/>
    </row>
    <row r="212" spans="5:5" ht="15.75" customHeight="1" x14ac:dyDescent="0.3">
      <c r="E212" s="154"/>
    </row>
    <row r="213" spans="5:5" ht="15.75" customHeight="1" x14ac:dyDescent="0.3">
      <c r="E213" s="154"/>
    </row>
    <row r="214" spans="5:5" ht="15.75" customHeight="1" x14ac:dyDescent="0.3">
      <c r="E214" s="154"/>
    </row>
    <row r="215" spans="5:5" ht="15.75" customHeight="1" x14ac:dyDescent="0.3">
      <c r="E215" s="154"/>
    </row>
    <row r="216" spans="5:5" ht="15.75" customHeight="1" x14ac:dyDescent="0.3">
      <c r="E216" s="154"/>
    </row>
    <row r="217" spans="5:5" ht="15.75" customHeight="1" x14ac:dyDescent="0.3">
      <c r="E217" s="154"/>
    </row>
    <row r="218" spans="5:5" ht="15.75" customHeight="1" x14ac:dyDescent="0.3">
      <c r="E218" s="154"/>
    </row>
    <row r="219" spans="5:5" ht="15.75" customHeight="1" x14ac:dyDescent="0.3">
      <c r="E219" s="154"/>
    </row>
    <row r="220" spans="5:5" ht="15.75" customHeight="1" x14ac:dyDescent="0.3">
      <c r="E220" s="154"/>
    </row>
    <row r="221" spans="5:5" ht="15.75" customHeight="1" x14ac:dyDescent="0.3">
      <c r="E221" s="154"/>
    </row>
    <row r="222" spans="5:5" ht="15.75" customHeight="1" x14ac:dyDescent="0.3">
      <c r="E222" s="154"/>
    </row>
    <row r="223" spans="5:5" ht="15.75" customHeight="1" x14ac:dyDescent="0.3">
      <c r="E223" s="154"/>
    </row>
    <row r="224" spans="5:5" ht="15.75" customHeight="1" x14ac:dyDescent="0.3">
      <c r="E224" s="154"/>
    </row>
    <row r="225" spans="5:5" ht="15.75" customHeight="1" x14ac:dyDescent="0.3">
      <c r="E225" s="154"/>
    </row>
    <row r="226" spans="5:5" ht="15.75" customHeight="1" x14ac:dyDescent="0.3">
      <c r="E226" s="154"/>
    </row>
    <row r="227" spans="5:5" ht="15.75" customHeight="1" x14ac:dyDescent="0.3">
      <c r="E227" s="154"/>
    </row>
    <row r="228" spans="5:5" ht="15.75" customHeight="1" x14ac:dyDescent="0.3">
      <c r="E228" s="154"/>
    </row>
    <row r="229" spans="5:5" ht="15.75" customHeight="1" x14ac:dyDescent="0.3">
      <c r="E229" s="154"/>
    </row>
    <row r="230" spans="5:5" ht="15.75" customHeight="1" x14ac:dyDescent="0.3">
      <c r="E230" s="154"/>
    </row>
    <row r="231" spans="5:5" ht="15.75" customHeight="1" x14ac:dyDescent="0.3">
      <c r="E231" s="154"/>
    </row>
    <row r="232" spans="5:5" ht="15.75" customHeight="1" x14ac:dyDescent="0.3">
      <c r="E232" s="154"/>
    </row>
    <row r="233" spans="5:5" ht="15.75" customHeight="1" x14ac:dyDescent="0.3">
      <c r="E233" s="154"/>
    </row>
    <row r="234" spans="5:5" ht="15.75" customHeight="1" x14ac:dyDescent="0.3">
      <c r="E234" s="154"/>
    </row>
    <row r="235" spans="5:5" ht="15.75" customHeight="1" x14ac:dyDescent="0.3">
      <c r="E235" s="154"/>
    </row>
    <row r="236" spans="5:5" ht="15.75" customHeight="1" x14ac:dyDescent="0.3">
      <c r="E236" s="154"/>
    </row>
    <row r="237" spans="5:5" ht="15.75" customHeight="1" x14ac:dyDescent="0.3">
      <c r="E237" s="154"/>
    </row>
    <row r="238" spans="5:5" ht="15.75" customHeight="1" x14ac:dyDescent="0.3">
      <c r="E238" s="154"/>
    </row>
    <row r="239" spans="5:5" ht="15.75" customHeight="1" x14ac:dyDescent="0.3">
      <c r="E239" s="154"/>
    </row>
    <row r="240" spans="5:5" ht="15.75" customHeight="1" x14ac:dyDescent="0.3">
      <c r="E240" s="154"/>
    </row>
    <row r="241" spans="5:5" ht="15.75" customHeight="1" x14ac:dyDescent="0.3">
      <c r="E241" s="154"/>
    </row>
    <row r="242" spans="5:5" ht="15.75" customHeight="1" x14ac:dyDescent="0.3">
      <c r="E242" s="154"/>
    </row>
    <row r="243" spans="5:5" ht="15.75" customHeight="1" x14ac:dyDescent="0.3">
      <c r="E243" s="154"/>
    </row>
    <row r="244" spans="5:5" ht="15.75" customHeight="1" x14ac:dyDescent="0.3">
      <c r="E244" s="154"/>
    </row>
    <row r="245" spans="5:5" ht="15.75" customHeight="1" x14ac:dyDescent="0.3">
      <c r="E245" s="154"/>
    </row>
    <row r="246" spans="5:5" ht="15.75" customHeight="1" x14ac:dyDescent="0.3">
      <c r="E246" s="154"/>
    </row>
    <row r="247" spans="5:5" ht="15.75" customHeight="1" x14ac:dyDescent="0.3">
      <c r="E247" s="154"/>
    </row>
    <row r="248" spans="5:5" ht="15.75" customHeight="1" x14ac:dyDescent="0.3">
      <c r="E248" s="154"/>
    </row>
    <row r="249" spans="5:5" ht="15.75" customHeight="1" x14ac:dyDescent="0.3">
      <c r="E249" s="154"/>
    </row>
    <row r="250" spans="5:5" ht="15.75" customHeight="1" x14ac:dyDescent="0.3">
      <c r="E250" s="154"/>
    </row>
    <row r="251" spans="5:5" ht="15.75" customHeight="1" x14ac:dyDescent="0.3">
      <c r="E251" s="154"/>
    </row>
    <row r="252" spans="5:5" ht="15.75" customHeight="1" x14ac:dyDescent="0.3">
      <c r="E252" s="154"/>
    </row>
    <row r="253" spans="5:5" ht="15.75" customHeight="1" x14ac:dyDescent="0.3">
      <c r="E253" s="154"/>
    </row>
    <row r="254" spans="5:5" ht="15.75" customHeight="1" x14ac:dyDescent="0.3">
      <c r="E254" s="154"/>
    </row>
    <row r="255" spans="5:5" ht="15.75" customHeight="1" x14ac:dyDescent="0.3">
      <c r="E255" s="154"/>
    </row>
    <row r="256" spans="5:5" ht="15.75" customHeight="1" x14ac:dyDescent="0.3">
      <c r="E256" s="154"/>
    </row>
    <row r="257" spans="5:5" ht="15.75" customHeight="1" x14ac:dyDescent="0.3">
      <c r="E257" s="154"/>
    </row>
    <row r="258" spans="5:5" ht="15.75" customHeight="1" x14ac:dyDescent="0.3">
      <c r="E258" s="154"/>
    </row>
    <row r="259" spans="5:5" ht="15.75" customHeight="1" x14ac:dyDescent="0.3">
      <c r="E259" s="154"/>
    </row>
    <row r="260" spans="5:5" ht="15.75" customHeight="1" x14ac:dyDescent="0.3">
      <c r="E260" s="154"/>
    </row>
    <row r="261" spans="5:5" ht="15.75" customHeight="1" x14ac:dyDescent="0.3">
      <c r="E261" s="154"/>
    </row>
    <row r="262" spans="5:5" ht="15.75" customHeight="1" x14ac:dyDescent="0.3">
      <c r="E262" s="154"/>
    </row>
    <row r="263" spans="5:5" ht="15.75" customHeight="1" x14ac:dyDescent="0.3">
      <c r="E263" s="154"/>
    </row>
    <row r="264" spans="5:5" ht="15.75" customHeight="1" x14ac:dyDescent="0.3">
      <c r="E264" s="154"/>
    </row>
    <row r="265" spans="5:5" ht="15.75" customHeight="1" x14ac:dyDescent="0.3">
      <c r="E265" s="154"/>
    </row>
    <row r="266" spans="5:5" ht="15.75" customHeight="1" x14ac:dyDescent="0.3">
      <c r="E266" s="154"/>
    </row>
    <row r="267" spans="5:5" ht="15.75" customHeight="1" x14ac:dyDescent="0.3">
      <c r="E267" s="154"/>
    </row>
    <row r="268" spans="5:5" ht="15.75" customHeight="1" x14ac:dyDescent="0.3">
      <c r="E268" s="154"/>
    </row>
    <row r="269" spans="5:5" ht="15.75" customHeight="1" x14ac:dyDescent="0.3">
      <c r="E269" s="154"/>
    </row>
    <row r="270" spans="5:5" ht="15.75" customHeight="1" x14ac:dyDescent="0.3">
      <c r="E270" s="154"/>
    </row>
    <row r="271" spans="5:5" ht="15.75" customHeight="1" x14ac:dyDescent="0.3">
      <c r="E271" s="154"/>
    </row>
    <row r="272" spans="5:5" ht="15.75" customHeight="1" x14ac:dyDescent="0.3">
      <c r="E272" s="154"/>
    </row>
    <row r="273" spans="5:5" ht="15.75" customHeight="1" x14ac:dyDescent="0.3">
      <c r="E273" s="154"/>
    </row>
    <row r="274" spans="5:5" ht="15.75" customHeight="1" x14ac:dyDescent="0.3">
      <c r="E274" s="154"/>
    </row>
    <row r="275" spans="5:5" ht="15.75" customHeight="1" x14ac:dyDescent="0.3">
      <c r="E275" s="154"/>
    </row>
    <row r="276" spans="5:5" ht="15.75" customHeight="1" x14ac:dyDescent="0.3">
      <c r="E276" s="154"/>
    </row>
    <row r="277" spans="5:5" ht="15.75" customHeight="1" x14ac:dyDescent="0.3">
      <c r="E277" s="154"/>
    </row>
    <row r="278" spans="5:5" ht="15.75" customHeight="1" x14ac:dyDescent="0.3">
      <c r="E278" s="154"/>
    </row>
    <row r="279" spans="5:5" ht="15.75" customHeight="1" x14ac:dyDescent="0.3">
      <c r="E279" s="154"/>
    </row>
    <row r="280" spans="5:5" ht="15.75" customHeight="1" x14ac:dyDescent="0.3">
      <c r="E280" s="154"/>
    </row>
    <row r="281" spans="5:5" ht="15.75" customHeight="1" x14ac:dyDescent="0.3">
      <c r="E281" s="154"/>
    </row>
    <row r="282" spans="5:5" ht="15.75" customHeight="1" x14ac:dyDescent="0.3">
      <c r="E282" s="154"/>
    </row>
    <row r="283" spans="5:5" ht="15.75" customHeight="1" x14ac:dyDescent="0.3">
      <c r="E283" s="154"/>
    </row>
    <row r="284" spans="5:5" ht="15.75" customHeight="1" x14ac:dyDescent="0.3">
      <c r="E284" s="154"/>
    </row>
    <row r="285" spans="5:5" ht="15.75" customHeight="1" x14ac:dyDescent="0.3">
      <c r="E285" s="154"/>
    </row>
    <row r="286" spans="5:5" ht="15.75" customHeight="1" x14ac:dyDescent="0.3">
      <c r="E286" s="154"/>
    </row>
    <row r="287" spans="5:5" ht="15.75" customHeight="1" x14ac:dyDescent="0.3">
      <c r="E287" s="154"/>
    </row>
    <row r="288" spans="5:5" ht="15.75" customHeight="1" x14ac:dyDescent="0.3">
      <c r="E288" s="154"/>
    </row>
    <row r="289" spans="5:5" ht="15.75" customHeight="1" x14ac:dyDescent="0.3">
      <c r="E289" s="154"/>
    </row>
    <row r="290" spans="5:5" ht="15.75" customHeight="1" x14ac:dyDescent="0.3">
      <c r="E290" s="154"/>
    </row>
    <row r="291" spans="5:5" ht="15.75" customHeight="1" x14ac:dyDescent="0.3">
      <c r="E291" s="154"/>
    </row>
    <row r="292" spans="5:5" ht="15.75" customHeight="1" x14ac:dyDescent="0.3">
      <c r="E292" s="154"/>
    </row>
    <row r="293" spans="5:5" ht="15.75" customHeight="1" x14ac:dyDescent="0.3">
      <c r="E293" s="154"/>
    </row>
    <row r="294" spans="5:5" ht="15.75" customHeight="1" x14ac:dyDescent="0.3">
      <c r="E294" s="154"/>
    </row>
    <row r="295" spans="5:5" ht="15.75" customHeight="1" x14ac:dyDescent="0.3">
      <c r="E295" s="154"/>
    </row>
    <row r="296" spans="5:5" ht="15.75" customHeight="1" x14ac:dyDescent="0.3">
      <c r="E296" s="154"/>
    </row>
    <row r="297" spans="5:5" ht="15.75" customHeight="1" x14ac:dyDescent="0.3">
      <c r="E297" s="154"/>
    </row>
    <row r="298" spans="5:5" ht="15.75" customHeight="1" x14ac:dyDescent="0.3">
      <c r="E298" s="154"/>
    </row>
    <row r="299" spans="5:5" ht="15.75" customHeight="1" x14ac:dyDescent="0.3">
      <c r="E299" s="154"/>
    </row>
    <row r="300" spans="5:5" ht="15.75" customHeight="1" x14ac:dyDescent="0.3">
      <c r="E300" s="154"/>
    </row>
    <row r="301" spans="5:5" ht="15.75" customHeight="1" x14ac:dyDescent="0.3">
      <c r="E301" s="154"/>
    </row>
    <row r="302" spans="5:5" ht="15.75" customHeight="1" x14ac:dyDescent="0.3">
      <c r="E302" s="154"/>
    </row>
    <row r="303" spans="5:5" ht="15.75" customHeight="1" x14ac:dyDescent="0.3">
      <c r="E303" s="154"/>
    </row>
    <row r="304" spans="5:5" ht="15.75" customHeight="1" x14ac:dyDescent="0.3">
      <c r="E304" s="154"/>
    </row>
    <row r="305" spans="5:5" ht="15.75" customHeight="1" x14ac:dyDescent="0.3">
      <c r="E305" s="154"/>
    </row>
    <row r="306" spans="5:5" ht="15.75" customHeight="1" x14ac:dyDescent="0.3">
      <c r="E306" s="154"/>
    </row>
    <row r="307" spans="5:5" ht="15.75" customHeight="1" x14ac:dyDescent="0.3">
      <c r="E307" s="154"/>
    </row>
    <row r="308" spans="5:5" ht="15.75" customHeight="1" x14ac:dyDescent="0.3">
      <c r="E308" s="154"/>
    </row>
    <row r="309" spans="5:5" ht="15.75" customHeight="1" x14ac:dyDescent="0.3">
      <c r="E309" s="154"/>
    </row>
    <row r="310" spans="5:5" ht="15.75" customHeight="1" x14ac:dyDescent="0.3">
      <c r="E310" s="154"/>
    </row>
    <row r="311" spans="5:5" ht="15.75" customHeight="1" x14ac:dyDescent="0.3">
      <c r="E311" s="154"/>
    </row>
    <row r="312" spans="5:5" ht="15.75" customHeight="1" x14ac:dyDescent="0.3">
      <c r="E312" s="154"/>
    </row>
    <row r="313" spans="5:5" ht="15.75" customHeight="1" x14ac:dyDescent="0.3">
      <c r="E313" s="154"/>
    </row>
    <row r="314" spans="5:5" ht="15.75" customHeight="1" x14ac:dyDescent="0.3">
      <c r="E314" s="154"/>
    </row>
    <row r="315" spans="5:5" ht="15.75" customHeight="1" x14ac:dyDescent="0.3">
      <c r="E315" s="154"/>
    </row>
    <row r="316" spans="5:5" ht="15.75" customHeight="1" x14ac:dyDescent="0.3">
      <c r="E316" s="154"/>
    </row>
    <row r="317" spans="5:5" ht="15.75" customHeight="1" x14ac:dyDescent="0.3">
      <c r="E317" s="154"/>
    </row>
    <row r="318" spans="5:5" ht="15.75" customHeight="1" x14ac:dyDescent="0.3">
      <c r="E318" s="154"/>
    </row>
    <row r="319" spans="5:5" ht="15.75" customHeight="1" x14ac:dyDescent="0.3">
      <c r="E319" s="154"/>
    </row>
    <row r="320" spans="5:5" ht="15.75" customHeight="1" x14ac:dyDescent="0.3">
      <c r="E320" s="154"/>
    </row>
    <row r="321" spans="5:5" ht="15.75" customHeight="1" x14ac:dyDescent="0.3">
      <c r="E321" s="154"/>
    </row>
    <row r="322" spans="5:5" ht="15.75" customHeight="1" x14ac:dyDescent="0.3">
      <c r="E322" s="154"/>
    </row>
    <row r="323" spans="5:5" ht="15.75" customHeight="1" x14ac:dyDescent="0.3">
      <c r="E323" s="154"/>
    </row>
    <row r="324" spans="5:5" ht="15.75" customHeight="1" x14ac:dyDescent="0.3">
      <c r="E324" s="154"/>
    </row>
    <row r="325" spans="5:5" ht="15.75" customHeight="1" x14ac:dyDescent="0.3">
      <c r="E325" s="154"/>
    </row>
    <row r="326" spans="5:5" ht="15.75" customHeight="1" x14ac:dyDescent="0.3">
      <c r="E326" s="154"/>
    </row>
    <row r="327" spans="5:5" ht="15.75" customHeight="1" x14ac:dyDescent="0.3">
      <c r="E327" s="154"/>
    </row>
    <row r="328" spans="5:5" ht="15.75" customHeight="1" x14ac:dyDescent="0.3">
      <c r="E328" s="154"/>
    </row>
    <row r="329" spans="5:5" ht="15.75" customHeight="1" x14ac:dyDescent="0.3">
      <c r="E329" s="154"/>
    </row>
    <row r="330" spans="5:5" ht="15.75" customHeight="1" x14ac:dyDescent="0.3">
      <c r="E330" s="154"/>
    </row>
    <row r="331" spans="5:5" ht="15.75" customHeight="1" x14ac:dyDescent="0.3">
      <c r="E331" s="154"/>
    </row>
    <row r="332" spans="5:5" ht="15.75" customHeight="1" x14ac:dyDescent="0.3">
      <c r="E332" s="154"/>
    </row>
    <row r="333" spans="5:5" ht="15.75" customHeight="1" x14ac:dyDescent="0.3">
      <c r="E333" s="154"/>
    </row>
    <row r="334" spans="5:5" ht="15.75" customHeight="1" x14ac:dyDescent="0.3">
      <c r="E334" s="154"/>
    </row>
    <row r="335" spans="5:5" ht="15.75" customHeight="1" x14ac:dyDescent="0.3">
      <c r="E335" s="154"/>
    </row>
    <row r="336" spans="5:5" ht="15.75" customHeight="1" x14ac:dyDescent="0.3">
      <c r="E336" s="154"/>
    </row>
    <row r="337" spans="5:5" ht="15.75" customHeight="1" x14ac:dyDescent="0.3">
      <c r="E337" s="154"/>
    </row>
    <row r="338" spans="5:5" ht="15.75" customHeight="1" x14ac:dyDescent="0.3">
      <c r="E338" s="154"/>
    </row>
    <row r="339" spans="5:5" ht="15.75" customHeight="1" x14ac:dyDescent="0.3">
      <c r="E339" s="154"/>
    </row>
    <row r="340" spans="5:5" ht="15.75" customHeight="1" x14ac:dyDescent="0.3">
      <c r="E340" s="154"/>
    </row>
    <row r="341" spans="5:5" ht="15.75" customHeight="1" x14ac:dyDescent="0.3">
      <c r="E341" s="154"/>
    </row>
    <row r="342" spans="5:5" ht="15.75" customHeight="1" x14ac:dyDescent="0.3">
      <c r="E342" s="154"/>
    </row>
    <row r="343" spans="5:5" ht="15.75" customHeight="1" x14ac:dyDescent="0.3">
      <c r="E343" s="154"/>
    </row>
    <row r="344" spans="5:5" ht="15.75" customHeight="1" x14ac:dyDescent="0.3">
      <c r="E344" s="154"/>
    </row>
    <row r="345" spans="5:5" ht="15.75" customHeight="1" x14ac:dyDescent="0.3">
      <c r="E345" s="154"/>
    </row>
    <row r="346" spans="5:5" ht="15.75" customHeight="1" x14ac:dyDescent="0.3">
      <c r="E346" s="154"/>
    </row>
    <row r="347" spans="5:5" ht="15.75" customHeight="1" x14ac:dyDescent="0.3">
      <c r="E347" s="154"/>
    </row>
    <row r="348" spans="5:5" ht="15.75" customHeight="1" x14ac:dyDescent="0.3">
      <c r="E348" s="154"/>
    </row>
    <row r="349" spans="5:5" ht="15.75" customHeight="1" x14ac:dyDescent="0.3">
      <c r="E349" s="154"/>
    </row>
    <row r="350" spans="5:5" ht="15.75" customHeight="1" x14ac:dyDescent="0.3">
      <c r="E350" s="154"/>
    </row>
    <row r="351" spans="5:5" ht="15.75" customHeight="1" x14ac:dyDescent="0.3">
      <c r="E351" s="154"/>
    </row>
    <row r="352" spans="5:5" ht="15.75" customHeight="1" x14ac:dyDescent="0.3">
      <c r="E352" s="154"/>
    </row>
    <row r="353" spans="5:5" ht="15.75" customHeight="1" x14ac:dyDescent="0.3">
      <c r="E353" s="154"/>
    </row>
    <row r="354" spans="5:5" ht="15.75" customHeight="1" x14ac:dyDescent="0.3">
      <c r="E354" s="154"/>
    </row>
    <row r="355" spans="5:5" ht="15.75" customHeight="1" x14ac:dyDescent="0.3">
      <c r="E355" s="154"/>
    </row>
    <row r="356" spans="5:5" ht="15.75" customHeight="1" x14ac:dyDescent="0.3">
      <c r="E356" s="154"/>
    </row>
    <row r="357" spans="5:5" ht="15.75" customHeight="1" x14ac:dyDescent="0.3">
      <c r="E357" s="154"/>
    </row>
    <row r="358" spans="5:5" ht="15.75" customHeight="1" x14ac:dyDescent="0.3">
      <c r="E358" s="154"/>
    </row>
    <row r="359" spans="5:5" ht="15.75" customHeight="1" x14ac:dyDescent="0.3">
      <c r="E359" s="154"/>
    </row>
    <row r="360" spans="5:5" ht="15.75" customHeight="1" x14ac:dyDescent="0.3">
      <c r="E360" s="154"/>
    </row>
    <row r="361" spans="5:5" ht="15.75" customHeight="1" x14ac:dyDescent="0.3">
      <c r="E361" s="154"/>
    </row>
    <row r="362" spans="5:5" ht="15.75" customHeight="1" x14ac:dyDescent="0.3">
      <c r="E362" s="154"/>
    </row>
    <row r="363" spans="5:5" ht="15.75" customHeight="1" x14ac:dyDescent="0.3">
      <c r="E363" s="154"/>
    </row>
    <row r="364" spans="5:5" ht="15.75" customHeight="1" x14ac:dyDescent="0.3">
      <c r="E364" s="154"/>
    </row>
    <row r="365" spans="5:5" ht="15.75" customHeight="1" x14ac:dyDescent="0.3">
      <c r="E365" s="154"/>
    </row>
    <row r="366" spans="5:5" ht="15.75" customHeight="1" x14ac:dyDescent="0.3">
      <c r="E366" s="154"/>
    </row>
    <row r="367" spans="5:5" ht="15.75" customHeight="1" x14ac:dyDescent="0.3">
      <c r="E367" s="154"/>
    </row>
    <row r="368" spans="5:5" ht="15.75" customHeight="1" x14ac:dyDescent="0.3">
      <c r="E368" s="154"/>
    </row>
    <row r="369" spans="5:5" ht="15.75" customHeight="1" x14ac:dyDescent="0.3">
      <c r="E369" s="154"/>
    </row>
    <row r="370" spans="5:5" ht="15.75" customHeight="1" x14ac:dyDescent="0.3">
      <c r="E370" s="154"/>
    </row>
    <row r="371" spans="5:5" ht="15.75" customHeight="1" x14ac:dyDescent="0.3">
      <c r="E371" s="154"/>
    </row>
    <row r="372" spans="5:5" ht="15.75" customHeight="1" x14ac:dyDescent="0.3">
      <c r="E372" s="154"/>
    </row>
    <row r="373" spans="5:5" ht="15.75" customHeight="1" x14ac:dyDescent="0.3">
      <c r="E373" s="154"/>
    </row>
    <row r="374" spans="5:5" ht="15.75" customHeight="1" x14ac:dyDescent="0.3">
      <c r="E374" s="154"/>
    </row>
    <row r="375" spans="5:5" ht="15.75" customHeight="1" x14ac:dyDescent="0.3">
      <c r="E375" s="154"/>
    </row>
    <row r="376" spans="5:5" ht="15.75" customHeight="1" x14ac:dyDescent="0.3">
      <c r="E376" s="154"/>
    </row>
    <row r="377" spans="5:5" ht="15.75" customHeight="1" x14ac:dyDescent="0.3">
      <c r="E377" s="154"/>
    </row>
    <row r="378" spans="5:5" ht="15.75" customHeight="1" x14ac:dyDescent="0.3">
      <c r="E378" s="154"/>
    </row>
    <row r="379" spans="5:5" ht="15.75" customHeight="1" x14ac:dyDescent="0.3">
      <c r="E379" s="154"/>
    </row>
    <row r="380" spans="5:5" ht="15.75" customHeight="1" x14ac:dyDescent="0.3">
      <c r="E380" s="154"/>
    </row>
    <row r="381" spans="5:5" ht="15.75" customHeight="1" x14ac:dyDescent="0.3">
      <c r="E381" s="154"/>
    </row>
    <row r="382" spans="5:5" ht="15.75" customHeight="1" x14ac:dyDescent="0.3">
      <c r="E382" s="154"/>
    </row>
    <row r="383" spans="5:5" ht="15.75" customHeight="1" x14ac:dyDescent="0.3">
      <c r="E383" s="154"/>
    </row>
    <row r="384" spans="5:5" ht="15.75" customHeight="1" x14ac:dyDescent="0.3">
      <c r="E384" s="154"/>
    </row>
    <row r="385" spans="5:5" ht="15.75" customHeight="1" x14ac:dyDescent="0.3">
      <c r="E385" s="154"/>
    </row>
    <row r="386" spans="5:5" ht="15.75" customHeight="1" x14ac:dyDescent="0.3">
      <c r="E386" s="154"/>
    </row>
    <row r="387" spans="5:5" ht="15.75" customHeight="1" x14ac:dyDescent="0.3">
      <c r="E387" s="154"/>
    </row>
    <row r="388" spans="5:5" ht="15.75" customHeight="1" x14ac:dyDescent="0.3">
      <c r="E388" s="154"/>
    </row>
    <row r="389" spans="5:5" ht="15.75" customHeight="1" x14ac:dyDescent="0.3">
      <c r="E389" s="154"/>
    </row>
    <row r="390" spans="5:5" ht="15.75" customHeight="1" x14ac:dyDescent="0.3">
      <c r="E390" s="154"/>
    </row>
    <row r="391" spans="5:5" ht="15.75" customHeight="1" x14ac:dyDescent="0.3">
      <c r="E391" s="154"/>
    </row>
    <row r="392" spans="5:5" ht="15.75" customHeight="1" x14ac:dyDescent="0.3">
      <c r="E392" s="154"/>
    </row>
    <row r="393" spans="5:5" ht="15.75" customHeight="1" x14ac:dyDescent="0.3">
      <c r="E393" s="154"/>
    </row>
    <row r="394" spans="5:5" ht="15.75" customHeight="1" x14ac:dyDescent="0.3">
      <c r="E394" s="154"/>
    </row>
    <row r="395" spans="5:5" ht="15.75" customHeight="1" x14ac:dyDescent="0.3">
      <c r="E395" s="154"/>
    </row>
    <row r="396" spans="5:5" ht="15.75" customHeight="1" x14ac:dyDescent="0.3">
      <c r="E396" s="154"/>
    </row>
    <row r="397" spans="5:5" ht="15.75" customHeight="1" x14ac:dyDescent="0.3">
      <c r="E397" s="154"/>
    </row>
    <row r="398" spans="5:5" ht="15.75" customHeight="1" x14ac:dyDescent="0.3">
      <c r="E398" s="154"/>
    </row>
    <row r="399" spans="5:5" ht="15.75" customHeight="1" x14ac:dyDescent="0.3">
      <c r="E399" s="154"/>
    </row>
    <row r="400" spans="5:5" ht="15.75" customHeight="1" x14ac:dyDescent="0.3">
      <c r="E400" s="154"/>
    </row>
    <row r="401" spans="5:5" ht="15.75" customHeight="1" x14ac:dyDescent="0.3">
      <c r="E401" s="154"/>
    </row>
    <row r="402" spans="5:5" ht="15.75" customHeight="1" x14ac:dyDescent="0.3">
      <c r="E402" s="154"/>
    </row>
    <row r="403" spans="5:5" ht="15.75" customHeight="1" x14ac:dyDescent="0.3">
      <c r="E403" s="154"/>
    </row>
    <row r="404" spans="5:5" ht="15.75" customHeight="1" x14ac:dyDescent="0.3">
      <c r="E404" s="154"/>
    </row>
    <row r="405" spans="5:5" ht="15.75" customHeight="1" x14ac:dyDescent="0.3">
      <c r="E405" s="154"/>
    </row>
    <row r="406" spans="5:5" ht="15.75" customHeight="1" x14ac:dyDescent="0.3">
      <c r="E406" s="154"/>
    </row>
    <row r="407" spans="5:5" ht="15.75" customHeight="1" x14ac:dyDescent="0.3">
      <c r="E407" s="154"/>
    </row>
    <row r="408" spans="5:5" ht="15.75" customHeight="1" x14ac:dyDescent="0.3">
      <c r="E408" s="154"/>
    </row>
    <row r="409" spans="5:5" ht="15.75" customHeight="1" x14ac:dyDescent="0.3">
      <c r="E409" s="154"/>
    </row>
    <row r="410" spans="5:5" ht="15.75" customHeight="1" x14ac:dyDescent="0.3">
      <c r="E410" s="154"/>
    </row>
    <row r="411" spans="5:5" ht="15.75" customHeight="1" x14ac:dyDescent="0.3">
      <c r="E411" s="154"/>
    </row>
    <row r="412" spans="5:5" ht="15.75" customHeight="1" x14ac:dyDescent="0.3">
      <c r="E412" s="154"/>
    </row>
    <row r="413" spans="5:5" ht="15.75" customHeight="1" x14ac:dyDescent="0.3">
      <c r="E413" s="154"/>
    </row>
    <row r="414" spans="5:5" ht="15.75" customHeight="1" x14ac:dyDescent="0.3">
      <c r="E414" s="154"/>
    </row>
    <row r="415" spans="5:5" ht="15.75" customHeight="1" x14ac:dyDescent="0.3">
      <c r="E415" s="154"/>
    </row>
    <row r="416" spans="5:5" ht="15.75" customHeight="1" x14ac:dyDescent="0.3">
      <c r="E416" s="154"/>
    </row>
    <row r="417" spans="5:5" ht="15.75" customHeight="1" x14ac:dyDescent="0.3">
      <c r="E417" s="154"/>
    </row>
    <row r="418" spans="5:5" ht="15.75" customHeight="1" x14ac:dyDescent="0.3">
      <c r="E418" s="154"/>
    </row>
    <row r="419" spans="5:5" ht="15.75" customHeight="1" x14ac:dyDescent="0.3">
      <c r="E419" s="154"/>
    </row>
    <row r="420" spans="5:5" ht="15.75" customHeight="1" x14ac:dyDescent="0.3">
      <c r="E420" s="154"/>
    </row>
    <row r="421" spans="5:5" ht="15.75" customHeight="1" x14ac:dyDescent="0.3">
      <c r="E421" s="154"/>
    </row>
    <row r="422" spans="5:5" ht="15.75" customHeight="1" x14ac:dyDescent="0.3">
      <c r="E422" s="154"/>
    </row>
    <row r="423" spans="5:5" ht="15.75" customHeight="1" x14ac:dyDescent="0.3">
      <c r="E423" s="154"/>
    </row>
    <row r="424" spans="5:5" ht="15.75" customHeight="1" x14ac:dyDescent="0.3">
      <c r="E424" s="154"/>
    </row>
    <row r="425" spans="5:5" ht="15.75" customHeight="1" x14ac:dyDescent="0.3">
      <c r="E425" s="154"/>
    </row>
    <row r="426" spans="5:5" ht="15.75" customHeight="1" x14ac:dyDescent="0.3">
      <c r="E426" s="154"/>
    </row>
    <row r="427" spans="5:5" ht="15.75" customHeight="1" x14ac:dyDescent="0.3">
      <c r="E427" s="154"/>
    </row>
    <row r="428" spans="5:5" ht="15.75" customHeight="1" x14ac:dyDescent="0.3">
      <c r="E428" s="154"/>
    </row>
    <row r="429" spans="5:5" ht="15.75" customHeight="1" x14ac:dyDescent="0.3">
      <c r="E429" s="154"/>
    </row>
    <row r="430" spans="5:5" ht="15.75" customHeight="1" x14ac:dyDescent="0.3">
      <c r="E430" s="154"/>
    </row>
    <row r="431" spans="5:5" ht="15.75" customHeight="1" x14ac:dyDescent="0.3">
      <c r="E431" s="154"/>
    </row>
    <row r="432" spans="5:5" ht="15.75" customHeight="1" x14ac:dyDescent="0.3">
      <c r="E432" s="154"/>
    </row>
    <row r="433" spans="5:5" ht="15.75" customHeight="1" x14ac:dyDescent="0.3">
      <c r="E433" s="154"/>
    </row>
    <row r="434" spans="5:5" ht="15.75" customHeight="1" x14ac:dyDescent="0.3">
      <c r="E434" s="154"/>
    </row>
    <row r="435" spans="5:5" ht="15.75" customHeight="1" x14ac:dyDescent="0.3">
      <c r="E435" s="154"/>
    </row>
    <row r="436" spans="5:5" ht="15.75" customHeight="1" x14ac:dyDescent="0.3">
      <c r="E436" s="154"/>
    </row>
    <row r="437" spans="5:5" ht="15.75" customHeight="1" x14ac:dyDescent="0.3">
      <c r="E437" s="154"/>
    </row>
    <row r="438" spans="5:5" ht="15.75" customHeight="1" x14ac:dyDescent="0.3">
      <c r="E438" s="154"/>
    </row>
    <row r="439" spans="5:5" ht="15.75" customHeight="1" x14ac:dyDescent="0.3">
      <c r="E439" s="154"/>
    </row>
    <row r="440" spans="5:5" ht="15.75" customHeight="1" x14ac:dyDescent="0.3">
      <c r="E440" s="154"/>
    </row>
    <row r="441" spans="5:5" ht="15.75" customHeight="1" x14ac:dyDescent="0.3">
      <c r="E441" s="154"/>
    </row>
    <row r="442" spans="5:5" ht="15.75" customHeight="1" x14ac:dyDescent="0.3">
      <c r="E442" s="154"/>
    </row>
    <row r="443" spans="5:5" ht="15.75" customHeight="1" x14ac:dyDescent="0.3">
      <c r="E443" s="154"/>
    </row>
    <row r="444" spans="5:5" ht="15.75" customHeight="1" x14ac:dyDescent="0.3">
      <c r="E444" s="154"/>
    </row>
    <row r="445" spans="5:5" ht="15.75" customHeight="1" x14ac:dyDescent="0.3">
      <c r="E445" s="154"/>
    </row>
    <row r="446" spans="5:5" ht="15.75" customHeight="1" x14ac:dyDescent="0.3">
      <c r="E446" s="154"/>
    </row>
    <row r="447" spans="5:5" ht="15.75" customHeight="1" x14ac:dyDescent="0.3">
      <c r="E447" s="154"/>
    </row>
    <row r="448" spans="5:5" ht="15.75" customHeight="1" x14ac:dyDescent="0.3">
      <c r="E448" s="154"/>
    </row>
    <row r="449" spans="5:5" ht="15.75" customHeight="1" x14ac:dyDescent="0.3">
      <c r="E449" s="154"/>
    </row>
    <row r="450" spans="5:5" ht="15.75" customHeight="1" x14ac:dyDescent="0.3">
      <c r="E450" s="154"/>
    </row>
    <row r="451" spans="5:5" ht="15.75" customHeight="1" x14ac:dyDescent="0.3">
      <c r="E451" s="154"/>
    </row>
    <row r="452" spans="5:5" ht="15.75" customHeight="1" x14ac:dyDescent="0.3">
      <c r="E452" s="154"/>
    </row>
    <row r="453" spans="5:5" ht="15.75" customHeight="1" x14ac:dyDescent="0.3">
      <c r="E453" s="154"/>
    </row>
    <row r="454" spans="5:5" ht="15.75" customHeight="1" x14ac:dyDescent="0.3">
      <c r="E454" s="154"/>
    </row>
    <row r="455" spans="5:5" ht="15.75" customHeight="1" x14ac:dyDescent="0.3">
      <c r="E455" s="154"/>
    </row>
    <row r="456" spans="5:5" ht="15.75" customHeight="1" x14ac:dyDescent="0.3">
      <c r="E456" s="154"/>
    </row>
    <row r="457" spans="5:5" ht="15.75" customHeight="1" x14ac:dyDescent="0.3">
      <c r="E457" s="154"/>
    </row>
    <row r="458" spans="5:5" ht="15.75" customHeight="1" x14ac:dyDescent="0.3">
      <c r="E458" s="154"/>
    </row>
    <row r="459" spans="5:5" ht="15.75" customHeight="1" x14ac:dyDescent="0.3">
      <c r="E459" s="154"/>
    </row>
    <row r="460" spans="5:5" ht="15.75" customHeight="1" x14ac:dyDescent="0.3">
      <c r="E460" s="154"/>
    </row>
    <row r="461" spans="5:5" ht="15.75" customHeight="1" x14ac:dyDescent="0.3">
      <c r="E461" s="154"/>
    </row>
    <row r="462" spans="5:5" ht="15.75" customHeight="1" x14ac:dyDescent="0.3">
      <c r="E462" s="154"/>
    </row>
    <row r="463" spans="5:5" ht="15.75" customHeight="1" x14ac:dyDescent="0.3">
      <c r="E463" s="154"/>
    </row>
    <row r="464" spans="5:5" ht="15.75" customHeight="1" x14ac:dyDescent="0.3">
      <c r="E464" s="154"/>
    </row>
    <row r="465" spans="5:5" ht="15.75" customHeight="1" x14ac:dyDescent="0.3">
      <c r="E465" s="154"/>
    </row>
    <row r="466" spans="5:5" ht="15.75" customHeight="1" x14ac:dyDescent="0.3">
      <c r="E466" s="154"/>
    </row>
    <row r="467" spans="5:5" ht="15.75" customHeight="1" x14ac:dyDescent="0.3">
      <c r="E467" s="154"/>
    </row>
    <row r="468" spans="5:5" ht="15.75" customHeight="1" x14ac:dyDescent="0.3">
      <c r="E468" s="154"/>
    </row>
    <row r="469" spans="5:5" ht="15.75" customHeight="1" x14ac:dyDescent="0.3">
      <c r="E469" s="154"/>
    </row>
    <row r="470" spans="5:5" ht="15.75" customHeight="1" x14ac:dyDescent="0.3">
      <c r="E470" s="154"/>
    </row>
    <row r="471" spans="5:5" ht="15.75" customHeight="1" x14ac:dyDescent="0.3">
      <c r="E471" s="154"/>
    </row>
    <row r="472" spans="5:5" ht="15.75" customHeight="1" x14ac:dyDescent="0.3">
      <c r="E472" s="154"/>
    </row>
    <row r="473" spans="5:5" ht="15.75" customHeight="1" x14ac:dyDescent="0.3">
      <c r="E473" s="154"/>
    </row>
    <row r="474" spans="5:5" ht="15.75" customHeight="1" x14ac:dyDescent="0.3">
      <c r="E474" s="154"/>
    </row>
    <row r="475" spans="5:5" ht="15.75" customHeight="1" x14ac:dyDescent="0.3">
      <c r="E475" s="154"/>
    </row>
    <row r="476" spans="5:5" ht="15.75" customHeight="1" x14ac:dyDescent="0.3">
      <c r="E476" s="154"/>
    </row>
    <row r="477" spans="5:5" ht="15.75" customHeight="1" x14ac:dyDescent="0.3">
      <c r="E477" s="154"/>
    </row>
    <row r="478" spans="5:5" ht="15.75" customHeight="1" x14ac:dyDescent="0.3">
      <c r="E478" s="154"/>
    </row>
    <row r="479" spans="5:5" ht="15.75" customHeight="1" x14ac:dyDescent="0.3">
      <c r="E479" s="154"/>
    </row>
    <row r="480" spans="5:5" ht="15.75" customHeight="1" x14ac:dyDescent="0.3">
      <c r="E480" s="154"/>
    </row>
    <row r="481" spans="5:5" ht="15.75" customHeight="1" x14ac:dyDescent="0.3">
      <c r="E481" s="154"/>
    </row>
    <row r="482" spans="5:5" ht="15.75" customHeight="1" x14ac:dyDescent="0.3">
      <c r="E482" s="154"/>
    </row>
    <row r="483" spans="5:5" ht="15.75" customHeight="1" x14ac:dyDescent="0.3">
      <c r="E483" s="154"/>
    </row>
    <row r="484" spans="5:5" ht="15.75" customHeight="1" x14ac:dyDescent="0.3">
      <c r="E484" s="154"/>
    </row>
    <row r="485" spans="5:5" ht="15.75" customHeight="1" x14ac:dyDescent="0.3">
      <c r="E485" s="154"/>
    </row>
    <row r="486" spans="5:5" ht="15.75" customHeight="1" x14ac:dyDescent="0.3">
      <c r="E486" s="154"/>
    </row>
    <row r="487" spans="5:5" ht="15.75" customHeight="1" x14ac:dyDescent="0.3">
      <c r="E487" s="154"/>
    </row>
    <row r="488" spans="5:5" ht="15.75" customHeight="1" x14ac:dyDescent="0.3">
      <c r="E488" s="154"/>
    </row>
    <row r="489" spans="5:5" ht="15.75" customHeight="1" x14ac:dyDescent="0.3">
      <c r="E489" s="154"/>
    </row>
    <row r="490" spans="5:5" ht="15.75" customHeight="1" x14ac:dyDescent="0.3">
      <c r="E490" s="154"/>
    </row>
    <row r="491" spans="5:5" ht="15.75" customHeight="1" x14ac:dyDescent="0.3">
      <c r="E491" s="154"/>
    </row>
    <row r="492" spans="5:5" ht="15.75" customHeight="1" x14ac:dyDescent="0.3">
      <c r="E492" s="154"/>
    </row>
    <row r="493" spans="5:5" ht="15.75" customHeight="1" x14ac:dyDescent="0.3">
      <c r="E493" s="154"/>
    </row>
    <row r="494" spans="5:5" ht="15.75" customHeight="1" x14ac:dyDescent="0.3">
      <c r="E494" s="154"/>
    </row>
    <row r="495" spans="5:5" ht="15.75" customHeight="1" x14ac:dyDescent="0.3">
      <c r="E495" s="154"/>
    </row>
    <row r="496" spans="5:5" ht="15.75" customHeight="1" x14ac:dyDescent="0.3">
      <c r="E496" s="154"/>
    </row>
    <row r="497" spans="5:5" ht="15.75" customHeight="1" x14ac:dyDescent="0.3">
      <c r="E497" s="154"/>
    </row>
    <row r="498" spans="5:5" ht="15.75" customHeight="1" x14ac:dyDescent="0.3">
      <c r="E498" s="154"/>
    </row>
    <row r="499" spans="5:5" ht="15.75" customHeight="1" x14ac:dyDescent="0.3">
      <c r="E499" s="154"/>
    </row>
    <row r="500" spans="5:5" ht="15.75" customHeight="1" x14ac:dyDescent="0.3">
      <c r="E500" s="154"/>
    </row>
    <row r="501" spans="5:5" ht="15.75" customHeight="1" x14ac:dyDescent="0.3">
      <c r="E501" s="154"/>
    </row>
    <row r="502" spans="5:5" ht="15.75" customHeight="1" x14ac:dyDescent="0.3">
      <c r="E502" s="154"/>
    </row>
    <row r="503" spans="5:5" ht="15.75" customHeight="1" x14ac:dyDescent="0.3">
      <c r="E503" s="154"/>
    </row>
    <row r="504" spans="5:5" ht="15.75" customHeight="1" x14ac:dyDescent="0.3">
      <c r="E504" s="154"/>
    </row>
    <row r="505" spans="5:5" ht="15.75" customHeight="1" x14ac:dyDescent="0.3">
      <c r="E505" s="154"/>
    </row>
    <row r="506" spans="5:5" ht="15.75" customHeight="1" x14ac:dyDescent="0.3">
      <c r="E506" s="154"/>
    </row>
    <row r="507" spans="5:5" ht="15.75" customHeight="1" x14ac:dyDescent="0.3">
      <c r="E507" s="154"/>
    </row>
    <row r="508" spans="5:5" ht="15.75" customHeight="1" x14ac:dyDescent="0.3">
      <c r="E508" s="154"/>
    </row>
    <row r="509" spans="5:5" ht="15.75" customHeight="1" x14ac:dyDescent="0.3">
      <c r="E509" s="154"/>
    </row>
    <row r="510" spans="5:5" ht="15.75" customHeight="1" x14ac:dyDescent="0.3">
      <c r="E510" s="154"/>
    </row>
    <row r="511" spans="5:5" ht="15.75" customHeight="1" x14ac:dyDescent="0.3">
      <c r="E511" s="154"/>
    </row>
    <row r="512" spans="5:5" ht="15.75" customHeight="1" x14ac:dyDescent="0.3">
      <c r="E512" s="154"/>
    </row>
    <row r="513" spans="5:5" ht="15.75" customHeight="1" x14ac:dyDescent="0.3">
      <c r="E513" s="154"/>
    </row>
    <row r="514" spans="5:5" ht="15.75" customHeight="1" x14ac:dyDescent="0.3">
      <c r="E514" s="154"/>
    </row>
    <row r="515" spans="5:5" ht="15.75" customHeight="1" x14ac:dyDescent="0.3">
      <c r="E515" s="154"/>
    </row>
    <row r="516" spans="5:5" ht="15.75" customHeight="1" x14ac:dyDescent="0.3">
      <c r="E516" s="154"/>
    </row>
    <row r="517" spans="5:5" ht="15.75" customHeight="1" x14ac:dyDescent="0.3">
      <c r="E517" s="154"/>
    </row>
    <row r="518" spans="5:5" ht="15.75" customHeight="1" x14ac:dyDescent="0.3">
      <c r="E518" s="154"/>
    </row>
    <row r="519" spans="5:5" ht="15.75" customHeight="1" x14ac:dyDescent="0.3">
      <c r="E519" s="154"/>
    </row>
    <row r="520" spans="5:5" ht="15.75" customHeight="1" x14ac:dyDescent="0.3">
      <c r="E520" s="154"/>
    </row>
    <row r="521" spans="5:5" ht="15.75" customHeight="1" x14ac:dyDescent="0.3">
      <c r="E521" s="154"/>
    </row>
    <row r="522" spans="5:5" ht="15.75" customHeight="1" x14ac:dyDescent="0.3">
      <c r="E522" s="154"/>
    </row>
    <row r="523" spans="5:5" ht="15.75" customHeight="1" x14ac:dyDescent="0.3">
      <c r="E523" s="154"/>
    </row>
    <row r="524" spans="5:5" ht="15.75" customHeight="1" x14ac:dyDescent="0.3">
      <c r="E524" s="154"/>
    </row>
    <row r="525" spans="5:5" ht="15.75" customHeight="1" x14ac:dyDescent="0.3">
      <c r="E525" s="154"/>
    </row>
    <row r="526" spans="5:5" ht="15.75" customHeight="1" x14ac:dyDescent="0.3">
      <c r="E526" s="154"/>
    </row>
    <row r="527" spans="5:5" ht="15.75" customHeight="1" x14ac:dyDescent="0.3">
      <c r="E527" s="154"/>
    </row>
    <row r="528" spans="5:5" ht="15.75" customHeight="1" x14ac:dyDescent="0.3">
      <c r="E528" s="154"/>
    </row>
    <row r="529" spans="5:5" ht="15.75" customHeight="1" x14ac:dyDescent="0.3">
      <c r="E529" s="154"/>
    </row>
    <row r="530" spans="5:5" ht="15.75" customHeight="1" x14ac:dyDescent="0.3">
      <c r="E530" s="154"/>
    </row>
    <row r="531" spans="5:5" ht="15.75" customHeight="1" x14ac:dyDescent="0.3">
      <c r="E531" s="154"/>
    </row>
    <row r="532" spans="5:5" ht="15.75" customHeight="1" x14ac:dyDescent="0.3">
      <c r="E532" s="154"/>
    </row>
    <row r="533" spans="5:5" ht="15.75" customHeight="1" x14ac:dyDescent="0.3">
      <c r="E533" s="154"/>
    </row>
    <row r="534" spans="5:5" ht="15.75" customHeight="1" x14ac:dyDescent="0.3">
      <c r="E534" s="154"/>
    </row>
    <row r="535" spans="5:5" ht="15.75" customHeight="1" x14ac:dyDescent="0.3">
      <c r="E535" s="154"/>
    </row>
    <row r="536" spans="5:5" ht="15.75" customHeight="1" x14ac:dyDescent="0.3">
      <c r="E536" s="154"/>
    </row>
    <row r="537" spans="5:5" ht="15.75" customHeight="1" x14ac:dyDescent="0.3">
      <c r="E537" s="154"/>
    </row>
    <row r="538" spans="5:5" ht="15.75" customHeight="1" x14ac:dyDescent="0.3">
      <c r="E538" s="154"/>
    </row>
    <row r="539" spans="5:5" ht="15.75" customHeight="1" x14ac:dyDescent="0.3">
      <c r="E539" s="154"/>
    </row>
    <row r="540" spans="5:5" ht="15.75" customHeight="1" x14ac:dyDescent="0.3">
      <c r="E540" s="154"/>
    </row>
    <row r="541" spans="5:5" ht="15.75" customHeight="1" x14ac:dyDescent="0.3">
      <c r="E541" s="154"/>
    </row>
    <row r="542" spans="5:5" ht="15.75" customHeight="1" x14ac:dyDescent="0.3">
      <c r="E542" s="154"/>
    </row>
    <row r="543" spans="5:5" ht="15.75" customHeight="1" x14ac:dyDescent="0.3">
      <c r="E543" s="154"/>
    </row>
    <row r="544" spans="5:5" ht="15.75" customHeight="1" x14ac:dyDescent="0.3">
      <c r="E544" s="154"/>
    </row>
    <row r="545" spans="5:5" ht="15.75" customHeight="1" x14ac:dyDescent="0.3">
      <c r="E545" s="154"/>
    </row>
    <row r="546" spans="5:5" ht="15.75" customHeight="1" x14ac:dyDescent="0.3">
      <c r="E546" s="154"/>
    </row>
    <row r="547" spans="5:5" ht="15.75" customHeight="1" x14ac:dyDescent="0.3">
      <c r="E547" s="154"/>
    </row>
    <row r="548" spans="5:5" ht="15.75" customHeight="1" x14ac:dyDescent="0.3">
      <c r="E548" s="154"/>
    </row>
    <row r="549" spans="5:5" ht="15.75" customHeight="1" x14ac:dyDescent="0.3">
      <c r="E549" s="154"/>
    </row>
    <row r="550" spans="5:5" ht="15.75" customHeight="1" x14ac:dyDescent="0.3">
      <c r="E550" s="154"/>
    </row>
    <row r="551" spans="5:5" ht="15.75" customHeight="1" x14ac:dyDescent="0.3">
      <c r="E551" s="154"/>
    </row>
    <row r="552" spans="5:5" ht="15.75" customHeight="1" x14ac:dyDescent="0.3">
      <c r="E552" s="154"/>
    </row>
    <row r="553" spans="5:5" ht="15.75" customHeight="1" x14ac:dyDescent="0.3">
      <c r="E553" s="154"/>
    </row>
    <row r="554" spans="5:5" ht="15.75" customHeight="1" x14ac:dyDescent="0.3">
      <c r="E554" s="154"/>
    </row>
    <row r="555" spans="5:5" ht="15.75" customHeight="1" x14ac:dyDescent="0.3">
      <c r="E555" s="154"/>
    </row>
    <row r="556" spans="5:5" ht="15.75" customHeight="1" x14ac:dyDescent="0.3">
      <c r="E556" s="154"/>
    </row>
    <row r="557" spans="5:5" ht="15.75" customHeight="1" x14ac:dyDescent="0.3">
      <c r="E557" s="154"/>
    </row>
    <row r="558" spans="5:5" ht="15.75" customHeight="1" x14ac:dyDescent="0.3">
      <c r="E558" s="154"/>
    </row>
    <row r="559" spans="5:5" ht="15.75" customHeight="1" x14ac:dyDescent="0.3">
      <c r="E559" s="154"/>
    </row>
    <row r="560" spans="5:5" ht="15.75" customHeight="1" x14ac:dyDescent="0.3">
      <c r="E560" s="154"/>
    </row>
    <row r="561" spans="5:5" ht="15.75" customHeight="1" x14ac:dyDescent="0.3">
      <c r="E561" s="154"/>
    </row>
    <row r="562" spans="5:5" ht="15.75" customHeight="1" x14ac:dyDescent="0.3">
      <c r="E562" s="154"/>
    </row>
    <row r="563" spans="5:5" ht="15.75" customHeight="1" x14ac:dyDescent="0.3">
      <c r="E563" s="154"/>
    </row>
    <row r="564" spans="5:5" ht="15.75" customHeight="1" x14ac:dyDescent="0.3">
      <c r="E564" s="154"/>
    </row>
    <row r="565" spans="5:5" ht="15.75" customHeight="1" x14ac:dyDescent="0.3">
      <c r="E565" s="154"/>
    </row>
    <row r="566" spans="5:5" ht="15.75" customHeight="1" x14ac:dyDescent="0.3">
      <c r="E566" s="154"/>
    </row>
    <row r="567" spans="5:5" ht="15.75" customHeight="1" x14ac:dyDescent="0.3">
      <c r="E567" s="154"/>
    </row>
    <row r="568" spans="5:5" ht="15.75" customHeight="1" x14ac:dyDescent="0.3">
      <c r="E568" s="154"/>
    </row>
    <row r="569" spans="5:5" ht="15.75" customHeight="1" x14ac:dyDescent="0.3">
      <c r="E569" s="154"/>
    </row>
    <row r="570" spans="5:5" ht="15.75" customHeight="1" x14ac:dyDescent="0.3">
      <c r="E570" s="154"/>
    </row>
    <row r="571" spans="5:5" ht="15.75" customHeight="1" x14ac:dyDescent="0.3">
      <c r="E571" s="154"/>
    </row>
    <row r="572" spans="5:5" ht="15.75" customHeight="1" x14ac:dyDescent="0.3">
      <c r="E572" s="154"/>
    </row>
    <row r="573" spans="5:5" ht="15.75" customHeight="1" x14ac:dyDescent="0.3">
      <c r="E573" s="154"/>
    </row>
    <row r="574" spans="5:5" ht="15.75" customHeight="1" x14ac:dyDescent="0.3">
      <c r="E574" s="154"/>
    </row>
    <row r="575" spans="5:5" ht="15.75" customHeight="1" x14ac:dyDescent="0.3">
      <c r="E575" s="154"/>
    </row>
    <row r="576" spans="5:5" ht="15.75" customHeight="1" x14ac:dyDescent="0.3">
      <c r="E576" s="154"/>
    </row>
    <row r="577" spans="5:5" ht="15.75" customHeight="1" x14ac:dyDescent="0.3">
      <c r="E577" s="154"/>
    </row>
    <row r="578" spans="5:5" ht="15.75" customHeight="1" x14ac:dyDescent="0.3">
      <c r="E578" s="154"/>
    </row>
    <row r="579" spans="5:5" ht="15.75" customHeight="1" x14ac:dyDescent="0.3">
      <c r="E579" s="154"/>
    </row>
    <row r="580" spans="5:5" ht="15.75" customHeight="1" x14ac:dyDescent="0.3">
      <c r="E580" s="154"/>
    </row>
    <row r="581" spans="5:5" ht="15.75" customHeight="1" x14ac:dyDescent="0.3">
      <c r="E581" s="154"/>
    </row>
    <row r="582" spans="5:5" ht="15.75" customHeight="1" x14ac:dyDescent="0.3">
      <c r="E582" s="154"/>
    </row>
    <row r="583" spans="5:5" ht="15.75" customHeight="1" x14ac:dyDescent="0.3">
      <c r="E583" s="154"/>
    </row>
    <row r="584" spans="5:5" ht="15.75" customHeight="1" x14ac:dyDescent="0.3">
      <c r="E584" s="154"/>
    </row>
    <row r="585" spans="5:5" ht="15.75" customHeight="1" x14ac:dyDescent="0.3">
      <c r="E585" s="154"/>
    </row>
    <row r="586" spans="5:5" ht="15.75" customHeight="1" x14ac:dyDescent="0.3">
      <c r="E586" s="154"/>
    </row>
    <row r="587" spans="5:5" ht="15.75" customHeight="1" x14ac:dyDescent="0.3">
      <c r="E587" s="154"/>
    </row>
    <row r="588" spans="5:5" ht="15.75" customHeight="1" x14ac:dyDescent="0.3">
      <c r="E588" s="154"/>
    </row>
    <row r="589" spans="5:5" ht="15.75" customHeight="1" x14ac:dyDescent="0.3">
      <c r="E589" s="154"/>
    </row>
    <row r="590" spans="5:5" ht="15.75" customHeight="1" x14ac:dyDescent="0.3">
      <c r="E590" s="154"/>
    </row>
    <row r="591" spans="5:5" ht="15.75" customHeight="1" x14ac:dyDescent="0.3">
      <c r="E591" s="154"/>
    </row>
    <row r="592" spans="5:5" ht="15.75" customHeight="1" x14ac:dyDescent="0.3">
      <c r="E592" s="154"/>
    </row>
    <row r="593" spans="5:5" ht="15.75" customHeight="1" x14ac:dyDescent="0.3">
      <c r="E593" s="154"/>
    </row>
    <row r="594" spans="5:5" ht="15.75" customHeight="1" x14ac:dyDescent="0.3">
      <c r="E594" s="154"/>
    </row>
    <row r="595" spans="5:5" ht="15.75" customHeight="1" x14ac:dyDescent="0.3">
      <c r="E595" s="154"/>
    </row>
    <row r="596" spans="5:5" ht="15.75" customHeight="1" x14ac:dyDescent="0.3">
      <c r="E596" s="154"/>
    </row>
    <row r="597" spans="5:5" ht="15.75" customHeight="1" x14ac:dyDescent="0.3">
      <c r="E597" s="154"/>
    </row>
    <row r="598" spans="5:5" ht="15.75" customHeight="1" x14ac:dyDescent="0.3">
      <c r="E598" s="154"/>
    </row>
    <row r="599" spans="5:5" ht="15.75" customHeight="1" x14ac:dyDescent="0.3">
      <c r="E599" s="154"/>
    </row>
    <row r="600" spans="5:5" ht="15.75" customHeight="1" x14ac:dyDescent="0.3">
      <c r="E600" s="154"/>
    </row>
    <row r="601" spans="5:5" ht="15.75" customHeight="1" x14ac:dyDescent="0.3">
      <c r="E601" s="154"/>
    </row>
    <row r="602" spans="5:5" ht="15.75" customHeight="1" x14ac:dyDescent="0.3">
      <c r="E602" s="154"/>
    </row>
    <row r="603" spans="5:5" ht="15.75" customHeight="1" x14ac:dyDescent="0.3">
      <c r="E603" s="154"/>
    </row>
    <row r="604" spans="5:5" ht="15.75" customHeight="1" x14ac:dyDescent="0.3">
      <c r="E604" s="154"/>
    </row>
    <row r="605" spans="5:5" ht="15.75" customHeight="1" x14ac:dyDescent="0.3">
      <c r="E605" s="154"/>
    </row>
    <row r="606" spans="5:5" ht="15.75" customHeight="1" x14ac:dyDescent="0.3">
      <c r="E606" s="154"/>
    </row>
    <row r="607" spans="5:5" ht="15.75" customHeight="1" x14ac:dyDescent="0.3">
      <c r="E607" s="154"/>
    </row>
    <row r="608" spans="5:5" ht="15.75" customHeight="1" x14ac:dyDescent="0.3">
      <c r="E608" s="154"/>
    </row>
    <row r="609" spans="5:5" ht="15.75" customHeight="1" x14ac:dyDescent="0.3">
      <c r="E609" s="154"/>
    </row>
    <row r="610" spans="5:5" ht="15.75" customHeight="1" x14ac:dyDescent="0.3">
      <c r="E610" s="154"/>
    </row>
    <row r="611" spans="5:5" ht="15.75" customHeight="1" x14ac:dyDescent="0.3">
      <c r="E611" s="154"/>
    </row>
    <row r="612" spans="5:5" ht="15.75" customHeight="1" x14ac:dyDescent="0.3">
      <c r="E612" s="154"/>
    </row>
    <row r="613" spans="5:5" ht="15.75" customHeight="1" x14ac:dyDescent="0.3">
      <c r="E613" s="154"/>
    </row>
    <row r="614" spans="5:5" ht="15.75" customHeight="1" x14ac:dyDescent="0.3">
      <c r="E614" s="154"/>
    </row>
    <row r="615" spans="5:5" ht="15.75" customHeight="1" x14ac:dyDescent="0.3">
      <c r="E615" s="154"/>
    </row>
    <row r="616" spans="5:5" ht="15.75" customHeight="1" x14ac:dyDescent="0.3">
      <c r="E616" s="154"/>
    </row>
    <row r="617" spans="5:5" ht="15.75" customHeight="1" x14ac:dyDescent="0.3">
      <c r="E617" s="154"/>
    </row>
    <row r="618" spans="5:5" ht="15.75" customHeight="1" x14ac:dyDescent="0.3">
      <c r="E618" s="154"/>
    </row>
    <row r="619" spans="5:5" ht="15.75" customHeight="1" x14ac:dyDescent="0.3">
      <c r="E619" s="154"/>
    </row>
    <row r="620" spans="5:5" ht="15.75" customHeight="1" x14ac:dyDescent="0.3">
      <c r="E620" s="154"/>
    </row>
    <row r="621" spans="5:5" ht="15.75" customHeight="1" x14ac:dyDescent="0.3">
      <c r="E621" s="154"/>
    </row>
    <row r="622" spans="5:5" ht="15.75" customHeight="1" x14ac:dyDescent="0.3">
      <c r="E622" s="154"/>
    </row>
    <row r="623" spans="5:5" ht="15.75" customHeight="1" x14ac:dyDescent="0.3">
      <c r="E623" s="154"/>
    </row>
    <row r="624" spans="5:5" ht="15.75" customHeight="1" x14ac:dyDescent="0.3">
      <c r="E624" s="154"/>
    </row>
    <row r="625" spans="5:5" ht="15.75" customHeight="1" x14ac:dyDescent="0.3">
      <c r="E625" s="154"/>
    </row>
    <row r="626" spans="5:5" ht="15.75" customHeight="1" x14ac:dyDescent="0.3">
      <c r="E626" s="154"/>
    </row>
    <row r="627" spans="5:5" ht="15.75" customHeight="1" x14ac:dyDescent="0.3">
      <c r="E627" s="154"/>
    </row>
    <row r="628" spans="5:5" ht="15.75" customHeight="1" x14ac:dyDescent="0.3">
      <c r="E628" s="154"/>
    </row>
    <row r="629" spans="5:5" ht="15.75" customHeight="1" x14ac:dyDescent="0.3">
      <c r="E629" s="154"/>
    </row>
    <row r="630" spans="5:5" ht="15.75" customHeight="1" x14ac:dyDescent="0.3">
      <c r="E630" s="154"/>
    </row>
    <row r="631" spans="5:5" ht="15.75" customHeight="1" x14ac:dyDescent="0.3">
      <c r="E631" s="154"/>
    </row>
    <row r="632" spans="5:5" ht="15.75" customHeight="1" x14ac:dyDescent="0.3">
      <c r="E632" s="154"/>
    </row>
    <row r="633" spans="5:5" ht="15.75" customHeight="1" x14ac:dyDescent="0.3">
      <c r="E633" s="154"/>
    </row>
    <row r="634" spans="5:5" ht="15.75" customHeight="1" x14ac:dyDescent="0.3">
      <c r="E634" s="154"/>
    </row>
    <row r="635" spans="5:5" ht="15.75" customHeight="1" x14ac:dyDescent="0.3">
      <c r="E635" s="154"/>
    </row>
    <row r="636" spans="5:5" ht="15.75" customHeight="1" x14ac:dyDescent="0.3">
      <c r="E636" s="154"/>
    </row>
    <row r="637" spans="5:5" ht="15.75" customHeight="1" x14ac:dyDescent="0.3">
      <c r="E637" s="154"/>
    </row>
    <row r="638" spans="5:5" ht="15.75" customHeight="1" x14ac:dyDescent="0.3">
      <c r="E638" s="154"/>
    </row>
    <row r="639" spans="5:5" ht="15.75" customHeight="1" x14ac:dyDescent="0.3">
      <c r="E639" s="154"/>
    </row>
    <row r="640" spans="5:5" ht="15.75" customHeight="1" x14ac:dyDescent="0.3">
      <c r="E640" s="154"/>
    </row>
    <row r="641" spans="5:5" ht="15.75" customHeight="1" x14ac:dyDescent="0.3">
      <c r="E641" s="154"/>
    </row>
    <row r="642" spans="5:5" ht="15.75" customHeight="1" x14ac:dyDescent="0.3">
      <c r="E642" s="154"/>
    </row>
    <row r="643" spans="5:5" ht="15.75" customHeight="1" x14ac:dyDescent="0.3">
      <c r="E643" s="154"/>
    </row>
    <row r="644" spans="5:5" ht="15.75" customHeight="1" x14ac:dyDescent="0.3">
      <c r="E644" s="154"/>
    </row>
    <row r="645" spans="5:5" ht="15.75" customHeight="1" x14ac:dyDescent="0.3">
      <c r="E645" s="154"/>
    </row>
    <row r="646" spans="5:5" ht="15.75" customHeight="1" x14ac:dyDescent="0.3">
      <c r="E646" s="154"/>
    </row>
    <row r="647" spans="5:5" ht="15.75" customHeight="1" x14ac:dyDescent="0.3">
      <c r="E647" s="154"/>
    </row>
    <row r="648" spans="5:5" ht="15.75" customHeight="1" x14ac:dyDescent="0.3">
      <c r="E648" s="154"/>
    </row>
    <row r="649" spans="5:5" ht="15.75" customHeight="1" x14ac:dyDescent="0.3">
      <c r="E649" s="154"/>
    </row>
    <row r="650" spans="5:5" ht="15.75" customHeight="1" x14ac:dyDescent="0.3">
      <c r="E650" s="154"/>
    </row>
    <row r="651" spans="5:5" ht="15.75" customHeight="1" x14ac:dyDescent="0.3">
      <c r="E651" s="154"/>
    </row>
    <row r="652" spans="5:5" ht="15.75" customHeight="1" x14ac:dyDescent="0.3">
      <c r="E652" s="154"/>
    </row>
    <row r="653" spans="5:5" ht="15.75" customHeight="1" x14ac:dyDescent="0.3">
      <c r="E653" s="154"/>
    </row>
    <row r="654" spans="5:5" ht="15.75" customHeight="1" x14ac:dyDescent="0.3">
      <c r="E654" s="154"/>
    </row>
    <row r="655" spans="5:5" ht="15.75" customHeight="1" x14ac:dyDescent="0.3">
      <c r="E655" s="154"/>
    </row>
    <row r="656" spans="5:5" ht="15.75" customHeight="1" x14ac:dyDescent="0.3">
      <c r="E656" s="154"/>
    </row>
    <row r="657" spans="5:5" ht="15.75" customHeight="1" x14ac:dyDescent="0.3">
      <c r="E657" s="154"/>
    </row>
    <row r="658" spans="5:5" ht="15.75" customHeight="1" x14ac:dyDescent="0.3">
      <c r="E658" s="154"/>
    </row>
    <row r="659" spans="5:5" ht="15.75" customHeight="1" x14ac:dyDescent="0.3">
      <c r="E659" s="154"/>
    </row>
    <row r="660" spans="5:5" ht="15.75" customHeight="1" x14ac:dyDescent="0.3">
      <c r="E660" s="154"/>
    </row>
    <row r="661" spans="5:5" ht="15.75" customHeight="1" x14ac:dyDescent="0.3">
      <c r="E661" s="154"/>
    </row>
    <row r="662" spans="5:5" ht="15.75" customHeight="1" x14ac:dyDescent="0.3">
      <c r="E662" s="154"/>
    </row>
    <row r="663" spans="5:5" ht="15.75" customHeight="1" x14ac:dyDescent="0.3">
      <c r="E663" s="154"/>
    </row>
    <row r="664" spans="5:5" ht="15.75" customHeight="1" x14ac:dyDescent="0.3">
      <c r="E664" s="154"/>
    </row>
    <row r="665" spans="5:5" ht="15.75" customHeight="1" x14ac:dyDescent="0.3">
      <c r="E665" s="154"/>
    </row>
    <row r="666" spans="5:5" ht="15.75" customHeight="1" x14ac:dyDescent="0.3">
      <c r="E666" s="154"/>
    </row>
    <row r="667" spans="5:5" ht="15.75" customHeight="1" x14ac:dyDescent="0.3">
      <c r="E667" s="154"/>
    </row>
    <row r="668" spans="5:5" ht="15.75" customHeight="1" x14ac:dyDescent="0.3">
      <c r="E668" s="154"/>
    </row>
    <row r="669" spans="5:5" ht="15.75" customHeight="1" x14ac:dyDescent="0.3">
      <c r="E669" s="154"/>
    </row>
    <row r="670" spans="5:5" ht="15.75" customHeight="1" x14ac:dyDescent="0.3">
      <c r="E670" s="154"/>
    </row>
    <row r="671" spans="5:5" ht="15.75" customHeight="1" x14ac:dyDescent="0.3">
      <c r="E671" s="154"/>
    </row>
    <row r="672" spans="5:5" ht="15.75" customHeight="1" x14ac:dyDescent="0.3">
      <c r="E672" s="154"/>
    </row>
    <row r="673" spans="5:5" ht="15.75" customHeight="1" x14ac:dyDescent="0.3">
      <c r="E673" s="154"/>
    </row>
    <row r="674" spans="5:5" ht="15.75" customHeight="1" x14ac:dyDescent="0.3">
      <c r="E674" s="154"/>
    </row>
    <row r="675" spans="5:5" ht="15.75" customHeight="1" x14ac:dyDescent="0.3">
      <c r="E675" s="154"/>
    </row>
    <row r="676" spans="5:5" ht="15.75" customHeight="1" x14ac:dyDescent="0.3">
      <c r="E676" s="154"/>
    </row>
    <row r="677" spans="5:5" ht="15.75" customHeight="1" x14ac:dyDescent="0.3">
      <c r="E677" s="154"/>
    </row>
    <row r="678" spans="5:5" ht="15.75" customHeight="1" x14ac:dyDescent="0.3">
      <c r="E678" s="154"/>
    </row>
    <row r="679" spans="5:5" ht="15.75" customHeight="1" x14ac:dyDescent="0.3">
      <c r="E679" s="154"/>
    </row>
    <row r="680" spans="5:5" ht="15.75" customHeight="1" x14ac:dyDescent="0.3">
      <c r="E680" s="154"/>
    </row>
    <row r="681" spans="5:5" ht="15.75" customHeight="1" x14ac:dyDescent="0.3">
      <c r="E681" s="154"/>
    </row>
    <row r="682" spans="5:5" ht="15.75" customHeight="1" x14ac:dyDescent="0.3">
      <c r="E682" s="154"/>
    </row>
    <row r="683" spans="5:5" ht="15.75" customHeight="1" x14ac:dyDescent="0.3">
      <c r="E683" s="154"/>
    </row>
    <row r="684" spans="5:5" ht="15.75" customHeight="1" x14ac:dyDescent="0.3">
      <c r="E684" s="154"/>
    </row>
    <row r="685" spans="5:5" ht="15.75" customHeight="1" x14ac:dyDescent="0.3">
      <c r="E685" s="154"/>
    </row>
    <row r="686" spans="5:5" ht="15.75" customHeight="1" x14ac:dyDescent="0.3">
      <c r="E686" s="154"/>
    </row>
    <row r="687" spans="5:5" ht="15.75" customHeight="1" x14ac:dyDescent="0.3">
      <c r="E687" s="154"/>
    </row>
    <row r="688" spans="5:5" ht="15.75" customHeight="1" x14ac:dyDescent="0.3">
      <c r="E688" s="154"/>
    </row>
    <row r="689" spans="5:5" ht="15.75" customHeight="1" x14ac:dyDescent="0.3">
      <c r="E689" s="154"/>
    </row>
    <row r="690" spans="5:5" ht="15.75" customHeight="1" x14ac:dyDescent="0.3">
      <c r="E690" s="154"/>
    </row>
    <row r="691" spans="5:5" ht="15.75" customHeight="1" x14ac:dyDescent="0.3">
      <c r="E691" s="154"/>
    </row>
    <row r="692" spans="5:5" ht="15.75" customHeight="1" x14ac:dyDescent="0.3">
      <c r="E692" s="154"/>
    </row>
    <row r="693" spans="5:5" ht="15.75" customHeight="1" x14ac:dyDescent="0.3">
      <c r="E693" s="154"/>
    </row>
    <row r="694" spans="5:5" ht="15.75" customHeight="1" x14ac:dyDescent="0.3">
      <c r="E694" s="154"/>
    </row>
    <row r="695" spans="5:5" ht="15.75" customHeight="1" x14ac:dyDescent="0.3">
      <c r="E695" s="154"/>
    </row>
    <row r="696" spans="5:5" ht="15.75" customHeight="1" x14ac:dyDescent="0.3">
      <c r="E696" s="154"/>
    </row>
    <row r="697" spans="5:5" ht="15.75" customHeight="1" x14ac:dyDescent="0.3">
      <c r="E697" s="154"/>
    </row>
    <row r="698" spans="5:5" ht="15.75" customHeight="1" x14ac:dyDescent="0.3">
      <c r="E698" s="154"/>
    </row>
    <row r="699" spans="5:5" ht="15.75" customHeight="1" x14ac:dyDescent="0.3">
      <c r="E699" s="154"/>
    </row>
    <row r="700" spans="5:5" ht="15.75" customHeight="1" x14ac:dyDescent="0.3">
      <c r="E700" s="154"/>
    </row>
    <row r="701" spans="5:5" ht="15.75" customHeight="1" x14ac:dyDescent="0.3">
      <c r="E701" s="154"/>
    </row>
    <row r="702" spans="5:5" ht="15.75" customHeight="1" x14ac:dyDescent="0.3">
      <c r="E702" s="154"/>
    </row>
    <row r="703" spans="5:5" ht="15.75" customHeight="1" x14ac:dyDescent="0.3">
      <c r="E703" s="154"/>
    </row>
    <row r="704" spans="5:5" ht="15.75" customHeight="1" x14ac:dyDescent="0.3">
      <c r="E704" s="154"/>
    </row>
    <row r="705" spans="5:5" ht="15.75" customHeight="1" x14ac:dyDescent="0.3">
      <c r="E705" s="154"/>
    </row>
    <row r="706" spans="5:5" ht="15.75" customHeight="1" x14ac:dyDescent="0.3">
      <c r="E706" s="154"/>
    </row>
    <row r="707" spans="5:5" ht="15.75" customHeight="1" x14ac:dyDescent="0.3">
      <c r="E707" s="154"/>
    </row>
    <row r="708" spans="5:5" ht="15.75" customHeight="1" x14ac:dyDescent="0.3">
      <c r="E708" s="154"/>
    </row>
    <row r="709" spans="5:5" ht="15.75" customHeight="1" x14ac:dyDescent="0.3">
      <c r="E709" s="154"/>
    </row>
    <row r="710" spans="5:5" ht="15.75" customHeight="1" x14ac:dyDescent="0.3">
      <c r="E710" s="154"/>
    </row>
    <row r="711" spans="5:5" ht="15.75" customHeight="1" x14ac:dyDescent="0.3">
      <c r="E711" s="154"/>
    </row>
    <row r="712" spans="5:5" ht="15.75" customHeight="1" x14ac:dyDescent="0.3">
      <c r="E712" s="154"/>
    </row>
    <row r="713" spans="5:5" ht="15.75" customHeight="1" x14ac:dyDescent="0.3">
      <c r="E713" s="154"/>
    </row>
    <row r="714" spans="5:5" ht="15.75" customHeight="1" x14ac:dyDescent="0.3">
      <c r="E714" s="154"/>
    </row>
    <row r="715" spans="5:5" ht="15.75" customHeight="1" x14ac:dyDescent="0.3">
      <c r="E715" s="154"/>
    </row>
    <row r="716" spans="5:5" ht="15.75" customHeight="1" x14ac:dyDescent="0.3">
      <c r="E716" s="154"/>
    </row>
    <row r="717" spans="5:5" ht="15.75" customHeight="1" x14ac:dyDescent="0.3">
      <c r="E717" s="154"/>
    </row>
    <row r="718" spans="5:5" ht="15.75" customHeight="1" x14ac:dyDescent="0.3">
      <c r="E718" s="154"/>
    </row>
    <row r="719" spans="5:5" ht="15.75" customHeight="1" x14ac:dyDescent="0.3">
      <c r="E719" s="154"/>
    </row>
    <row r="720" spans="5:5" ht="15.75" customHeight="1" x14ac:dyDescent="0.3">
      <c r="E720" s="154"/>
    </row>
    <row r="721" spans="5:5" ht="15.75" customHeight="1" x14ac:dyDescent="0.3">
      <c r="E721" s="154"/>
    </row>
    <row r="722" spans="5:5" ht="15.75" customHeight="1" x14ac:dyDescent="0.3">
      <c r="E722" s="154"/>
    </row>
    <row r="723" spans="5:5" ht="15.75" customHeight="1" x14ac:dyDescent="0.3">
      <c r="E723" s="154"/>
    </row>
    <row r="724" spans="5:5" ht="15.75" customHeight="1" x14ac:dyDescent="0.3">
      <c r="E724" s="154"/>
    </row>
    <row r="725" spans="5:5" ht="15.75" customHeight="1" x14ac:dyDescent="0.3">
      <c r="E725" s="154"/>
    </row>
    <row r="726" spans="5:5" ht="15.75" customHeight="1" x14ac:dyDescent="0.3">
      <c r="E726" s="154"/>
    </row>
    <row r="727" spans="5:5" ht="15.75" customHeight="1" x14ac:dyDescent="0.3">
      <c r="E727" s="154"/>
    </row>
    <row r="728" spans="5:5" ht="15.75" customHeight="1" x14ac:dyDescent="0.3">
      <c r="E728" s="154"/>
    </row>
    <row r="729" spans="5:5" ht="15.75" customHeight="1" x14ac:dyDescent="0.3">
      <c r="E729" s="154"/>
    </row>
    <row r="730" spans="5:5" ht="15.75" customHeight="1" x14ac:dyDescent="0.3">
      <c r="E730" s="154"/>
    </row>
    <row r="731" spans="5:5" ht="15.75" customHeight="1" x14ac:dyDescent="0.3">
      <c r="E731" s="154"/>
    </row>
    <row r="732" spans="5:5" ht="15.75" customHeight="1" x14ac:dyDescent="0.3">
      <c r="E732" s="154"/>
    </row>
    <row r="733" spans="5:5" ht="15.75" customHeight="1" x14ac:dyDescent="0.3">
      <c r="E733" s="154"/>
    </row>
    <row r="734" spans="5:5" ht="15.75" customHeight="1" x14ac:dyDescent="0.3">
      <c r="E734" s="154"/>
    </row>
    <row r="735" spans="5:5" ht="15.75" customHeight="1" x14ac:dyDescent="0.3">
      <c r="E735" s="154"/>
    </row>
    <row r="736" spans="5:5" ht="15.75" customHeight="1" x14ac:dyDescent="0.3">
      <c r="E736" s="154"/>
    </row>
    <row r="737" spans="5:5" ht="15.75" customHeight="1" x14ac:dyDescent="0.3">
      <c r="E737" s="154"/>
    </row>
    <row r="738" spans="5:5" ht="15.75" customHeight="1" x14ac:dyDescent="0.3">
      <c r="E738" s="154"/>
    </row>
    <row r="739" spans="5:5" ht="15.75" customHeight="1" x14ac:dyDescent="0.3">
      <c r="E739" s="154"/>
    </row>
    <row r="740" spans="5:5" ht="15.75" customHeight="1" x14ac:dyDescent="0.3">
      <c r="E740" s="154"/>
    </row>
    <row r="741" spans="5:5" ht="15.75" customHeight="1" x14ac:dyDescent="0.3">
      <c r="E741" s="154"/>
    </row>
    <row r="742" spans="5:5" ht="15.75" customHeight="1" x14ac:dyDescent="0.3">
      <c r="E742" s="154"/>
    </row>
    <row r="743" spans="5:5" ht="15.75" customHeight="1" x14ac:dyDescent="0.3">
      <c r="E743" s="154"/>
    </row>
    <row r="744" spans="5:5" ht="15.75" customHeight="1" x14ac:dyDescent="0.3">
      <c r="E744" s="154"/>
    </row>
    <row r="745" spans="5:5" ht="15.75" customHeight="1" x14ac:dyDescent="0.3">
      <c r="E745" s="154"/>
    </row>
    <row r="746" spans="5:5" ht="15.75" customHeight="1" x14ac:dyDescent="0.3">
      <c r="E746" s="154"/>
    </row>
    <row r="747" spans="5:5" ht="15.75" customHeight="1" x14ac:dyDescent="0.3">
      <c r="E747" s="154"/>
    </row>
    <row r="748" spans="5:5" ht="15.75" customHeight="1" x14ac:dyDescent="0.3">
      <c r="E748" s="154"/>
    </row>
    <row r="749" spans="5:5" ht="15.75" customHeight="1" x14ac:dyDescent="0.3">
      <c r="E749" s="154"/>
    </row>
    <row r="750" spans="5:5" ht="15.75" customHeight="1" x14ac:dyDescent="0.3">
      <c r="E750" s="154"/>
    </row>
    <row r="751" spans="5:5" ht="15.75" customHeight="1" x14ac:dyDescent="0.3">
      <c r="E751" s="154"/>
    </row>
    <row r="752" spans="5:5" ht="15.75" customHeight="1" x14ac:dyDescent="0.3">
      <c r="E752" s="154"/>
    </row>
    <row r="753" spans="5:5" ht="15.75" customHeight="1" x14ac:dyDescent="0.3">
      <c r="E753" s="154"/>
    </row>
    <row r="754" spans="5:5" ht="15.75" customHeight="1" x14ac:dyDescent="0.3">
      <c r="E754" s="154"/>
    </row>
    <row r="755" spans="5:5" ht="15.75" customHeight="1" x14ac:dyDescent="0.3">
      <c r="E755" s="154"/>
    </row>
    <row r="756" spans="5:5" ht="15.75" customHeight="1" x14ac:dyDescent="0.3">
      <c r="E756" s="154"/>
    </row>
    <row r="757" spans="5:5" ht="15.75" customHeight="1" x14ac:dyDescent="0.3">
      <c r="E757" s="154"/>
    </row>
    <row r="758" spans="5:5" ht="15.75" customHeight="1" x14ac:dyDescent="0.3">
      <c r="E758" s="154"/>
    </row>
    <row r="759" spans="5:5" ht="15.75" customHeight="1" x14ac:dyDescent="0.3">
      <c r="E759" s="154"/>
    </row>
    <row r="760" spans="5:5" ht="15.75" customHeight="1" x14ac:dyDescent="0.3">
      <c r="E760" s="154"/>
    </row>
    <row r="761" spans="5:5" ht="15.75" customHeight="1" x14ac:dyDescent="0.3">
      <c r="E761" s="154"/>
    </row>
    <row r="762" spans="5:5" ht="15.75" customHeight="1" x14ac:dyDescent="0.3">
      <c r="E762" s="154"/>
    </row>
    <row r="763" spans="5:5" ht="15.75" customHeight="1" x14ac:dyDescent="0.3">
      <c r="E763" s="154"/>
    </row>
    <row r="764" spans="5:5" ht="15.75" customHeight="1" x14ac:dyDescent="0.3">
      <c r="E764" s="154"/>
    </row>
    <row r="765" spans="5:5" ht="15.75" customHeight="1" x14ac:dyDescent="0.3">
      <c r="E765" s="154"/>
    </row>
    <row r="766" spans="5:5" ht="15.75" customHeight="1" x14ac:dyDescent="0.3">
      <c r="E766" s="154"/>
    </row>
    <row r="767" spans="5:5" ht="15.75" customHeight="1" x14ac:dyDescent="0.3">
      <c r="E767" s="154"/>
    </row>
    <row r="768" spans="5:5" ht="15.75" customHeight="1" x14ac:dyDescent="0.3">
      <c r="E768" s="154"/>
    </row>
    <row r="769" spans="5:5" ht="15.75" customHeight="1" x14ac:dyDescent="0.3">
      <c r="E769" s="154"/>
    </row>
    <row r="770" spans="5:5" ht="15.75" customHeight="1" x14ac:dyDescent="0.3">
      <c r="E770" s="154"/>
    </row>
    <row r="771" spans="5:5" ht="15.75" customHeight="1" x14ac:dyDescent="0.3">
      <c r="E771" s="154"/>
    </row>
    <row r="772" spans="5:5" ht="15.75" customHeight="1" x14ac:dyDescent="0.3">
      <c r="E772" s="154"/>
    </row>
    <row r="773" spans="5:5" ht="15.75" customHeight="1" x14ac:dyDescent="0.3">
      <c r="E773" s="154"/>
    </row>
    <row r="774" spans="5:5" ht="15.75" customHeight="1" x14ac:dyDescent="0.3">
      <c r="E774" s="154"/>
    </row>
    <row r="775" spans="5:5" ht="15.75" customHeight="1" x14ac:dyDescent="0.3">
      <c r="E775" s="154"/>
    </row>
    <row r="776" spans="5:5" ht="15.75" customHeight="1" x14ac:dyDescent="0.3">
      <c r="E776" s="154"/>
    </row>
    <row r="777" spans="5:5" ht="15.75" customHeight="1" x14ac:dyDescent="0.3">
      <c r="E777" s="154"/>
    </row>
    <row r="778" spans="5:5" ht="15.75" customHeight="1" x14ac:dyDescent="0.3">
      <c r="E778" s="154"/>
    </row>
    <row r="779" spans="5:5" ht="15.75" customHeight="1" x14ac:dyDescent="0.3">
      <c r="E779" s="154"/>
    </row>
    <row r="780" spans="5:5" ht="15.75" customHeight="1" x14ac:dyDescent="0.3">
      <c r="E780" s="154"/>
    </row>
    <row r="781" spans="5:5" ht="15.75" customHeight="1" x14ac:dyDescent="0.3">
      <c r="E781" s="154"/>
    </row>
    <row r="782" spans="5:5" ht="15.75" customHeight="1" x14ac:dyDescent="0.3">
      <c r="E782" s="154"/>
    </row>
    <row r="783" spans="5:5" ht="15.75" customHeight="1" x14ac:dyDescent="0.3">
      <c r="E783" s="154"/>
    </row>
    <row r="784" spans="5:5" ht="15.75" customHeight="1" x14ac:dyDescent="0.3">
      <c r="E784" s="154"/>
    </row>
    <row r="785" spans="5:5" ht="15.75" customHeight="1" x14ac:dyDescent="0.3">
      <c r="E785" s="154"/>
    </row>
    <row r="786" spans="5:5" ht="15.75" customHeight="1" x14ac:dyDescent="0.3">
      <c r="E786" s="154"/>
    </row>
    <row r="787" spans="5:5" ht="15.75" customHeight="1" x14ac:dyDescent="0.3">
      <c r="E787" s="154"/>
    </row>
    <row r="788" spans="5:5" ht="15.75" customHeight="1" x14ac:dyDescent="0.3">
      <c r="E788" s="154"/>
    </row>
    <row r="789" spans="5:5" ht="15.75" customHeight="1" x14ac:dyDescent="0.3">
      <c r="E789" s="154"/>
    </row>
    <row r="790" spans="5:5" ht="15.75" customHeight="1" x14ac:dyDescent="0.3">
      <c r="E790" s="154"/>
    </row>
    <row r="791" spans="5:5" ht="15.75" customHeight="1" x14ac:dyDescent="0.3">
      <c r="E791" s="154"/>
    </row>
    <row r="792" spans="5:5" ht="15.75" customHeight="1" x14ac:dyDescent="0.3">
      <c r="E792" s="154"/>
    </row>
    <row r="793" spans="5:5" ht="15.75" customHeight="1" x14ac:dyDescent="0.3">
      <c r="E793" s="154"/>
    </row>
    <row r="794" spans="5:5" ht="15.75" customHeight="1" x14ac:dyDescent="0.3">
      <c r="E794" s="154"/>
    </row>
    <row r="795" spans="5:5" ht="15.75" customHeight="1" x14ac:dyDescent="0.3">
      <c r="E795" s="154"/>
    </row>
    <row r="796" spans="5:5" ht="15.75" customHeight="1" x14ac:dyDescent="0.3">
      <c r="E796" s="154"/>
    </row>
    <row r="797" spans="5:5" ht="15.75" customHeight="1" x14ac:dyDescent="0.3">
      <c r="E797" s="154"/>
    </row>
    <row r="798" spans="5:5" ht="15.75" customHeight="1" x14ac:dyDescent="0.3">
      <c r="E798" s="154"/>
    </row>
    <row r="799" spans="5:5" ht="15.75" customHeight="1" x14ac:dyDescent="0.3">
      <c r="E799" s="154"/>
    </row>
    <row r="800" spans="5:5" ht="15.75" customHeight="1" x14ac:dyDescent="0.3">
      <c r="E800" s="154"/>
    </row>
    <row r="801" spans="5:5" ht="15.75" customHeight="1" x14ac:dyDescent="0.3">
      <c r="E801" s="154"/>
    </row>
    <row r="802" spans="5:5" ht="15.75" customHeight="1" x14ac:dyDescent="0.3">
      <c r="E802" s="154"/>
    </row>
    <row r="803" spans="5:5" ht="15.75" customHeight="1" x14ac:dyDescent="0.3">
      <c r="E803" s="154"/>
    </row>
    <row r="804" spans="5:5" ht="15.75" customHeight="1" x14ac:dyDescent="0.3">
      <c r="E804" s="154"/>
    </row>
    <row r="805" spans="5:5" ht="15.75" customHeight="1" x14ac:dyDescent="0.3">
      <c r="E805" s="154"/>
    </row>
    <row r="806" spans="5:5" ht="15.75" customHeight="1" x14ac:dyDescent="0.3">
      <c r="E806" s="154"/>
    </row>
    <row r="807" spans="5:5" ht="15.75" customHeight="1" x14ac:dyDescent="0.3">
      <c r="E807" s="154"/>
    </row>
    <row r="808" spans="5:5" ht="15.75" customHeight="1" x14ac:dyDescent="0.3">
      <c r="E808" s="154"/>
    </row>
    <row r="809" spans="5:5" ht="15.75" customHeight="1" x14ac:dyDescent="0.3">
      <c r="E809" s="154"/>
    </row>
    <row r="810" spans="5:5" ht="15.75" customHeight="1" x14ac:dyDescent="0.3">
      <c r="E810" s="154"/>
    </row>
    <row r="811" spans="5:5" ht="15.75" customHeight="1" x14ac:dyDescent="0.3">
      <c r="E811" s="154"/>
    </row>
    <row r="812" spans="5:5" ht="15.75" customHeight="1" x14ac:dyDescent="0.3">
      <c r="E812" s="154"/>
    </row>
    <row r="813" spans="5:5" ht="15.75" customHeight="1" x14ac:dyDescent="0.3">
      <c r="E813" s="154"/>
    </row>
    <row r="814" spans="5:5" ht="15.75" customHeight="1" x14ac:dyDescent="0.3">
      <c r="E814" s="154"/>
    </row>
    <row r="815" spans="5:5" ht="15.75" customHeight="1" x14ac:dyDescent="0.3">
      <c r="E815" s="154"/>
    </row>
    <row r="816" spans="5:5" ht="15.75" customHeight="1" x14ac:dyDescent="0.3">
      <c r="E816" s="154"/>
    </row>
    <row r="817" spans="5:5" ht="15.75" customHeight="1" x14ac:dyDescent="0.3">
      <c r="E817" s="154"/>
    </row>
    <row r="818" spans="5:5" ht="15.75" customHeight="1" x14ac:dyDescent="0.3">
      <c r="E818" s="154"/>
    </row>
    <row r="819" spans="5:5" ht="15.75" customHeight="1" x14ac:dyDescent="0.3">
      <c r="E819" s="154"/>
    </row>
    <row r="820" spans="5:5" ht="15.75" customHeight="1" x14ac:dyDescent="0.3">
      <c r="E820" s="154"/>
    </row>
    <row r="821" spans="5:5" ht="15.75" customHeight="1" x14ac:dyDescent="0.3">
      <c r="E821" s="154"/>
    </row>
    <row r="822" spans="5:5" ht="15.75" customHeight="1" x14ac:dyDescent="0.3">
      <c r="E822" s="154"/>
    </row>
    <row r="823" spans="5:5" ht="15.75" customHeight="1" x14ac:dyDescent="0.3">
      <c r="E823" s="154"/>
    </row>
    <row r="824" spans="5:5" ht="15.75" customHeight="1" x14ac:dyDescent="0.3">
      <c r="E824" s="154"/>
    </row>
    <row r="825" spans="5:5" ht="15.75" customHeight="1" x14ac:dyDescent="0.3">
      <c r="E825" s="154"/>
    </row>
    <row r="826" spans="5:5" ht="15.75" customHeight="1" x14ac:dyDescent="0.3">
      <c r="E826" s="154"/>
    </row>
    <row r="827" spans="5:5" ht="15.75" customHeight="1" x14ac:dyDescent="0.3">
      <c r="E827" s="154"/>
    </row>
    <row r="828" spans="5:5" ht="15.75" customHeight="1" x14ac:dyDescent="0.3">
      <c r="E828" s="154"/>
    </row>
    <row r="829" spans="5:5" ht="15.75" customHeight="1" x14ac:dyDescent="0.3">
      <c r="E829" s="154"/>
    </row>
    <row r="830" spans="5:5" ht="15.75" customHeight="1" x14ac:dyDescent="0.3">
      <c r="E830" s="154"/>
    </row>
    <row r="831" spans="5:5" ht="15.75" customHeight="1" x14ac:dyDescent="0.3">
      <c r="E831" s="154"/>
    </row>
    <row r="832" spans="5:5" ht="15.75" customHeight="1" x14ac:dyDescent="0.3">
      <c r="E832" s="154"/>
    </row>
    <row r="833" spans="5:5" ht="15.75" customHeight="1" x14ac:dyDescent="0.3">
      <c r="E833" s="154"/>
    </row>
    <row r="834" spans="5:5" ht="15.75" customHeight="1" x14ac:dyDescent="0.3">
      <c r="E834" s="154"/>
    </row>
    <row r="835" spans="5:5" ht="15.75" customHeight="1" x14ac:dyDescent="0.3">
      <c r="E835" s="154"/>
    </row>
    <row r="836" spans="5:5" ht="15.75" customHeight="1" x14ac:dyDescent="0.3">
      <c r="E836" s="154"/>
    </row>
    <row r="837" spans="5:5" ht="15.75" customHeight="1" x14ac:dyDescent="0.3">
      <c r="E837" s="154"/>
    </row>
    <row r="838" spans="5:5" ht="15.75" customHeight="1" x14ac:dyDescent="0.3">
      <c r="E838" s="154"/>
    </row>
    <row r="839" spans="5:5" ht="15.75" customHeight="1" x14ac:dyDescent="0.3">
      <c r="E839" s="154"/>
    </row>
    <row r="840" spans="5:5" ht="15.75" customHeight="1" x14ac:dyDescent="0.3">
      <c r="E840" s="154"/>
    </row>
    <row r="841" spans="5:5" ht="15.75" customHeight="1" x14ac:dyDescent="0.3">
      <c r="E841" s="154"/>
    </row>
    <row r="842" spans="5:5" ht="15.75" customHeight="1" x14ac:dyDescent="0.3">
      <c r="E842" s="154"/>
    </row>
    <row r="843" spans="5:5" ht="15.75" customHeight="1" x14ac:dyDescent="0.3">
      <c r="E843" s="154"/>
    </row>
    <row r="844" spans="5:5" ht="15.75" customHeight="1" x14ac:dyDescent="0.3">
      <c r="E844" s="154"/>
    </row>
    <row r="845" spans="5:5" ht="15.75" customHeight="1" x14ac:dyDescent="0.3">
      <c r="E845" s="154"/>
    </row>
    <row r="846" spans="5:5" ht="15.75" customHeight="1" x14ac:dyDescent="0.3">
      <c r="E846" s="154"/>
    </row>
    <row r="847" spans="5:5" ht="15.75" customHeight="1" x14ac:dyDescent="0.3">
      <c r="E847" s="154"/>
    </row>
    <row r="848" spans="5:5" ht="15.75" customHeight="1" x14ac:dyDescent="0.3">
      <c r="E848" s="154"/>
    </row>
    <row r="849" spans="5:5" ht="15.75" customHeight="1" x14ac:dyDescent="0.3">
      <c r="E849" s="154"/>
    </row>
    <row r="850" spans="5:5" ht="15.75" customHeight="1" x14ac:dyDescent="0.3">
      <c r="E850" s="154"/>
    </row>
    <row r="851" spans="5:5" ht="15.75" customHeight="1" x14ac:dyDescent="0.3">
      <c r="E851" s="154"/>
    </row>
    <row r="852" spans="5:5" ht="15.75" customHeight="1" x14ac:dyDescent="0.3">
      <c r="E852" s="154"/>
    </row>
    <row r="853" spans="5:5" ht="15.75" customHeight="1" x14ac:dyDescent="0.3">
      <c r="E853" s="154"/>
    </row>
    <row r="854" spans="5:5" ht="15.75" customHeight="1" x14ac:dyDescent="0.3">
      <c r="E854" s="154"/>
    </row>
    <row r="855" spans="5:5" ht="15.75" customHeight="1" x14ac:dyDescent="0.3">
      <c r="E855" s="154"/>
    </row>
    <row r="856" spans="5:5" ht="15.75" customHeight="1" x14ac:dyDescent="0.3">
      <c r="E856" s="154"/>
    </row>
    <row r="857" spans="5:5" ht="15.75" customHeight="1" x14ac:dyDescent="0.3">
      <c r="E857" s="154"/>
    </row>
    <row r="858" spans="5:5" ht="15.75" customHeight="1" x14ac:dyDescent="0.3">
      <c r="E858" s="154"/>
    </row>
    <row r="859" spans="5:5" ht="15.75" customHeight="1" x14ac:dyDescent="0.3">
      <c r="E859" s="154"/>
    </row>
    <row r="860" spans="5:5" ht="15.75" customHeight="1" x14ac:dyDescent="0.3">
      <c r="E860" s="154"/>
    </row>
    <row r="861" spans="5:5" ht="15.75" customHeight="1" x14ac:dyDescent="0.3">
      <c r="E861" s="154"/>
    </row>
    <row r="862" spans="5:5" ht="15.75" customHeight="1" x14ac:dyDescent="0.3">
      <c r="E862" s="154"/>
    </row>
    <row r="863" spans="5:5" ht="15.75" customHeight="1" x14ac:dyDescent="0.3">
      <c r="E863" s="154"/>
    </row>
    <row r="864" spans="5:5" ht="15.75" customHeight="1" x14ac:dyDescent="0.3">
      <c r="E864" s="154"/>
    </row>
    <row r="865" spans="5:5" ht="15.75" customHeight="1" x14ac:dyDescent="0.3">
      <c r="E865" s="154"/>
    </row>
    <row r="866" spans="5:5" ht="15.75" customHeight="1" x14ac:dyDescent="0.3">
      <c r="E866" s="154"/>
    </row>
    <row r="867" spans="5:5" ht="15.75" customHeight="1" x14ac:dyDescent="0.3">
      <c r="E867" s="154"/>
    </row>
    <row r="868" spans="5:5" ht="15.75" customHeight="1" x14ac:dyDescent="0.3">
      <c r="E868" s="154"/>
    </row>
    <row r="869" spans="5:5" ht="15.75" customHeight="1" x14ac:dyDescent="0.3">
      <c r="E869" s="154"/>
    </row>
    <row r="870" spans="5:5" ht="15.75" customHeight="1" x14ac:dyDescent="0.3">
      <c r="E870" s="154"/>
    </row>
    <row r="871" spans="5:5" ht="15.75" customHeight="1" x14ac:dyDescent="0.3">
      <c r="E871" s="154"/>
    </row>
    <row r="872" spans="5:5" ht="15.75" customHeight="1" x14ac:dyDescent="0.3">
      <c r="E872" s="154"/>
    </row>
    <row r="873" spans="5:5" ht="15.75" customHeight="1" x14ac:dyDescent="0.3">
      <c r="E873" s="154"/>
    </row>
    <row r="874" spans="5:5" ht="15.75" customHeight="1" x14ac:dyDescent="0.3">
      <c r="E874" s="154"/>
    </row>
    <row r="875" spans="5:5" ht="15.75" customHeight="1" x14ac:dyDescent="0.3">
      <c r="E875" s="154"/>
    </row>
    <row r="876" spans="5:5" ht="15.75" customHeight="1" x14ac:dyDescent="0.3">
      <c r="E876" s="154"/>
    </row>
    <row r="877" spans="5:5" ht="15.75" customHeight="1" x14ac:dyDescent="0.3">
      <c r="E877" s="154"/>
    </row>
    <row r="878" spans="5:5" ht="15.75" customHeight="1" x14ac:dyDescent="0.3">
      <c r="E878" s="154"/>
    </row>
    <row r="879" spans="5:5" ht="15.75" customHeight="1" x14ac:dyDescent="0.3">
      <c r="E879" s="154"/>
    </row>
    <row r="880" spans="5:5" ht="15.75" customHeight="1" x14ac:dyDescent="0.3">
      <c r="E880" s="154"/>
    </row>
    <row r="881" spans="5:5" ht="15.75" customHeight="1" x14ac:dyDescent="0.3">
      <c r="E881" s="154"/>
    </row>
    <row r="882" spans="5:5" ht="15.75" customHeight="1" x14ac:dyDescent="0.3">
      <c r="E882" s="154"/>
    </row>
    <row r="883" spans="5:5" ht="15.75" customHeight="1" x14ac:dyDescent="0.3">
      <c r="E883" s="154"/>
    </row>
    <row r="884" spans="5:5" ht="15.75" customHeight="1" x14ac:dyDescent="0.3">
      <c r="E884" s="154"/>
    </row>
    <row r="885" spans="5:5" ht="15.75" customHeight="1" x14ac:dyDescent="0.3">
      <c r="E885" s="154"/>
    </row>
    <row r="886" spans="5:5" ht="15.75" customHeight="1" x14ac:dyDescent="0.3">
      <c r="E886" s="154"/>
    </row>
    <row r="887" spans="5:5" ht="15.75" customHeight="1" x14ac:dyDescent="0.3">
      <c r="E887" s="154"/>
    </row>
    <row r="888" spans="5:5" ht="15.75" customHeight="1" x14ac:dyDescent="0.3">
      <c r="E888" s="154"/>
    </row>
    <row r="889" spans="5:5" ht="15.75" customHeight="1" x14ac:dyDescent="0.3">
      <c r="E889" s="154"/>
    </row>
    <row r="890" spans="5:5" ht="15.75" customHeight="1" x14ac:dyDescent="0.3">
      <c r="E890" s="154"/>
    </row>
    <row r="891" spans="5:5" ht="15.75" customHeight="1" x14ac:dyDescent="0.3">
      <c r="E891" s="154"/>
    </row>
    <row r="892" spans="5:5" ht="15.75" customHeight="1" x14ac:dyDescent="0.3">
      <c r="E892" s="154"/>
    </row>
    <row r="893" spans="5:5" ht="15.75" customHeight="1" x14ac:dyDescent="0.3">
      <c r="E893" s="154"/>
    </row>
    <row r="894" spans="5:5" ht="15.75" customHeight="1" x14ac:dyDescent="0.3">
      <c r="E894" s="154"/>
    </row>
    <row r="895" spans="5:5" ht="15.75" customHeight="1" x14ac:dyDescent="0.3">
      <c r="E895" s="154"/>
    </row>
    <row r="896" spans="5:5" ht="15.75" customHeight="1" x14ac:dyDescent="0.3">
      <c r="E896" s="154"/>
    </row>
    <row r="897" spans="5:5" ht="15.75" customHeight="1" x14ac:dyDescent="0.3">
      <c r="E897" s="154"/>
    </row>
    <row r="898" spans="5:5" ht="15.75" customHeight="1" x14ac:dyDescent="0.3">
      <c r="E898" s="154"/>
    </row>
    <row r="899" spans="5:5" ht="15.75" customHeight="1" x14ac:dyDescent="0.3">
      <c r="E899" s="154"/>
    </row>
    <row r="900" spans="5:5" ht="15.75" customHeight="1" x14ac:dyDescent="0.3">
      <c r="E900" s="154"/>
    </row>
    <row r="901" spans="5:5" ht="15.75" customHeight="1" x14ac:dyDescent="0.3">
      <c r="E901" s="154"/>
    </row>
    <row r="902" spans="5:5" ht="15.75" customHeight="1" x14ac:dyDescent="0.3">
      <c r="E902" s="154"/>
    </row>
    <row r="903" spans="5:5" ht="15.75" customHeight="1" x14ac:dyDescent="0.3">
      <c r="E903" s="154"/>
    </row>
    <row r="904" spans="5:5" ht="15.75" customHeight="1" x14ac:dyDescent="0.3">
      <c r="E904" s="154"/>
    </row>
    <row r="905" spans="5:5" ht="15.75" customHeight="1" x14ac:dyDescent="0.3">
      <c r="E905" s="154"/>
    </row>
    <row r="906" spans="5:5" ht="15.75" customHeight="1" x14ac:dyDescent="0.3">
      <c r="E906" s="154"/>
    </row>
    <row r="907" spans="5:5" ht="15.75" customHeight="1" x14ac:dyDescent="0.3">
      <c r="E907" s="154"/>
    </row>
    <row r="908" spans="5:5" ht="15.75" customHeight="1" x14ac:dyDescent="0.3">
      <c r="E908" s="154"/>
    </row>
    <row r="909" spans="5:5" ht="15.75" customHeight="1" x14ac:dyDescent="0.3">
      <c r="E909" s="154"/>
    </row>
    <row r="910" spans="5:5" ht="15.75" customHeight="1" x14ac:dyDescent="0.3">
      <c r="E910" s="154"/>
    </row>
    <row r="911" spans="5:5" ht="15.75" customHeight="1" x14ac:dyDescent="0.3">
      <c r="E911" s="154"/>
    </row>
    <row r="912" spans="5:5" ht="15.75" customHeight="1" x14ac:dyDescent="0.3">
      <c r="E912" s="154"/>
    </row>
    <row r="913" spans="5:5" ht="15.75" customHeight="1" x14ac:dyDescent="0.3">
      <c r="E913" s="154"/>
    </row>
    <row r="914" spans="5:5" ht="15.75" customHeight="1" x14ac:dyDescent="0.3">
      <c r="E914" s="154"/>
    </row>
    <row r="915" spans="5:5" ht="15.75" customHeight="1" x14ac:dyDescent="0.3">
      <c r="E915" s="154"/>
    </row>
    <row r="916" spans="5:5" ht="15.75" customHeight="1" x14ac:dyDescent="0.3">
      <c r="E916" s="154"/>
    </row>
    <row r="917" spans="5:5" ht="15.75" customHeight="1" x14ac:dyDescent="0.3">
      <c r="E917" s="154"/>
    </row>
    <row r="918" spans="5:5" ht="15.75" customHeight="1" x14ac:dyDescent="0.3">
      <c r="E918" s="154"/>
    </row>
    <row r="919" spans="5:5" ht="15.75" customHeight="1" x14ac:dyDescent="0.3">
      <c r="E919" s="154"/>
    </row>
    <row r="920" spans="5:5" ht="15.75" customHeight="1" x14ac:dyDescent="0.3">
      <c r="E920" s="154"/>
    </row>
    <row r="921" spans="5:5" ht="15.75" customHeight="1" x14ac:dyDescent="0.3">
      <c r="E921" s="154"/>
    </row>
    <row r="922" spans="5:5" ht="15.75" customHeight="1" x14ac:dyDescent="0.3">
      <c r="E922" s="154"/>
    </row>
    <row r="923" spans="5:5" ht="15.75" customHeight="1" x14ac:dyDescent="0.3">
      <c r="E923" s="154"/>
    </row>
    <row r="924" spans="5:5" ht="15.75" customHeight="1" x14ac:dyDescent="0.3">
      <c r="E924" s="154"/>
    </row>
    <row r="925" spans="5:5" ht="15.75" customHeight="1" x14ac:dyDescent="0.3">
      <c r="E925" s="154"/>
    </row>
    <row r="926" spans="5:5" ht="15.75" customHeight="1" x14ac:dyDescent="0.3">
      <c r="E926" s="154"/>
    </row>
    <row r="927" spans="5:5" ht="15.75" customHeight="1" x14ac:dyDescent="0.3">
      <c r="E927" s="154"/>
    </row>
    <row r="928" spans="5:5" ht="15.75" customHeight="1" x14ac:dyDescent="0.3">
      <c r="E928" s="154"/>
    </row>
    <row r="929" spans="5:5" ht="15.75" customHeight="1" x14ac:dyDescent="0.3">
      <c r="E929" s="154"/>
    </row>
    <row r="930" spans="5:5" ht="15.75" customHeight="1" x14ac:dyDescent="0.3">
      <c r="E930" s="154"/>
    </row>
    <row r="931" spans="5:5" ht="15.75" customHeight="1" x14ac:dyDescent="0.3">
      <c r="E931" s="154"/>
    </row>
    <row r="932" spans="5:5" ht="15.75" customHeight="1" x14ac:dyDescent="0.3">
      <c r="E932" s="154"/>
    </row>
    <row r="933" spans="5:5" ht="15.75" customHeight="1" x14ac:dyDescent="0.3">
      <c r="E933" s="154"/>
    </row>
    <row r="934" spans="5:5" ht="15.75" customHeight="1" x14ac:dyDescent="0.3">
      <c r="E934" s="154"/>
    </row>
    <row r="935" spans="5:5" ht="15.75" customHeight="1" x14ac:dyDescent="0.3">
      <c r="E935" s="154"/>
    </row>
    <row r="936" spans="5:5" ht="15.75" customHeight="1" x14ac:dyDescent="0.3">
      <c r="E936" s="154"/>
    </row>
    <row r="937" spans="5:5" ht="15.75" customHeight="1" x14ac:dyDescent="0.3">
      <c r="E937" s="154"/>
    </row>
    <row r="938" spans="5:5" ht="15.75" customHeight="1" x14ac:dyDescent="0.3">
      <c r="E938" s="154"/>
    </row>
    <row r="939" spans="5:5" ht="15.75" customHeight="1" x14ac:dyDescent="0.3">
      <c r="E939" s="154"/>
    </row>
    <row r="940" spans="5:5" ht="15.75" customHeight="1" x14ac:dyDescent="0.3">
      <c r="E940" s="154"/>
    </row>
    <row r="941" spans="5:5" ht="15.75" customHeight="1" x14ac:dyDescent="0.3">
      <c r="E941" s="154"/>
    </row>
    <row r="942" spans="5:5" ht="15.75" customHeight="1" x14ac:dyDescent="0.3">
      <c r="E942" s="154"/>
    </row>
    <row r="943" spans="5:5" ht="15.75" customHeight="1" x14ac:dyDescent="0.3">
      <c r="E943" s="154"/>
    </row>
    <row r="944" spans="5:5" ht="15.75" customHeight="1" x14ac:dyDescent="0.3">
      <c r="E944" s="154"/>
    </row>
    <row r="945" spans="5:5" ht="15.75" customHeight="1" x14ac:dyDescent="0.3">
      <c r="E945" s="154"/>
    </row>
    <row r="946" spans="5:5" ht="15.75" customHeight="1" x14ac:dyDescent="0.3">
      <c r="E946" s="154"/>
    </row>
    <row r="947" spans="5:5" ht="15.75" customHeight="1" x14ac:dyDescent="0.3">
      <c r="E947" s="154"/>
    </row>
    <row r="948" spans="5:5" ht="15.75" customHeight="1" x14ac:dyDescent="0.3">
      <c r="E948" s="154"/>
    </row>
    <row r="949" spans="5:5" ht="15.75" customHeight="1" x14ac:dyDescent="0.3">
      <c r="E949" s="154"/>
    </row>
    <row r="950" spans="5:5" ht="15.75" customHeight="1" x14ac:dyDescent="0.3">
      <c r="E950" s="154"/>
    </row>
    <row r="951" spans="5:5" ht="15.75" customHeight="1" x14ac:dyDescent="0.3">
      <c r="E951" s="154"/>
    </row>
    <row r="952" spans="5:5" ht="15.75" customHeight="1" x14ac:dyDescent="0.3">
      <c r="E952" s="154"/>
    </row>
    <row r="953" spans="5:5" ht="15.75" customHeight="1" x14ac:dyDescent="0.3">
      <c r="E953" s="154"/>
    </row>
    <row r="954" spans="5:5" ht="15.75" customHeight="1" x14ac:dyDescent="0.3">
      <c r="E954" s="154"/>
    </row>
    <row r="955" spans="5:5" ht="15.75" customHeight="1" x14ac:dyDescent="0.3">
      <c r="E955" s="154"/>
    </row>
    <row r="956" spans="5:5" ht="15.75" customHeight="1" x14ac:dyDescent="0.3">
      <c r="E956" s="154"/>
    </row>
    <row r="957" spans="5:5" ht="15.75" customHeight="1" x14ac:dyDescent="0.3">
      <c r="E957" s="154"/>
    </row>
    <row r="958" spans="5:5" ht="15.75" customHeight="1" x14ac:dyDescent="0.3">
      <c r="E958" s="154"/>
    </row>
    <row r="959" spans="5:5" ht="15.75" customHeight="1" x14ac:dyDescent="0.3">
      <c r="E959" s="154"/>
    </row>
    <row r="960" spans="5:5" ht="15.75" customHeight="1" x14ac:dyDescent="0.3">
      <c r="E960" s="154"/>
    </row>
    <row r="961" spans="5:5" ht="15.75" customHeight="1" x14ac:dyDescent="0.3">
      <c r="E961" s="154"/>
    </row>
    <row r="962" spans="5:5" ht="15.75" customHeight="1" x14ac:dyDescent="0.3">
      <c r="E962" s="154"/>
    </row>
    <row r="963" spans="5:5" ht="15.75" customHeight="1" x14ac:dyDescent="0.3">
      <c r="E963" s="154"/>
    </row>
    <row r="964" spans="5:5" ht="15.75" customHeight="1" x14ac:dyDescent="0.3">
      <c r="E964" s="154"/>
    </row>
    <row r="965" spans="5:5" ht="15.75" customHeight="1" x14ac:dyDescent="0.3">
      <c r="E965" s="154"/>
    </row>
    <row r="966" spans="5:5" ht="15.75" customHeight="1" x14ac:dyDescent="0.3">
      <c r="E966" s="154"/>
    </row>
    <row r="967" spans="5:5" ht="15.75" customHeight="1" x14ac:dyDescent="0.3">
      <c r="E967" s="154"/>
    </row>
    <row r="968" spans="5:5" ht="15.75" customHeight="1" x14ac:dyDescent="0.3">
      <c r="E968" s="154"/>
    </row>
    <row r="969" spans="5:5" ht="15.75" customHeight="1" x14ac:dyDescent="0.3">
      <c r="E969" s="154"/>
    </row>
    <row r="970" spans="5:5" ht="15.75" customHeight="1" x14ac:dyDescent="0.3">
      <c r="E970" s="154"/>
    </row>
    <row r="971" spans="5:5" ht="15.75" customHeight="1" x14ac:dyDescent="0.3">
      <c r="E971" s="154"/>
    </row>
    <row r="972" spans="5:5" ht="15.75" customHeight="1" x14ac:dyDescent="0.3">
      <c r="E972" s="154"/>
    </row>
    <row r="973" spans="5:5" ht="15.75" customHeight="1" x14ac:dyDescent="0.3">
      <c r="E973" s="154"/>
    </row>
    <row r="974" spans="5:5" ht="15.75" customHeight="1" x14ac:dyDescent="0.3">
      <c r="E974" s="154"/>
    </row>
    <row r="975" spans="5:5" ht="15.75" customHeight="1" x14ac:dyDescent="0.3">
      <c r="E975" s="154"/>
    </row>
    <row r="976" spans="5:5" ht="15.75" customHeight="1" x14ac:dyDescent="0.3">
      <c r="E976" s="154"/>
    </row>
    <row r="977" spans="5:5" ht="15.75" customHeight="1" x14ac:dyDescent="0.3">
      <c r="E977" s="154"/>
    </row>
    <row r="978" spans="5:5" ht="15.75" customHeight="1" x14ac:dyDescent="0.3">
      <c r="E978" s="154"/>
    </row>
    <row r="979" spans="5:5" ht="15.75" customHeight="1" x14ac:dyDescent="0.3">
      <c r="E979" s="154"/>
    </row>
    <row r="980" spans="5:5" ht="15.75" customHeight="1" x14ac:dyDescent="0.3">
      <c r="E980" s="154"/>
    </row>
    <row r="981" spans="5:5" ht="15.75" customHeight="1" x14ac:dyDescent="0.3">
      <c r="E981" s="154"/>
    </row>
    <row r="982" spans="5:5" ht="15.75" customHeight="1" x14ac:dyDescent="0.3">
      <c r="E982" s="154"/>
    </row>
    <row r="983" spans="5:5" ht="15.75" customHeight="1" x14ac:dyDescent="0.3">
      <c r="E983" s="154"/>
    </row>
    <row r="984" spans="5:5" ht="15.75" customHeight="1" x14ac:dyDescent="0.3">
      <c r="E984" s="154"/>
    </row>
    <row r="985" spans="5:5" ht="15.75" customHeight="1" x14ac:dyDescent="0.3">
      <c r="E985" s="154"/>
    </row>
    <row r="986" spans="5:5" ht="15.75" customHeight="1" x14ac:dyDescent="0.3">
      <c r="E986" s="154"/>
    </row>
    <row r="987" spans="5:5" ht="15.75" customHeight="1" x14ac:dyDescent="0.3">
      <c r="E987" s="154"/>
    </row>
    <row r="988" spans="5:5" ht="15.75" customHeight="1" x14ac:dyDescent="0.3">
      <c r="E988" s="154"/>
    </row>
    <row r="989" spans="5:5" ht="15.75" customHeight="1" x14ac:dyDescent="0.3">
      <c r="E989" s="154"/>
    </row>
    <row r="990" spans="5:5" ht="15.75" customHeight="1" x14ac:dyDescent="0.3">
      <c r="E990" s="154"/>
    </row>
    <row r="991" spans="5:5" ht="15.75" customHeight="1" x14ac:dyDescent="0.3">
      <c r="E991" s="154"/>
    </row>
    <row r="992" spans="5:5" ht="15.75" customHeight="1" x14ac:dyDescent="0.3">
      <c r="E992" s="154"/>
    </row>
    <row r="993" spans="5:5" ht="15.75" customHeight="1" x14ac:dyDescent="0.3">
      <c r="E993" s="154"/>
    </row>
    <row r="994" spans="5:5" ht="15.75" customHeight="1" x14ac:dyDescent="0.3">
      <c r="E994" s="154"/>
    </row>
    <row r="995" spans="5:5" ht="15.75" customHeight="1" x14ac:dyDescent="0.3">
      <c r="E995" s="154"/>
    </row>
    <row r="996" spans="5:5" ht="15.75" customHeight="1" x14ac:dyDescent="0.3">
      <c r="E996" s="154"/>
    </row>
    <row r="997" spans="5:5" ht="15.75" customHeight="1" x14ac:dyDescent="0.3">
      <c r="E997" s="154"/>
    </row>
    <row r="998" spans="5:5" ht="15.75" customHeight="1" x14ac:dyDescent="0.3">
      <c r="E998" s="154"/>
    </row>
    <row r="999" spans="5:5" ht="15.75" customHeight="1" x14ac:dyDescent="0.3">
      <c r="E999" s="154"/>
    </row>
    <row r="1000" spans="5:5" ht="15.75" customHeight="1" x14ac:dyDescent="0.3">
      <c r="E1000" s="154"/>
    </row>
    <row r="1001" spans="5:5" ht="15.75" customHeight="1" x14ac:dyDescent="0.3">
      <c r="E1001" s="154"/>
    </row>
    <row r="1002" spans="5:5" ht="15.75" customHeight="1" x14ac:dyDescent="0.3">
      <c r="E1002" s="154"/>
    </row>
    <row r="1003" spans="5:5" ht="15.75" customHeight="1" x14ac:dyDescent="0.3">
      <c r="E1003" s="154"/>
    </row>
    <row r="1004" spans="5:5" ht="15.75" customHeight="1" x14ac:dyDescent="0.3">
      <c r="E1004" s="154"/>
    </row>
    <row r="1005" spans="5:5" ht="15.75" customHeight="1" x14ac:dyDescent="0.3">
      <c r="E1005" s="154"/>
    </row>
    <row r="1006" spans="5:5" ht="15.75" customHeight="1" x14ac:dyDescent="0.3">
      <c r="E1006" s="154"/>
    </row>
    <row r="1007" spans="5:5" ht="15.75" customHeight="1" x14ac:dyDescent="0.3">
      <c r="E1007" s="154"/>
    </row>
    <row r="1008" spans="5:5" ht="15.75" customHeight="1" x14ac:dyDescent="0.3">
      <c r="E1008" s="154"/>
    </row>
    <row r="1009" spans="5:5" ht="15.75" customHeight="1" x14ac:dyDescent="0.3">
      <c r="E1009" s="154"/>
    </row>
    <row r="1010" spans="5:5" ht="15.75" customHeight="1" x14ac:dyDescent="0.3">
      <c r="E1010" s="154"/>
    </row>
    <row r="1011" spans="5:5" ht="15.75" customHeight="1" x14ac:dyDescent="0.3">
      <c r="E1011" s="154"/>
    </row>
    <row r="1012" spans="5:5" ht="15.75" customHeight="1" x14ac:dyDescent="0.3">
      <c r="E1012" s="154"/>
    </row>
    <row r="1013" spans="5:5" ht="15.75" customHeight="1" x14ac:dyDescent="0.3">
      <c r="E1013" s="154"/>
    </row>
    <row r="1014" spans="5:5" ht="15.75" customHeight="1" x14ac:dyDescent="0.3">
      <c r="E1014" s="154"/>
    </row>
    <row r="1015" spans="5:5" ht="15.75" customHeight="1" x14ac:dyDescent="0.3">
      <c r="E1015" s="154"/>
    </row>
    <row r="1016" spans="5:5" ht="15.75" customHeight="1" x14ac:dyDescent="0.3">
      <c r="E1016" s="154"/>
    </row>
    <row r="1017" spans="5:5" ht="15.75" customHeight="1" x14ac:dyDescent="0.3">
      <c r="E1017" s="154"/>
    </row>
    <row r="1018" spans="5:5" ht="15.75" customHeight="1" x14ac:dyDescent="0.3">
      <c r="E1018" s="154"/>
    </row>
    <row r="1019" spans="5:5" ht="15.75" customHeight="1" x14ac:dyDescent="0.3">
      <c r="E1019" s="154"/>
    </row>
    <row r="1020" spans="5:5" ht="15.75" customHeight="1" x14ac:dyDescent="0.3">
      <c r="E1020" s="154"/>
    </row>
    <row r="1021" spans="5:5" ht="15.75" customHeight="1" x14ac:dyDescent="0.3">
      <c r="E1021" s="154"/>
    </row>
    <row r="1022" spans="5:5" ht="15.75" customHeight="1" x14ac:dyDescent="0.3">
      <c r="E1022" s="154"/>
    </row>
    <row r="1023" spans="5:5" ht="15.75" customHeight="1" x14ac:dyDescent="0.3">
      <c r="E1023" s="154"/>
    </row>
    <row r="1024" spans="5:5" ht="15.75" customHeight="1" x14ac:dyDescent="0.3">
      <c r="E1024" s="154"/>
    </row>
    <row r="1025" spans="5:5" ht="15.75" customHeight="1" x14ac:dyDescent="0.3">
      <c r="E1025" s="154"/>
    </row>
    <row r="1026" spans="5:5" ht="15.75" customHeight="1" x14ac:dyDescent="0.3">
      <c r="E1026" s="154"/>
    </row>
    <row r="1027" spans="5:5" ht="15.75" customHeight="1" x14ac:dyDescent="0.3">
      <c r="E1027" s="154"/>
    </row>
    <row r="1028" spans="5:5" ht="15.75" customHeight="1" x14ac:dyDescent="0.3">
      <c r="E1028" s="154"/>
    </row>
    <row r="1029" spans="5:5" ht="15" customHeight="1" x14ac:dyDescent="0.3">
      <c r="E1029" s="154"/>
    </row>
    <row r="1030" spans="5:5" ht="15" customHeight="1" x14ac:dyDescent="0.3">
      <c r="E1030" s="154"/>
    </row>
    <row r="1031" spans="5:5" ht="15" customHeight="1" x14ac:dyDescent="0.3">
      <c r="E1031" s="154"/>
    </row>
    <row r="1032" spans="5:5" ht="15" customHeight="1" x14ac:dyDescent="0.3">
      <c r="E1032" s="154"/>
    </row>
    <row r="1033" spans="5:5" ht="15" customHeight="1" x14ac:dyDescent="0.3">
      <c r="E1033" s="154"/>
    </row>
    <row r="1034" spans="5:5" ht="15" customHeight="1" x14ac:dyDescent="0.3">
      <c r="E1034" s="154"/>
    </row>
    <row r="1035" spans="5:5" ht="15" customHeight="1" x14ac:dyDescent="0.3">
      <c r="E1035" s="154"/>
    </row>
    <row r="1036" spans="5:5" ht="15" customHeight="1" x14ac:dyDescent="0.3">
      <c r="E1036" s="154"/>
    </row>
    <row r="1037" spans="5:5" ht="15" customHeight="1" x14ac:dyDescent="0.3">
      <c r="E1037" s="154"/>
    </row>
    <row r="1038" spans="5:5" ht="15" customHeight="1" x14ac:dyDescent="0.3">
      <c r="E1038" s="154"/>
    </row>
    <row r="1039" spans="5:5" ht="15" customHeight="1" x14ac:dyDescent="0.3">
      <c r="E1039" s="154"/>
    </row>
    <row r="1040" spans="5:5" ht="15" customHeight="1" x14ac:dyDescent="0.3">
      <c r="E1040" s="154"/>
    </row>
    <row r="1041" spans="5:5" ht="15" customHeight="1" x14ac:dyDescent="0.3">
      <c r="E1041" s="154"/>
    </row>
    <row r="1042" spans="5:5" ht="15" customHeight="1" x14ac:dyDescent="0.3">
      <c r="E1042" s="154"/>
    </row>
    <row r="1043" spans="5:5" ht="15" customHeight="1" x14ac:dyDescent="0.3">
      <c r="E1043" s="154"/>
    </row>
    <row r="1044" spans="5:5" ht="15" customHeight="1" x14ac:dyDescent="0.3">
      <c r="E1044" s="154"/>
    </row>
    <row r="1045" spans="5:5" ht="15" customHeight="1" x14ac:dyDescent="0.3">
      <c r="E1045" s="154"/>
    </row>
    <row r="1046" spans="5:5" ht="15" customHeight="1" x14ac:dyDescent="0.3">
      <c r="E1046" s="154"/>
    </row>
    <row r="1047" spans="5:5" ht="15" customHeight="1" x14ac:dyDescent="0.3">
      <c r="E1047" s="154"/>
    </row>
    <row r="1048" spans="5:5" ht="15" customHeight="1" x14ac:dyDescent="0.3">
      <c r="E1048" s="154"/>
    </row>
    <row r="1049" spans="5:5" ht="15" customHeight="1" x14ac:dyDescent="0.3">
      <c r="E1049" s="154"/>
    </row>
  </sheetData>
  <mergeCells count="1">
    <mergeCell ref="C5:E5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LANDCO</vt:lpstr>
      <vt:lpstr>CAJU SUMMARY 26</vt:lpstr>
      <vt:lpstr>CAJU INCOME 26</vt:lpstr>
      <vt:lpstr>EXPENSES APRIL</vt:lpstr>
      <vt:lpstr>ALEX ENVELOPE</vt:lpstr>
      <vt:lpstr>MPESA</vt:lpstr>
      <vt:lpstr>EMOLA</vt:lpstr>
      <vt:lpstr>KrakenFuel</vt:lpstr>
      <vt:lpstr>'ALEX ENVELOPE'!Print_Area</vt:lpstr>
      <vt:lpstr>KrakenFuel!Print_Area</vt:lpstr>
      <vt:lpstr>MPESA!Print_Area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Cohen</dc:creator>
  <cp:lastModifiedBy>Andrisa Schnell</cp:lastModifiedBy>
  <dcterms:created xsi:type="dcterms:W3CDTF">2025-09-16T09:10:03Z</dcterms:created>
  <dcterms:modified xsi:type="dcterms:W3CDTF">2026-04-30T17:34:38Z</dcterms:modified>
</cp:coreProperties>
</file>