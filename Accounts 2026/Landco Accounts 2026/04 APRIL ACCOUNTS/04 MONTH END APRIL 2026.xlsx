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andco\Accounts 2026\Landco Accounts 2026\04 APRIL ACCOUNTS\"/>
    </mc:Choice>
  </mc:AlternateContent>
  <xr:revisionPtr revIDLastSave="0" documentId="13_ncr:1_{7A447ED9-750A-4DAC-B495-919BFA56B77B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INCOME" sheetId="28" r:id="rId1"/>
    <sheet name="RECON" sheetId="22" r:id="rId2"/>
    <sheet name=" EXPENSES" sheetId="26" r:id="rId3"/>
    <sheet name=" EXPENSES HOUSE" sheetId="27" r:id="rId4"/>
    <sheet name="MONTHLY FOR THE YEAR" sheetId="24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_xlnm.Print_Area" localSheetId="2">' EXPENSES'!#REF!</definedName>
    <definedName name="_xlnm.Print_Area" localSheetId="3">' EXPENSES HOUSE'!#REF!</definedName>
    <definedName name="_xlnm.Print_Area" localSheetId="0">INCOME!$A$8:$D$10</definedName>
    <definedName name="_xlnm.Print_Area" localSheetId="4">'MONTHLY FOR THE YEAR'!#REF!</definedName>
    <definedName name="_xlnm.Print_Area" localSheetId="1">RECON!$B$1:$J$29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" i="22" l="1"/>
  <c r="C7" i="22" l="1"/>
  <c r="C6" i="22"/>
  <c r="C5" i="22"/>
  <c r="C4" i="22"/>
  <c r="D2" i="26" l="1"/>
  <c r="J16" i="22" l="1"/>
  <c r="H61" i="26" l="1"/>
  <c r="G21" i="22"/>
  <c r="D25" i="22"/>
  <c r="C23" i="22" l="1"/>
  <c r="H10" i="26" l="1"/>
  <c r="Z10" i="26" s="1"/>
  <c r="AB10" i="26" s="1"/>
  <c r="J17" i="22"/>
  <c r="H17" i="22" l="1"/>
  <c r="H16" i="22"/>
  <c r="G12" i="22"/>
  <c r="D62" i="26" l="1"/>
  <c r="Y62" i="26" s="1"/>
  <c r="Y13" i="26"/>
  <c r="F8" i="22" l="1"/>
  <c r="G22" i="22" l="1"/>
  <c r="K14" i="22"/>
  <c r="I12" i="22" l="1"/>
  <c r="C22" i="22" l="1"/>
  <c r="E6" i="27" l="1"/>
  <c r="E7" i="27"/>
  <c r="E5" i="27"/>
  <c r="P19" i="27"/>
  <c r="P20" i="27"/>
  <c r="P24" i="27"/>
  <c r="G23" i="22" l="1"/>
  <c r="D79" i="26" l="1"/>
  <c r="X79" i="26" s="1"/>
  <c r="J20" i="26" l="1"/>
  <c r="D76" i="26"/>
  <c r="V76" i="26" s="1"/>
  <c r="Z76" i="26" l="1"/>
  <c r="AB76" i="26" s="1"/>
  <c r="H5" i="27"/>
  <c r="P54" i="26"/>
  <c r="Z54" i="26" s="1"/>
  <c r="AB54" i="26" s="1"/>
  <c r="E51" i="26"/>
  <c r="P53" i="26"/>
  <c r="P29" i="26"/>
  <c r="P28" i="26"/>
  <c r="G51" i="26"/>
  <c r="X51" i="26"/>
  <c r="D7" i="27" s="1"/>
  <c r="W51" i="26"/>
  <c r="D6" i="27" s="1"/>
  <c r="U51" i="26"/>
  <c r="V51" i="26"/>
  <c r="D5" i="27" s="1"/>
  <c r="D108" i="26" l="1"/>
  <c r="Y65" i="26"/>
  <c r="M92" i="26"/>
  <c r="N92" i="26"/>
  <c r="O92" i="26"/>
  <c r="T92" i="26"/>
  <c r="E78" i="26"/>
  <c r="Q77" i="26"/>
  <c r="K74" i="26"/>
  <c r="F73" i="26"/>
  <c r="F72" i="26"/>
  <c r="R69" i="26"/>
  <c r="W68" i="26"/>
  <c r="R67" i="26"/>
  <c r="F64" i="26"/>
  <c r="F92" i="26" s="1"/>
  <c r="D99" i="26" s="1"/>
  <c r="H63" i="26"/>
  <c r="D70" i="26"/>
  <c r="S70" i="26" s="1"/>
  <c r="D67" i="26"/>
  <c r="D3" i="26" l="1"/>
  <c r="D92" i="26"/>
  <c r="V92" i="26" l="1"/>
  <c r="D118" i="26" s="1"/>
  <c r="U92" i="26"/>
  <c r="G60" i="26"/>
  <c r="Z60" i="26" s="1"/>
  <c r="AB60" i="26" s="1"/>
  <c r="K59" i="26"/>
  <c r="Z59" i="26" s="1"/>
  <c r="AB59" i="26" s="1"/>
  <c r="J58" i="26"/>
  <c r="Z58" i="26" s="1"/>
  <c r="AB58" i="26" s="1"/>
  <c r="P56" i="26"/>
  <c r="H57" i="26"/>
  <c r="Z57" i="26" s="1"/>
  <c r="AB57" i="26" s="1"/>
  <c r="H55" i="26"/>
  <c r="Z55" i="26" s="1"/>
  <c r="AB55" i="26" s="1"/>
  <c r="X50" i="26"/>
  <c r="Q49" i="26"/>
  <c r="K48" i="26"/>
  <c r="J47" i="26"/>
  <c r="S46" i="26"/>
  <c r="S45" i="26"/>
  <c r="R43" i="26"/>
  <c r="G42" i="26"/>
  <c r="K41" i="26"/>
  <c r="I39" i="26"/>
  <c r="H38" i="26"/>
  <c r="W33" i="26"/>
  <c r="Y36" i="26"/>
  <c r="Y92" i="26" s="1"/>
  <c r="H34" i="26"/>
  <c r="X32" i="26"/>
  <c r="X92" i="26" s="1"/>
  <c r="D120" i="26" s="1"/>
  <c r="R31" i="26"/>
  <c r="K30" i="26"/>
  <c r="H27" i="26"/>
  <c r="I26" i="26"/>
  <c r="I92" i="26" s="1"/>
  <c r="D101" i="26" s="1"/>
  <c r="H25" i="26"/>
  <c r="R24" i="26"/>
  <c r="L23" i="26"/>
  <c r="L92" i="26" s="1"/>
  <c r="D104" i="26" s="1"/>
  <c r="G22" i="26"/>
  <c r="H21" i="26"/>
  <c r="H19" i="26"/>
  <c r="R18" i="26"/>
  <c r="Q17" i="26"/>
  <c r="Q92" i="26" s="1"/>
  <c r="K16" i="26"/>
  <c r="K92" i="26" s="1"/>
  <c r="D103" i="26" s="1"/>
  <c r="H15" i="26"/>
  <c r="G14" i="26"/>
  <c r="H12" i="26"/>
  <c r="G11" i="26"/>
  <c r="Z11" i="26" s="1"/>
  <c r="AB11" i="26" s="1"/>
  <c r="H9" i="26"/>
  <c r="G8" i="26"/>
  <c r="W92" i="26" l="1"/>
  <c r="D119" i="26" s="1"/>
  <c r="I6" i="27"/>
  <c r="D117" i="26"/>
  <c r="D4" i="27"/>
  <c r="K7" i="27"/>
  <c r="Z56" i="26"/>
  <c r="AB56" i="26" s="1"/>
  <c r="D110" i="26"/>
  <c r="J92" i="26"/>
  <c r="D102" i="26" s="1"/>
  <c r="G92" i="26"/>
  <c r="AC37" i="26" s="1"/>
  <c r="H92" i="26"/>
  <c r="D100" i="26" s="1"/>
  <c r="E92" i="26"/>
  <c r="D98" i="26" s="1"/>
  <c r="Z51" i="26"/>
  <c r="P92" i="26"/>
  <c r="R92" i="26"/>
  <c r="D112" i="26" s="1"/>
  <c r="S92" i="26"/>
  <c r="D113" i="26" s="1"/>
  <c r="J55" i="28"/>
  <c r="J56" i="28"/>
  <c r="D56" i="28" s="1"/>
  <c r="H56" i="28"/>
  <c r="C24" i="22" l="1"/>
  <c r="C21" i="22" l="1"/>
  <c r="H21" i="22" l="1"/>
  <c r="Z17" i="26" l="1"/>
  <c r="AB17" i="26" s="1"/>
  <c r="Z44" i="26"/>
  <c r="AB44" i="26" s="1"/>
  <c r="Z45" i="26" l="1"/>
  <c r="Z18" i="26" l="1"/>
  <c r="AB18" i="26" s="1"/>
  <c r="Z43" i="26" l="1"/>
  <c r="AB43" i="26" s="1"/>
  <c r="C12" i="22"/>
  <c r="D53" i="28"/>
  <c r="E53" i="28" s="1"/>
  <c r="D50" i="28" l="1"/>
  <c r="J50" i="28" s="1"/>
  <c r="F50" i="28" l="1"/>
  <c r="AB45" i="26" l="1"/>
  <c r="Z46" i="26"/>
  <c r="AB46" i="26" s="1"/>
  <c r="Z47" i="26"/>
  <c r="AB47" i="26" s="1"/>
  <c r="Z48" i="26"/>
  <c r="AB48" i="26" s="1"/>
  <c r="J51" i="28" l="1"/>
  <c r="D51" i="28" l="1"/>
  <c r="E51" i="28" l="1"/>
  <c r="Z42" i="26"/>
  <c r="AB42" i="26" s="1"/>
  <c r="Z91" i="26" l="1"/>
  <c r="AB91" i="26" s="1"/>
  <c r="J18" i="22" l="1"/>
  <c r="D48" i="28" l="1"/>
  <c r="H48" i="28" s="1"/>
  <c r="D105" i="26" l="1"/>
  <c r="P13" i="27" l="1"/>
  <c r="D107" i="26"/>
  <c r="L5" i="27" l="1"/>
  <c r="P25" i="27"/>
  <c r="L4" i="27" l="1"/>
  <c r="Z73" i="26"/>
  <c r="AB73" i="26" s="1"/>
  <c r="Z74" i="26"/>
  <c r="AB74" i="26" s="1"/>
  <c r="Z75" i="26"/>
  <c r="AB75" i="26" s="1"/>
  <c r="Z77" i="26"/>
  <c r="AB77" i="26" s="1"/>
  <c r="Z79" i="26"/>
  <c r="Z80" i="26"/>
  <c r="AB80" i="26" s="1"/>
  <c r="Z81" i="26"/>
  <c r="AB81" i="26" s="1"/>
  <c r="Z82" i="26"/>
  <c r="AB82" i="26" s="1"/>
  <c r="Z83" i="26"/>
  <c r="AB83" i="26" s="1"/>
  <c r="Z84" i="26"/>
  <c r="AB84" i="26" s="1"/>
  <c r="Z85" i="26"/>
  <c r="AB85" i="26" s="1"/>
  <c r="Z86" i="26"/>
  <c r="AB86" i="26" s="1"/>
  <c r="Z87" i="26"/>
  <c r="AB87" i="26" s="1"/>
  <c r="Z88" i="26"/>
  <c r="AB88" i="26" s="1"/>
  <c r="Z89" i="26"/>
  <c r="AB89" i="26" s="1"/>
  <c r="Z90" i="26"/>
  <c r="AB90" i="26" s="1"/>
  <c r="AB79" i="26" l="1"/>
  <c r="P12" i="27" l="1"/>
  <c r="D106" i="26"/>
  <c r="Z78" i="26"/>
  <c r="AB78" i="26" s="1"/>
  <c r="D114" i="26"/>
  <c r="D45" i="28"/>
  <c r="L7" i="27" l="1"/>
  <c r="P26" i="27"/>
  <c r="G47" i="28"/>
  <c r="D46" i="28"/>
  <c r="E46" i="28" s="1"/>
  <c r="F45" i="28"/>
  <c r="K15" i="22"/>
  <c r="D122" i="26" l="1"/>
  <c r="O30" i="27" l="1"/>
  <c r="C4" i="24"/>
  <c r="L6" i="27"/>
  <c r="D42" i="28" l="1"/>
  <c r="F42" i="28" s="1"/>
  <c r="D43" i="28"/>
  <c r="E43" i="28" s="1"/>
  <c r="J43" i="28" l="1"/>
  <c r="Z15" i="26" l="1"/>
  <c r="AB15" i="26" s="1"/>
  <c r="Z29" i="26"/>
  <c r="AB29" i="26" s="1"/>
  <c r="Z37" i="26"/>
  <c r="AB37" i="26" s="1"/>
  <c r="Z50" i="26"/>
  <c r="AB50" i="26" s="1"/>
  <c r="AB51" i="26"/>
  <c r="Z52" i="26"/>
  <c r="AB52" i="26" s="1"/>
  <c r="Z53" i="26"/>
  <c r="AB53" i="26" s="1"/>
  <c r="Z63" i="26"/>
  <c r="AB63" i="26" s="1"/>
  <c r="Z64" i="26"/>
  <c r="AB64" i="26" s="1"/>
  <c r="Z65" i="26"/>
  <c r="Z66" i="26"/>
  <c r="AB66" i="26" s="1"/>
  <c r="Z67" i="26"/>
  <c r="AB67" i="26" s="1"/>
  <c r="Z68" i="26"/>
  <c r="AB68" i="26" s="1"/>
  <c r="Z69" i="26"/>
  <c r="AB69" i="26" s="1"/>
  <c r="Z70" i="26"/>
  <c r="AB70" i="26" s="1"/>
  <c r="Z71" i="26"/>
  <c r="AB71" i="26" s="1"/>
  <c r="Z72" i="26"/>
  <c r="AB72" i="26" s="1"/>
  <c r="Z49" i="26"/>
  <c r="AB49" i="26" s="1"/>
  <c r="Z41" i="26"/>
  <c r="AB41" i="26" s="1"/>
  <c r="Z36" i="26"/>
  <c r="AB36" i="26" s="1"/>
  <c r="Z34" i="26"/>
  <c r="AB34" i="26" s="1"/>
  <c r="Z33" i="26"/>
  <c r="AB33" i="26" s="1"/>
  <c r="Z32" i="26"/>
  <c r="AB32" i="26" s="1"/>
  <c r="Z28" i="26"/>
  <c r="AB28" i="26" s="1"/>
  <c r="Z27" i="26"/>
  <c r="AB27" i="26" s="1"/>
  <c r="Z25" i="26"/>
  <c r="AB25" i="26" s="1"/>
  <c r="Z24" i="26"/>
  <c r="AB24" i="26" s="1"/>
  <c r="Z22" i="26"/>
  <c r="AB22" i="26" s="1"/>
  <c r="Z20" i="26"/>
  <c r="AB20" i="26" s="1"/>
  <c r="Z16" i="26"/>
  <c r="AB16" i="26" s="1"/>
  <c r="Z40" i="26"/>
  <c r="AB40" i="26" s="1"/>
  <c r="Z38" i="26"/>
  <c r="AB38" i="26" s="1"/>
  <c r="Z35" i="26"/>
  <c r="AB35" i="26" s="1"/>
  <c r="Z31" i="26"/>
  <c r="AB31" i="26" s="1"/>
  <c r="Z26" i="26"/>
  <c r="AB26" i="26" s="1"/>
  <c r="Z23" i="26"/>
  <c r="AB23" i="26" s="1"/>
  <c r="Z21" i="26"/>
  <c r="AB21" i="26" s="1"/>
  <c r="Z19" i="26"/>
  <c r="AB19" i="26" s="1"/>
  <c r="Z12" i="26"/>
  <c r="AB12" i="26" s="1"/>
  <c r="AB65" i="26" l="1"/>
  <c r="P27" i="27"/>
  <c r="P30" i="27" s="1"/>
  <c r="Z39" i="26"/>
  <c r="AB39" i="26" s="1"/>
  <c r="Z14" i="26"/>
  <c r="AB14" i="26" s="1"/>
  <c r="Z8" i="26"/>
  <c r="Z30" i="26"/>
  <c r="AB30" i="26" s="1"/>
  <c r="Z13" i="26"/>
  <c r="AB13" i="26" s="1"/>
  <c r="Z9" i="26"/>
  <c r="AB9" i="26" s="1"/>
  <c r="Z92" i="26" l="1"/>
  <c r="G41" i="28"/>
  <c r="K41" i="28"/>
  <c r="P5" i="27"/>
  <c r="P6" i="27"/>
  <c r="P29" i="27" s="1"/>
  <c r="P7" i="27"/>
  <c r="P8" i="27"/>
  <c r="P9" i="27"/>
  <c r="P10" i="27"/>
  <c r="P11" i="27"/>
  <c r="P14" i="27"/>
  <c r="P15" i="27"/>
  <c r="P16" i="27"/>
  <c r="P17" i="27"/>
  <c r="P18" i="27"/>
  <c r="P4" i="27"/>
  <c r="C4" i="27" l="1"/>
  <c r="M4" i="27"/>
  <c r="E4" i="22" s="1"/>
  <c r="J41" i="28"/>
  <c r="C5" i="27" l="1"/>
  <c r="M5" i="27" s="1"/>
  <c r="E5" i="22" l="1"/>
  <c r="F5" i="22" s="1"/>
  <c r="C6" i="27"/>
  <c r="M6" i="27" s="1"/>
  <c r="E6" i="22" l="1"/>
  <c r="F6" i="22" s="1"/>
  <c r="C7" i="27"/>
  <c r="M7" i="27" s="1"/>
  <c r="E7" i="22" s="1"/>
  <c r="F7" i="22" s="1"/>
  <c r="M8" i="27" l="1"/>
  <c r="H39" i="28" l="1"/>
  <c r="J39" i="28" s="1"/>
  <c r="D39" i="28"/>
  <c r="G38" i="28"/>
  <c r="D37" i="28"/>
  <c r="J35" i="28"/>
  <c r="H35" i="28"/>
  <c r="J34" i="28"/>
  <c r="G34" i="28"/>
  <c r="I34" i="28" s="1"/>
  <c r="J32" i="28"/>
  <c r="D32" i="28" s="1"/>
  <c r="F32" i="28" s="1"/>
  <c r="D31" i="28"/>
  <c r="E31" i="28" s="1"/>
  <c r="D29" i="28"/>
  <c r="H29" i="28" s="1"/>
  <c r="D28" i="28"/>
  <c r="E28" i="28" s="1"/>
  <c r="J26" i="28"/>
  <c r="F26" i="28"/>
  <c r="D25" i="28"/>
  <c r="J25" i="28" s="1"/>
  <c r="J24" i="28"/>
  <c r="G24" i="28"/>
  <c r="D22" i="28"/>
  <c r="E22" i="28" s="1"/>
  <c r="D20" i="28"/>
  <c r="G20" i="28" s="1"/>
  <c r="J20" i="28" s="1"/>
  <c r="J19" i="28"/>
  <c r="D19" i="28"/>
  <c r="F19" i="28" s="1"/>
  <c r="D18" i="28"/>
  <c r="D16" i="28"/>
  <c r="G16" i="28" s="1"/>
  <c r="I16" i="28" s="1"/>
  <c r="J15" i="28"/>
  <c r="F15" i="28"/>
  <c r="D14" i="28"/>
  <c r="J13" i="28"/>
  <c r="G13" i="28"/>
  <c r="I13" i="28" s="1"/>
  <c r="J11" i="28"/>
  <c r="I11" i="28"/>
  <c r="G11" i="28"/>
  <c r="J9" i="28"/>
  <c r="G9" i="28"/>
  <c r="I9" i="28" s="1"/>
  <c r="J8" i="28"/>
  <c r="F8" i="28"/>
  <c r="I8" i="28" s="1"/>
  <c r="J7" i="28"/>
  <c r="G7" i="28"/>
  <c r="K11" i="28" l="1"/>
  <c r="J16" i="28"/>
  <c r="K13" i="28"/>
  <c r="I15" i="28"/>
  <c r="K37" i="28"/>
  <c r="J37" i="28"/>
  <c r="H14" i="28"/>
  <c r="K34" i="28"/>
  <c r="J14" i="28"/>
  <c r="K28" i="28"/>
  <c r="K18" i="28"/>
  <c r="E3" i="28"/>
  <c r="F3" i="28" s="1"/>
  <c r="I7" i="28"/>
  <c r="K22" i="28"/>
  <c r="K31" i="28"/>
  <c r="K24" i="28"/>
  <c r="F37" i="28"/>
  <c r="E2" i="28" s="1"/>
  <c r="F2" i="28" s="1"/>
  <c r="H25" i="28"/>
  <c r="E4" i="28" s="1"/>
  <c r="F4" i="28" s="1"/>
  <c r="E18" i="28"/>
  <c r="E1" i="28" l="1"/>
  <c r="I14" i="28"/>
  <c r="K7" i="28"/>
  <c r="F1" i="28"/>
  <c r="G5" i="28" s="1"/>
  <c r="E5" i="28"/>
  <c r="F5" i="28" s="1"/>
  <c r="D21" i="22" l="1"/>
  <c r="AB8" i="26" l="1"/>
  <c r="D4" i="26" l="1"/>
  <c r="D124" i="26" s="1"/>
  <c r="F4" i="26" l="1"/>
  <c r="M9" i="27"/>
  <c r="D5" i="24" l="1"/>
  <c r="D6" i="24"/>
  <c r="D7" i="24"/>
  <c r="D8" i="24"/>
  <c r="D9" i="24"/>
  <c r="D10" i="24"/>
  <c r="D12" i="24"/>
  <c r="D13" i="24"/>
  <c r="D14" i="24"/>
  <c r="D15" i="24"/>
  <c r="D4" i="24"/>
  <c r="D9" i="22" l="1"/>
  <c r="C13" i="22" l="1"/>
  <c r="I13" i="22"/>
  <c r="I18" i="22" s="1"/>
  <c r="C18" i="22"/>
  <c r="K13" i="22" l="1"/>
  <c r="E18" i="22"/>
  <c r="D18" i="22"/>
  <c r="J19" i="22" l="1"/>
  <c r="C16" i="24" l="1"/>
  <c r="C18" i="24" s="1"/>
  <c r="D11" i="24"/>
  <c r="D16" i="24" s="1"/>
  <c r="D18" i="24" s="1"/>
  <c r="D22" i="22" l="1"/>
  <c r="H5" i="22"/>
  <c r="D23" i="22" l="1"/>
  <c r="H6" i="22"/>
  <c r="M10" i="27" l="1"/>
  <c r="O31" i="27"/>
  <c r="E9" i="22" l="1"/>
  <c r="B16" i="22" l="1"/>
  <c r="F4" i="22"/>
  <c r="F9" i="22" s="1"/>
  <c r="H4" i="22" l="1"/>
  <c r="B17" i="22"/>
  <c r="B18" i="22" l="1"/>
  <c r="C19" i="22" s="1"/>
  <c r="K12" i="22" l="1"/>
  <c r="G18" i="22"/>
  <c r="K16" i="22" l="1"/>
  <c r="H7" i="22" l="1"/>
  <c r="D24" i="22"/>
  <c r="D26" i="22" s="1"/>
  <c r="C26" i="22"/>
  <c r="K17" i="22" l="1"/>
  <c r="K19" i="22" s="1"/>
  <c r="H18" i="22"/>
  <c r="H19" i="22" s="1"/>
  <c r="G26" i="22"/>
  <c r="G29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Andrisa Schnell</author>
  </authors>
  <commentList>
    <comment ref="D43" authorId="0" shapeId="0" xr:uid="{BCDC6F4E-A8BA-4D81-AF4A-B66F34DBF7E6}">
      <text>
        <r>
          <rPr>
            <b/>
            <sz val="9"/>
            <color indexed="81"/>
            <rFont val="Tahoma"/>
            <family val="2"/>
          </rPr>
          <t>Andrisa Schnell:</t>
        </r>
        <r>
          <rPr>
            <sz val="9"/>
            <color indexed="81"/>
            <rFont val="Tahoma"/>
            <family val="2"/>
          </rPr>
          <t xml:space="preserve">
Pay to Landco and Andrisa towards Landco Petty cash</t>
        </r>
      </text>
    </comment>
  </commentList>
</comments>
</file>

<file path=xl/sharedStrings.xml><?xml version="1.0" encoding="utf-8"?>
<sst xmlns="http://schemas.openxmlformats.org/spreadsheetml/2006/main" count="384" uniqueCount="187">
  <si>
    <t>LANDCO INCOME</t>
  </si>
  <si>
    <t>DATE</t>
  </si>
  <si>
    <t>NAME</t>
  </si>
  <si>
    <t>ACCOMODATION</t>
  </si>
  <si>
    <t>ALEX</t>
  </si>
  <si>
    <t>BANK</t>
  </si>
  <si>
    <t>WARREN STEAD</t>
  </si>
  <si>
    <t>H1</t>
  </si>
  <si>
    <t>H2</t>
  </si>
  <si>
    <t>H3</t>
  </si>
  <si>
    <t>H4</t>
  </si>
  <si>
    <t>Total</t>
  </si>
  <si>
    <t>PAYMENTS</t>
  </si>
  <si>
    <t>BALANCE</t>
  </si>
  <si>
    <t>CASH</t>
  </si>
  <si>
    <t>HOUSE</t>
  </si>
  <si>
    <t>WARREN PAY TRACY SALARY AND RECRUITMENT</t>
  </si>
  <si>
    <t>DOLLARS</t>
  </si>
  <si>
    <t>TOTAL MTS</t>
  </si>
  <si>
    <t>TOTAL PER MONTH</t>
  </si>
  <si>
    <t>ADD INCOME</t>
  </si>
  <si>
    <t>SHAREHOLDERS</t>
  </si>
  <si>
    <t>PETTY CASH</t>
  </si>
  <si>
    <t>OPEN BALANCE</t>
  </si>
  <si>
    <t>INCOME</t>
  </si>
  <si>
    <t>TAFY RECEIVED FROM ROBIN</t>
  </si>
  <si>
    <t>BRENDON 7 DAYS @80</t>
  </si>
  <si>
    <t>KEIVIN PAY TO BANK</t>
  </si>
  <si>
    <t>TAFY RECEIVED FROM AANGIE</t>
  </si>
  <si>
    <t>WARREN COHEN INVESTMENT</t>
  </si>
  <si>
    <t>MONTH</t>
  </si>
  <si>
    <t>EXPENSES</t>
  </si>
  <si>
    <t>AVERAGE</t>
  </si>
  <si>
    <t>CASA LUZ</t>
  </si>
  <si>
    <t>CASA CAJU</t>
  </si>
  <si>
    <t>CASA COCO</t>
  </si>
  <si>
    <t>TAFY RECEIVED FROM ALEX</t>
  </si>
  <si>
    <t>ARON ACCOMMODATION IN H4</t>
  </si>
  <si>
    <t>CREDIT IVA H3 - KEITH &amp; SUE X 8 NIGHTS @ 75</t>
  </si>
  <si>
    <t>CREDIT IVA H1 - LESLEY X 6 NIGHTS</t>
  </si>
  <si>
    <t>CASA AURORA</t>
  </si>
  <si>
    <t>LANDCO EXPENSES</t>
  </si>
  <si>
    <t>ALAIN WARREN</t>
  </si>
  <si>
    <t>LANDCO BANK EXPENSES</t>
  </si>
  <si>
    <t>BANK PAYMENTS</t>
  </si>
  <si>
    <t>CASH PAYMENTS</t>
  </si>
  <si>
    <t>TOTAL</t>
  </si>
  <si>
    <t>SHARED EXPENSES</t>
  </si>
  <si>
    <t>SUPPLER</t>
  </si>
  <si>
    <t>DISCRIPTION</t>
  </si>
  <si>
    <t>LC SALARIES &amp; WAGES</t>
  </si>
  <si>
    <t>CASUAL WORKERS AND FOOD ALLOWANCE</t>
  </si>
  <si>
    <t>ADVANCE SALARIES INCLUDED IN TOTAL SALRIES</t>
  </si>
  <si>
    <t>OFFICE AND BANK CHARGES</t>
  </si>
  <si>
    <t>ADMIN CHARGES (BDO &amp; ANDRISA )</t>
  </si>
  <si>
    <t>GAS AND ELECTRISITY</t>
  </si>
  <si>
    <t>MAINTENANCE GENERAL</t>
  </si>
  <si>
    <t>MAINTENANCE GARDEN &amp; POOL</t>
  </si>
  <si>
    <t>SMALL TOOLS</t>
  </si>
  <si>
    <t>MAINTENANCE VEHICLES</t>
  </si>
  <si>
    <t>INSURANCE &amp; LICENSE</t>
  </si>
  <si>
    <t>DIESEL AND PETROL</t>
  </si>
  <si>
    <t>HOUSE KEEPING</t>
  </si>
  <si>
    <t>MARINTINE &amp; MUNICIPAL TAXES IPRA &amp;TAE</t>
  </si>
  <si>
    <t>EXPENSES LUZ</t>
  </si>
  <si>
    <t>EXPENSES AURORA</t>
  </si>
  <si>
    <t>EXPENSES CAJU</t>
  </si>
  <si>
    <t>EXPENSES COCO</t>
  </si>
  <si>
    <t>SUSPENCE</t>
  </si>
  <si>
    <t>Bank expenses</t>
  </si>
  <si>
    <t>SALARIES &amp; WAGES</t>
  </si>
  <si>
    <t>ADMIN CHARGES (BDO &amp; ANDRISA ENS )</t>
  </si>
  <si>
    <t>LANDCO BANK EXPENSES PER HOUSE</t>
  </si>
  <si>
    <t>SHARED</t>
  </si>
  <si>
    <t>WARREN</t>
  </si>
  <si>
    <t xml:space="preserve">WARREN STEAD </t>
  </si>
  <si>
    <t>SUSPENSE</t>
  </si>
  <si>
    <t>CASUAL WORKERS AND ALLOWANCE</t>
  </si>
  <si>
    <t xml:space="preserve">SALARIES </t>
  </si>
  <si>
    <t>TAFY</t>
  </si>
  <si>
    <t>BRENDON</t>
  </si>
  <si>
    <t>BANK/PRE-PAID &amp; $</t>
  </si>
  <si>
    <t>ALEX TRANSFER TO MONIQUE</t>
  </si>
  <si>
    <t>REVERSE ALEX TRANSFER TO ALEX ENVELOPE</t>
  </si>
  <si>
    <t>EQUIPMENT</t>
  </si>
  <si>
    <t>IRPS</t>
  </si>
  <si>
    <t>INSS</t>
  </si>
  <si>
    <t xml:space="preserve">EQUIPMENT PRESSURE PUMP X 2 </t>
  </si>
  <si>
    <t>TOTAL PERSONAL</t>
  </si>
  <si>
    <t>PETROL  &amp; BATTERY</t>
  </si>
  <si>
    <t>TAFY RE ROBIN</t>
  </si>
  <si>
    <t>WARREN INVESTMENT DOLLAR ACCOUNT</t>
  </si>
  <si>
    <t>COMMUNITY</t>
  </si>
  <si>
    <t>COMMUNITY DONATION</t>
  </si>
  <si>
    <t xml:space="preserve">TAFY </t>
  </si>
  <si>
    <t>WARREN STEAD DEP BANK</t>
  </si>
  <si>
    <t>STARLINK FOR FEB</t>
  </si>
  <si>
    <t>BOAT SKIPPERS CLEANING</t>
  </si>
  <si>
    <t>SHAREHOLDERS ACCOUNTS END  MARCH</t>
  </si>
  <si>
    <t>TAFY ELIANA</t>
  </si>
  <si>
    <t>JELSON</t>
  </si>
  <si>
    <t xml:space="preserve">BANK CHARGES </t>
  </si>
  <si>
    <t>BANK CHARGES</t>
  </si>
  <si>
    <t>EMILIO ADVANCE</t>
  </si>
  <si>
    <t>TAFY ACCOMMODATION</t>
  </si>
  <si>
    <t>SALES</t>
  </si>
  <si>
    <t>CALDERON ADVANCE</t>
  </si>
  <si>
    <t>VARNISH</t>
  </si>
  <si>
    <t>GENERAL EXPENSES</t>
  </si>
  <si>
    <t>DIESEL MMR0998</t>
  </si>
  <si>
    <t>MOTOR VEHICLE LANDCO</t>
  </si>
  <si>
    <t>TOILET PAPER</t>
  </si>
  <si>
    <t>BANK CHARGES SINDICATO BEB</t>
  </si>
  <si>
    <t>ELECTRICITY</t>
  </si>
  <si>
    <t>GAS &amp; ELECTRISITY</t>
  </si>
  <si>
    <t>IRPS DIFFERENCE</t>
  </si>
  <si>
    <t>CHLOOR</t>
  </si>
  <si>
    <t>SWIMMING POOL CHEMICALS</t>
  </si>
  <si>
    <t>PLASTIC DE LUXO</t>
  </si>
  <si>
    <t>CARTO DEBITO</t>
  </si>
  <si>
    <t>ACCOUNTING</t>
  </si>
  <si>
    <t>ADMIN AND ACCOUNTING</t>
  </si>
  <si>
    <t>INSURANCE</t>
  </si>
  <si>
    <t>BALDE PARA CONSTRUTOR</t>
  </si>
  <si>
    <t>CLEANING MATERIAL</t>
  </si>
  <si>
    <t>BATTERY PRADO H4</t>
  </si>
  <si>
    <t>MOTOR VEHICLES EXPENSES</t>
  </si>
  <si>
    <t>SEALER H3</t>
  </si>
  <si>
    <t>TRANSFER DOLLARS TO METICAIS</t>
  </si>
  <si>
    <t>SALARY MARCH</t>
  </si>
  <si>
    <t>ADMIN FEE</t>
  </si>
  <si>
    <t>ACCOUNTING AND ADMIN</t>
  </si>
  <si>
    <t>ACCOMMODATION ADVANCE APRIL</t>
  </si>
  <si>
    <t>LIGHTS OUTSIDE</t>
  </si>
  <si>
    <t>GENERAL MAITENANCE</t>
  </si>
  <si>
    <t>SINDICATO</t>
  </si>
  <si>
    <t xml:space="preserve">SOAP, JAVEL </t>
  </si>
  <si>
    <t>IPRA 2026</t>
  </si>
  <si>
    <t>LAND TAX</t>
  </si>
  <si>
    <t xml:space="preserve">TAE </t>
  </si>
  <si>
    <t>DIESEL GENERATOR</t>
  </si>
  <si>
    <t>ELECTRISITY</t>
  </si>
  <si>
    <t>Q20 OIL ANTI RUST</t>
  </si>
  <si>
    <t>GENERAL MAINTRENANCE</t>
  </si>
  <si>
    <t>DIESEL TOYOTA AKL491MP</t>
  </si>
  <si>
    <t>DIESEL PRADO HOUSE 4</t>
  </si>
  <si>
    <t>INSURANCE VEHICLES</t>
  </si>
  <si>
    <t>WORKMENS COMPENSATIO</t>
  </si>
  <si>
    <t>GAS FEBRUARY</t>
  </si>
  <si>
    <t>GLOBES</t>
  </si>
  <si>
    <t>\</t>
  </si>
  <si>
    <t xml:space="preserve">IMPRA </t>
  </si>
  <si>
    <t>INSURANCE JETSKI</t>
  </si>
  <si>
    <t>INSURANCE TRAILER</t>
  </si>
  <si>
    <t>COLLECT BUDGIE AT AIRPORT 25 FEB</t>
  </si>
  <si>
    <t>DEPOSIT IN0095</t>
  </si>
  <si>
    <t>HANDY ANDY, SUNLIGHT DOVE SOAP GUEST</t>
  </si>
  <si>
    <t>FIX INTERNET OF CASA CAJU</t>
  </si>
  <si>
    <t>Geraldo rubish Landco</t>
  </si>
  <si>
    <t>2 X ROAD CERTIFICATES @ 3000 EACH</t>
  </si>
  <si>
    <t>FOOD WORKERS</t>
  </si>
  <si>
    <t>CASUALS GARDEN ABLUTION PLUS PLANTS</t>
  </si>
  <si>
    <t>PAVERS ABLUTION BLOCK</t>
  </si>
  <si>
    <t>INSPECTION FEE MARINTINE BOATS</t>
  </si>
  <si>
    <t>PETROL ALLOWANCE</t>
  </si>
  <si>
    <t>PUBLIC LIABILITY</t>
  </si>
  <si>
    <t>ITRANSMAR LICENSE ROCKSTEADY</t>
  </si>
  <si>
    <t>INSURANCE &amp; LICENSE VEHICLES</t>
  </si>
  <si>
    <t>INSURANCE PUBLIC LIBILITY</t>
  </si>
  <si>
    <t>WORKMENS COMPENSATION</t>
  </si>
  <si>
    <t>WARREN COHEN BOUGHT 4 TABLES 4 DUSTBINS</t>
  </si>
  <si>
    <t>HOUSE EXPENSES</t>
  </si>
  <si>
    <t>TABELS AND DUSTBIN</t>
  </si>
  <si>
    <t>SEALER</t>
  </si>
  <si>
    <t>MAINTENANCE FIX WIFI</t>
  </si>
  <si>
    <t>BOAT LICENSE</t>
  </si>
  <si>
    <t xml:space="preserve">BANK MTS </t>
  </si>
  <si>
    <t>NEGU</t>
  </si>
  <si>
    <t>PETTY CASH CHEQUE</t>
  </si>
  <si>
    <t>Bank Charges Dollar bank</t>
  </si>
  <si>
    <t>DOLLAR BANK</t>
  </si>
  <si>
    <t>END MARCH</t>
  </si>
  <si>
    <t>PORTADOR MAPUTO</t>
  </si>
  <si>
    <t>BALANCE END MARCH</t>
  </si>
  <si>
    <t>INCOME APRIL</t>
  </si>
  <si>
    <t>EXPENSES APRIL</t>
  </si>
  <si>
    <t>TOTAL END 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</si>
</sst>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-* #,##0.00_-;\-* #,##0.00_-;_-* &quot;-&quot;??_-;_-@_-"/>
    <numFmt numFmtId="164" formatCode="_(* #,##0.00_);_(* \(#,##0.00\);_(* &quot;-&quot;??_);_(@_)"/>
    <numFmt numFmtId="165" formatCode="_(* #,##0.00_);_(* \(#,##0.00\);_(* \-??_);_(@_)"/>
    <numFmt numFmtId="166" formatCode="_ * #,##0.00_ ;_ * \-#,##0.00_ ;_ * \-??_ ;_ @_ "/>
    <numFmt numFmtId="167" formatCode="_-* #,##0.00\ _€_-;\-* #,##0.00\ _€_-;_-* \-??\ _€_-;_-@_-"/>
    <numFmt numFmtId="168" formatCode="_-* #,##0.00_-;\-* #,##0.00_-;_-* \-??_-;_-@_-"/>
    <numFmt numFmtId="169" formatCode="_-* #,##0.00_-;\-* #,##0.00_-;_-* \-??_-;_-@"/>
    <numFmt numFmtId="170" formatCode="[$-3009]dd\-mmm\-yy"/>
    <numFmt numFmtId="171" formatCode="#,##0.00_ ;\-#,##0.00\ "/>
    <numFmt numFmtId="172" formatCode="[$MZN]\ #,##0.00"/>
    <numFmt numFmtId="173" formatCode="&quot;$&quot;#,##0.00"/>
    <numFmt numFmtId="174" formatCode="[$-409]mmm\-yy;@"/>
    <numFmt numFmtId="175" formatCode="[$-409]dd\-mmm\-yy;@"/>
    <numFmt numFmtId="176" formatCode="[$-409]d\-mmm\-yy"/>
    <numFmt numFmtId="177" formatCode="[$-409]d\-mmm;@"/>
    <numFmt numFmtId="178" formatCode="_-* #,##0.00_-;\-* #,##0.00_-;_-* &quot;-&quot;??_-;_-@"/>
    <numFmt numFmtId="179" formatCode="#,##0.0000000000000"/>
    <numFmt numFmtId="180" formatCode="[$$-409]#,##0.00"/>
  </numFmts>
  <fonts count="77" x14ac:knownFonts="1">
    <font>
      <sz val="11"/>
      <color rgb="FF000000"/>
      <name val="Calibri"/>
      <family val="2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0"/>
      <name val="Gill Sans MT"/>
      <family val="2"/>
      <charset val="1"/>
    </font>
    <font>
      <b/>
      <u/>
      <sz val="24"/>
      <name val="Gill Sans MT"/>
      <family val="2"/>
      <charset val="1"/>
    </font>
    <font>
      <b/>
      <u/>
      <sz val="10"/>
      <name val="Gill Sans MT"/>
      <family val="2"/>
      <charset val="1"/>
    </font>
    <font>
      <b/>
      <sz val="10"/>
      <name val="Gill Sans MT"/>
      <family val="2"/>
      <charset val="1"/>
    </font>
    <font>
      <sz val="11"/>
      <color rgb="FF000000"/>
      <name val="Gill Sans MT"/>
      <family val="2"/>
      <charset val="1"/>
    </font>
    <font>
      <b/>
      <u/>
      <sz val="18"/>
      <color rgb="FF000000"/>
      <name val="Arial"/>
      <family val="2"/>
      <charset val="1"/>
    </font>
    <font>
      <sz val="10"/>
      <color rgb="FF000000"/>
      <name val="Gill Sans MT"/>
      <family val="2"/>
      <charset val="1"/>
    </font>
    <font>
      <b/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name val="Calibri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Gill Sans MT"/>
      <family val="2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sz val="11"/>
      <color theme="8" tint="0.39997558519241921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3" tint="0.3999755851924192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Gill Sans MT"/>
      <family val="2"/>
      <charset val="1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10"/>
      <color rgb="FF000000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ptos Display"/>
      <family val="2"/>
    </font>
    <font>
      <sz val="10"/>
      <color rgb="FF000000"/>
      <name val="Aptos Display"/>
      <family val="2"/>
    </font>
    <font>
      <sz val="10"/>
      <color theme="1"/>
      <name val="Aptos Display"/>
      <family val="2"/>
    </font>
    <font>
      <b/>
      <sz val="10"/>
      <color rgb="FF000000"/>
      <name val="Aptos Display"/>
      <family val="2"/>
    </font>
    <font>
      <sz val="10"/>
      <name val="Aptos Display"/>
      <family val="2"/>
    </font>
    <font>
      <sz val="10"/>
      <color rgb="FF000000"/>
      <name val="Calibri"/>
      <family val="2"/>
    </font>
    <font>
      <sz val="10"/>
      <name val="Aptos"/>
      <family val="2"/>
    </font>
    <font>
      <sz val="11"/>
      <name val="Aptos"/>
      <family val="2"/>
    </font>
    <font>
      <sz val="11"/>
      <name val="Calibri"/>
      <family val="2"/>
    </font>
    <font>
      <sz val="10"/>
      <color theme="1"/>
      <name val="Aptos Display"/>
      <family val="2"/>
      <scheme val="major"/>
    </font>
    <font>
      <sz val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rgb="FF000000"/>
      <name val="Calibri"/>
      <family val="2"/>
      <charset val="1"/>
    </font>
    <font>
      <sz val="10"/>
      <color rgb="FF000000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name val="Calibri"/>
      <family val="2"/>
    </font>
    <font>
      <sz val="10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FFFFCC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7">
    <border>
      <left/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theme="8" tint="-0.24994659260841701"/>
      </left>
      <right/>
      <top style="medium">
        <color theme="8" tint="-0.24994659260841701"/>
      </top>
      <bottom/>
      <diagonal/>
    </border>
    <border>
      <left/>
      <right style="medium">
        <color theme="8" tint="-0.24994659260841701"/>
      </right>
      <top style="medium">
        <color theme="8" tint="-0.24994659260841701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theme="8" tint="-0.24994659260841701"/>
      </left>
      <right/>
      <top/>
      <bottom/>
      <diagonal/>
    </border>
    <border>
      <left/>
      <right style="medium">
        <color theme="8" tint="-0.24994659260841701"/>
      </right>
      <top/>
      <bottom/>
      <diagonal/>
    </border>
    <border>
      <left style="medium">
        <color rgb="FFFF0000"/>
      </left>
      <right/>
      <top/>
      <bottom style="dotted">
        <color rgb="FF000000"/>
      </bottom>
      <diagonal/>
    </border>
    <border>
      <left/>
      <right style="medium">
        <color theme="8" tint="-0.24994659260841701"/>
      </right>
      <top/>
      <bottom style="dotted">
        <color rgb="FF000000"/>
      </bottom>
      <diagonal/>
    </border>
    <border>
      <left style="medium">
        <color theme="8" tint="-0.24994659260841701"/>
      </left>
      <right/>
      <top/>
      <bottom style="thin">
        <color indexed="64"/>
      </bottom>
      <diagonal/>
    </border>
    <border>
      <left/>
      <right style="medium">
        <color theme="8" tint="-0.24994659260841701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rgb="FFFF0000"/>
      </right>
      <top style="thin">
        <color indexed="64"/>
      </top>
      <bottom style="medium">
        <color indexed="64"/>
      </bottom>
      <diagonal/>
    </border>
    <border>
      <left style="medium">
        <color theme="8" tint="-0.24994659260841701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4.9989318521683403E-2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 style="double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</borders>
  <cellStyleXfs count="47">
    <xf numFmtId="0" fontId="0" fillId="0" borderId="0"/>
    <xf numFmtId="165" fontId="28" fillId="0" borderId="0" applyBorder="0" applyProtection="0"/>
    <xf numFmtId="166" fontId="28" fillId="0" borderId="0" applyBorder="0" applyProtection="0"/>
    <xf numFmtId="167" fontId="28" fillId="0" borderId="0" applyBorder="0" applyProtection="0"/>
    <xf numFmtId="165" fontId="28" fillId="0" borderId="0" applyBorder="0" applyProtection="0"/>
    <xf numFmtId="167" fontId="28" fillId="0" borderId="0" applyBorder="0" applyProtection="0"/>
    <xf numFmtId="168" fontId="28" fillId="0" borderId="0" applyBorder="0" applyProtection="0"/>
    <xf numFmtId="167" fontId="28" fillId="0" borderId="0" applyBorder="0" applyProtection="0"/>
    <xf numFmtId="167" fontId="28" fillId="0" borderId="0" applyBorder="0" applyProtection="0"/>
    <xf numFmtId="165" fontId="28" fillId="0" borderId="0" applyBorder="0" applyProtection="0"/>
    <xf numFmtId="165" fontId="28" fillId="0" borderId="0" applyBorder="0" applyProtection="0"/>
    <xf numFmtId="0" fontId="17" fillId="0" borderId="0"/>
    <xf numFmtId="0" fontId="17" fillId="0" borderId="0"/>
    <xf numFmtId="0" fontId="28" fillId="0" borderId="0"/>
    <xf numFmtId="0" fontId="17" fillId="0" borderId="0"/>
    <xf numFmtId="0" fontId="28" fillId="0" borderId="0"/>
    <xf numFmtId="0" fontId="18" fillId="0" borderId="0"/>
    <xf numFmtId="0" fontId="17" fillId="0" borderId="0"/>
    <xf numFmtId="0" fontId="17" fillId="0" borderId="0"/>
    <xf numFmtId="0" fontId="18" fillId="0" borderId="0"/>
    <xf numFmtId="0" fontId="19" fillId="0" borderId="0"/>
    <xf numFmtId="0" fontId="18" fillId="0" borderId="0"/>
    <xf numFmtId="9" fontId="28" fillId="0" borderId="0" applyBorder="0" applyProtection="0"/>
    <xf numFmtId="0" fontId="30" fillId="0" borderId="0"/>
    <xf numFmtId="0" fontId="16" fillId="0" borderId="0"/>
    <xf numFmtId="0" fontId="35" fillId="0" borderId="0"/>
    <xf numFmtId="0" fontId="15" fillId="0" borderId="0"/>
    <xf numFmtId="0" fontId="34" fillId="0" borderId="0"/>
    <xf numFmtId="165" fontId="34" fillId="0" borderId="0" applyBorder="0" applyAlignment="0" applyProtection="0"/>
    <xf numFmtId="165" fontId="34" fillId="0" borderId="0" applyBorder="0" applyAlignment="0" applyProtection="0"/>
    <xf numFmtId="0" fontId="34" fillId="0" borderId="0"/>
    <xf numFmtId="0" fontId="36" fillId="0" borderId="0"/>
    <xf numFmtId="0" fontId="37" fillId="0" borderId="0"/>
    <xf numFmtId="0" fontId="14" fillId="0" borderId="0"/>
    <xf numFmtId="0" fontId="38" fillId="0" borderId="0"/>
    <xf numFmtId="168" fontId="34" fillId="0" borderId="0" applyBorder="0" applyAlignment="0" applyProtection="0"/>
    <xf numFmtId="0" fontId="13" fillId="0" borderId="0"/>
    <xf numFmtId="0" fontId="40" fillId="0" borderId="0"/>
    <xf numFmtId="0" fontId="12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4" fillId="0" borderId="0"/>
  </cellStyleXfs>
  <cellXfs count="314">
    <xf numFmtId="0" fontId="0" fillId="0" borderId="0" xfId="0"/>
    <xf numFmtId="0" fontId="20" fillId="0" borderId="0" xfId="0" applyFont="1"/>
    <xf numFmtId="4" fontId="20" fillId="0" borderId="0" xfId="0" applyNumberFormat="1" applyFont="1"/>
    <xf numFmtId="0" fontId="21" fillId="0" borderId="0" xfId="0" applyFont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4" fontId="22" fillId="0" borderId="0" xfId="0" applyNumberFormat="1" applyFont="1"/>
    <xf numFmtId="0" fontId="22" fillId="2" borderId="0" xfId="0" applyFont="1" applyFill="1"/>
    <xf numFmtId="0" fontId="20" fillId="2" borderId="0" xfId="0" applyFont="1" applyFill="1"/>
    <xf numFmtId="0" fontId="23" fillId="2" borderId="0" xfId="0" applyFont="1" applyFill="1" applyAlignment="1">
      <alignment horizontal="left"/>
    </xf>
    <xf numFmtId="0" fontId="23" fillId="2" borderId="0" xfId="0" applyFont="1" applyFill="1"/>
    <xf numFmtId="0" fontId="23" fillId="0" borderId="0" xfId="0" applyFont="1" applyAlignment="1">
      <alignment horizontal="left"/>
    </xf>
    <xf numFmtId="0" fontId="23" fillId="2" borderId="0" xfId="0" applyFont="1" applyFill="1" applyAlignment="1">
      <alignment horizontal="center"/>
    </xf>
    <xf numFmtId="4" fontId="23" fillId="0" borderId="0" xfId="0" applyNumberFormat="1" applyFont="1"/>
    <xf numFmtId="4" fontId="23" fillId="0" borderId="1" xfId="0" applyNumberFormat="1" applyFont="1" applyBorder="1"/>
    <xf numFmtId="169" fontId="23" fillId="2" borderId="0" xfId="0" applyNumberFormat="1" applyFont="1" applyFill="1"/>
    <xf numFmtId="0" fontId="23" fillId="3" borderId="2" xfId="0" applyFont="1" applyFill="1" applyBorder="1" applyAlignment="1">
      <alignment horizontal="center"/>
    </xf>
    <xf numFmtId="4" fontId="23" fillId="3" borderId="2" xfId="0" applyNumberFormat="1" applyFont="1" applyFill="1" applyBorder="1"/>
    <xf numFmtId="0" fontId="23" fillId="3" borderId="2" xfId="0" applyFont="1" applyFill="1" applyBorder="1"/>
    <xf numFmtId="170" fontId="20" fillId="2" borderId="2" xfId="0" applyNumberFormat="1" applyFont="1" applyFill="1" applyBorder="1" applyAlignment="1">
      <alignment horizontal="center"/>
    </xf>
    <xf numFmtId="0" fontId="20" fillId="2" borderId="2" xfId="0" applyFont="1" applyFill="1" applyBorder="1" applyAlignment="1">
      <alignment horizontal="center"/>
    </xf>
    <xf numFmtId="0" fontId="20" fillId="0" borderId="2" xfId="0" applyFont="1" applyBorder="1"/>
    <xf numFmtId="4" fontId="20" fillId="0" borderId="2" xfId="0" applyNumberFormat="1" applyFont="1" applyBorder="1"/>
    <xf numFmtId="0" fontId="20" fillId="2" borderId="3" xfId="0" applyFont="1" applyFill="1" applyBorder="1"/>
    <xf numFmtId="4" fontId="20" fillId="2" borderId="3" xfId="0" applyNumberFormat="1" applyFont="1" applyFill="1" applyBorder="1"/>
    <xf numFmtId="169" fontId="20" fillId="2" borderId="3" xfId="0" applyNumberFormat="1" applyFont="1" applyFill="1" applyBorder="1"/>
    <xf numFmtId="165" fontId="20" fillId="0" borderId="3" xfId="0" applyNumberFormat="1" applyFont="1" applyBorder="1"/>
    <xf numFmtId="0" fontId="23" fillId="0" borderId="0" xfId="0" applyFont="1"/>
    <xf numFmtId="172" fontId="0" fillId="0" borderId="0" xfId="0" applyNumberFormat="1"/>
    <xf numFmtId="0" fontId="24" fillId="0" borderId="0" xfId="0" applyFont="1"/>
    <xf numFmtId="169" fontId="18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4" fontId="0" fillId="0" borderId="0" xfId="0" applyNumberFormat="1"/>
    <xf numFmtId="0" fontId="26" fillId="0" borderId="0" xfId="0" applyFont="1" applyAlignment="1">
      <alignment horizontal="center"/>
    </xf>
    <xf numFmtId="1" fontId="21" fillId="0" borderId="0" xfId="0" applyNumberFormat="1" applyFont="1"/>
    <xf numFmtId="1" fontId="20" fillId="0" borderId="0" xfId="0" applyNumberFormat="1" applyFont="1" applyAlignment="1">
      <alignment horizontal="left"/>
    </xf>
    <xf numFmtId="1" fontId="20" fillId="2" borderId="0" xfId="0" applyNumberFormat="1" applyFont="1" applyFill="1"/>
    <xf numFmtId="1" fontId="23" fillId="0" borderId="0" xfId="0" applyNumberFormat="1" applyFont="1" applyAlignment="1">
      <alignment horizontal="left"/>
    </xf>
    <xf numFmtId="1" fontId="23" fillId="3" borderId="2" xfId="0" applyNumberFormat="1" applyFont="1" applyFill="1" applyBorder="1" applyAlignment="1">
      <alignment horizontal="center"/>
    </xf>
    <xf numFmtId="1" fontId="20" fillId="2" borderId="2" xfId="0" applyNumberFormat="1" applyFont="1" applyFill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/>
    <xf numFmtId="170" fontId="20" fillId="6" borderId="2" xfId="0" applyNumberFormat="1" applyFont="1" applyFill="1" applyBorder="1" applyAlignment="1">
      <alignment horizontal="center"/>
    </xf>
    <xf numFmtId="0" fontId="20" fillId="5" borderId="2" xfId="0" applyFont="1" applyFill="1" applyBorder="1"/>
    <xf numFmtId="4" fontId="20" fillId="5" borderId="2" xfId="0" applyNumberFormat="1" applyFont="1" applyFill="1" applyBorder="1"/>
    <xf numFmtId="4" fontId="20" fillId="6" borderId="3" xfId="0" applyNumberFormat="1" applyFont="1" applyFill="1" applyBorder="1"/>
    <xf numFmtId="169" fontId="20" fillId="6" borderId="3" xfId="0" applyNumberFormat="1" applyFont="1" applyFill="1" applyBorder="1"/>
    <xf numFmtId="165" fontId="20" fillId="5" borderId="3" xfId="0" applyNumberFormat="1" applyFont="1" applyFill="1" applyBorder="1"/>
    <xf numFmtId="170" fontId="20" fillId="2" borderId="4" xfId="0" applyNumberFormat="1" applyFont="1" applyFill="1" applyBorder="1" applyAlignment="1">
      <alignment horizontal="center"/>
    </xf>
    <xf numFmtId="0" fontId="33" fillId="0" borderId="6" xfId="0" applyFont="1" applyBorder="1"/>
    <xf numFmtId="1" fontId="20" fillId="6" borderId="2" xfId="0" applyNumberFormat="1" applyFont="1" applyFill="1" applyBorder="1" applyAlignment="1">
      <alignment horizontal="center"/>
    </xf>
    <xf numFmtId="0" fontId="33" fillId="5" borderId="2" xfId="0" applyFont="1" applyFill="1" applyBorder="1"/>
    <xf numFmtId="0" fontId="25" fillId="0" borderId="0" xfId="0" applyFont="1"/>
    <xf numFmtId="173" fontId="20" fillId="0" borderId="0" xfId="0" applyNumberFormat="1" applyFont="1"/>
    <xf numFmtId="173" fontId="23" fillId="3" borderId="4" xfId="0" applyNumberFormat="1" applyFont="1" applyFill="1" applyBorder="1"/>
    <xf numFmtId="173" fontId="20" fillId="0" borderId="2" xfId="0" applyNumberFormat="1" applyFont="1" applyBorder="1"/>
    <xf numFmtId="173" fontId="20" fillId="5" borderId="2" xfId="0" applyNumberFormat="1" applyFont="1" applyFill="1" applyBorder="1"/>
    <xf numFmtId="165" fontId="20" fillId="0" borderId="2" xfId="0" applyNumberFormat="1" applyFont="1" applyBorder="1"/>
    <xf numFmtId="0" fontId="39" fillId="5" borderId="0" xfId="0" applyFont="1" applyFill="1"/>
    <xf numFmtId="0" fontId="10" fillId="0" borderId="0" xfId="41"/>
    <xf numFmtId="0" fontId="10" fillId="4" borderId="0" xfId="41" applyFill="1"/>
    <xf numFmtId="0" fontId="41" fillId="0" borderId="0" xfId="41" applyFont="1"/>
    <xf numFmtId="4" fontId="10" fillId="0" borderId="0" xfId="41" applyNumberFormat="1"/>
    <xf numFmtId="0" fontId="10" fillId="4" borderId="8" xfId="41" applyFill="1" applyBorder="1" applyAlignment="1">
      <alignment horizontal="center"/>
    </xf>
    <xf numFmtId="0" fontId="10" fillId="4" borderId="9" xfId="41" applyFill="1" applyBorder="1" applyAlignment="1">
      <alignment horizontal="center"/>
    </xf>
    <xf numFmtId="0" fontId="10" fillId="4" borderId="0" xfId="41" applyFill="1" applyAlignment="1">
      <alignment horizontal="center"/>
    </xf>
    <xf numFmtId="4" fontId="10" fillId="0" borderId="12" xfId="41" applyNumberFormat="1" applyBorder="1"/>
    <xf numFmtId="4" fontId="42" fillId="0" borderId="0" xfId="41" applyNumberFormat="1" applyFont="1"/>
    <xf numFmtId="4" fontId="10" fillId="0" borderId="13" xfId="41" applyNumberFormat="1" applyBorder="1"/>
    <xf numFmtId="4" fontId="42" fillId="0" borderId="14" xfId="41" applyNumberFormat="1" applyFont="1" applyBorder="1"/>
    <xf numFmtId="4" fontId="10" fillId="0" borderId="15" xfId="41" applyNumberFormat="1" applyBorder="1"/>
    <xf numFmtId="4" fontId="43" fillId="4" borderId="12" xfId="41" applyNumberFormat="1" applyFont="1" applyFill="1" applyBorder="1"/>
    <xf numFmtId="4" fontId="44" fillId="4" borderId="0" xfId="41" applyNumberFormat="1" applyFont="1" applyFill="1"/>
    <xf numFmtId="4" fontId="10" fillId="4" borderId="0" xfId="41" applyNumberFormat="1" applyFill="1"/>
    <xf numFmtId="4" fontId="10" fillId="4" borderId="13" xfId="41" applyNumberFormat="1" applyFill="1" applyBorder="1"/>
    <xf numFmtId="4" fontId="44" fillId="0" borderId="15" xfId="41" applyNumberFormat="1" applyFont="1" applyBorder="1"/>
    <xf numFmtId="4" fontId="44" fillId="0" borderId="14" xfId="41" applyNumberFormat="1" applyFont="1" applyBorder="1"/>
    <xf numFmtId="4" fontId="10" fillId="4" borderId="12" xfId="41" applyNumberFormat="1" applyFill="1" applyBorder="1"/>
    <xf numFmtId="4" fontId="45" fillId="0" borderId="14" xfId="41" applyNumberFormat="1" applyFont="1" applyBorder="1"/>
    <xf numFmtId="4" fontId="10" fillId="0" borderId="14" xfId="41" applyNumberFormat="1" applyBorder="1"/>
    <xf numFmtId="4" fontId="46" fillId="0" borderId="14" xfId="41" applyNumberFormat="1" applyFont="1" applyBorder="1"/>
    <xf numFmtId="4" fontId="47" fillId="0" borderId="14" xfId="41" applyNumberFormat="1" applyFont="1" applyBorder="1"/>
    <xf numFmtId="4" fontId="32" fillId="7" borderId="16" xfId="41" applyNumberFormat="1" applyFont="1" applyFill="1" applyBorder="1" applyAlignment="1">
      <alignment horizontal="right" vertical="center"/>
    </xf>
    <xf numFmtId="4" fontId="32" fillId="7" borderId="17" xfId="41" applyNumberFormat="1" applyFont="1" applyFill="1" applyBorder="1" applyAlignment="1">
      <alignment horizontal="right" vertical="center"/>
    </xf>
    <xf numFmtId="4" fontId="10" fillId="8" borderId="15" xfId="41" applyNumberFormat="1" applyFill="1" applyBorder="1"/>
    <xf numFmtId="4" fontId="10" fillId="0" borderId="18" xfId="41" applyNumberFormat="1" applyBorder="1"/>
    <xf numFmtId="4" fontId="10" fillId="4" borderId="20" xfId="41" applyNumberFormat="1" applyFill="1" applyBorder="1"/>
    <xf numFmtId="4" fontId="10" fillId="4" borderId="21" xfId="41" applyNumberFormat="1" applyFill="1" applyBorder="1"/>
    <xf numFmtId="4" fontId="46" fillId="4" borderId="22" xfId="41" applyNumberFormat="1" applyFont="1" applyFill="1" applyBorder="1"/>
    <xf numFmtId="4" fontId="46" fillId="4" borderId="21" xfId="41" applyNumberFormat="1" applyFont="1" applyFill="1" applyBorder="1"/>
    <xf numFmtId="4" fontId="10" fillId="4" borderId="23" xfId="41" applyNumberFormat="1" applyFill="1" applyBorder="1"/>
    <xf numFmtId="0" fontId="41" fillId="0" borderId="0" xfId="41" applyFont="1" applyAlignment="1">
      <alignment wrapText="1"/>
    </xf>
    <xf numFmtId="171" fontId="20" fillId="0" borderId="2" xfId="0" applyNumberFormat="1" applyFont="1" applyBorder="1"/>
    <xf numFmtId="4" fontId="44" fillId="4" borderId="14" xfId="41" applyNumberFormat="1" applyFont="1" applyFill="1" applyBorder="1"/>
    <xf numFmtId="4" fontId="20" fillId="0" borderId="3" xfId="0" applyNumberFormat="1" applyFont="1" applyBorder="1"/>
    <xf numFmtId="171" fontId="20" fillId="0" borderId="3" xfId="0" applyNumberFormat="1" applyFont="1" applyBorder="1"/>
    <xf numFmtId="4" fontId="0" fillId="0" borderId="2" xfId="0" applyNumberFormat="1" applyBorder="1" applyAlignment="1">
      <alignment horizontal="center"/>
    </xf>
    <xf numFmtId="4" fontId="10" fillId="10" borderId="12" xfId="41" applyNumberFormat="1" applyFill="1" applyBorder="1"/>
    <xf numFmtId="4" fontId="10" fillId="10" borderId="19" xfId="41" applyNumberFormat="1" applyFill="1" applyBorder="1"/>
    <xf numFmtId="0" fontId="8" fillId="0" borderId="0" xfId="41" applyFont="1"/>
    <xf numFmtId="4" fontId="10" fillId="0" borderId="24" xfId="41" applyNumberFormat="1" applyBorder="1"/>
    <xf numFmtId="173" fontId="10" fillId="0" borderId="0" xfId="41" applyNumberFormat="1"/>
    <xf numFmtId="173" fontId="10" fillId="0" borderId="24" xfId="41" applyNumberFormat="1" applyBorder="1"/>
    <xf numFmtId="174" fontId="25" fillId="0" borderId="0" xfId="0" applyNumberFormat="1" applyFont="1" applyAlignment="1">
      <alignment horizontal="center"/>
    </xf>
    <xf numFmtId="174" fontId="18" fillId="0" borderId="2" xfId="0" applyNumberFormat="1" applyFont="1" applyBorder="1" applyAlignment="1">
      <alignment horizontal="center"/>
    </xf>
    <xf numFmtId="174" fontId="29" fillId="0" borderId="2" xfId="0" applyNumberFormat="1" applyFont="1" applyBorder="1" applyAlignment="1">
      <alignment horizontal="center" vertical="center"/>
    </xf>
    <xf numFmtId="174" fontId="0" fillId="0" borderId="2" xfId="0" applyNumberFormat="1" applyBorder="1" applyAlignment="1">
      <alignment horizontal="center"/>
    </xf>
    <xf numFmtId="174" fontId="26" fillId="0" borderId="0" xfId="0" applyNumberFormat="1" applyFont="1" applyAlignment="1">
      <alignment horizontal="center"/>
    </xf>
    <xf numFmtId="174" fontId="24" fillId="0" borderId="0" xfId="0" applyNumberFormat="1" applyFont="1" applyAlignment="1">
      <alignment horizontal="center"/>
    </xf>
    <xf numFmtId="172" fontId="18" fillId="0" borderId="0" xfId="0" applyNumberFormat="1" applyFont="1" applyAlignment="1">
      <alignment horizontal="right"/>
    </xf>
    <xf numFmtId="172" fontId="27" fillId="0" borderId="2" xfId="0" applyNumberFormat="1" applyFont="1" applyBorder="1" applyAlignment="1">
      <alignment horizontal="right"/>
    </xf>
    <xf numFmtId="172" fontId="29" fillId="4" borderId="2" xfId="0" applyNumberFormat="1" applyFont="1" applyFill="1" applyBorder="1" applyAlignment="1">
      <alignment horizontal="right"/>
    </xf>
    <xf numFmtId="172" fontId="29" fillId="2" borderId="2" xfId="0" applyNumberFormat="1" applyFont="1" applyFill="1" applyBorder="1" applyAlignment="1">
      <alignment horizontal="right"/>
    </xf>
    <xf numFmtId="172" fontId="29" fillId="0" borderId="2" xfId="0" applyNumberFormat="1" applyFont="1" applyBorder="1" applyAlignment="1">
      <alignment horizontal="right"/>
    </xf>
    <xf numFmtId="172" fontId="29" fillId="9" borderId="2" xfId="0" applyNumberFormat="1" applyFont="1" applyFill="1" applyBorder="1" applyAlignment="1">
      <alignment horizontal="right"/>
    </xf>
    <xf numFmtId="172" fontId="31" fillId="0" borderId="5" xfId="43" applyNumberFormat="1" applyFont="1" applyBorder="1" applyAlignment="1">
      <alignment horizontal="center"/>
    </xf>
    <xf numFmtId="172" fontId="31" fillId="0" borderId="25" xfId="43" applyNumberFormat="1" applyFont="1" applyBorder="1" applyAlignment="1">
      <alignment horizontal="center"/>
    </xf>
    <xf numFmtId="172" fontId="0" fillId="0" borderId="2" xfId="0" applyNumberFormat="1" applyBorder="1" applyAlignment="1">
      <alignment horizontal="right"/>
    </xf>
    <xf numFmtId="172" fontId="26" fillId="0" borderId="0" xfId="0" applyNumberFormat="1" applyFont="1" applyAlignment="1">
      <alignment horizontal="right"/>
    </xf>
    <xf numFmtId="172" fontId="24" fillId="0" borderId="0" xfId="0" applyNumberFormat="1" applyFont="1" applyAlignment="1">
      <alignment horizontal="right"/>
    </xf>
    <xf numFmtId="173" fontId="24" fillId="0" borderId="2" xfId="0" applyNumberFormat="1" applyFont="1" applyBorder="1"/>
    <xf numFmtId="173" fontId="24" fillId="0" borderId="26" xfId="0" applyNumberFormat="1" applyFont="1" applyBorder="1"/>
    <xf numFmtId="173" fontId="0" fillId="0" borderId="2" xfId="0" applyNumberFormat="1" applyBorder="1"/>
    <xf numFmtId="0" fontId="7" fillId="0" borderId="0" xfId="41" applyFont="1"/>
    <xf numFmtId="0" fontId="33" fillId="0" borderId="2" xfId="0" applyFont="1" applyBorder="1" applyAlignment="1">
      <alignment horizontal="center"/>
    </xf>
    <xf numFmtId="0" fontId="5" fillId="0" borderId="0" xfId="41" applyFont="1"/>
    <xf numFmtId="0" fontId="33" fillId="0" borderId="0" xfId="41" applyFont="1"/>
    <xf numFmtId="1" fontId="25" fillId="0" borderId="0" xfId="0" applyNumberFormat="1" applyFont="1"/>
    <xf numFmtId="0" fontId="17" fillId="0" borderId="0" xfId="0" applyFont="1"/>
    <xf numFmtId="4" fontId="18" fillId="0" borderId="0" xfId="0" applyNumberFormat="1" applyFont="1" applyAlignment="1">
      <alignment horizontal="right"/>
    </xf>
    <xf numFmtId="4" fontId="26" fillId="0" borderId="0" xfId="0" applyNumberFormat="1" applyFont="1"/>
    <xf numFmtId="4" fontId="24" fillId="0" borderId="0" xfId="0" applyNumberFormat="1" applyFont="1"/>
    <xf numFmtId="4" fontId="4" fillId="0" borderId="0" xfId="45" applyNumberFormat="1"/>
    <xf numFmtId="0" fontId="18" fillId="0" borderId="0" xfId="0" applyFont="1" applyAlignment="1">
      <alignment horizontal="center"/>
    </xf>
    <xf numFmtId="175" fontId="25" fillId="0" borderId="0" xfId="0" applyNumberFormat="1" applyFont="1" applyAlignment="1">
      <alignment horizontal="center"/>
    </xf>
    <xf numFmtId="4" fontId="49" fillId="0" borderId="0" xfId="0" applyNumberFormat="1" applyFont="1" applyAlignment="1">
      <alignment horizontal="right"/>
    </xf>
    <xf numFmtId="175" fontId="18" fillId="0" borderId="0" xfId="0" applyNumberFormat="1" applyFont="1" applyAlignment="1">
      <alignment horizontal="center"/>
    </xf>
    <xf numFmtId="175" fontId="18" fillId="0" borderId="2" xfId="0" applyNumberFormat="1" applyFont="1" applyBorder="1" applyAlignment="1">
      <alignment horizontal="center"/>
    </xf>
    <xf numFmtId="0" fontId="27" fillId="2" borderId="2" xfId="0" applyFont="1" applyFill="1" applyBorder="1" applyAlignment="1">
      <alignment horizontal="center"/>
    </xf>
    <xf numFmtId="4" fontId="27" fillId="0" borderId="2" xfId="0" applyNumberFormat="1" applyFont="1" applyBorder="1" applyAlignment="1">
      <alignment horizontal="right"/>
    </xf>
    <xf numFmtId="4" fontId="26" fillId="0" borderId="2" xfId="0" applyNumberFormat="1" applyFont="1" applyBorder="1" applyAlignment="1">
      <alignment wrapText="1"/>
    </xf>
    <xf numFmtId="0" fontId="0" fillId="2" borderId="2" xfId="0" applyFill="1" applyBorder="1" applyAlignment="1">
      <alignment wrapText="1"/>
    </xf>
    <xf numFmtId="0" fontId="51" fillId="0" borderId="2" xfId="0" applyFont="1" applyBorder="1" applyAlignment="1">
      <alignment horizontal="center" wrapText="1"/>
    </xf>
    <xf numFmtId="4" fontId="52" fillId="0" borderId="2" xfId="0" applyNumberFormat="1" applyFont="1" applyBorder="1" applyAlignment="1">
      <alignment wrapText="1"/>
    </xf>
    <xf numFmtId="4" fontId="0" fillId="0" borderId="2" xfId="0" applyNumberFormat="1" applyBorder="1" applyAlignment="1">
      <alignment horizontal="left" wrapText="1"/>
    </xf>
    <xf numFmtId="4" fontId="24" fillId="0" borderId="2" xfId="0" applyNumberFormat="1" applyFont="1" applyBorder="1" applyAlignment="1">
      <alignment wrapText="1"/>
    </xf>
    <xf numFmtId="0" fontId="27" fillId="0" borderId="2" xfId="0" applyFont="1" applyBorder="1" applyAlignment="1">
      <alignment horizontal="center" wrapText="1"/>
    </xf>
    <xf numFmtId="4" fontId="24" fillId="0" borderId="2" xfId="0" applyNumberFormat="1" applyFont="1" applyBorder="1"/>
    <xf numFmtId="175" fontId="26" fillId="0" borderId="0" xfId="0" applyNumberFormat="1" applyFont="1" applyAlignment="1">
      <alignment horizontal="center"/>
    </xf>
    <xf numFmtId="0" fontId="26" fillId="2" borderId="0" xfId="0" applyFont="1" applyFill="1"/>
    <xf numFmtId="4" fontId="26" fillId="0" borderId="0" xfId="0" applyNumberFormat="1" applyFont="1" applyAlignment="1">
      <alignment horizontal="right"/>
    </xf>
    <xf numFmtId="175" fontId="24" fillId="0" borderId="0" xfId="0" applyNumberFormat="1" applyFont="1" applyAlignment="1">
      <alignment horizontal="center"/>
    </xf>
    <xf numFmtId="4" fontId="24" fillId="0" borderId="0" xfId="0" applyNumberFormat="1" applyFont="1" applyAlignment="1">
      <alignment horizontal="right"/>
    </xf>
    <xf numFmtId="0" fontId="24" fillId="0" borderId="0" xfId="0" applyFont="1" applyAlignment="1">
      <alignment horizontal="center"/>
    </xf>
    <xf numFmtId="4" fontId="26" fillId="0" borderId="0" xfId="0" applyNumberFormat="1" applyFont="1" applyAlignment="1">
      <alignment horizontal="center"/>
    </xf>
    <xf numFmtId="4" fontId="24" fillId="0" borderId="0" xfId="0" applyNumberFormat="1" applyFont="1" applyAlignment="1">
      <alignment horizontal="center"/>
    </xf>
    <xf numFmtId="180" fontId="20" fillId="0" borderId="0" xfId="0" applyNumberFormat="1" applyFont="1"/>
    <xf numFmtId="0" fontId="23" fillId="0" borderId="2" xfId="0" applyFont="1" applyBorder="1"/>
    <xf numFmtId="0" fontId="23" fillId="0" borderId="3" xfId="0" applyFont="1" applyBorder="1"/>
    <xf numFmtId="1" fontId="20" fillId="0" borderId="2" xfId="0" applyNumberFormat="1" applyFont="1" applyBorder="1" applyAlignment="1">
      <alignment horizontal="center"/>
    </xf>
    <xf numFmtId="0" fontId="20" fillId="0" borderId="2" xfId="0" applyFont="1" applyBorder="1" applyAlignment="1">
      <alignment horizontal="center"/>
    </xf>
    <xf numFmtId="0" fontId="53" fillId="2" borderId="2" xfId="0" applyFont="1" applyFill="1" applyBorder="1"/>
    <xf numFmtId="4" fontId="0" fillId="0" borderId="2" xfId="0" applyNumberFormat="1" applyBorder="1" applyAlignment="1">
      <alignment horizontal="right"/>
    </xf>
    <xf numFmtId="4" fontId="24" fillId="0" borderId="0" xfId="0" applyNumberFormat="1" applyFont="1" applyAlignment="1">
      <alignment wrapText="1"/>
    </xf>
    <xf numFmtId="0" fontId="54" fillId="0" borderId="0" xfId="41" applyFont="1"/>
    <xf numFmtId="0" fontId="55" fillId="0" borderId="0" xfId="0" applyFont="1"/>
    <xf numFmtId="178" fontId="58" fillId="0" borderId="2" xfId="46" applyNumberFormat="1" applyFont="1" applyBorder="1" applyAlignment="1">
      <alignment horizontal="center"/>
    </xf>
    <xf numFmtId="4" fontId="59" fillId="0" borderId="30" xfId="0" applyNumberFormat="1" applyFont="1" applyBorder="1" applyAlignment="1">
      <alignment horizontal="center"/>
    </xf>
    <xf numFmtId="4" fontId="59" fillId="0" borderId="31" xfId="0" applyNumberFormat="1" applyFont="1" applyBorder="1"/>
    <xf numFmtId="40" fontId="58" fillId="0" borderId="3" xfId="46" applyNumberFormat="1" applyFont="1" applyBorder="1" applyAlignment="1">
      <alignment horizontal="right"/>
    </xf>
    <xf numFmtId="175" fontId="59" fillId="0" borderId="2" xfId="0" applyNumberFormat="1" applyFont="1" applyBorder="1" applyAlignment="1">
      <alignment horizontal="center"/>
    </xf>
    <xf numFmtId="169" fontId="59" fillId="0" borderId="2" xfId="0" applyNumberFormat="1" applyFont="1" applyBorder="1" applyAlignment="1">
      <alignment horizontal="center"/>
    </xf>
    <xf numFmtId="0" fontId="61" fillId="2" borderId="2" xfId="0" applyFont="1" applyFill="1" applyBorder="1" applyAlignment="1">
      <alignment horizontal="center"/>
    </xf>
    <xf numFmtId="4" fontId="61" fillId="0" borderId="2" xfId="0" applyNumberFormat="1" applyFont="1" applyBorder="1" applyAlignment="1">
      <alignment horizontal="right"/>
    </xf>
    <xf numFmtId="4" fontId="59" fillId="0" borderId="2" xfId="0" applyNumberFormat="1" applyFont="1" applyBorder="1" applyAlignment="1">
      <alignment wrapText="1"/>
    </xf>
    <xf numFmtId="0" fontId="61" fillId="0" borderId="2" xfId="0" applyFont="1" applyBorder="1" applyAlignment="1">
      <alignment horizontal="center" wrapText="1"/>
    </xf>
    <xf numFmtId="4" fontId="59" fillId="4" borderId="2" xfId="0" applyNumberFormat="1" applyFont="1" applyFill="1" applyBorder="1" applyAlignment="1">
      <alignment vertical="center"/>
    </xf>
    <xf numFmtId="4" fontId="62" fillId="9" borderId="2" xfId="0" applyNumberFormat="1" applyFont="1" applyFill="1" applyBorder="1" applyAlignment="1">
      <alignment horizontal="right"/>
    </xf>
    <xf numFmtId="178" fontId="60" fillId="0" borderId="2" xfId="0" applyNumberFormat="1" applyFont="1" applyBorder="1" applyAlignment="1">
      <alignment horizontal="center"/>
    </xf>
    <xf numFmtId="177" fontId="60" fillId="0" borderId="0" xfId="0" applyNumberFormat="1" applyFont="1" applyAlignment="1">
      <alignment horizontal="right"/>
    </xf>
    <xf numFmtId="175" fontId="59" fillId="0" borderId="0" xfId="0" applyNumberFormat="1" applyFont="1" applyAlignment="1">
      <alignment horizontal="center"/>
    </xf>
    <xf numFmtId="0" fontId="59" fillId="0" borderId="0" xfId="0" applyFont="1" applyAlignment="1">
      <alignment horizontal="center"/>
    </xf>
    <xf numFmtId="0" fontId="59" fillId="2" borderId="0" xfId="0" applyFont="1" applyFill="1"/>
    <xf numFmtId="4" fontId="59" fillId="0" borderId="0" xfId="0" applyNumberFormat="1" applyFont="1" applyAlignment="1">
      <alignment horizontal="right"/>
    </xf>
    <xf numFmtId="4" fontId="59" fillId="0" borderId="0" xfId="0" applyNumberFormat="1" applyFont="1"/>
    <xf numFmtId="0" fontId="59" fillId="2" borderId="2" xfId="0" applyFont="1" applyFill="1" applyBorder="1" applyAlignment="1">
      <alignment wrapText="1"/>
    </xf>
    <xf numFmtId="0" fontId="59" fillId="0" borderId="2" xfId="0" applyFont="1" applyBorder="1" applyAlignment="1">
      <alignment horizontal="center" wrapText="1"/>
    </xf>
    <xf numFmtId="4" fontId="59" fillId="0" borderId="2" xfId="0" applyNumberFormat="1" applyFont="1" applyBorder="1" applyAlignment="1">
      <alignment horizontal="left" wrapText="1"/>
    </xf>
    <xf numFmtId="0" fontId="59" fillId="0" borderId="0" xfId="0" applyFont="1"/>
    <xf numFmtId="4" fontId="59" fillId="4" borderId="2" xfId="0" applyNumberFormat="1" applyFont="1" applyFill="1" applyBorder="1" applyAlignment="1">
      <alignment wrapText="1"/>
    </xf>
    <xf numFmtId="4" fontId="59" fillId="9" borderId="2" xfId="0" applyNumberFormat="1" applyFont="1" applyFill="1" applyBorder="1" applyAlignment="1">
      <alignment wrapText="1"/>
    </xf>
    <xf numFmtId="4" fontId="59" fillId="4" borderId="2" xfId="0" applyNumberFormat="1" applyFont="1" applyFill="1" applyBorder="1" applyAlignment="1">
      <alignment horizontal="left" wrapText="1"/>
    </xf>
    <xf numFmtId="0" fontId="59" fillId="9" borderId="2" xfId="0" applyFont="1" applyFill="1" applyBorder="1" applyAlignment="1">
      <alignment wrapText="1"/>
    </xf>
    <xf numFmtId="0" fontId="59" fillId="4" borderId="2" xfId="0" applyFont="1" applyFill="1" applyBorder="1" applyAlignment="1">
      <alignment horizontal="center" wrapText="1"/>
    </xf>
    <xf numFmtId="4" fontId="59" fillId="4" borderId="2" xfId="0" applyNumberFormat="1" applyFont="1" applyFill="1" applyBorder="1" applyAlignment="1">
      <alignment horizontal="center" wrapText="1"/>
    </xf>
    <xf numFmtId="4" fontId="59" fillId="0" borderId="2" xfId="0" applyNumberFormat="1" applyFont="1" applyBorder="1"/>
    <xf numFmtId="169" fontId="59" fillId="2" borderId="2" xfId="0" applyNumberFormat="1" applyFont="1" applyFill="1" applyBorder="1" applyAlignment="1">
      <alignment horizontal="center"/>
    </xf>
    <xf numFmtId="4" fontId="59" fillId="4" borderId="2" xfId="29" applyNumberFormat="1" applyFont="1" applyFill="1" applyBorder="1" applyAlignment="1" applyProtection="1">
      <alignment horizontal="right"/>
    </xf>
    <xf numFmtId="4" fontId="59" fillId="4" borderId="2" xfId="0" applyNumberFormat="1" applyFont="1" applyFill="1" applyBorder="1"/>
    <xf numFmtId="4" fontId="59" fillId="4" borderId="0" xfId="0" applyNumberFormat="1" applyFont="1" applyFill="1"/>
    <xf numFmtId="0" fontId="59" fillId="4" borderId="0" xfId="0" applyFont="1" applyFill="1"/>
    <xf numFmtId="4" fontId="62" fillId="0" borderId="2" xfId="0" applyNumberFormat="1" applyFont="1" applyBorder="1" applyAlignment="1">
      <alignment horizontal="right" vertical="center"/>
    </xf>
    <xf numFmtId="176" fontId="62" fillId="11" borderId="4" xfId="0" applyNumberFormat="1" applyFont="1" applyFill="1" applyBorder="1" applyAlignment="1">
      <alignment horizontal="right"/>
    </xf>
    <xf numFmtId="0" fontId="62" fillId="11" borderId="4" xfId="0" applyFont="1" applyFill="1" applyBorder="1"/>
    <xf numFmtId="0" fontId="59" fillId="2" borderId="2" xfId="0" applyFont="1" applyFill="1" applyBorder="1"/>
    <xf numFmtId="178" fontId="58" fillId="0" borderId="32" xfId="46" applyNumberFormat="1" applyFont="1" applyBorder="1" applyAlignment="1">
      <alignment horizontal="center"/>
    </xf>
    <xf numFmtId="178" fontId="58" fillId="0" borderId="25" xfId="46" applyNumberFormat="1" applyFont="1" applyBorder="1" applyAlignment="1">
      <alignment horizontal="center"/>
    </xf>
    <xf numFmtId="0" fontId="59" fillId="0" borderId="3" xfId="0" applyFont="1" applyBorder="1" applyAlignment="1">
      <alignment horizontal="center"/>
    </xf>
    <xf numFmtId="0" fontId="59" fillId="0" borderId="2" xfId="0" applyFont="1" applyBorder="1" applyAlignment="1">
      <alignment horizontal="center"/>
    </xf>
    <xf numFmtId="0" fontId="60" fillId="0" borderId="2" xfId="46" applyFont="1" applyBorder="1" applyAlignment="1">
      <alignment horizontal="left" vertical="center" wrapText="1"/>
    </xf>
    <xf numFmtId="178" fontId="58" fillId="0" borderId="3" xfId="46" applyNumberFormat="1" applyFont="1" applyBorder="1" applyAlignment="1">
      <alignment horizontal="center"/>
    </xf>
    <xf numFmtId="0" fontId="61" fillId="2" borderId="2" xfId="0" applyFont="1" applyFill="1" applyBorder="1"/>
    <xf numFmtId="4" fontId="59" fillId="0" borderId="2" xfId="0" applyNumberFormat="1" applyFont="1" applyBorder="1" applyAlignment="1">
      <alignment horizontal="right"/>
    </xf>
    <xf numFmtId="4" fontId="59" fillId="0" borderId="3" xfId="0" applyNumberFormat="1" applyFont="1" applyBorder="1"/>
    <xf numFmtId="164" fontId="59" fillId="0" borderId="31" xfId="0" applyNumberFormat="1" applyFont="1" applyBorder="1"/>
    <xf numFmtId="179" fontId="59" fillId="0" borderId="0" xfId="0" applyNumberFormat="1" applyFont="1"/>
    <xf numFmtId="0" fontId="59" fillId="0" borderId="31" xfId="0" applyFont="1" applyBorder="1"/>
    <xf numFmtId="0" fontId="59" fillId="2" borderId="2" xfId="0" applyFont="1" applyFill="1" applyBorder="1" applyAlignment="1">
      <alignment horizontal="left" vertical="center" wrapText="1"/>
    </xf>
    <xf numFmtId="4" fontId="59" fillId="2" borderId="2" xfId="0" applyNumberFormat="1" applyFont="1" applyFill="1" applyBorder="1"/>
    <xf numFmtId="4" fontId="61" fillId="0" borderId="2" xfId="0" applyNumberFormat="1" applyFont="1" applyBorder="1"/>
    <xf numFmtId="177" fontId="60" fillId="0" borderId="2" xfId="0" applyNumberFormat="1" applyFont="1" applyBorder="1" applyAlignment="1">
      <alignment horizontal="right"/>
    </xf>
    <xf numFmtId="0" fontId="60" fillId="0" borderId="2" xfId="0" applyFont="1" applyBorder="1"/>
    <xf numFmtId="40" fontId="58" fillId="0" borderId="2" xfId="46" applyNumberFormat="1" applyFont="1" applyBorder="1" applyAlignment="1">
      <alignment horizontal="right"/>
    </xf>
    <xf numFmtId="0" fontId="60" fillId="0" borderId="2" xfId="0" applyFont="1" applyBorder="1" applyAlignment="1">
      <alignment horizontal="left" vertical="center" wrapText="1"/>
    </xf>
    <xf numFmtId="176" fontId="63" fillId="4" borderId="2" xfId="0" applyNumberFormat="1" applyFont="1" applyFill="1" applyBorder="1" applyAlignment="1">
      <alignment horizontal="center" vertical="center"/>
    </xf>
    <xf numFmtId="176" fontId="29" fillId="2" borderId="2" xfId="0" applyNumberFormat="1" applyFont="1" applyFill="1" applyBorder="1" applyAlignment="1">
      <alignment horizontal="center" vertical="center"/>
    </xf>
    <xf numFmtId="0" fontId="29" fillId="0" borderId="2" xfId="0" applyFont="1" applyBorder="1" applyAlignment="1">
      <alignment vertical="center"/>
    </xf>
    <xf numFmtId="4" fontId="63" fillId="0" borderId="2" xfId="0" applyNumberFormat="1" applyFont="1" applyBorder="1" applyAlignment="1">
      <alignment vertical="center"/>
    </xf>
    <xf numFmtId="4" fontId="63" fillId="4" borderId="2" xfId="0" applyNumberFormat="1" applyFont="1" applyFill="1" applyBorder="1" applyAlignment="1">
      <alignment vertical="center"/>
    </xf>
    <xf numFmtId="4" fontId="29" fillId="0" borderId="2" xfId="0" applyNumberFormat="1" applyFont="1" applyBorder="1" applyAlignment="1">
      <alignment vertical="center"/>
    </xf>
    <xf numFmtId="4" fontId="29" fillId="2" borderId="2" xfId="0" applyNumberFormat="1" applyFont="1" applyFill="1" applyBorder="1" applyAlignment="1">
      <alignment vertical="center"/>
    </xf>
    <xf numFmtId="176" fontId="64" fillId="0" borderId="4" xfId="0" applyNumberFormat="1" applyFont="1" applyBorder="1" applyAlignment="1">
      <alignment horizontal="right" vertical="center"/>
    </xf>
    <xf numFmtId="176" fontId="65" fillId="0" borderId="2" xfId="0" applyNumberFormat="1" applyFont="1" applyBorder="1" applyAlignment="1">
      <alignment horizontal="right"/>
    </xf>
    <xf numFmtId="0" fontId="64" fillId="0" borderId="4" xfId="0" applyFont="1" applyBorder="1" applyAlignment="1">
      <alignment horizontal="left" vertical="center"/>
    </xf>
    <xf numFmtId="0" fontId="65" fillId="0" borderId="2" xfId="0" applyFont="1" applyBorder="1"/>
    <xf numFmtId="0" fontId="64" fillId="0" borderId="2" xfId="0" applyFont="1" applyBorder="1"/>
    <xf numFmtId="0" fontId="65" fillId="0" borderId="2" xfId="0" applyFont="1" applyBorder="1" applyAlignment="1">
      <alignment horizontal="left" vertical="center"/>
    </xf>
    <xf numFmtId="4" fontId="64" fillId="4" borderId="4" xfId="0" applyNumberFormat="1" applyFont="1" applyFill="1" applyBorder="1" applyAlignment="1">
      <alignment horizontal="right" vertical="center"/>
    </xf>
    <xf numFmtId="168" fontId="65" fillId="4" borderId="2" xfId="35" applyFont="1" applyFill="1" applyBorder="1" applyAlignment="1" applyProtection="1">
      <alignment horizontal="center"/>
    </xf>
    <xf numFmtId="4" fontId="29" fillId="4" borderId="2" xfId="0" applyNumberFormat="1" applyFont="1" applyFill="1" applyBorder="1" applyAlignment="1">
      <alignment horizontal="right"/>
    </xf>
    <xf numFmtId="4" fontId="29" fillId="2" borderId="2" xfId="0" applyNumberFormat="1" applyFont="1" applyFill="1" applyBorder="1" applyAlignment="1">
      <alignment horizontal="right"/>
    </xf>
    <xf numFmtId="4" fontId="29" fillId="9" borderId="2" xfId="0" applyNumberFormat="1" applyFont="1" applyFill="1" applyBorder="1" applyAlignment="1">
      <alignment horizontal="right"/>
    </xf>
    <xf numFmtId="4" fontId="63" fillId="4" borderId="2" xfId="0" applyNumberFormat="1" applyFont="1" applyFill="1" applyBorder="1" applyAlignment="1">
      <alignment horizontal="right"/>
    </xf>
    <xf numFmtId="15" fontId="66" fillId="0" borderId="2" xfId="0" applyNumberFormat="1" applyFont="1" applyBorder="1" applyAlignment="1">
      <alignment horizontal="right"/>
    </xf>
    <xf numFmtId="0" fontId="66" fillId="0" borderId="2" xfId="0" applyFont="1" applyBorder="1"/>
    <xf numFmtId="4" fontId="52" fillId="0" borderId="2" xfId="0" applyNumberFormat="1" applyFont="1" applyBorder="1" applyAlignment="1">
      <alignment vertical="center"/>
    </xf>
    <xf numFmtId="4" fontId="52" fillId="4" borderId="2" xfId="0" applyNumberFormat="1" applyFont="1" applyFill="1" applyBorder="1" applyAlignment="1">
      <alignment vertical="center"/>
    </xf>
    <xf numFmtId="4" fontId="28" fillId="0" borderId="2" xfId="30" applyNumberFormat="1" applyFont="1" applyBorder="1" applyAlignment="1">
      <alignment horizontal="left"/>
    </xf>
    <xf numFmtId="4" fontId="66" fillId="0" borderId="2" xfId="0" applyNumberFormat="1" applyFont="1" applyBorder="1" applyAlignment="1">
      <alignment horizontal="right"/>
    </xf>
    <xf numFmtId="4" fontId="59" fillId="4" borderId="2" xfId="0" applyNumberFormat="1" applyFont="1" applyFill="1" applyBorder="1" applyAlignment="1">
      <alignment horizontal="right" wrapText="1"/>
    </xf>
    <xf numFmtId="178" fontId="60" fillId="0" borderId="29" xfId="46" applyNumberFormat="1" applyFont="1" applyBorder="1" applyAlignment="1">
      <alignment horizontal="center"/>
    </xf>
    <xf numFmtId="0" fontId="32" fillId="0" borderId="33" xfId="19" applyFont="1" applyBorder="1" applyAlignment="1">
      <alignment horizontal="left" vertical="center"/>
    </xf>
    <xf numFmtId="0" fontId="32" fillId="0" borderId="2" xfId="19" applyFont="1" applyBorder="1" applyAlignment="1">
      <alignment horizontal="left" vertical="center"/>
    </xf>
    <xf numFmtId="4" fontId="63" fillId="0" borderId="30" xfId="0" applyNumberFormat="1" applyFont="1" applyBorder="1" applyAlignment="1">
      <alignment vertical="center"/>
    </xf>
    <xf numFmtId="178" fontId="58" fillId="0" borderId="34" xfId="46" applyNumberFormat="1" applyFont="1" applyBorder="1" applyAlignment="1">
      <alignment horizontal="center"/>
    </xf>
    <xf numFmtId="178" fontId="58" fillId="0" borderId="29" xfId="46" applyNumberFormat="1" applyFont="1" applyBorder="1" applyAlignment="1">
      <alignment horizontal="center"/>
    </xf>
    <xf numFmtId="43" fontId="59" fillId="0" borderId="0" xfId="0" applyNumberFormat="1" applyFont="1"/>
    <xf numFmtId="170" fontId="20" fillId="9" borderId="2" xfId="0" applyNumberFormat="1" applyFont="1" applyFill="1" applyBorder="1" applyAlignment="1">
      <alignment horizontal="center"/>
    </xf>
    <xf numFmtId="1" fontId="20" fillId="9" borderId="2" xfId="0" applyNumberFormat="1" applyFont="1" applyFill="1" applyBorder="1" applyAlignment="1">
      <alignment horizontal="center"/>
    </xf>
    <xf numFmtId="4" fontId="20" fillId="4" borderId="2" xfId="0" applyNumberFormat="1" applyFont="1" applyFill="1" applyBorder="1"/>
    <xf numFmtId="173" fontId="20" fillId="4" borderId="2" xfId="0" applyNumberFormat="1" applyFont="1" applyFill="1" applyBorder="1"/>
    <xf numFmtId="0" fontId="33" fillId="4" borderId="2" xfId="0" applyFont="1" applyFill="1" applyBorder="1" applyAlignment="1">
      <alignment horizontal="center"/>
    </xf>
    <xf numFmtId="4" fontId="71" fillId="0" borderId="0" xfId="0" applyNumberFormat="1" applyFont="1"/>
    <xf numFmtId="172" fontId="71" fillId="0" borderId="0" xfId="0" applyNumberFormat="1" applyFont="1"/>
    <xf numFmtId="180" fontId="71" fillId="0" borderId="0" xfId="0" applyNumberFormat="1" applyFont="1"/>
    <xf numFmtId="172" fontId="72" fillId="0" borderId="0" xfId="0" applyNumberFormat="1" applyFont="1"/>
    <xf numFmtId="172" fontId="72" fillId="0" borderId="0" xfId="0" applyNumberFormat="1" applyFont="1" applyAlignment="1">
      <alignment wrapText="1"/>
    </xf>
    <xf numFmtId="4" fontId="73" fillId="0" borderId="0" xfId="0" applyNumberFormat="1" applyFont="1"/>
    <xf numFmtId="4" fontId="74" fillId="0" borderId="0" xfId="0" applyNumberFormat="1" applyFont="1"/>
    <xf numFmtId="180" fontId="73" fillId="0" borderId="0" xfId="0" applyNumberFormat="1" applyFont="1"/>
    <xf numFmtId="176" fontId="75" fillId="0" borderId="2" xfId="0" applyNumberFormat="1" applyFont="1" applyBorder="1" applyAlignment="1">
      <alignment horizontal="center" vertical="center"/>
    </xf>
    <xf numFmtId="168" fontId="65" fillId="0" borderId="2" xfId="35" applyFont="1" applyBorder="1" applyAlignment="1" applyProtection="1">
      <alignment horizontal="center"/>
    </xf>
    <xf numFmtId="4" fontId="63" fillId="4" borderId="30" xfId="0" applyNumberFormat="1" applyFont="1" applyFill="1" applyBorder="1" applyAlignment="1">
      <alignment horizontal="right"/>
    </xf>
    <xf numFmtId="176" fontId="34" fillId="0" borderId="0" xfId="0" applyNumberFormat="1" applyFont="1" applyAlignment="1">
      <alignment horizontal="center" vertical="center"/>
    </xf>
    <xf numFmtId="4" fontId="63" fillId="4" borderId="35" xfId="0" applyNumberFormat="1" applyFont="1" applyFill="1" applyBorder="1" applyAlignment="1">
      <alignment vertical="center"/>
    </xf>
    <xf numFmtId="0" fontId="76" fillId="0" borderId="33" xfId="0" applyFont="1" applyBorder="1" applyAlignment="1">
      <alignment horizontal="left" vertical="center"/>
    </xf>
    <xf numFmtId="0" fontId="34" fillId="0" borderId="2" xfId="0" applyFont="1" applyBorder="1" applyAlignment="1">
      <alignment vertical="center"/>
    </xf>
    <xf numFmtId="4" fontId="59" fillId="4" borderId="29" xfId="29" applyNumberFormat="1" applyFont="1" applyFill="1" applyBorder="1" applyAlignment="1" applyProtection="1">
      <alignment horizontal="right"/>
    </xf>
    <xf numFmtId="0" fontId="67" fillId="0" borderId="2" xfId="0" applyFont="1" applyBorder="1" applyAlignment="1">
      <alignment horizontal="left"/>
    </xf>
    <xf numFmtId="4" fontId="67" fillId="0" borderId="2" xfId="0" applyNumberFormat="1" applyFont="1" applyBorder="1" applyAlignment="1">
      <alignment horizontal="right"/>
    </xf>
    <xf numFmtId="0" fontId="54" fillId="0" borderId="2" xfId="0" applyFont="1" applyBorder="1"/>
    <xf numFmtId="178" fontId="54" fillId="4" borderId="2" xfId="0" applyNumberFormat="1" applyFont="1" applyFill="1" applyBorder="1" applyAlignment="1">
      <alignment horizontal="center"/>
    </xf>
    <xf numFmtId="0" fontId="54" fillId="0" borderId="2" xfId="0" applyFont="1" applyBorder="1" applyAlignment="1">
      <alignment horizontal="left" wrapText="1"/>
    </xf>
    <xf numFmtId="178" fontId="54" fillId="0" borderId="2" xfId="0" applyNumberFormat="1" applyFont="1" applyBorder="1" applyAlignment="1">
      <alignment horizontal="center"/>
    </xf>
    <xf numFmtId="0" fontId="54" fillId="0" borderId="2" xfId="0" applyFont="1" applyBorder="1" applyAlignment="1">
      <alignment horizontal="left"/>
    </xf>
    <xf numFmtId="178" fontId="68" fillId="0" borderId="2" xfId="0" applyNumberFormat="1" applyFont="1" applyBorder="1" applyAlignment="1">
      <alignment horizontal="center"/>
    </xf>
    <xf numFmtId="0" fontId="33" fillId="0" borderId="2" xfId="21" applyFont="1" applyBorder="1" applyAlignment="1">
      <alignment horizontal="left" vertical="center"/>
    </xf>
    <xf numFmtId="4" fontId="64" fillId="4" borderId="2" xfId="0" applyNumberFormat="1" applyFont="1" applyFill="1" applyBorder="1" applyAlignment="1">
      <alignment horizontal="right" vertical="center"/>
    </xf>
    <xf numFmtId="178" fontId="58" fillId="11" borderId="3" xfId="46" applyNumberFormat="1" applyFont="1" applyFill="1" applyBorder="1" applyAlignment="1">
      <alignment horizontal="center"/>
    </xf>
    <xf numFmtId="0" fontId="60" fillId="11" borderId="3" xfId="46" applyFont="1" applyFill="1" applyBorder="1" applyAlignment="1">
      <alignment horizontal="left" vertical="center" wrapText="1"/>
    </xf>
    <xf numFmtId="178" fontId="59" fillId="0" borderId="0" xfId="0" applyNumberFormat="1" applyFont="1"/>
    <xf numFmtId="178" fontId="54" fillId="0" borderId="36" xfId="0" applyNumberFormat="1" applyFont="1" applyBorder="1" applyAlignment="1">
      <alignment horizontal="center"/>
    </xf>
    <xf numFmtId="180" fontId="0" fillId="0" borderId="0" xfId="0" applyNumberFormat="1"/>
    <xf numFmtId="0" fontId="2" fillId="0" borderId="0" xfId="41" applyFont="1"/>
    <xf numFmtId="4" fontId="48" fillId="0" borderId="0" xfId="41" applyNumberFormat="1" applyFont="1"/>
    <xf numFmtId="0" fontId="61" fillId="2" borderId="2" xfId="0" applyFont="1" applyFill="1" applyBorder="1" applyAlignment="1">
      <alignment horizontal="left"/>
    </xf>
    <xf numFmtId="4" fontId="59" fillId="0" borderId="2" xfId="0" applyNumberFormat="1" applyFont="1" applyBorder="1" applyAlignment="1">
      <alignment horizontal="right" wrapText="1"/>
    </xf>
    <xf numFmtId="0" fontId="1" fillId="0" borderId="0" xfId="41" applyFont="1"/>
    <xf numFmtId="4" fontId="50" fillId="0" borderId="27" xfId="0" applyNumberFormat="1" applyFont="1" applyBorder="1" applyAlignment="1">
      <alignment horizontal="center"/>
    </xf>
    <xf numFmtId="0" fontId="0" fillId="0" borderId="28" xfId="0" applyBorder="1"/>
    <xf numFmtId="17" fontId="69" fillId="0" borderId="0" xfId="41" applyNumberFormat="1" applyFont="1" applyAlignment="1">
      <alignment horizontal="center"/>
    </xf>
    <xf numFmtId="17" fontId="70" fillId="0" borderId="0" xfId="0" applyNumberFormat="1" applyFont="1" applyAlignment="1">
      <alignment horizontal="center"/>
    </xf>
    <xf numFmtId="180" fontId="73" fillId="0" borderId="0" xfId="0" applyNumberFormat="1" applyFont="1"/>
    <xf numFmtId="180" fontId="0" fillId="0" borderId="0" xfId="0" applyNumberFormat="1"/>
    <xf numFmtId="0" fontId="6" fillId="0" borderId="0" xfId="41" applyFont="1"/>
    <xf numFmtId="0" fontId="0" fillId="0" borderId="0" xfId="0"/>
    <xf numFmtId="0" fontId="10" fillId="4" borderId="7" xfId="4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10" fillId="0" borderId="10" xfId="41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10" xfId="41" applyFont="1" applyBorder="1" applyAlignment="1">
      <alignment horizontal="center"/>
    </xf>
    <xf numFmtId="1" fontId="25" fillId="0" borderId="0" xfId="0" applyNumberFormat="1" applyFont="1"/>
    <xf numFmtId="4" fontId="24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47">
    <cellStyle name="Comma 2" xfId="1" xr:uid="{00000000-0005-0000-0000-000006000000}"/>
    <cellStyle name="Comma 2 2" xfId="2" xr:uid="{00000000-0005-0000-0000-000007000000}"/>
    <cellStyle name="Comma 2 3" xfId="3" xr:uid="{00000000-0005-0000-0000-000008000000}"/>
    <cellStyle name="Comma 2 4" xfId="29" xr:uid="{07EF113F-07A7-48BC-ADB3-104F4A83C521}"/>
    <cellStyle name="Comma 3" xfId="4" xr:uid="{00000000-0005-0000-0000-000009000000}"/>
    <cellStyle name="Comma 3 2" xfId="5" xr:uid="{00000000-0005-0000-0000-00000A000000}"/>
    <cellStyle name="Comma 4" xfId="6" xr:uid="{00000000-0005-0000-0000-00000B000000}"/>
    <cellStyle name="Comma 4 2" xfId="7" xr:uid="{00000000-0005-0000-0000-00000C000000}"/>
    <cellStyle name="Comma 5" xfId="8" xr:uid="{00000000-0005-0000-0000-00000D000000}"/>
    <cellStyle name="Comma 5 2" xfId="35" xr:uid="{866CE058-B6B7-4938-B602-B3BF5FA73F82}"/>
    <cellStyle name="Comma 6" xfId="9" xr:uid="{00000000-0005-0000-0000-00000E000000}"/>
    <cellStyle name="Comma 7" xfId="10" xr:uid="{00000000-0005-0000-0000-00000F000000}"/>
    <cellStyle name="Comma 8" xfId="28" xr:uid="{3538516B-3834-4A1C-8299-5D771E1AD3C0}"/>
    <cellStyle name="Normal" xfId="0" builtinId="0"/>
    <cellStyle name="Normal 10" xfId="11" xr:uid="{00000000-0005-0000-0000-000010000000}"/>
    <cellStyle name="Normal 11" xfId="12" xr:uid="{00000000-0005-0000-0000-000011000000}"/>
    <cellStyle name="Normal 12" xfId="13" xr:uid="{00000000-0005-0000-0000-000012000000}"/>
    <cellStyle name="Normal 13" xfId="23" xr:uid="{E50A081D-5049-4415-887B-C17EC3413B64}"/>
    <cellStyle name="Normal 13 2" xfId="36" xr:uid="{87F7F1FD-E6F9-4F8D-807A-E72CC09B162C}"/>
    <cellStyle name="Normal 13 3" xfId="42" xr:uid="{C6309EB8-06E7-4920-AD43-0635017193AA}"/>
    <cellStyle name="Normal 14" xfId="24" xr:uid="{381B2477-9F4B-44A4-A742-FA65687BBD7B}"/>
    <cellStyle name="Normal 14 2" xfId="26" xr:uid="{4ECF812A-84C9-45F8-8B60-7BE8C4841EF4}"/>
    <cellStyle name="Normal 14 3" xfId="38" xr:uid="{B8A59692-5254-4F0E-B470-F333F46EAD0E}"/>
    <cellStyle name="Normal 15" xfId="25" xr:uid="{D2BEBD13-C178-41E0-94AD-3CAE325521F1}"/>
    <cellStyle name="Normal 16" xfId="27" xr:uid="{45D0E471-E6E6-4DD9-898F-CC22C8DF1D51}"/>
    <cellStyle name="Normal 17" xfId="31" xr:uid="{4AAE57D5-27EC-499D-ADDB-F4C34DB7994D}"/>
    <cellStyle name="Normal 18" xfId="34" xr:uid="{9D52FAE8-1404-4BD6-A3E9-48A8B76D5DCB}"/>
    <cellStyle name="Normal 19" xfId="37" xr:uid="{44E7E691-E3F7-4861-83CA-10849FEFAA0D}"/>
    <cellStyle name="Normal 2" xfId="14" xr:uid="{00000000-0005-0000-0000-000013000000}"/>
    <cellStyle name="Normal 2 2" xfId="30" xr:uid="{FDAFA270-CB00-42EA-9A7E-E6E555B0CB86}"/>
    <cellStyle name="Normal 2 3" xfId="32" xr:uid="{803B524A-4E64-42D9-9276-0DEB68E2E206}"/>
    <cellStyle name="Normal 2 3 2" xfId="33" xr:uid="{01D58E1E-2EA9-4F1E-8609-13954A3DDB6D}"/>
    <cellStyle name="Normal 2 3 2 2" xfId="44" xr:uid="{D483A482-E7F8-4632-9AA5-8347AD88EE74}"/>
    <cellStyle name="Normal 2 3 3" xfId="43" xr:uid="{3DFD120F-18EA-416F-A65E-36DD1198DE39}"/>
    <cellStyle name="Normal 2 3 3 2" xfId="46" xr:uid="{0DA256B4-7742-4892-A288-A8D3E8DCABBD}"/>
    <cellStyle name="Normal 2 4" xfId="40" xr:uid="{4A3B0F94-D93F-48AF-9542-34C99B0DAEA7}"/>
    <cellStyle name="Normal 20" xfId="39" xr:uid="{81860F1A-2172-4E0C-AB93-851569FB38AD}"/>
    <cellStyle name="Normal 20 2" xfId="41" xr:uid="{3148B996-8867-48F8-BDC5-4CCE4A8523E2}"/>
    <cellStyle name="Normal 20 2 2" xfId="45" xr:uid="{567FC6EC-AA8A-4C4C-9406-859BFBC37AD9}"/>
    <cellStyle name="Normal 3" xfId="15" xr:uid="{00000000-0005-0000-0000-000014000000}"/>
    <cellStyle name="Normal 4" xfId="16" xr:uid="{00000000-0005-0000-0000-000015000000}"/>
    <cellStyle name="Normal 5" xfId="17" xr:uid="{00000000-0005-0000-0000-000016000000}"/>
    <cellStyle name="Normal 6" xfId="18" xr:uid="{00000000-0005-0000-0000-000017000000}"/>
    <cellStyle name="Normal 7" xfId="19" xr:uid="{00000000-0005-0000-0000-000018000000}"/>
    <cellStyle name="Normal 8" xfId="20" xr:uid="{00000000-0005-0000-0000-000019000000}"/>
    <cellStyle name="Normal 9" xfId="21" xr:uid="{00000000-0005-0000-0000-00001A000000}"/>
    <cellStyle name="Percent 2" xfId="22" xr:uid="{00000000-0005-0000-0000-00001B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7CAA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2D050"/>
      <rgbColor rgb="FFFFCC00"/>
      <rgbColor rgb="FFF79646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10" Type="http://schemas.openxmlformats.org/officeDocument/2006/relationships/externalLink" Target="externalLinks/externalLink5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5\Shareholders%202025\05%20May%20Shareholders%202025\05%20H3%20KEVIN%20MAY%20METICAIS.xlsx" TargetMode="External"/><Relationship Id="rId1" Type="http://schemas.openxmlformats.org/officeDocument/2006/relationships/externalLinkPath" Target="file:///C:\Users\Andrisa\Dropbox\Andrisa\Landco\Accounts%202025\Shareholders%202025\05%20May%20Shareholders%202025\05%20H3%20KEVIN%20MAY%20METICAI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BDO%20Accounts%202026\01%20BDO%20Bank%20Control%202026.xlsx" TargetMode="External"/><Relationship Id="rId1" Type="http://schemas.openxmlformats.org/officeDocument/2006/relationships/externalLinkPath" Target="file:///C:\Users\Andrisa\Dropbox\Andrisa\Landco\Accounts%202026\BDO%20Accounts%202026\01%20BDO%20Bank%20Control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Landco%20Accounts%202026\01%20JAN%20ACCOUNTS\01%20Petty%20Cash%20PETTY%20CASH%202026.xlsx" TargetMode="External"/><Relationship Id="rId1" Type="http://schemas.openxmlformats.org/officeDocument/2006/relationships/externalLinkPath" Target="file:///C:\Users\Andrisa\Dropbox\Andrisa\Landco\Accounts%202026\Landco%20Accounts%202026\01%20JAN%20ACCOUNTS\01%20Petty%20Cash%20PETTY%20CASH%20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hareholders%202026\03%20Shareholders\03%20LUZ%20TAFY%202026.xlsx" TargetMode="External"/><Relationship Id="rId1" Type="http://schemas.openxmlformats.org/officeDocument/2006/relationships/externalLinkPath" Target="file:///C:\Users\Andrisa\Dropbox\Andrisa\Landco\Accounts%202026\Shareholders%202026\03%20Shareholders\03%20LUZ%20TAFY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hareholders%202026\04%20Shareholders\04%20AURORA%20STEAD%202026.xlsx" TargetMode="External"/><Relationship Id="rId1" Type="http://schemas.openxmlformats.org/officeDocument/2006/relationships/externalLinkPath" Target="file:///C:\Users\Andrisa\Dropbox\Andrisa\Landco\Accounts%202026\Shareholders%202026\04%20Shareholders\04%20AURORA%20STEAD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hareholders%202026\04%20Shareholders\04%20CAJU%20KEVIN%202026.xlsx" TargetMode="External"/><Relationship Id="rId1" Type="http://schemas.openxmlformats.org/officeDocument/2006/relationships/externalLinkPath" Target="file:///C:\Users\Andrisa\Dropbox\Andrisa\Landco\Accounts%202026\Shareholders%202026\04%20Shareholders\04%20CAJU%20KEVIN%202026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hareholders%202026\03%20Shareholders\03%20COCO%20COHEN2026.xlsx" TargetMode="External"/><Relationship Id="rId1" Type="http://schemas.openxmlformats.org/officeDocument/2006/relationships/externalLinkPath" Target="file:///C:\Users\Andrisa\Dropbox\Andrisa\Landco\Accounts%202026\Shareholders%202026\03%20Shareholders\03%20COCO%20COHEN2026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Landco%20Accounts%202026\02%20FEB%20ACCOUNTS\02%20Petty%20Cash%20PETTY%20CASH%202026.xlsx" TargetMode="External"/><Relationship Id="rId1" Type="http://schemas.openxmlformats.org/officeDocument/2006/relationships/externalLinkPath" Target="file:///C:\Users\Andrisa\Dropbox\Andrisa\Landco\Accounts%202026\Landco%20Accounts%202026\02%20FEB%20ACCOUNTS\02%20Petty%20Cash%20PETTY%20CASH%202026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BDO%20Accounts%202026\03%20BDO%20Bank%20Control%202026.xlsx" TargetMode="External"/><Relationship Id="rId1" Type="http://schemas.openxmlformats.org/officeDocument/2006/relationships/externalLinkPath" Target="file:///C:\Users\Andrisa\Dropbox\Andrisa\Landco\Accounts%202026\BDO%20Accounts%202026\03%20BDO%20Bank%20Control%20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Landco%20Accounts%202026\03%20MARCH%20ACCOUNTS\03%20Petty%20Cash%20PETTY%20CASH%202026.xlsx" TargetMode="External"/><Relationship Id="rId1" Type="http://schemas.openxmlformats.org/officeDocument/2006/relationships/externalLinkPath" Target="file:///C:\Users\Andrisa\Dropbox\Andrisa\Landco\Accounts%202026\Landco%20Accounts%202026\03%20MARCH%20ACCOUNTS\03%20Petty%20Cash%20PETTY%20CASH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counts Summary"/>
      <sheetName val="Breakdown of Income"/>
      <sheetName val="INCOME VS EXPENSES"/>
      <sheetName val="MAY Expenses"/>
    </sheetNames>
    <sheetDataSet>
      <sheetData sheetId="0"/>
      <sheetData sheetId="1">
        <row r="9">
          <cell r="C9">
            <v>420000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Creditors"/>
      <sheetName val="Shareholders investment"/>
      <sheetName val="Invoices "/>
      <sheetName val="BIM Bank Control USD"/>
      <sheetName val="BIM Bank Control Mtn"/>
      <sheetName val="Petty cash "/>
      <sheetName val="Pre-paid"/>
      <sheetName val="Folha de salarios"/>
      <sheetName val="Original Inv Outstanding"/>
    </sheetNames>
    <sheetDataSet>
      <sheetData sheetId="0"/>
      <sheetData sheetId="1"/>
      <sheetData sheetId="2"/>
      <sheetData sheetId="3"/>
      <sheetData sheetId="4">
        <row r="7">
          <cell r="I7">
            <v>416942.10249999998</v>
          </cell>
        </row>
      </sheetData>
      <sheetData sheetId="5">
        <row r="5">
          <cell r="L5">
            <v>663288.6100000001</v>
          </cell>
        </row>
        <row r="15">
          <cell r="G15">
            <v>232000</v>
          </cell>
        </row>
        <row r="16">
          <cell r="G16">
            <v>281750</v>
          </cell>
        </row>
        <row r="17">
          <cell r="G17">
            <v>435000</v>
          </cell>
        </row>
      </sheetData>
      <sheetData sheetId="6">
        <row r="7">
          <cell r="G7">
            <v>2125.56</v>
          </cell>
        </row>
      </sheetData>
      <sheetData sheetId="7">
        <row r="7">
          <cell r="G7">
            <v>18537</v>
          </cell>
        </row>
      </sheetData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DFuel (2)"/>
      <sheetName val="PARKS FEES"/>
      <sheetName val="LANDCO US$ CASH"/>
      <sheetName val="LANDCO MET CASH"/>
      <sheetName val="BEBE PC"/>
      <sheetName val="NEGU &amp; TACKLE"/>
      <sheetName val="Warren Cohen "/>
      <sheetName val="Alex &amp; Kevin"/>
      <sheetName val="Ablution"/>
      <sheetName val="Alex Room"/>
      <sheetName val="KrakenFuel"/>
      <sheetName val="RSDFuel"/>
      <sheetName val="Money received"/>
      <sheetName val="Warren Stead"/>
      <sheetName val="Brendon"/>
      <sheetName val="Robin Bouckaert"/>
      <sheetName val="Sheet1"/>
    </sheetNames>
    <sheetDataSet>
      <sheetData sheetId="0"/>
      <sheetData sheetId="1"/>
      <sheetData sheetId="2">
        <row r="20">
          <cell r="E20">
            <v>12125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ERY"/>
      <sheetName val="Breakdown of Income"/>
      <sheetName val="INCOME VS EXPENSES"/>
      <sheetName val=" Expenses "/>
      <sheetName val="Sheet1"/>
    </sheetNames>
    <sheetDataSet>
      <sheetData sheetId="0">
        <row r="19">
          <cell r="E19">
            <v>99370.135750000016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 SUMMERY "/>
      <sheetName val="INCOME "/>
      <sheetName val=" Expenses "/>
      <sheetName val="INCOME VS EXPENSES"/>
    </sheetNames>
    <sheetDataSet>
      <sheetData sheetId="0">
        <row r="19">
          <cell r="F19">
            <v>197931.38249999995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ERY"/>
      <sheetName val="Breakdown of Income"/>
      <sheetName val="INCOME VS EXPENSES"/>
      <sheetName val=" Expenses "/>
    </sheetNames>
    <sheetDataSet>
      <sheetData sheetId="0">
        <row r="3">
          <cell r="C3">
            <v>724450.72484999988</v>
          </cell>
        </row>
        <row r="19">
          <cell r="F19">
            <v>773264.78484999994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ERY "/>
      <sheetName val=" INCOME"/>
      <sheetName val=" Expenses "/>
      <sheetName val="INCOME VS EXPENSES"/>
    </sheetNames>
    <sheetDataSet>
      <sheetData sheetId="0">
        <row r="19">
          <cell r="F19">
            <v>878066.80249999999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DFuel (2)"/>
      <sheetName val="PARKS FEES"/>
      <sheetName val="LANDCO US$ CASH"/>
      <sheetName val="LANDCO MET CASH"/>
      <sheetName val="BEBE PC"/>
      <sheetName val="NEGU &amp; TACKLE"/>
      <sheetName val="Warren Cohen "/>
      <sheetName val="Alex &amp; Kevin"/>
      <sheetName val="Ablution"/>
      <sheetName val="Alex Room"/>
      <sheetName val="KrakenFuel"/>
      <sheetName val="RSDFuel"/>
      <sheetName val="Money received"/>
      <sheetName val="Warren Stead"/>
      <sheetName val="Brendon"/>
      <sheetName val="Robin Bouckaert"/>
      <sheetName val="Sheet1"/>
    </sheetNames>
    <sheetDataSet>
      <sheetData sheetId="0"/>
      <sheetData sheetId="1"/>
      <sheetData sheetId="2">
        <row r="11">
          <cell r="F11">
            <v>335000</v>
          </cell>
        </row>
      </sheetData>
      <sheetData sheetId="3">
        <row r="8">
          <cell r="F8">
            <v>212720</v>
          </cell>
        </row>
        <row r="9">
          <cell r="F9">
            <v>353506.96250000002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Creditors"/>
      <sheetName val="Shareholders investment"/>
      <sheetName val="Invoices "/>
      <sheetName val="BIM Bank Control USD"/>
      <sheetName val="BIM Bank Control Mtn"/>
      <sheetName val="Petty cash "/>
      <sheetName val="Pre-paid"/>
      <sheetName val="Folha de salarios"/>
      <sheetName val="Original Inv Outstanding"/>
    </sheetNames>
    <sheetDataSet>
      <sheetData sheetId="0" refreshError="1"/>
      <sheetData sheetId="1" refreshError="1"/>
      <sheetData sheetId="2" refreshError="1"/>
      <sheetData sheetId="3" refreshError="1"/>
      <sheetData sheetId="4">
        <row r="3">
          <cell r="J3">
            <v>227192.10249999998</v>
          </cell>
        </row>
        <row r="7">
          <cell r="J7">
            <v>606105.77500000002</v>
          </cell>
        </row>
      </sheetData>
      <sheetData sheetId="5">
        <row r="2">
          <cell r="J2">
            <v>258025.81000000017</v>
          </cell>
        </row>
        <row r="6">
          <cell r="J6">
            <v>272491.83999999985</v>
          </cell>
        </row>
      </sheetData>
      <sheetData sheetId="6">
        <row r="4">
          <cell r="G4">
            <v>-18889.39</v>
          </cell>
        </row>
        <row r="8">
          <cell r="G8">
            <v>-495</v>
          </cell>
        </row>
      </sheetData>
      <sheetData sheetId="7">
        <row r="4">
          <cell r="G4">
            <v>32537.27</v>
          </cell>
        </row>
        <row r="8">
          <cell r="G8">
            <v>32537.27</v>
          </cell>
        </row>
      </sheetData>
      <sheetData sheetId="8" refreshError="1"/>
      <sheetData sheetId="9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uel "/>
      <sheetName val="LANDCO US$ CASH"/>
      <sheetName val="LANDCO MET CASH"/>
      <sheetName val="BEBE PC"/>
      <sheetName val="NEGU &amp; TACKLE"/>
      <sheetName val="Warren Cohen "/>
      <sheetName val="Alex &amp; Kevin"/>
      <sheetName val="Ablution"/>
      <sheetName val="Alex Room"/>
      <sheetName val="KrakenFuel"/>
      <sheetName val="RSDFuel"/>
      <sheetName val="Warren Stead"/>
      <sheetName val="Brendon"/>
      <sheetName val="Robin Bouckaert"/>
    </sheetNames>
    <sheetDataSet>
      <sheetData sheetId="0"/>
      <sheetData sheetId="1"/>
      <sheetData sheetId="2">
        <row r="8">
          <cell r="F8">
            <v>213314</v>
          </cell>
        </row>
        <row r="9">
          <cell r="F9">
            <v>140192.96250000014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18FA2-4315-4C64-836B-01A381D91B9E}">
  <sheetPr>
    <pageSetUpPr fitToPage="1"/>
  </sheetPr>
  <dimension ref="A1:M797"/>
  <sheetViews>
    <sheetView tabSelected="1" zoomScale="80" zoomScaleNormal="80" workbookViewId="0">
      <pane xSplit="4" ySplit="6" topLeftCell="E43" activePane="bottomRight" state="frozen"/>
      <selection pane="topRight" activeCell="E1" sqref="E1"/>
      <selection pane="bottomLeft" activeCell="A7" sqref="A7"/>
      <selection pane="bottomRight" activeCell="C59" sqref="C59"/>
    </sheetView>
  </sheetViews>
  <sheetFormatPr defaultColWidth="14.42578125" defaultRowHeight="15" x14ac:dyDescent="0.3"/>
  <cols>
    <col min="1" max="1" width="11" style="1" customWidth="1"/>
    <col min="2" max="2" width="11" style="41" customWidth="1"/>
    <col min="3" max="3" width="51.5703125" style="1" customWidth="1"/>
    <col min="4" max="4" width="20.7109375" style="2" customWidth="1"/>
    <col min="5" max="6" width="15.7109375" style="1" customWidth="1"/>
    <col min="7" max="7" width="15.7109375" style="2" customWidth="1"/>
    <col min="8" max="9" width="15.7109375" style="1" customWidth="1"/>
    <col min="10" max="10" width="15.7109375" style="53" customWidth="1"/>
    <col min="11" max="11" width="15.7109375" style="1" customWidth="1"/>
    <col min="12" max="12" width="14.42578125" style="2"/>
    <col min="13" max="13" width="17" style="2" customWidth="1"/>
    <col min="14" max="16384" width="14.42578125" style="1"/>
  </cols>
  <sheetData>
    <row r="1" spans="1:11" ht="39" customHeight="1" x14ac:dyDescent="0.7">
      <c r="A1" s="3" t="s">
        <v>0</v>
      </c>
      <c r="B1" s="34"/>
      <c r="C1" s="4"/>
      <c r="D1" s="4" t="s">
        <v>7</v>
      </c>
      <c r="E1" s="2">
        <f>+E49</f>
        <v>0</v>
      </c>
      <c r="F1" s="156">
        <f>+E1/63.25</f>
        <v>0</v>
      </c>
    </row>
    <row r="2" spans="1:11" ht="15.75" customHeight="1" x14ac:dyDescent="0.3">
      <c r="A2" s="5"/>
      <c r="B2" s="35"/>
      <c r="D2" s="4" t="s">
        <v>8</v>
      </c>
      <c r="E2" s="2">
        <f>+F49</f>
        <v>0</v>
      </c>
      <c r="F2" s="156">
        <f t="shared" ref="F2:F4" si="0">+E2/63.25</f>
        <v>0</v>
      </c>
      <c r="G2" s="6"/>
      <c r="H2" s="7"/>
      <c r="I2" s="7"/>
    </row>
    <row r="3" spans="1:11" x14ac:dyDescent="0.3">
      <c r="A3" s="8"/>
      <c r="B3" s="36"/>
      <c r="C3" s="9"/>
      <c r="D3" s="4" t="s">
        <v>9</v>
      </c>
      <c r="E3" s="2">
        <f>+G49</f>
        <v>0</v>
      </c>
      <c r="F3" s="156">
        <f t="shared" si="0"/>
        <v>0</v>
      </c>
      <c r="G3" s="6"/>
      <c r="H3" s="10"/>
      <c r="I3" s="10"/>
    </row>
    <row r="4" spans="1:11" x14ac:dyDescent="0.3">
      <c r="A4" s="8"/>
      <c r="B4" s="36"/>
      <c r="C4" s="9"/>
      <c r="D4" s="4" t="s">
        <v>10</v>
      </c>
      <c r="E4" s="2">
        <f>+H49</f>
        <v>0</v>
      </c>
      <c r="F4" s="156">
        <f t="shared" si="0"/>
        <v>0</v>
      </c>
      <c r="G4" s="6"/>
      <c r="H4" s="10"/>
      <c r="I4" s="10"/>
    </row>
    <row r="5" spans="1:11" x14ac:dyDescent="0.3">
      <c r="A5" s="11"/>
      <c r="B5" s="37"/>
      <c r="C5" s="12"/>
      <c r="D5" s="4"/>
      <c r="E5" s="13">
        <f>SUM(E1:E4)</f>
        <v>0</v>
      </c>
      <c r="F5" s="156">
        <f>+E5/63.25</f>
        <v>0</v>
      </c>
      <c r="G5" s="14">
        <f>SUM(F1:F4)</f>
        <v>0</v>
      </c>
      <c r="H5" s="15"/>
      <c r="I5" s="15"/>
    </row>
    <row r="6" spans="1:11" ht="17.25" customHeight="1" x14ac:dyDescent="0.3">
      <c r="A6" s="16" t="s">
        <v>1</v>
      </c>
      <c r="B6" s="38" t="s">
        <v>15</v>
      </c>
      <c r="C6" s="16" t="s">
        <v>2</v>
      </c>
      <c r="D6" s="18" t="s">
        <v>3</v>
      </c>
      <c r="E6" s="16" t="s">
        <v>7</v>
      </c>
      <c r="F6" s="18" t="s">
        <v>8</v>
      </c>
      <c r="G6" s="18" t="s">
        <v>9</v>
      </c>
      <c r="H6" s="18" t="s">
        <v>10</v>
      </c>
      <c r="I6" s="18" t="s">
        <v>18</v>
      </c>
      <c r="J6" s="54" t="s">
        <v>17</v>
      </c>
      <c r="K6" s="58" t="s">
        <v>19</v>
      </c>
    </row>
    <row r="7" spans="1:11" ht="17.25" customHeight="1" x14ac:dyDescent="0.3">
      <c r="A7" s="19">
        <v>45659</v>
      </c>
      <c r="B7" s="39">
        <v>3</v>
      </c>
      <c r="C7" s="20" t="s">
        <v>4</v>
      </c>
      <c r="D7" s="22">
        <v>594297</v>
      </c>
      <c r="E7" s="21">
        <v>0</v>
      </c>
      <c r="F7" s="23"/>
      <c r="G7" s="24">
        <f>+D7</f>
        <v>594297</v>
      </c>
      <c r="H7" s="25"/>
      <c r="I7" s="26">
        <f>SUM(E7:H7)</f>
        <v>594297</v>
      </c>
      <c r="J7" s="55">
        <f>+D7/63.25</f>
        <v>9396</v>
      </c>
      <c r="K7" s="22">
        <f>SUM(I7:I9)</f>
        <v>1846127</v>
      </c>
    </row>
    <row r="8" spans="1:11" ht="17.25" customHeight="1" x14ac:dyDescent="0.3">
      <c r="A8" s="19">
        <v>45673</v>
      </c>
      <c r="B8" s="39">
        <v>2</v>
      </c>
      <c r="C8" s="20" t="s">
        <v>6</v>
      </c>
      <c r="D8" s="22">
        <v>958350</v>
      </c>
      <c r="E8" s="21"/>
      <c r="F8" s="24">
        <f>+D8</f>
        <v>958350</v>
      </c>
      <c r="G8" s="24"/>
      <c r="H8" s="25"/>
      <c r="I8" s="26">
        <f t="shared" ref="I8:I9" si="1">SUM(E8:H8)</f>
        <v>958350</v>
      </c>
      <c r="J8" s="55">
        <f>+D8/63.25</f>
        <v>15151.778656126482</v>
      </c>
      <c r="K8" s="21"/>
    </row>
    <row r="9" spans="1:11" ht="17.25" customHeight="1" x14ac:dyDescent="0.3">
      <c r="A9" s="19">
        <v>45681</v>
      </c>
      <c r="B9" s="39">
        <v>3</v>
      </c>
      <c r="C9" s="20" t="s">
        <v>4</v>
      </c>
      <c r="D9" s="22">
        <v>293480</v>
      </c>
      <c r="E9" s="21"/>
      <c r="F9" s="23"/>
      <c r="G9" s="24">
        <f>+D9</f>
        <v>293480</v>
      </c>
      <c r="H9" s="25"/>
      <c r="I9" s="26">
        <f t="shared" si="1"/>
        <v>293480</v>
      </c>
      <c r="J9" s="55">
        <f>+D9/63.25</f>
        <v>4640</v>
      </c>
      <c r="K9" s="21"/>
    </row>
    <row r="10" spans="1:11" ht="17.25" customHeight="1" x14ac:dyDescent="0.3">
      <c r="A10" s="16"/>
      <c r="B10" s="38"/>
      <c r="C10" s="16"/>
      <c r="D10" s="17"/>
      <c r="E10" s="16"/>
      <c r="F10" s="18"/>
      <c r="G10" s="17"/>
      <c r="H10" s="18"/>
      <c r="I10" s="47"/>
      <c r="J10" s="56"/>
      <c r="K10" s="56"/>
    </row>
    <row r="11" spans="1:11" ht="17.25" customHeight="1" x14ac:dyDescent="0.3">
      <c r="A11" s="48">
        <v>45713</v>
      </c>
      <c r="B11" s="40">
        <v>3</v>
      </c>
      <c r="C11" s="49" t="s">
        <v>38</v>
      </c>
      <c r="D11" s="22">
        <v>40200</v>
      </c>
      <c r="E11" s="21"/>
      <c r="F11" s="24"/>
      <c r="G11" s="24">
        <f>+D11</f>
        <v>40200</v>
      </c>
      <c r="H11" s="25"/>
      <c r="I11" s="26">
        <f>+D11</f>
        <v>40200</v>
      </c>
      <c r="J11" s="55">
        <f>+D11/67</f>
        <v>600</v>
      </c>
      <c r="K11" s="57">
        <f>+I11</f>
        <v>40200</v>
      </c>
    </row>
    <row r="12" spans="1:11" ht="17.25" customHeight="1" x14ac:dyDescent="0.3">
      <c r="A12" s="42"/>
      <c r="B12" s="50"/>
      <c r="C12" s="51"/>
      <c r="D12" s="44"/>
      <c r="E12" s="43"/>
      <c r="F12" s="45"/>
      <c r="G12" s="45"/>
      <c r="H12" s="46"/>
      <c r="I12" s="47"/>
      <c r="J12" s="56"/>
      <c r="K12" s="56"/>
    </row>
    <row r="13" spans="1:11" ht="17.25" customHeight="1" x14ac:dyDescent="0.3">
      <c r="A13" s="19">
        <v>45720</v>
      </c>
      <c r="B13" s="39">
        <v>3</v>
      </c>
      <c r="C13" s="20" t="s">
        <v>4</v>
      </c>
      <c r="D13" s="22">
        <v>751171</v>
      </c>
      <c r="E13" s="21"/>
      <c r="F13" s="21"/>
      <c r="G13" s="24">
        <f>+D13</f>
        <v>751171</v>
      </c>
      <c r="H13" s="25"/>
      <c r="I13" s="26">
        <f>SUM(E13:H13)</f>
        <v>751171</v>
      </c>
      <c r="J13" s="55">
        <f>+D13/63.25</f>
        <v>11876.221343873518</v>
      </c>
      <c r="K13" s="22">
        <f>SUM(D13:D16)</f>
        <v>2299693</v>
      </c>
    </row>
    <row r="14" spans="1:11" ht="17.25" customHeight="1" x14ac:dyDescent="0.3">
      <c r="A14" s="19">
        <v>45740</v>
      </c>
      <c r="B14" s="39">
        <v>4</v>
      </c>
      <c r="C14" s="20" t="s">
        <v>16</v>
      </c>
      <c r="D14" s="22">
        <f>6942*66</f>
        <v>458172</v>
      </c>
      <c r="E14" s="21"/>
      <c r="F14" s="21"/>
      <c r="G14" s="24"/>
      <c r="H14" s="25">
        <f>+D14</f>
        <v>458172</v>
      </c>
      <c r="I14" s="26">
        <f t="shared" ref="I14:I16" si="2">SUM(E14:H14)</f>
        <v>458172</v>
      </c>
      <c r="J14" s="55">
        <f>+D14/66</f>
        <v>6942</v>
      </c>
      <c r="K14" s="21"/>
    </row>
    <row r="15" spans="1:11" ht="17.25" customHeight="1" x14ac:dyDescent="0.3">
      <c r="A15" s="19">
        <v>45741</v>
      </c>
      <c r="B15" s="39">
        <v>2</v>
      </c>
      <c r="C15" s="20" t="s">
        <v>6</v>
      </c>
      <c r="D15" s="22">
        <v>958350</v>
      </c>
      <c r="E15" s="21"/>
      <c r="F15" s="22">
        <f>+D15</f>
        <v>958350</v>
      </c>
      <c r="G15" s="24"/>
      <c r="H15" s="25"/>
      <c r="I15" s="26">
        <f t="shared" si="2"/>
        <v>958350</v>
      </c>
      <c r="J15" s="55">
        <f>+D15/63.25</f>
        <v>15151.778656126482</v>
      </c>
      <c r="K15" s="21"/>
    </row>
    <row r="16" spans="1:11" ht="17.25" customHeight="1" x14ac:dyDescent="0.3">
      <c r="A16" s="19">
        <v>45741</v>
      </c>
      <c r="B16" s="39">
        <v>3</v>
      </c>
      <c r="C16" s="20" t="s">
        <v>4</v>
      </c>
      <c r="D16" s="22">
        <f>2000*66</f>
        <v>132000</v>
      </c>
      <c r="E16" s="21"/>
      <c r="F16" s="21"/>
      <c r="G16" s="24">
        <f>+D16</f>
        <v>132000</v>
      </c>
      <c r="H16" s="25"/>
      <c r="I16" s="26">
        <f t="shared" si="2"/>
        <v>132000</v>
      </c>
      <c r="J16" s="55">
        <f>+D16/66</f>
        <v>2000</v>
      </c>
      <c r="K16" s="21"/>
    </row>
    <row r="17" spans="1:11" ht="17.25" customHeight="1" x14ac:dyDescent="0.3">
      <c r="A17" s="42"/>
      <c r="B17" s="50"/>
      <c r="C17" s="51"/>
      <c r="D17" s="44"/>
      <c r="E17" s="43"/>
      <c r="F17" s="45"/>
      <c r="G17" s="45"/>
      <c r="H17" s="46"/>
      <c r="I17" s="47"/>
      <c r="J17" s="56"/>
      <c r="K17" s="56"/>
    </row>
    <row r="18" spans="1:11" ht="15.75" customHeight="1" x14ac:dyDescent="0.3">
      <c r="A18" s="19">
        <v>45763</v>
      </c>
      <c r="B18" s="39">
        <v>1</v>
      </c>
      <c r="C18" s="20" t="s">
        <v>25</v>
      </c>
      <c r="D18" s="22">
        <f>6950*67</f>
        <v>465650</v>
      </c>
      <c r="E18" s="22">
        <f>+D18</f>
        <v>465650</v>
      </c>
      <c r="F18" s="21"/>
      <c r="G18" s="22"/>
      <c r="H18" s="92"/>
      <c r="I18" s="157"/>
      <c r="J18" s="55">
        <v>6950</v>
      </c>
      <c r="K18" s="22">
        <f>SUM(D18:D20)</f>
        <v>923170</v>
      </c>
    </row>
    <row r="19" spans="1:11" ht="15.75" customHeight="1" x14ac:dyDescent="0.3">
      <c r="A19" s="19">
        <v>45763</v>
      </c>
      <c r="B19" s="39">
        <v>2</v>
      </c>
      <c r="C19" s="20" t="s">
        <v>26</v>
      </c>
      <c r="D19" s="22">
        <f>560*67</f>
        <v>37520</v>
      </c>
      <c r="E19" s="22"/>
      <c r="F19" s="22">
        <f>+D19</f>
        <v>37520</v>
      </c>
      <c r="G19" s="22"/>
      <c r="H19" s="92"/>
      <c r="I19" s="157"/>
      <c r="J19" s="55">
        <f>7*80</f>
        <v>560</v>
      </c>
      <c r="K19" s="21"/>
    </row>
    <row r="20" spans="1:11" ht="15.75" customHeight="1" x14ac:dyDescent="0.3">
      <c r="A20" s="19">
        <v>45777</v>
      </c>
      <c r="B20" s="39">
        <v>3</v>
      </c>
      <c r="C20" s="20" t="s">
        <v>27</v>
      </c>
      <c r="D20" s="22">
        <f>+'[1]Breakdown of Income'!$C$9</f>
        <v>420000</v>
      </c>
      <c r="E20" s="22"/>
      <c r="F20" s="94"/>
      <c r="G20" s="94">
        <f>+D20</f>
        <v>420000</v>
      </c>
      <c r="H20" s="95"/>
      <c r="I20" s="158"/>
      <c r="J20" s="55">
        <f>+G20/63.25</f>
        <v>6640.316205533597</v>
      </c>
      <c r="K20" s="21"/>
    </row>
    <row r="21" spans="1:11" ht="17.25" customHeight="1" x14ac:dyDescent="0.3">
      <c r="A21" s="42"/>
      <c r="B21" s="50"/>
      <c r="C21" s="51"/>
      <c r="D21" s="44"/>
      <c r="E21" s="44"/>
      <c r="F21" s="44"/>
      <c r="G21" s="44"/>
      <c r="H21" s="44"/>
      <c r="I21" s="44"/>
      <c r="J21" s="56"/>
      <c r="K21" s="56"/>
    </row>
    <row r="22" spans="1:11" ht="15.75" customHeight="1" x14ac:dyDescent="0.3">
      <c r="A22" s="19">
        <v>45800</v>
      </c>
      <c r="B22" s="39">
        <v>1</v>
      </c>
      <c r="C22" s="20" t="s">
        <v>28</v>
      </c>
      <c r="D22" s="22">
        <f>5000*62</f>
        <v>310000</v>
      </c>
      <c r="E22" s="22">
        <f>+D22</f>
        <v>310000</v>
      </c>
      <c r="F22" s="21"/>
      <c r="G22" s="22"/>
      <c r="H22" s="92"/>
      <c r="I22" s="157"/>
      <c r="J22" s="55">
        <v>5000</v>
      </c>
      <c r="K22" s="22">
        <f>SUM(D22:D24)</f>
        <v>1268350</v>
      </c>
    </row>
    <row r="23" spans="1:11" ht="17.25" customHeight="1" x14ac:dyDescent="0.3">
      <c r="A23" s="42"/>
      <c r="B23" s="50"/>
      <c r="C23" s="51"/>
      <c r="D23" s="44"/>
      <c r="E23" s="44"/>
      <c r="F23" s="44"/>
      <c r="G23" s="44"/>
      <c r="H23" s="44"/>
      <c r="I23" s="44"/>
      <c r="J23" s="56"/>
      <c r="K23" s="56"/>
    </row>
    <row r="24" spans="1:11" ht="15.75" customHeight="1" x14ac:dyDescent="0.3">
      <c r="A24" s="19">
        <v>45811</v>
      </c>
      <c r="B24" s="39">
        <v>1</v>
      </c>
      <c r="C24" s="20" t="s">
        <v>4</v>
      </c>
      <c r="D24" s="22">
        <v>958350</v>
      </c>
      <c r="E24" s="22"/>
      <c r="F24" s="21"/>
      <c r="G24" s="22">
        <f>+D24</f>
        <v>958350</v>
      </c>
      <c r="H24" s="92"/>
      <c r="I24" s="157"/>
      <c r="J24" s="55">
        <f>+D24/63.25</f>
        <v>15151.778656126482</v>
      </c>
      <c r="K24" s="22">
        <f>SUM(D24:D26)</f>
        <v>2865450</v>
      </c>
    </row>
    <row r="25" spans="1:11" ht="15.75" customHeight="1" x14ac:dyDescent="0.3">
      <c r="A25" s="19">
        <v>45828</v>
      </c>
      <c r="B25" s="39">
        <v>4</v>
      </c>
      <c r="C25" s="20" t="s">
        <v>29</v>
      </c>
      <c r="D25" s="22">
        <f>15000*63.25</f>
        <v>948750</v>
      </c>
      <c r="E25" s="22"/>
      <c r="F25" s="22"/>
      <c r="G25" s="22"/>
      <c r="H25" s="92">
        <f>+D25</f>
        <v>948750</v>
      </c>
      <c r="I25" s="157"/>
      <c r="J25" s="55">
        <f>+D25/63.25</f>
        <v>15000</v>
      </c>
      <c r="K25" s="21"/>
    </row>
    <row r="26" spans="1:11" ht="15.75" customHeight="1" x14ac:dyDescent="0.3">
      <c r="A26" s="19">
        <v>45829</v>
      </c>
      <c r="B26" s="39">
        <v>3</v>
      </c>
      <c r="C26" s="20" t="s">
        <v>6</v>
      </c>
      <c r="D26" s="22">
        <v>958350</v>
      </c>
      <c r="E26" s="22"/>
      <c r="F26" s="94">
        <f>+D26</f>
        <v>958350</v>
      </c>
      <c r="G26" s="94"/>
      <c r="H26" s="95"/>
      <c r="I26" s="158"/>
      <c r="J26" s="55">
        <f>+D26/63.25</f>
        <v>15151.778656126482</v>
      </c>
      <c r="K26" s="21"/>
    </row>
    <row r="27" spans="1:11" ht="17.25" customHeight="1" x14ac:dyDescent="0.3">
      <c r="A27" s="42"/>
      <c r="B27" s="50"/>
      <c r="C27" s="51"/>
      <c r="D27" s="44"/>
      <c r="E27" s="44"/>
      <c r="F27" s="44"/>
      <c r="G27" s="44"/>
      <c r="H27" s="44"/>
      <c r="I27" s="44"/>
      <c r="J27" s="56"/>
      <c r="K27" s="56"/>
    </row>
    <row r="28" spans="1:11" ht="15.75" customHeight="1" x14ac:dyDescent="0.3">
      <c r="A28" s="19">
        <v>45854</v>
      </c>
      <c r="B28" s="39">
        <v>1</v>
      </c>
      <c r="C28" s="20" t="s">
        <v>36</v>
      </c>
      <c r="D28" s="22">
        <f>+J28*67</f>
        <v>335000</v>
      </c>
      <c r="E28" s="22">
        <f>+D28</f>
        <v>335000</v>
      </c>
      <c r="F28" s="21"/>
      <c r="G28" s="22"/>
      <c r="H28" s="92"/>
      <c r="I28" s="157"/>
      <c r="J28" s="55">
        <v>5000</v>
      </c>
      <c r="K28" s="22">
        <f>SUM(D28:D291)</f>
        <v>9328205</v>
      </c>
    </row>
    <row r="29" spans="1:11" ht="15.75" customHeight="1" x14ac:dyDescent="0.3">
      <c r="A29" s="19">
        <v>45855</v>
      </c>
      <c r="B29" s="39">
        <v>4</v>
      </c>
      <c r="C29" s="20" t="s">
        <v>37</v>
      </c>
      <c r="D29" s="22">
        <f>1470*67</f>
        <v>98490</v>
      </c>
      <c r="E29" s="22"/>
      <c r="F29" s="22"/>
      <c r="G29" s="22"/>
      <c r="H29" s="92">
        <f>+D29</f>
        <v>98490</v>
      </c>
      <c r="I29" s="157"/>
      <c r="J29" s="55">
        <v>1470</v>
      </c>
      <c r="K29" s="21"/>
    </row>
    <row r="30" spans="1:11" ht="17.25" customHeight="1" x14ac:dyDescent="0.3">
      <c r="A30" s="42"/>
      <c r="B30" s="50"/>
      <c r="C30" s="51"/>
      <c r="D30" s="44"/>
      <c r="E30" s="44"/>
      <c r="F30" s="44"/>
      <c r="G30" s="44"/>
      <c r="H30" s="44"/>
      <c r="I30" s="44"/>
      <c r="J30" s="56"/>
      <c r="K30" s="56"/>
    </row>
    <row r="31" spans="1:11" ht="15.75" customHeight="1" x14ac:dyDescent="0.3">
      <c r="A31" s="19">
        <v>45880</v>
      </c>
      <c r="B31" s="39">
        <v>1</v>
      </c>
      <c r="C31" s="124" t="s">
        <v>39</v>
      </c>
      <c r="D31" s="22">
        <f>+J31*68</f>
        <v>68000</v>
      </c>
      <c r="E31" s="22">
        <f>+D31</f>
        <v>68000</v>
      </c>
      <c r="F31" s="21"/>
      <c r="G31" s="22"/>
      <c r="H31" s="92"/>
      <c r="I31" s="157"/>
      <c r="J31" s="55">
        <v>1000</v>
      </c>
      <c r="K31" s="22">
        <f>SUM(D31:D294)</f>
        <v>8894715</v>
      </c>
    </row>
    <row r="32" spans="1:11" ht="15.75" customHeight="1" x14ac:dyDescent="0.3">
      <c r="A32" s="19">
        <v>45894</v>
      </c>
      <c r="B32" s="39">
        <v>2</v>
      </c>
      <c r="C32" s="124" t="s">
        <v>74</v>
      </c>
      <c r="D32" s="22">
        <f>+J32*68</f>
        <v>119000</v>
      </c>
      <c r="E32" s="22"/>
      <c r="F32" s="22">
        <f>+D32</f>
        <v>119000</v>
      </c>
      <c r="G32" s="22"/>
      <c r="H32" s="92"/>
      <c r="I32" s="157"/>
      <c r="J32" s="55">
        <f>1250+500</f>
        <v>1750</v>
      </c>
      <c r="K32" s="22"/>
    </row>
    <row r="33" spans="1:11" ht="17.25" customHeight="1" x14ac:dyDescent="0.3">
      <c r="A33" s="42"/>
      <c r="B33" s="50"/>
      <c r="C33" s="51"/>
      <c r="D33" s="44"/>
      <c r="E33" s="44"/>
      <c r="F33" s="44"/>
      <c r="G33" s="44"/>
      <c r="H33" s="44"/>
      <c r="I33" s="44"/>
      <c r="J33" s="56"/>
      <c r="K33" s="56"/>
    </row>
    <row r="34" spans="1:11" ht="17.25" customHeight="1" x14ac:dyDescent="0.3">
      <c r="A34" s="19">
        <v>45912</v>
      </c>
      <c r="B34" s="39">
        <v>3</v>
      </c>
      <c r="C34" s="20" t="s">
        <v>4</v>
      </c>
      <c r="D34" s="22">
        <v>638900</v>
      </c>
      <c r="E34" s="21"/>
      <c r="F34" s="21"/>
      <c r="G34" s="24">
        <f>+D34</f>
        <v>638900</v>
      </c>
      <c r="H34" s="25"/>
      <c r="I34" s="26">
        <f>SUM(E34:H34)</f>
        <v>638900</v>
      </c>
      <c r="J34" s="55">
        <f>+D34/63.25</f>
        <v>10101.185770750988</v>
      </c>
      <c r="K34" s="22">
        <f>SUM(D34:D37)</f>
        <v>1641540</v>
      </c>
    </row>
    <row r="35" spans="1:11" ht="15.75" customHeight="1" x14ac:dyDescent="0.3">
      <c r="A35" s="19">
        <v>45922</v>
      </c>
      <c r="B35" s="39">
        <v>4</v>
      </c>
      <c r="C35" s="124" t="s">
        <v>42</v>
      </c>
      <c r="D35" s="22">
        <v>60720</v>
      </c>
      <c r="E35" s="22"/>
      <c r="F35" s="22"/>
      <c r="G35" s="22"/>
      <c r="H35" s="92">
        <f>+D35</f>
        <v>60720</v>
      </c>
      <c r="I35" s="157"/>
      <c r="J35" s="55">
        <f>+D35/69</f>
        <v>880</v>
      </c>
      <c r="K35" s="22"/>
    </row>
    <row r="36" spans="1:11" ht="17.25" customHeight="1" x14ac:dyDescent="0.3">
      <c r="A36" s="42"/>
      <c r="B36" s="50"/>
      <c r="C36" s="51"/>
      <c r="D36" s="44"/>
      <c r="E36" s="44"/>
      <c r="F36" s="44"/>
      <c r="G36" s="44"/>
      <c r="H36" s="44"/>
      <c r="I36" s="44"/>
      <c r="J36" s="56"/>
      <c r="K36" s="56"/>
    </row>
    <row r="37" spans="1:11" ht="15.75" customHeight="1" x14ac:dyDescent="0.3">
      <c r="A37" s="19">
        <v>45940</v>
      </c>
      <c r="B37" s="159">
        <v>2</v>
      </c>
      <c r="C37" s="160" t="s">
        <v>75</v>
      </c>
      <c r="D37" s="22">
        <f>617120+324800</f>
        <v>941920</v>
      </c>
      <c r="E37" s="21"/>
      <c r="F37" s="22">
        <f>+D37</f>
        <v>941920</v>
      </c>
      <c r="G37" s="22"/>
      <c r="H37" s="21"/>
      <c r="I37" s="21"/>
      <c r="J37" s="55">
        <f>+D37/63.25</f>
        <v>14892.01581027668</v>
      </c>
      <c r="K37" s="22">
        <f>SUM(D37:D39)</f>
        <v>2112970</v>
      </c>
    </row>
    <row r="38" spans="1:11" ht="15.75" customHeight="1" x14ac:dyDescent="0.3">
      <c r="A38" s="19">
        <v>45953</v>
      </c>
      <c r="B38" s="159">
        <v>3</v>
      </c>
      <c r="C38" s="160" t="s">
        <v>82</v>
      </c>
      <c r="D38" s="22">
        <v>222300</v>
      </c>
      <c r="E38" s="21"/>
      <c r="F38" s="22"/>
      <c r="G38" s="22">
        <f>57000*3.9</f>
        <v>222300</v>
      </c>
      <c r="H38" s="21"/>
      <c r="I38" s="21"/>
      <c r="J38" s="55">
        <v>3000</v>
      </c>
      <c r="K38" s="21"/>
    </row>
    <row r="39" spans="1:11" ht="15.75" customHeight="1" x14ac:dyDescent="0.3">
      <c r="A39" s="19">
        <v>45954</v>
      </c>
      <c r="B39" s="159">
        <v>4</v>
      </c>
      <c r="C39" s="20" t="s">
        <v>29</v>
      </c>
      <c r="D39" s="22">
        <f>15000*63.25</f>
        <v>948750</v>
      </c>
      <c r="E39" s="21"/>
      <c r="F39" s="22"/>
      <c r="G39" s="22"/>
      <c r="H39" s="22">
        <f>15000*63.25</f>
        <v>948750</v>
      </c>
      <c r="I39" s="21"/>
      <c r="J39" s="55">
        <f>+H39/63.25</f>
        <v>15000</v>
      </c>
      <c r="K39" s="21"/>
    </row>
    <row r="40" spans="1:11" ht="17.25" customHeight="1" x14ac:dyDescent="0.3">
      <c r="A40" s="42"/>
      <c r="B40" s="50"/>
      <c r="C40" s="51"/>
      <c r="D40" s="44"/>
      <c r="E40" s="44"/>
      <c r="F40" s="44"/>
      <c r="G40" s="44"/>
      <c r="H40" s="44"/>
      <c r="I40" s="44"/>
      <c r="J40" s="56"/>
      <c r="K40" s="56"/>
    </row>
    <row r="41" spans="1:11" ht="15.75" customHeight="1" x14ac:dyDescent="0.3">
      <c r="A41" s="19">
        <v>45979</v>
      </c>
      <c r="B41" s="159">
        <v>3</v>
      </c>
      <c r="C41" s="160" t="s">
        <v>4</v>
      </c>
      <c r="D41" s="22">
        <v>948750</v>
      </c>
      <c r="E41" s="21"/>
      <c r="F41" s="22"/>
      <c r="G41" s="22">
        <f>+D41</f>
        <v>948750</v>
      </c>
      <c r="H41" s="21"/>
      <c r="I41" s="21"/>
      <c r="J41" s="55">
        <f>+D41/63.25</f>
        <v>15000</v>
      </c>
      <c r="K41" s="22">
        <f>SUM(D41:D44)</f>
        <v>1522150</v>
      </c>
    </row>
    <row r="42" spans="1:11" ht="15.75" customHeight="1" x14ac:dyDescent="0.3">
      <c r="A42" s="19">
        <v>45980</v>
      </c>
      <c r="B42" s="159">
        <v>2</v>
      </c>
      <c r="C42" s="160" t="s">
        <v>80</v>
      </c>
      <c r="D42" s="22">
        <f>320*70</f>
        <v>22400</v>
      </c>
      <c r="E42" s="21"/>
      <c r="F42" s="22">
        <f>+D42</f>
        <v>22400</v>
      </c>
      <c r="G42" s="22"/>
      <c r="H42" s="21"/>
      <c r="I42" s="21"/>
      <c r="J42" s="55">
        <v>320</v>
      </c>
      <c r="K42" s="22"/>
    </row>
    <row r="43" spans="1:11" ht="15.75" customHeight="1" x14ac:dyDescent="0.3">
      <c r="A43" s="19">
        <v>45986</v>
      </c>
      <c r="B43" s="159">
        <v>1</v>
      </c>
      <c r="C43" s="160" t="s">
        <v>79</v>
      </c>
      <c r="D43" s="22">
        <f>551000</f>
        <v>551000</v>
      </c>
      <c r="E43" s="22">
        <f>+D43</f>
        <v>551000</v>
      </c>
      <c r="F43" s="22"/>
      <c r="G43" s="22"/>
      <c r="H43" s="21"/>
      <c r="I43" s="21"/>
      <c r="J43" s="55">
        <f>+D43/63.25</f>
        <v>8711.4624505928859</v>
      </c>
      <c r="K43" s="21"/>
    </row>
    <row r="44" spans="1:11" ht="17.25" customHeight="1" x14ac:dyDescent="0.3">
      <c r="A44" s="42"/>
      <c r="B44" s="50"/>
      <c r="C44" s="51"/>
      <c r="D44" s="44"/>
      <c r="E44" s="44"/>
      <c r="F44" s="44"/>
      <c r="G44" s="44"/>
      <c r="H44" s="44"/>
      <c r="I44" s="44"/>
      <c r="J44" s="56"/>
      <c r="K44" s="56"/>
    </row>
    <row r="45" spans="1:11" ht="15.75" customHeight="1" x14ac:dyDescent="0.3">
      <c r="A45" s="19">
        <v>46007</v>
      </c>
      <c r="B45" s="159">
        <v>2</v>
      </c>
      <c r="C45" s="160" t="s">
        <v>80</v>
      </c>
      <c r="D45" s="22">
        <f>800*69</f>
        <v>55200</v>
      </c>
      <c r="E45" s="21"/>
      <c r="F45" s="22">
        <f>+D45</f>
        <v>55200</v>
      </c>
      <c r="G45" s="22"/>
      <c r="H45" s="21"/>
      <c r="I45" s="21"/>
      <c r="J45" s="55">
        <v>800</v>
      </c>
      <c r="K45" s="22"/>
    </row>
    <row r="46" spans="1:11" ht="15.75" customHeight="1" x14ac:dyDescent="0.3">
      <c r="A46" s="19">
        <v>46020</v>
      </c>
      <c r="B46" s="159">
        <v>1</v>
      </c>
      <c r="C46" s="160" t="s">
        <v>90</v>
      </c>
      <c r="D46" s="22">
        <f>3000*69</f>
        <v>207000</v>
      </c>
      <c r="E46" s="22">
        <f>+D46</f>
        <v>207000</v>
      </c>
      <c r="F46" s="22"/>
      <c r="G46" s="22"/>
      <c r="H46" s="21"/>
      <c r="I46" s="21"/>
      <c r="J46" s="55">
        <v>3000</v>
      </c>
      <c r="K46" s="22"/>
    </row>
    <row r="47" spans="1:11" ht="15.75" customHeight="1" x14ac:dyDescent="0.3">
      <c r="A47" s="19">
        <v>46020</v>
      </c>
      <c r="B47" s="159">
        <v>3</v>
      </c>
      <c r="C47" s="160" t="s">
        <v>83</v>
      </c>
      <c r="D47" s="22"/>
      <c r="E47" s="22"/>
      <c r="F47" s="22"/>
      <c r="G47" s="22">
        <f>+D47</f>
        <v>0</v>
      </c>
      <c r="H47" s="21"/>
      <c r="I47" s="21"/>
      <c r="J47" s="55"/>
      <c r="K47" s="22"/>
    </row>
    <row r="48" spans="1:11" ht="15.75" customHeight="1" x14ac:dyDescent="0.3">
      <c r="A48" s="19">
        <v>46020</v>
      </c>
      <c r="B48" s="159">
        <v>4</v>
      </c>
      <c r="C48" s="160" t="s">
        <v>91</v>
      </c>
      <c r="D48" s="22">
        <f>9000*63.25</f>
        <v>569250</v>
      </c>
      <c r="E48" s="22"/>
      <c r="F48" s="22"/>
      <c r="G48" s="22"/>
      <c r="H48" s="22">
        <f>+D48</f>
        <v>569250</v>
      </c>
      <c r="I48" s="21"/>
      <c r="J48" s="55">
        <v>9000</v>
      </c>
      <c r="K48" s="22"/>
    </row>
    <row r="49" spans="1:11" ht="17.25" customHeight="1" x14ac:dyDescent="0.3">
      <c r="A49" s="42"/>
      <c r="B49" s="50"/>
      <c r="C49" s="51"/>
      <c r="D49" s="44"/>
      <c r="E49" s="44"/>
      <c r="F49" s="44"/>
      <c r="G49" s="44"/>
      <c r="H49" s="44"/>
      <c r="I49" s="44"/>
      <c r="J49" s="56"/>
      <c r="K49" s="44"/>
    </row>
    <row r="50" spans="1:11" ht="17.25" customHeight="1" x14ac:dyDescent="0.3">
      <c r="A50" s="257">
        <v>46031</v>
      </c>
      <c r="B50" s="258">
        <v>2</v>
      </c>
      <c r="C50" s="261" t="s">
        <v>95</v>
      </c>
      <c r="D50" s="259">
        <f>SUM('[2]BIM Bank Control Mtn'!$G$15:$G$17)</f>
        <v>948750</v>
      </c>
      <c r="E50" s="259"/>
      <c r="F50" s="259">
        <f>+D50</f>
        <v>948750</v>
      </c>
      <c r="G50" s="259"/>
      <c r="H50" s="259"/>
      <c r="I50" s="259"/>
      <c r="J50" s="260">
        <f>+D50/63.25</f>
        <v>15000</v>
      </c>
      <c r="K50" s="260"/>
    </row>
    <row r="51" spans="1:11" ht="15.75" customHeight="1" x14ac:dyDescent="0.3">
      <c r="A51" s="19">
        <v>46038</v>
      </c>
      <c r="B51" s="159">
        <v>1</v>
      </c>
      <c r="C51" s="160" t="s">
        <v>94</v>
      </c>
      <c r="D51" s="22">
        <f>+J51*67</f>
        <v>812375</v>
      </c>
      <c r="E51" s="22">
        <f>+D51</f>
        <v>812375</v>
      </c>
      <c r="F51" s="22"/>
      <c r="G51" s="22"/>
      <c r="H51" s="21"/>
      <c r="I51" s="21"/>
      <c r="J51" s="55">
        <f>+'[3]LANDCO US$ CASH'!$E$20</f>
        <v>12125</v>
      </c>
      <c r="K51" s="22"/>
    </row>
    <row r="52" spans="1:11" ht="17.25" customHeight="1" x14ac:dyDescent="0.3">
      <c r="A52" s="42"/>
      <c r="B52" s="50"/>
      <c r="C52" s="51"/>
      <c r="D52" s="44"/>
      <c r="E52" s="44"/>
      <c r="F52" s="44"/>
      <c r="G52" s="44"/>
      <c r="H52" s="44"/>
      <c r="I52" s="44"/>
      <c r="J52" s="56"/>
      <c r="K52" s="44"/>
    </row>
    <row r="53" spans="1:11" ht="15.75" customHeight="1" x14ac:dyDescent="0.3">
      <c r="A53" s="19">
        <v>46069</v>
      </c>
      <c r="B53" s="159">
        <v>1</v>
      </c>
      <c r="C53" s="160" t="s">
        <v>94</v>
      </c>
      <c r="D53" s="22">
        <f>+J53*67</f>
        <v>335000</v>
      </c>
      <c r="E53" s="22">
        <f>+D53</f>
        <v>335000</v>
      </c>
      <c r="F53" s="22"/>
      <c r="G53" s="22"/>
      <c r="H53" s="21"/>
      <c r="I53" s="21"/>
      <c r="J53" s="55">
        <v>5000</v>
      </c>
      <c r="K53" s="22"/>
    </row>
    <row r="54" spans="1:11" ht="17.25" customHeight="1" x14ac:dyDescent="0.3">
      <c r="A54" s="42"/>
      <c r="B54" s="50"/>
      <c r="C54" s="51"/>
      <c r="D54" s="44"/>
      <c r="E54" s="44"/>
      <c r="F54" s="44"/>
      <c r="G54" s="44"/>
      <c r="H54" s="44"/>
      <c r="I54" s="44"/>
      <c r="J54" s="56"/>
      <c r="K54" s="44"/>
    </row>
    <row r="55" spans="1:11" ht="15.75" customHeight="1" x14ac:dyDescent="0.3">
      <c r="A55" s="19">
        <v>46097</v>
      </c>
      <c r="B55" s="159">
        <v>1</v>
      </c>
      <c r="C55" s="160" t="s">
        <v>99</v>
      </c>
      <c r="D55" s="22">
        <v>38400</v>
      </c>
      <c r="E55" s="22">
        <v>38400</v>
      </c>
      <c r="F55" s="22"/>
      <c r="G55" s="22"/>
      <c r="H55" s="22"/>
      <c r="I55" s="21"/>
      <c r="J55" s="55">
        <f>+D55/63.25</f>
        <v>607.11462450592887</v>
      </c>
      <c r="K55" s="22"/>
    </row>
    <row r="56" spans="1:11" ht="15.75" customHeight="1" x14ac:dyDescent="0.3">
      <c r="A56" s="19">
        <v>46097</v>
      </c>
      <c r="B56" s="159">
        <v>4</v>
      </c>
      <c r="C56" s="20" t="s">
        <v>29</v>
      </c>
      <c r="D56" s="22">
        <f>+J56*67</f>
        <v>1407000</v>
      </c>
      <c r="E56" s="22"/>
      <c r="F56" s="22"/>
      <c r="G56" s="22"/>
      <c r="H56" s="22">
        <f>21000*63.25</f>
        <v>1328250</v>
      </c>
      <c r="I56" s="21"/>
      <c r="J56" s="55">
        <f>+H56/63.25</f>
        <v>21000</v>
      </c>
      <c r="K56" s="22"/>
    </row>
    <row r="57" spans="1:11" ht="17.25" customHeight="1" x14ac:dyDescent="0.3">
      <c r="A57" s="42"/>
      <c r="B57" s="50"/>
      <c r="C57" s="51"/>
      <c r="D57" s="44"/>
      <c r="E57" s="44"/>
      <c r="F57" s="44"/>
      <c r="G57" s="44"/>
      <c r="H57" s="44"/>
      <c r="I57" s="44"/>
      <c r="J57" s="56"/>
      <c r="K57" s="44"/>
    </row>
    <row r="58" spans="1:11" ht="15.75" customHeight="1" x14ac:dyDescent="0.3"/>
    <row r="59" spans="1:11" ht="15.75" customHeight="1" x14ac:dyDescent="0.3"/>
    <row r="60" spans="1:11" ht="15.75" customHeight="1" x14ac:dyDescent="0.3"/>
    <row r="61" spans="1:11" ht="15.75" customHeight="1" x14ac:dyDescent="0.3"/>
    <row r="62" spans="1:11" ht="15.75" customHeight="1" x14ac:dyDescent="0.3"/>
    <row r="63" spans="1:11" ht="15.75" customHeight="1" x14ac:dyDescent="0.3"/>
    <row r="64" spans="1:11" ht="15.75" customHeight="1" x14ac:dyDescent="0.3"/>
    <row r="65" spans="1:9" ht="15.75" customHeight="1" x14ac:dyDescent="0.3"/>
    <row r="66" spans="1:9" ht="15.75" customHeight="1" x14ac:dyDescent="0.3"/>
    <row r="67" spans="1:9" ht="15.75" customHeight="1" x14ac:dyDescent="0.3"/>
    <row r="68" spans="1:9" ht="15.75" customHeight="1" x14ac:dyDescent="0.3"/>
    <row r="69" spans="1:9" ht="15.75" customHeight="1" x14ac:dyDescent="0.3">
      <c r="A69" s="5"/>
      <c r="B69" s="35"/>
      <c r="C69" s="4"/>
      <c r="I69" s="27"/>
    </row>
    <row r="70" spans="1:9" ht="15.75" customHeight="1" x14ac:dyDescent="0.3">
      <c r="A70" s="5"/>
      <c r="B70" s="35"/>
      <c r="C70" s="4"/>
      <c r="I70" s="27"/>
    </row>
    <row r="71" spans="1:9" ht="15.75" customHeight="1" x14ac:dyDescent="0.3">
      <c r="A71" s="5"/>
      <c r="B71" s="35"/>
      <c r="C71" s="4"/>
      <c r="I71" s="27"/>
    </row>
    <row r="72" spans="1:9" ht="15.75" customHeight="1" x14ac:dyDescent="0.3">
      <c r="A72" s="5"/>
      <c r="B72" s="35"/>
      <c r="C72" s="4"/>
      <c r="I72" s="27"/>
    </row>
    <row r="73" spans="1:9" ht="15.75" customHeight="1" x14ac:dyDescent="0.3">
      <c r="A73" s="5"/>
      <c r="B73" s="35"/>
      <c r="C73" s="4"/>
      <c r="I73" s="27"/>
    </row>
    <row r="74" spans="1:9" ht="15.75" customHeight="1" x14ac:dyDescent="0.3">
      <c r="A74" s="5"/>
      <c r="B74" s="35"/>
      <c r="C74" s="4"/>
      <c r="I74" s="27"/>
    </row>
    <row r="75" spans="1:9" ht="15.75" customHeight="1" x14ac:dyDescent="0.3">
      <c r="A75" s="5"/>
      <c r="B75" s="35"/>
      <c r="C75" s="4"/>
      <c r="I75" s="27"/>
    </row>
    <row r="76" spans="1:9" ht="15.75" customHeight="1" x14ac:dyDescent="0.3">
      <c r="A76" s="5"/>
      <c r="B76" s="35"/>
      <c r="C76" s="4"/>
      <c r="I76" s="27"/>
    </row>
    <row r="77" spans="1:9" ht="15.75" customHeight="1" x14ac:dyDescent="0.3">
      <c r="A77" s="5"/>
      <c r="B77" s="35"/>
      <c r="C77" s="4"/>
      <c r="I77" s="27"/>
    </row>
    <row r="78" spans="1:9" ht="15.75" customHeight="1" x14ac:dyDescent="0.3">
      <c r="A78" s="5"/>
      <c r="B78" s="35"/>
      <c r="C78" s="4"/>
      <c r="I78" s="27"/>
    </row>
    <row r="79" spans="1:9" ht="15.75" customHeight="1" x14ac:dyDescent="0.3">
      <c r="A79" s="5"/>
      <c r="B79" s="35"/>
      <c r="C79" s="4"/>
      <c r="I79" s="27"/>
    </row>
    <row r="80" spans="1:9" ht="15.75" customHeight="1" x14ac:dyDescent="0.3">
      <c r="A80" s="5"/>
      <c r="B80" s="35"/>
      <c r="C80" s="4"/>
      <c r="I80" s="27"/>
    </row>
    <row r="81" spans="1:9" ht="15.75" customHeight="1" x14ac:dyDescent="0.3">
      <c r="A81" s="5"/>
      <c r="B81" s="35"/>
      <c r="C81" s="4"/>
      <c r="I81" s="27"/>
    </row>
    <row r="82" spans="1:9" ht="15.75" customHeight="1" x14ac:dyDescent="0.3">
      <c r="A82" s="5"/>
      <c r="B82" s="35"/>
      <c r="C82" s="4"/>
      <c r="I82" s="27"/>
    </row>
    <row r="83" spans="1:9" ht="15.75" customHeight="1" x14ac:dyDescent="0.3">
      <c r="A83" s="5"/>
      <c r="B83" s="35"/>
      <c r="C83" s="4"/>
      <c r="I83" s="27"/>
    </row>
    <row r="84" spans="1:9" ht="15.75" customHeight="1" x14ac:dyDescent="0.3">
      <c r="A84" s="5"/>
      <c r="B84" s="35"/>
      <c r="C84" s="4"/>
      <c r="I84" s="27"/>
    </row>
    <row r="85" spans="1:9" ht="15.75" customHeight="1" x14ac:dyDescent="0.3">
      <c r="A85" s="5"/>
      <c r="B85" s="35"/>
      <c r="C85" s="4"/>
      <c r="I85" s="27"/>
    </row>
    <row r="86" spans="1:9" ht="15.75" customHeight="1" x14ac:dyDescent="0.3">
      <c r="A86" s="5"/>
      <c r="B86" s="35"/>
      <c r="C86" s="4"/>
      <c r="I86" s="27"/>
    </row>
    <row r="87" spans="1:9" ht="15.75" customHeight="1" x14ac:dyDescent="0.3">
      <c r="A87" s="5"/>
      <c r="B87" s="35"/>
      <c r="C87" s="4"/>
      <c r="I87" s="27"/>
    </row>
    <row r="88" spans="1:9" ht="15.75" customHeight="1" x14ac:dyDescent="0.3">
      <c r="A88" s="5"/>
      <c r="B88" s="35"/>
      <c r="C88" s="4"/>
      <c r="I88" s="27"/>
    </row>
    <row r="89" spans="1:9" ht="15.75" customHeight="1" x14ac:dyDescent="0.3">
      <c r="A89" s="5"/>
      <c r="B89" s="35"/>
      <c r="C89" s="4"/>
      <c r="I89" s="27"/>
    </row>
    <row r="90" spans="1:9" ht="15.75" customHeight="1" x14ac:dyDescent="0.3">
      <c r="A90" s="5"/>
      <c r="B90" s="35"/>
      <c r="C90" s="4"/>
      <c r="I90" s="27"/>
    </row>
    <row r="91" spans="1:9" ht="15.75" customHeight="1" x14ac:dyDescent="0.3">
      <c r="A91" s="5"/>
      <c r="B91" s="35"/>
      <c r="C91" s="4"/>
      <c r="I91" s="27"/>
    </row>
    <row r="92" spans="1:9" ht="15.75" customHeight="1" x14ac:dyDescent="0.3">
      <c r="A92" s="5"/>
      <c r="B92" s="35"/>
      <c r="C92" s="4"/>
      <c r="I92" s="27"/>
    </row>
    <row r="93" spans="1:9" ht="15.75" customHeight="1" x14ac:dyDescent="0.3">
      <c r="A93" s="5"/>
      <c r="B93" s="35"/>
      <c r="C93" s="4"/>
      <c r="I93" s="27"/>
    </row>
    <row r="94" spans="1:9" ht="15.75" customHeight="1" x14ac:dyDescent="0.3">
      <c r="A94" s="5"/>
      <c r="B94" s="35"/>
      <c r="C94" s="4"/>
      <c r="I94" s="27"/>
    </row>
    <row r="95" spans="1:9" ht="15.75" customHeight="1" x14ac:dyDescent="0.3">
      <c r="A95" s="5"/>
      <c r="B95" s="35"/>
      <c r="C95" s="4"/>
      <c r="I95" s="27"/>
    </row>
    <row r="96" spans="1:9" ht="15.75" customHeight="1" x14ac:dyDescent="0.3">
      <c r="A96" s="5"/>
      <c r="B96" s="35"/>
      <c r="C96" s="4"/>
      <c r="I96" s="27"/>
    </row>
    <row r="97" spans="1:9" ht="15.75" customHeight="1" x14ac:dyDescent="0.3">
      <c r="A97" s="5"/>
      <c r="B97" s="35"/>
      <c r="C97" s="4"/>
      <c r="I97" s="27"/>
    </row>
    <row r="98" spans="1:9" ht="15.75" customHeight="1" x14ac:dyDescent="0.3">
      <c r="A98" s="5"/>
      <c r="B98" s="35"/>
      <c r="C98" s="4"/>
      <c r="I98" s="27"/>
    </row>
    <row r="99" spans="1:9" ht="15.75" customHeight="1" x14ac:dyDescent="0.3">
      <c r="A99" s="5"/>
      <c r="B99" s="35"/>
      <c r="C99" s="4"/>
      <c r="I99" s="27"/>
    </row>
    <row r="100" spans="1:9" ht="15.75" customHeight="1" x14ac:dyDescent="0.3">
      <c r="A100" s="5"/>
      <c r="B100" s="35"/>
      <c r="C100" s="4"/>
      <c r="I100" s="27"/>
    </row>
    <row r="101" spans="1:9" ht="15.75" customHeight="1" x14ac:dyDescent="0.3">
      <c r="A101" s="5"/>
      <c r="B101" s="35"/>
      <c r="C101" s="4"/>
      <c r="I101" s="27"/>
    </row>
    <row r="102" spans="1:9" ht="15.75" customHeight="1" x14ac:dyDescent="0.3">
      <c r="A102" s="5"/>
      <c r="B102" s="35"/>
      <c r="C102" s="4"/>
      <c r="I102" s="27"/>
    </row>
    <row r="103" spans="1:9" ht="15.75" customHeight="1" x14ac:dyDescent="0.3">
      <c r="A103" s="5"/>
      <c r="B103" s="35"/>
      <c r="C103" s="4"/>
      <c r="I103" s="27"/>
    </row>
    <row r="104" spans="1:9" ht="15.75" customHeight="1" x14ac:dyDescent="0.3">
      <c r="A104" s="5"/>
      <c r="B104" s="35"/>
      <c r="C104" s="4"/>
      <c r="I104" s="27"/>
    </row>
    <row r="105" spans="1:9" ht="15.75" customHeight="1" x14ac:dyDescent="0.3">
      <c r="A105" s="5"/>
      <c r="B105" s="35"/>
      <c r="C105" s="4"/>
      <c r="I105" s="27"/>
    </row>
    <row r="106" spans="1:9" ht="15.75" customHeight="1" x14ac:dyDescent="0.3">
      <c r="A106" s="5"/>
      <c r="B106" s="35"/>
      <c r="C106" s="4"/>
      <c r="I106" s="27"/>
    </row>
    <row r="107" spans="1:9" ht="15.75" customHeight="1" x14ac:dyDescent="0.3">
      <c r="A107" s="5"/>
      <c r="B107" s="35"/>
      <c r="C107" s="4"/>
      <c r="I107" s="27"/>
    </row>
    <row r="108" spans="1:9" ht="15.75" customHeight="1" x14ac:dyDescent="0.3">
      <c r="A108" s="5"/>
      <c r="B108" s="35"/>
      <c r="C108" s="4"/>
      <c r="I108" s="27"/>
    </row>
    <row r="109" spans="1:9" ht="15.75" customHeight="1" x14ac:dyDescent="0.3">
      <c r="A109" s="5"/>
      <c r="B109" s="35"/>
      <c r="C109" s="4"/>
      <c r="I109" s="27"/>
    </row>
    <row r="110" spans="1:9" ht="15.75" customHeight="1" x14ac:dyDescent="0.3">
      <c r="A110" s="5"/>
      <c r="B110" s="35"/>
      <c r="C110" s="4"/>
      <c r="I110" s="27"/>
    </row>
    <row r="111" spans="1:9" ht="15.75" customHeight="1" x14ac:dyDescent="0.3">
      <c r="A111" s="5"/>
      <c r="B111" s="35"/>
      <c r="C111" s="4"/>
      <c r="I111" s="27"/>
    </row>
    <row r="112" spans="1:9" ht="15.75" customHeight="1" x14ac:dyDescent="0.3">
      <c r="A112" s="5"/>
      <c r="B112" s="35"/>
      <c r="C112" s="4"/>
      <c r="I112" s="27"/>
    </row>
    <row r="113" spans="1:9" ht="15.75" customHeight="1" x14ac:dyDescent="0.3">
      <c r="A113" s="5"/>
      <c r="B113" s="35"/>
      <c r="C113" s="4"/>
      <c r="I113" s="27"/>
    </row>
    <row r="114" spans="1:9" ht="15.75" customHeight="1" x14ac:dyDescent="0.3">
      <c r="A114" s="5"/>
      <c r="B114" s="35"/>
      <c r="C114" s="4"/>
      <c r="I114" s="27"/>
    </row>
    <row r="115" spans="1:9" ht="15.75" customHeight="1" x14ac:dyDescent="0.3">
      <c r="A115" s="5"/>
      <c r="B115" s="35"/>
      <c r="C115" s="4"/>
      <c r="I115" s="27"/>
    </row>
    <row r="116" spans="1:9" ht="15.75" customHeight="1" x14ac:dyDescent="0.3">
      <c r="A116" s="5"/>
      <c r="B116" s="35"/>
      <c r="C116" s="4"/>
      <c r="I116" s="27"/>
    </row>
    <row r="117" spans="1:9" ht="15.75" customHeight="1" x14ac:dyDescent="0.3">
      <c r="A117" s="5"/>
      <c r="B117" s="35"/>
      <c r="C117" s="4"/>
      <c r="I117" s="27"/>
    </row>
    <row r="118" spans="1:9" ht="15.75" customHeight="1" x14ac:dyDescent="0.3">
      <c r="A118" s="5"/>
      <c r="B118" s="35"/>
      <c r="C118" s="4"/>
      <c r="I118" s="27"/>
    </row>
    <row r="119" spans="1:9" ht="15.75" customHeight="1" x14ac:dyDescent="0.3">
      <c r="A119" s="5"/>
      <c r="B119" s="35"/>
      <c r="C119" s="4"/>
      <c r="I119" s="27"/>
    </row>
    <row r="120" spans="1:9" ht="15.75" customHeight="1" x14ac:dyDescent="0.3">
      <c r="A120" s="5"/>
      <c r="B120" s="35"/>
      <c r="C120" s="4"/>
      <c r="I120" s="27"/>
    </row>
    <row r="121" spans="1:9" ht="15.75" customHeight="1" x14ac:dyDescent="0.3">
      <c r="A121" s="5"/>
      <c r="B121" s="35"/>
      <c r="C121" s="4"/>
      <c r="I121" s="27"/>
    </row>
    <row r="122" spans="1:9" ht="15.75" customHeight="1" x14ac:dyDescent="0.3">
      <c r="A122" s="5"/>
      <c r="B122" s="35"/>
      <c r="C122" s="4"/>
      <c r="I122" s="27"/>
    </row>
    <row r="123" spans="1:9" ht="15.75" customHeight="1" x14ac:dyDescent="0.3">
      <c r="A123" s="5"/>
      <c r="B123" s="35"/>
      <c r="C123" s="4"/>
      <c r="I123" s="27"/>
    </row>
    <row r="124" spans="1:9" ht="15.75" customHeight="1" x14ac:dyDescent="0.3">
      <c r="A124" s="5"/>
      <c r="B124" s="35"/>
      <c r="C124" s="4"/>
      <c r="I124" s="27"/>
    </row>
    <row r="125" spans="1:9" ht="15.75" customHeight="1" x14ac:dyDescent="0.3">
      <c r="A125" s="5"/>
      <c r="B125" s="35"/>
      <c r="C125" s="4"/>
      <c r="I125" s="27"/>
    </row>
    <row r="126" spans="1:9" ht="15.75" customHeight="1" x14ac:dyDescent="0.3">
      <c r="A126" s="5"/>
      <c r="B126" s="35"/>
      <c r="C126" s="4"/>
      <c r="I126" s="27"/>
    </row>
    <row r="127" spans="1:9" ht="15.75" customHeight="1" x14ac:dyDescent="0.3">
      <c r="A127" s="5"/>
      <c r="B127" s="35"/>
      <c r="C127" s="4"/>
      <c r="I127" s="27"/>
    </row>
    <row r="128" spans="1:9" ht="15.75" customHeight="1" x14ac:dyDescent="0.3">
      <c r="A128" s="5"/>
      <c r="B128" s="35"/>
      <c r="C128" s="4"/>
      <c r="I128" s="27"/>
    </row>
    <row r="129" spans="1:9" ht="15.75" customHeight="1" x14ac:dyDescent="0.3">
      <c r="A129" s="5"/>
      <c r="B129" s="35"/>
      <c r="C129" s="4"/>
      <c r="I129" s="27"/>
    </row>
    <row r="130" spans="1:9" ht="15.75" customHeight="1" x14ac:dyDescent="0.3">
      <c r="A130" s="5"/>
      <c r="B130" s="35"/>
      <c r="C130" s="4"/>
      <c r="I130" s="27"/>
    </row>
    <row r="131" spans="1:9" ht="15.75" customHeight="1" x14ac:dyDescent="0.3">
      <c r="A131" s="5"/>
      <c r="B131" s="35"/>
      <c r="C131" s="4"/>
      <c r="I131" s="27"/>
    </row>
    <row r="132" spans="1:9" ht="15.75" customHeight="1" x14ac:dyDescent="0.3">
      <c r="A132" s="5"/>
      <c r="B132" s="35"/>
      <c r="C132" s="4"/>
      <c r="I132" s="27"/>
    </row>
    <row r="133" spans="1:9" ht="15.75" customHeight="1" x14ac:dyDescent="0.3">
      <c r="A133" s="5"/>
      <c r="B133" s="35"/>
      <c r="C133" s="4"/>
      <c r="I133" s="27"/>
    </row>
    <row r="134" spans="1:9" ht="15.75" customHeight="1" x14ac:dyDescent="0.3">
      <c r="A134" s="5"/>
      <c r="B134" s="35"/>
      <c r="C134" s="4"/>
      <c r="I134" s="27"/>
    </row>
    <row r="135" spans="1:9" ht="15.75" customHeight="1" x14ac:dyDescent="0.3">
      <c r="A135" s="5"/>
      <c r="B135" s="35"/>
      <c r="C135" s="4"/>
      <c r="I135" s="27"/>
    </row>
    <row r="136" spans="1:9" ht="15.75" customHeight="1" x14ac:dyDescent="0.3">
      <c r="A136" s="5"/>
      <c r="B136" s="35"/>
      <c r="C136" s="4"/>
      <c r="I136" s="27"/>
    </row>
    <row r="137" spans="1:9" ht="15.75" customHeight="1" x14ac:dyDescent="0.3">
      <c r="A137" s="5"/>
      <c r="B137" s="35"/>
      <c r="C137" s="4"/>
      <c r="I137" s="27"/>
    </row>
    <row r="138" spans="1:9" ht="15.75" customHeight="1" x14ac:dyDescent="0.3">
      <c r="A138" s="5"/>
      <c r="B138" s="35"/>
      <c r="C138" s="4"/>
      <c r="I138" s="27"/>
    </row>
    <row r="139" spans="1:9" ht="15.75" customHeight="1" x14ac:dyDescent="0.3">
      <c r="A139" s="5"/>
      <c r="B139" s="35"/>
      <c r="C139" s="4"/>
      <c r="I139" s="27"/>
    </row>
    <row r="140" spans="1:9" ht="15.75" customHeight="1" x14ac:dyDescent="0.3">
      <c r="A140" s="5"/>
      <c r="B140" s="35"/>
      <c r="C140" s="4"/>
      <c r="I140" s="27"/>
    </row>
    <row r="141" spans="1:9" ht="15.75" customHeight="1" x14ac:dyDescent="0.3">
      <c r="A141" s="5"/>
      <c r="B141" s="35"/>
      <c r="C141" s="4"/>
      <c r="I141" s="27"/>
    </row>
    <row r="142" spans="1:9" ht="15.75" customHeight="1" x14ac:dyDescent="0.3">
      <c r="A142" s="5"/>
      <c r="B142" s="35"/>
      <c r="C142" s="4"/>
      <c r="I142" s="27"/>
    </row>
    <row r="143" spans="1:9" ht="15.75" customHeight="1" x14ac:dyDescent="0.3">
      <c r="A143" s="5"/>
      <c r="B143" s="35"/>
      <c r="C143" s="4"/>
      <c r="I143" s="27"/>
    </row>
    <row r="144" spans="1:9" ht="15.75" customHeight="1" x14ac:dyDescent="0.3">
      <c r="A144" s="5"/>
      <c r="B144" s="35"/>
      <c r="C144" s="4"/>
      <c r="I144" s="27"/>
    </row>
    <row r="145" spans="1:9" ht="15.75" customHeight="1" x14ac:dyDescent="0.3">
      <c r="A145" s="5"/>
      <c r="B145" s="35"/>
      <c r="C145" s="4"/>
      <c r="I145" s="27"/>
    </row>
    <row r="146" spans="1:9" ht="15.75" customHeight="1" x14ac:dyDescent="0.3">
      <c r="A146" s="5"/>
      <c r="B146" s="35"/>
      <c r="C146" s="4"/>
      <c r="I146" s="27"/>
    </row>
    <row r="147" spans="1:9" ht="15.75" customHeight="1" x14ac:dyDescent="0.3">
      <c r="A147" s="5"/>
      <c r="B147" s="35"/>
      <c r="C147" s="4"/>
      <c r="I147" s="27"/>
    </row>
    <row r="148" spans="1:9" ht="15.75" customHeight="1" x14ac:dyDescent="0.3">
      <c r="A148" s="5"/>
      <c r="B148" s="35"/>
      <c r="C148" s="4"/>
      <c r="I148" s="27"/>
    </row>
    <row r="149" spans="1:9" ht="15.75" customHeight="1" x14ac:dyDescent="0.3">
      <c r="A149" s="5"/>
      <c r="B149" s="35"/>
      <c r="C149" s="4"/>
      <c r="I149" s="27"/>
    </row>
    <row r="150" spans="1:9" ht="15.75" customHeight="1" x14ac:dyDescent="0.3">
      <c r="A150" s="5"/>
      <c r="B150" s="35"/>
      <c r="C150" s="4"/>
      <c r="I150" s="27"/>
    </row>
    <row r="151" spans="1:9" ht="15.75" customHeight="1" x14ac:dyDescent="0.3">
      <c r="A151" s="5"/>
      <c r="B151" s="35"/>
      <c r="C151" s="4"/>
      <c r="I151" s="27"/>
    </row>
    <row r="152" spans="1:9" ht="15.75" customHeight="1" x14ac:dyDescent="0.3">
      <c r="A152" s="5"/>
      <c r="B152" s="35"/>
      <c r="C152" s="4"/>
      <c r="I152" s="27"/>
    </row>
    <row r="153" spans="1:9" ht="15.75" customHeight="1" x14ac:dyDescent="0.3">
      <c r="A153" s="5"/>
      <c r="B153" s="35"/>
      <c r="C153" s="4"/>
      <c r="I153" s="27"/>
    </row>
    <row r="154" spans="1:9" ht="15.75" customHeight="1" x14ac:dyDescent="0.3">
      <c r="A154" s="5"/>
      <c r="B154" s="35"/>
      <c r="C154" s="4"/>
      <c r="I154" s="27"/>
    </row>
    <row r="155" spans="1:9" ht="15.75" customHeight="1" x14ac:dyDescent="0.3">
      <c r="A155" s="5"/>
      <c r="B155" s="35"/>
      <c r="C155" s="4"/>
      <c r="I155" s="27"/>
    </row>
    <row r="156" spans="1:9" ht="15.75" customHeight="1" x14ac:dyDescent="0.3">
      <c r="A156" s="5"/>
      <c r="B156" s="35"/>
      <c r="C156" s="4"/>
      <c r="I156" s="27"/>
    </row>
    <row r="157" spans="1:9" ht="15.75" customHeight="1" x14ac:dyDescent="0.3">
      <c r="A157" s="5"/>
      <c r="B157" s="35"/>
      <c r="C157" s="4"/>
      <c r="I157" s="27"/>
    </row>
    <row r="158" spans="1:9" ht="15.75" customHeight="1" x14ac:dyDescent="0.3">
      <c r="A158" s="5"/>
      <c r="B158" s="35"/>
      <c r="C158" s="4"/>
      <c r="I158" s="27"/>
    </row>
    <row r="159" spans="1:9" ht="15.75" customHeight="1" x14ac:dyDescent="0.3">
      <c r="A159" s="5"/>
      <c r="B159" s="35"/>
      <c r="C159" s="4"/>
      <c r="I159" s="27"/>
    </row>
    <row r="160" spans="1:9" ht="15.75" customHeight="1" x14ac:dyDescent="0.3">
      <c r="A160" s="5"/>
      <c r="B160" s="35"/>
      <c r="C160" s="4"/>
      <c r="I160" s="27"/>
    </row>
    <row r="161" spans="1:9" ht="15.75" customHeight="1" x14ac:dyDescent="0.3">
      <c r="A161" s="5"/>
      <c r="B161" s="35"/>
      <c r="C161" s="4"/>
      <c r="I161" s="27"/>
    </row>
    <row r="162" spans="1:9" ht="15.75" customHeight="1" x14ac:dyDescent="0.3">
      <c r="A162" s="5"/>
      <c r="B162" s="35"/>
      <c r="C162" s="4"/>
      <c r="I162" s="27"/>
    </row>
    <row r="163" spans="1:9" ht="15.75" customHeight="1" x14ac:dyDescent="0.3">
      <c r="A163" s="5"/>
      <c r="B163" s="35"/>
      <c r="C163" s="4"/>
      <c r="I163" s="27"/>
    </row>
    <row r="164" spans="1:9" ht="15.75" customHeight="1" x14ac:dyDescent="0.3">
      <c r="A164" s="5"/>
      <c r="B164" s="35"/>
      <c r="C164" s="4"/>
      <c r="I164" s="27"/>
    </row>
    <row r="165" spans="1:9" ht="15.75" customHeight="1" x14ac:dyDescent="0.3">
      <c r="A165" s="5"/>
      <c r="B165" s="35"/>
      <c r="C165" s="4"/>
      <c r="I165" s="27"/>
    </row>
    <row r="166" spans="1:9" ht="15.75" customHeight="1" x14ac:dyDescent="0.3">
      <c r="A166" s="5"/>
      <c r="B166" s="35"/>
      <c r="C166" s="4"/>
      <c r="I166" s="27"/>
    </row>
    <row r="167" spans="1:9" ht="15.75" customHeight="1" x14ac:dyDescent="0.3">
      <c r="A167" s="5"/>
      <c r="B167" s="35"/>
      <c r="C167" s="4"/>
      <c r="I167" s="27"/>
    </row>
    <row r="168" spans="1:9" ht="15.75" customHeight="1" x14ac:dyDescent="0.3">
      <c r="A168" s="5"/>
      <c r="B168" s="35"/>
      <c r="C168" s="4"/>
      <c r="I168" s="27"/>
    </row>
    <row r="169" spans="1:9" ht="15.75" customHeight="1" x14ac:dyDescent="0.3">
      <c r="A169" s="5"/>
      <c r="B169" s="35"/>
      <c r="C169" s="4"/>
      <c r="I169" s="27"/>
    </row>
    <row r="170" spans="1:9" ht="15.75" customHeight="1" x14ac:dyDescent="0.3">
      <c r="A170" s="5"/>
      <c r="B170" s="35"/>
      <c r="C170" s="4"/>
      <c r="I170" s="27"/>
    </row>
    <row r="171" spans="1:9" ht="15.75" customHeight="1" x14ac:dyDescent="0.3">
      <c r="A171" s="5"/>
      <c r="B171" s="35"/>
      <c r="C171" s="4"/>
      <c r="I171" s="27"/>
    </row>
    <row r="172" spans="1:9" ht="15.75" customHeight="1" x14ac:dyDescent="0.3">
      <c r="A172" s="5"/>
      <c r="B172" s="35"/>
      <c r="C172" s="4"/>
      <c r="I172" s="27"/>
    </row>
    <row r="173" spans="1:9" ht="15.75" customHeight="1" x14ac:dyDescent="0.3">
      <c r="A173" s="5"/>
      <c r="B173" s="35"/>
      <c r="C173" s="4"/>
      <c r="I173" s="27"/>
    </row>
    <row r="174" spans="1:9" ht="15.75" customHeight="1" x14ac:dyDescent="0.3">
      <c r="A174" s="5"/>
      <c r="B174" s="35"/>
      <c r="C174" s="4"/>
      <c r="I174" s="27"/>
    </row>
    <row r="175" spans="1:9" ht="15.75" customHeight="1" x14ac:dyDescent="0.3">
      <c r="A175" s="5"/>
      <c r="B175" s="35"/>
      <c r="C175" s="4"/>
      <c r="I175" s="27"/>
    </row>
    <row r="176" spans="1:9" ht="15.75" customHeight="1" x14ac:dyDescent="0.3">
      <c r="A176" s="5"/>
      <c r="B176" s="35"/>
      <c r="C176" s="4"/>
      <c r="I176" s="27"/>
    </row>
    <row r="177" spans="1:9" ht="15.75" customHeight="1" x14ac:dyDescent="0.3">
      <c r="A177" s="5"/>
      <c r="B177" s="35"/>
      <c r="C177" s="4"/>
      <c r="I177" s="27"/>
    </row>
    <row r="178" spans="1:9" ht="15.75" customHeight="1" x14ac:dyDescent="0.3">
      <c r="A178" s="5"/>
      <c r="B178" s="35"/>
      <c r="C178" s="4"/>
      <c r="I178" s="27"/>
    </row>
    <row r="179" spans="1:9" ht="15.75" customHeight="1" x14ac:dyDescent="0.3">
      <c r="A179" s="5"/>
      <c r="B179" s="35"/>
      <c r="C179" s="4"/>
      <c r="I179" s="27"/>
    </row>
    <row r="180" spans="1:9" ht="15.75" customHeight="1" x14ac:dyDescent="0.3">
      <c r="A180" s="5"/>
      <c r="B180" s="35"/>
      <c r="C180" s="4"/>
      <c r="I180" s="27"/>
    </row>
    <row r="181" spans="1:9" ht="15.75" customHeight="1" x14ac:dyDescent="0.3">
      <c r="A181" s="5"/>
      <c r="B181" s="35"/>
      <c r="C181" s="4"/>
      <c r="I181" s="27"/>
    </row>
    <row r="182" spans="1:9" ht="15.75" customHeight="1" x14ac:dyDescent="0.3">
      <c r="A182" s="5"/>
      <c r="B182" s="35"/>
      <c r="C182" s="4"/>
      <c r="I182" s="27"/>
    </row>
    <row r="183" spans="1:9" ht="15.75" customHeight="1" x14ac:dyDescent="0.3">
      <c r="A183" s="5"/>
      <c r="B183" s="35"/>
      <c r="C183" s="4"/>
      <c r="I183" s="27"/>
    </row>
    <row r="184" spans="1:9" ht="15.75" customHeight="1" x14ac:dyDescent="0.3">
      <c r="A184" s="5"/>
      <c r="B184" s="35"/>
      <c r="C184" s="4"/>
      <c r="I184" s="27"/>
    </row>
    <row r="185" spans="1:9" ht="15.75" customHeight="1" x14ac:dyDescent="0.3">
      <c r="A185" s="5"/>
      <c r="B185" s="35"/>
      <c r="C185" s="4"/>
      <c r="I185" s="27"/>
    </row>
    <row r="186" spans="1:9" ht="15.75" customHeight="1" x14ac:dyDescent="0.3">
      <c r="A186" s="5"/>
      <c r="B186" s="35"/>
      <c r="C186" s="4"/>
      <c r="I186" s="27"/>
    </row>
    <row r="187" spans="1:9" ht="15.75" customHeight="1" x14ac:dyDescent="0.3">
      <c r="A187" s="5"/>
      <c r="B187" s="35"/>
      <c r="C187" s="4"/>
      <c r="I187" s="27"/>
    </row>
    <row r="188" spans="1:9" ht="15.75" customHeight="1" x14ac:dyDescent="0.3">
      <c r="A188" s="5"/>
      <c r="B188" s="35"/>
      <c r="C188" s="4"/>
      <c r="I188" s="27"/>
    </row>
    <row r="189" spans="1:9" ht="15.75" customHeight="1" x14ac:dyDescent="0.3">
      <c r="A189" s="5"/>
      <c r="B189" s="35"/>
      <c r="C189" s="4"/>
      <c r="I189" s="27"/>
    </row>
    <row r="190" spans="1:9" ht="15.75" customHeight="1" x14ac:dyDescent="0.3">
      <c r="A190" s="5"/>
      <c r="B190" s="35"/>
      <c r="C190" s="4"/>
      <c r="I190" s="27"/>
    </row>
    <row r="191" spans="1:9" ht="15.75" customHeight="1" x14ac:dyDescent="0.3">
      <c r="A191" s="5"/>
      <c r="B191" s="35"/>
      <c r="C191" s="4"/>
      <c r="I191" s="27"/>
    </row>
    <row r="192" spans="1:9" ht="15.75" customHeight="1" x14ac:dyDescent="0.3">
      <c r="A192" s="5"/>
      <c r="B192" s="35"/>
      <c r="C192" s="4"/>
      <c r="I192" s="27"/>
    </row>
    <row r="193" spans="1:9" ht="15.75" customHeight="1" x14ac:dyDescent="0.3">
      <c r="A193" s="5"/>
      <c r="B193" s="35"/>
      <c r="C193" s="4"/>
      <c r="I193" s="27"/>
    </row>
    <row r="194" spans="1:9" ht="15.75" customHeight="1" x14ac:dyDescent="0.3">
      <c r="A194" s="5"/>
      <c r="B194" s="35"/>
      <c r="C194" s="4"/>
      <c r="I194" s="27"/>
    </row>
    <row r="195" spans="1:9" ht="15.75" customHeight="1" x14ac:dyDescent="0.3">
      <c r="A195" s="5"/>
      <c r="B195" s="35"/>
      <c r="C195" s="4"/>
      <c r="I195" s="27"/>
    </row>
    <row r="196" spans="1:9" ht="15.75" customHeight="1" x14ac:dyDescent="0.3">
      <c r="A196" s="5"/>
      <c r="B196" s="35"/>
      <c r="C196" s="4"/>
      <c r="I196" s="27"/>
    </row>
    <row r="197" spans="1:9" ht="15.75" customHeight="1" x14ac:dyDescent="0.3">
      <c r="A197" s="5"/>
      <c r="B197" s="35"/>
      <c r="C197" s="4"/>
      <c r="I197" s="27"/>
    </row>
    <row r="198" spans="1:9" ht="15.75" customHeight="1" x14ac:dyDescent="0.3">
      <c r="A198" s="5"/>
      <c r="B198" s="35"/>
      <c r="C198" s="4"/>
      <c r="I198" s="27"/>
    </row>
    <row r="199" spans="1:9" ht="15.75" customHeight="1" x14ac:dyDescent="0.3">
      <c r="A199" s="5"/>
      <c r="B199" s="35"/>
      <c r="C199" s="4"/>
      <c r="I199" s="27"/>
    </row>
    <row r="200" spans="1:9" ht="15.75" customHeight="1" x14ac:dyDescent="0.3">
      <c r="A200" s="5"/>
      <c r="B200" s="35"/>
      <c r="C200" s="4"/>
      <c r="I200" s="27"/>
    </row>
    <row r="201" spans="1:9" ht="15.75" customHeight="1" x14ac:dyDescent="0.3">
      <c r="A201" s="5"/>
      <c r="B201" s="35"/>
      <c r="C201" s="4"/>
      <c r="I201" s="27"/>
    </row>
    <row r="202" spans="1:9" ht="15.75" customHeight="1" x14ac:dyDescent="0.3">
      <c r="A202" s="5"/>
      <c r="B202" s="35"/>
      <c r="C202" s="4"/>
      <c r="I202" s="27"/>
    </row>
    <row r="203" spans="1:9" ht="15.75" customHeight="1" x14ac:dyDescent="0.3">
      <c r="A203" s="5"/>
      <c r="B203" s="35"/>
      <c r="C203" s="4"/>
      <c r="I203" s="27"/>
    </row>
    <row r="204" spans="1:9" ht="15.75" customHeight="1" x14ac:dyDescent="0.3">
      <c r="A204" s="5"/>
      <c r="B204" s="35"/>
      <c r="C204" s="4"/>
      <c r="I204" s="27"/>
    </row>
    <row r="205" spans="1:9" ht="15.75" customHeight="1" x14ac:dyDescent="0.3">
      <c r="A205" s="5"/>
      <c r="B205" s="35"/>
      <c r="C205" s="4"/>
      <c r="I205" s="27"/>
    </row>
    <row r="206" spans="1:9" ht="15.75" customHeight="1" x14ac:dyDescent="0.3">
      <c r="A206" s="5"/>
      <c r="B206" s="35"/>
      <c r="C206" s="4"/>
      <c r="I206" s="27"/>
    </row>
    <row r="207" spans="1:9" ht="15.75" customHeight="1" x14ac:dyDescent="0.3">
      <c r="A207" s="5"/>
      <c r="B207" s="35"/>
      <c r="C207" s="4"/>
      <c r="I207" s="27"/>
    </row>
    <row r="208" spans="1:9" ht="15.75" customHeight="1" x14ac:dyDescent="0.3">
      <c r="A208" s="5"/>
      <c r="B208" s="35"/>
      <c r="C208" s="4"/>
      <c r="I208" s="27"/>
    </row>
    <row r="209" spans="1:9" ht="15.75" customHeight="1" x14ac:dyDescent="0.3">
      <c r="A209" s="5"/>
      <c r="B209" s="35"/>
      <c r="C209" s="4"/>
      <c r="I209" s="27"/>
    </row>
    <row r="210" spans="1:9" ht="15.75" customHeight="1" x14ac:dyDescent="0.3">
      <c r="A210" s="5"/>
      <c r="B210" s="35"/>
      <c r="C210" s="4"/>
      <c r="I210" s="27"/>
    </row>
    <row r="211" spans="1:9" ht="15.75" customHeight="1" x14ac:dyDescent="0.3">
      <c r="A211" s="5"/>
      <c r="B211" s="35"/>
      <c r="C211" s="4"/>
      <c r="I211" s="27"/>
    </row>
    <row r="212" spans="1:9" ht="15.75" customHeight="1" x14ac:dyDescent="0.3">
      <c r="A212" s="5"/>
      <c r="B212" s="35"/>
      <c r="C212" s="4"/>
      <c r="I212" s="27"/>
    </row>
    <row r="213" spans="1:9" ht="15.75" customHeight="1" x14ac:dyDescent="0.3">
      <c r="A213" s="5"/>
      <c r="B213" s="35"/>
      <c r="C213" s="4"/>
      <c r="I213" s="27"/>
    </row>
    <row r="214" spans="1:9" ht="15.75" customHeight="1" x14ac:dyDescent="0.3">
      <c r="A214" s="5"/>
      <c r="B214" s="35"/>
      <c r="C214" s="4"/>
      <c r="I214" s="27"/>
    </row>
    <row r="215" spans="1:9" ht="15.75" customHeight="1" x14ac:dyDescent="0.3">
      <c r="A215" s="5"/>
      <c r="B215" s="35"/>
      <c r="C215" s="4"/>
      <c r="I215" s="27"/>
    </row>
    <row r="216" spans="1:9" ht="15.75" customHeight="1" x14ac:dyDescent="0.3">
      <c r="A216" s="5"/>
      <c r="B216" s="35"/>
      <c r="C216" s="4"/>
      <c r="I216" s="27"/>
    </row>
    <row r="217" spans="1:9" ht="15.75" customHeight="1" x14ac:dyDescent="0.3">
      <c r="A217" s="5"/>
      <c r="B217" s="35"/>
      <c r="C217" s="4"/>
      <c r="I217" s="27"/>
    </row>
    <row r="218" spans="1:9" ht="15.75" customHeight="1" x14ac:dyDescent="0.3">
      <c r="A218" s="5"/>
      <c r="B218" s="35"/>
      <c r="C218" s="4"/>
      <c r="I218" s="27"/>
    </row>
    <row r="219" spans="1:9" ht="15.75" customHeight="1" x14ac:dyDescent="0.3">
      <c r="A219" s="5"/>
      <c r="B219" s="35"/>
      <c r="C219" s="4"/>
      <c r="I219" s="27"/>
    </row>
    <row r="220" spans="1:9" ht="15.75" customHeight="1" x14ac:dyDescent="0.3">
      <c r="A220" s="5"/>
      <c r="B220" s="35"/>
      <c r="C220" s="4"/>
      <c r="I220" s="27"/>
    </row>
    <row r="221" spans="1:9" ht="15.75" customHeight="1" x14ac:dyDescent="0.3">
      <c r="A221" s="5"/>
      <c r="B221" s="35"/>
      <c r="C221" s="4"/>
      <c r="I221" s="27"/>
    </row>
    <row r="222" spans="1:9" ht="15.75" customHeight="1" x14ac:dyDescent="0.3">
      <c r="A222" s="5"/>
      <c r="B222" s="35"/>
      <c r="C222" s="4"/>
      <c r="I222" s="27"/>
    </row>
    <row r="223" spans="1:9" ht="15.75" customHeight="1" x14ac:dyDescent="0.3">
      <c r="A223" s="5"/>
      <c r="B223" s="35"/>
      <c r="C223" s="4"/>
      <c r="I223" s="27"/>
    </row>
    <row r="224" spans="1:9" ht="15.75" customHeight="1" x14ac:dyDescent="0.3">
      <c r="A224" s="5"/>
      <c r="B224" s="35"/>
      <c r="C224" s="4"/>
      <c r="I224" s="27"/>
    </row>
    <row r="225" spans="1:9" ht="15.75" customHeight="1" x14ac:dyDescent="0.3">
      <c r="A225" s="5"/>
      <c r="B225" s="35"/>
      <c r="C225" s="4"/>
      <c r="I225" s="27"/>
    </row>
    <row r="226" spans="1:9" ht="15.75" customHeight="1" x14ac:dyDescent="0.3">
      <c r="A226" s="5"/>
      <c r="B226" s="35"/>
      <c r="C226" s="4"/>
      <c r="I226" s="27"/>
    </row>
    <row r="227" spans="1:9" ht="15.75" customHeight="1" x14ac:dyDescent="0.3">
      <c r="A227" s="5"/>
      <c r="B227" s="35"/>
      <c r="C227" s="4"/>
      <c r="I227" s="27"/>
    </row>
    <row r="228" spans="1:9" ht="15.75" customHeight="1" x14ac:dyDescent="0.3">
      <c r="A228" s="5"/>
      <c r="B228" s="35"/>
      <c r="C228" s="4"/>
      <c r="I228" s="27"/>
    </row>
    <row r="229" spans="1:9" ht="15.75" customHeight="1" x14ac:dyDescent="0.3">
      <c r="A229" s="5"/>
      <c r="B229" s="35"/>
      <c r="C229" s="4"/>
      <c r="I229" s="27"/>
    </row>
    <row r="230" spans="1:9" ht="15.75" customHeight="1" x14ac:dyDescent="0.3">
      <c r="A230" s="5"/>
      <c r="B230" s="35"/>
      <c r="C230" s="4"/>
      <c r="I230" s="27"/>
    </row>
    <row r="231" spans="1:9" ht="15.75" customHeight="1" x14ac:dyDescent="0.3">
      <c r="A231" s="5"/>
      <c r="B231" s="35"/>
      <c r="C231" s="4"/>
      <c r="I231" s="27"/>
    </row>
    <row r="232" spans="1:9" ht="15.75" customHeight="1" x14ac:dyDescent="0.3">
      <c r="A232" s="5"/>
      <c r="B232" s="35"/>
      <c r="C232" s="4"/>
      <c r="I232" s="27"/>
    </row>
    <row r="233" spans="1:9" ht="15.75" customHeight="1" x14ac:dyDescent="0.3">
      <c r="A233" s="5"/>
      <c r="B233" s="35"/>
      <c r="C233" s="4"/>
      <c r="I233" s="27"/>
    </row>
    <row r="234" spans="1:9" ht="15.75" customHeight="1" x14ac:dyDescent="0.3">
      <c r="A234" s="5"/>
      <c r="B234" s="35"/>
      <c r="C234" s="4"/>
      <c r="I234" s="27"/>
    </row>
    <row r="235" spans="1:9" ht="15.75" customHeight="1" x14ac:dyDescent="0.3">
      <c r="A235" s="5"/>
      <c r="B235" s="35"/>
      <c r="C235" s="4"/>
      <c r="I235" s="27"/>
    </row>
    <row r="236" spans="1:9" ht="15.75" customHeight="1" x14ac:dyDescent="0.3">
      <c r="A236" s="5"/>
      <c r="B236" s="35"/>
      <c r="C236" s="4"/>
      <c r="I236" s="27"/>
    </row>
    <row r="237" spans="1:9" ht="15.75" customHeight="1" x14ac:dyDescent="0.3">
      <c r="A237" s="5"/>
      <c r="B237" s="35"/>
      <c r="C237" s="4"/>
      <c r="I237" s="27"/>
    </row>
    <row r="238" spans="1:9" ht="15.75" customHeight="1" x14ac:dyDescent="0.3">
      <c r="A238" s="5"/>
      <c r="B238" s="35"/>
      <c r="C238" s="4"/>
      <c r="I238" s="27"/>
    </row>
    <row r="239" spans="1:9" ht="15.75" customHeight="1" x14ac:dyDescent="0.3">
      <c r="A239" s="5"/>
      <c r="B239" s="35"/>
      <c r="C239" s="4"/>
      <c r="I239" s="27"/>
    </row>
    <row r="240" spans="1:9" ht="15.75" customHeight="1" x14ac:dyDescent="0.3">
      <c r="A240" s="5"/>
      <c r="B240" s="35"/>
      <c r="C240" s="4"/>
      <c r="I240" s="27"/>
    </row>
    <row r="241" spans="1:9" ht="15.75" customHeight="1" x14ac:dyDescent="0.3">
      <c r="A241" s="5"/>
      <c r="B241" s="35"/>
      <c r="C241" s="4"/>
      <c r="I241" s="27"/>
    </row>
    <row r="242" spans="1:9" ht="15.75" customHeight="1" x14ac:dyDescent="0.3">
      <c r="A242" s="5"/>
      <c r="B242" s="35"/>
      <c r="C242" s="4"/>
      <c r="I242" s="27"/>
    </row>
    <row r="243" spans="1:9" ht="15.75" customHeight="1" x14ac:dyDescent="0.3">
      <c r="A243" s="5"/>
      <c r="B243" s="35"/>
      <c r="C243" s="4"/>
      <c r="I243" s="27"/>
    </row>
    <row r="244" spans="1:9" ht="15.75" customHeight="1" x14ac:dyDescent="0.3">
      <c r="A244" s="5"/>
      <c r="B244" s="35"/>
      <c r="C244" s="4"/>
      <c r="I244" s="27"/>
    </row>
    <row r="245" spans="1:9" ht="15.75" customHeight="1" x14ac:dyDescent="0.3">
      <c r="A245" s="5"/>
      <c r="B245" s="35"/>
      <c r="C245" s="4"/>
      <c r="I245" s="27"/>
    </row>
    <row r="246" spans="1:9" ht="15.75" customHeight="1" x14ac:dyDescent="0.3">
      <c r="A246" s="5"/>
      <c r="B246" s="35"/>
      <c r="C246" s="4"/>
      <c r="I246" s="27"/>
    </row>
    <row r="247" spans="1:9" ht="15.75" customHeight="1" x14ac:dyDescent="0.3">
      <c r="A247" s="5"/>
      <c r="B247" s="35"/>
      <c r="C247" s="4"/>
      <c r="I247" s="27"/>
    </row>
    <row r="248" spans="1:9" ht="15.75" customHeight="1" x14ac:dyDescent="0.3">
      <c r="A248" s="5"/>
      <c r="B248" s="35"/>
      <c r="C248" s="4"/>
      <c r="I248" s="27"/>
    </row>
    <row r="249" spans="1:9" ht="15.75" customHeight="1" x14ac:dyDescent="0.3">
      <c r="A249" s="5"/>
      <c r="B249" s="35"/>
      <c r="C249" s="4"/>
      <c r="I249" s="27"/>
    </row>
    <row r="250" spans="1:9" ht="15.75" customHeight="1" x14ac:dyDescent="0.3">
      <c r="A250" s="5"/>
      <c r="B250" s="35"/>
      <c r="C250" s="4"/>
      <c r="I250" s="27"/>
    </row>
    <row r="251" spans="1:9" ht="15.75" customHeight="1" x14ac:dyDescent="0.3">
      <c r="A251" s="5"/>
      <c r="B251" s="35"/>
      <c r="C251" s="4"/>
      <c r="I251" s="27"/>
    </row>
    <row r="252" spans="1:9" ht="15.75" customHeight="1" x14ac:dyDescent="0.3">
      <c r="A252" s="5"/>
      <c r="B252" s="35"/>
      <c r="C252" s="4"/>
      <c r="I252" s="27"/>
    </row>
    <row r="253" spans="1:9" ht="15.75" customHeight="1" x14ac:dyDescent="0.3">
      <c r="A253" s="5"/>
      <c r="B253" s="35"/>
      <c r="C253" s="4"/>
      <c r="I253" s="27"/>
    </row>
    <row r="254" spans="1:9" ht="15.75" customHeight="1" x14ac:dyDescent="0.3">
      <c r="A254" s="5"/>
      <c r="B254" s="35"/>
      <c r="C254" s="4"/>
      <c r="I254" s="27"/>
    </row>
    <row r="255" spans="1:9" ht="15.75" customHeight="1" x14ac:dyDescent="0.3">
      <c r="A255" s="5"/>
      <c r="B255" s="35"/>
      <c r="C255" s="4"/>
      <c r="I255" s="27"/>
    </row>
    <row r="256" spans="1:9" ht="15.75" customHeight="1" x14ac:dyDescent="0.3">
      <c r="A256" s="5"/>
      <c r="B256" s="35"/>
      <c r="C256" s="4"/>
      <c r="I256" s="27"/>
    </row>
    <row r="257" spans="1:9" ht="15.75" customHeight="1" x14ac:dyDescent="0.3">
      <c r="A257" s="5"/>
      <c r="B257" s="35"/>
      <c r="C257" s="4"/>
      <c r="I257" s="27"/>
    </row>
    <row r="258" spans="1:9" ht="15.75" customHeight="1" x14ac:dyDescent="0.3">
      <c r="A258" s="5"/>
      <c r="B258" s="35"/>
      <c r="C258" s="4"/>
      <c r="I258" s="27"/>
    </row>
    <row r="259" spans="1:9" ht="15.75" customHeight="1" x14ac:dyDescent="0.3">
      <c r="A259" s="5"/>
      <c r="B259" s="35"/>
      <c r="C259" s="4"/>
      <c r="I259" s="27"/>
    </row>
    <row r="260" spans="1:9" ht="15.75" customHeight="1" x14ac:dyDescent="0.3">
      <c r="A260" s="5"/>
      <c r="B260" s="35"/>
      <c r="C260" s="4"/>
      <c r="I260" s="27"/>
    </row>
    <row r="261" spans="1:9" ht="15.75" customHeight="1" x14ac:dyDescent="0.3">
      <c r="A261" s="5"/>
      <c r="B261" s="35"/>
      <c r="C261" s="4"/>
      <c r="I261" s="27"/>
    </row>
    <row r="262" spans="1:9" ht="15.75" customHeight="1" x14ac:dyDescent="0.3">
      <c r="A262" s="5"/>
      <c r="B262" s="35"/>
      <c r="C262" s="4"/>
      <c r="I262" s="27"/>
    </row>
    <row r="263" spans="1:9" ht="15.75" customHeight="1" x14ac:dyDescent="0.3">
      <c r="A263" s="5"/>
      <c r="B263" s="35"/>
      <c r="C263" s="4"/>
      <c r="I263" s="27"/>
    </row>
    <row r="264" spans="1:9" ht="15.75" customHeight="1" x14ac:dyDescent="0.3">
      <c r="A264" s="5"/>
      <c r="B264" s="35"/>
      <c r="C264" s="4"/>
      <c r="I264" s="27"/>
    </row>
    <row r="265" spans="1:9" ht="15.75" customHeight="1" x14ac:dyDescent="0.3">
      <c r="A265" s="5"/>
      <c r="B265" s="35"/>
      <c r="C265" s="4"/>
      <c r="I265" s="27"/>
    </row>
    <row r="266" spans="1:9" ht="15.75" customHeight="1" x14ac:dyDescent="0.3">
      <c r="A266" s="5"/>
      <c r="B266" s="35"/>
      <c r="C266" s="4"/>
      <c r="I266" s="27"/>
    </row>
    <row r="267" spans="1:9" ht="15.75" customHeight="1" x14ac:dyDescent="0.3">
      <c r="A267" s="5"/>
      <c r="B267" s="35"/>
      <c r="C267" s="4"/>
      <c r="I267" s="27"/>
    </row>
    <row r="268" spans="1:9" ht="15.75" customHeight="1" x14ac:dyDescent="0.3">
      <c r="A268" s="5"/>
      <c r="B268" s="35"/>
      <c r="C268" s="4"/>
      <c r="I268" s="27"/>
    </row>
    <row r="269" spans="1:9" ht="15.75" customHeight="1" x14ac:dyDescent="0.3">
      <c r="A269" s="5"/>
      <c r="B269" s="35"/>
      <c r="C269" s="4"/>
      <c r="I269" s="27"/>
    </row>
    <row r="270" spans="1:9" ht="15.75" customHeight="1" x14ac:dyDescent="0.3">
      <c r="A270" s="5"/>
      <c r="B270" s="35"/>
      <c r="C270" s="4"/>
      <c r="I270" s="27"/>
    </row>
    <row r="271" spans="1:9" ht="15.75" customHeight="1" x14ac:dyDescent="0.3">
      <c r="A271" s="5"/>
      <c r="B271" s="35"/>
      <c r="C271" s="4"/>
      <c r="I271" s="27"/>
    </row>
    <row r="272" spans="1:9" ht="15.75" customHeight="1" x14ac:dyDescent="0.3">
      <c r="A272" s="5"/>
      <c r="B272" s="35"/>
      <c r="C272" s="4"/>
      <c r="I272" s="27"/>
    </row>
    <row r="273" spans="1:9" ht="15.75" customHeight="1" x14ac:dyDescent="0.3">
      <c r="A273" s="5"/>
      <c r="B273" s="35"/>
      <c r="C273" s="4"/>
      <c r="I273" s="27"/>
    </row>
    <row r="274" spans="1:9" ht="15.75" customHeight="1" x14ac:dyDescent="0.3">
      <c r="A274" s="5"/>
      <c r="B274" s="35"/>
      <c r="C274" s="4"/>
      <c r="I274" s="27"/>
    </row>
    <row r="275" spans="1:9" ht="15.75" customHeight="1" x14ac:dyDescent="0.3">
      <c r="A275" s="5"/>
      <c r="B275" s="35"/>
      <c r="C275" s="4"/>
      <c r="I275" s="27"/>
    </row>
    <row r="276" spans="1:9" ht="15.75" customHeight="1" x14ac:dyDescent="0.3">
      <c r="A276" s="5"/>
      <c r="B276" s="35"/>
      <c r="C276" s="4"/>
      <c r="I276" s="27"/>
    </row>
    <row r="277" spans="1:9" ht="15.75" customHeight="1" x14ac:dyDescent="0.3">
      <c r="A277" s="5"/>
      <c r="B277" s="35"/>
      <c r="C277" s="4"/>
      <c r="I277" s="27"/>
    </row>
    <row r="278" spans="1:9" ht="15.75" customHeight="1" x14ac:dyDescent="0.3">
      <c r="A278" s="5"/>
      <c r="B278" s="35"/>
      <c r="C278" s="4"/>
      <c r="I278" s="27"/>
    </row>
    <row r="279" spans="1:9" ht="15.75" customHeight="1" x14ac:dyDescent="0.3">
      <c r="A279" s="5"/>
      <c r="B279" s="35"/>
      <c r="C279" s="4"/>
      <c r="I279" s="27"/>
    </row>
    <row r="280" spans="1:9" ht="15.75" customHeight="1" x14ac:dyDescent="0.3">
      <c r="A280" s="5"/>
      <c r="B280" s="35"/>
      <c r="C280" s="4"/>
      <c r="I280" s="27"/>
    </row>
    <row r="281" spans="1:9" ht="15.75" customHeight="1" x14ac:dyDescent="0.3">
      <c r="A281" s="5"/>
      <c r="B281" s="35"/>
      <c r="C281" s="4"/>
      <c r="I281" s="27"/>
    </row>
    <row r="282" spans="1:9" ht="15.75" customHeight="1" x14ac:dyDescent="0.3">
      <c r="A282" s="5"/>
      <c r="B282" s="35"/>
      <c r="C282" s="4"/>
      <c r="I282" s="27"/>
    </row>
    <row r="283" spans="1:9" ht="15.75" customHeight="1" x14ac:dyDescent="0.3">
      <c r="A283" s="5"/>
      <c r="B283" s="35"/>
      <c r="C283" s="4"/>
      <c r="I283" s="27"/>
    </row>
    <row r="284" spans="1:9" ht="15.75" customHeight="1" x14ac:dyDescent="0.3">
      <c r="A284" s="5"/>
      <c r="B284" s="35"/>
      <c r="C284" s="4"/>
      <c r="I284" s="27"/>
    </row>
    <row r="285" spans="1:9" ht="15.75" customHeight="1" x14ac:dyDescent="0.3">
      <c r="A285" s="5"/>
      <c r="B285" s="35"/>
      <c r="C285" s="4"/>
      <c r="I285" s="27"/>
    </row>
    <row r="286" spans="1:9" ht="15.75" customHeight="1" x14ac:dyDescent="0.3">
      <c r="A286" s="5"/>
      <c r="B286" s="35"/>
      <c r="C286" s="4"/>
      <c r="I286" s="27"/>
    </row>
    <row r="287" spans="1:9" ht="15.75" customHeight="1" x14ac:dyDescent="0.3">
      <c r="A287" s="5"/>
      <c r="B287" s="35"/>
      <c r="C287" s="4"/>
      <c r="I287" s="27"/>
    </row>
    <row r="288" spans="1:9" ht="15.75" customHeight="1" x14ac:dyDescent="0.3">
      <c r="A288" s="5"/>
      <c r="B288" s="35"/>
      <c r="C288" s="4"/>
      <c r="I288" s="27"/>
    </row>
    <row r="289" spans="1:9" ht="15.75" customHeight="1" x14ac:dyDescent="0.3">
      <c r="A289" s="5"/>
      <c r="B289" s="35"/>
      <c r="C289" s="4"/>
      <c r="I289" s="27"/>
    </row>
    <row r="290" spans="1:9" ht="15.75" customHeight="1" x14ac:dyDescent="0.3">
      <c r="A290" s="5"/>
      <c r="B290" s="35"/>
      <c r="C290" s="4"/>
      <c r="I290" s="27"/>
    </row>
    <row r="291" spans="1:9" ht="15.75" customHeight="1" x14ac:dyDescent="0.3">
      <c r="A291" s="5"/>
      <c r="B291" s="35"/>
      <c r="C291" s="4"/>
      <c r="I291" s="27"/>
    </row>
    <row r="292" spans="1:9" ht="15.75" customHeight="1" x14ac:dyDescent="0.3">
      <c r="A292" s="5"/>
      <c r="B292" s="35"/>
      <c r="C292" s="4"/>
      <c r="I292" s="27"/>
    </row>
    <row r="293" spans="1:9" ht="15.75" customHeight="1" x14ac:dyDescent="0.3">
      <c r="A293" s="5"/>
      <c r="B293" s="35"/>
      <c r="C293" s="4"/>
      <c r="I293" s="27"/>
    </row>
    <row r="294" spans="1:9" ht="15.75" customHeight="1" x14ac:dyDescent="0.3">
      <c r="A294" s="5"/>
      <c r="B294" s="35"/>
      <c r="C294" s="4"/>
      <c r="I294" s="27"/>
    </row>
    <row r="295" spans="1:9" ht="15.75" customHeight="1" x14ac:dyDescent="0.3">
      <c r="A295" s="5"/>
      <c r="B295" s="35"/>
      <c r="C295" s="4"/>
      <c r="I295" s="27"/>
    </row>
    <row r="296" spans="1:9" ht="15.75" customHeight="1" x14ac:dyDescent="0.3">
      <c r="A296" s="5"/>
      <c r="B296" s="35"/>
      <c r="C296" s="4"/>
      <c r="I296" s="27"/>
    </row>
    <row r="297" spans="1:9" ht="15.75" customHeight="1" x14ac:dyDescent="0.3">
      <c r="A297" s="5"/>
      <c r="B297" s="35"/>
      <c r="C297" s="4"/>
      <c r="I297" s="27"/>
    </row>
    <row r="298" spans="1:9" ht="15.75" customHeight="1" x14ac:dyDescent="0.3">
      <c r="A298" s="5"/>
      <c r="B298" s="35"/>
      <c r="C298" s="4"/>
      <c r="I298" s="27"/>
    </row>
    <row r="299" spans="1:9" ht="15.75" customHeight="1" x14ac:dyDescent="0.3">
      <c r="A299" s="5"/>
      <c r="B299" s="35"/>
      <c r="C299" s="4"/>
      <c r="I299" s="27"/>
    </row>
    <row r="300" spans="1:9" ht="15.75" customHeight="1" x14ac:dyDescent="0.3">
      <c r="A300" s="5"/>
      <c r="B300" s="35"/>
      <c r="C300" s="4"/>
      <c r="I300" s="27"/>
    </row>
    <row r="301" spans="1:9" ht="15.75" customHeight="1" x14ac:dyDescent="0.3">
      <c r="A301" s="5"/>
      <c r="B301" s="35"/>
      <c r="C301" s="4"/>
      <c r="I301" s="27"/>
    </row>
    <row r="302" spans="1:9" ht="15.75" customHeight="1" x14ac:dyDescent="0.3">
      <c r="A302" s="5"/>
      <c r="B302" s="35"/>
      <c r="C302" s="4"/>
      <c r="I302" s="27"/>
    </row>
    <row r="303" spans="1:9" ht="15.75" customHeight="1" x14ac:dyDescent="0.3">
      <c r="A303" s="5"/>
      <c r="B303" s="35"/>
      <c r="C303" s="4"/>
      <c r="I303" s="27"/>
    </row>
    <row r="304" spans="1:9" ht="15.75" customHeight="1" x14ac:dyDescent="0.3">
      <c r="A304" s="5"/>
      <c r="B304" s="35"/>
      <c r="C304" s="4"/>
      <c r="I304" s="27"/>
    </row>
    <row r="305" spans="1:9" ht="15.75" customHeight="1" x14ac:dyDescent="0.3">
      <c r="A305" s="5"/>
      <c r="B305" s="35"/>
      <c r="C305" s="4"/>
      <c r="I305" s="27"/>
    </row>
    <row r="306" spans="1:9" ht="15.75" customHeight="1" x14ac:dyDescent="0.3">
      <c r="A306" s="5"/>
      <c r="B306" s="35"/>
      <c r="C306" s="4"/>
      <c r="I306" s="27"/>
    </row>
    <row r="307" spans="1:9" ht="15.75" customHeight="1" x14ac:dyDescent="0.3">
      <c r="A307" s="5"/>
      <c r="B307" s="35"/>
      <c r="C307" s="4"/>
      <c r="I307" s="27"/>
    </row>
    <row r="308" spans="1:9" ht="15.75" customHeight="1" x14ac:dyDescent="0.3">
      <c r="A308" s="5"/>
      <c r="B308" s="35"/>
      <c r="C308" s="4"/>
      <c r="I308" s="27"/>
    </row>
    <row r="309" spans="1:9" ht="15.75" customHeight="1" x14ac:dyDescent="0.3">
      <c r="A309" s="5"/>
      <c r="B309" s="35"/>
      <c r="C309" s="4"/>
      <c r="I309" s="27"/>
    </row>
    <row r="310" spans="1:9" ht="15.75" customHeight="1" x14ac:dyDescent="0.3">
      <c r="A310" s="5"/>
      <c r="B310" s="35"/>
      <c r="C310" s="4"/>
      <c r="I310" s="27"/>
    </row>
    <row r="311" spans="1:9" ht="15.75" customHeight="1" x14ac:dyDescent="0.3">
      <c r="A311" s="5"/>
      <c r="B311" s="35"/>
      <c r="C311" s="4"/>
      <c r="I311" s="27"/>
    </row>
    <row r="312" spans="1:9" ht="15.75" customHeight="1" x14ac:dyDescent="0.3">
      <c r="A312" s="5"/>
      <c r="B312" s="35"/>
      <c r="C312" s="4"/>
      <c r="I312" s="27"/>
    </row>
    <row r="313" spans="1:9" ht="15.75" customHeight="1" x14ac:dyDescent="0.3">
      <c r="A313" s="5"/>
      <c r="B313" s="35"/>
      <c r="C313" s="4"/>
      <c r="I313" s="27"/>
    </row>
    <row r="314" spans="1:9" ht="15.75" customHeight="1" x14ac:dyDescent="0.3">
      <c r="A314" s="5"/>
      <c r="B314" s="35"/>
      <c r="C314" s="4"/>
      <c r="I314" s="27"/>
    </row>
    <row r="315" spans="1:9" ht="15.75" customHeight="1" x14ac:dyDescent="0.3">
      <c r="A315" s="5"/>
      <c r="B315" s="35"/>
      <c r="C315" s="4"/>
      <c r="I315" s="27"/>
    </row>
    <row r="316" spans="1:9" ht="15.75" customHeight="1" x14ac:dyDescent="0.3">
      <c r="A316" s="5"/>
      <c r="B316" s="35"/>
      <c r="C316" s="4"/>
      <c r="I316" s="27"/>
    </row>
    <row r="317" spans="1:9" ht="15.75" customHeight="1" x14ac:dyDescent="0.3">
      <c r="A317" s="5"/>
      <c r="B317" s="35"/>
      <c r="C317" s="4"/>
      <c r="I317" s="27"/>
    </row>
    <row r="318" spans="1:9" ht="15.75" customHeight="1" x14ac:dyDescent="0.3">
      <c r="A318" s="5"/>
      <c r="B318" s="35"/>
      <c r="C318" s="4"/>
      <c r="I318" s="27"/>
    </row>
    <row r="319" spans="1:9" ht="15.75" customHeight="1" x14ac:dyDescent="0.3">
      <c r="A319" s="5"/>
      <c r="B319" s="35"/>
      <c r="C319" s="4"/>
      <c r="I319" s="27"/>
    </row>
    <row r="320" spans="1:9" ht="15.75" customHeight="1" x14ac:dyDescent="0.3">
      <c r="A320" s="5"/>
      <c r="B320" s="35"/>
      <c r="C320" s="4"/>
      <c r="I320" s="27"/>
    </row>
    <row r="321" spans="1:9" ht="15.75" customHeight="1" x14ac:dyDescent="0.3">
      <c r="A321" s="5"/>
      <c r="B321" s="35"/>
      <c r="C321" s="4"/>
      <c r="I321" s="27"/>
    </row>
    <row r="322" spans="1:9" ht="15.75" customHeight="1" x14ac:dyDescent="0.3">
      <c r="A322" s="5"/>
      <c r="B322" s="35"/>
      <c r="C322" s="4"/>
      <c r="I322" s="27"/>
    </row>
    <row r="323" spans="1:9" ht="15.75" customHeight="1" x14ac:dyDescent="0.3">
      <c r="A323" s="5"/>
      <c r="B323" s="35"/>
      <c r="C323" s="4"/>
      <c r="I323" s="27"/>
    </row>
    <row r="324" spans="1:9" ht="15.75" customHeight="1" x14ac:dyDescent="0.3">
      <c r="A324" s="5"/>
      <c r="B324" s="35"/>
      <c r="C324" s="4"/>
      <c r="I324" s="27"/>
    </row>
    <row r="325" spans="1:9" ht="15.75" customHeight="1" x14ac:dyDescent="0.3">
      <c r="A325" s="5"/>
      <c r="B325" s="35"/>
      <c r="C325" s="4"/>
      <c r="I325" s="27"/>
    </row>
    <row r="326" spans="1:9" ht="15.75" customHeight="1" x14ac:dyDescent="0.3">
      <c r="A326" s="5"/>
      <c r="B326" s="35"/>
      <c r="C326" s="4"/>
      <c r="I326" s="27"/>
    </row>
    <row r="327" spans="1:9" ht="15.75" customHeight="1" x14ac:dyDescent="0.3">
      <c r="A327" s="5"/>
      <c r="B327" s="35"/>
      <c r="C327" s="4"/>
      <c r="I327" s="27"/>
    </row>
    <row r="328" spans="1:9" ht="15.75" customHeight="1" x14ac:dyDescent="0.3">
      <c r="A328" s="5"/>
      <c r="B328" s="35"/>
      <c r="C328" s="4"/>
      <c r="I328" s="27"/>
    </row>
    <row r="329" spans="1:9" ht="15.75" customHeight="1" x14ac:dyDescent="0.3">
      <c r="A329" s="5"/>
      <c r="B329" s="35"/>
      <c r="C329" s="4"/>
      <c r="I329" s="27"/>
    </row>
    <row r="330" spans="1:9" ht="15.75" customHeight="1" x14ac:dyDescent="0.3">
      <c r="A330" s="5"/>
      <c r="B330" s="35"/>
      <c r="C330" s="4"/>
      <c r="I330" s="27"/>
    </row>
    <row r="331" spans="1:9" ht="15.75" customHeight="1" x14ac:dyDescent="0.3">
      <c r="A331" s="5"/>
      <c r="B331" s="35"/>
      <c r="C331" s="4"/>
      <c r="I331" s="27"/>
    </row>
    <row r="332" spans="1:9" ht="15.75" customHeight="1" x14ac:dyDescent="0.3">
      <c r="A332" s="5"/>
      <c r="B332" s="35"/>
      <c r="C332" s="4"/>
      <c r="I332" s="27"/>
    </row>
    <row r="333" spans="1:9" ht="15.75" customHeight="1" x14ac:dyDescent="0.3">
      <c r="A333" s="5"/>
      <c r="B333" s="35"/>
      <c r="C333" s="4"/>
      <c r="I333" s="27"/>
    </row>
    <row r="334" spans="1:9" ht="15.75" customHeight="1" x14ac:dyDescent="0.3">
      <c r="A334" s="5"/>
      <c r="B334" s="35"/>
      <c r="C334" s="4"/>
      <c r="I334" s="27"/>
    </row>
    <row r="335" spans="1:9" ht="15.75" customHeight="1" x14ac:dyDescent="0.3">
      <c r="A335" s="5"/>
      <c r="B335" s="35"/>
      <c r="C335" s="4"/>
      <c r="I335" s="27"/>
    </row>
    <row r="336" spans="1:9" ht="15.75" customHeight="1" x14ac:dyDescent="0.3">
      <c r="A336" s="5"/>
      <c r="B336" s="35"/>
      <c r="C336" s="4"/>
      <c r="I336" s="27"/>
    </row>
    <row r="337" spans="1:9" ht="15.75" customHeight="1" x14ac:dyDescent="0.3">
      <c r="A337" s="5"/>
      <c r="B337" s="35"/>
      <c r="C337" s="4"/>
      <c r="I337" s="27"/>
    </row>
    <row r="338" spans="1:9" ht="15.75" customHeight="1" x14ac:dyDescent="0.3">
      <c r="A338" s="5"/>
      <c r="B338" s="35"/>
      <c r="C338" s="4"/>
      <c r="I338" s="27"/>
    </row>
    <row r="339" spans="1:9" ht="15.75" customHeight="1" x14ac:dyDescent="0.3">
      <c r="A339" s="5"/>
      <c r="B339" s="35"/>
      <c r="C339" s="4"/>
      <c r="I339" s="27"/>
    </row>
    <row r="340" spans="1:9" ht="15.75" customHeight="1" x14ac:dyDescent="0.3">
      <c r="A340" s="5"/>
      <c r="B340" s="35"/>
      <c r="C340" s="4"/>
      <c r="I340" s="27"/>
    </row>
    <row r="341" spans="1:9" ht="15.75" customHeight="1" x14ac:dyDescent="0.3">
      <c r="A341" s="5"/>
      <c r="B341" s="35"/>
      <c r="C341" s="4"/>
      <c r="I341" s="27"/>
    </row>
    <row r="342" spans="1:9" ht="15.75" customHeight="1" x14ac:dyDescent="0.3">
      <c r="A342" s="5"/>
      <c r="B342" s="35"/>
      <c r="C342" s="4"/>
      <c r="I342" s="27"/>
    </row>
    <row r="343" spans="1:9" ht="15.75" customHeight="1" x14ac:dyDescent="0.3">
      <c r="A343" s="5"/>
      <c r="B343" s="35"/>
      <c r="C343" s="4"/>
      <c r="I343" s="27"/>
    </row>
    <row r="344" spans="1:9" ht="15.75" customHeight="1" x14ac:dyDescent="0.3">
      <c r="A344" s="5"/>
      <c r="B344" s="35"/>
      <c r="C344" s="4"/>
      <c r="I344" s="27"/>
    </row>
    <row r="345" spans="1:9" ht="15.75" customHeight="1" x14ac:dyDescent="0.3">
      <c r="A345" s="5"/>
      <c r="B345" s="35"/>
      <c r="C345" s="4"/>
      <c r="I345" s="27"/>
    </row>
    <row r="346" spans="1:9" ht="15.75" customHeight="1" x14ac:dyDescent="0.3">
      <c r="A346" s="5"/>
      <c r="B346" s="35"/>
      <c r="C346" s="4"/>
      <c r="I346" s="27"/>
    </row>
    <row r="347" spans="1:9" ht="15.75" customHeight="1" x14ac:dyDescent="0.3">
      <c r="A347" s="5"/>
      <c r="B347" s="35"/>
      <c r="C347" s="4"/>
      <c r="I347" s="27"/>
    </row>
    <row r="348" spans="1:9" ht="15.75" customHeight="1" x14ac:dyDescent="0.3">
      <c r="A348" s="5"/>
      <c r="B348" s="35"/>
      <c r="C348" s="4"/>
      <c r="I348" s="27"/>
    </row>
    <row r="349" spans="1:9" ht="15.75" customHeight="1" x14ac:dyDescent="0.3">
      <c r="A349" s="5"/>
      <c r="B349" s="35"/>
      <c r="C349" s="4"/>
      <c r="I349" s="27"/>
    </row>
    <row r="350" spans="1:9" ht="15.75" customHeight="1" x14ac:dyDescent="0.3">
      <c r="A350" s="5"/>
      <c r="B350" s="35"/>
      <c r="C350" s="4"/>
      <c r="I350" s="27"/>
    </row>
    <row r="351" spans="1:9" ht="15.75" customHeight="1" x14ac:dyDescent="0.3">
      <c r="A351" s="5"/>
      <c r="B351" s="35"/>
      <c r="C351" s="4"/>
      <c r="I351" s="27"/>
    </row>
    <row r="352" spans="1:9" ht="15.75" customHeight="1" x14ac:dyDescent="0.3">
      <c r="A352" s="5"/>
      <c r="B352" s="35"/>
      <c r="C352" s="4"/>
      <c r="I352" s="27"/>
    </row>
    <row r="353" spans="1:9" ht="15.75" customHeight="1" x14ac:dyDescent="0.3">
      <c r="A353" s="5"/>
      <c r="B353" s="35"/>
      <c r="C353" s="4"/>
      <c r="I353" s="27"/>
    </row>
    <row r="354" spans="1:9" ht="15.75" customHeight="1" x14ac:dyDescent="0.3">
      <c r="A354" s="5"/>
      <c r="B354" s="35"/>
      <c r="C354" s="4"/>
      <c r="I354" s="27"/>
    </row>
    <row r="355" spans="1:9" ht="15.75" customHeight="1" x14ac:dyDescent="0.3">
      <c r="A355" s="5"/>
      <c r="B355" s="35"/>
      <c r="C355" s="4"/>
      <c r="I355" s="27"/>
    </row>
    <row r="356" spans="1:9" ht="15.75" customHeight="1" x14ac:dyDescent="0.3">
      <c r="A356" s="5"/>
      <c r="B356" s="35"/>
      <c r="C356" s="4"/>
      <c r="I356" s="27"/>
    </row>
    <row r="357" spans="1:9" ht="15.75" customHeight="1" x14ac:dyDescent="0.3">
      <c r="A357" s="5"/>
      <c r="B357" s="35"/>
      <c r="C357" s="4"/>
      <c r="I357" s="27"/>
    </row>
    <row r="358" spans="1:9" ht="15.75" customHeight="1" x14ac:dyDescent="0.3">
      <c r="A358" s="5"/>
      <c r="B358" s="35"/>
      <c r="C358" s="4"/>
      <c r="I358" s="27"/>
    </row>
    <row r="359" spans="1:9" ht="15.75" customHeight="1" x14ac:dyDescent="0.3">
      <c r="A359" s="5"/>
      <c r="B359" s="35"/>
      <c r="C359" s="4"/>
      <c r="I359" s="27"/>
    </row>
    <row r="360" spans="1:9" ht="15.75" customHeight="1" x14ac:dyDescent="0.3">
      <c r="A360" s="5"/>
      <c r="B360" s="35"/>
      <c r="C360" s="4"/>
      <c r="I360" s="27"/>
    </row>
    <row r="361" spans="1:9" ht="15.75" customHeight="1" x14ac:dyDescent="0.3">
      <c r="A361" s="5"/>
      <c r="B361" s="35"/>
      <c r="C361" s="4"/>
      <c r="I361" s="27"/>
    </row>
    <row r="362" spans="1:9" ht="15.75" customHeight="1" x14ac:dyDescent="0.3">
      <c r="A362" s="5"/>
      <c r="B362" s="35"/>
      <c r="C362" s="4"/>
      <c r="I362" s="27"/>
    </row>
    <row r="363" spans="1:9" ht="15.75" customHeight="1" x14ac:dyDescent="0.3">
      <c r="A363" s="5"/>
      <c r="B363" s="35"/>
      <c r="C363" s="4"/>
      <c r="I363" s="27"/>
    </row>
    <row r="364" spans="1:9" ht="15.75" customHeight="1" x14ac:dyDescent="0.3">
      <c r="A364" s="5"/>
      <c r="B364" s="35"/>
      <c r="C364" s="4"/>
      <c r="I364" s="27"/>
    </row>
    <row r="365" spans="1:9" ht="15.75" customHeight="1" x14ac:dyDescent="0.3">
      <c r="A365" s="5"/>
      <c r="B365" s="35"/>
      <c r="C365" s="4"/>
      <c r="I365" s="27"/>
    </row>
    <row r="366" spans="1:9" ht="15.75" customHeight="1" x14ac:dyDescent="0.3">
      <c r="A366" s="5"/>
      <c r="B366" s="35"/>
      <c r="C366" s="4"/>
      <c r="I366" s="27"/>
    </row>
    <row r="367" spans="1:9" ht="15.75" customHeight="1" x14ac:dyDescent="0.3">
      <c r="A367" s="5"/>
      <c r="B367" s="35"/>
      <c r="C367" s="4"/>
      <c r="I367" s="27"/>
    </row>
    <row r="368" spans="1:9" ht="15.75" customHeight="1" x14ac:dyDescent="0.3">
      <c r="A368" s="5"/>
      <c r="B368" s="35"/>
      <c r="C368" s="4"/>
      <c r="I368" s="27"/>
    </row>
    <row r="369" spans="1:9" ht="15.75" customHeight="1" x14ac:dyDescent="0.3">
      <c r="A369" s="5"/>
      <c r="B369" s="35"/>
      <c r="C369" s="4"/>
      <c r="I369" s="27"/>
    </row>
    <row r="370" spans="1:9" ht="15.75" customHeight="1" x14ac:dyDescent="0.3">
      <c r="A370" s="5"/>
      <c r="B370" s="35"/>
      <c r="C370" s="4"/>
      <c r="I370" s="27"/>
    </row>
    <row r="371" spans="1:9" ht="15.75" customHeight="1" x14ac:dyDescent="0.3">
      <c r="A371" s="5"/>
      <c r="B371" s="35"/>
      <c r="C371" s="4"/>
      <c r="I371" s="27"/>
    </row>
    <row r="372" spans="1:9" ht="15.75" customHeight="1" x14ac:dyDescent="0.3">
      <c r="A372" s="5"/>
      <c r="B372" s="35"/>
      <c r="C372" s="4"/>
      <c r="I372" s="27"/>
    </row>
    <row r="373" spans="1:9" ht="15.75" customHeight="1" x14ac:dyDescent="0.3">
      <c r="A373" s="5"/>
      <c r="B373" s="35"/>
      <c r="C373" s="4"/>
      <c r="I373" s="27"/>
    </row>
    <row r="374" spans="1:9" ht="15.75" customHeight="1" x14ac:dyDescent="0.3">
      <c r="A374" s="5"/>
      <c r="B374" s="35"/>
      <c r="C374" s="4"/>
      <c r="I374" s="27"/>
    </row>
    <row r="375" spans="1:9" ht="15.75" customHeight="1" x14ac:dyDescent="0.3">
      <c r="A375" s="5"/>
      <c r="B375" s="35"/>
      <c r="C375" s="4"/>
      <c r="I375" s="27"/>
    </row>
    <row r="376" spans="1:9" ht="15.75" customHeight="1" x14ac:dyDescent="0.3">
      <c r="A376" s="5"/>
      <c r="B376" s="35"/>
      <c r="C376" s="4"/>
      <c r="I376" s="27"/>
    </row>
    <row r="377" spans="1:9" ht="15.75" customHeight="1" x14ac:dyDescent="0.3">
      <c r="A377" s="5"/>
      <c r="B377" s="35"/>
      <c r="C377" s="4"/>
      <c r="I377" s="27"/>
    </row>
    <row r="378" spans="1:9" ht="15.75" customHeight="1" x14ac:dyDescent="0.3">
      <c r="A378" s="5"/>
      <c r="B378" s="35"/>
      <c r="C378" s="4"/>
      <c r="I378" s="27"/>
    </row>
    <row r="379" spans="1:9" ht="15.75" customHeight="1" x14ac:dyDescent="0.3">
      <c r="A379" s="5"/>
      <c r="B379" s="35"/>
      <c r="C379" s="4"/>
      <c r="I379" s="27"/>
    </row>
    <row r="380" spans="1:9" ht="15.75" customHeight="1" x14ac:dyDescent="0.3">
      <c r="A380" s="5"/>
      <c r="B380" s="35"/>
      <c r="C380" s="4"/>
      <c r="I380" s="27"/>
    </row>
    <row r="381" spans="1:9" ht="15.75" customHeight="1" x14ac:dyDescent="0.3">
      <c r="A381" s="5"/>
      <c r="B381" s="35"/>
      <c r="C381" s="4"/>
      <c r="I381" s="27"/>
    </row>
    <row r="382" spans="1:9" ht="15.75" customHeight="1" x14ac:dyDescent="0.3">
      <c r="A382" s="5"/>
      <c r="B382" s="35"/>
      <c r="C382" s="4"/>
      <c r="I382" s="27"/>
    </row>
    <row r="383" spans="1:9" ht="15.75" customHeight="1" x14ac:dyDescent="0.3">
      <c r="A383" s="5"/>
      <c r="B383" s="35"/>
      <c r="C383" s="4"/>
      <c r="I383" s="27"/>
    </row>
    <row r="384" spans="1:9" ht="15.75" customHeight="1" x14ac:dyDescent="0.3">
      <c r="A384" s="5"/>
      <c r="B384" s="35"/>
      <c r="C384" s="4"/>
      <c r="I384" s="27"/>
    </row>
    <row r="385" spans="1:9" ht="15.75" customHeight="1" x14ac:dyDescent="0.3">
      <c r="A385" s="5"/>
      <c r="B385" s="35"/>
      <c r="C385" s="4"/>
      <c r="I385" s="27"/>
    </row>
    <row r="386" spans="1:9" ht="15.75" customHeight="1" x14ac:dyDescent="0.3">
      <c r="A386" s="5"/>
      <c r="B386" s="35"/>
      <c r="C386" s="4"/>
      <c r="I386" s="27"/>
    </row>
    <row r="387" spans="1:9" ht="15.75" customHeight="1" x14ac:dyDescent="0.3">
      <c r="A387" s="5"/>
      <c r="B387" s="35"/>
      <c r="C387" s="4"/>
      <c r="I387" s="27"/>
    </row>
    <row r="388" spans="1:9" ht="15.75" customHeight="1" x14ac:dyDescent="0.3">
      <c r="A388" s="5"/>
      <c r="B388" s="35"/>
      <c r="C388" s="4"/>
      <c r="I388" s="27"/>
    </row>
    <row r="389" spans="1:9" ht="15.75" customHeight="1" x14ac:dyDescent="0.3">
      <c r="A389" s="5"/>
      <c r="B389" s="35"/>
      <c r="C389" s="4"/>
      <c r="I389" s="27"/>
    </row>
    <row r="390" spans="1:9" ht="15.75" customHeight="1" x14ac:dyDescent="0.3">
      <c r="A390" s="5"/>
      <c r="B390" s="35"/>
      <c r="C390" s="4"/>
      <c r="I390" s="27"/>
    </row>
    <row r="391" spans="1:9" ht="15.75" customHeight="1" x14ac:dyDescent="0.3">
      <c r="A391" s="5"/>
      <c r="B391" s="35"/>
      <c r="C391" s="4"/>
      <c r="I391" s="27"/>
    </row>
    <row r="392" spans="1:9" ht="15.75" customHeight="1" x14ac:dyDescent="0.3">
      <c r="A392" s="5"/>
      <c r="B392" s="35"/>
      <c r="C392" s="4"/>
      <c r="I392" s="27"/>
    </row>
    <row r="393" spans="1:9" ht="15.75" customHeight="1" x14ac:dyDescent="0.3">
      <c r="A393" s="5"/>
      <c r="B393" s="35"/>
      <c r="C393" s="4"/>
      <c r="I393" s="27"/>
    </row>
    <row r="394" spans="1:9" ht="15.75" customHeight="1" x14ac:dyDescent="0.3">
      <c r="A394" s="5"/>
      <c r="B394" s="35"/>
      <c r="C394" s="4"/>
      <c r="I394" s="27"/>
    </row>
    <row r="395" spans="1:9" ht="15.75" customHeight="1" x14ac:dyDescent="0.3">
      <c r="A395" s="5"/>
      <c r="B395" s="35"/>
      <c r="C395" s="4"/>
      <c r="I395" s="27"/>
    </row>
    <row r="396" spans="1:9" ht="15.75" customHeight="1" x14ac:dyDescent="0.3">
      <c r="A396" s="5"/>
      <c r="B396" s="35"/>
      <c r="C396" s="4"/>
      <c r="I396" s="27"/>
    </row>
    <row r="397" spans="1:9" ht="15.75" customHeight="1" x14ac:dyDescent="0.3">
      <c r="A397" s="5"/>
      <c r="B397" s="35"/>
      <c r="C397" s="4"/>
      <c r="I397" s="27"/>
    </row>
    <row r="398" spans="1:9" ht="15.75" customHeight="1" x14ac:dyDescent="0.3">
      <c r="A398" s="5"/>
      <c r="B398" s="35"/>
      <c r="C398" s="4"/>
      <c r="I398" s="27"/>
    </row>
    <row r="399" spans="1:9" ht="15.75" customHeight="1" x14ac:dyDescent="0.3">
      <c r="A399" s="5"/>
      <c r="B399" s="35"/>
      <c r="C399" s="4"/>
      <c r="I399" s="27"/>
    </row>
    <row r="400" spans="1:9" ht="15.75" customHeight="1" x14ac:dyDescent="0.3">
      <c r="A400" s="5"/>
      <c r="B400" s="35"/>
      <c r="C400" s="4"/>
      <c r="I400" s="27"/>
    </row>
    <row r="401" spans="1:9" ht="15.75" customHeight="1" x14ac:dyDescent="0.3">
      <c r="A401" s="5"/>
      <c r="B401" s="35"/>
      <c r="C401" s="4"/>
      <c r="I401" s="27"/>
    </row>
    <row r="402" spans="1:9" ht="15.75" customHeight="1" x14ac:dyDescent="0.3">
      <c r="A402" s="5"/>
      <c r="B402" s="35"/>
      <c r="C402" s="4"/>
      <c r="I402" s="27"/>
    </row>
    <row r="403" spans="1:9" ht="15.75" customHeight="1" x14ac:dyDescent="0.3">
      <c r="A403" s="5"/>
      <c r="B403" s="35"/>
      <c r="C403" s="4"/>
      <c r="I403" s="27"/>
    </row>
    <row r="404" spans="1:9" ht="15.75" customHeight="1" x14ac:dyDescent="0.3">
      <c r="A404" s="5"/>
      <c r="B404" s="35"/>
      <c r="C404" s="4"/>
      <c r="I404" s="27"/>
    </row>
    <row r="405" spans="1:9" ht="15.75" customHeight="1" x14ac:dyDescent="0.3">
      <c r="A405" s="5"/>
      <c r="B405" s="35"/>
      <c r="C405" s="4"/>
      <c r="I405" s="27"/>
    </row>
    <row r="406" spans="1:9" ht="15.75" customHeight="1" x14ac:dyDescent="0.3">
      <c r="A406" s="5"/>
      <c r="B406" s="35"/>
      <c r="C406" s="4"/>
      <c r="I406" s="27"/>
    </row>
    <row r="407" spans="1:9" ht="15.75" customHeight="1" x14ac:dyDescent="0.3">
      <c r="A407" s="5"/>
      <c r="B407" s="35"/>
      <c r="C407" s="4"/>
      <c r="I407" s="27"/>
    </row>
    <row r="408" spans="1:9" ht="15.75" customHeight="1" x14ac:dyDescent="0.3">
      <c r="A408" s="5"/>
      <c r="B408" s="35"/>
      <c r="C408" s="4"/>
      <c r="I408" s="27"/>
    </row>
    <row r="409" spans="1:9" ht="15.75" customHeight="1" x14ac:dyDescent="0.3">
      <c r="A409" s="5"/>
      <c r="B409" s="35"/>
      <c r="C409" s="4"/>
      <c r="I409" s="27"/>
    </row>
    <row r="410" spans="1:9" ht="15.75" customHeight="1" x14ac:dyDescent="0.3">
      <c r="A410" s="5"/>
      <c r="B410" s="35"/>
      <c r="C410" s="4"/>
      <c r="I410" s="27"/>
    </row>
    <row r="411" spans="1:9" ht="15.75" customHeight="1" x14ac:dyDescent="0.3">
      <c r="A411" s="5"/>
      <c r="B411" s="35"/>
      <c r="C411" s="4"/>
      <c r="I411" s="27"/>
    </row>
    <row r="412" spans="1:9" ht="15.75" customHeight="1" x14ac:dyDescent="0.3">
      <c r="A412" s="5"/>
      <c r="B412" s="35"/>
      <c r="C412" s="4"/>
      <c r="I412" s="27"/>
    </row>
    <row r="413" spans="1:9" ht="15.75" customHeight="1" x14ac:dyDescent="0.3">
      <c r="A413" s="5"/>
      <c r="B413" s="35"/>
      <c r="C413" s="4"/>
      <c r="I413" s="27"/>
    </row>
    <row r="414" spans="1:9" ht="15.75" customHeight="1" x14ac:dyDescent="0.3">
      <c r="A414" s="5"/>
      <c r="B414" s="35"/>
      <c r="C414" s="4"/>
      <c r="I414" s="27"/>
    </row>
    <row r="415" spans="1:9" ht="15.75" customHeight="1" x14ac:dyDescent="0.3">
      <c r="A415" s="5"/>
      <c r="B415" s="35"/>
      <c r="C415" s="4"/>
      <c r="I415" s="27"/>
    </row>
    <row r="416" spans="1:9" ht="15.75" customHeight="1" x14ac:dyDescent="0.3">
      <c r="A416" s="5"/>
      <c r="B416" s="35"/>
      <c r="C416" s="4"/>
      <c r="I416" s="27"/>
    </row>
    <row r="417" spans="1:9" ht="15.75" customHeight="1" x14ac:dyDescent="0.3">
      <c r="A417" s="5"/>
      <c r="B417" s="35"/>
      <c r="C417" s="4"/>
      <c r="I417" s="27"/>
    </row>
    <row r="418" spans="1:9" ht="15.75" customHeight="1" x14ac:dyDescent="0.3">
      <c r="A418" s="5"/>
      <c r="B418" s="35"/>
      <c r="C418" s="4"/>
      <c r="I418" s="27"/>
    </row>
    <row r="419" spans="1:9" ht="15.75" customHeight="1" x14ac:dyDescent="0.3">
      <c r="A419" s="5"/>
      <c r="B419" s="35"/>
      <c r="C419" s="4"/>
      <c r="I419" s="27"/>
    </row>
    <row r="420" spans="1:9" ht="15.75" customHeight="1" x14ac:dyDescent="0.3">
      <c r="A420" s="5"/>
      <c r="B420" s="35"/>
      <c r="C420" s="4"/>
      <c r="I420" s="27"/>
    </row>
    <row r="421" spans="1:9" ht="15.75" customHeight="1" x14ac:dyDescent="0.3">
      <c r="A421" s="5"/>
      <c r="B421" s="35"/>
      <c r="C421" s="4"/>
      <c r="I421" s="27"/>
    </row>
    <row r="422" spans="1:9" ht="15.75" customHeight="1" x14ac:dyDescent="0.3">
      <c r="A422" s="5"/>
      <c r="B422" s="35"/>
      <c r="C422" s="4"/>
      <c r="I422" s="27"/>
    </row>
    <row r="423" spans="1:9" ht="15.75" customHeight="1" x14ac:dyDescent="0.3">
      <c r="A423" s="5"/>
      <c r="B423" s="35"/>
      <c r="C423" s="4"/>
      <c r="I423" s="27"/>
    </row>
    <row r="424" spans="1:9" ht="15.75" customHeight="1" x14ac:dyDescent="0.3">
      <c r="A424" s="5"/>
      <c r="B424" s="35"/>
      <c r="C424" s="4"/>
      <c r="I424" s="27"/>
    </row>
    <row r="425" spans="1:9" ht="15.75" customHeight="1" x14ac:dyDescent="0.3">
      <c r="A425" s="5"/>
      <c r="B425" s="35"/>
      <c r="C425" s="4"/>
      <c r="I425" s="27"/>
    </row>
    <row r="426" spans="1:9" ht="15.75" customHeight="1" x14ac:dyDescent="0.3">
      <c r="A426" s="5"/>
      <c r="B426" s="35"/>
      <c r="C426" s="4"/>
      <c r="I426" s="27"/>
    </row>
    <row r="427" spans="1:9" ht="15.75" customHeight="1" x14ac:dyDescent="0.3">
      <c r="A427" s="5"/>
      <c r="B427" s="35"/>
      <c r="C427" s="4"/>
      <c r="I427" s="27"/>
    </row>
    <row r="428" spans="1:9" ht="15.75" customHeight="1" x14ac:dyDescent="0.3">
      <c r="A428" s="5"/>
      <c r="B428" s="35"/>
      <c r="C428" s="4"/>
      <c r="I428" s="27"/>
    </row>
    <row r="429" spans="1:9" ht="15.75" customHeight="1" x14ac:dyDescent="0.3">
      <c r="A429" s="5"/>
      <c r="B429" s="35"/>
      <c r="C429" s="4"/>
      <c r="I429" s="27"/>
    </row>
    <row r="430" spans="1:9" ht="15.75" customHeight="1" x14ac:dyDescent="0.3">
      <c r="A430" s="5"/>
      <c r="B430" s="35"/>
      <c r="C430" s="4"/>
      <c r="I430" s="27"/>
    </row>
    <row r="431" spans="1:9" ht="15.75" customHeight="1" x14ac:dyDescent="0.3">
      <c r="A431" s="5"/>
      <c r="B431" s="35"/>
      <c r="C431" s="4"/>
      <c r="I431" s="27"/>
    </row>
    <row r="432" spans="1:9" ht="15.75" customHeight="1" x14ac:dyDescent="0.3">
      <c r="A432" s="5"/>
      <c r="B432" s="35"/>
      <c r="C432" s="4"/>
      <c r="I432" s="27"/>
    </row>
    <row r="433" spans="1:9" ht="15.75" customHeight="1" x14ac:dyDescent="0.3">
      <c r="A433" s="5"/>
      <c r="B433" s="35"/>
      <c r="C433" s="4"/>
      <c r="I433" s="27"/>
    </row>
    <row r="434" spans="1:9" ht="15.75" customHeight="1" x14ac:dyDescent="0.3">
      <c r="A434" s="5"/>
      <c r="B434" s="35"/>
      <c r="C434" s="4"/>
      <c r="I434" s="27"/>
    </row>
    <row r="435" spans="1:9" ht="15.75" customHeight="1" x14ac:dyDescent="0.3">
      <c r="A435" s="5"/>
      <c r="B435" s="35"/>
      <c r="C435" s="4"/>
      <c r="I435" s="27"/>
    </row>
    <row r="436" spans="1:9" ht="15.75" customHeight="1" x14ac:dyDescent="0.3">
      <c r="A436" s="5"/>
      <c r="B436" s="35"/>
      <c r="C436" s="4"/>
      <c r="I436" s="27"/>
    </row>
    <row r="437" spans="1:9" ht="15.75" customHeight="1" x14ac:dyDescent="0.3">
      <c r="A437" s="5"/>
      <c r="B437" s="35"/>
      <c r="C437" s="4"/>
      <c r="I437" s="27"/>
    </row>
    <row r="438" spans="1:9" ht="15.75" customHeight="1" x14ac:dyDescent="0.3">
      <c r="A438" s="5"/>
      <c r="B438" s="35"/>
      <c r="C438" s="4"/>
      <c r="I438" s="27"/>
    </row>
    <row r="439" spans="1:9" ht="15.75" customHeight="1" x14ac:dyDescent="0.3">
      <c r="A439" s="5"/>
      <c r="B439" s="35"/>
      <c r="C439" s="4"/>
      <c r="I439" s="27"/>
    </row>
    <row r="440" spans="1:9" ht="15.75" customHeight="1" x14ac:dyDescent="0.3">
      <c r="A440" s="5"/>
      <c r="B440" s="35"/>
      <c r="C440" s="4"/>
      <c r="I440" s="27"/>
    </row>
    <row r="441" spans="1:9" ht="15.75" customHeight="1" x14ac:dyDescent="0.3">
      <c r="A441" s="5"/>
      <c r="B441" s="35"/>
      <c r="C441" s="4"/>
      <c r="I441" s="27"/>
    </row>
    <row r="442" spans="1:9" ht="15.75" customHeight="1" x14ac:dyDescent="0.3">
      <c r="A442" s="5"/>
      <c r="B442" s="35"/>
      <c r="C442" s="4"/>
      <c r="I442" s="27"/>
    </row>
    <row r="443" spans="1:9" ht="15.75" customHeight="1" x14ac:dyDescent="0.3">
      <c r="A443" s="5"/>
      <c r="B443" s="35"/>
      <c r="C443" s="4"/>
      <c r="I443" s="27"/>
    </row>
    <row r="444" spans="1:9" ht="15.75" customHeight="1" x14ac:dyDescent="0.3">
      <c r="A444" s="5"/>
      <c r="B444" s="35"/>
      <c r="C444" s="4"/>
      <c r="I444" s="27"/>
    </row>
    <row r="445" spans="1:9" ht="15.75" customHeight="1" x14ac:dyDescent="0.3">
      <c r="A445" s="5"/>
      <c r="B445" s="35"/>
      <c r="C445" s="4"/>
      <c r="I445" s="27"/>
    </row>
    <row r="446" spans="1:9" ht="15.75" customHeight="1" x14ac:dyDescent="0.3">
      <c r="A446" s="5"/>
      <c r="B446" s="35"/>
      <c r="C446" s="4"/>
      <c r="I446" s="27"/>
    </row>
    <row r="447" spans="1:9" ht="15.75" customHeight="1" x14ac:dyDescent="0.3">
      <c r="A447" s="5"/>
      <c r="B447" s="35"/>
      <c r="C447" s="4"/>
      <c r="I447" s="27"/>
    </row>
    <row r="448" spans="1:9" ht="15.75" customHeight="1" x14ac:dyDescent="0.3">
      <c r="A448" s="5"/>
      <c r="B448" s="35"/>
      <c r="C448" s="4"/>
      <c r="I448" s="27"/>
    </row>
    <row r="449" spans="1:9" ht="15.75" customHeight="1" x14ac:dyDescent="0.3">
      <c r="A449" s="5"/>
      <c r="B449" s="35"/>
      <c r="C449" s="4"/>
      <c r="I449" s="27"/>
    </row>
    <row r="450" spans="1:9" ht="15.75" customHeight="1" x14ac:dyDescent="0.3">
      <c r="A450" s="5"/>
      <c r="B450" s="35"/>
      <c r="C450" s="4"/>
      <c r="I450" s="27"/>
    </row>
    <row r="451" spans="1:9" ht="15.75" customHeight="1" x14ac:dyDescent="0.3">
      <c r="A451" s="5"/>
      <c r="B451" s="35"/>
      <c r="C451" s="4"/>
      <c r="I451" s="27"/>
    </row>
    <row r="452" spans="1:9" ht="15.75" customHeight="1" x14ac:dyDescent="0.3">
      <c r="A452" s="5"/>
      <c r="B452" s="35"/>
      <c r="C452" s="4"/>
      <c r="I452" s="27"/>
    </row>
    <row r="453" spans="1:9" ht="15.75" customHeight="1" x14ac:dyDescent="0.3">
      <c r="A453" s="5"/>
      <c r="B453" s="35"/>
      <c r="C453" s="4"/>
      <c r="I453" s="27"/>
    </row>
    <row r="454" spans="1:9" ht="15.75" customHeight="1" x14ac:dyDescent="0.3">
      <c r="A454" s="5"/>
      <c r="B454" s="35"/>
      <c r="C454" s="4"/>
      <c r="I454" s="27"/>
    </row>
    <row r="455" spans="1:9" ht="15.75" customHeight="1" x14ac:dyDescent="0.3">
      <c r="A455" s="5"/>
      <c r="B455" s="35"/>
      <c r="C455" s="4"/>
      <c r="I455" s="27"/>
    </row>
    <row r="456" spans="1:9" ht="15.75" customHeight="1" x14ac:dyDescent="0.3">
      <c r="A456" s="5"/>
      <c r="B456" s="35"/>
      <c r="C456" s="4"/>
      <c r="I456" s="27"/>
    </row>
    <row r="457" spans="1:9" ht="15.75" customHeight="1" x14ac:dyDescent="0.3">
      <c r="A457" s="5"/>
      <c r="B457" s="35"/>
      <c r="C457" s="4"/>
      <c r="I457" s="27"/>
    </row>
    <row r="458" spans="1:9" ht="15.75" customHeight="1" x14ac:dyDescent="0.3">
      <c r="A458" s="5"/>
      <c r="B458" s="35"/>
      <c r="C458" s="4"/>
      <c r="I458" s="27"/>
    </row>
    <row r="459" spans="1:9" ht="15.75" customHeight="1" x14ac:dyDescent="0.3">
      <c r="A459" s="5"/>
      <c r="B459" s="35"/>
      <c r="C459" s="4"/>
      <c r="I459" s="27"/>
    </row>
    <row r="460" spans="1:9" ht="15.75" customHeight="1" x14ac:dyDescent="0.3">
      <c r="A460" s="5"/>
      <c r="B460" s="35"/>
      <c r="C460" s="4"/>
      <c r="I460" s="27"/>
    </row>
    <row r="461" spans="1:9" ht="15.75" customHeight="1" x14ac:dyDescent="0.3">
      <c r="A461" s="5"/>
      <c r="B461" s="35"/>
      <c r="C461" s="4"/>
      <c r="I461" s="27"/>
    </row>
    <row r="462" spans="1:9" ht="15.75" customHeight="1" x14ac:dyDescent="0.3">
      <c r="A462" s="5"/>
      <c r="B462" s="35"/>
      <c r="C462" s="4"/>
      <c r="I462" s="27"/>
    </row>
    <row r="463" spans="1:9" ht="15.75" customHeight="1" x14ac:dyDescent="0.3">
      <c r="A463" s="5"/>
      <c r="B463" s="35"/>
      <c r="C463" s="4"/>
      <c r="I463" s="27"/>
    </row>
    <row r="464" spans="1:9" ht="15.75" customHeight="1" x14ac:dyDescent="0.3">
      <c r="A464" s="5"/>
      <c r="B464" s="35"/>
      <c r="C464" s="4"/>
      <c r="I464" s="27"/>
    </row>
    <row r="465" spans="1:9" ht="15.75" customHeight="1" x14ac:dyDescent="0.3">
      <c r="A465" s="5"/>
      <c r="B465" s="35"/>
      <c r="C465" s="4"/>
      <c r="I465" s="27"/>
    </row>
    <row r="466" spans="1:9" ht="15.75" customHeight="1" x14ac:dyDescent="0.3">
      <c r="A466" s="5"/>
      <c r="B466" s="35"/>
      <c r="C466" s="4"/>
      <c r="I466" s="27"/>
    </row>
    <row r="467" spans="1:9" ht="15.75" customHeight="1" x14ac:dyDescent="0.3">
      <c r="A467" s="5"/>
      <c r="B467" s="35"/>
      <c r="C467" s="4"/>
      <c r="I467" s="27"/>
    </row>
    <row r="468" spans="1:9" ht="15.75" customHeight="1" x14ac:dyDescent="0.3">
      <c r="A468" s="5"/>
      <c r="B468" s="35"/>
      <c r="C468" s="4"/>
      <c r="I468" s="27"/>
    </row>
    <row r="469" spans="1:9" ht="15.75" customHeight="1" x14ac:dyDescent="0.3">
      <c r="A469" s="5"/>
      <c r="B469" s="35"/>
      <c r="C469" s="4"/>
      <c r="I469" s="27"/>
    </row>
    <row r="470" spans="1:9" ht="15.75" customHeight="1" x14ac:dyDescent="0.3">
      <c r="A470" s="5"/>
      <c r="B470" s="35"/>
      <c r="C470" s="4"/>
      <c r="I470" s="27"/>
    </row>
    <row r="471" spans="1:9" ht="15.75" customHeight="1" x14ac:dyDescent="0.3">
      <c r="A471" s="5"/>
      <c r="B471" s="35"/>
      <c r="C471" s="4"/>
      <c r="I471" s="27"/>
    </row>
    <row r="472" spans="1:9" ht="15.75" customHeight="1" x14ac:dyDescent="0.3">
      <c r="A472" s="5"/>
      <c r="B472" s="35"/>
      <c r="C472" s="4"/>
      <c r="I472" s="27"/>
    </row>
    <row r="473" spans="1:9" ht="15.75" customHeight="1" x14ac:dyDescent="0.3">
      <c r="A473" s="5"/>
      <c r="B473" s="35"/>
      <c r="C473" s="4"/>
      <c r="I473" s="27"/>
    </row>
    <row r="474" spans="1:9" ht="15.75" customHeight="1" x14ac:dyDescent="0.3">
      <c r="A474" s="5"/>
      <c r="B474" s="35"/>
      <c r="C474" s="4"/>
      <c r="I474" s="27"/>
    </row>
    <row r="475" spans="1:9" ht="15.75" customHeight="1" x14ac:dyDescent="0.3">
      <c r="A475" s="5"/>
      <c r="B475" s="35"/>
      <c r="C475" s="4"/>
      <c r="I475" s="27"/>
    </row>
    <row r="476" spans="1:9" ht="15.75" customHeight="1" x14ac:dyDescent="0.3">
      <c r="A476" s="5"/>
      <c r="B476" s="35"/>
      <c r="C476" s="4"/>
      <c r="I476" s="27"/>
    </row>
    <row r="477" spans="1:9" ht="15.75" customHeight="1" x14ac:dyDescent="0.3">
      <c r="A477" s="5"/>
      <c r="B477" s="35"/>
      <c r="C477" s="4"/>
      <c r="I477" s="27"/>
    </row>
    <row r="478" spans="1:9" ht="15.75" customHeight="1" x14ac:dyDescent="0.3">
      <c r="A478" s="5"/>
      <c r="B478" s="35"/>
      <c r="C478" s="4"/>
      <c r="I478" s="27"/>
    </row>
    <row r="479" spans="1:9" ht="15.75" customHeight="1" x14ac:dyDescent="0.3">
      <c r="A479" s="5"/>
      <c r="B479" s="35"/>
      <c r="C479" s="4"/>
      <c r="I479" s="27"/>
    </row>
    <row r="480" spans="1:9" ht="15.75" customHeight="1" x14ac:dyDescent="0.3">
      <c r="A480" s="5"/>
      <c r="B480" s="35"/>
      <c r="C480" s="4"/>
      <c r="I480" s="27"/>
    </row>
    <row r="481" spans="1:9" ht="15.75" customHeight="1" x14ac:dyDescent="0.3">
      <c r="A481" s="5"/>
      <c r="B481" s="35"/>
      <c r="C481" s="4"/>
      <c r="I481" s="27"/>
    </row>
    <row r="482" spans="1:9" ht="15.75" customHeight="1" x14ac:dyDescent="0.3">
      <c r="A482" s="5"/>
      <c r="B482" s="35"/>
      <c r="C482" s="4"/>
      <c r="I482" s="27"/>
    </row>
    <row r="483" spans="1:9" ht="15.75" customHeight="1" x14ac:dyDescent="0.3">
      <c r="A483" s="5"/>
      <c r="B483" s="35"/>
      <c r="C483" s="4"/>
      <c r="I483" s="27"/>
    </row>
    <row r="484" spans="1:9" ht="15.75" customHeight="1" x14ac:dyDescent="0.3">
      <c r="A484" s="5"/>
      <c r="B484" s="35"/>
      <c r="C484" s="4"/>
      <c r="I484" s="27"/>
    </row>
    <row r="485" spans="1:9" ht="15.75" customHeight="1" x14ac:dyDescent="0.3">
      <c r="A485" s="5"/>
      <c r="B485" s="35"/>
      <c r="C485" s="4"/>
      <c r="I485" s="27"/>
    </row>
    <row r="486" spans="1:9" ht="15.75" customHeight="1" x14ac:dyDescent="0.3">
      <c r="A486" s="5"/>
      <c r="B486" s="35"/>
      <c r="C486" s="4"/>
      <c r="I486" s="27"/>
    </row>
    <row r="487" spans="1:9" ht="15.75" customHeight="1" x14ac:dyDescent="0.3">
      <c r="A487" s="5"/>
      <c r="B487" s="35"/>
      <c r="C487" s="4"/>
      <c r="I487" s="27"/>
    </row>
    <row r="488" spans="1:9" ht="15.75" customHeight="1" x14ac:dyDescent="0.3">
      <c r="A488" s="5"/>
      <c r="B488" s="35"/>
      <c r="C488" s="4"/>
      <c r="I488" s="27"/>
    </row>
    <row r="489" spans="1:9" ht="15.75" customHeight="1" x14ac:dyDescent="0.3">
      <c r="A489" s="5"/>
      <c r="B489" s="35"/>
      <c r="C489" s="4"/>
      <c r="I489" s="27"/>
    </row>
    <row r="490" spans="1:9" ht="15.75" customHeight="1" x14ac:dyDescent="0.3">
      <c r="A490" s="5"/>
      <c r="B490" s="35"/>
      <c r="C490" s="4"/>
      <c r="I490" s="27"/>
    </row>
    <row r="491" spans="1:9" ht="15.75" customHeight="1" x14ac:dyDescent="0.3">
      <c r="A491" s="5"/>
      <c r="B491" s="35"/>
      <c r="C491" s="4"/>
      <c r="I491" s="27"/>
    </row>
    <row r="492" spans="1:9" ht="15.75" customHeight="1" x14ac:dyDescent="0.3">
      <c r="A492" s="5"/>
      <c r="B492" s="35"/>
      <c r="C492" s="4"/>
      <c r="I492" s="27"/>
    </row>
    <row r="493" spans="1:9" ht="15.75" customHeight="1" x14ac:dyDescent="0.3">
      <c r="A493" s="5"/>
      <c r="B493" s="35"/>
      <c r="C493" s="4"/>
      <c r="I493" s="27"/>
    </row>
    <row r="494" spans="1:9" ht="15.75" customHeight="1" x14ac:dyDescent="0.3">
      <c r="A494" s="5"/>
      <c r="B494" s="35"/>
      <c r="C494" s="4"/>
      <c r="I494" s="27"/>
    </row>
    <row r="495" spans="1:9" ht="15.75" customHeight="1" x14ac:dyDescent="0.3">
      <c r="A495" s="5"/>
      <c r="B495" s="35"/>
      <c r="C495" s="4"/>
      <c r="I495" s="27"/>
    </row>
    <row r="496" spans="1:9" ht="15.75" customHeight="1" x14ac:dyDescent="0.3">
      <c r="A496" s="5"/>
      <c r="B496" s="35"/>
      <c r="C496" s="4"/>
      <c r="I496" s="27"/>
    </row>
    <row r="497" spans="1:9" ht="15.75" customHeight="1" x14ac:dyDescent="0.3">
      <c r="A497" s="5"/>
      <c r="B497" s="35"/>
      <c r="C497" s="4"/>
      <c r="I497" s="27"/>
    </row>
    <row r="498" spans="1:9" ht="15.75" customHeight="1" x14ac:dyDescent="0.3">
      <c r="A498" s="5"/>
      <c r="B498" s="35"/>
      <c r="C498" s="4"/>
      <c r="I498" s="27"/>
    </row>
    <row r="499" spans="1:9" ht="15.75" customHeight="1" x14ac:dyDescent="0.3">
      <c r="A499" s="5"/>
      <c r="B499" s="35"/>
      <c r="C499" s="4"/>
      <c r="I499" s="27"/>
    </row>
    <row r="500" spans="1:9" ht="15.75" customHeight="1" x14ac:dyDescent="0.3">
      <c r="A500" s="5"/>
      <c r="B500" s="35"/>
      <c r="C500" s="4"/>
      <c r="I500" s="27"/>
    </row>
    <row r="501" spans="1:9" ht="15.75" customHeight="1" x14ac:dyDescent="0.3">
      <c r="A501" s="5"/>
      <c r="B501" s="35"/>
      <c r="C501" s="4"/>
      <c r="I501" s="27"/>
    </row>
    <row r="502" spans="1:9" ht="15.75" customHeight="1" x14ac:dyDescent="0.3">
      <c r="A502" s="5"/>
      <c r="B502" s="35"/>
      <c r="C502" s="4"/>
      <c r="I502" s="27"/>
    </row>
    <row r="503" spans="1:9" ht="15.75" customHeight="1" x14ac:dyDescent="0.3">
      <c r="A503" s="5"/>
      <c r="B503" s="35"/>
      <c r="C503" s="4"/>
      <c r="I503" s="27"/>
    </row>
    <row r="504" spans="1:9" ht="15.75" customHeight="1" x14ac:dyDescent="0.3">
      <c r="A504" s="5"/>
      <c r="B504" s="35"/>
      <c r="C504" s="4"/>
      <c r="I504" s="27"/>
    </row>
    <row r="505" spans="1:9" ht="15.75" customHeight="1" x14ac:dyDescent="0.3">
      <c r="A505" s="5"/>
      <c r="B505" s="35"/>
      <c r="C505" s="4"/>
      <c r="I505" s="27"/>
    </row>
    <row r="506" spans="1:9" ht="15.75" customHeight="1" x14ac:dyDescent="0.3">
      <c r="A506" s="5"/>
      <c r="B506" s="35"/>
      <c r="C506" s="4"/>
      <c r="I506" s="27"/>
    </row>
    <row r="507" spans="1:9" ht="15.75" customHeight="1" x14ac:dyDescent="0.3">
      <c r="A507" s="5"/>
      <c r="B507" s="35"/>
      <c r="C507" s="4"/>
      <c r="I507" s="27"/>
    </row>
    <row r="508" spans="1:9" ht="15.75" customHeight="1" x14ac:dyDescent="0.3">
      <c r="A508" s="5"/>
      <c r="B508" s="35"/>
      <c r="C508" s="4"/>
      <c r="I508" s="27"/>
    </row>
    <row r="509" spans="1:9" ht="15.75" customHeight="1" x14ac:dyDescent="0.3">
      <c r="A509" s="5"/>
      <c r="B509" s="35"/>
      <c r="C509" s="4"/>
      <c r="I509" s="27"/>
    </row>
    <row r="510" spans="1:9" ht="15.75" customHeight="1" x14ac:dyDescent="0.3">
      <c r="A510" s="5"/>
      <c r="B510" s="35"/>
      <c r="C510" s="4"/>
      <c r="I510" s="27"/>
    </row>
    <row r="511" spans="1:9" ht="15.75" customHeight="1" x14ac:dyDescent="0.3">
      <c r="A511" s="5"/>
      <c r="B511" s="35"/>
      <c r="C511" s="4"/>
      <c r="I511" s="27"/>
    </row>
    <row r="512" spans="1:9" ht="15.75" customHeight="1" x14ac:dyDescent="0.3">
      <c r="A512" s="5"/>
      <c r="B512" s="35"/>
      <c r="C512" s="4"/>
      <c r="I512" s="27"/>
    </row>
    <row r="513" spans="1:9" ht="15.75" customHeight="1" x14ac:dyDescent="0.3">
      <c r="A513" s="5"/>
      <c r="B513" s="35"/>
      <c r="C513" s="4"/>
      <c r="I513" s="27"/>
    </row>
    <row r="514" spans="1:9" ht="15.75" customHeight="1" x14ac:dyDescent="0.3">
      <c r="A514" s="5"/>
      <c r="B514" s="35"/>
      <c r="C514" s="4"/>
      <c r="I514" s="27"/>
    </row>
    <row r="515" spans="1:9" ht="15.75" customHeight="1" x14ac:dyDescent="0.3">
      <c r="A515" s="5"/>
      <c r="B515" s="35"/>
      <c r="C515" s="4"/>
      <c r="I515" s="27"/>
    </row>
    <row r="516" spans="1:9" ht="15.75" customHeight="1" x14ac:dyDescent="0.3">
      <c r="A516" s="5"/>
      <c r="B516" s="35"/>
      <c r="C516" s="4"/>
      <c r="I516" s="27"/>
    </row>
    <row r="517" spans="1:9" ht="15.75" customHeight="1" x14ac:dyDescent="0.3">
      <c r="A517" s="5"/>
      <c r="B517" s="35"/>
      <c r="C517" s="4"/>
      <c r="I517" s="27"/>
    </row>
    <row r="518" spans="1:9" ht="15.75" customHeight="1" x14ac:dyDescent="0.3">
      <c r="A518" s="5"/>
      <c r="B518" s="35"/>
      <c r="C518" s="4"/>
      <c r="I518" s="27"/>
    </row>
    <row r="519" spans="1:9" ht="15.75" customHeight="1" x14ac:dyDescent="0.3">
      <c r="A519" s="5"/>
      <c r="B519" s="35"/>
      <c r="C519" s="4"/>
      <c r="I519" s="27"/>
    </row>
    <row r="520" spans="1:9" ht="15.75" customHeight="1" x14ac:dyDescent="0.3">
      <c r="A520" s="5"/>
      <c r="B520" s="35"/>
      <c r="C520" s="4"/>
      <c r="I520" s="27"/>
    </row>
    <row r="521" spans="1:9" ht="15.75" customHeight="1" x14ac:dyDescent="0.3">
      <c r="A521" s="5"/>
      <c r="B521" s="35"/>
      <c r="C521" s="4"/>
      <c r="I521" s="27"/>
    </row>
    <row r="522" spans="1:9" ht="15.75" customHeight="1" x14ac:dyDescent="0.3">
      <c r="A522" s="5"/>
      <c r="B522" s="35"/>
      <c r="C522" s="4"/>
      <c r="I522" s="27"/>
    </row>
    <row r="523" spans="1:9" ht="15.75" customHeight="1" x14ac:dyDescent="0.3">
      <c r="A523" s="5"/>
      <c r="B523" s="35"/>
      <c r="C523" s="4"/>
      <c r="I523" s="27"/>
    </row>
    <row r="524" spans="1:9" ht="15.75" customHeight="1" x14ac:dyDescent="0.3">
      <c r="A524" s="5"/>
      <c r="B524" s="35"/>
      <c r="C524" s="4"/>
      <c r="I524" s="27"/>
    </row>
    <row r="525" spans="1:9" ht="15.75" customHeight="1" x14ac:dyDescent="0.3">
      <c r="A525" s="5"/>
      <c r="B525" s="35"/>
      <c r="C525" s="4"/>
      <c r="I525" s="27"/>
    </row>
    <row r="526" spans="1:9" ht="15.75" customHeight="1" x14ac:dyDescent="0.3">
      <c r="A526" s="5"/>
      <c r="B526" s="35"/>
      <c r="C526" s="4"/>
      <c r="I526" s="27"/>
    </row>
    <row r="527" spans="1:9" ht="15.75" customHeight="1" x14ac:dyDescent="0.3">
      <c r="A527" s="5"/>
      <c r="B527" s="35"/>
      <c r="C527" s="4"/>
      <c r="I527" s="27"/>
    </row>
    <row r="528" spans="1:9" ht="15.75" customHeight="1" x14ac:dyDescent="0.3">
      <c r="A528" s="5"/>
      <c r="B528" s="35"/>
      <c r="C528" s="4"/>
      <c r="I528" s="27"/>
    </row>
    <row r="529" spans="1:9" ht="15.75" customHeight="1" x14ac:dyDescent="0.3">
      <c r="A529" s="5"/>
      <c r="B529" s="35"/>
      <c r="C529" s="4"/>
      <c r="I529" s="27"/>
    </row>
    <row r="530" spans="1:9" ht="15.75" customHeight="1" x14ac:dyDescent="0.3">
      <c r="A530" s="5"/>
      <c r="B530" s="35"/>
      <c r="C530" s="4"/>
      <c r="I530" s="27"/>
    </row>
    <row r="531" spans="1:9" ht="15.75" customHeight="1" x14ac:dyDescent="0.3">
      <c r="A531" s="5"/>
      <c r="B531" s="35"/>
      <c r="C531" s="4"/>
      <c r="I531" s="27"/>
    </row>
    <row r="532" spans="1:9" ht="15.75" customHeight="1" x14ac:dyDescent="0.3">
      <c r="A532" s="5"/>
      <c r="B532" s="35"/>
      <c r="C532" s="4"/>
      <c r="I532" s="27"/>
    </row>
    <row r="533" spans="1:9" ht="15.75" customHeight="1" x14ac:dyDescent="0.3">
      <c r="A533" s="5"/>
      <c r="B533" s="35"/>
      <c r="C533" s="4"/>
      <c r="I533" s="27"/>
    </row>
    <row r="534" spans="1:9" ht="15.75" customHeight="1" x14ac:dyDescent="0.3">
      <c r="A534" s="5"/>
      <c r="B534" s="35"/>
      <c r="C534" s="4"/>
      <c r="I534" s="27"/>
    </row>
    <row r="535" spans="1:9" ht="15.75" customHeight="1" x14ac:dyDescent="0.3">
      <c r="A535" s="5"/>
      <c r="B535" s="35"/>
      <c r="C535" s="4"/>
      <c r="I535" s="27"/>
    </row>
    <row r="536" spans="1:9" ht="15.75" customHeight="1" x14ac:dyDescent="0.3">
      <c r="A536" s="5"/>
      <c r="B536" s="35"/>
      <c r="C536" s="4"/>
      <c r="I536" s="27"/>
    </row>
    <row r="537" spans="1:9" ht="15.75" customHeight="1" x14ac:dyDescent="0.3">
      <c r="A537" s="5"/>
      <c r="B537" s="35"/>
      <c r="C537" s="4"/>
      <c r="I537" s="27"/>
    </row>
    <row r="538" spans="1:9" ht="15.75" customHeight="1" x14ac:dyDescent="0.3">
      <c r="A538" s="5"/>
      <c r="B538" s="35"/>
      <c r="C538" s="4"/>
      <c r="I538" s="27"/>
    </row>
    <row r="539" spans="1:9" ht="15.75" customHeight="1" x14ac:dyDescent="0.3">
      <c r="A539" s="5"/>
      <c r="B539" s="35"/>
      <c r="C539" s="4"/>
      <c r="I539" s="27"/>
    </row>
    <row r="540" spans="1:9" ht="15.75" customHeight="1" x14ac:dyDescent="0.3">
      <c r="A540" s="5"/>
      <c r="B540" s="35"/>
      <c r="C540" s="4"/>
      <c r="I540" s="27"/>
    </row>
    <row r="541" spans="1:9" ht="15.75" customHeight="1" x14ac:dyDescent="0.3">
      <c r="A541" s="5"/>
      <c r="B541" s="35"/>
      <c r="C541" s="4"/>
      <c r="I541" s="27"/>
    </row>
    <row r="542" spans="1:9" ht="15.75" customHeight="1" x14ac:dyDescent="0.3">
      <c r="A542" s="5"/>
      <c r="B542" s="35"/>
      <c r="C542" s="4"/>
      <c r="I542" s="27"/>
    </row>
    <row r="543" spans="1:9" ht="15.75" customHeight="1" x14ac:dyDescent="0.3">
      <c r="A543" s="5"/>
      <c r="B543" s="35"/>
      <c r="C543" s="4"/>
      <c r="I543" s="27"/>
    </row>
    <row r="544" spans="1:9" ht="15.75" customHeight="1" x14ac:dyDescent="0.3">
      <c r="A544" s="5"/>
      <c r="B544" s="35"/>
      <c r="C544" s="4"/>
      <c r="I544" s="27"/>
    </row>
    <row r="545" spans="1:9" ht="15.75" customHeight="1" x14ac:dyDescent="0.3">
      <c r="A545" s="5"/>
      <c r="B545" s="35"/>
      <c r="C545" s="4"/>
      <c r="I545" s="27"/>
    </row>
    <row r="546" spans="1:9" ht="15.75" customHeight="1" x14ac:dyDescent="0.3">
      <c r="A546" s="5"/>
      <c r="B546" s="35"/>
      <c r="C546" s="4"/>
      <c r="I546" s="27"/>
    </row>
    <row r="547" spans="1:9" ht="15.75" customHeight="1" x14ac:dyDescent="0.3">
      <c r="A547" s="5"/>
      <c r="B547" s="35"/>
      <c r="C547" s="4"/>
      <c r="I547" s="27"/>
    </row>
    <row r="548" spans="1:9" ht="15.75" customHeight="1" x14ac:dyDescent="0.3">
      <c r="A548" s="5"/>
      <c r="B548" s="35"/>
      <c r="C548" s="4"/>
      <c r="I548" s="27"/>
    </row>
    <row r="549" spans="1:9" ht="15.75" customHeight="1" x14ac:dyDescent="0.3">
      <c r="A549" s="5"/>
      <c r="B549" s="35"/>
      <c r="C549" s="4"/>
      <c r="I549" s="27"/>
    </row>
    <row r="550" spans="1:9" ht="15.75" customHeight="1" x14ac:dyDescent="0.3">
      <c r="A550" s="5"/>
      <c r="B550" s="35"/>
      <c r="C550" s="4"/>
      <c r="I550" s="27"/>
    </row>
    <row r="551" spans="1:9" ht="15.75" customHeight="1" x14ac:dyDescent="0.3">
      <c r="A551" s="5"/>
      <c r="B551" s="35"/>
      <c r="C551" s="4"/>
      <c r="I551" s="27"/>
    </row>
    <row r="552" spans="1:9" ht="15.75" customHeight="1" x14ac:dyDescent="0.3">
      <c r="A552" s="5"/>
      <c r="B552" s="35"/>
      <c r="C552" s="4"/>
      <c r="I552" s="27"/>
    </row>
    <row r="553" spans="1:9" ht="15.75" customHeight="1" x14ac:dyDescent="0.3">
      <c r="A553" s="5"/>
      <c r="B553" s="35"/>
      <c r="C553" s="4"/>
      <c r="I553" s="27"/>
    </row>
    <row r="554" spans="1:9" ht="15.75" customHeight="1" x14ac:dyDescent="0.3">
      <c r="A554" s="5"/>
      <c r="B554" s="35"/>
      <c r="C554" s="4"/>
      <c r="I554" s="27"/>
    </row>
    <row r="555" spans="1:9" ht="15.75" customHeight="1" x14ac:dyDescent="0.3">
      <c r="A555" s="5"/>
      <c r="B555" s="35"/>
      <c r="C555" s="4"/>
      <c r="I555" s="27"/>
    </row>
    <row r="556" spans="1:9" ht="15.75" customHeight="1" x14ac:dyDescent="0.3">
      <c r="A556" s="5"/>
      <c r="B556" s="35"/>
      <c r="C556" s="4"/>
      <c r="I556" s="27"/>
    </row>
    <row r="557" spans="1:9" ht="15.75" customHeight="1" x14ac:dyDescent="0.3">
      <c r="A557" s="5"/>
      <c r="B557" s="35"/>
      <c r="C557" s="4"/>
      <c r="I557" s="27"/>
    </row>
    <row r="558" spans="1:9" ht="15.75" customHeight="1" x14ac:dyDescent="0.3">
      <c r="A558" s="5"/>
      <c r="B558" s="35"/>
      <c r="C558" s="4"/>
      <c r="I558" s="27"/>
    </row>
    <row r="559" spans="1:9" ht="15.75" customHeight="1" x14ac:dyDescent="0.3">
      <c r="A559" s="5"/>
      <c r="B559" s="35"/>
      <c r="C559" s="4"/>
      <c r="I559" s="27"/>
    </row>
    <row r="560" spans="1:9" ht="15.75" customHeight="1" x14ac:dyDescent="0.3">
      <c r="A560" s="5"/>
      <c r="B560" s="35"/>
      <c r="C560" s="4"/>
      <c r="I560" s="27"/>
    </row>
    <row r="561" spans="1:9" ht="15.75" customHeight="1" x14ac:dyDescent="0.3">
      <c r="A561" s="5"/>
      <c r="B561" s="35"/>
      <c r="C561" s="4"/>
      <c r="I561" s="27"/>
    </row>
    <row r="562" spans="1:9" ht="15.75" customHeight="1" x14ac:dyDescent="0.3">
      <c r="A562" s="5"/>
      <c r="B562" s="35"/>
      <c r="C562" s="4"/>
      <c r="I562" s="27"/>
    </row>
    <row r="563" spans="1:9" ht="15.75" customHeight="1" x14ac:dyDescent="0.3">
      <c r="A563" s="5"/>
      <c r="B563" s="35"/>
      <c r="C563" s="4"/>
      <c r="I563" s="27"/>
    </row>
    <row r="564" spans="1:9" ht="15.75" customHeight="1" x14ac:dyDescent="0.3">
      <c r="A564" s="5"/>
      <c r="B564" s="35"/>
      <c r="C564" s="4"/>
      <c r="I564" s="27"/>
    </row>
    <row r="565" spans="1:9" ht="15.75" customHeight="1" x14ac:dyDescent="0.3">
      <c r="A565" s="5"/>
      <c r="B565" s="35"/>
      <c r="C565" s="4"/>
      <c r="I565" s="27"/>
    </row>
    <row r="566" spans="1:9" ht="15.75" customHeight="1" x14ac:dyDescent="0.3">
      <c r="A566" s="5"/>
      <c r="B566" s="35"/>
      <c r="C566" s="4"/>
      <c r="I566" s="27"/>
    </row>
    <row r="567" spans="1:9" ht="15.75" customHeight="1" x14ac:dyDescent="0.3">
      <c r="A567" s="5"/>
      <c r="B567" s="35"/>
      <c r="C567" s="4"/>
      <c r="I567" s="27"/>
    </row>
    <row r="568" spans="1:9" ht="15.75" customHeight="1" x14ac:dyDescent="0.3">
      <c r="A568" s="5"/>
      <c r="B568" s="35"/>
      <c r="C568" s="4"/>
      <c r="I568" s="27"/>
    </row>
    <row r="569" spans="1:9" ht="15.75" customHeight="1" x14ac:dyDescent="0.3">
      <c r="A569" s="5"/>
      <c r="B569" s="35"/>
      <c r="C569" s="4"/>
      <c r="I569" s="27"/>
    </row>
    <row r="570" spans="1:9" ht="15.75" customHeight="1" x14ac:dyDescent="0.3">
      <c r="A570" s="5"/>
      <c r="B570" s="35"/>
      <c r="C570" s="4"/>
      <c r="I570" s="27"/>
    </row>
    <row r="571" spans="1:9" ht="15.75" customHeight="1" x14ac:dyDescent="0.3">
      <c r="A571" s="5"/>
      <c r="B571" s="35"/>
      <c r="C571" s="4"/>
      <c r="I571" s="27"/>
    </row>
    <row r="572" spans="1:9" ht="15.75" customHeight="1" x14ac:dyDescent="0.3">
      <c r="A572" s="5"/>
      <c r="B572" s="35"/>
      <c r="C572" s="4"/>
      <c r="I572" s="27"/>
    </row>
    <row r="573" spans="1:9" ht="15.75" customHeight="1" x14ac:dyDescent="0.3">
      <c r="A573" s="5"/>
      <c r="B573" s="35"/>
      <c r="C573" s="4"/>
      <c r="I573" s="27"/>
    </row>
    <row r="574" spans="1:9" ht="15.75" customHeight="1" x14ac:dyDescent="0.3">
      <c r="A574" s="5"/>
      <c r="B574" s="35"/>
      <c r="C574" s="4"/>
      <c r="I574" s="27"/>
    </row>
    <row r="575" spans="1:9" ht="15.75" customHeight="1" x14ac:dyDescent="0.3">
      <c r="A575" s="5"/>
      <c r="B575" s="35"/>
      <c r="C575" s="4"/>
      <c r="I575" s="27"/>
    </row>
    <row r="576" spans="1:9" ht="15.75" customHeight="1" x14ac:dyDescent="0.3">
      <c r="A576" s="5"/>
      <c r="B576" s="35"/>
      <c r="C576" s="4"/>
      <c r="I576" s="27"/>
    </row>
    <row r="577" spans="1:9" ht="15.75" customHeight="1" x14ac:dyDescent="0.3">
      <c r="A577" s="5"/>
      <c r="B577" s="35"/>
      <c r="C577" s="4"/>
      <c r="I577" s="27"/>
    </row>
    <row r="578" spans="1:9" ht="15.75" customHeight="1" x14ac:dyDescent="0.3">
      <c r="A578" s="5"/>
      <c r="B578" s="35"/>
      <c r="C578" s="4"/>
      <c r="I578" s="27"/>
    </row>
    <row r="579" spans="1:9" ht="15.75" customHeight="1" x14ac:dyDescent="0.3">
      <c r="A579" s="5"/>
      <c r="B579" s="35"/>
      <c r="C579" s="4"/>
      <c r="I579" s="27"/>
    </row>
    <row r="580" spans="1:9" ht="15.75" customHeight="1" x14ac:dyDescent="0.3">
      <c r="A580" s="5"/>
      <c r="B580" s="35"/>
      <c r="C580" s="4"/>
      <c r="I580" s="27"/>
    </row>
    <row r="581" spans="1:9" ht="15.75" customHeight="1" x14ac:dyDescent="0.3">
      <c r="A581" s="5"/>
      <c r="B581" s="35"/>
      <c r="C581" s="4"/>
      <c r="I581" s="27"/>
    </row>
    <row r="582" spans="1:9" ht="15.75" customHeight="1" x14ac:dyDescent="0.3">
      <c r="A582" s="5"/>
      <c r="B582" s="35"/>
      <c r="C582" s="4"/>
      <c r="I582" s="27"/>
    </row>
    <row r="583" spans="1:9" ht="15.75" customHeight="1" x14ac:dyDescent="0.3">
      <c r="A583" s="5"/>
      <c r="B583" s="35"/>
      <c r="C583" s="4"/>
      <c r="I583" s="27"/>
    </row>
    <row r="584" spans="1:9" ht="15.75" customHeight="1" x14ac:dyDescent="0.3">
      <c r="A584" s="5"/>
      <c r="B584" s="35"/>
      <c r="C584" s="4"/>
      <c r="I584" s="27"/>
    </row>
    <row r="585" spans="1:9" ht="15.75" customHeight="1" x14ac:dyDescent="0.3">
      <c r="A585" s="5"/>
      <c r="B585" s="35"/>
      <c r="C585" s="4"/>
      <c r="I585" s="27"/>
    </row>
    <row r="586" spans="1:9" ht="15.75" customHeight="1" x14ac:dyDescent="0.3">
      <c r="A586" s="5"/>
      <c r="B586" s="35"/>
      <c r="C586" s="4"/>
      <c r="I586" s="27"/>
    </row>
    <row r="587" spans="1:9" ht="15.75" customHeight="1" x14ac:dyDescent="0.3">
      <c r="A587" s="5"/>
      <c r="B587" s="35"/>
      <c r="C587" s="4"/>
      <c r="I587" s="27"/>
    </row>
    <row r="588" spans="1:9" ht="15.75" customHeight="1" x14ac:dyDescent="0.3">
      <c r="A588" s="5"/>
      <c r="B588" s="35"/>
      <c r="C588" s="4"/>
      <c r="I588" s="27"/>
    </row>
    <row r="589" spans="1:9" ht="15.75" customHeight="1" x14ac:dyDescent="0.3">
      <c r="A589" s="5"/>
      <c r="B589" s="35"/>
      <c r="C589" s="4"/>
      <c r="I589" s="27"/>
    </row>
    <row r="590" spans="1:9" ht="15.75" customHeight="1" x14ac:dyDescent="0.3">
      <c r="A590" s="5"/>
      <c r="B590" s="35"/>
      <c r="C590" s="4"/>
      <c r="I590" s="27"/>
    </row>
    <row r="591" spans="1:9" ht="15.75" customHeight="1" x14ac:dyDescent="0.3">
      <c r="A591" s="5"/>
      <c r="B591" s="35"/>
      <c r="C591" s="4"/>
      <c r="I591" s="27"/>
    </row>
    <row r="592" spans="1:9" ht="15.75" customHeight="1" x14ac:dyDescent="0.3">
      <c r="A592" s="5"/>
      <c r="B592" s="35"/>
      <c r="C592" s="4"/>
      <c r="I592" s="27"/>
    </row>
    <row r="593" spans="1:9" ht="15.75" customHeight="1" x14ac:dyDescent="0.3">
      <c r="A593" s="5"/>
      <c r="B593" s="35"/>
      <c r="C593" s="4"/>
      <c r="I593" s="27"/>
    </row>
    <row r="594" spans="1:9" ht="15.75" customHeight="1" x14ac:dyDescent="0.3">
      <c r="A594" s="5"/>
      <c r="B594" s="35"/>
      <c r="C594" s="4"/>
      <c r="I594" s="27"/>
    </row>
    <row r="595" spans="1:9" ht="15.75" customHeight="1" x14ac:dyDescent="0.3">
      <c r="A595" s="5"/>
      <c r="B595" s="35"/>
      <c r="C595" s="4"/>
      <c r="I595" s="27"/>
    </row>
    <row r="596" spans="1:9" ht="15.75" customHeight="1" x14ac:dyDescent="0.3">
      <c r="A596" s="5"/>
      <c r="B596" s="35"/>
      <c r="C596" s="4"/>
      <c r="I596" s="27"/>
    </row>
    <row r="597" spans="1:9" ht="15.75" customHeight="1" x14ac:dyDescent="0.3">
      <c r="A597" s="5"/>
      <c r="B597" s="35"/>
      <c r="C597" s="4"/>
      <c r="I597" s="27"/>
    </row>
    <row r="598" spans="1:9" ht="15.75" customHeight="1" x14ac:dyDescent="0.3">
      <c r="A598" s="5"/>
      <c r="B598" s="35"/>
      <c r="C598" s="4"/>
      <c r="I598" s="27"/>
    </row>
    <row r="599" spans="1:9" ht="15.75" customHeight="1" x14ac:dyDescent="0.3">
      <c r="A599" s="5"/>
      <c r="B599" s="35"/>
      <c r="C599" s="4"/>
      <c r="I599" s="27"/>
    </row>
    <row r="600" spans="1:9" ht="15.75" customHeight="1" x14ac:dyDescent="0.3">
      <c r="A600" s="5"/>
      <c r="B600" s="35"/>
      <c r="C600" s="4"/>
      <c r="I600" s="27"/>
    </row>
    <row r="601" spans="1:9" ht="15.75" customHeight="1" x14ac:dyDescent="0.3">
      <c r="A601" s="5"/>
      <c r="B601" s="35"/>
      <c r="C601" s="4"/>
      <c r="I601" s="27"/>
    </row>
    <row r="602" spans="1:9" ht="15.75" customHeight="1" x14ac:dyDescent="0.3">
      <c r="A602" s="5"/>
      <c r="B602" s="35"/>
      <c r="C602" s="4"/>
      <c r="I602" s="27"/>
    </row>
    <row r="603" spans="1:9" ht="15.75" customHeight="1" x14ac:dyDescent="0.3">
      <c r="A603" s="5"/>
      <c r="B603" s="35"/>
      <c r="C603" s="4"/>
      <c r="I603" s="27"/>
    </row>
    <row r="604" spans="1:9" ht="15.75" customHeight="1" x14ac:dyDescent="0.3">
      <c r="A604" s="5"/>
      <c r="B604" s="35"/>
      <c r="C604" s="4"/>
      <c r="I604" s="27"/>
    </row>
    <row r="605" spans="1:9" ht="15.75" customHeight="1" x14ac:dyDescent="0.3">
      <c r="A605" s="5"/>
      <c r="B605" s="35"/>
      <c r="C605" s="4"/>
      <c r="I605" s="27"/>
    </row>
    <row r="606" spans="1:9" ht="15.75" customHeight="1" x14ac:dyDescent="0.3">
      <c r="A606" s="5"/>
      <c r="B606" s="35"/>
      <c r="C606" s="4"/>
      <c r="I606" s="27"/>
    </row>
    <row r="607" spans="1:9" ht="15.75" customHeight="1" x14ac:dyDescent="0.3">
      <c r="A607" s="5"/>
      <c r="B607" s="35"/>
      <c r="C607" s="4"/>
      <c r="I607" s="27"/>
    </row>
    <row r="608" spans="1:9" ht="15.75" customHeight="1" x14ac:dyDescent="0.3">
      <c r="A608" s="5"/>
      <c r="B608" s="35"/>
      <c r="C608" s="4"/>
      <c r="I608" s="27"/>
    </row>
    <row r="609" spans="1:9" ht="15.75" customHeight="1" x14ac:dyDescent="0.3">
      <c r="A609" s="5"/>
      <c r="B609" s="35"/>
      <c r="C609" s="4"/>
      <c r="I609" s="27"/>
    </row>
    <row r="610" spans="1:9" ht="15.75" customHeight="1" x14ac:dyDescent="0.3">
      <c r="A610" s="5"/>
      <c r="B610" s="35"/>
      <c r="C610" s="4"/>
      <c r="I610" s="27"/>
    </row>
    <row r="611" spans="1:9" ht="15.75" customHeight="1" x14ac:dyDescent="0.3">
      <c r="A611" s="5"/>
      <c r="B611" s="35"/>
      <c r="C611" s="4"/>
      <c r="I611" s="27"/>
    </row>
    <row r="612" spans="1:9" ht="15.75" customHeight="1" x14ac:dyDescent="0.3">
      <c r="A612" s="5"/>
      <c r="B612" s="35"/>
      <c r="C612" s="4"/>
      <c r="I612" s="27"/>
    </row>
    <row r="613" spans="1:9" ht="15.75" customHeight="1" x14ac:dyDescent="0.3">
      <c r="A613" s="5"/>
      <c r="B613" s="35"/>
      <c r="C613" s="4"/>
      <c r="I613" s="27"/>
    </row>
    <row r="614" spans="1:9" ht="15.75" customHeight="1" x14ac:dyDescent="0.3">
      <c r="A614" s="5"/>
      <c r="B614" s="35"/>
      <c r="C614" s="4"/>
      <c r="I614" s="27"/>
    </row>
    <row r="615" spans="1:9" ht="15.75" customHeight="1" x14ac:dyDescent="0.3">
      <c r="A615" s="5"/>
      <c r="B615" s="35"/>
      <c r="C615" s="4"/>
      <c r="I615" s="27"/>
    </row>
    <row r="616" spans="1:9" ht="15.75" customHeight="1" x14ac:dyDescent="0.3">
      <c r="A616" s="5"/>
      <c r="B616" s="35"/>
      <c r="C616" s="4"/>
      <c r="I616" s="27"/>
    </row>
    <row r="617" spans="1:9" ht="15.75" customHeight="1" x14ac:dyDescent="0.3">
      <c r="A617" s="5"/>
      <c r="B617" s="35"/>
      <c r="C617" s="4"/>
      <c r="I617" s="27"/>
    </row>
    <row r="618" spans="1:9" ht="15.75" customHeight="1" x14ac:dyDescent="0.3">
      <c r="A618" s="5"/>
      <c r="B618" s="35"/>
      <c r="C618" s="4"/>
      <c r="I618" s="27"/>
    </row>
    <row r="619" spans="1:9" ht="15.75" customHeight="1" x14ac:dyDescent="0.3">
      <c r="A619" s="5"/>
      <c r="B619" s="35"/>
      <c r="C619" s="4"/>
      <c r="I619" s="27"/>
    </row>
    <row r="620" spans="1:9" ht="15.75" customHeight="1" x14ac:dyDescent="0.3">
      <c r="A620" s="5"/>
      <c r="B620" s="35"/>
      <c r="C620" s="4"/>
      <c r="I620" s="27"/>
    </row>
    <row r="621" spans="1:9" ht="15.75" customHeight="1" x14ac:dyDescent="0.3">
      <c r="A621" s="5"/>
      <c r="B621" s="35"/>
      <c r="C621" s="4"/>
      <c r="I621" s="27"/>
    </row>
    <row r="622" spans="1:9" ht="15.75" customHeight="1" x14ac:dyDescent="0.3">
      <c r="A622" s="5"/>
      <c r="B622" s="35"/>
      <c r="C622" s="4"/>
      <c r="I622" s="27"/>
    </row>
    <row r="623" spans="1:9" ht="15.75" customHeight="1" x14ac:dyDescent="0.3">
      <c r="A623" s="5"/>
      <c r="B623" s="35"/>
      <c r="C623" s="4"/>
      <c r="I623" s="27"/>
    </row>
    <row r="624" spans="1:9" ht="15.75" customHeight="1" x14ac:dyDescent="0.3">
      <c r="A624" s="5"/>
      <c r="B624" s="35"/>
      <c r="C624" s="4"/>
      <c r="I624" s="27"/>
    </row>
    <row r="625" spans="1:9" ht="15.75" customHeight="1" x14ac:dyDescent="0.3">
      <c r="A625" s="5"/>
      <c r="B625" s="35"/>
      <c r="C625" s="4"/>
      <c r="I625" s="27"/>
    </row>
    <row r="626" spans="1:9" ht="15.75" customHeight="1" x14ac:dyDescent="0.3">
      <c r="A626" s="5"/>
      <c r="B626" s="35"/>
      <c r="C626" s="4"/>
      <c r="I626" s="27"/>
    </row>
    <row r="627" spans="1:9" ht="15.75" customHeight="1" x14ac:dyDescent="0.3">
      <c r="A627" s="5"/>
      <c r="B627" s="35"/>
      <c r="C627" s="4"/>
      <c r="I627" s="27"/>
    </row>
    <row r="628" spans="1:9" ht="15.75" customHeight="1" x14ac:dyDescent="0.3">
      <c r="A628" s="5"/>
      <c r="B628" s="35"/>
      <c r="C628" s="4"/>
      <c r="I628" s="27"/>
    </row>
    <row r="629" spans="1:9" ht="15.75" customHeight="1" x14ac:dyDescent="0.3">
      <c r="A629" s="5"/>
      <c r="B629" s="35"/>
      <c r="C629" s="4"/>
      <c r="I629" s="27"/>
    </row>
    <row r="630" spans="1:9" ht="15.75" customHeight="1" x14ac:dyDescent="0.3">
      <c r="A630" s="5"/>
      <c r="B630" s="35"/>
      <c r="C630" s="4"/>
      <c r="I630" s="27"/>
    </row>
    <row r="631" spans="1:9" ht="15.75" customHeight="1" x14ac:dyDescent="0.3">
      <c r="A631" s="5"/>
      <c r="B631" s="35"/>
      <c r="C631" s="4"/>
      <c r="I631" s="27"/>
    </row>
    <row r="632" spans="1:9" ht="15.75" customHeight="1" x14ac:dyDescent="0.3">
      <c r="A632" s="5"/>
      <c r="B632" s="35"/>
      <c r="C632" s="4"/>
      <c r="I632" s="27"/>
    </row>
    <row r="633" spans="1:9" ht="15.75" customHeight="1" x14ac:dyDescent="0.3">
      <c r="A633" s="5"/>
      <c r="B633" s="35"/>
      <c r="C633" s="4"/>
      <c r="I633" s="27"/>
    </row>
    <row r="634" spans="1:9" ht="15.75" customHeight="1" x14ac:dyDescent="0.3">
      <c r="A634" s="5"/>
      <c r="B634" s="35"/>
      <c r="C634" s="4"/>
      <c r="I634" s="27"/>
    </row>
    <row r="635" spans="1:9" ht="15.75" customHeight="1" x14ac:dyDescent="0.3">
      <c r="A635" s="5"/>
      <c r="B635" s="35"/>
      <c r="C635" s="4"/>
      <c r="I635" s="27"/>
    </row>
    <row r="636" spans="1:9" ht="15.75" customHeight="1" x14ac:dyDescent="0.3">
      <c r="A636" s="5"/>
      <c r="B636" s="35"/>
      <c r="C636" s="4"/>
      <c r="I636" s="27"/>
    </row>
    <row r="637" spans="1:9" ht="15.75" customHeight="1" x14ac:dyDescent="0.3">
      <c r="A637" s="5"/>
      <c r="B637" s="35"/>
      <c r="C637" s="4"/>
      <c r="I637" s="27"/>
    </row>
    <row r="638" spans="1:9" ht="15.75" customHeight="1" x14ac:dyDescent="0.3">
      <c r="A638" s="5"/>
      <c r="B638" s="35"/>
      <c r="C638" s="4"/>
      <c r="I638" s="27"/>
    </row>
    <row r="639" spans="1:9" ht="15.75" customHeight="1" x14ac:dyDescent="0.3">
      <c r="A639" s="5"/>
      <c r="B639" s="35"/>
      <c r="C639" s="4"/>
      <c r="I639" s="27"/>
    </row>
    <row r="640" spans="1:9" ht="15.75" customHeight="1" x14ac:dyDescent="0.3">
      <c r="A640" s="5"/>
      <c r="B640" s="35"/>
      <c r="C640" s="4"/>
      <c r="I640" s="27"/>
    </row>
    <row r="641" spans="1:9" ht="15.75" customHeight="1" x14ac:dyDescent="0.3">
      <c r="A641" s="5"/>
      <c r="B641" s="35"/>
      <c r="C641" s="4"/>
      <c r="I641" s="27"/>
    </row>
    <row r="642" spans="1:9" ht="15.75" customHeight="1" x14ac:dyDescent="0.3">
      <c r="A642" s="5"/>
      <c r="B642" s="35"/>
      <c r="C642" s="4"/>
      <c r="I642" s="27"/>
    </row>
    <row r="643" spans="1:9" ht="15.75" customHeight="1" x14ac:dyDescent="0.3">
      <c r="A643" s="5"/>
      <c r="B643" s="35"/>
      <c r="C643" s="4"/>
      <c r="I643" s="27"/>
    </row>
    <row r="644" spans="1:9" ht="15.75" customHeight="1" x14ac:dyDescent="0.3">
      <c r="A644" s="5"/>
      <c r="B644" s="35"/>
      <c r="C644" s="4"/>
      <c r="I644" s="27"/>
    </row>
    <row r="645" spans="1:9" ht="15.75" customHeight="1" x14ac:dyDescent="0.3">
      <c r="A645" s="5"/>
      <c r="B645" s="35"/>
      <c r="C645" s="4"/>
      <c r="I645" s="27"/>
    </row>
    <row r="646" spans="1:9" ht="15.75" customHeight="1" x14ac:dyDescent="0.3">
      <c r="A646" s="5"/>
      <c r="B646" s="35"/>
      <c r="C646" s="4"/>
      <c r="I646" s="27"/>
    </row>
    <row r="647" spans="1:9" ht="15.75" customHeight="1" x14ac:dyDescent="0.3">
      <c r="A647" s="5"/>
      <c r="B647" s="35"/>
      <c r="C647" s="4"/>
      <c r="I647" s="27"/>
    </row>
    <row r="648" spans="1:9" ht="15.75" customHeight="1" x14ac:dyDescent="0.3">
      <c r="A648" s="5"/>
      <c r="B648" s="35"/>
      <c r="C648" s="4"/>
      <c r="I648" s="27"/>
    </row>
    <row r="649" spans="1:9" ht="15.75" customHeight="1" x14ac:dyDescent="0.3">
      <c r="A649" s="5"/>
      <c r="B649" s="35"/>
      <c r="C649" s="4"/>
      <c r="I649" s="27"/>
    </row>
    <row r="650" spans="1:9" ht="15.75" customHeight="1" x14ac:dyDescent="0.3">
      <c r="A650" s="5"/>
      <c r="B650" s="35"/>
      <c r="C650" s="4"/>
      <c r="I650" s="27"/>
    </row>
    <row r="651" spans="1:9" ht="15.75" customHeight="1" x14ac:dyDescent="0.3">
      <c r="A651" s="5"/>
      <c r="B651" s="35"/>
      <c r="C651" s="4"/>
      <c r="I651" s="27"/>
    </row>
    <row r="652" spans="1:9" ht="15.75" customHeight="1" x14ac:dyDescent="0.3">
      <c r="A652" s="5"/>
      <c r="B652" s="35"/>
      <c r="C652" s="4"/>
      <c r="I652" s="27"/>
    </row>
    <row r="653" spans="1:9" ht="15.75" customHeight="1" x14ac:dyDescent="0.3">
      <c r="A653" s="5"/>
      <c r="B653" s="35"/>
      <c r="C653" s="4"/>
      <c r="I653" s="27"/>
    </row>
    <row r="654" spans="1:9" ht="15.75" customHeight="1" x14ac:dyDescent="0.3">
      <c r="A654" s="5"/>
      <c r="B654" s="35"/>
      <c r="C654" s="4"/>
      <c r="I654" s="27"/>
    </row>
    <row r="655" spans="1:9" ht="15.75" customHeight="1" x14ac:dyDescent="0.3">
      <c r="A655" s="5"/>
      <c r="B655" s="35"/>
      <c r="C655" s="4"/>
      <c r="I655" s="27"/>
    </row>
    <row r="656" spans="1:9" ht="15.75" customHeight="1" x14ac:dyDescent="0.3">
      <c r="A656" s="5"/>
      <c r="B656" s="35"/>
      <c r="C656" s="4"/>
      <c r="I656" s="27"/>
    </row>
    <row r="657" spans="1:9" ht="15.75" customHeight="1" x14ac:dyDescent="0.3">
      <c r="A657" s="5"/>
      <c r="B657" s="35"/>
      <c r="C657" s="4"/>
      <c r="I657" s="27"/>
    </row>
    <row r="658" spans="1:9" ht="15.75" customHeight="1" x14ac:dyDescent="0.3">
      <c r="A658" s="5"/>
      <c r="B658" s="35"/>
      <c r="C658" s="4"/>
      <c r="I658" s="27"/>
    </row>
    <row r="659" spans="1:9" ht="15.75" customHeight="1" x14ac:dyDescent="0.3">
      <c r="A659" s="5"/>
      <c r="B659" s="35"/>
      <c r="C659" s="4"/>
      <c r="I659" s="27"/>
    </row>
    <row r="660" spans="1:9" ht="15.75" customHeight="1" x14ac:dyDescent="0.3">
      <c r="A660" s="5"/>
      <c r="B660" s="35"/>
      <c r="C660" s="4"/>
      <c r="I660" s="27"/>
    </row>
    <row r="661" spans="1:9" ht="15.75" customHeight="1" x14ac:dyDescent="0.3">
      <c r="A661" s="5"/>
      <c r="B661" s="35"/>
      <c r="C661" s="4"/>
      <c r="I661" s="27"/>
    </row>
    <row r="662" spans="1:9" ht="15.75" customHeight="1" x14ac:dyDescent="0.3">
      <c r="A662" s="5"/>
      <c r="B662" s="35"/>
      <c r="C662" s="4"/>
      <c r="I662" s="27"/>
    </row>
    <row r="663" spans="1:9" ht="15.75" customHeight="1" x14ac:dyDescent="0.3">
      <c r="A663" s="5"/>
      <c r="B663" s="35"/>
      <c r="C663" s="4"/>
      <c r="I663" s="27"/>
    </row>
    <row r="664" spans="1:9" ht="15.75" customHeight="1" x14ac:dyDescent="0.3">
      <c r="A664" s="5"/>
      <c r="B664" s="35"/>
      <c r="C664" s="4"/>
      <c r="I664" s="27"/>
    </row>
    <row r="665" spans="1:9" ht="15.75" customHeight="1" x14ac:dyDescent="0.3">
      <c r="A665" s="5"/>
      <c r="B665" s="35"/>
      <c r="C665" s="4"/>
      <c r="I665" s="27"/>
    </row>
    <row r="666" spans="1:9" ht="15.75" customHeight="1" x14ac:dyDescent="0.3">
      <c r="A666" s="5"/>
      <c r="B666" s="35"/>
      <c r="C666" s="4"/>
      <c r="I666" s="27"/>
    </row>
    <row r="667" spans="1:9" ht="15.75" customHeight="1" x14ac:dyDescent="0.3">
      <c r="A667" s="5"/>
      <c r="B667" s="35"/>
      <c r="C667" s="4"/>
      <c r="I667" s="27"/>
    </row>
    <row r="668" spans="1:9" ht="15.75" customHeight="1" x14ac:dyDescent="0.3">
      <c r="A668" s="5"/>
      <c r="B668" s="35"/>
      <c r="C668" s="4"/>
      <c r="I668" s="27"/>
    </row>
    <row r="669" spans="1:9" ht="15.75" customHeight="1" x14ac:dyDescent="0.3">
      <c r="A669" s="5"/>
      <c r="B669" s="35"/>
      <c r="C669" s="4"/>
      <c r="I669" s="27"/>
    </row>
    <row r="670" spans="1:9" ht="15.75" customHeight="1" x14ac:dyDescent="0.3">
      <c r="A670" s="5"/>
      <c r="B670" s="35"/>
      <c r="C670" s="4"/>
      <c r="I670" s="27"/>
    </row>
    <row r="671" spans="1:9" ht="15.75" customHeight="1" x14ac:dyDescent="0.3">
      <c r="A671" s="5"/>
      <c r="B671" s="35"/>
      <c r="C671" s="4"/>
      <c r="I671" s="27"/>
    </row>
    <row r="672" spans="1:9" ht="15.75" customHeight="1" x14ac:dyDescent="0.3">
      <c r="A672" s="5"/>
      <c r="B672" s="35"/>
      <c r="C672" s="4"/>
      <c r="I672" s="27"/>
    </row>
    <row r="673" spans="1:9" ht="15.75" customHeight="1" x14ac:dyDescent="0.3">
      <c r="A673" s="5"/>
      <c r="B673" s="35"/>
      <c r="C673" s="4"/>
      <c r="I673" s="27"/>
    </row>
    <row r="674" spans="1:9" ht="15.75" customHeight="1" x14ac:dyDescent="0.3">
      <c r="A674" s="5"/>
      <c r="B674" s="35"/>
      <c r="C674" s="4"/>
      <c r="I674" s="27"/>
    </row>
    <row r="675" spans="1:9" ht="15.75" customHeight="1" x14ac:dyDescent="0.3">
      <c r="A675" s="5"/>
      <c r="B675" s="35"/>
      <c r="C675" s="4"/>
      <c r="I675" s="27"/>
    </row>
    <row r="676" spans="1:9" ht="15.75" customHeight="1" x14ac:dyDescent="0.3">
      <c r="A676" s="5"/>
      <c r="B676" s="35"/>
      <c r="C676" s="4"/>
      <c r="I676" s="27"/>
    </row>
    <row r="677" spans="1:9" ht="15.75" customHeight="1" x14ac:dyDescent="0.3">
      <c r="A677" s="5"/>
      <c r="B677" s="35"/>
      <c r="C677" s="4"/>
      <c r="I677" s="27"/>
    </row>
    <row r="678" spans="1:9" ht="15.75" customHeight="1" x14ac:dyDescent="0.3">
      <c r="A678" s="5"/>
      <c r="B678" s="35"/>
      <c r="C678" s="4"/>
      <c r="I678" s="27"/>
    </row>
    <row r="679" spans="1:9" ht="15.75" customHeight="1" x14ac:dyDescent="0.3">
      <c r="A679" s="5"/>
      <c r="B679" s="35"/>
      <c r="C679" s="4"/>
      <c r="I679" s="27"/>
    </row>
    <row r="680" spans="1:9" ht="15.75" customHeight="1" x14ac:dyDescent="0.3">
      <c r="A680" s="5"/>
      <c r="B680" s="35"/>
      <c r="C680" s="4"/>
      <c r="I680" s="27"/>
    </row>
    <row r="681" spans="1:9" ht="15.75" customHeight="1" x14ac:dyDescent="0.3">
      <c r="A681" s="5"/>
      <c r="B681" s="35"/>
      <c r="C681" s="4"/>
      <c r="I681" s="27"/>
    </row>
    <row r="682" spans="1:9" ht="15.75" customHeight="1" x14ac:dyDescent="0.3">
      <c r="A682" s="5"/>
      <c r="B682" s="35"/>
      <c r="C682" s="4"/>
      <c r="I682" s="27"/>
    </row>
    <row r="683" spans="1:9" ht="15.75" customHeight="1" x14ac:dyDescent="0.3">
      <c r="A683" s="5"/>
      <c r="B683" s="35"/>
      <c r="C683" s="4"/>
      <c r="I683" s="27"/>
    </row>
    <row r="684" spans="1:9" ht="15.75" customHeight="1" x14ac:dyDescent="0.3">
      <c r="A684" s="5"/>
      <c r="B684" s="35"/>
      <c r="C684" s="4"/>
      <c r="I684" s="27"/>
    </row>
    <row r="685" spans="1:9" ht="15.75" customHeight="1" x14ac:dyDescent="0.3">
      <c r="A685" s="5"/>
      <c r="B685" s="35"/>
      <c r="C685" s="4"/>
      <c r="I685" s="27"/>
    </row>
    <row r="686" spans="1:9" ht="15.75" customHeight="1" x14ac:dyDescent="0.3">
      <c r="A686" s="5"/>
      <c r="B686" s="35"/>
      <c r="C686" s="4"/>
      <c r="I686" s="27"/>
    </row>
    <row r="687" spans="1:9" ht="15.75" customHeight="1" x14ac:dyDescent="0.3">
      <c r="A687" s="5"/>
      <c r="B687" s="35"/>
      <c r="C687" s="4"/>
      <c r="I687" s="27"/>
    </row>
    <row r="688" spans="1:9" ht="15.75" customHeight="1" x14ac:dyDescent="0.3">
      <c r="A688" s="5"/>
      <c r="B688" s="35"/>
      <c r="C688" s="4"/>
      <c r="I688" s="27"/>
    </row>
    <row r="689" spans="1:9" ht="15.75" customHeight="1" x14ac:dyDescent="0.3">
      <c r="A689" s="5"/>
      <c r="B689" s="35"/>
      <c r="C689" s="4"/>
      <c r="I689" s="27"/>
    </row>
    <row r="690" spans="1:9" ht="15.75" customHeight="1" x14ac:dyDescent="0.3">
      <c r="A690" s="5"/>
      <c r="B690" s="35"/>
      <c r="C690" s="4"/>
      <c r="I690" s="27"/>
    </row>
    <row r="691" spans="1:9" ht="15.75" customHeight="1" x14ac:dyDescent="0.3">
      <c r="A691" s="5"/>
      <c r="B691" s="35"/>
      <c r="C691" s="4"/>
      <c r="I691" s="27"/>
    </row>
    <row r="692" spans="1:9" ht="15.75" customHeight="1" x14ac:dyDescent="0.3">
      <c r="A692" s="5"/>
      <c r="B692" s="35"/>
      <c r="C692" s="4"/>
      <c r="I692" s="27"/>
    </row>
    <row r="693" spans="1:9" ht="15.75" customHeight="1" x14ac:dyDescent="0.3">
      <c r="A693" s="5"/>
      <c r="B693" s="35"/>
      <c r="C693" s="4"/>
      <c r="I693" s="27"/>
    </row>
    <row r="694" spans="1:9" ht="15.75" customHeight="1" x14ac:dyDescent="0.3">
      <c r="A694" s="5"/>
      <c r="B694" s="35"/>
      <c r="C694" s="4"/>
      <c r="I694" s="27"/>
    </row>
    <row r="695" spans="1:9" ht="15.75" customHeight="1" x14ac:dyDescent="0.3">
      <c r="A695" s="5"/>
      <c r="B695" s="35"/>
      <c r="C695" s="4"/>
      <c r="I695" s="27"/>
    </row>
    <row r="696" spans="1:9" ht="15.75" customHeight="1" x14ac:dyDescent="0.3">
      <c r="A696" s="5"/>
      <c r="B696" s="35"/>
      <c r="C696" s="4"/>
      <c r="I696" s="27"/>
    </row>
    <row r="697" spans="1:9" ht="15.75" customHeight="1" x14ac:dyDescent="0.3">
      <c r="A697" s="5"/>
      <c r="B697" s="35"/>
      <c r="C697" s="4"/>
      <c r="I697" s="27"/>
    </row>
    <row r="698" spans="1:9" ht="15.75" customHeight="1" x14ac:dyDescent="0.3">
      <c r="A698" s="5"/>
      <c r="B698" s="35"/>
      <c r="C698" s="4"/>
      <c r="I698" s="27"/>
    </row>
    <row r="699" spans="1:9" ht="15.75" customHeight="1" x14ac:dyDescent="0.3">
      <c r="A699" s="5"/>
      <c r="B699" s="35"/>
      <c r="C699" s="4"/>
      <c r="I699" s="27"/>
    </row>
    <row r="700" spans="1:9" ht="15.75" customHeight="1" x14ac:dyDescent="0.3">
      <c r="A700" s="5"/>
      <c r="B700" s="35"/>
      <c r="C700" s="4"/>
      <c r="I700" s="27"/>
    </row>
    <row r="701" spans="1:9" ht="15.75" customHeight="1" x14ac:dyDescent="0.3">
      <c r="A701" s="5"/>
      <c r="B701" s="35"/>
      <c r="C701" s="4"/>
      <c r="I701" s="27"/>
    </row>
    <row r="702" spans="1:9" ht="15.75" customHeight="1" x14ac:dyDescent="0.3">
      <c r="A702" s="5"/>
      <c r="B702" s="35"/>
      <c r="C702" s="4"/>
      <c r="I702" s="27"/>
    </row>
    <row r="703" spans="1:9" ht="15.75" customHeight="1" x14ac:dyDescent="0.3">
      <c r="A703" s="5"/>
      <c r="B703" s="35"/>
      <c r="C703" s="4"/>
      <c r="I703" s="27"/>
    </row>
    <row r="704" spans="1:9" ht="15.75" customHeight="1" x14ac:dyDescent="0.3">
      <c r="A704" s="5"/>
      <c r="B704" s="35"/>
      <c r="C704" s="4"/>
      <c r="I704" s="27"/>
    </row>
    <row r="705" spans="1:9" ht="15.75" customHeight="1" x14ac:dyDescent="0.3">
      <c r="A705" s="5"/>
      <c r="B705" s="35"/>
      <c r="C705" s="4"/>
      <c r="I705" s="27"/>
    </row>
    <row r="706" spans="1:9" ht="15.75" customHeight="1" x14ac:dyDescent="0.3">
      <c r="A706" s="5"/>
      <c r="B706" s="35"/>
      <c r="C706" s="4"/>
      <c r="I706" s="27"/>
    </row>
    <row r="707" spans="1:9" ht="15.75" customHeight="1" x14ac:dyDescent="0.3">
      <c r="A707" s="5"/>
      <c r="B707" s="35"/>
      <c r="C707" s="4"/>
      <c r="I707" s="27"/>
    </row>
    <row r="708" spans="1:9" ht="15.75" customHeight="1" x14ac:dyDescent="0.3">
      <c r="A708" s="5"/>
      <c r="B708" s="35"/>
      <c r="C708" s="4"/>
      <c r="I708" s="27"/>
    </row>
    <row r="709" spans="1:9" ht="15.75" customHeight="1" x14ac:dyDescent="0.3">
      <c r="A709" s="5"/>
      <c r="B709" s="35"/>
      <c r="C709" s="4"/>
      <c r="I709" s="27"/>
    </row>
    <row r="710" spans="1:9" ht="15.75" customHeight="1" x14ac:dyDescent="0.3">
      <c r="A710" s="5"/>
      <c r="B710" s="35"/>
      <c r="C710" s="4"/>
      <c r="I710" s="27"/>
    </row>
    <row r="711" spans="1:9" ht="15.75" customHeight="1" x14ac:dyDescent="0.3">
      <c r="A711" s="5"/>
      <c r="B711" s="35"/>
      <c r="C711" s="4"/>
      <c r="I711" s="27"/>
    </row>
    <row r="712" spans="1:9" ht="15.75" customHeight="1" x14ac:dyDescent="0.3">
      <c r="A712" s="5"/>
      <c r="B712" s="35"/>
      <c r="C712" s="4"/>
      <c r="I712" s="27"/>
    </row>
    <row r="713" spans="1:9" ht="15.75" customHeight="1" x14ac:dyDescent="0.3">
      <c r="A713" s="5"/>
      <c r="B713" s="35"/>
      <c r="C713" s="4"/>
      <c r="I713" s="27"/>
    </row>
    <row r="714" spans="1:9" ht="15.75" customHeight="1" x14ac:dyDescent="0.3">
      <c r="A714" s="5"/>
      <c r="B714" s="35"/>
      <c r="C714" s="4"/>
      <c r="I714" s="27"/>
    </row>
    <row r="715" spans="1:9" ht="15.75" customHeight="1" x14ac:dyDescent="0.3">
      <c r="A715" s="5"/>
      <c r="B715" s="35"/>
      <c r="C715" s="4"/>
      <c r="I715" s="27"/>
    </row>
    <row r="716" spans="1:9" ht="15.75" customHeight="1" x14ac:dyDescent="0.3">
      <c r="A716" s="5"/>
      <c r="B716" s="35"/>
      <c r="C716" s="4"/>
      <c r="I716" s="27"/>
    </row>
    <row r="717" spans="1:9" ht="15.75" customHeight="1" x14ac:dyDescent="0.3">
      <c r="A717" s="5"/>
      <c r="B717" s="35"/>
      <c r="C717" s="4"/>
      <c r="I717" s="27"/>
    </row>
    <row r="718" spans="1:9" ht="15.75" customHeight="1" x14ac:dyDescent="0.3">
      <c r="A718" s="5"/>
      <c r="B718" s="35"/>
      <c r="C718" s="4"/>
      <c r="I718" s="27"/>
    </row>
    <row r="719" spans="1:9" ht="15.75" customHeight="1" x14ac:dyDescent="0.3">
      <c r="A719" s="5"/>
      <c r="B719" s="35"/>
      <c r="C719" s="4"/>
      <c r="I719" s="27"/>
    </row>
    <row r="720" spans="1:9" ht="15.75" customHeight="1" x14ac:dyDescent="0.3">
      <c r="A720" s="5"/>
      <c r="B720" s="35"/>
      <c r="C720" s="4"/>
      <c r="I720" s="27"/>
    </row>
    <row r="721" spans="1:9" ht="15.75" customHeight="1" x14ac:dyDescent="0.3">
      <c r="A721" s="5"/>
      <c r="B721" s="35"/>
      <c r="C721" s="4"/>
      <c r="I721" s="27"/>
    </row>
    <row r="722" spans="1:9" ht="15.75" customHeight="1" x14ac:dyDescent="0.3">
      <c r="A722" s="5"/>
      <c r="B722" s="35"/>
      <c r="C722" s="4"/>
      <c r="I722" s="27"/>
    </row>
    <row r="723" spans="1:9" ht="15.75" customHeight="1" x14ac:dyDescent="0.3">
      <c r="A723" s="5"/>
      <c r="B723" s="35"/>
      <c r="C723" s="4"/>
      <c r="I723" s="27"/>
    </row>
    <row r="724" spans="1:9" ht="15.75" customHeight="1" x14ac:dyDescent="0.3">
      <c r="A724" s="5"/>
      <c r="B724" s="35"/>
      <c r="C724" s="4"/>
      <c r="I724" s="27"/>
    </row>
    <row r="725" spans="1:9" ht="15.75" customHeight="1" x14ac:dyDescent="0.3">
      <c r="A725" s="5"/>
      <c r="B725" s="35"/>
      <c r="C725" s="4"/>
      <c r="I725" s="27"/>
    </row>
    <row r="726" spans="1:9" ht="15.75" customHeight="1" x14ac:dyDescent="0.3">
      <c r="A726" s="5"/>
      <c r="B726" s="35"/>
      <c r="C726" s="4"/>
      <c r="I726" s="27"/>
    </row>
    <row r="727" spans="1:9" ht="15.75" customHeight="1" x14ac:dyDescent="0.3">
      <c r="A727" s="5"/>
      <c r="B727" s="35"/>
      <c r="C727" s="4"/>
      <c r="I727" s="27"/>
    </row>
    <row r="728" spans="1:9" ht="15.75" customHeight="1" x14ac:dyDescent="0.3">
      <c r="A728" s="5"/>
      <c r="B728" s="35"/>
      <c r="C728" s="4"/>
      <c r="I728" s="27"/>
    </row>
    <row r="729" spans="1:9" ht="15.75" customHeight="1" x14ac:dyDescent="0.3">
      <c r="A729" s="5"/>
      <c r="B729" s="35"/>
      <c r="C729" s="4"/>
      <c r="I729" s="27"/>
    </row>
    <row r="730" spans="1:9" ht="15.75" customHeight="1" x14ac:dyDescent="0.3">
      <c r="A730" s="5"/>
      <c r="B730" s="35"/>
      <c r="C730" s="4"/>
      <c r="I730" s="27"/>
    </row>
    <row r="731" spans="1:9" ht="15.75" customHeight="1" x14ac:dyDescent="0.3">
      <c r="A731" s="5"/>
      <c r="B731" s="35"/>
      <c r="C731" s="4"/>
      <c r="I731" s="27"/>
    </row>
    <row r="732" spans="1:9" ht="15.75" customHeight="1" x14ac:dyDescent="0.3">
      <c r="A732" s="5"/>
      <c r="B732" s="35"/>
      <c r="C732" s="4"/>
      <c r="I732" s="27"/>
    </row>
    <row r="733" spans="1:9" ht="15.75" customHeight="1" x14ac:dyDescent="0.3">
      <c r="A733" s="5"/>
      <c r="B733" s="35"/>
      <c r="C733" s="4"/>
      <c r="I733" s="27"/>
    </row>
    <row r="734" spans="1:9" ht="15.75" customHeight="1" x14ac:dyDescent="0.3">
      <c r="A734" s="5"/>
      <c r="B734" s="35"/>
      <c r="C734" s="4"/>
      <c r="I734" s="27"/>
    </row>
    <row r="735" spans="1:9" ht="15.75" customHeight="1" x14ac:dyDescent="0.3">
      <c r="A735" s="5"/>
      <c r="B735" s="35"/>
      <c r="C735" s="4"/>
      <c r="I735" s="27"/>
    </row>
    <row r="736" spans="1:9" ht="15.75" customHeight="1" x14ac:dyDescent="0.3">
      <c r="A736" s="5"/>
      <c r="B736" s="35"/>
      <c r="C736" s="4"/>
      <c r="I736" s="27"/>
    </row>
    <row r="737" spans="1:9" ht="15.75" customHeight="1" x14ac:dyDescent="0.3">
      <c r="A737" s="5"/>
      <c r="B737" s="35"/>
      <c r="C737" s="4"/>
      <c r="I737" s="27"/>
    </row>
    <row r="738" spans="1:9" ht="15.75" customHeight="1" x14ac:dyDescent="0.3">
      <c r="A738" s="5"/>
      <c r="B738" s="35"/>
      <c r="C738" s="4"/>
      <c r="I738" s="27"/>
    </row>
    <row r="739" spans="1:9" ht="15.75" customHeight="1" x14ac:dyDescent="0.3">
      <c r="A739" s="5"/>
      <c r="B739" s="35"/>
      <c r="C739" s="4"/>
      <c r="I739" s="27"/>
    </row>
    <row r="740" spans="1:9" ht="15.75" customHeight="1" x14ac:dyDescent="0.3">
      <c r="A740" s="5"/>
      <c r="B740" s="35"/>
      <c r="C740" s="4"/>
      <c r="I740" s="27"/>
    </row>
    <row r="741" spans="1:9" ht="15.75" customHeight="1" x14ac:dyDescent="0.3">
      <c r="A741" s="5"/>
      <c r="B741" s="35"/>
      <c r="C741" s="4"/>
      <c r="I741" s="27"/>
    </row>
    <row r="742" spans="1:9" ht="15.75" customHeight="1" x14ac:dyDescent="0.3">
      <c r="A742" s="5"/>
      <c r="B742" s="35"/>
      <c r="C742" s="4"/>
      <c r="I742" s="27"/>
    </row>
    <row r="743" spans="1:9" ht="15.75" customHeight="1" x14ac:dyDescent="0.3">
      <c r="A743" s="5"/>
      <c r="B743" s="35"/>
      <c r="C743" s="4"/>
      <c r="I743" s="27"/>
    </row>
    <row r="744" spans="1:9" ht="15.75" customHeight="1" x14ac:dyDescent="0.3">
      <c r="A744" s="5"/>
      <c r="B744" s="35"/>
      <c r="C744" s="4"/>
      <c r="I744" s="27"/>
    </row>
    <row r="745" spans="1:9" ht="15.75" customHeight="1" x14ac:dyDescent="0.3">
      <c r="A745" s="5"/>
      <c r="B745" s="35"/>
      <c r="C745" s="4"/>
      <c r="I745" s="27"/>
    </row>
    <row r="746" spans="1:9" ht="15.75" customHeight="1" x14ac:dyDescent="0.3">
      <c r="A746" s="5"/>
      <c r="B746" s="35"/>
      <c r="C746" s="4"/>
      <c r="I746" s="27"/>
    </row>
    <row r="747" spans="1:9" ht="15.75" customHeight="1" x14ac:dyDescent="0.3">
      <c r="A747" s="5"/>
      <c r="B747" s="35"/>
      <c r="C747" s="4"/>
      <c r="I747" s="27"/>
    </row>
    <row r="748" spans="1:9" ht="15.75" customHeight="1" x14ac:dyDescent="0.3">
      <c r="A748" s="5"/>
      <c r="B748" s="35"/>
      <c r="C748" s="4"/>
      <c r="I748" s="27"/>
    </row>
    <row r="749" spans="1:9" ht="15.75" customHeight="1" x14ac:dyDescent="0.3">
      <c r="A749" s="5"/>
      <c r="B749" s="35"/>
      <c r="C749" s="4"/>
      <c r="I749" s="27"/>
    </row>
    <row r="750" spans="1:9" ht="15.75" customHeight="1" x14ac:dyDescent="0.3">
      <c r="A750" s="5"/>
      <c r="B750" s="35"/>
      <c r="C750" s="4"/>
      <c r="I750" s="27"/>
    </row>
    <row r="751" spans="1:9" ht="15.75" customHeight="1" x14ac:dyDescent="0.3">
      <c r="A751" s="5"/>
      <c r="B751" s="35"/>
      <c r="C751" s="4"/>
      <c r="I751" s="27"/>
    </row>
    <row r="752" spans="1:9" ht="15.75" customHeight="1" x14ac:dyDescent="0.3">
      <c r="A752" s="5"/>
      <c r="B752" s="35"/>
      <c r="C752" s="4"/>
      <c r="I752" s="27"/>
    </row>
    <row r="753" spans="1:9" ht="15.75" customHeight="1" x14ac:dyDescent="0.3">
      <c r="A753" s="5"/>
      <c r="B753" s="35"/>
      <c r="C753" s="4"/>
      <c r="I753" s="27"/>
    </row>
    <row r="754" spans="1:9" ht="15.75" customHeight="1" x14ac:dyDescent="0.3">
      <c r="A754" s="5"/>
      <c r="B754" s="35"/>
      <c r="C754" s="4"/>
      <c r="I754" s="27"/>
    </row>
    <row r="755" spans="1:9" ht="15.75" customHeight="1" x14ac:dyDescent="0.3">
      <c r="A755" s="5"/>
      <c r="B755" s="35"/>
      <c r="C755" s="4"/>
      <c r="I755" s="27"/>
    </row>
    <row r="756" spans="1:9" ht="15.75" customHeight="1" x14ac:dyDescent="0.3">
      <c r="A756" s="5"/>
      <c r="B756" s="35"/>
      <c r="C756" s="4"/>
      <c r="I756" s="27"/>
    </row>
    <row r="757" spans="1:9" ht="15.75" customHeight="1" x14ac:dyDescent="0.3">
      <c r="A757" s="5"/>
      <c r="B757" s="35"/>
      <c r="C757" s="4"/>
      <c r="I757" s="27"/>
    </row>
    <row r="758" spans="1:9" ht="15.75" customHeight="1" x14ac:dyDescent="0.3">
      <c r="A758" s="5"/>
      <c r="B758" s="35"/>
      <c r="C758" s="4"/>
      <c r="I758" s="27"/>
    </row>
    <row r="759" spans="1:9" ht="15.75" customHeight="1" x14ac:dyDescent="0.3">
      <c r="A759" s="5"/>
      <c r="B759" s="35"/>
      <c r="C759" s="4"/>
      <c r="I759" s="27"/>
    </row>
    <row r="760" spans="1:9" ht="15.75" customHeight="1" x14ac:dyDescent="0.3">
      <c r="A760" s="5"/>
      <c r="B760" s="35"/>
      <c r="C760" s="4"/>
      <c r="I760" s="27"/>
    </row>
    <row r="761" spans="1:9" ht="15.75" customHeight="1" x14ac:dyDescent="0.3">
      <c r="A761" s="5"/>
      <c r="B761" s="35"/>
      <c r="C761" s="4"/>
      <c r="I761" s="27"/>
    </row>
    <row r="762" spans="1:9" ht="15.75" customHeight="1" x14ac:dyDescent="0.3">
      <c r="A762" s="5"/>
      <c r="B762" s="35"/>
      <c r="C762" s="4"/>
      <c r="I762" s="27"/>
    </row>
    <row r="763" spans="1:9" ht="15.75" customHeight="1" x14ac:dyDescent="0.3">
      <c r="A763" s="5"/>
      <c r="B763" s="35"/>
      <c r="C763" s="4"/>
      <c r="I763" s="27"/>
    </row>
    <row r="764" spans="1:9" ht="15.75" customHeight="1" x14ac:dyDescent="0.3">
      <c r="A764" s="5"/>
      <c r="B764" s="35"/>
      <c r="C764" s="4"/>
      <c r="I764" s="27"/>
    </row>
    <row r="765" spans="1:9" ht="15.75" customHeight="1" x14ac:dyDescent="0.3">
      <c r="A765" s="5"/>
      <c r="B765" s="35"/>
      <c r="C765" s="4"/>
      <c r="I765" s="27"/>
    </row>
    <row r="766" spans="1:9" ht="15.75" customHeight="1" x14ac:dyDescent="0.3">
      <c r="A766" s="5"/>
      <c r="B766" s="35"/>
      <c r="C766" s="4"/>
      <c r="I766" s="27"/>
    </row>
    <row r="767" spans="1:9" ht="15.75" customHeight="1" x14ac:dyDescent="0.3">
      <c r="A767" s="5"/>
      <c r="B767" s="35"/>
      <c r="C767" s="4"/>
      <c r="I767" s="27"/>
    </row>
    <row r="768" spans="1:9" ht="15.75" customHeight="1" x14ac:dyDescent="0.3">
      <c r="A768" s="5"/>
      <c r="B768" s="35"/>
      <c r="C768" s="4"/>
      <c r="I768" s="27"/>
    </row>
    <row r="769" spans="1:9" ht="15.75" customHeight="1" x14ac:dyDescent="0.3">
      <c r="A769" s="5"/>
      <c r="B769" s="35"/>
      <c r="C769" s="4"/>
      <c r="I769" s="27"/>
    </row>
    <row r="770" spans="1:9" ht="15.75" customHeight="1" x14ac:dyDescent="0.3">
      <c r="A770" s="5"/>
      <c r="B770" s="35"/>
      <c r="C770" s="4"/>
      <c r="I770" s="27"/>
    </row>
    <row r="771" spans="1:9" ht="15.75" customHeight="1" x14ac:dyDescent="0.3">
      <c r="A771" s="5"/>
      <c r="B771" s="35"/>
      <c r="C771" s="4"/>
      <c r="I771" s="27"/>
    </row>
    <row r="772" spans="1:9" ht="15.75" customHeight="1" x14ac:dyDescent="0.3">
      <c r="A772" s="5"/>
      <c r="B772" s="35"/>
      <c r="C772" s="4"/>
      <c r="I772" s="27"/>
    </row>
    <row r="773" spans="1:9" ht="15.75" customHeight="1" x14ac:dyDescent="0.3">
      <c r="A773" s="5"/>
      <c r="B773" s="35"/>
      <c r="C773" s="4"/>
      <c r="I773" s="27"/>
    </row>
    <row r="774" spans="1:9" ht="15.75" customHeight="1" x14ac:dyDescent="0.3">
      <c r="A774" s="5"/>
      <c r="B774" s="35"/>
      <c r="C774" s="4"/>
      <c r="I774" s="27"/>
    </row>
    <row r="775" spans="1:9" ht="15.75" customHeight="1" x14ac:dyDescent="0.3">
      <c r="A775" s="5"/>
      <c r="B775" s="35"/>
      <c r="C775" s="4"/>
      <c r="I775" s="27"/>
    </row>
    <row r="776" spans="1:9" ht="15.75" customHeight="1" x14ac:dyDescent="0.3">
      <c r="A776" s="5"/>
      <c r="B776" s="35"/>
      <c r="C776" s="4"/>
      <c r="I776" s="27"/>
    </row>
    <row r="777" spans="1:9" ht="15.75" customHeight="1" x14ac:dyDescent="0.3">
      <c r="A777" s="5"/>
      <c r="B777" s="35"/>
      <c r="C777" s="4"/>
      <c r="I777" s="27"/>
    </row>
    <row r="778" spans="1:9" ht="15.75" customHeight="1" x14ac:dyDescent="0.3">
      <c r="A778" s="5"/>
      <c r="B778" s="35"/>
      <c r="C778" s="4"/>
      <c r="I778" s="27"/>
    </row>
    <row r="779" spans="1:9" ht="15.75" customHeight="1" x14ac:dyDescent="0.3">
      <c r="A779" s="5"/>
      <c r="B779" s="35"/>
      <c r="C779" s="4"/>
      <c r="I779" s="27"/>
    </row>
    <row r="780" spans="1:9" ht="15.75" customHeight="1" x14ac:dyDescent="0.3">
      <c r="A780" s="5"/>
      <c r="B780" s="35"/>
      <c r="C780" s="4"/>
      <c r="I780" s="27"/>
    </row>
    <row r="781" spans="1:9" ht="15.75" customHeight="1" x14ac:dyDescent="0.3">
      <c r="A781" s="5"/>
      <c r="B781" s="35"/>
      <c r="C781" s="4"/>
      <c r="I781" s="27"/>
    </row>
    <row r="782" spans="1:9" ht="15.75" customHeight="1" x14ac:dyDescent="0.3">
      <c r="A782" s="5"/>
      <c r="B782" s="35"/>
      <c r="C782" s="4"/>
      <c r="I782" s="27"/>
    </row>
    <row r="783" spans="1:9" ht="15.75" customHeight="1" x14ac:dyDescent="0.3">
      <c r="A783" s="5"/>
      <c r="B783" s="35"/>
      <c r="C783" s="4"/>
      <c r="I783" s="27"/>
    </row>
    <row r="784" spans="1:9" ht="15.75" customHeight="1" x14ac:dyDescent="0.3">
      <c r="A784" s="5"/>
      <c r="B784" s="35"/>
      <c r="C784" s="4"/>
      <c r="I784" s="27"/>
    </row>
    <row r="785" spans="1:9" ht="15.75" customHeight="1" x14ac:dyDescent="0.3">
      <c r="A785" s="5"/>
      <c r="B785" s="35"/>
      <c r="C785" s="4"/>
      <c r="I785" s="27"/>
    </row>
    <row r="786" spans="1:9" ht="15.75" customHeight="1" x14ac:dyDescent="0.3">
      <c r="A786" s="5"/>
      <c r="B786" s="35"/>
      <c r="C786" s="4"/>
      <c r="I786" s="27"/>
    </row>
    <row r="787" spans="1:9" ht="15.75" customHeight="1" x14ac:dyDescent="0.3">
      <c r="A787" s="5"/>
      <c r="B787" s="35"/>
      <c r="C787" s="4"/>
      <c r="I787" s="27"/>
    </row>
    <row r="788" spans="1:9" ht="15.75" customHeight="1" x14ac:dyDescent="0.3">
      <c r="A788" s="5"/>
      <c r="B788" s="35"/>
      <c r="C788" s="4"/>
      <c r="I788" s="27"/>
    </row>
    <row r="789" spans="1:9" ht="15.75" customHeight="1" x14ac:dyDescent="0.3">
      <c r="A789" s="5"/>
      <c r="B789" s="35"/>
      <c r="C789" s="4"/>
      <c r="I789" s="27"/>
    </row>
    <row r="790" spans="1:9" ht="15.75" customHeight="1" x14ac:dyDescent="0.3">
      <c r="A790" s="5"/>
      <c r="B790" s="35"/>
      <c r="C790" s="4"/>
      <c r="I790" s="27"/>
    </row>
    <row r="791" spans="1:9" ht="15.75" customHeight="1" x14ac:dyDescent="0.3">
      <c r="A791" s="5"/>
      <c r="B791" s="35"/>
      <c r="C791" s="4"/>
      <c r="I791" s="27"/>
    </row>
    <row r="792" spans="1:9" ht="15.75" customHeight="1" x14ac:dyDescent="0.3">
      <c r="A792" s="5"/>
      <c r="B792" s="35"/>
      <c r="C792" s="4"/>
      <c r="I792" s="27"/>
    </row>
    <row r="793" spans="1:9" ht="15.75" customHeight="1" x14ac:dyDescent="0.3">
      <c r="A793" s="5"/>
      <c r="B793" s="35"/>
      <c r="C793" s="4"/>
      <c r="I793" s="27"/>
    </row>
    <row r="794" spans="1:9" ht="15.75" customHeight="1" x14ac:dyDescent="0.3">
      <c r="A794" s="5"/>
      <c r="B794" s="35"/>
      <c r="C794" s="4"/>
      <c r="I794" s="27"/>
    </row>
    <row r="795" spans="1:9" ht="15.75" customHeight="1" x14ac:dyDescent="0.3">
      <c r="A795" s="5"/>
      <c r="B795" s="35"/>
      <c r="C795" s="4"/>
      <c r="I795" s="27"/>
    </row>
    <row r="796" spans="1:9" ht="15.75" customHeight="1" x14ac:dyDescent="0.3">
      <c r="A796" s="5"/>
      <c r="B796" s="35"/>
      <c r="C796" s="4"/>
      <c r="I796" s="27"/>
    </row>
    <row r="797" spans="1:9" ht="15.75" customHeight="1" x14ac:dyDescent="0.3">
      <c r="A797" s="5"/>
      <c r="B797" s="35"/>
      <c r="C797" s="4"/>
      <c r="I797" s="27"/>
    </row>
  </sheetData>
  <pageMargins left="0.7" right="0.7" top="0.75" bottom="0.75" header="0.511811023622047" footer="0.511811023622047"/>
  <pageSetup paperSize="9" orientation="portrait" horizontalDpi="300" verticalDpi="300" r:id="rId1"/>
  <ignoredErrors>
    <ignoredError sqref="J14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23C3A-58CE-46C6-A479-E2B50090BB24}">
  <sheetPr>
    <pageSetUpPr fitToPage="1"/>
  </sheetPr>
  <dimension ref="B1:P34"/>
  <sheetViews>
    <sheetView zoomScaleNormal="100" workbookViewId="0">
      <selection activeCell="D4" sqref="D4"/>
    </sheetView>
  </sheetViews>
  <sheetFormatPr defaultColWidth="8.5703125" defaultRowHeight="15" x14ac:dyDescent="0.25"/>
  <cols>
    <col min="1" max="1" width="3.28515625" customWidth="1"/>
    <col min="2" max="2" width="15.140625" customWidth="1"/>
    <col min="3" max="3" width="19.28515625" customWidth="1"/>
    <col min="4" max="4" width="18.85546875" style="28" customWidth="1"/>
    <col min="5" max="5" width="11.7109375" customWidth="1"/>
    <col min="6" max="6" width="15" customWidth="1"/>
    <col min="7" max="7" width="16.85546875" customWidth="1"/>
    <col min="8" max="8" width="13.7109375" style="28" customWidth="1"/>
    <col min="9" max="9" width="14.140625" style="28" customWidth="1"/>
    <col min="10" max="10" width="13" style="28" customWidth="1"/>
    <col min="11" max="11" width="14.42578125" customWidth="1"/>
    <col min="13" max="13" width="11.42578125" bestFit="1" customWidth="1"/>
    <col min="14" max="14" width="14.140625" customWidth="1"/>
  </cols>
  <sheetData>
    <row r="1" spans="2:14" s="59" customFormat="1" ht="18.75" x14ac:dyDescent="0.3">
      <c r="D1" s="300">
        <v>46113</v>
      </c>
      <c r="E1" s="301"/>
      <c r="F1" s="301"/>
    </row>
    <row r="2" spans="2:14" s="59" customFormat="1" x14ac:dyDescent="0.25">
      <c r="F2" s="60"/>
      <c r="G2" s="60"/>
    </row>
    <row r="3" spans="2:14" s="59" customFormat="1" x14ac:dyDescent="0.25">
      <c r="C3" s="91" t="s">
        <v>183</v>
      </c>
      <c r="D3" s="61" t="s">
        <v>184</v>
      </c>
      <c r="E3" s="61" t="s">
        <v>185</v>
      </c>
      <c r="F3" s="61" t="s">
        <v>186</v>
      </c>
      <c r="I3" s="91"/>
      <c r="J3" s="61"/>
    </row>
    <row r="4" spans="2:14" s="59" customFormat="1" x14ac:dyDescent="0.25">
      <c r="B4" s="123" t="s">
        <v>33</v>
      </c>
      <c r="C4" s="62">
        <f>+[4]SUMMERY!$E$19</f>
        <v>99370.135750000016</v>
      </c>
      <c r="D4" s="62">
        <f>10000*68+38400+340000+204000</f>
        <v>1262400</v>
      </c>
      <c r="E4" s="62">
        <f>+' EXPENSES HOUSE'!M4</f>
        <v>246152.01519999999</v>
      </c>
      <c r="F4" s="62">
        <f>+C4+D4-E4</f>
        <v>1115618.1205499999</v>
      </c>
      <c r="G4" s="62"/>
      <c r="H4" s="62">
        <f>+F4-C21</f>
        <v>1016247.9847999999</v>
      </c>
      <c r="I4" s="62"/>
      <c r="J4" s="62"/>
    </row>
    <row r="5" spans="2:14" s="59" customFormat="1" x14ac:dyDescent="0.25">
      <c r="B5" s="125" t="s">
        <v>40</v>
      </c>
      <c r="C5" s="62">
        <f>+'[5] SUMMERY '!$F$19</f>
        <v>197931.38249999995</v>
      </c>
      <c r="D5" s="62"/>
      <c r="E5" s="62">
        <f>+' EXPENSES HOUSE'!M5</f>
        <v>290384.12</v>
      </c>
      <c r="F5" s="62">
        <f t="shared" ref="F5:F8" si="0">+C5+D5-E5</f>
        <v>-92452.737500000047</v>
      </c>
      <c r="H5" s="62">
        <f>+F5-C22</f>
        <v>-290384.12</v>
      </c>
      <c r="I5" s="62"/>
      <c r="J5" s="62"/>
    </row>
    <row r="6" spans="2:14" s="59" customFormat="1" x14ac:dyDescent="0.25">
      <c r="B6" s="123" t="s">
        <v>34</v>
      </c>
      <c r="C6" s="62">
        <f>+[6]SUMMERY!$F$19</f>
        <v>773264.78484999994</v>
      </c>
      <c r="D6" s="62">
        <v>733700</v>
      </c>
      <c r="E6" s="62">
        <f>+' EXPENSES HOUSE'!M6</f>
        <v>267794.73</v>
      </c>
      <c r="F6" s="62">
        <f t="shared" si="0"/>
        <v>1239170.05485</v>
      </c>
      <c r="H6" s="62">
        <f>+F6-C23</f>
        <v>465905.27</v>
      </c>
      <c r="I6" s="62"/>
      <c r="J6" s="62"/>
    </row>
    <row r="7" spans="2:14" s="59" customFormat="1" x14ac:dyDescent="0.25">
      <c r="B7" s="123" t="s">
        <v>35</v>
      </c>
      <c r="C7" s="62">
        <f>+'[7]SUMMERY '!$F$19</f>
        <v>878066.80249999999</v>
      </c>
      <c r="D7" s="62"/>
      <c r="E7" s="62">
        <f>+' EXPENSES HOUSE'!M7</f>
        <v>363859.04</v>
      </c>
      <c r="F7" s="62">
        <f t="shared" si="0"/>
        <v>514207.76250000001</v>
      </c>
      <c r="H7" s="62">
        <f>+F7-C24</f>
        <v>-363859.04</v>
      </c>
      <c r="I7" s="62"/>
      <c r="J7" s="62"/>
    </row>
    <row r="8" spans="2:14" s="59" customFormat="1" x14ac:dyDescent="0.25">
      <c r="B8" s="297" t="s">
        <v>177</v>
      </c>
      <c r="C8" s="62">
        <v>170900</v>
      </c>
      <c r="D8" s="62"/>
      <c r="E8" s="62"/>
      <c r="F8" s="62">
        <f t="shared" si="0"/>
        <v>170900</v>
      </c>
      <c r="H8" s="62"/>
      <c r="I8" s="62"/>
      <c r="J8" s="62"/>
    </row>
    <row r="9" spans="2:14" s="59" customFormat="1" x14ac:dyDescent="0.25">
      <c r="B9" s="59" t="s">
        <v>11</v>
      </c>
      <c r="C9" s="62">
        <v>1187372.9933000002</v>
      </c>
      <c r="D9" s="62">
        <f>SUM(D4:D7)</f>
        <v>1996100</v>
      </c>
      <c r="E9" s="62">
        <f>SUM(E4:E7)</f>
        <v>1168189.9051999999</v>
      </c>
      <c r="F9" s="62">
        <f>SUM(F4:F8)</f>
        <v>2947443.2004</v>
      </c>
      <c r="I9" s="62"/>
      <c r="J9" s="62"/>
    </row>
    <row r="10" spans="2:14" s="59" customFormat="1" ht="15.75" thickBot="1" x14ac:dyDescent="0.3">
      <c r="D10" s="73"/>
      <c r="E10" s="73"/>
      <c r="K10" s="62"/>
    </row>
    <row r="11" spans="2:14" s="59" customFormat="1" x14ac:dyDescent="0.25">
      <c r="B11" s="306" t="s">
        <v>21</v>
      </c>
      <c r="C11" s="307"/>
      <c r="D11" s="63" t="s">
        <v>20</v>
      </c>
      <c r="E11" s="64"/>
      <c r="F11" s="65"/>
      <c r="G11" s="308" t="s">
        <v>22</v>
      </c>
      <c r="H11" s="309"/>
      <c r="I11" s="310" t="s">
        <v>81</v>
      </c>
      <c r="J11" s="309"/>
    </row>
    <row r="12" spans="2:14" s="59" customFormat="1" x14ac:dyDescent="0.25">
      <c r="B12" s="66"/>
      <c r="C12" s="67">
        <f>+C9</f>
        <v>1187372.9933000002</v>
      </c>
      <c r="D12" s="62"/>
      <c r="E12" s="68"/>
      <c r="F12" s="62" t="s">
        <v>23</v>
      </c>
      <c r="G12" s="69">
        <f>+'[8]LANDCO MET CASH'!$F$9+335000</f>
        <v>688506.96250000002</v>
      </c>
      <c r="H12" s="70"/>
      <c r="I12" s="69">
        <f>+'[9]BIM Bank Control USD'!$J$3+'[9]BIM Bank Control Mtn'!$J$2+'[9]Petty cash '!$G$4+'[9]Pre-paid'!$G$4</f>
        <v>498865.79250000016</v>
      </c>
      <c r="J12" s="70"/>
      <c r="K12" s="62">
        <f>+C12-G12-I12</f>
        <v>0.23830000002635643</v>
      </c>
      <c r="M12" s="62"/>
    </row>
    <row r="13" spans="2:14" s="59" customFormat="1" x14ac:dyDescent="0.25">
      <c r="B13" s="71"/>
      <c r="C13" s="72">
        <f>+D9</f>
        <v>1996100</v>
      </c>
      <c r="D13" s="73"/>
      <c r="E13" s="74"/>
      <c r="F13" s="73" t="s">
        <v>24</v>
      </c>
      <c r="G13" s="76"/>
      <c r="H13" s="75"/>
      <c r="I13" s="93">
        <f>+D9</f>
        <v>1996100</v>
      </c>
      <c r="J13" s="70"/>
      <c r="K13" s="62">
        <f>+C13-G13-I13+J13</f>
        <v>0</v>
      </c>
      <c r="M13" s="62"/>
    </row>
    <row r="14" spans="2:14" s="59" customFormat="1" x14ac:dyDescent="0.25">
      <c r="B14" s="77"/>
      <c r="C14" s="72"/>
      <c r="D14" s="73"/>
      <c r="E14" s="74"/>
      <c r="F14" s="73" t="s">
        <v>20</v>
      </c>
      <c r="G14" s="78"/>
      <c r="H14" s="70"/>
      <c r="I14" s="79"/>
      <c r="J14" s="70"/>
      <c r="K14" s="62">
        <f>+C14-G14+I14</f>
        <v>0</v>
      </c>
    </row>
    <row r="15" spans="2:14" s="59" customFormat="1" x14ac:dyDescent="0.25">
      <c r="B15" s="77"/>
      <c r="C15" s="72"/>
      <c r="D15" s="73"/>
      <c r="E15" s="74"/>
      <c r="F15" s="73"/>
      <c r="G15" s="80"/>
      <c r="H15" s="70"/>
      <c r="I15" s="81"/>
      <c r="J15" s="70"/>
      <c r="K15" s="62">
        <f t="shared" ref="K15" si="1">+C15-G15-I15</f>
        <v>0</v>
      </c>
    </row>
    <row r="16" spans="2:14" s="59" customFormat="1" x14ac:dyDescent="0.25">
      <c r="B16" s="82">
        <f>+E9</f>
        <v>1168189.9051999999</v>
      </c>
      <c r="C16" s="73"/>
      <c r="D16" s="73"/>
      <c r="E16" s="74"/>
      <c r="F16" s="73" t="s">
        <v>12</v>
      </c>
      <c r="G16" s="79"/>
      <c r="H16" s="83">
        <f>+'[10]LANDCO MET CASH'!$F$8</f>
        <v>213314</v>
      </c>
      <c r="I16" s="79"/>
      <c r="J16" s="84">
        <f>+' EXPENSES'!D2</f>
        <v>954875.90999999992</v>
      </c>
      <c r="K16" s="62">
        <f>+B16-H16-J16</f>
        <v>-4.7999999951571226E-3</v>
      </c>
      <c r="M16" s="62"/>
      <c r="N16" s="62"/>
    </row>
    <row r="17" spans="2:16" s="59" customFormat="1" x14ac:dyDescent="0.25">
      <c r="B17" s="97">
        <f>+F9</f>
        <v>2947443.2004</v>
      </c>
      <c r="C17" s="73"/>
      <c r="D17" s="73"/>
      <c r="E17" s="74"/>
      <c r="F17" s="73" t="s">
        <v>13</v>
      </c>
      <c r="G17" s="85"/>
      <c r="H17" s="98">
        <f>+'[10]LANDCO MET CASH'!$F$9+335000</f>
        <v>475192.96250000014</v>
      </c>
      <c r="I17" s="85"/>
      <c r="J17" s="98">
        <f>+'[9]BIM Bank Control USD'!$J$7+'[9]BIM Bank Control Mtn'!$J$6+'[9]Petty cash '!$G$8+'[9]Pre-paid'!$G$8</f>
        <v>910639.88499999989</v>
      </c>
      <c r="K17" s="62">
        <f>+B17-H17-J17</f>
        <v>1561610.3529000003</v>
      </c>
      <c r="M17" s="62"/>
      <c r="N17" s="62"/>
    </row>
    <row r="18" spans="2:16" s="59" customFormat="1" ht="15.75" thickBot="1" x14ac:dyDescent="0.3">
      <c r="B18" s="86">
        <f>SUM(B12:B17)</f>
        <v>4115633.1055999999</v>
      </c>
      <c r="C18" s="87">
        <f>SUM(C12:C17)</f>
        <v>3183472.9933000002</v>
      </c>
      <c r="D18" s="87">
        <f t="shared" ref="D18:E18" si="2">SUM(D13:D17)</f>
        <v>0</v>
      </c>
      <c r="E18" s="88">
        <f t="shared" si="2"/>
        <v>0</v>
      </c>
      <c r="F18" s="89"/>
      <c r="G18" s="90">
        <f t="shared" ref="G18:H18" si="3">SUM(G12:G17)</f>
        <v>688506.96250000002</v>
      </c>
      <c r="H18" s="87">
        <f t="shared" si="3"/>
        <v>688506.96250000014</v>
      </c>
      <c r="I18" s="87">
        <f>SUM(I12:I17)</f>
        <v>2494965.7925</v>
      </c>
      <c r="J18" s="87">
        <f>SUM(J12:J17)</f>
        <v>1865515.7949999999</v>
      </c>
      <c r="K18" s="62"/>
    </row>
    <row r="19" spans="2:16" s="59" customFormat="1" x14ac:dyDescent="0.25">
      <c r="B19" s="73"/>
      <c r="C19" s="73">
        <f>+B18-C18</f>
        <v>932160.11229999969</v>
      </c>
      <c r="D19" s="73"/>
      <c r="E19" s="73"/>
      <c r="F19" s="73"/>
      <c r="G19" s="62"/>
      <c r="H19" s="62">
        <f>+G18-H18</f>
        <v>0</v>
      </c>
      <c r="I19" s="62"/>
      <c r="J19" s="62">
        <f>+I18-J18</f>
        <v>629449.99750000006</v>
      </c>
      <c r="K19" s="62">
        <f>SUM(K12:K17)</f>
        <v>1561610.5864000004</v>
      </c>
    </row>
    <row r="20" spans="2:16" s="59" customFormat="1" x14ac:dyDescent="0.25">
      <c r="B20" s="164" t="s">
        <v>98</v>
      </c>
      <c r="C20" s="165"/>
      <c r="D20">
        <v>63.25</v>
      </c>
      <c r="F20" s="293" t="s">
        <v>181</v>
      </c>
      <c r="I20" s="304"/>
      <c r="J20" s="305"/>
      <c r="L20" s="62"/>
      <c r="M20" s="62"/>
      <c r="N20" s="62"/>
    </row>
    <row r="21" spans="2:16" s="59" customFormat="1" x14ac:dyDescent="0.25">
      <c r="B21" s="123" t="s">
        <v>33</v>
      </c>
      <c r="C21" s="62">
        <f>+[4]SUMMERY!$E$19</f>
        <v>99370.135750000016</v>
      </c>
      <c r="D21" s="101">
        <f>+C21/$D$20</f>
        <v>1571.0693399209488</v>
      </c>
      <c r="E21" s="62"/>
      <c r="F21" s="293" t="s">
        <v>176</v>
      </c>
      <c r="G21" s="62">
        <f>+'[9]BIM Bank Control Mtn'!$J$6+'[9]Petty cash '!$G$8+'[9]Pre-paid'!$G$8</f>
        <v>304534.10999999987</v>
      </c>
      <c r="H21" s="294">
        <f>SUM(G21:G22)</f>
        <v>910639.88499999989</v>
      </c>
      <c r="I21" s="262"/>
      <c r="J21" s="262"/>
      <c r="K21" s="262"/>
      <c r="L21" s="263"/>
      <c r="M21" s="62"/>
      <c r="N21" s="62"/>
    </row>
    <row r="22" spans="2:16" s="59" customFormat="1" x14ac:dyDescent="0.25">
      <c r="B22" s="125" t="s">
        <v>40</v>
      </c>
      <c r="C22" s="62">
        <f>+'[5] SUMMERY '!$F$19</f>
        <v>197931.38249999995</v>
      </c>
      <c r="D22" s="101">
        <f>+C22/$D$20</f>
        <v>3129.3499209486158</v>
      </c>
      <c r="E22" s="62"/>
      <c r="F22" s="293" t="s">
        <v>180</v>
      </c>
      <c r="G22" s="62">
        <f>+'[9]BIM Bank Control USD'!$J$7</f>
        <v>606105.77500000002</v>
      </c>
      <c r="H22" s="62"/>
      <c r="I22" s="262"/>
      <c r="J22" s="264"/>
      <c r="K22" s="262"/>
      <c r="L22" s="265"/>
      <c r="M22" s="62"/>
      <c r="N22" s="62"/>
    </row>
    <row r="23" spans="2:16" s="59" customFormat="1" x14ac:dyDescent="0.25">
      <c r="B23" s="123" t="s">
        <v>34</v>
      </c>
      <c r="C23" s="62">
        <f>+[6]SUMMERY!$F$19</f>
        <v>773264.78484999994</v>
      </c>
      <c r="D23" s="101">
        <f>+C23/$D$20</f>
        <v>12225.530195256915</v>
      </c>
      <c r="E23" s="62"/>
      <c r="F23" s="99" t="s">
        <v>14</v>
      </c>
      <c r="G23" s="62">
        <f>+H17</f>
        <v>475192.96250000014</v>
      </c>
      <c r="I23" s="262"/>
      <c r="J23" s="264"/>
      <c r="K23" s="262"/>
      <c r="L23" s="263"/>
      <c r="O23" s="99"/>
      <c r="P23" s="62"/>
    </row>
    <row r="24" spans="2:16" s="59" customFormat="1" x14ac:dyDescent="0.25">
      <c r="B24" s="123" t="s">
        <v>35</v>
      </c>
      <c r="C24" s="62">
        <f>+'[7]SUMMERY '!$F$19</f>
        <v>878066.80249999999</v>
      </c>
      <c r="D24" s="101">
        <f>+C24/$D$20</f>
        <v>13882.479090909092</v>
      </c>
      <c r="E24" s="62"/>
      <c r="I24" s="262"/>
      <c r="J24" s="264"/>
      <c r="K24" s="262"/>
      <c r="L24" s="266"/>
    </row>
    <row r="25" spans="2:16" s="59" customFormat="1" x14ac:dyDescent="0.25">
      <c r="B25" s="293" t="s">
        <v>177</v>
      </c>
      <c r="C25" s="62">
        <v>170900</v>
      </c>
      <c r="D25" s="101">
        <f>+C25/$D$20</f>
        <v>2701.97628458498</v>
      </c>
      <c r="E25" s="62"/>
      <c r="F25" s="126"/>
      <c r="G25" s="62"/>
      <c r="I25" s="262"/>
      <c r="J25" s="264"/>
      <c r="K25" s="262"/>
      <c r="L25" s="263"/>
    </row>
    <row r="26" spans="2:16" s="59" customFormat="1" ht="15.75" thickBot="1" x14ac:dyDescent="0.3">
      <c r="C26" s="100">
        <f>SUM(C21:C25)</f>
        <v>2119533.1055999999</v>
      </c>
      <c r="D26" s="102">
        <f>SUM(D21:D25)</f>
        <v>33510.404831620552</v>
      </c>
      <c r="G26" s="100">
        <f>SUM(G21:G25)</f>
        <v>1385832.8475000001</v>
      </c>
      <c r="I26" s="262"/>
      <c r="J26" s="264"/>
      <c r="K26" s="262"/>
      <c r="L26" s="262"/>
    </row>
    <row r="27" spans="2:16" ht="15.75" thickTop="1" x14ac:dyDescent="0.25">
      <c r="I27" s="302"/>
      <c r="J27" s="303"/>
      <c r="K27" s="268"/>
      <c r="L27" s="262"/>
      <c r="M27" s="32"/>
    </row>
    <row r="28" spans="2:16" x14ac:dyDescent="0.25">
      <c r="C28" s="32"/>
      <c r="G28" s="28"/>
      <c r="I28" s="267"/>
      <c r="J28" s="269"/>
      <c r="K28" s="267"/>
      <c r="L28" s="262"/>
    </row>
    <row r="29" spans="2:16" x14ac:dyDescent="0.25">
      <c r="G29" s="28">
        <f>+G26-F9</f>
        <v>-1561610.3528999998</v>
      </c>
      <c r="I29" s="267"/>
      <c r="J29" s="269"/>
      <c r="K29" s="267"/>
      <c r="L29" s="262"/>
    </row>
    <row r="30" spans="2:16" x14ac:dyDescent="0.25">
      <c r="G30" s="32"/>
      <c r="I30" s="267"/>
      <c r="J30" s="267"/>
      <c r="K30" s="267"/>
      <c r="L30" s="262"/>
    </row>
    <row r="31" spans="2:16" x14ac:dyDescent="0.25">
      <c r="I31" s="267"/>
      <c r="J31" s="269"/>
      <c r="K31" s="267"/>
      <c r="L31" s="262"/>
      <c r="M31" s="32"/>
    </row>
    <row r="34" spans="13:13" x14ac:dyDescent="0.25">
      <c r="M34" s="292"/>
    </row>
  </sheetData>
  <mergeCells count="6">
    <mergeCell ref="D1:F1"/>
    <mergeCell ref="I27:J27"/>
    <mergeCell ref="I20:J20"/>
    <mergeCell ref="B11:C11"/>
    <mergeCell ref="G11:H11"/>
    <mergeCell ref="I11:J11"/>
  </mergeCells>
  <pageMargins left="0.7" right="0.7" top="0.75" bottom="0.75" header="0.511811023622047" footer="0.511811023622047"/>
  <pageSetup scale="91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83FFF-0D47-44E8-AC90-C13547BF15EE}">
  <dimension ref="A1:CK732"/>
  <sheetViews>
    <sheetView zoomScale="80" zoomScaleNormal="80" workbookViewId="0">
      <pane xSplit="4" ySplit="6" topLeftCell="U7" activePane="bottomRight" state="frozen"/>
      <selection pane="topRight" activeCell="F1" sqref="F1"/>
      <selection pane="bottomLeft" activeCell="A8" sqref="A8"/>
      <selection pane="bottomRight" activeCell="U6" sqref="U6"/>
    </sheetView>
  </sheetViews>
  <sheetFormatPr defaultColWidth="14.42578125" defaultRowHeight="17.25" x14ac:dyDescent="0.35"/>
  <cols>
    <col min="1" max="1" width="14.28515625" style="151" customWidth="1"/>
    <col min="2" max="2" width="26.5703125" style="29" customWidth="1"/>
    <col min="3" max="3" width="42.5703125" style="29" customWidth="1"/>
    <col min="4" max="4" width="18.7109375" style="152" customWidth="1"/>
    <col min="5" max="6" width="13.5703125" style="131" customWidth="1"/>
    <col min="7" max="7" width="14.7109375" style="131" customWidth="1"/>
    <col min="8" max="8" width="13" style="131" customWidth="1"/>
    <col min="9" max="9" width="14.42578125" style="131"/>
    <col min="10" max="10" width="13.7109375" style="131" customWidth="1"/>
    <col min="11" max="11" width="13.28515625" style="131" customWidth="1"/>
    <col min="12" max="12" width="12.42578125" style="131" customWidth="1"/>
    <col min="13" max="13" width="11.140625" style="131" customWidth="1"/>
    <col min="14" max="14" width="14.7109375" style="131" customWidth="1"/>
    <col min="15" max="17" width="11.140625" style="131" customWidth="1"/>
    <col min="18" max="25" width="14.42578125" style="131"/>
    <col min="26" max="26" width="15.85546875" style="131" customWidth="1"/>
    <col min="27" max="27" width="13" style="153" customWidth="1"/>
    <col min="28" max="16384" width="14.42578125" style="29"/>
  </cols>
  <sheetData>
    <row r="1" spans="1:89" ht="23.25" x14ac:dyDescent="0.35">
      <c r="A1" s="127" t="s">
        <v>43</v>
      </c>
      <c r="B1" s="52"/>
      <c r="C1" s="128"/>
      <c r="D1" s="129"/>
      <c r="E1" s="130" t="s">
        <v>7</v>
      </c>
      <c r="F1" s="130" t="s">
        <v>8</v>
      </c>
      <c r="H1" s="130" t="s">
        <v>9</v>
      </c>
      <c r="I1" s="130" t="s">
        <v>10</v>
      </c>
      <c r="L1" s="130"/>
      <c r="M1" s="132"/>
      <c r="N1" s="132"/>
      <c r="O1" s="130"/>
      <c r="P1" s="130"/>
      <c r="AA1" s="133"/>
    </row>
    <row r="2" spans="1:89" ht="23.25" x14ac:dyDescent="0.35">
      <c r="A2" s="134"/>
      <c r="B2" s="52"/>
      <c r="C2" s="128" t="s">
        <v>44</v>
      </c>
      <c r="D2" s="129">
        <f>SUM(D8:D62)</f>
        <v>954875.90999999992</v>
      </c>
      <c r="E2" s="130"/>
      <c r="F2" s="130"/>
      <c r="L2" s="130"/>
      <c r="M2" s="132"/>
      <c r="N2" s="132"/>
      <c r="O2" s="130"/>
      <c r="P2" s="130"/>
      <c r="W2" s="129"/>
      <c r="AA2" s="133"/>
    </row>
    <row r="3" spans="1:89" ht="23.25" x14ac:dyDescent="0.35">
      <c r="A3" s="134"/>
      <c r="B3" s="52"/>
      <c r="C3" s="128" t="s">
        <v>45</v>
      </c>
      <c r="D3" s="129">
        <f>SUM(D63:D91)</f>
        <v>213314</v>
      </c>
      <c r="E3" s="130"/>
      <c r="F3" s="130"/>
      <c r="L3" s="130"/>
      <c r="M3" s="132"/>
      <c r="N3" s="132"/>
      <c r="O3" s="130"/>
      <c r="P3" s="130"/>
      <c r="AA3" s="133"/>
    </row>
    <row r="4" spans="1:89" ht="23.25" x14ac:dyDescent="0.35">
      <c r="A4" s="134"/>
      <c r="B4" s="52"/>
      <c r="C4" s="128" t="s">
        <v>46</v>
      </c>
      <c r="D4" s="135">
        <f>SUM(D2:D3)</f>
        <v>1168189.9099999999</v>
      </c>
      <c r="E4" s="130"/>
      <c r="F4" s="130">
        <f>+D4/4</f>
        <v>292047.47749999998</v>
      </c>
      <c r="L4" s="130"/>
      <c r="M4" s="132"/>
      <c r="N4" s="132"/>
      <c r="O4" s="130"/>
      <c r="P4" s="130"/>
      <c r="AA4" s="133"/>
    </row>
    <row r="5" spans="1:89" ht="19.5" x14ac:dyDescent="0.4">
      <c r="A5" s="136"/>
      <c r="B5" s="133"/>
      <c r="C5" s="128"/>
      <c r="D5" s="129"/>
      <c r="E5" s="298" t="s">
        <v>47</v>
      </c>
      <c r="F5" s="299"/>
      <c r="G5" s="299"/>
      <c r="H5" s="299"/>
      <c r="I5" s="299"/>
      <c r="J5" s="299"/>
      <c r="K5" s="299"/>
      <c r="L5" s="299"/>
      <c r="M5" s="299"/>
      <c r="N5" s="299"/>
      <c r="O5" s="299"/>
      <c r="P5" s="299"/>
      <c r="Q5" s="299"/>
      <c r="R5" s="299"/>
      <c r="S5" s="299"/>
      <c r="T5" s="299"/>
      <c r="AA5" s="133"/>
    </row>
    <row r="6" spans="1:89" ht="66.599999999999994" customHeight="1" x14ac:dyDescent="0.35">
      <c r="A6" s="137" t="s">
        <v>1</v>
      </c>
      <c r="B6" s="138" t="s">
        <v>48</v>
      </c>
      <c r="C6" s="138" t="s">
        <v>49</v>
      </c>
      <c r="D6" s="139" t="s">
        <v>46</v>
      </c>
      <c r="E6" s="140" t="s">
        <v>50</v>
      </c>
      <c r="F6" s="141" t="s">
        <v>77</v>
      </c>
      <c r="G6" s="142" t="s">
        <v>52</v>
      </c>
      <c r="H6" s="143" t="s">
        <v>53</v>
      </c>
      <c r="I6" s="144" t="s">
        <v>54</v>
      </c>
      <c r="J6" s="141" t="s">
        <v>55</v>
      </c>
      <c r="K6" s="141" t="s">
        <v>56</v>
      </c>
      <c r="L6" s="141" t="s">
        <v>57</v>
      </c>
      <c r="M6" s="141" t="s">
        <v>58</v>
      </c>
      <c r="N6" s="141" t="s">
        <v>84</v>
      </c>
      <c r="O6" s="141" t="s">
        <v>59</v>
      </c>
      <c r="P6" s="141" t="s">
        <v>60</v>
      </c>
      <c r="Q6" s="141" t="s">
        <v>61</v>
      </c>
      <c r="R6" s="141" t="s">
        <v>62</v>
      </c>
      <c r="S6" s="141" t="s">
        <v>63</v>
      </c>
      <c r="T6" s="141" t="s">
        <v>92</v>
      </c>
      <c r="U6" s="142" t="s">
        <v>64</v>
      </c>
      <c r="V6" s="142" t="s">
        <v>65</v>
      </c>
      <c r="W6" s="142" t="s">
        <v>66</v>
      </c>
      <c r="X6" s="142" t="s">
        <v>67</v>
      </c>
      <c r="Y6" s="142" t="s">
        <v>68</v>
      </c>
      <c r="Z6" s="145" t="s">
        <v>13</v>
      </c>
      <c r="AA6" s="146"/>
    </row>
    <row r="7" spans="1:89" ht="19.899999999999999" customHeight="1" x14ac:dyDescent="0.35">
      <c r="A7" s="170"/>
      <c r="B7" s="171"/>
      <c r="C7" s="172" t="s">
        <v>69</v>
      </c>
      <c r="D7" s="173"/>
      <c r="E7" s="174"/>
      <c r="F7" s="185"/>
      <c r="G7" s="186"/>
      <c r="H7" s="187"/>
      <c r="I7" s="187"/>
      <c r="J7" s="185"/>
      <c r="K7" s="185"/>
      <c r="L7" s="185"/>
      <c r="M7" s="185"/>
      <c r="N7" s="185"/>
      <c r="O7" s="174"/>
      <c r="P7" s="174"/>
      <c r="Q7" s="185"/>
      <c r="R7" s="185"/>
      <c r="S7" s="185"/>
      <c r="T7" s="185"/>
      <c r="U7" s="186"/>
      <c r="V7" s="186"/>
      <c r="W7" s="186"/>
      <c r="X7" s="186"/>
      <c r="Y7" s="186"/>
      <c r="Z7" s="174"/>
      <c r="AA7" s="175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</row>
    <row r="8" spans="1:89" ht="19.899999999999999" customHeight="1" x14ac:dyDescent="0.35">
      <c r="A8" s="273">
        <v>46083</v>
      </c>
      <c r="B8" s="226" t="s">
        <v>100</v>
      </c>
      <c r="C8" s="227" t="s">
        <v>70</v>
      </c>
      <c r="D8" s="239">
        <v>5000</v>
      </c>
      <c r="E8" s="189"/>
      <c r="F8" s="190"/>
      <c r="G8" s="189">
        <f>+D8</f>
        <v>5000</v>
      </c>
      <c r="H8" s="191"/>
      <c r="I8" s="187"/>
      <c r="J8" s="190"/>
      <c r="K8" s="192"/>
      <c r="L8" s="192"/>
      <c r="M8" s="192"/>
      <c r="N8" s="190"/>
      <c r="O8" s="189"/>
      <c r="P8" s="189"/>
      <c r="Q8" s="192"/>
      <c r="R8" s="192"/>
      <c r="S8" s="192"/>
      <c r="T8" s="190"/>
      <c r="U8" s="193"/>
      <c r="V8" s="193"/>
      <c r="W8" s="194"/>
      <c r="X8" s="193"/>
      <c r="Y8" s="193"/>
      <c r="Z8" s="195">
        <f t="shared" ref="Z8:Z48" si="0">SUM(E8:Y8)</f>
        <v>5000</v>
      </c>
      <c r="AA8" s="196" t="s">
        <v>5</v>
      </c>
      <c r="AB8" s="184">
        <f t="shared" ref="AB8:AB79" si="1">+D8-Z8</f>
        <v>0</v>
      </c>
      <c r="AC8" s="184"/>
      <c r="AD8" s="188"/>
      <c r="AE8" s="184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</row>
    <row r="9" spans="1:89" ht="19.899999999999999" customHeight="1" x14ac:dyDescent="0.35">
      <c r="A9" s="270">
        <v>46083</v>
      </c>
      <c r="B9" s="228" t="s">
        <v>101</v>
      </c>
      <c r="C9" s="227" t="s">
        <v>102</v>
      </c>
      <c r="D9" s="240">
        <v>7</v>
      </c>
      <c r="E9" s="189"/>
      <c r="F9" s="190"/>
      <c r="G9" s="189"/>
      <c r="H9" s="249">
        <f>+D9</f>
        <v>7</v>
      </c>
      <c r="I9" s="187"/>
      <c r="J9" s="192"/>
      <c r="K9" s="192"/>
      <c r="L9" s="192"/>
      <c r="M9" s="192"/>
      <c r="N9" s="192"/>
      <c r="O9" s="189"/>
      <c r="P9" s="189"/>
      <c r="Q9" s="192"/>
      <c r="R9" s="192"/>
      <c r="S9" s="192"/>
      <c r="T9" s="190"/>
      <c r="U9" s="193"/>
      <c r="V9" s="193"/>
      <c r="W9" s="194"/>
      <c r="X9" s="193"/>
      <c r="Y9" s="193"/>
      <c r="Z9" s="195">
        <f t="shared" si="0"/>
        <v>7</v>
      </c>
      <c r="AA9" s="196" t="s">
        <v>5</v>
      </c>
      <c r="AB9" s="184">
        <f t="shared" si="1"/>
        <v>0</v>
      </c>
      <c r="AC9" s="184"/>
      <c r="AD9" s="188"/>
      <c r="AE9" s="184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</row>
    <row r="10" spans="1:89" ht="19.899999999999999" customHeight="1" x14ac:dyDescent="0.35">
      <c r="A10" s="180">
        <v>46082</v>
      </c>
      <c r="B10" s="228" t="s">
        <v>101</v>
      </c>
      <c r="C10" s="295" t="s">
        <v>179</v>
      </c>
      <c r="D10" s="173">
        <v>586.33000000000004</v>
      </c>
      <c r="E10" s="174"/>
      <c r="F10" s="185"/>
      <c r="G10" s="186"/>
      <c r="H10" s="296">
        <f>+D10</f>
        <v>586.33000000000004</v>
      </c>
      <c r="I10" s="187"/>
      <c r="J10" s="185"/>
      <c r="K10" s="185"/>
      <c r="L10" s="185"/>
      <c r="M10" s="185"/>
      <c r="N10" s="185"/>
      <c r="O10" s="174"/>
      <c r="P10" s="174"/>
      <c r="Q10" s="185"/>
      <c r="R10" s="185"/>
      <c r="S10" s="185"/>
      <c r="T10" s="185"/>
      <c r="U10" s="186"/>
      <c r="V10" s="186"/>
      <c r="W10" s="186"/>
      <c r="X10" s="186"/>
      <c r="Y10" s="186"/>
      <c r="Z10" s="195">
        <f t="shared" si="0"/>
        <v>586.33000000000004</v>
      </c>
      <c r="AA10" s="196" t="s">
        <v>5</v>
      </c>
      <c r="AB10" s="184">
        <f t="shared" si="1"/>
        <v>0</v>
      </c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</row>
    <row r="11" spans="1:89" ht="19.5" customHeight="1" x14ac:dyDescent="0.35">
      <c r="A11" s="270">
        <v>46086</v>
      </c>
      <c r="B11" s="227" t="s">
        <v>103</v>
      </c>
      <c r="C11" s="227" t="s">
        <v>70</v>
      </c>
      <c r="D11" s="239">
        <v>2300</v>
      </c>
      <c r="E11" s="197"/>
      <c r="F11" s="198"/>
      <c r="G11" s="198">
        <f>+D11</f>
        <v>2300</v>
      </c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5">
        <f t="shared" si="0"/>
        <v>2300</v>
      </c>
      <c r="AA11" s="196" t="s">
        <v>5</v>
      </c>
      <c r="AB11" s="184">
        <f t="shared" si="1"/>
        <v>0</v>
      </c>
      <c r="AC11" s="184"/>
      <c r="AD11" s="188"/>
      <c r="AE11" s="184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</row>
    <row r="12" spans="1:89" ht="19.5" customHeight="1" x14ac:dyDescent="0.35">
      <c r="A12" s="270">
        <v>46086</v>
      </c>
      <c r="B12" s="228" t="s">
        <v>101</v>
      </c>
      <c r="C12" s="227" t="s">
        <v>102</v>
      </c>
      <c r="D12" s="240">
        <v>7</v>
      </c>
      <c r="E12" s="197"/>
      <c r="F12" s="198"/>
      <c r="G12" s="198"/>
      <c r="H12" s="198">
        <f>+D12</f>
        <v>7</v>
      </c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5">
        <f t="shared" si="0"/>
        <v>7</v>
      </c>
      <c r="AA12" s="196" t="s">
        <v>5</v>
      </c>
      <c r="AB12" s="184">
        <f t="shared" si="1"/>
        <v>0</v>
      </c>
      <c r="AC12" s="188"/>
      <c r="AD12" s="188"/>
      <c r="AE12" s="184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</row>
    <row r="13" spans="1:89" ht="19.5" customHeight="1" x14ac:dyDescent="0.35">
      <c r="A13" s="270">
        <v>46086</v>
      </c>
      <c r="B13" s="228" t="s">
        <v>104</v>
      </c>
      <c r="C13" s="227" t="s">
        <v>105</v>
      </c>
      <c r="D13" s="240">
        <v>-88044</v>
      </c>
      <c r="E13" s="197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>
        <f>+D13</f>
        <v>-88044</v>
      </c>
      <c r="Z13" s="195">
        <f t="shared" si="0"/>
        <v>-88044</v>
      </c>
      <c r="AA13" s="196" t="s">
        <v>5</v>
      </c>
      <c r="AB13" s="184">
        <f t="shared" si="1"/>
        <v>0</v>
      </c>
      <c r="AC13" s="188"/>
      <c r="AD13" s="188"/>
      <c r="AE13" s="184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</row>
    <row r="14" spans="1:89" ht="19.5" customHeight="1" x14ac:dyDescent="0.35">
      <c r="A14" s="270">
        <v>46086</v>
      </c>
      <c r="B14" s="228" t="s">
        <v>106</v>
      </c>
      <c r="C14" s="227" t="s">
        <v>70</v>
      </c>
      <c r="D14" s="239">
        <v>1500</v>
      </c>
      <c r="E14" s="197"/>
      <c r="F14" s="198"/>
      <c r="G14" s="198">
        <f>+D14</f>
        <v>1500</v>
      </c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5">
        <f t="shared" si="0"/>
        <v>1500</v>
      </c>
      <c r="AA14" s="196" t="s">
        <v>5</v>
      </c>
      <c r="AB14" s="184">
        <f t="shared" si="1"/>
        <v>0</v>
      </c>
      <c r="AC14" s="188"/>
      <c r="AD14" s="188"/>
      <c r="AE14" s="184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</row>
    <row r="15" spans="1:89" ht="19.5" customHeight="1" x14ac:dyDescent="0.35">
      <c r="A15" s="270">
        <v>46086</v>
      </c>
      <c r="B15" s="228" t="s">
        <v>101</v>
      </c>
      <c r="C15" s="227" t="s">
        <v>102</v>
      </c>
      <c r="D15" s="241">
        <v>120</v>
      </c>
      <c r="E15" s="197"/>
      <c r="F15" s="198"/>
      <c r="G15" s="198"/>
      <c r="H15" s="198">
        <f>+D15</f>
        <v>120</v>
      </c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5">
        <f t="shared" si="0"/>
        <v>120</v>
      </c>
      <c r="AA15" s="196" t="s">
        <v>5</v>
      </c>
      <c r="AB15" s="184">
        <f t="shared" si="1"/>
        <v>0</v>
      </c>
      <c r="AC15" s="188"/>
      <c r="AD15" s="188"/>
      <c r="AE15" s="184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</row>
    <row r="16" spans="1:89" ht="19.5" customHeight="1" x14ac:dyDescent="0.35">
      <c r="A16" s="270">
        <v>46090</v>
      </c>
      <c r="B16" s="228" t="s">
        <v>107</v>
      </c>
      <c r="C16" s="227" t="s">
        <v>108</v>
      </c>
      <c r="D16" s="241">
        <v>3328</v>
      </c>
      <c r="E16" s="197"/>
      <c r="F16" s="198"/>
      <c r="G16" s="198"/>
      <c r="H16" s="198"/>
      <c r="I16" s="198"/>
      <c r="J16" s="198"/>
      <c r="K16" s="198">
        <f>+D16</f>
        <v>3328</v>
      </c>
      <c r="L16" s="198"/>
      <c r="M16" s="198"/>
      <c r="N16" s="198"/>
      <c r="O16" s="198"/>
      <c r="P16" s="198"/>
      <c r="Q16" s="198"/>
      <c r="R16" s="198"/>
      <c r="S16" s="198"/>
      <c r="T16" s="198"/>
      <c r="U16" s="198"/>
      <c r="V16" s="198"/>
      <c r="W16" s="198"/>
      <c r="X16" s="198"/>
      <c r="Y16" s="198"/>
      <c r="Z16" s="195">
        <f t="shared" si="0"/>
        <v>3328</v>
      </c>
      <c r="AA16" s="196" t="s">
        <v>5</v>
      </c>
      <c r="AB16" s="184">
        <f t="shared" si="1"/>
        <v>0</v>
      </c>
      <c r="AC16" s="188"/>
      <c r="AD16" s="188"/>
      <c r="AE16" s="184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</row>
    <row r="17" spans="1:89" ht="19.5" customHeight="1" x14ac:dyDescent="0.35">
      <c r="A17" s="270">
        <v>46090</v>
      </c>
      <c r="B17" s="228" t="s">
        <v>109</v>
      </c>
      <c r="C17" s="227" t="s">
        <v>110</v>
      </c>
      <c r="D17" s="241">
        <v>7384.37</v>
      </c>
      <c r="E17" s="197"/>
      <c r="F17" s="198"/>
      <c r="G17" s="198"/>
      <c r="H17" s="198"/>
      <c r="I17" s="198"/>
      <c r="J17" s="198"/>
      <c r="K17" s="198"/>
      <c r="L17" s="198"/>
      <c r="M17" s="198"/>
      <c r="N17" s="198"/>
      <c r="O17" s="198"/>
      <c r="P17" s="198"/>
      <c r="Q17" s="198">
        <f>+D17</f>
        <v>7384.37</v>
      </c>
      <c r="R17" s="198"/>
      <c r="S17" s="198"/>
      <c r="T17" s="198"/>
      <c r="U17" s="198"/>
      <c r="V17" s="198"/>
      <c r="W17" s="198"/>
      <c r="X17" s="198"/>
      <c r="Y17" s="198"/>
      <c r="Z17" s="195">
        <f t="shared" si="0"/>
        <v>7384.37</v>
      </c>
      <c r="AA17" s="196" t="s">
        <v>5</v>
      </c>
      <c r="AB17" s="184">
        <f t="shared" si="1"/>
        <v>0</v>
      </c>
      <c r="AC17" s="188"/>
      <c r="AD17" s="188"/>
      <c r="AE17" s="184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</row>
    <row r="18" spans="1:89" ht="19.5" customHeight="1" x14ac:dyDescent="0.35">
      <c r="A18" s="270">
        <v>46090</v>
      </c>
      <c r="B18" s="228" t="s">
        <v>111</v>
      </c>
      <c r="C18" s="227" t="s">
        <v>62</v>
      </c>
      <c r="D18" s="239">
        <v>5245</v>
      </c>
      <c r="E18" s="197"/>
      <c r="F18" s="198"/>
      <c r="G18" s="198"/>
      <c r="H18" s="198"/>
      <c r="I18" s="198"/>
      <c r="J18" s="198"/>
      <c r="K18" s="198"/>
      <c r="L18" s="198"/>
      <c r="M18" s="198"/>
      <c r="N18" s="198"/>
      <c r="O18" s="198"/>
      <c r="P18" s="198"/>
      <c r="Q18" s="198"/>
      <c r="R18" s="198">
        <f>+D18</f>
        <v>5245</v>
      </c>
      <c r="S18" s="198"/>
      <c r="T18" s="198"/>
      <c r="U18" s="198"/>
      <c r="V18" s="198"/>
      <c r="W18" s="198"/>
      <c r="X18" s="198"/>
      <c r="Y18" s="198"/>
      <c r="Z18" s="195">
        <f t="shared" si="0"/>
        <v>5245</v>
      </c>
      <c r="AA18" s="196" t="s">
        <v>5</v>
      </c>
      <c r="AB18" s="184">
        <f t="shared" si="1"/>
        <v>0</v>
      </c>
      <c r="AC18" s="188"/>
      <c r="AD18" s="188"/>
      <c r="AE18" s="184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</row>
    <row r="19" spans="1:89" ht="19.5" customHeight="1" x14ac:dyDescent="0.35">
      <c r="A19" s="270">
        <v>46090</v>
      </c>
      <c r="B19" s="228" t="s">
        <v>101</v>
      </c>
      <c r="C19" s="227" t="s">
        <v>112</v>
      </c>
      <c r="D19" s="241">
        <v>7</v>
      </c>
      <c r="E19" s="197"/>
      <c r="F19" s="198"/>
      <c r="G19" s="198"/>
      <c r="H19" s="198">
        <f>+D19</f>
        <v>7</v>
      </c>
      <c r="I19" s="198"/>
      <c r="J19" s="198"/>
      <c r="K19" s="198"/>
      <c r="L19" s="198"/>
      <c r="M19" s="198"/>
      <c r="N19" s="198"/>
      <c r="O19" s="198"/>
      <c r="P19" s="198"/>
      <c r="Q19" s="198"/>
      <c r="R19" s="198"/>
      <c r="S19" s="198"/>
      <c r="T19" s="198"/>
      <c r="U19" s="198"/>
      <c r="V19" s="198"/>
      <c r="W19" s="198"/>
      <c r="X19" s="198"/>
      <c r="Y19" s="198"/>
      <c r="Z19" s="195">
        <f t="shared" si="0"/>
        <v>7</v>
      </c>
      <c r="AA19" s="196" t="s">
        <v>5</v>
      </c>
      <c r="AB19" s="184">
        <f t="shared" si="1"/>
        <v>0</v>
      </c>
      <c r="AC19" s="188"/>
      <c r="AD19" s="188"/>
      <c r="AE19" s="184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</row>
    <row r="20" spans="1:89" ht="19.5" customHeight="1" x14ac:dyDescent="0.35">
      <c r="A20" s="270">
        <v>46092</v>
      </c>
      <c r="B20" s="228" t="s">
        <v>113</v>
      </c>
      <c r="C20" s="227" t="s">
        <v>114</v>
      </c>
      <c r="D20" s="241">
        <v>51111.88</v>
      </c>
      <c r="E20" s="197"/>
      <c r="F20" s="198"/>
      <c r="G20" s="198"/>
      <c r="H20" s="198"/>
      <c r="I20" s="198"/>
      <c r="J20" s="198">
        <f>+D20</f>
        <v>51111.88</v>
      </c>
      <c r="K20" s="198"/>
      <c r="L20" s="198"/>
      <c r="M20" s="198"/>
      <c r="N20" s="199"/>
      <c r="O20" s="184"/>
      <c r="P20" s="198"/>
      <c r="Q20" s="198"/>
      <c r="R20" s="198"/>
      <c r="S20" s="198"/>
      <c r="T20" s="198"/>
      <c r="U20" s="198"/>
      <c r="V20" s="198"/>
      <c r="W20" s="198"/>
      <c r="X20" s="198"/>
      <c r="Y20" s="198"/>
      <c r="Z20" s="195">
        <f t="shared" si="0"/>
        <v>51111.88</v>
      </c>
      <c r="AA20" s="196" t="s">
        <v>5</v>
      </c>
      <c r="AB20" s="184">
        <f t="shared" si="1"/>
        <v>0</v>
      </c>
      <c r="AC20" s="188"/>
      <c r="AD20" s="188"/>
      <c r="AE20" s="184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</row>
    <row r="21" spans="1:89" ht="19.5" customHeight="1" x14ac:dyDescent="0.35">
      <c r="A21" s="270">
        <v>46092</v>
      </c>
      <c r="B21" s="228" t="s">
        <v>101</v>
      </c>
      <c r="C21" s="227" t="s">
        <v>102</v>
      </c>
      <c r="D21" s="239">
        <v>7</v>
      </c>
      <c r="E21" s="197"/>
      <c r="F21" s="198"/>
      <c r="G21" s="198"/>
      <c r="H21" s="198">
        <f>+D21</f>
        <v>7</v>
      </c>
      <c r="I21" s="198"/>
      <c r="J21" s="198"/>
      <c r="K21" s="198"/>
      <c r="L21" s="198"/>
      <c r="M21" s="198"/>
      <c r="N21" s="198"/>
      <c r="O21" s="198"/>
      <c r="P21" s="198"/>
      <c r="Q21" s="198"/>
      <c r="R21" s="198"/>
      <c r="S21" s="198"/>
      <c r="T21" s="198"/>
      <c r="U21" s="198"/>
      <c r="V21" s="198"/>
      <c r="W21" s="198"/>
      <c r="X21" s="198"/>
      <c r="Y21" s="198"/>
      <c r="Z21" s="195">
        <f t="shared" si="0"/>
        <v>7</v>
      </c>
      <c r="AA21" s="196" t="s">
        <v>5</v>
      </c>
      <c r="AB21" s="184">
        <f t="shared" si="1"/>
        <v>0</v>
      </c>
      <c r="AC21" s="188"/>
      <c r="AD21" s="188"/>
      <c r="AE21" s="184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</row>
    <row r="22" spans="1:89" ht="19.5" customHeight="1" x14ac:dyDescent="0.35">
      <c r="A22" s="270">
        <v>46092</v>
      </c>
      <c r="B22" s="228" t="s">
        <v>85</v>
      </c>
      <c r="C22" s="227" t="s">
        <v>115</v>
      </c>
      <c r="D22" s="241">
        <v>129.48999999999978</v>
      </c>
      <c r="E22" s="197"/>
      <c r="F22" s="198"/>
      <c r="G22" s="198">
        <f>+D22</f>
        <v>129.48999999999978</v>
      </c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98"/>
      <c r="U22" s="198"/>
      <c r="V22" s="198"/>
      <c r="W22" s="198"/>
      <c r="X22" s="198"/>
      <c r="Y22" s="198"/>
      <c r="Z22" s="195">
        <f t="shared" si="0"/>
        <v>129.48999999999978</v>
      </c>
      <c r="AA22" s="196" t="s">
        <v>5</v>
      </c>
      <c r="AB22" s="184">
        <f t="shared" si="1"/>
        <v>0</v>
      </c>
      <c r="AC22" s="188"/>
      <c r="AD22" s="188"/>
      <c r="AE22" s="184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</row>
    <row r="23" spans="1:89" ht="19.5" customHeight="1" x14ac:dyDescent="0.35">
      <c r="A23" s="270">
        <v>46097</v>
      </c>
      <c r="B23" s="228" t="s">
        <v>116</v>
      </c>
      <c r="C23" s="227" t="s">
        <v>117</v>
      </c>
      <c r="D23" s="241">
        <v>8710</v>
      </c>
      <c r="E23" s="197"/>
      <c r="F23" s="198"/>
      <c r="G23" s="198"/>
      <c r="H23" s="198"/>
      <c r="I23" s="198"/>
      <c r="J23" s="198"/>
      <c r="K23" s="198"/>
      <c r="L23" s="198">
        <f>+D23</f>
        <v>8710</v>
      </c>
      <c r="M23" s="198"/>
      <c r="N23" s="198"/>
      <c r="O23" s="198"/>
      <c r="P23" s="198"/>
      <c r="Q23" s="198"/>
      <c r="R23" s="198"/>
      <c r="S23" s="198"/>
      <c r="T23" s="198"/>
      <c r="U23" s="198"/>
      <c r="V23" s="198"/>
      <c r="W23" s="198"/>
      <c r="X23" s="198"/>
      <c r="Y23" s="198"/>
      <c r="Z23" s="195">
        <f t="shared" si="0"/>
        <v>8710</v>
      </c>
      <c r="AA23" s="196" t="s">
        <v>5</v>
      </c>
      <c r="AB23" s="184">
        <f t="shared" si="1"/>
        <v>0</v>
      </c>
      <c r="AC23" s="188"/>
      <c r="AD23" s="188"/>
      <c r="AE23" s="184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</row>
    <row r="24" spans="1:89" ht="19.5" customHeight="1" x14ac:dyDescent="0.35">
      <c r="A24" s="270">
        <v>46097</v>
      </c>
      <c r="B24" s="228" t="s">
        <v>118</v>
      </c>
      <c r="C24" s="227" t="s">
        <v>62</v>
      </c>
      <c r="D24" s="241">
        <v>1290</v>
      </c>
      <c r="E24" s="197"/>
      <c r="F24" s="198"/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>
        <f>+D24</f>
        <v>1290</v>
      </c>
      <c r="S24" s="198"/>
      <c r="T24" s="198"/>
      <c r="U24" s="198"/>
      <c r="V24" s="198"/>
      <c r="W24" s="198"/>
      <c r="X24" s="198"/>
      <c r="Y24" s="198"/>
      <c r="Z24" s="195">
        <f t="shared" si="0"/>
        <v>1290</v>
      </c>
      <c r="AA24" s="196" t="s">
        <v>5</v>
      </c>
      <c r="AB24" s="184">
        <f t="shared" si="1"/>
        <v>0</v>
      </c>
      <c r="AC24" s="188"/>
      <c r="AD24" s="188"/>
      <c r="AE24" s="184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</row>
    <row r="25" spans="1:89" ht="19.5" customHeight="1" x14ac:dyDescent="0.35">
      <c r="A25" s="270">
        <v>46098</v>
      </c>
      <c r="B25" s="227" t="s">
        <v>119</v>
      </c>
      <c r="C25" s="227" t="s">
        <v>102</v>
      </c>
      <c r="D25" s="241">
        <v>600</v>
      </c>
      <c r="E25" s="197"/>
      <c r="F25" s="198"/>
      <c r="G25" s="198"/>
      <c r="H25" s="198">
        <f>+D25</f>
        <v>600</v>
      </c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5">
        <f t="shared" si="0"/>
        <v>600</v>
      </c>
      <c r="AA25" s="196" t="s">
        <v>5</v>
      </c>
      <c r="AB25" s="184">
        <f t="shared" si="1"/>
        <v>0</v>
      </c>
      <c r="AC25" s="188"/>
      <c r="AD25" s="188"/>
      <c r="AE25" s="184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</row>
    <row r="26" spans="1:89" ht="19.5" customHeight="1" x14ac:dyDescent="0.35">
      <c r="A26" s="270">
        <v>46099</v>
      </c>
      <c r="B26" s="228" t="s">
        <v>120</v>
      </c>
      <c r="C26" s="227" t="s">
        <v>121</v>
      </c>
      <c r="D26" s="239">
        <v>37386</v>
      </c>
      <c r="E26" s="197"/>
      <c r="F26" s="198"/>
      <c r="G26" s="198"/>
      <c r="H26" s="198" t="s">
        <v>150</v>
      </c>
      <c r="I26" s="198">
        <f>+D26</f>
        <v>37386</v>
      </c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8"/>
      <c r="Y26" s="198"/>
      <c r="Z26" s="195">
        <f t="shared" si="0"/>
        <v>37386</v>
      </c>
      <c r="AA26" s="196" t="s">
        <v>5</v>
      </c>
      <c r="AB26" s="184">
        <f t="shared" si="1"/>
        <v>0</v>
      </c>
      <c r="AC26" s="188"/>
      <c r="AD26" s="188"/>
      <c r="AE26" s="184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</row>
    <row r="27" spans="1:89" ht="19.5" customHeight="1" x14ac:dyDescent="0.35">
      <c r="A27" s="270">
        <v>46099</v>
      </c>
      <c r="B27" s="228" t="s">
        <v>101</v>
      </c>
      <c r="C27" s="227" t="s">
        <v>102</v>
      </c>
      <c r="D27" s="241">
        <v>7</v>
      </c>
      <c r="E27" s="197"/>
      <c r="F27" s="198"/>
      <c r="G27" s="198"/>
      <c r="H27" s="198">
        <f>+D27</f>
        <v>7</v>
      </c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5">
        <f t="shared" si="0"/>
        <v>7</v>
      </c>
      <c r="AA27" s="196" t="s">
        <v>5</v>
      </c>
      <c r="AB27" s="184">
        <f t="shared" si="1"/>
        <v>0</v>
      </c>
      <c r="AC27" s="188"/>
      <c r="AD27" s="188"/>
      <c r="AE27" s="184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</row>
    <row r="28" spans="1:89" ht="19.5" customHeight="1" x14ac:dyDescent="0.35">
      <c r="A28" s="270">
        <v>46099</v>
      </c>
      <c r="B28" s="228" t="s">
        <v>151</v>
      </c>
      <c r="C28" s="228" t="s">
        <v>152</v>
      </c>
      <c r="D28" s="241">
        <v>1409.68</v>
      </c>
      <c r="E28" s="197"/>
      <c r="F28" s="198"/>
      <c r="G28" s="198"/>
      <c r="H28" s="198"/>
      <c r="I28" s="198"/>
      <c r="J28" s="198"/>
      <c r="K28" s="198"/>
      <c r="L28" s="198"/>
      <c r="M28" s="198"/>
      <c r="N28" s="198"/>
      <c r="O28" s="198"/>
      <c r="P28" s="198">
        <f>+D28</f>
        <v>1409.68</v>
      </c>
      <c r="Q28" s="198"/>
      <c r="R28" s="198"/>
      <c r="S28" s="198"/>
      <c r="T28" s="198"/>
      <c r="U28" s="198"/>
      <c r="V28" s="198"/>
      <c r="W28" s="198"/>
      <c r="X28" s="198"/>
      <c r="Y28" s="198"/>
      <c r="Z28" s="195">
        <f t="shared" si="0"/>
        <v>1409.68</v>
      </c>
      <c r="AA28" s="196" t="s">
        <v>5</v>
      </c>
      <c r="AB28" s="184">
        <f t="shared" si="1"/>
        <v>0</v>
      </c>
      <c r="AC28" s="188"/>
      <c r="AD28" s="188"/>
      <c r="AE28" s="184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</row>
    <row r="29" spans="1:89" ht="19.5" customHeight="1" x14ac:dyDescent="0.35">
      <c r="A29" s="270">
        <v>46099</v>
      </c>
      <c r="B29" s="228" t="s">
        <v>151</v>
      </c>
      <c r="C29" s="228" t="s">
        <v>153</v>
      </c>
      <c r="D29" s="241">
        <v>1409.68</v>
      </c>
      <c r="E29" s="197"/>
      <c r="F29" s="198"/>
      <c r="G29" s="198"/>
      <c r="H29" s="198"/>
      <c r="I29" s="198"/>
      <c r="J29" s="198"/>
      <c r="K29" s="198"/>
      <c r="L29" s="198"/>
      <c r="M29" s="198"/>
      <c r="N29" s="198"/>
      <c r="O29" s="198"/>
      <c r="P29" s="198">
        <f>+D29</f>
        <v>1409.68</v>
      </c>
      <c r="Q29" s="198"/>
      <c r="R29" s="198"/>
      <c r="S29" s="198"/>
      <c r="T29" s="198"/>
      <c r="U29" s="198"/>
      <c r="V29" s="198"/>
      <c r="W29" s="198"/>
      <c r="X29" s="198"/>
      <c r="Y29" s="198"/>
      <c r="Z29" s="195">
        <f t="shared" si="0"/>
        <v>1409.68</v>
      </c>
      <c r="AA29" s="196" t="s">
        <v>5</v>
      </c>
      <c r="AB29" s="184">
        <f t="shared" si="1"/>
        <v>0</v>
      </c>
      <c r="AC29" s="188"/>
      <c r="AD29" s="188"/>
      <c r="AE29" s="184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</row>
    <row r="30" spans="1:89" ht="19.5" customHeight="1" x14ac:dyDescent="0.35">
      <c r="A30" s="270">
        <v>46100</v>
      </c>
      <c r="B30" s="228" t="s">
        <v>123</v>
      </c>
      <c r="C30" s="227" t="s">
        <v>108</v>
      </c>
      <c r="D30" s="241">
        <v>788</v>
      </c>
      <c r="E30" s="197"/>
      <c r="F30" s="198"/>
      <c r="G30" s="198"/>
      <c r="H30" s="198"/>
      <c r="I30" s="198"/>
      <c r="J30" s="198"/>
      <c r="K30" s="198">
        <f>+D30</f>
        <v>788</v>
      </c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198"/>
      <c r="W30" s="198"/>
      <c r="X30" s="198"/>
      <c r="Y30" s="198"/>
      <c r="Z30" s="195">
        <f t="shared" si="0"/>
        <v>788</v>
      </c>
      <c r="AA30" s="196" t="s">
        <v>5</v>
      </c>
      <c r="AB30" s="184">
        <f t="shared" si="1"/>
        <v>0</v>
      </c>
      <c r="AC30" s="188"/>
      <c r="AD30" s="188"/>
      <c r="AE30" s="184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</row>
    <row r="31" spans="1:89" ht="19.5" customHeight="1" x14ac:dyDescent="0.35">
      <c r="A31" s="270">
        <v>46100</v>
      </c>
      <c r="B31" s="228" t="s">
        <v>124</v>
      </c>
      <c r="C31" s="227" t="s">
        <v>62</v>
      </c>
      <c r="D31" s="241">
        <v>3330</v>
      </c>
      <c r="E31" s="197"/>
      <c r="F31" s="198"/>
      <c r="G31" s="198"/>
      <c r="H31" s="198"/>
      <c r="I31" s="198"/>
      <c r="J31" s="198"/>
      <c r="K31" s="198"/>
      <c r="L31" s="198"/>
      <c r="M31" s="198"/>
      <c r="N31" s="198"/>
      <c r="O31" s="198"/>
      <c r="P31" s="198"/>
      <c r="Q31" s="198"/>
      <c r="R31" s="198">
        <f>+D31</f>
        <v>3330</v>
      </c>
      <c r="S31" s="198"/>
      <c r="T31" s="198"/>
      <c r="U31" s="198"/>
      <c r="V31" s="198"/>
      <c r="W31" s="198"/>
      <c r="X31" s="198"/>
      <c r="Y31" s="198"/>
      <c r="Z31" s="195">
        <f t="shared" si="0"/>
        <v>3330</v>
      </c>
      <c r="AA31" s="196" t="s">
        <v>5</v>
      </c>
      <c r="AB31" s="184">
        <f t="shared" si="1"/>
        <v>0</v>
      </c>
      <c r="AC31" s="188"/>
      <c r="AD31" s="188"/>
      <c r="AE31" s="184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</row>
    <row r="32" spans="1:89" ht="19.5" customHeight="1" x14ac:dyDescent="0.35">
      <c r="A32" s="270">
        <v>46100</v>
      </c>
      <c r="B32" s="228" t="s">
        <v>125</v>
      </c>
      <c r="C32" s="227" t="s">
        <v>126</v>
      </c>
      <c r="D32" s="241">
        <v>10500</v>
      </c>
      <c r="E32" s="197"/>
      <c r="F32" s="198"/>
      <c r="G32" s="198"/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198">
        <f>+D32</f>
        <v>10500</v>
      </c>
      <c r="Y32" s="198"/>
      <c r="Z32" s="195">
        <f t="shared" si="0"/>
        <v>10500</v>
      </c>
      <c r="AA32" s="196" t="s">
        <v>5</v>
      </c>
      <c r="AB32" s="184">
        <f t="shared" si="1"/>
        <v>0</v>
      </c>
      <c r="AC32" s="188"/>
      <c r="AD32" s="256"/>
      <c r="AE32" s="184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</row>
    <row r="33" spans="1:89" ht="19.5" customHeight="1" x14ac:dyDescent="0.35">
      <c r="A33" s="270">
        <v>46100</v>
      </c>
      <c r="B33" s="227" t="s">
        <v>127</v>
      </c>
      <c r="C33" s="227" t="s">
        <v>108</v>
      </c>
      <c r="D33" s="241">
        <v>5688</v>
      </c>
      <c r="E33" s="197"/>
      <c r="F33" s="198"/>
      <c r="G33" s="198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8"/>
      <c r="U33" s="198"/>
      <c r="V33" s="198"/>
      <c r="W33" s="198">
        <f>+D33</f>
        <v>5688</v>
      </c>
      <c r="X33" s="198"/>
      <c r="Y33" s="198"/>
      <c r="Z33" s="195">
        <f t="shared" si="0"/>
        <v>5688</v>
      </c>
      <c r="AA33" s="196" t="s">
        <v>5</v>
      </c>
      <c r="AB33" s="184">
        <f t="shared" si="1"/>
        <v>0</v>
      </c>
      <c r="AC33" s="188"/>
      <c r="AD33" s="188"/>
      <c r="AE33" s="184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</row>
    <row r="34" spans="1:89" ht="19.5" customHeight="1" x14ac:dyDescent="0.35">
      <c r="A34" s="270">
        <v>46100</v>
      </c>
      <c r="B34" s="228" t="s">
        <v>101</v>
      </c>
      <c r="C34" s="227" t="s">
        <v>102</v>
      </c>
      <c r="D34" s="242">
        <v>7</v>
      </c>
      <c r="E34" s="197"/>
      <c r="F34" s="198"/>
      <c r="G34" s="198"/>
      <c r="H34" s="198">
        <f>+D34</f>
        <v>7</v>
      </c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5">
        <f t="shared" si="0"/>
        <v>7</v>
      </c>
      <c r="AA34" s="196" t="s">
        <v>5</v>
      </c>
      <c r="AB34" s="184">
        <f t="shared" si="1"/>
        <v>0</v>
      </c>
      <c r="AC34" s="188"/>
      <c r="AD34" s="188"/>
      <c r="AE34" s="184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</row>
    <row r="35" spans="1:89" ht="19.5" customHeight="1" x14ac:dyDescent="0.35">
      <c r="A35" s="270">
        <v>46105</v>
      </c>
      <c r="B35" s="274" t="s">
        <v>128</v>
      </c>
      <c r="C35" s="227" t="s">
        <v>76</v>
      </c>
      <c r="D35" s="227"/>
      <c r="E35" s="197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5">
        <f t="shared" si="0"/>
        <v>0</v>
      </c>
      <c r="AA35" s="196" t="s">
        <v>5</v>
      </c>
      <c r="AB35" s="184">
        <f t="shared" si="1"/>
        <v>0</v>
      </c>
      <c r="AC35" s="188"/>
      <c r="AD35" s="188"/>
      <c r="AE35" s="184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</row>
    <row r="36" spans="1:89" ht="19.5" customHeight="1" x14ac:dyDescent="0.35">
      <c r="A36" s="270">
        <v>46104</v>
      </c>
      <c r="B36" s="275" t="s">
        <v>22</v>
      </c>
      <c r="C36" s="227" t="s">
        <v>76</v>
      </c>
      <c r="D36" s="227">
        <v>18889.39</v>
      </c>
      <c r="E36" s="197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>
        <f>+D36</f>
        <v>18889.39</v>
      </c>
      <c r="Z36" s="195">
        <f t="shared" si="0"/>
        <v>18889.39</v>
      </c>
      <c r="AA36" s="196" t="s">
        <v>5</v>
      </c>
      <c r="AB36" s="184">
        <f t="shared" si="1"/>
        <v>0</v>
      </c>
      <c r="AC36" s="188"/>
      <c r="AD36" s="188"/>
      <c r="AE36" s="184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</row>
    <row r="37" spans="1:89" ht="19.5" customHeight="1" x14ac:dyDescent="0.35">
      <c r="A37" s="270">
        <v>46106</v>
      </c>
      <c r="B37" s="228" t="s">
        <v>129</v>
      </c>
      <c r="C37" s="227" t="s">
        <v>70</v>
      </c>
      <c r="D37" s="227">
        <v>305089.84999999998</v>
      </c>
      <c r="E37" s="197">
        <v>164821</v>
      </c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198">
        <v>34870.879999999997</v>
      </c>
      <c r="V37" s="198">
        <v>58534</v>
      </c>
      <c r="W37" s="198">
        <v>36625</v>
      </c>
      <c r="X37" s="198">
        <v>43125</v>
      </c>
      <c r="Y37" s="198"/>
      <c r="Z37" s="195">
        <f t="shared" si="0"/>
        <v>337975.88</v>
      </c>
      <c r="AA37" s="196" t="s">
        <v>5</v>
      </c>
      <c r="AB37" s="184">
        <f t="shared" si="1"/>
        <v>-32886.030000000028</v>
      </c>
      <c r="AC37" s="290">
        <f>+G92</f>
        <v>32886.03</v>
      </c>
      <c r="AD37" s="188"/>
      <c r="AE37" s="184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</row>
    <row r="38" spans="1:89" ht="19.5" customHeight="1" x14ac:dyDescent="0.35">
      <c r="A38" s="270">
        <v>46106</v>
      </c>
      <c r="B38" s="228" t="s">
        <v>101</v>
      </c>
      <c r="C38" s="227" t="s">
        <v>102</v>
      </c>
      <c r="D38" s="227">
        <v>257</v>
      </c>
      <c r="E38" s="197"/>
      <c r="F38" s="198"/>
      <c r="G38" s="198"/>
      <c r="H38" s="198">
        <f>+D38</f>
        <v>257</v>
      </c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198"/>
      <c r="Y38" s="198"/>
      <c r="Z38" s="195">
        <f t="shared" si="0"/>
        <v>257</v>
      </c>
      <c r="AA38" s="196" t="s">
        <v>5</v>
      </c>
      <c r="AB38" s="184">
        <f t="shared" si="1"/>
        <v>0</v>
      </c>
      <c r="AC38" s="188"/>
      <c r="AD38" s="188"/>
      <c r="AE38" s="184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</row>
    <row r="39" spans="1:89" ht="19.5" customHeight="1" x14ac:dyDescent="0.35">
      <c r="A39" s="270">
        <v>46106</v>
      </c>
      <c r="B39" s="251" t="s">
        <v>130</v>
      </c>
      <c r="C39" s="252" t="s">
        <v>131</v>
      </c>
      <c r="D39" s="227">
        <v>146740</v>
      </c>
      <c r="E39" s="197"/>
      <c r="F39" s="198"/>
      <c r="G39" s="198"/>
      <c r="H39" s="198"/>
      <c r="I39" s="198">
        <f>+D39</f>
        <v>146740</v>
      </c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198"/>
      <c r="V39" s="198"/>
      <c r="W39" s="198"/>
      <c r="X39" s="198"/>
      <c r="Y39" s="198"/>
      <c r="Z39" s="195">
        <f t="shared" si="0"/>
        <v>146740</v>
      </c>
      <c r="AA39" s="196" t="s">
        <v>5</v>
      </c>
      <c r="AB39" s="184">
        <f t="shared" si="1"/>
        <v>0</v>
      </c>
      <c r="AC39" s="188"/>
      <c r="AD39" s="188"/>
      <c r="AE39" s="184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</row>
    <row r="40" spans="1:89" ht="19.5" customHeight="1" x14ac:dyDescent="0.35">
      <c r="A40" s="270">
        <v>46106</v>
      </c>
      <c r="B40" s="253" t="s">
        <v>132</v>
      </c>
      <c r="C40" s="252" t="s">
        <v>105</v>
      </c>
      <c r="D40" s="227"/>
      <c r="E40" s="197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198"/>
      <c r="Y40" s="198"/>
      <c r="Z40" s="195">
        <f t="shared" si="0"/>
        <v>0</v>
      </c>
      <c r="AA40" s="196" t="s">
        <v>5</v>
      </c>
      <c r="AB40" s="184">
        <f t="shared" si="1"/>
        <v>0</v>
      </c>
      <c r="AC40" s="188"/>
      <c r="AD40" s="188"/>
      <c r="AE40" s="184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</row>
    <row r="41" spans="1:89" ht="19.5" customHeight="1" x14ac:dyDescent="0.35">
      <c r="A41" s="270">
        <v>46107</v>
      </c>
      <c r="B41" s="227" t="s">
        <v>133</v>
      </c>
      <c r="C41" s="227" t="s">
        <v>134</v>
      </c>
      <c r="D41" s="227">
        <v>1440</v>
      </c>
      <c r="E41" s="197"/>
      <c r="F41" s="198"/>
      <c r="G41" s="198"/>
      <c r="H41" s="198"/>
      <c r="I41" s="198"/>
      <c r="J41" s="198"/>
      <c r="K41" s="198">
        <f>+D41</f>
        <v>1440</v>
      </c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198"/>
      <c r="Y41" s="198"/>
      <c r="Z41" s="195">
        <f t="shared" si="0"/>
        <v>1440</v>
      </c>
      <c r="AA41" s="196" t="s">
        <v>5</v>
      </c>
      <c r="AB41" s="184">
        <f t="shared" si="1"/>
        <v>0</v>
      </c>
      <c r="AC41" s="188"/>
      <c r="AD41" s="188"/>
      <c r="AE41" s="184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</row>
    <row r="42" spans="1:89" ht="19.5" customHeight="1" x14ac:dyDescent="0.35">
      <c r="A42" s="224">
        <v>46107</v>
      </c>
      <c r="B42" s="227" t="s">
        <v>135</v>
      </c>
      <c r="C42" s="227" t="s">
        <v>70</v>
      </c>
      <c r="D42" s="241">
        <v>3379.76</v>
      </c>
      <c r="E42" s="197"/>
      <c r="F42" s="198"/>
      <c r="G42" s="198">
        <f>+D42</f>
        <v>3379.76</v>
      </c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5">
        <f t="shared" si="0"/>
        <v>3379.76</v>
      </c>
      <c r="AA42" s="196" t="s">
        <v>5</v>
      </c>
      <c r="AB42" s="184">
        <f t="shared" si="1"/>
        <v>0</v>
      </c>
      <c r="AC42" s="188"/>
      <c r="AD42" s="188"/>
      <c r="AE42" s="184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</row>
    <row r="43" spans="1:89" ht="19.5" customHeight="1" x14ac:dyDescent="0.35">
      <c r="A43" s="224">
        <v>46108</v>
      </c>
      <c r="B43" s="227" t="s">
        <v>136</v>
      </c>
      <c r="C43" s="227" t="s">
        <v>62</v>
      </c>
      <c r="D43" s="241">
        <v>5430</v>
      </c>
      <c r="E43" s="197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>
        <f>+D43</f>
        <v>5430</v>
      </c>
      <c r="S43" s="198"/>
      <c r="T43" s="198"/>
      <c r="U43" s="198"/>
      <c r="V43" s="198"/>
      <c r="W43" s="198"/>
      <c r="X43" s="198"/>
      <c r="Y43" s="198"/>
      <c r="Z43" s="195">
        <f t="shared" si="0"/>
        <v>5430</v>
      </c>
      <c r="AA43" s="196" t="s">
        <v>5</v>
      </c>
      <c r="AB43" s="184">
        <f t="shared" si="1"/>
        <v>0</v>
      </c>
      <c r="AC43" s="188"/>
      <c r="AD43" s="188"/>
      <c r="AE43" s="184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</row>
    <row r="44" spans="1:89" ht="19.5" customHeight="1" x14ac:dyDescent="0.35">
      <c r="A44" s="224">
        <v>46108</v>
      </c>
      <c r="B44" s="274" t="s">
        <v>128</v>
      </c>
      <c r="C44" s="227" t="s">
        <v>76</v>
      </c>
      <c r="D44" s="241"/>
      <c r="E44" s="197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5">
        <f t="shared" ref="Z44" si="2">SUM(E44:Y44)</f>
        <v>0</v>
      </c>
      <c r="AA44" s="196" t="s">
        <v>5</v>
      </c>
      <c r="AB44" s="184">
        <f t="shared" si="1"/>
        <v>0</v>
      </c>
      <c r="AC44" s="188"/>
      <c r="AD44" s="188"/>
      <c r="AE44" s="184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</row>
    <row r="45" spans="1:89" ht="19.5" customHeight="1" x14ac:dyDescent="0.35">
      <c r="A45" s="224">
        <v>46108</v>
      </c>
      <c r="B45" s="228" t="s">
        <v>137</v>
      </c>
      <c r="C45" s="227" t="s">
        <v>138</v>
      </c>
      <c r="D45" s="241">
        <v>52850</v>
      </c>
      <c r="E45" s="197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>
        <f>+D45</f>
        <v>52850</v>
      </c>
      <c r="T45" s="198"/>
      <c r="U45" s="198"/>
      <c r="V45" s="198"/>
      <c r="W45" s="198"/>
      <c r="X45" s="198"/>
      <c r="Y45" s="198"/>
      <c r="Z45" s="195">
        <f t="shared" si="0"/>
        <v>52850</v>
      </c>
      <c r="AA45" s="196" t="s">
        <v>5</v>
      </c>
      <c r="AB45" s="184">
        <f t="shared" si="1"/>
        <v>0</v>
      </c>
      <c r="AC45" s="188"/>
      <c r="AD45" s="188"/>
      <c r="AE45" s="184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</row>
    <row r="46" spans="1:89" ht="19.5" customHeight="1" x14ac:dyDescent="0.35">
      <c r="A46" s="224">
        <v>46108</v>
      </c>
      <c r="B46" s="227" t="s">
        <v>139</v>
      </c>
      <c r="C46" s="227" t="s">
        <v>138</v>
      </c>
      <c r="D46" s="237">
        <v>10300</v>
      </c>
      <c r="E46" s="197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>
        <f>+D46</f>
        <v>10300</v>
      </c>
      <c r="T46" s="198"/>
      <c r="U46" s="198"/>
      <c r="V46" s="198"/>
      <c r="W46" s="198"/>
      <c r="X46" s="198"/>
      <c r="Y46" s="198"/>
      <c r="Z46" s="195">
        <f t="shared" si="0"/>
        <v>10300</v>
      </c>
      <c r="AA46" s="196" t="s">
        <v>5</v>
      </c>
      <c r="AB46" s="184">
        <f t="shared" si="1"/>
        <v>0</v>
      </c>
      <c r="AC46" s="188"/>
      <c r="AD46" s="188"/>
      <c r="AE46" s="184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</row>
    <row r="47" spans="1:89" ht="19.5" customHeight="1" x14ac:dyDescent="0.35">
      <c r="A47" s="224">
        <v>46108</v>
      </c>
      <c r="B47" s="228" t="s">
        <v>140</v>
      </c>
      <c r="C47" s="227" t="s">
        <v>141</v>
      </c>
      <c r="D47" s="237">
        <v>12280</v>
      </c>
      <c r="E47" s="197"/>
      <c r="F47" s="198"/>
      <c r="G47" s="198"/>
      <c r="H47" s="198"/>
      <c r="I47" s="198"/>
      <c r="J47" s="198">
        <f>+D47</f>
        <v>12280</v>
      </c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5">
        <f t="shared" si="0"/>
        <v>12280</v>
      </c>
      <c r="AA47" s="196" t="s">
        <v>5</v>
      </c>
      <c r="AB47" s="184">
        <f t="shared" si="1"/>
        <v>0</v>
      </c>
      <c r="AC47" s="188"/>
      <c r="AD47" s="188"/>
      <c r="AE47" s="184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</row>
    <row r="48" spans="1:89" ht="19.5" customHeight="1" x14ac:dyDescent="0.35">
      <c r="A48" s="224">
        <v>46108</v>
      </c>
      <c r="B48" s="228" t="s">
        <v>142</v>
      </c>
      <c r="C48" s="227" t="s">
        <v>143</v>
      </c>
      <c r="D48" s="238">
        <v>1160</v>
      </c>
      <c r="E48" s="197"/>
      <c r="F48" s="198"/>
      <c r="G48" s="198"/>
      <c r="H48" s="198"/>
      <c r="I48" s="198"/>
      <c r="J48" s="198"/>
      <c r="K48" s="198">
        <f>+D48</f>
        <v>1160</v>
      </c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198"/>
      <c r="Y48" s="198"/>
      <c r="Z48" s="195">
        <f t="shared" si="0"/>
        <v>1160</v>
      </c>
      <c r="AA48" s="196" t="s">
        <v>5</v>
      </c>
      <c r="AB48" s="184">
        <f t="shared" si="1"/>
        <v>0</v>
      </c>
      <c r="AC48" s="188"/>
      <c r="AD48" s="188"/>
      <c r="AE48" s="184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</row>
    <row r="49" spans="1:89" ht="19.5" customHeight="1" x14ac:dyDescent="0.35">
      <c r="A49" s="224">
        <v>46111</v>
      </c>
      <c r="B49" s="227" t="s">
        <v>144</v>
      </c>
      <c r="C49" s="227" t="s">
        <v>126</v>
      </c>
      <c r="D49" s="238">
        <v>5385.02</v>
      </c>
      <c r="E49" s="197"/>
      <c r="F49" s="198"/>
      <c r="G49" s="198"/>
      <c r="H49" s="198"/>
      <c r="I49" s="198"/>
      <c r="J49" s="198"/>
      <c r="K49" s="198"/>
      <c r="L49" s="198"/>
      <c r="M49" s="198"/>
      <c r="N49" s="198"/>
      <c r="O49" s="198"/>
      <c r="P49" s="198"/>
      <c r="Q49" s="198">
        <f>+D49</f>
        <v>5385.02</v>
      </c>
      <c r="R49" s="198"/>
      <c r="S49" s="198"/>
      <c r="T49" s="198"/>
      <c r="U49" s="198"/>
      <c r="V49" s="198"/>
      <c r="W49" s="198"/>
      <c r="X49" s="198"/>
      <c r="Y49" s="198"/>
      <c r="Z49" s="195">
        <f t="shared" ref="Z49:Z82" si="3">SUM(E49:Y49)</f>
        <v>5385.02</v>
      </c>
      <c r="AA49" s="196" t="s">
        <v>5</v>
      </c>
      <c r="AB49" s="184">
        <f t="shared" si="1"/>
        <v>0</v>
      </c>
      <c r="AC49" s="188"/>
      <c r="AD49" s="188"/>
      <c r="AE49" s="184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</row>
    <row r="50" spans="1:89" ht="19.5" customHeight="1" x14ac:dyDescent="0.35">
      <c r="A50" s="224">
        <v>46108</v>
      </c>
      <c r="B50" s="227" t="s">
        <v>145</v>
      </c>
      <c r="C50" s="227" t="s">
        <v>126</v>
      </c>
      <c r="D50" s="238">
        <v>3292.74</v>
      </c>
      <c r="E50" s="197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176">
        <f>+D50</f>
        <v>3292.74</v>
      </c>
      <c r="Y50" s="177"/>
      <c r="Z50" s="195">
        <f t="shared" si="3"/>
        <v>3292.74</v>
      </c>
      <c r="AA50" s="196" t="s">
        <v>5</v>
      </c>
      <c r="AB50" s="184">
        <f t="shared" si="1"/>
        <v>0</v>
      </c>
      <c r="AC50" s="188"/>
      <c r="AD50" s="188"/>
      <c r="AE50" s="184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</row>
    <row r="51" spans="1:89" ht="19.5" customHeight="1" x14ac:dyDescent="0.35">
      <c r="A51" s="224">
        <v>46111</v>
      </c>
      <c r="B51" s="227" t="s">
        <v>86</v>
      </c>
      <c r="C51" s="229" t="s">
        <v>70</v>
      </c>
      <c r="D51" s="238">
        <v>23658.31</v>
      </c>
      <c r="E51" s="197">
        <f>+E37*0.04-0.01</f>
        <v>6592.83</v>
      </c>
      <c r="F51" s="198"/>
      <c r="G51" s="198">
        <f>10139.28</f>
        <v>10139.280000000001</v>
      </c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198">
        <f>+U37*0.04</f>
        <v>1394.8352</v>
      </c>
      <c r="V51" s="198">
        <f>+V37*0.04</f>
        <v>2341.36</v>
      </c>
      <c r="W51" s="198">
        <f>+W37*0.04</f>
        <v>1465</v>
      </c>
      <c r="X51" s="198">
        <f>+X37*0.04</f>
        <v>1725</v>
      </c>
      <c r="Y51" s="198"/>
      <c r="Z51" s="195">
        <f>SUM(E51:Y51)</f>
        <v>23658.305200000003</v>
      </c>
      <c r="AA51" s="196" t="s">
        <v>5</v>
      </c>
      <c r="AB51" s="184">
        <f t="shared" si="1"/>
        <v>4.7999999987951014E-3</v>
      </c>
      <c r="AC51" s="188"/>
      <c r="AD51" s="188"/>
      <c r="AE51" s="184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</row>
    <row r="52" spans="1:89" ht="19.5" customHeight="1" x14ac:dyDescent="0.35">
      <c r="A52" s="224">
        <v>46111</v>
      </c>
      <c r="B52" s="274" t="s">
        <v>128</v>
      </c>
      <c r="C52" s="227" t="s">
        <v>76</v>
      </c>
      <c r="D52" s="238"/>
      <c r="E52" s="24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198"/>
      <c r="Y52" s="198"/>
      <c r="Z52" s="195">
        <f t="shared" si="3"/>
        <v>0</v>
      </c>
      <c r="AA52" s="196" t="s">
        <v>5</v>
      </c>
      <c r="AB52" s="184">
        <f t="shared" si="1"/>
        <v>0</v>
      </c>
      <c r="AC52" s="188"/>
      <c r="AD52" s="188"/>
      <c r="AE52" s="184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</row>
    <row r="53" spans="1:89" ht="19.5" customHeight="1" x14ac:dyDescent="0.35">
      <c r="A53" s="224">
        <v>46111</v>
      </c>
      <c r="B53" s="274" t="s">
        <v>146</v>
      </c>
      <c r="C53" s="227" t="s">
        <v>122</v>
      </c>
      <c r="D53" s="271">
        <v>239672.71</v>
      </c>
      <c r="E53" s="24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>
        <f>44238.15+110329.2+2572.46+0.01</f>
        <v>157139.82</v>
      </c>
      <c r="Q53" s="198"/>
      <c r="R53" s="198"/>
      <c r="S53" s="198"/>
      <c r="T53" s="198"/>
      <c r="U53" s="198"/>
      <c r="V53" s="198">
        <v>2572.46</v>
      </c>
      <c r="W53" s="198">
        <v>4630.43</v>
      </c>
      <c r="X53" s="198">
        <v>75330</v>
      </c>
      <c r="Y53" s="198"/>
      <c r="Z53" s="195">
        <f t="shared" si="3"/>
        <v>239672.71</v>
      </c>
      <c r="AA53" s="196" t="s">
        <v>5</v>
      </c>
      <c r="AB53" s="184">
        <f t="shared" si="1"/>
        <v>0</v>
      </c>
      <c r="AC53" s="188"/>
      <c r="AD53" s="188"/>
      <c r="AE53" s="184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</row>
    <row r="54" spans="1:89" ht="19.5" customHeight="1" x14ac:dyDescent="0.35">
      <c r="A54" s="224">
        <v>46111</v>
      </c>
      <c r="B54" s="274" t="s">
        <v>146</v>
      </c>
      <c r="C54" s="227" t="s">
        <v>165</v>
      </c>
      <c r="D54" s="271">
        <v>37500</v>
      </c>
      <c r="E54" s="24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>
        <f>+D54</f>
        <v>37500</v>
      </c>
      <c r="Q54" s="198"/>
      <c r="R54" s="198"/>
      <c r="S54" s="198"/>
      <c r="T54" s="198"/>
      <c r="U54" s="198"/>
      <c r="V54" s="198"/>
      <c r="W54" s="198"/>
      <c r="X54" s="198"/>
      <c r="Y54" s="198"/>
      <c r="Z54" s="195">
        <f t="shared" si="3"/>
        <v>37500</v>
      </c>
      <c r="AA54" s="196" t="s">
        <v>5</v>
      </c>
      <c r="AB54" s="184">
        <f t="shared" si="1"/>
        <v>0</v>
      </c>
      <c r="AC54" s="188"/>
      <c r="AD54" s="188"/>
      <c r="AE54" s="184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</row>
    <row r="55" spans="1:89" ht="19.5" customHeight="1" x14ac:dyDescent="0.35">
      <c r="A55" s="224">
        <v>46111</v>
      </c>
      <c r="B55" s="228" t="s">
        <v>101</v>
      </c>
      <c r="C55" s="227" t="s">
        <v>102</v>
      </c>
      <c r="D55" s="242">
        <v>120</v>
      </c>
      <c r="E55" s="197"/>
      <c r="F55" s="198"/>
      <c r="G55" s="198"/>
      <c r="H55" s="198">
        <f>+D57</f>
        <v>120</v>
      </c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5">
        <f t="shared" si="3"/>
        <v>120</v>
      </c>
      <c r="AA55" s="196" t="s">
        <v>5</v>
      </c>
      <c r="AB55" s="184">
        <f t="shared" si="1"/>
        <v>0</v>
      </c>
      <c r="AC55" s="188"/>
      <c r="AD55" s="188"/>
      <c r="AE55" s="184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</row>
    <row r="56" spans="1:89" ht="19.5" customHeight="1" x14ac:dyDescent="0.35">
      <c r="A56" s="224">
        <v>46111</v>
      </c>
      <c r="B56" s="276" t="s">
        <v>147</v>
      </c>
      <c r="C56" s="276" t="s">
        <v>122</v>
      </c>
      <c r="D56" s="272">
        <v>30417.98</v>
      </c>
      <c r="E56" s="197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>
        <f>+D56</f>
        <v>30417.98</v>
      </c>
      <c r="Q56" s="198"/>
      <c r="R56" s="198"/>
      <c r="S56" s="198"/>
      <c r="T56" s="198"/>
      <c r="U56" s="198"/>
      <c r="V56" s="198"/>
      <c r="W56" s="198"/>
      <c r="X56" s="198"/>
      <c r="Y56" s="198"/>
      <c r="Z56" s="195">
        <f t="shared" si="3"/>
        <v>30417.98</v>
      </c>
      <c r="AA56" s="196" t="s">
        <v>5</v>
      </c>
      <c r="AB56" s="184">
        <f t="shared" si="1"/>
        <v>0</v>
      </c>
      <c r="AC56" s="188"/>
      <c r="AD56" s="188"/>
      <c r="AE56" s="184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</row>
    <row r="57" spans="1:89" ht="19.5" customHeight="1" x14ac:dyDescent="0.35">
      <c r="A57" s="224">
        <v>46111</v>
      </c>
      <c r="B57" s="228" t="s">
        <v>101</v>
      </c>
      <c r="C57" s="227" t="s">
        <v>102</v>
      </c>
      <c r="D57" s="272">
        <v>120</v>
      </c>
      <c r="E57" s="197"/>
      <c r="F57" s="198"/>
      <c r="G57" s="198"/>
      <c r="H57" s="198">
        <f>+D57</f>
        <v>120</v>
      </c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198"/>
      <c r="Y57" s="198"/>
      <c r="Z57" s="195">
        <f t="shared" si="3"/>
        <v>120</v>
      </c>
      <c r="AA57" s="196" t="s">
        <v>5</v>
      </c>
      <c r="AB57" s="184">
        <f t="shared" si="1"/>
        <v>0</v>
      </c>
      <c r="AC57" s="188"/>
      <c r="AD57" s="188"/>
      <c r="AE57" s="184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</row>
    <row r="58" spans="1:89" ht="19.5" customHeight="1" x14ac:dyDescent="0.35">
      <c r="A58" s="224">
        <v>46112</v>
      </c>
      <c r="B58" s="230" t="s">
        <v>148</v>
      </c>
      <c r="C58" s="230" t="s">
        <v>114</v>
      </c>
      <c r="D58" s="272">
        <v>3800.61</v>
      </c>
      <c r="E58" s="197"/>
      <c r="F58" s="198"/>
      <c r="G58" s="198"/>
      <c r="H58" s="198"/>
      <c r="I58" s="198"/>
      <c r="J58" s="198">
        <f>+D58</f>
        <v>3800.61</v>
      </c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198"/>
      <c r="V58" s="198"/>
      <c r="W58" s="198"/>
      <c r="X58" s="198"/>
      <c r="Y58" s="198"/>
      <c r="Z58" s="195">
        <f t="shared" si="3"/>
        <v>3800.61</v>
      </c>
      <c r="AA58" s="196" t="s">
        <v>5</v>
      </c>
      <c r="AB58" s="184">
        <f t="shared" si="1"/>
        <v>0</v>
      </c>
      <c r="AC58" s="188"/>
      <c r="AD58" s="188"/>
      <c r="AE58" s="184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</row>
    <row r="59" spans="1:89" ht="19.5" customHeight="1" x14ac:dyDescent="0.35">
      <c r="A59" s="224">
        <v>46112</v>
      </c>
      <c r="B59" s="230" t="s">
        <v>149</v>
      </c>
      <c r="C59" s="230" t="s">
        <v>143</v>
      </c>
      <c r="D59" s="272">
        <v>1235</v>
      </c>
      <c r="E59" s="197"/>
      <c r="F59" s="198"/>
      <c r="G59" s="198"/>
      <c r="H59" s="198"/>
      <c r="I59" s="198"/>
      <c r="J59" s="198"/>
      <c r="K59" s="198">
        <f>+D59</f>
        <v>1235</v>
      </c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198"/>
      <c r="Y59" s="198"/>
      <c r="Z59" s="195">
        <f t="shared" si="3"/>
        <v>1235</v>
      </c>
      <c r="AA59" s="196" t="s">
        <v>5</v>
      </c>
      <c r="AB59" s="184">
        <f t="shared" si="1"/>
        <v>0</v>
      </c>
      <c r="AC59" s="188"/>
      <c r="AD59" s="188"/>
      <c r="AE59" s="184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</row>
    <row r="60" spans="1:89" ht="19.5" customHeight="1" x14ac:dyDescent="0.35">
      <c r="A60" s="224">
        <v>46112</v>
      </c>
      <c r="B60" s="230" t="s">
        <v>85</v>
      </c>
      <c r="C60" s="230" t="s">
        <v>70</v>
      </c>
      <c r="D60" s="272">
        <v>10437.5</v>
      </c>
      <c r="E60" s="197"/>
      <c r="F60" s="198"/>
      <c r="G60" s="198">
        <f>+D60</f>
        <v>10437.5</v>
      </c>
      <c r="H60" s="198"/>
      <c r="I60" s="198"/>
      <c r="J60" s="198"/>
      <c r="K60" s="198"/>
      <c r="L60" s="198"/>
      <c r="M60" s="198"/>
      <c r="N60" s="198"/>
      <c r="O60" s="198"/>
      <c r="P60" s="198"/>
      <c r="Q60" s="198"/>
      <c r="R60" s="198"/>
      <c r="S60" s="198"/>
      <c r="T60" s="198"/>
      <c r="U60" s="198"/>
      <c r="V60" s="198"/>
      <c r="W60" s="198"/>
      <c r="X60" s="198"/>
      <c r="Y60" s="198"/>
      <c r="Z60" s="195">
        <f t="shared" si="3"/>
        <v>10437.5</v>
      </c>
      <c r="AA60" s="196" t="s">
        <v>5</v>
      </c>
      <c r="AB60" s="184">
        <f t="shared" si="1"/>
        <v>0</v>
      </c>
      <c r="AC60" s="188"/>
      <c r="AD60" s="188"/>
      <c r="AE60" s="184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</row>
    <row r="61" spans="1:89" ht="19.5" customHeight="1" x14ac:dyDescent="0.35">
      <c r="A61" s="224"/>
      <c r="B61" s="230"/>
      <c r="C61" s="230" t="s">
        <v>182</v>
      </c>
      <c r="D61" s="272">
        <v>495</v>
      </c>
      <c r="E61" s="197"/>
      <c r="F61" s="198"/>
      <c r="G61" s="198"/>
      <c r="H61" s="198">
        <f>+D61</f>
        <v>495</v>
      </c>
      <c r="I61" s="198"/>
      <c r="J61" s="198"/>
      <c r="K61" s="198"/>
      <c r="L61" s="198"/>
      <c r="M61" s="198"/>
      <c r="N61" s="198"/>
      <c r="O61" s="198"/>
      <c r="P61" s="198"/>
      <c r="Q61" s="198"/>
      <c r="R61" s="198"/>
      <c r="S61" s="198"/>
      <c r="T61" s="198"/>
      <c r="U61" s="198"/>
      <c r="V61" s="198"/>
      <c r="W61" s="198"/>
      <c r="X61" s="198"/>
      <c r="Y61" s="198"/>
      <c r="Z61" s="195"/>
      <c r="AA61" s="196"/>
      <c r="AB61" s="184"/>
      <c r="AC61" s="188"/>
      <c r="AD61" s="188"/>
      <c r="AE61" s="184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</row>
    <row r="62" spans="1:89" ht="19.5" customHeight="1" x14ac:dyDescent="0.35">
      <c r="A62" s="224"/>
      <c r="B62" s="230"/>
      <c r="C62" s="230" t="s">
        <v>178</v>
      </c>
      <c r="D62" s="272">
        <f>-D36</f>
        <v>-18889.39</v>
      </c>
      <c r="E62" s="197"/>
      <c r="F62" s="198"/>
      <c r="G62" s="198"/>
      <c r="H62" s="198"/>
      <c r="I62" s="198"/>
      <c r="J62" s="198"/>
      <c r="K62" s="198"/>
      <c r="L62" s="198"/>
      <c r="M62" s="198"/>
      <c r="N62" s="198"/>
      <c r="O62" s="198"/>
      <c r="P62" s="198"/>
      <c r="Q62" s="198"/>
      <c r="R62" s="198"/>
      <c r="S62" s="198"/>
      <c r="T62" s="198"/>
      <c r="U62" s="198"/>
      <c r="V62" s="198"/>
      <c r="W62" s="198"/>
      <c r="X62" s="198"/>
      <c r="Y62" s="198">
        <f>-D62</f>
        <v>18889.39</v>
      </c>
      <c r="Z62" s="195"/>
      <c r="AA62" s="196" t="s">
        <v>5</v>
      </c>
      <c r="AB62" s="184"/>
      <c r="AC62" s="188"/>
      <c r="AD62" s="188"/>
      <c r="AE62" s="184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</row>
    <row r="63" spans="1:89" ht="19.5" customHeight="1" x14ac:dyDescent="0.35">
      <c r="A63" s="224"/>
      <c r="B63" s="228"/>
      <c r="C63" s="278" t="s">
        <v>96</v>
      </c>
      <c r="D63" s="279">
        <v>3000</v>
      </c>
      <c r="E63" s="277"/>
      <c r="F63" s="198"/>
      <c r="G63" s="198"/>
      <c r="H63" s="198">
        <f>+D63</f>
        <v>3000</v>
      </c>
      <c r="I63" s="198"/>
      <c r="J63" s="198"/>
      <c r="K63" s="198"/>
      <c r="L63" s="198"/>
      <c r="M63" s="198"/>
      <c r="N63" s="198"/>
      <c r="O63" s="198"/>
      <c r="P63" s="198"/>
      <c r="Q63" s="198"/>
      <c r="R63" s="198"/>
      <c r="S63" s="198"/>
      <c r="T63" s="198"/>
      <c r="U63" s="198"/>
      <c r="V63" s="198"/>
      <c r="W63" s="198"/>
      <c r="X63" s="198"/>
      <c r="Y63" s="198"/>
      <c r="Z63" s="195">
        <f t="shared" si="3"/>
        <v>3000</v>
      </c>
      <c r="AA63" s="196" t="s">
        <v>14</v>
      </c>
      <c r="AB63" s="184">
        <f t="shared" si="1"/>
        <v>0</v>
      </c>
      <c r="AC63" s="188"/>
      <c r="AD63" s="188"/>
      <c r="AE63" s="184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</row>
    <row r="64" spans="1:89" ht="19.5" customHeight="1" x14ac:dyDescent="0.35">
      <c r="A64" s="224"/>
      <c r="B64" s="227"/>
      <c r="C64" s="280" t="s">
        <v>154</v>
      </c>
      <c r="D64" s="281">
        <v>500</v>
      </c>
      <c r="E64" s="277"/>
      <c r="F64" s="198">
        <f>+D64</f>
        <v>500</v>
      </c>
      <c r="G64" s="198"/>
      <c r="H64" s="198"/>
      <c r="I64" s="198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8"/>
      <c r="U64" s="198"/>
      <c r="V64" s="198"/>
      <c r="W64" s="198"/>
      <c r="X64" s="198"/>
      <c r="Y64" s="198"/>
      <c r="Z64" s="195">
        <f t="shared" si="3"/>
        <v>500</v>
      </c>
      <c r="AA64" s="196" t="s">
        <v>14</v>
      </c>
      <c r="AB64" s="184">
        <f t="shared" si="1"/>
        <v>0</v>
      </c>
      <c r="AC64" s="188"/>
      <c r="AD64" s="188"/>
      <c r="AE64" s="184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</row>
    <row r="65" spans="1:89" ht="19.5" customHeight="1" x14ac:dyDescent="0.35">
      <c r="A65" s="224"/>
      <c r="B65" s="228"/>
      <c r="C65" s="282" t="s">
        <v>155</v>
      </c>
      <c r="D65" s="283">
        <v>88044</v>
      </c>
      <c r="E65" s="277"/>
      <c r="F65" s="198"/>
      <c r="G65" s="198"/>
      <c r="H65" s="198"/>
      <c r="I65" s="198"/>
      <c r="J65" s="198"/>
      <c r="K65" s="198"/>
      <c r="L65" s="198"/>
      <c r="M65" s="198"/>
      <c r="N65" s="198"/>
      <c r="O65" s="198"/>
      <c r="P65" s="198"/>
      <c r="Q65" s="198"/>
      <c r="R65" s="198"/>
      <c r="S65" s="198"/>
      <c r="T65" s="198"/>
      <c r="U65" s="198"/>
      <c r="V65" s="198"/>
      <c r="W65" s="198"/>
      <c r="X65" s="198"/>
      <c r="Y65" s="198">
        <f>+D65</f>
        <v>88044</v>
      </c>
      <c r="Z65" s="195">
        <f t="shared" si="3"/>
        <v>88044</v>
      </c>
      <c r="AA65" s="196" t="s">
        <v>14</v>
      </c>
      <c r="AB65" s="184">
        <f t="shared" si="1"/>
        <v>0</v>
      </c>
      <c r="AC65" s="188"/>
      <c r="AD65" s="188"/>
      <c r="AE65" s="184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</row>
    <row r="66" spans="1:89" ht="19.5" customHeight="1" x14ac:dyDescent="0.35">
      <c r="A66" s="224"/>
      <c r="B66" s="227"/>
      <c r="C66" s="280" t="s">
        <v>22</v>
      </c>
      <c r="D66" s="283">
        <v>5000</v>
      </c>
      <c r="E66" s="277"/>
      <c r="F66" s="198"/>
      <c r="G66" s="198"/>
      <c r="H66" s="198"/>
      <c r="I66" s="198"/>
      <c r="J66" s="198"/>
      <c r="K66" s="198"/>
      <c r="L66" s="198"/>
      <c r="M66" s="198"/>
      <c r="N66" s="198"/>
      <c r="O66" s="198"/>
      <c r="P66" s="198"/>
      <c r="Q66" s="198"/>
      <c r="R66" s="198">
        <v>2000</v>
      </c>
      <c r="S66" s="198"/>
      <c r="T66" s="198"/>
      <c r="U66" s="198"/>
      <c r="V66" s="198">
        <v>1500</v>
      </c>
      <c r="W66" s="198">
        <v>1500</v>
      </c>
      <c r="X66" s="198"/>
      <c r="Y66" s="198"/>
      <c r="Z66" s="195">
        <f t="shared" si="3"/>
        <v>5000</v>
      </c>
      <c r="AA66" s="196" t="s">
        <v>14</v>
      </c>
      <c r="AB66" s="184">
        <f t="shared" si="1"/>
        <v>0</v>
      </c>
      <c r="AC66" s="188"/>
      <c r="AD66" s="188"/>
      <c r="AE66" s="184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</row>
    <row r="67" spans="1:89" ht="19.5" customHeight="1" x14ac:dyDescent="0.35">
      <c r="A67" s="224"/>
      <c r="B67" s="228"/>
      <c r="C67" s="282" t="s">
        <v>156</v>
      </c>
      <c r="D67" s="283">
        <f>380+340</f>
        <v>720</v>
      </c>
      <c r="E67" s="277"/>
      <c r="F67" s="198"/>
      <c r="G67" s="198"/>
      <c r="H67" s="198"/>
      <c r="I67" s="198"/>
      <c r="J67" s="198"/>
      <c r="K67" s="198"/>
      <c r="L67" s="198"/>
      <c r="M67" s="198"/>
      <c r="N67" s="198"/>
      <c r="O67" s="198"/>
      <c r="P67" s="198"/>
      <c r="Q67" s="198"/>
      <c r="R67" s="198">
        <f>+D67</f>
        <v>720</v>
      </c>
      <c r="S67" s="198"/>
      <c r="T67" s="198"/>
      <c r="U67" s="198"/>
      <c r="V67" s="198"/>
      <c r="W67" s="198"/>
      <c r="X67" s="198"/>
      <c r="Y67" s="198"/>
      <c r="Z67" s="195">
        <f t="shared" si="3"/>
        <v>720</v>
      </c>
      <c r="AA67" s="196" t="s">
        <v>14</v>
      </c>
      <c r="AB67" s="184">
        <f t="shared" si="1"/>
        <v>0</v>
      </c>
      <c r="AC67" s="188"/>
      <c r="AD67" s="188"/>
      <c r="AE67" s="184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</row>
    <row r="68" spans="1:89" ht="19.5" customHeight="1" x14ac:dyDescent="0.35">
      <c r="A68" s="224"/>
      <c r="B68" s="227"/>
      <c r="C68" s="284" t="s">
        <v>157</v>
      </c>
      <c r="D68" s="285">
        <v>5000</v>
      </c>
      <c r="E68" s="277"/>
      <c r="F68" s="198"/>
      <c r="G68" s="198"/>
      <c r="H68" s="198"/>
      <c r="I68" s="198"/>
      <c r="J68" s="198"/>
      <c r="K68" s="198"/>
      <c r="L68" s="198"/>
      <c r="M68" s="198"/>
      <c r="N68" s="198"/>
      <c r="O68" s="198"/>
      <c r="P68" s="198"/>
      <c r="Q68" s="198"/>
      <c r="R68" s="198"/>
      <c r="S68" s="198"/>
      <c r="T68" s="198"/>
      <c r="U68" s="198"/>
      <c r="V68" s="198"/>
      <c r="W68" s="198">
        <f>+D68</f>
        <v>5000</v>
      </c>
      <c r="X68" s="198"/>
      <c r="Y68" s="198"/>
      <c r="Z68" s="195">
        <f t="shared" si="3"/>
        <v>5000</v>
      </c>
      <c r="AA68" s="196" t="s">
        <v>14</v>
      </c>
      <c r="AB68" s="184">
        <f t="shared" si="1"/>
        <v>0</v>
      </c>
      <c r="AC68" s="188"/>
      <c r="AD68" s="188"/>
      <c r="AE68" s="184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</row>
    <row r="69" spans="1:89" ht="19.5" customHeight="1" x14ac:dyDescent="0.35">
      <c r="A69" s="224"/>
      <c r="B69" s="227"/>
      <c r="C69" s="286" t="s">
        <v>158</v>
      </c>
      <c r="D69" s="281">
        <v>2500</v>
      </c>
      <c r="E69" s="277"/>
      <c r="F69" s="198"/>
      <c r="G69" s="198"/>
      <c r="H69" s="198"/>
      <c r="I69" s="198"/>
      <c r="J69" s="198"/>
      <c r="K69" s="198"/>
      <c r="L69" s="198"/>
      <c r="M69" s="198"/>
      <c r="N69" s="198"/>
      <c r="O69" s="198"/>
      <c r="P69" s="198"/>
      <c r="Q69" s="198"/>
      <c r="R69" s="198">
        <f>+D69</f>
        <v>2500</v>
      </c>
      <c r="S69" s="198"/>
      <c r="T69" s="198"/>
      <c r="U69" s="198"/>
      <c r="V69" s="198"/>
      <c r="W69" s="198"/>
      <c r="X69" s="198"/>
      <c r="Y69" s="198"/>
      <c r="Z69" s="195">
        <f t="shared" si="3"/>
        <v>2500</v>
      </c>
      <c r="AA69" s="196" t="s">
        <v>14</v>
      </c>
      <c r="AB69" s="184">
        <f t="shared" si="1"/>
        <v>0</v>
      </c>
      <c r="AC69" s="188"/>
      <c r="AD69" s="188"/>
      <c r="AE69" s="184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</row>
    <row r="70" spans="1:89" ht="19.5" customHeight="1" x14ac:dyDescent="0.35">
      <c r="A70" s="224"/>
      <c r="B70" s="227"/>
      <c r="C70" s="286" t="s">
        <v>159</v>
      </c>
      <c r="D70" s="281">
        <f>2*3000</f>
        <v>6000</v>
      </c>
      <c r="E70" s="277"/>
      <c r="F70" s="198"/>
      <c r="G70" s="198"/>
      <c r="H70" s="198"/>
      <c r="I70" s="198"/>
      <c r="J70" s="198"/>
      <c r="K70" s="198"/>
      <c r="L70" s="198"/>
      <c r="M70" s="198"/>
      <c r="N70" s="198"/>
      <c r="O70" s="198"/>
      <c r="P70" s="198"/>
      <c r="Q70" s="198"/>
      <c r="R70" s="198"/>
      <c r="S70" s="198">
        <f>+D70</f>
        <v>6000</v>
      </c>
      <c r="T70" s="198"/>
      <c r="U70" s="198"/>
      <c r="V70" s="198"/>
      <c r="W70" s="198"/>
      <c r="X70" s="198"/>
      <c r="Y70" s="198"/>
      <c r="Z70" s="195">
        <f t="shared" si="3"/>
        <v>6000</v>
      </c>
      <c r="AA70" s="196" t="s">
        <v>14</v>
      </c>
      <c r="AB70" s="184">
        <f t="shared" si="1"/>
        <v>0</v>
      </c>
      <c r="AC70" s="200"/>
      <c r="AD70" s="200"/>
      <c r="AE70" s="199"/>
      <c r="AF70" s="200"/>
      <c r="AG70" s="200"/>
      <c r="AH70" s="200"/>
      <c r="AI70" s="200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</row>
    <row r="71" spans="1:89" ht="19.5" customHeight="1" x14ac:dyDescent="0.35">
      <c r="A71" s="224"/>
      <c r="B71" s="230"/>
      <c r="C71" s="286" t="s">
        <v>159</v>
      </c>
      <c r="D71" s="281">
        <v>6000</v>
      </c>
      <c r="E71" s="277"/>
      <c r="F71" s="198"/>
      <c r="G71" s="198"/>
      <c r="H71" s="198"/>
      <c r="I71" s="198"/>
      <c r="J71" s="198"/>
      <c r="K71" s="198"/>
      <c r="L71" s="198"/>
      <c r="M71" s="198"/>
      <c r="N71" s="198"/>
      <c r="O71" s="198"/>
      <c r="P71" s="198"/>
      <c r="Q71" s="198"/>
      <c r="R71" s="198"/>
      <c r="S71" s="198"/>
      <c r="T71" s="198"/>
      <c r="U71" s="198"/>
      <c r="V71" s="198"/>
      <c r="W71" s="198">
        <v>3000</v>
      </c>
      <c r="X71" s="198">
        <v>3000</v>
      </c>
      <c r="Y71" s="198"/>
      <c r="Z71" s="195">
        <f t="shared" si="3"/>
        <v>6000</v>
      </c>
      <c r="AA71" s="196" t="s">
        <v>14</v>
      </c>
      <c r="AB71" s="184">
        <f t="shared" si="1"/>
        <v>0</v>
      </c>
      <c r="AC71" s="184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</row>
    <row r="72" spans="1:89" ht="19.5" customHeight="1" x14ac:dyDescent="0.35">
      <c r="A72" s="225"/>
      <c r="B72" s="230"/>
      <c r="C72" s="286" t="s">
        <v>160</v>
      </c>
      <c r="D72" s="281">
        <v>21000</v>
      </c>
      <c r="E72" s="277"/>
      <c r="F72" s="198">
        <f>+D72</f>
        <v>21000</v>
      </c>
      <c r="G72" s="198"/>
      <c r="H72" s="198"/>
      <c r="I72" s="198"/>
      <c r="J72" s="198"/>
      <c r="K72" s="198"/>
      <c r="L72" s="198"/>
      <c r="M72" s="198"/>
      <c r="N72" s="198"/>
      <c r="O72" s="198"/>
      <c r="P72" s="198"/>
      <c r="Q72" s="198"/>
      <c r="R72" s="198"/>
      <c r="S72" s="198"/>
      <c r="T72" s="198"/>
      <c r="U72" s="198"/>
      <c r="V72" s="198"/>
      <c r="W72" s="198"/>
      <c r="X72" s="198"/>
      <c r="Y72" s="198"/>
      <c r="Z72" s="195">
        <f t="shared" si="3"/>
        <v>21000</v>
      </c>
      <c r="AA72" s="196" t="s">
        <v>14</v>
      </c>
      <c r="AB72" s="184">
        <f t="shared" si="1"/>
        <v>0</v>
      </c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</row>
    <row r="73" spans="1:89" ht="19.5" customHeight="1" x14ac:dyDescent="0.35">
      <c r="A73" s="225"/>
      <c r="B73" s="230"/>
      <c r="C73" s="282" t="s">
        <v>161</v>
      </c>
      <c r="D73" s="283">
        <v>1800</v>
      </c>
      <c r="E73" s="277"/>
      <c r="F73" s="198">
        <f>+D73</f>
        <v>1800</v>
      </c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5">
        <f t="shared" si="3"/>
        <v>1800</v>
      </c>
      <c r="AA73" s="196" t="s">
        <v>14</v>
      </c>
      <c r="AB73" s="184">
        <f t="shared" si="1"/>
        <v>0</v>
      </c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</row>
    <row r="74" spans="1:89" ht="19.5" customHeight="1" x14ac:dyDescent="0.35">
      <c r="A74" s="225"/>
      <c r="B74" s="230"/>
      <c r="C74" s="282" t="s">
        <v>162</v>
      </c>
      <c r="D74" s="283">
        <v>1200</v>
      </c>
      <c r="E74" s="277"/>
      <c r="F74" s="198"/>
      <c r="G74" s="198"/>
      <c r="H74" s="198"/>
      <c r="I74" s="198"/>
      <c r="J74" s="198"/>
      <c r="K74" s="198">
        <f>+D74</f>
        <v>1200</v>
      </c>
      <c r="L74" s="198"/>
      <c r="M74" s="198"/>
      <c r="N74" s="198"/>
      <c r="O74" s="198"/>
      <c r="P74" s="198"/>
      <c r="Q74" s="198"/>
      <c r="R74" s="198"/>
      <c r="S74" s="198"/>
      <c r="T74" s="198"/>
      <c r="U74" s="198"/>
      <c r="V74" s="198"/>
      <c r="W74" s="198"/>
      <c r="X74" s="198"/>
      <c r="Y74" s="198"/>
      <c r="Z74" s="195">
        <f t="shared" si="3"/>
        <v>1200</v>
      </c>
      <c r="AA74" s="196" t="s">
        <v>14</v>
      </c>
      <c r="AB74" s="184">
        <f t="shared" si="1"/>
        <v>0</v>
      </c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</row>
    <row r="75" spans="1:89" ht="19.5" customHeight="1" x14ac:dyDescent="0.35">
      <c r="A75" s="225"/>
      <c r="B75" s="230"/>
      <c r="C75" s="282" t="s">
        <v>163</v>
      </c>
      <c r="D75" s="283">
        <v>3600</v>
      </c>
      <c r="E75" s="277"/>
      <c r="F75" s="198"/>
      <c r="G75" s="198"/>
      <c r="H75" s="198"/>
      <c r="I75" s="198"/>
      <c r="J75" s="198"/>
      <c r="K75" s="198"/>
      <c r="L75" s="198"/>
      <c r="M75" s="198"/>
      <c r="N75" s="198"/>
      <c r="O75" s="198"/>
      <c r="P75" s="198"/>
      <c r="Q75" s="198"/>
      <c r="R75" s="198"/>
      <c r="S75" s="198"/>
      <c r="T75" s="198"/>
      <c r="U75" s="198"/>
      <c r="V75" s="198">
        <v>3600</v>
      </c>
      <c r="W75" s="198"/>
      <c r="X75" s="198"/>
      <c r="Y75" s="198"/>
      <c r="Z75" s="195">
        <f t="shared" si="3"/>
        <v>3600</v>
      </c>
      <c r="AA75" s="196" t="s">
        <v>14</v>
      </c>
      <c r="AB75" s="184">
        <f t="shared" si="1"/>
        <v>0</v>
      </c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</row>
    <row r="76" spans="1:89" ht="19.5" customHeight="1" x14ac:dyDescent="0.35">
      <c r="A76" s="225"/>
      <c r="B76" s="230"/>
      <c r="C76" s="282" t="s">
        <v>166</v>
      </c>
      <c r="D76" s="291">
        <f>11550+400</f>
        <v>11950</v>
      </c>
      <c r="E76" s="277"/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198">
        <f>+D76</f>
        <v>11950</v>
      </c>
      <c r="W76" s="198"/>
      <c r="X76" s="198"/>
      <c r="Y76" s="198"/>
      <c r="Z76" s="195">
        <f t="shared" si="3"/>
        <v>11950</v>
      </c>
      <c r="AA76" s="196" t="s">
        <v>14</v>
      </c>
      <c r="AB76" s="184">
        <f t="shared" si="1"/>
        <v>0</v>
      </c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</row>
    <row r="77" spans="1:89" ht="19.5" customHeight="1" x14ac:dyDescent="0.35">
      <c r="A77" s="225"/>
      <c r="B77" s="230"/>
      <c r="C77" s="282" t="s">
        <v>164</v>
      </c>
      <c r="D77" s="283">
        <v>5000</v>
      </c>
      <c r="E77" s="277"/>
      <c r="F77" s="198"/>
      <c r="G77" s="198"/>
      <c r="H77" s="198"/>
      <c r="I77" s="198"/>
      <c r="J77" s="198"/>
      <c r="K77" s="198"/>
      <c r="L77" s="198"/>
      <c r="M77" s="198"/>
      <c r="N77" s="198"/>
      <c r="O77" s="198"/>
      <c r="P77" s="198"/>
      <c r="Q77" s="198">
        <f>+D77</f>
        <v>5000</v>
      </c>
      <c r="R77" s="198"/>
      <c r="S77" s="198"/>
      <c r="T77" s="198"/>
      <c r="U77" s="198"/>
      <c r="V77" s="198"/>
      <c r="W77" s="198"/>
      <c r="X77" s="198"/>
      <c r="Y77" s="198"/>
      <c r="Z77" s="195">
        <f t="shared" si="3"/>
        <v>5000</v>
      </c>
      <c r="AA77" s="196" t="s">
        <v>14</v>
      </c>
      <c r="AB77" s="184">
        <f t="shared" si="1"/>
        <v>0</v>
      </c>
      <c r="AC77" s="184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</row>
    <row r="78" spans="1:89" ht="19.5" customHeight="1" x14ac:dyDescent="0.35">
      <c r="A78" s="225"/>
      <c r="B78" s="228"/>
      <c r="C78" s="282" t="s">
        <v>129</v>
      </c>
      <c r="D78" s="283">
        <v>35000</v>
      </c>
      <c r="E78" s="277">
        <f>+D78</f>
        <v>35000</v>
      </c>
      <c r="F78" s="198"/>
      <c r="G78" s="198"/>
      <c r="H78" s="198"/>
      <c r="I78" s="198"/>
      <c r="J78" s="198"/>
      <c r="K78" s="198"/>
      <c r="L78" s="198"/>
      <c r="M78" s="198"/>
      <c r="N78" s="198"/>
      <c r="O78" s="198"/>
      <c r="P78" s="198"/>
      <c r="Q78" s="198"/>
      <c r="R78" s="198"/>
      <c r="S78" s="198"/>
      <c r="T78" s="198"/>
      <c r="U78" s="198"/>
      <c r="V78" s="198"/>
      <c r="W78" s="198"/>
      <c r="X78" s="198"/>
      <c r="Y78" s="198"/>
      <c r="Z78" s="195">
        <f t="shared" si="3"/>
        <v>35000</v>
      </c>
      <c r="AA78" s="196" t="s">
        <v>14</v>
      </c>
      <c r="AB78" s="184">
        <f t="shared" si="1"/>
        <v>0</v>
      </c>
      <c r="AC78" s="184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</row>
    <row r="79" spans="1:89" ht="19.5" customHeight="1" x14ac:dyDescent="0.35">
      <c r="A79" s="231"/>
      <c r="B79" s="233"/>
      <c r="C79" s="235" t="s">
        <v>170</v>
      </c>
      <c r="D79" s="287">
        <f>250*68</f>
        <v>17000</v>
      </c>
      <c r="E79" s="277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8">
        <f>+D79</f>
        <v>17000</v>
      </c>
      <c r="Y79" s="198"/>
      <c r="Z79" s="195">
        <f t="shared" si="3"/>
        <v>17000</v>
      </c>
      <c r="AA79" s="196" t="s">
        <v>14</v>
      </c>
      <c r="AB79" s="184">
        <f t="shared" si="1"/>
        <v>0</v>
      </c>
      <c r="AC79" s="184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</row>
    <row r="80" spans="1:89" ht="19.5" customHeight="1" x14ac:dyDescent="0.35">
      <c r="A80" s="231"/>
      <c r="B80" s="233"/>
      <c r="C80" s="235"/>
      <c r="D80" s="237"/>
      <c r="E80" s="197"/>
      <c r="F80" s="198"/>
      <c r="G80" s="198"/>
      <c r="H80" s="198"/>
      <c r="I80" s="198"/>
      <c r="J80" s="198"/>
      <c r="K80" s="198"/>
      <c r="L80" s="198"/>
      <c r="M80" s="198"/>
      <c r="N80" s="198"/>
      <c r="O80" s="198"/>
      <c r="P80" s="198"/>
      <c r="Q80" s="198"/>
      <c r="R80" s="198"/>
      <c r="S80" s="198"/>
      <c r="T80" s="198"/>
      <c r="U80" s="198"/>
      <c r="V80" s="198"/>
      <c r="W80" s="198"/>
      <c r="X80" s="198"/>
      <c r="Y80" s="198"/>
      <c r="Z80" s="195">
        <f t="shared" si="3"/>
        <v>0</v>
      </c>
      <c r="AA80" s="196"/>
      <c r="AB80" s="184">
        <f t="shared" ref="AB80" si="4">+D80-Z80</f>
        <v>0</v>
      </c>
      <c r="AC80" s="184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</row>
    <row r="81" spans="1:89" ht="19.5" customHeight="1" x14ac:dyDescent="0.35">
      <c r="A81" s="232"/>
      <c r="B81" s="234"/>
      <c r="C81" s="236"/>
      <c r="D81" s="238"/>
      <c r="E81" s="197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5">
        <f t="shared" si="3"/>
        <v>0</v>
      </c>
      <c r="AA81" s="196"/>
      <c r="AB81" s="184">
        <f t="shared" ref="AB81:AB82" si="5">+D81-Z81</f>
        <v>0</v>
      </c>
      <c r="AC81" s="184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</row>
    <row r="82" spans="1:89" ht="19.5" customHeight="1" x14ac:dyDescent="0.35">
      <c r="A82" s="232"/>
      <c r="B82" s="234"/>
      <c r="C82" s="236"/>
      <c r="D82" s="238"/>
      <c r="E82" s="197"/>
      <c r="F82" s="198"/>
      <c r="G82" s="198"/>
      <c r="H82" s="198"/>
      <c r="I82" s="198"/>
      <c r="J82" s="198"/>
      <c r="K82" s="198"/>
      <c r="L82" s="198"/>
      <c r="M82" s="198"/>
      <c r="N82" s="198"/>
      <c r="O82" s="198"/>
      <c r="P82" s="198"/>
      <c r="Q82" s="198"/>
      <c r="R82" s="198"/>
      <c r="S82" s="198"/>
      <c r="T82" s="198"/>
      <c r="U82" s="198"/>
      <c r="V82" s="198"/>
      <c r="W82" s="198"/>
      <c r="X82" s="198"/>
      <c r="Y82" s="198"/>
      <c r="Z82" s="195">
        <f t="shared" si="3"/>
        <v>0</v>
      </c>
      <c r="AA82" s="196"/>
      <c r="AB82" s="184">
        <f t="shared" si="5"/>
        <v>0</v>
      </c>
      <c r="AC82" s="184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</row>
    <row r="83" spans="1:89" ht="19.5" customHeight="1" x14ac:dyDescent="0.35">
      <c r="A83" s="232"/>
      <c r="B83" s="234"/>
      <c r="C83" s="236"/>
      <c r="D83" s="238"/>
      <c r="E83" s="197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5">
        <f t="shared" ref="Z83:Z91" si="6">SUM(E83:Y83)</f>
        <v>0</v>
      </c>
      <c r="AA83" s="196"/>
      <c r="AB83" s="184">
        <f t="shared" ref="AB83:AB91" si="7">+D83-Z83</f>
        <v>0</v>
      </c>
      <c r="AC83" s="184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</row>
    <row r="84" spans="1:89" ht="19.5" customHeight="1" x14ac:dyDescent="0.35">
      <c r="A84" s="232"/>
      <c r="B84" s="234"/>
      <c r="C84" s="236"/>
      <c r="D84" s="238"/>
      <c r="E84" s="197"/>
      <c r="F84" s="198"/>
      <c r="G84" s="198"/>
      <c r="H84" s="198"/>
      <c r="I84" s="198"/>
      <c r="J84" s="198"/>
      <c r="K84" s="198"/>
      <c r="L84" s="198"/>
      <c r="M84" s="198"/>
      <c r="N84" s="198"/>
      <c r="O84" s="198"/>
      <c r="P84" s="198"/>
      <c r="Q84" s="198"/>
      <c r="R84" s="198"/>
      <c r="S84" s="198"/>
      <c r="T84" s="198"/>
      <c r="U84" s="198"/>
      <c r="V84" s="198"/>
      <c r="W84" s="198"/>
      <c r="X84" s="198"/>
      <c r="Y84" s="198"/>
      <c r="Z84" s="195">
        <f t="shared" si="6"/>
        <v>0</v>
      </c>
      <c r="AA84" s="196"/>
      <c r="AB84" s="184">
        <f t="shared" si="7"/>
        <v>0</v>
      </c>
      <c r="AC84" s="184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</row>
    <row r="85" spans="1:89" ht="19.5" customHeight="1" x14ac:dyDescent="0.35">
      <c r="A85" s="232"/>
      <c r="B85" s="234"/>
      <c r="C85" s="236"/>
      <c r="D85" s="238"/>
      <c r="E85" s="197"/>
      <c r="F85" s="198"/>
      <c r="G85" s="198"/>
      <c r="H85" s="198"/>
      <c r="I85" s="198"/>
      <c r="J85" s="198"/>
      <c r="K85" s="198"/>
      <c r="L85" s="198"/>
      <c r="M85" s="198"/>
      <c r="N85" s="198"/>
      <c r="O85" s="198"/>
      <c r="P85" s="198"/>
      <c r="Q85" s="198"/>
      <c r="R85" s="198"/>
      <c r="S85" s="198"/>
      <c r="T85" s="198"/>
      <c r="U85" s="198"/>
      <c r="V85" s="198"/>
      <c r="W85" s="198"/>
      <c r="X85" s="198"/>
      <c r="Y85" s="198"/>
      <c r="Z85" s="195">
        <f t="shared" si="6"/>
        <v>0</v>
      </c>
      <c r="AA85" s="196"/>
      <c r="AB85" s="184">
        <f t="shared" si="7"/>
        <v>0</v>
      </c>
      <c r="AC85" s="184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</row>
    <row r="86" spans="1:89" ht="19.5" customHeight="1" x14ac:dyDescent="0.35">
      <c r="A86" s="243"/>
      <c r="B86" s="244"/>
      <c r="C86" s="245"/>
      <c r="D86" s="248"/>
      <c r="E86" s="197"/>
      <c r="F86" s="198"/>
      <c r="G86" s="198"/>
      <c r="H86" s="198"/>
      <c r="I86" s="198"/>
      <c r="J86" s="198"/>
      <c r="K86" s="198"/>
      <c r="L86" s="198"/>
      <c r="M86" s="198"/>
      <c r="N86" s="198"/>
      <c r="O86" s="198"/>
      <c r="P86" s="198"/>
      <c r="Q86" s="198"/>
      <c r="R86" s="198"/>
      <c r="S86" s="198"/>
      <c r="T86" s="198"/>
      <c r="U86" s="198"/>
      <c r="V86" s="198"/>
      <c r="W86" s="198"/>
      <c r="X86" s="198"/>
      <c r="Y86" s="198"/>
      <c r="Z86" s="195">
        <f t="shared" si="6"/>
        <v>0</v>
      </c>
      <c r="AA86" s="196"/>
      <c r="AB86" s="184">
        <f t="shared" si="7"/>
        <v>0</v>
      </c>
      <c r="AC86" s="184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</row>
    <row r="87" spans="1:89" ht="19.5" customHeight="1" x14ac:dyDescent="0.35">
      <c r="A87" s="243"/>
      <c r="B87" s="244"/>
      <c r="C87" s="244"/>
      <c r="D87" s="248"/>
      <c r="E87" s="197"/>
      <c r="F87" s="198"/>
      <c r="G87" s="198"/>
      <c r="H87" s="198"/>
      <c r="I87" s="198"/>
      <c r="J87" s="198"/>
      <c r="K87" s="198"/>
      <c r="L87" s="198"/>
      <c r="M87" s="198"/>
      <c r="N87" s="198"/>
      <c r="O87" s="198"/>
      <c r="P87" s="198"/>
      <c r="Q87" s="198"/>
      <c r="R87" s="198"/>
      <c r="S87" s="198"/>
      <c r="T87" s="198"/>
      <c r="U87" s="198"/>
      <c r="V87" s="198"/>
      <c r="W87" s="198"/>
      <c r="X87" s="198"/>
      <c r="Y87" s="198"/>
      <c r="Z87" s="195">
        <f t="shared" si="6"/>
        <v>0</v>
      </c>
      <c r="AA87" s="196"/>
      <c r="AB87" s="184">
        <f t="shared" si="7"/>
        <v>0</v>
      </c>
      <c r="AC87" s="184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</row>
    <row r="88" spans="1:89" ht="19.5" customHeight="1" x14ac:dyDescent="0.35">
      <c r="A88" s="243"/>
      <c r="B88" s="245"/>
      <c r="C88" s="245"/>
      <c r="D88" s="248"/>
      <c r="E88" s="197"/>
      <c r="F88" s="198"/>
      <c r="G88" s="198"/>
      <c r="H88" s="198"/>
      <c r="I88" s="198"/>
      <c r="J88" s="198"/>
      <c r="K88" s="198"/>
      <c r="L88" s="198"/>
      <c r="M88" s="198"/>
      <c r="N88" s="198"/>
      <c r="O88" s="198"/>
      <c r="P88" s="198"/>
      <c r="Q88" s="198"/>
      <c r="R88" s="198"/>
      <c r="S88" s="198"/>
      <c r="T88" s="198"/>
      <c r="U88" s="198"/>
      <c r="V88" s="198"/>
      <c r="W88" s="198"/>
      <c r="X88" s="198"/>
      <c r="Y88" s="198"/>
      <c r="Z88" s="195">
        <f t="shared" si="6"/>
        <v>0</v>
      </c>
      <c r="AA88" s="196"/>
      <c r="AB88" s="184">
        <f t="shared" si="7"/>
        <v>0</v>
      </c>
      <c r="AC88" s="184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</row>
    <row r="89" spans="1:89" ht="19.5" customHeight="1" x14ac:dyDescent="0.35">
      <c r="A89" s="243"/>
      <c r="B89" s="244"/>
      <c r="C89" s="246"/>
      <c r="D89" s="248"/>
      <c r="E89" s="197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5">
        <f t="shared" si="6"/>
        <v>0</v>
      </c>
      <c r="AA89" s="196"/>
      <c r="AB89" s="184">
        <f t="shared" si="7"/>
        <v>0</v>
      </c>
      <c r="AC89" s="184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</row>
    <row r="90" spans="1:89" ht="19.5" customHeight="1" x14ac:dyDescent="0.35">
      <c r="A90" s="243"/>
      <c r="B90" s="247"/>
      <c r="C90" s="246"/>
      <c r="D90" s="248"/>
      <c r="E90" s="197"/>
      <c r="F90" s="198"/>
      <c r="G90" s="198"/>
      <c r="H90" s="198"/>
      <c r="I90" s="198"/>
      <c r="J90" s="198"/>
      <c r="K90" s="198"/>
      <c r="L90" s="198"/>
      <c r="M90" s="198"/>
      <c r="N90" s="198"/>
      <c r="O90" s="198"/>
      <c r="P90" s="198"/>
      <c r="Q90" s="198"/>
      <c r="R90" s="198"/>
      <c r="S90" s="198"/>
      <c r="T90" s="198"/>
      <c r="U90" s="198"/>
      <c r="V90" s="198"/>
      <c r="W90" s="198"/>
      <c r="X90" s="198"/>
      <c r="Y90" s="198"/>
      <c r="Z90" s="195">
        <f t="shared" si="6"/>
        <v>0</v>
      </c>
      <c r="AA90" s="196"/>
      <c r="AB90" s="184">
        <f t="shared" si="7"/>
        <v>0</v>
      </c>
      <c r="AC90" s="184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</row>
    <row r="91" spans="1:89" ht="19.5" customHeight="1" x14ac:dyDescent="0.35">
      <c r="A91" s="225"/>
      <c r="B91" s="230"/>
      <c r="C91" s="230"/>
      <c r="D91" s="201"/>
      <c r="E91" s="197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5">
        <f t="shared" si="6"/>
        <v>0</v>
      </c>
      <c r="AA91" s="196"/>
      <c r="AB91" s="184">
        <f t="shared" si="7"/>
        <v>0</v>
      </c>
      <c r="AC91" s="184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</row>
    <row r="92" spans="1:89" ht="19.5" customHeight="1" x14ac:dyDescent="0.35">
      <c r="A92" s="202"/>
      <c r="B92" s="203"/>
      <c r="C92" s="289" t="s">
        <v>46</v>
      </c>
      <c r="D92" s="288">
        <f>SUM(D8:D91)</f>
        <v>1168189.9099999999</v>
      </c>
      <c r="E92" s="288">
        <f t="shared" ref="E92:Y92" si="8">SUM(E8:E91)</f>
        <v>206413.83</v>
      </c>
      <c r="F92" s="288">
        <f t="shared" si="8"/>
        <v>23300</v>
      </c>
      <c r="G92" s="288">
        <f t="shared" si="8"/>
        <v>32886.03</v>
      </c>
      <c r="H92" s="288">
        <f t="shared" si="8"/>
        <v>5340.33</v>
      </c>
      <c r="I92" s="288">
        <f t="shared" si="8"/>
        <v>184126</v>
      </c>
      <c r="J92" s="288">
        <f t="shared" si="8"/>
        <v>67192.489999999991</v>
      </c>
      <c r="K92" s="288">
        <f t="shared" si="8"/>
        <v>9151</v>
      </c>
      <c r="L92" s="288">
        <f t="shared" si="8"/>
        <v>8710</v>
      </c>
      <c r="M92" s="288">
        <f t="shared" si="8"/>
        <v>0</v>
      </c>
      <c r="N92" s="288">
        <f t="shared" si="8"/>
        <v>0</v>
      </c>
      <c r="O92" s="288">
        <f t="shared" si="8"/>
        <v>0</v>
      </c>
      <c r="P92" s="288">
        <f t="shared" si="8"/>
        <v>227877.16</v>
      </c>
      <c r="Q92" s="288">
        <f t="shared" si="8"/>
        <v>17769.39</v>
      </c>
      <c r="R92" s="288">
        <f t="shared" si="8"/>
        <v>20515</v>
      </c>
      <c r="S92" s="288">
        <f t="shared" si="8"/>
        <v>69150</v>
      </c>
      <c r="T92" s="288">
        <f t="shared" si="8"/>
        <v>0</v>
      </c>
      <c r="U92" s="288">
        <f t="shared" si="8"/>
        <v>36265.715199999999</v>
      </c>
      <c r="V92" s="288">
        <f t="shared" si="8"/>
        <v>80497.820000000007</v>
      </c>
      <c r="W92" s="288">
        <f t="shared" si="8"/>
        <v>57908.43</v>
      </c>
      <c r="X92" s="288">
        <f t="shared" si="8"/>
        <v>153972.74</v>
      </c>
      <c r="Y92" s="288">
        <f t="shared" si="8"/>
        <v>37778.78</v>
      </c>
      <c r="Z92" s="288">
        <f>SUM(Z8:Z91)+AB37</f>
        <v>1186584.2951999998</v>
      </c>
      <c r="AA92" s="196"/>
      <c r="AB92" s="184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</row>
    <row r="93" spans="1:89" ht="19.149999999999999" customHeight="1" x14ac:dyDescent="0.35">
      <c r="A93" s="220"/>
      <c r="B93" s="221"/>
      <c r="C93" s="223"/>
      <c r="D93" s="178"/>
      <c r="E93" s="166"/>
      <c r="F93" s="166"/>
      <c r="G93" s="222"/>
      <c r="H93" s="166"/>
      <c r="I93" s="166"/>
      <c r="J93" s="166"/>
      <c r="K93" s="166"/>
      <c r="L93" s="250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195"/>
      <c r="AA93" s="196" t="s">
        <v>14</v>
      </c>
      <c r="AB93" s="184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</row>
    <row r="94" spans="1:89" ht="18.600000000000001" customHeight="1" thickBot="1" x14ac:dyDescent="0.4">
      <c r="A94" s="179"/>
      <c r="B94" s="207"/>
      <c r="E94" s="210"/>
      <c r="F94" s="210"/>
      <c r="G94" s="210"/>
      <c r="H94" s="210"/>
      <c r="I94" s="210"/>
      <c r="J94" s="210"/>
      <c r="K94" s="210"/>
      <c r="L94" s="210"/>
      <c r="M94" s="210"/>
      <c r="N94" s="210"/>
      <c r="O94" s="210"/>
      <c r="P94" s="210"/>
      <c r="Q94" s="210"/>
      <c r="R94" s="210"/>
      <c r="S94" s="210"/>
      <c r="T94" s="210"/>
      <c r="U94" s="210"/>
      <c r="V94" s="210"/>
      <c r="W94" s="210"/>
      <c r="X94" s="210"/>
      <c r="Y94" s="210"/>
      <c r="Z94" s="254"/>
      <c r="AA94" s="167"/>
      <c r="AB94" s="16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</row>
    <row r="95" spans="1:89" ht="18.600000000000001" customHeight="1" thickTop="1" x14ac:dyDescent="0.35">
      <c r="A95" s="179"/>
      <c r="B95" s="208"/>
      <c r="C95" s="209"/>
      <c r="D95" s="166"/>
      <c r="E95" s="205"/>
      <c r="F95" s="206"/>
      <c r="G95" s="169"/>
      <c r="H95" s="169"/>
      <c r="I95" s="169"/>
      <c r="J95" s="169"/>
      <c r="K95" s="210"/>
      <c r="L95" s="210"/>
      <c r="M95" s="210"/>
      <c r="N95" s="210"/>
      <c r="O95" s="210"/>
      <c r="P95" s="210"/>
      <c r="Q95" s="210"/>
      <c r="R95" s="210"/>
      <c r="S95" s="210"/>
      <c r="T95" s="210"/>
      <c r="U95" s="210"/>
      <c r="V95" s="210"/>
      <c r="W95" s="210"/>
      <c r="X95" s="210"/>
      <c r="Y95" s="210"/>
      <c r="Z95" s="210"/>
      <c r="AA95" s="167"/>
      <c r="AB95" s="16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</row>
    <row r="96" spans="1:89" ht="18.600000000000001" customHeight="1" x14ac:dyDescent="0.35">
      <c r="A96" s="179"/>
      <c r="B96" s="208"/>
      <c r="C96" s="209"/>
      <c r="D96" s="166"/>
      <c r="E96" s="205"/>
      <c r="F96" s="206"/>
      <c r="G96" s="169"/>
      <c r="H96" s="206"/>
      <c r="I96" s="206"/>
      <c r="J96" s="206"/>
      <c r="K96" s="210"/>
      <c r="L96" s="210"/>
      <c r="M96" s="210"/>
      <c r="N96" s="210"/>
      <c r="O96" s="210"/>
      <c r="P96" s="210"/>
      <c r="Q96" s="210"/>
      <c r="R96" s="210"/>
      <c r="S96" s="210"/>
      <c r="T96" s="210"/>
      <c r="U96" s="210"/>
      <c r="V96" s="210"/>
      <c r="W96" s="210"/>
      <c r="X96" s="210"/>
      <c r="Y96" s="210"/>
      <c r="Z96" s="210"/>
      <c r="AA96" s="167"/>
      <c r="AB96" s="16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</row>
    <row r="97" spans="1:89" ht="29.45" customHeight="1" x14ac:dyDescent="0.35">
      <c r="A97" s="170"/>
      <c r="B97" s="208"/>
      <c r="C97" s="211" t="s">
        <v>47</v>
      </c>
      <c r="D97" s="212"/>
      <c r="E97" s="195"/>
      <c r="F97" s="195"/>
      <c r="G97" s="195"/>
      <c r="H97" s="195"/>
      <c r="I97" s="195"/>
      <c r="J97" s="195"/>
      <c r="K97" s="213"/>
      <c r="L97" s="213"/>
      <c r="M97" s="213"/>
      <c r="N97" s="213"/>
      <c r="O97" s="213"/>
      <c r="P97" s="213"/>
      <c r="Q97" s="213"/>
      <c r="R97" s="213"/>
      <c r="S97" s="213"/>
      <c r="T97" s="213"/>
      <c r="U97" s="213"/>
      <c r="V97" s="213"/>
      <c r="W97" s="213"/>
      <c r="X97" s="213"/>
      <c r="Y97" s="213"/>
      <c r="Z97" s="213"/>
      <c r="AA97" s="167"/>
      <c r="AB97" s="214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</row>
    <row r="98" spans="1:89" ht="19.5" customHeight="1" x14ac:dyDescent="0.35">
      <c r="A98" s="170"/>
      <c r="B98" s="208"/>
      <c r="C98" s="204" t="s">
        <v>70</v>
      </c>
      <c r="D98" s="212">
        <f>+E92</f>
        <v>206413.83</v>
      </c>
      <c r="E98" s="195"/>
      <c r="F98" s="195"/>
      <c r="G98" s="21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  <c r="AA98" s="167"/>
      <c r="AB98" s="216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</row>
    <row r="99" spans="1:89" ht="19.5" customHeight="1" x14ac:dyDescent="0.35">
      <c r="A99" s="170"/>
      <c r="B99" s="208"/>
      <c r="C99" s="204" t="s">
        <v>51</v>
      </c>
      <c r="D99" s="212">
        <f>+F92</f>
        <v>23300</v>
      </c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  <c r="AA99" s="167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</row>
    <row r="100" spans="1:89" ht="19.5" customHeight="1" x14ac:dyDescent="0.35">
      <c r="A100" s="170"/>
      <c r="B100" s="208"/>
      <c r="C100" s="204" t="s">
        <v>53</v>
      </c>
      <c r="D100" s="212">
        <f>+H92</f>
        <v>5340.33</v>
      </c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  <c r="AA100" s="167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</row>
    <row r="101" spans="1:89" ht="19.5" customHeight="1" x14ac:dyDescent="0.35">
      <c r="A101" s="170"/>
      <c r="B101" s="208"/>
      <c r="C101" s="204" t="s">
        <v>71</v>
      </c>
      <c r="D101" s="212">
        <f>+I92</f>
        <v>184126</v>
      </c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  <c r="AA101" s="167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</row>
    <row r="102" spans="1:89" ht="19.5" customHeight="1" x14ac:dyDescent="0.35">
      <c r="A102" s="170"/>
      <c r="B102" s="208"/>
      <c r="C102" s="204" t="s">
        <v>55</v>
      </c>
      <c r="D102" s="212">
        <f>+J92</f>
        <v>67192.489999999991</v>
      </c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  <c r="AA102" s="167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</row>
    <row r="103" spans="1:89" ht="19.5" customHeight="1" x14ac:dyDescent="0.35">
      <c r="A103" s="170"/>
      <c r="B103" s="208"/>
      <c r="C103" s="217" t="s">
        <v>56</v>
      </c>
      <c r="D103" s="212">
        <f>+K92</f>
        <v>9151</v>
      </c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  <c r="AA103" s="167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</row>
    <row r="104" spans="1:89" ht="19.5" customHeight="1" x14ac:dyDescent="0.35">
      <c r="A104" s="170"/>
      <c r="B104" s="208"/>
      <c r="C104" s="204" t="s">
        <v>57</v>
      </c>
      <c r="D104" s="212">
        <f>+L92</f>
        <v>8710</v>
      </c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  <c r="AA104" s="167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</row>
    <row r="105" spans="1:89" ht="19.5" customHeight="1" x14ac:dyDescent="0.35">
      <c r="A105" s="170"/>
      <c r="B105" s="208"/>
      <c r="C105" s="204" t="s">
        <v>58</v>
      </c>
      <c r="D105" s="212">
        <f>+M94</f>
        <v>0</v>
      </c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  <c r="AA105" s="167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</row>
    <row r="106" spans="1:89" ht="19.5" customHeight="1" x14ac:dyDescent="0.35">
      <c r="A106" s="170"/>
      <c r="B106" s="208"/>
      <c r="C106" s="204" t="s">
        <v>87</v>
      </c>
      <c r="D106" s="212">
        <f>+N94</f>
        <v>0</v>
      </c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  <c r="AA106" s="167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</row>
    <row r="107" spans="1:89" ht="19.5" customHeight="1" x14ac:dyDescent="0.35">
      <c r="A107" s="170"/>
      <c r="B107" s="208"/>
      <c r="C107" s="204" t="s">
        <v>59</v>
      </c>
      <c r="D107" s="212">
        <f>+O94</f>
        <v>0</v>
      </c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  <c r="AA107" s="167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</row>
    <row r="108" spans="1:89" ht="19.5" customHeight="1" x14ac:dyDescent="0.35">
      <c r="A108" s="170"/>
      <c r="B108" s="208"/>
      <c r="C108" s="204" t="s">
        <v>167</v>
      </c>
      <c r="D108" s="212">
        <f>+P53+P28+P29</f>
        <v>159959.18</v>
      </c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  <c r="AA108" s="167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</row>
    <row r="109" spans="1:89" ht="19.5" customHeight="1" x14ac:dyDescent="0.35">
      <c r="A109" s="170"/>
      <c r="B109" s="208"/>
      <c r="C109" s="204" t="s">
        <v>168</v>
      </c>
      <c r="D109" s="212">
        <v>37500</v>
      </c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  <c r="AA109" s="167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</row>
    <row r="110" spans="1:89" ht="19.5" customHeight="1" x14ac:dyDescent="0.35">
      <c r="A110" s="170"/>
      <c r="B110" s="208"/>
      <c r="C110" s="204" t="s">
        <v>169</v>
      </c>
      <c r="D110" s="212">
        <f>+P56</f>
        <v>30417.98</v>
      </c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  <c r="AA110" s="167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</row>
    <row r="111" spans="1:89" ht="19.5" customHeight="1" x14ac:dyDescent="0.35">
      <c r="A111" s="170"/>
      <c r="B111" s="208"/>
      <c r="C111" s="204" t="s">
        <v>61</v>
      </c>
      <c r="D111" s="212">
        <v>17769.39</v>
      </c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  <c r="AA111" s="167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</row>
    <row r="112" spans="1:89" ht="19.5" customHeight="1" x14ac:dyDescent="0.35">
      <c r="A112" s="170"/>
      <c r="B112" s="208"/>
      <c r="C112" s="204" t="s">
        <v>62</v>
      </c>
      <c r="D112" s="212">
        <f>+R92</f>
        <v>20515</v>
      </c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  <c r="AA112" s="167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</row>
    <row r="113" spans="1:89" ht="19.5" customHeight="1" x14ac:dyDescent="0.35">
      <c r="A113" s="170"/>
      <c r="B113" s="208"/>
      <c r="C113" s="185" t="s">
        <v>63</v>
      </c>
      <c r="D113" s="212">
        <f>+S92</f>
        <v>69150</v>
      </c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  <c r="AA113" s="167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</row>
    <row r="114" spans="1:89" ht="19.5" customHeight="1" x14ac:dyDescent="0.35">
      <c r="A114" s="170"/>
      <c r="B114" s="208"/>
      <c r="C114" s="204" t="s">
        <v>93</v>
      </c>
      <c r="D114" s="212">
        <f>+T94</f>
        <v>0</v>
      </c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  <c r="AA114" s="167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</row>
    <row r="115" spans="1:89" ht="19.5" customHeight="1" x14ac:dyDescent="0.35">
      <c r="A115" s="170"/>
      <c r="B115" s="208"/>
      <c r="C115" s="204"/>
      <c r="D115" s="212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  <c r="AA115" s="167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</row>
    <row r="116" spans="1:89" ht="19.5" customHeight="1" x14ac:dyDescent="0.35">
      <c r="A116" s="170"/>
      <c r="B116" s="208"/>
      <c r="C116" s="204"/>
      <c r="D116" s="212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  <c r="AA116" s="167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</row>
    <row r="117" spans="1:89" ht="19.5" customHeight="1" x14ac:dyDescent="0.35">
      <c r="A117" s="170"/>
      <c r="B117" s="208"/>
      <c r="C117" s="204" t="s">
        <v>64</v>
      </c>
      <c r="D117" s="212">
        <f>+U92</f>
        <v>36265.715199999999</v>
      </c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  <c r="AA117" s="167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</row>
    <row r="118" spans="1:89" ht="19.5" customHeight="1" x14ac:dyDescent="0.35">
      <c r="A118" s="170"/>
      <c r="B118" s="208"/>
      <c r="C118" s="204" t="s">
        <v>65</v>
      </c>
      <c r="D118" s="212">
        <f>+V92</f>
        <v>80497.820000000007</v>
      </c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  <c r="AA118" s="167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</row>
    <row r="119" spans="1:89" ht="19.5" customHeight="1" x14ac:dyDescent="0.35">
      <c r="A119" s="170"/>
      <c r="B119" s="208"/>
      <c r="C119" s="204" t="s">
        <v>66</v>
      </c>
      <c r="D119" s="212">
        <f>+W92</f>
        <v>57908.43</v>
      </c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  <c r="AA119" s="167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</row>
    <row r="120" spans="1:89" ht="19.5" customHeight="1" x14ac:dyDescent="0.35">
      <c r="A120" s="170"/>
      <c r="B120" s="208"/>
      <c r="C120" s="204" t="s">
        <v>67</v>
      </c>
      <c r="D120" s="212">
        <f>+X92</f>
        <v>153972.74</v>
      </c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  <c r="AA120" s="167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</row>
    <row r="121" spans="1:89" ht="19.5" customHeight="1" x14ac:dyDescent="0.35">
      <c r="A121" s="170"/>
      <c r="B121" s="208"/>
      <c r="C121" s="204"/>
      <c r="D121" s="212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  <c r="AA121" s="167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</row>
    <row r="122" spans="1:89" ht="19.5" customHeight="1" x14ac:dyDescent="0.35">
      <c r="A122" s="170"/>
      <c r="B122" s="208"/>
      <c r="C122" s="218"/>
      <c r="D122" s="173">
        <f>SUM(D98:D120)</f>
        <v>1168189.9051999999</v>
      </c>
      <c r="E122" s="219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  <c r="AA122" s="167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</row>
    <row r="123" spans="1:89" ht="19.5" customHeight="1" x14ac:dyDescent="0.35">
      <c r="A123" s="180"/>
      <c r="B123" s="208"/>
      <c r="C123" s="204"/>
      <c r="D123" s="184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  <c r="AA123" s="167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</row>
    <row r="124" spans="1:89" ht="19.5" customHeight="1" x14ac:dyDescent="0.35">
      <c r="A124" s="180"/>
      <c r="B124" s="208"/>
      <c r="C124" s="204"/>
      <c r="D124" s="212">
        <f>+D4-D122</f>
        <v>4.7999999951571226E-3</v>
      </c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  <c r="AA124" s="167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</row>
    <row r="125" spans="1:89" ht="19.5" customHeight="1" x14ac:dyDescent="0.35">
      <c r="A125" s="180"/>
      <c r="B125" s="208"/>
      <c r="C125" s="204"/>
      <c r="D125" s="212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  <c r="AA125" s="167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</row>
    <row r="126" spans="1:89" ht="19.5" customHeight="1" x14ac:dyDescent="0.35">
      <c r="A126" s="180"/>
      <c r="B126" s="208"/>
      <c r="C126" s="204"/>
      <c r="D126" s="212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  <c r="AA126" s="167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</row>
    <row r="127" spans="1:89" ht="19.5" customHeight="1" x14ac:dyDescent="0.35">
      <c r="A127" s="180"/>
      <c r="B127" s="208"/>
      <c r="C127" s="204"/>
      <c r="D127" s="212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  <c r="AA127" s="167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</row>
    <row r="128" spans="1:89" ht="19.5" customHeight="1" x14ac:dyDescent="0.35">
      <c r="A128" s="180"/>
      <c r="B128" s="208"/>
      <c r="C128" s="204"/>
      <c r="D128" s="212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  <c r="AA128" s="167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</row>
    <row r="129" spans="1:47" ht="19.5" customHeight="1" x14ac:dyDescent="0.35">
      <c r="A129" s="180"/>
      <c r="B129" s="208"/>
      <c r="C129" s="204"/>
      <c r="D129" s="212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  <c r="AA129" s="167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</row>
    <row r="130" spans="1:47" ht="19.5" customHeight="1" x14ac:dyDescent="0.35">
      <c r="A130" s="180"/>
      <c r="B130" s="208"/>
      <c r="C130" s="204"/>
      <c r="D130" s="212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  <c r="AA130" s="167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</row>
    <row r="131" spans="1:47" ht="19.5" customHeight="1" x14ac:dyDescent="0.35">
      <c r="A131" s="180"/>
      <c r="B131" s="181"/>
      <c r="C131" s="182"/>
      <c r="D131" s="183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  <c r="AA131" s="181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</row>
    <row r="132" spans="1:47" ht="19.5" customHeight="1" x14ac:dyDescent="0.35">
      <c r="A132" s="180"/>
      <c r="B132" s="181"/>
      <c r="C132" s="182"/>
      <c r="D132" s="183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  <c r="AA132" s="181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</row>
    <row r="133" spans="1:47" ht="19.5" customHeight="1" x14ac:dyDescent="0.35">
      <c r="A133" s="180"/>
      <c r="B133" s="181"/>
      <c r="C133" s="182"/>
      <c r="D133" s="183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  <c r="AA133" s="181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</row>
    <row r="134" spans="1:47" ht="19.5" customHeight="1" x14ac:dyDescent="0.35">
      <c r="A134" s="180"/>
      <c r="B134" s="181"/>
      <c r="C134" s="182"/>
      <c r="D134" s="183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  <c r="AA134" s="181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</row>
    <row r="135" spans="1:47" ht="19.5" customHeight="1" x14ac:dyDescent="0.35">
      <c r="A135" s="180"/>
      <c r="B135" s="181"/>
      <c r="C135" s="182"/>
      <c r="D135" s="183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  <c r="AA135" s="181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</row>
    <row r="136" spans="1:47" ht="19.5" customHeight="1" x14ac:dyDescent="0.35">
      <c r="A136" s="180"/>
      <c r="B136" s="181"/>
      <c r="C136" s="182"/>
      <c r="D136" s="183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  <c r="AA136" s="181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</row>
    <row r="137" spans="1:47" ht="19.5" customHeight="1" x14ac:dyDescent="0.35">
      <c r="A137" s="180"/>
      <c r="B137" s="181"/>
      <c r="C137" s="182"/>
      <c r="D137" s="183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  <c r="AA137" s="181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</row>
    <row r="138" spans="1:47" ht="19.5" customHeight="1" x14ac:dyDescent="0.35">
      <c r="A138" s="180"/>
      <c r="B138" s="181"/>
      <c r="C138" s="182"/>
      <c r="D138" s="183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  <c r="AA138" s="181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</row>
    <row r="139" spans="1:47" ht="19.5" customHeight="1" x14ac:dyDescent="0.35">
      <c r="A139" s="180"/>
      <c r="B139" s="181"/>
      <c r="C139" s="182"/>
      <c r="D139" s="183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  <c r="AA139" s="181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</row>
    <row r="140" spans="1:47" ht="19.5" customHeight="1" x14ac:dyDescent="0.35">
      <c r="A140" s="180"/>
      <c r="B140" s="181"/>
      <c r="C140" s="182"/>
      <c r="D140" s="183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  <c r="AA140" s="181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</row>
    <row r="141" spans="1:47" ht="19.5" customHeight="1" x14ac:dyDescent="0.35">
      <c r="A141" s="180"/>
      <c r="B141" s="181"/>
      <c r="C141" s="182"/>
      <c r="D141" s="183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  <c r="AA141" s="181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</row>
    <row r="142" spans="1:47" ht="19.5" customHeight="1" x14ac:dyDescent="0.35">
      <c r="A142" s="180"/>
      <c r="B142" s="181"/>
      <c r="C142" s="182"/>
      <c r="D142" s="183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  <c r="AA142" s="181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</row>
    <row r="143" spans="1:47" ht="19.5" customHeight="1" x14ac:dyDescent="0.35">
      <c r="A143" s="180"/>
      <c r="B143" s="181"/>
      <c r="C143" s="182"/>
      <c r="D143" s="183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  <c r="AA143" s="181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</row>
    <row r="144" spans="1:47" ht="19.5" customHeight="1" x14ac:dyDescent="0.35">
      <c r="A144" s="180"/>
      <c r="B144" s="181"/>
      <c r="C144" s="182"/>
      <c r="D144" s="183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  <c r="AA144" s="181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</row>
    <row r="145" spans="1:47" ht="19.5" customHeight="1" x14ac:dyDescent="0.35">
      <c r="A145" s="180"/>
      <c r="B145" s="181"/>
      <c r="C145" s="182"/>
      <c r="D145" s="183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  <c r="AA145" s="181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</row>
    <row r="146" spans="1:47" ht="19.5" customHeight="1" x14ac:dyDescent="0.35">
      <c r="A146" s="180"/>
      <c r="B146" s="181"/>
      <c r="C146" s="182"/>
      <c r="D146" s="183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  <c r="AA146" s="181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</row>
    <row r="147" spans="1:47" ht="19.5" customHeight="1" x14ac:dyDescent="0.35">
      <c r="A147" s="180"/>
      <c r="B147" s="181"/>
      <c r="C147" s="182"/>
      <c r="D147" s="183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  <c r="AA147" s="181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</row>
    <row r="148" spans="1:47" ht="19.5" customHeight="1" x14ac:dyDescent="0.35">
      <c r="A148" s="180"/>
      <c r="B148" s="181"/>
      <c r="C148" s="182"/>
      <c r="D148" s="183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  <c r="AA148" s="181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</row>
    <row r="149" spans="1:47" ht="19.5" customHeight="1" x14ac:dyDescent="0.35">
      <c r="A149" s="180"/>
      <c r="B149" s="181"/>
      <c r="C149" s="182"/>
      <c r="D149" s="183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  <c r="AA149" s="181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</row>
    <row r="150" spans="1:47" ht="19.5" customHeight="1" x14ac:dyDescent="0.35">
      <c r="A150" s="180"/>
      <c r="B150" s="181"/>
      <c r="C150" s="182"/>
      <c r="D150" s="183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  <c r="AA150" s="181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</row>
    <row r="151" spans="1:47" ht="19.5" customHeight="1" x14ac:dyDescent="0.35">
      <c r="A151" s="180"/>
      <c r="B151" s="181"/>
      <c r="C151" s="182"/>
      <c r="D151" s="183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  <c r="AA151" s="181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</row>
    <row r="152" spans="1:47" ht="19.5" customHeight="1" x14ac:dyDescent="0.35">
      <c r="A152" s="180"/>
      <c r="B152" s="181"/>
      <c r="C152" s="182"/>
      <c r="D152" s="183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  <c r="AA152" s="181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</row>
    <row r="153" spans="1:47" ht="19.5" customHeight="1" x14ac:dyDescent="0.35">
      <c r="A153" s="180"/>
      <c r="B153" s="181"/>
      <c r="C153" s="182"/>
      <c r="D153" s="183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  <c r="AA153" s="181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</row>
    <row r="154" spans="1:47" ht="19.5" customHeight="1" x14ac:dyDescent="0.35">
      <c r="A154" s="180"/>
      <c r="B154" s="181"/>
      <c r="C154" s="182"/>
      <c r="D154" s="183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  <c r="AA154" s="181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</row>
    <row r="155" spans="1:47" ht="19.5" customHeight="1" x14ac:dyDescent="0.35">
      <c r="A155" s="180"/>
      <c r="B155" s="181"/>
      <c r="C155" s="182"/>
      <c r="D155" s="183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  <c r="AA155" s="181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</row>
    <row r="156" spans="1:47" ht="19.5" customHeight="1" x14ac:dyDescent="0.35">
      <c r="A156" s="180"/>
      <c r="B156" s="181"/>
      <c r="C156" s="182"/>
      <c r="D156" s="183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  <c r="AA156" s="181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</row>
    <row r="157" spans="1:47" ht="19.5" customHeight="1" x14ac:dyDescent="0.35">
      <c r="A157" s="180"/>
      <c r="B157" s="181"/>
      <c r="C157" s="182"/>
      <c r="D157" s="183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  <c r="AA157" s="181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</row>
    <row r="158" spans="1:47" ht="19.5" customHeight="1" x14ac:dyDescent="0.35">
      <c r="A158" s="180"/>
      <c r="B158" s="181"/>
      <c r="C158" s="182"/>
      <c r="D158" s="183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  <c r="AA158" s="181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</row>
    <row r="159" spans="1:47" ht="19.5" customHeight="1" x14ac:dyDescent="0.35">
      <c r="A159" s="180"/>
      <c r="B159" s="181"/>
      <c r="C159" s="182"/>
      <c r="D159" s="183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  <c r="AA159" s="181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</row>
    <row r="160" spans="1:47" ht="19.5" customHeight="1" x14ac:dyDescent="0.35">
      <c r="A160" s="180"/>
      <c r="B160" s="181"/>
      <c r="C160" s="182"/>
      <c r="D160" s="183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  <c r="AA160" s="181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</row>
    <row r="161" spans="1:47" ht="19.5" customHeight="1" x14ac:dyDescent="0.35">
      <c r="A161" s="180"/>
      <c r="B161" s="181"/>
      <c r="C161" s="182"/>
      <c r="D161" s="183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  <c r="AA161" s="181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</row>
    <row r="162" spans="1:47" ht="19.5" customHeight="1" x14ac:dyDescent="0.35">
      <c r="A162" s="180"/>
      <c r="B162" s="181"/>
      <c r="C162" s="182"/>
      <c r="D162" s="183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  <c r="AA162" s="181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</row>
    <row r="163" spans="1:47" ht="19.5" customHeight="1" x14ac:dyDescent="0.35">
      <c r="A163" s="180"/>
      <c r="B163" s="181"/>
      <c r="C163" s="182"/>
      <c r="D163" s="183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  <c r="AA163" s="181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</row>
    <row r="164" spans="1:47" ht="19.5" customHeight="1" x14ac:dyDescent="0.35">
      <c r="A164" s="180"/>
      <c r="B164" s="181"/>
      <c r="C164" s="182"/>
      <c r="D164" s="183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  <c r="AA164" s="181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</row>
    <row r="165" spans="1:47" ht="19.5" customHeight="1" x14ac:dyDescent="0.35">
      <c r="A165" s="180"/>
      <c r="B165" s="181"/>
      <c r="C165" s="182"/>
      <c r="D165" s="183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  <c r="AA165" s="181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</row>
    <row r="166" spans="1:47" ht="19.5" customHeight="1" x14ac:dyDescent="0.35">
      <c r="A166" s="180"/>
      <c r="B166" s="181"/>
      <c r="C166" s="182"/>
      <c r="D166" s="183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  <c r="AA166" s="181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</row>
    <row r="167" spans="1:47" ht="19.5" customHeight="1" x14ac:dyDescent="0.35">
      <c r="A167" s="180"/>
      <c r="B167" s="181"/>
      <c r="C167" s="182"/>
      <c r="D167" s="183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  <c r="AA167" s="181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</row>
    <row r="168" spans="1:47" ht="19.5" customHeight="1" x14ac:dyDescent="0.35">
      <c r="A168" s="180"/>
      <c r="B168" s="181"/>
      <c r="C168" s="182"/>
      <c r="D168" s="183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  <c r="AA168" s="181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</row>
    <row r="169" spans="1:47" ht="15.75" customHeight="1" x14ac:dyDescent="0.35">
      <c r="A169" s="180"/>
      <c r="B169" s="181"/>
      <c r="C169" s="182"/>
      <c r="D169" s="183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  <c r="AA169" s="181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</row>
    <row r="170" spans="1:47" ht="15.75" customHeight="1" x14ac:dyDescent="0.35">
      <c r="A170" s="180"/>
      <c r="B170" s="181"/>
      <c r="C170" s="182"/>
      <c r="D170" s="183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  <c r="AA170" s="181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</row>
    <row r="171" spans="1:47" ht="15.75" customHeight="1" x14ac:dyDescent="0.35">
      <c r="A171" s="180"/>
      <c r="B171" s="181"/>
      <c r="C171" s="182"/>
      <c r="D171" s="183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  <c r="AA171" s="181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</row>
    <row r="172" spans="1:47" ht="15.75" customHeight="1" x14ac:dyDescent="0.35">
      <c r="A172" s="180"/>
      <c r="B172" s="181"/>
      <c r="C172" s="182"/>
      <c r="D172" s="183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  <c r="AA172" s="181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</row>
    <row r="173" spans="1:47" ht="15.75" customHeight="1" x14ac:dyDescent="0.35">
      <c r="A173" s="180"/>
      <c r="B173" s="181"/>
      <c r="C173" s="182"/>
      <c r="D173" s="183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  <c r="AA173" s="181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</row>
    <row r="174" spans="1:47" ht="15.75" customHeight="1" x14ac:dyDescent="0.35">
      <c r="A174" s="180"/>
      <c r="B174" s="181"/>
      <c r="C174" s="182"/>
      <c r="D174" s="183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  <c r="AA174" s="181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</row>
    <row r="175" spans="1:47" ht="15.75" customHeight="1" x14ac:dyDescent="0.35">
      <c r="A175" s="180"/>
      <c r="B175" s="181"/>
      <c r="C175" s="182"/>
      <c r="D175" s="183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  <c r="AA175" s="181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</row>
    <row r="176" spans="1:47" ht="15.75" customHeight="1" x14ac:dyDescent="0.35">
      <c r="A176" s="180"/>
      <c r="B176" s="181"/>
      <c r="C176" s="182"/>
      <c r="D176" s="183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  <c r="AA176" s="181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</row>
    <row r="177" spans="1:47" ht="15.75" customHeight="1" x14ac:dyDescent="0.35">
      <c r="A177" s="180"/>
      <c r="B177" s="181"/>
      <c r="C177" s="182"/>
      <c r="D177" s="183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  <c r="AA177" s="181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</row>
    <row r="178" spans="1:47" ht="15.75" customHeight="1" x14ac:dyDescent="0.35">
      <c r="A178" s="180"/>
      <c r="B178" s="181"/>
      <c r="C178" s="182"/>
      <c r="D178" s="183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  <c r="AA178" s="181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</row>
    <row r="179" spans="1:47" ht="15.75" customHeight="1" x14ac:dyDescent="0.35">
      <c r="A179" s="180"/>
      <c r="B179" s="181"/>
      <c r="C179" s="182"/>
      <c r="D179" s="183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  <c r="AA179" s="181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</row>
    <row r="180" spans="1:47" ht="15.75" customHeight="1" x14ac:dyDescent="0.35">
      <c r="A180" s="180"/>
      <c r="B180" s="181"/>
      <c r="C180" s="182"/>
      <c r="D180" s="183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  <c r="AA180" s="181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</row>
    <row r="181" spans="1:47" ht="15.75" customHeight="1" x14ac:dyDescent="0.35">
      <c r="A181" s="180"/>
      <c r="B181" s="181"/>
      <c r="C181" s="182"/>
      <c r="D181" s="183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  <c r="AA181" s="181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</row>
    <row r="182" spans="1:47" ht="15.75" customHeight="1" x14ac:dyDescent="0.35">
      <c r="A182" s="180"/>
      <c r="B182" s="181"/>
      <c r="C182" s="182"/>
      <c r="D182" s="183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  <c r="AA182" s="181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</row>
    <row r="183" spans="1:47" ht="15.75" customHeight="1" x14ac:dyDescent="0.35">
      <c r="A183" s="180"/>
      <c r="B183" s="181"/>
      <c r="C183" s="182"/>
      <c r="D183" s="183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  <c r="AA183" s="181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</row>
    <row r="184" spans="1:47" ht="15.75" customHeight="1" x14ac:dyDescent="0.35">
      <c r="A184" s="180"/>
      <c r="B184" s="181"/>
      <c r="C184" s="182"/>
      <c r="D184" s="183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  <c r="AA184" s="181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</row>
    <row r="185" spans="1:47" ht="15.75" customHeight="1" x14ac:dyDescent="0.35">
      <c r="A185" s="180"/>
      <c r="B185" s="181"/>
      <c r="C185" s="182"/>
      <c r="D185" s="183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  <c r="AA185" s="181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</row>
    <row r="186" spans="1:47" ht="15.75" customHeight="1" x14ac:dyDescent="0.35">
      <c r="A186" s="180"/>
      <c r="B186" s="181"/>
      <c r="C186" s="182"/>
      <c r="D186" s="183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  <c r="AA186" s="181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</row>
    <row r="187" spans="1:47" ht="15.75" customHeight="1" x14ac:dyDescent="0.35">
      <c r="A187" s="180"/>
      <c r="B187" s="181"/>
      <c r="C187" s="182"/>
      <c r="D187" s="183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  <c r="AA187" s="181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</row>
    <row r="188" spans="1:47" ht="15.75" customHeight="1" x14ac:dyDescent="0.35">
      <c r="A188" s="180"/>
      <c r="B188" s="181"/>
      <c r="C188" s="182"/>
      <c r="D188" s="183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  <c r="AA188" s="181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</row>
    <row r="189" spans="1:47" ht="15.75" customHeight="1" x14ac:dyDescent="0.35">
      <c r="A189" s="180"/>
      <c r="B189" s="181"/>
      <c r="C189" s="182"/>
      <c r="D189" s="183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  <c r="AA189" s="181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</row>
    <row r="190" spans="1:47" ht="15.75" customHeight="1" x14ac:dyDescent="0.35">
      <c r="A190" s="180"/>
      <c r="B190" s="181"/>
      <c r="C190" s="182"/>
      <c r="D190" s="183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  <c r="AA190" s="181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</row>
    <row r="191" spans="1:47" ht="15.75" customHeight="1" x14ac:dyDescent="0.35">
      <c r="A191" s="180"/>
      <c r="B191" s="181"/>
      <c r="C191" s="182"/>
      <c r="D191" s="183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  <c r="AA191" s="181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</row>
    <row r="192" spans="1:47" ht="15.75" customHeight="1" x14ac:dyDescent="0.35">
      <c r="A192" s="180"/>
      <c r="B192" s="181"/>
      <c r="C192" s="182"/>
      <c r="D192" s="183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  <c r="AA192" s="181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</row>
    <row r="193" spans="1:47" ht="15.75" customHeight="1" x14ac:dyDescent="0.35">
      <c r="A193" s="180"/>
      <c r="B193" s="181"/>
      <c r="C193" s="182"/>
      <c r="D193" s="183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  <c r="AA193" s="181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</row>
    <row r="194" spans="1:47" ht="15.75" customHeight="1" x14ac:dyDescent="0.35">
      <c r="A194" s="180"/>
      <c r="B194" s="181"/>
      <c r="C194" s="182"/>
      <c r="D194" s="183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  <c r="AA194" s="181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</row>
    <row r="195" spans="1:47" ht="15.75" customHeight="1" x14ac:dyDescent="0.35">
      <c r="A195" s="180"/>
      <c r="B195" s="181"/>
      <c r="C195" s="182"/>
      <c r="D195" s="183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  <c r="AA195" s="181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</row>
    <row r="196" spans="1:47" ht="15.75" customHeight="1" x14ac:dyDescent="0.35">
      <c r="A196" s="180"/>
      <c r="B196" s="181"/>
      <c r="C196" s="182"/>
      <c r="D196" s="183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  <c r="AA196" s="181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</row>
    <row r="197" spans="1:47" ht="15.75" customHeight="1" x14ac:dyDescent="0.35">
      <c r="A197" s="180"/>
      <c r="B197" s="181"/>
      <c r="C197" s="182"/>
      <c r="D197" s="183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  <c r="AA197" s="181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</row>
    <row r="198" spans="1:47" ht="15.75" customHeight="1" x14ac:dyDescent="0.35">
      <c r="A198" s="180"/>
      <c r="B198" s="181"/>
      <c r="C198" s="182"/>
      <c r="D198" s="183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  <c r="AA198" s="181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</row>
    <row r="199" spans="1:47" ht="15.75" customHeight="1" x14ac:dyDescent="0.35">
      <c r="A199" s="180"/>
      <c r="B199" s="181"/>
      <c r="C199" s="182"/>
      <c r="D199" s="183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  <c r="AA199" s="181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</row>
    <row r="200" spans="1:47" ht="15.75" customHeight="1" x14ac:dyDescent="0.35">
      <c r="A200" s="180"/>
      <c r="B200" s="181"/>
      <c r="C200" s="182"/>
      <c r="D200" s="183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  <c r="AA200" s="181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</row>
    <row r="201" spans="1:47" ht="15.75" customHeight="1" x14ac:dyDescent="0.35">
      <c r="A201" s="180"/>
      <c r="B201" s="181"/>
      <c r="C201" s="182"/>
      <c r="D201" s="183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  <c r="AA201" s="181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</row>
    <row r="202" spans="1:47" ht="15.75" customHeight="1" x14ac:dyDescent="0.35">
      <c r="A202" s="180"/>
      <c r="B202" s="181"/>
      <c r="C202" s="182"/>
      <c r="D202" s="183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  <c r="AA202" s="181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</row>
    <row r="203" spans="1:47" ht="15.75" customHeight="1" x14ac:dyDescent="0.35">
      <c r="A203" s="180"/>
      <c r="B203" s="181"/>
      <c r="C203" s="182"/>
      <c r="D203" s="183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  <c r="AA203" s="181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</row>
    <row r="204" spans="1:47" ht="15.75" customHeight="1" x14ac:dyDescent="0.35">
      <c r="A204" s="180"/>
      <c r="B204" s="181"/>
      <c r="C204" s="182"/>
      <c r="D204" s="183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  <c r="AA204" s="181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</row>
    <row r="205" spans="1:47" ht="15.75" customHeight="1" x14ac:dyDescent="0.35">
      <c r="A205" s="180"/>
      <c r="B205" s="181"/>
      <c r="C205" s="182"/>
      <c r="D205" s="183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  <c r="AA205" s="181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</row>
    <row r="206" spans="1:47" ht="15.75" customHeight="1" x14ac:dyDescent="0.35">
      <c r="A206" s="180"/>
      <c r="B206" s="181"/>
      <c r="C206" s="182"/>
      <c r="D206" s="183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  <c r="AA206" s="181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</row>
    <row r="207" spans="1:47" ht="15.75" customHeight="1" x14ac:dyDescent="0.35">
      <c r="A207" s="180"/>
      <c r="B207" s="181"/>
      <c r="C207" s="182"/>
      <c r="D207" s="183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  <c r="AA207" s="181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</row>
    <row r="208" spans="1:47" ht="15.75" customHeight="1" x14ac:dyDescent="0.35">
      <c r="A208" s="180"/>
      <c r="B208" s="181"/>
      <c r="C208" s="182"/>
      <c r="D208" s="183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  <c r="AA208" s="181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</row>
    <row r="209" spans="1:47" ht="15.75" customHeight="1" x14ac:dyDescent="0.35">
      <c r="A209" s="180"/>
      <c r="B209" s="181"/>
      <c r="C209" s="182"/>
      <c r="D209" s="183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  <c r="AA209" s="181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</row>
    <row r="210" spans="1:47" ht="15.75" customHeight="1" x14ac:dyDescent="0.35">
      <c r="A210" s="180"/>
      <c r="B210" s="181"/>
      <c r="C210" s="182"/>
      <c r="D210" s="183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  <c r="AA210" s="181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</row>
    <row r="211" spans="1:47" ht="15.75" customHeight="1" x14ac:dyDescent="0.35">
      <c r="A211" s="180"/>
      <c r="B211" s="181"/>
      <c r="C211" s="182"/>
      <c r="D211" s="183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  <c r="AA211" s="181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</row>
    <row r="212" spans="1:47" ht="15.75" customHeight="1" x14ac:dyDescent="0.35">
      <c r="A212" s="180"/>
      <c r="B212" s="181"/>
      <c r="C212" s="182"/>
      <c r="D212" s="183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  <c r="AA212" s="181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</row>
    <row r="213" spans="1:47" ht="15.75" customHeight="1" x14ac:dyDescent="0.35">
      <c r="A213" s="180"/>
      <c r="B213" s="181"/>
      <c r="C213" s="182"/>
      <c r="D213" s="183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  <c r="AA213" s="181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</row>
    <row r="214" spans="1:47" ht="15.75" customHeight="1" x14ac:dyDescent="0.35">
      <c r="A214" s="180"/>
      <c r="B214" s="181"/>
      <c r="C214" s="182"/>
      <c r="D214" s="183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  <c r="AA214" s="181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</row>
    <row r="215" spans="1:47" ht="15.75" customHeight="1" x14ac:dyDescent="0.35">
      <c r="A215" s="180"/>
      <c r="B215" s="181"/>
      <c r="C215" s="182"/>
      <c r="D215" s="183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  <c r="AA215" s="181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</row>
    <row r="216" spans="1:47" ht="15.75" customHeight="1" x14ac:dyDescent="0.35">
      <c r="A216" s="180"/>
      <c r="B216" s="181"/>
      <c r="C216" s="182"/>
      <c r="D216" s="183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  <c r="AA216" s="181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</row>
    <row r="217" spans="1:47" ht="15.75" customHeight="1" x14ac:dyDescent="0.35">
      <c r="A217" s="180"/>
      <c r="B217" s="181"/>
      <c r="C217" s="182"/>
      <c r="D217" s="183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  <c r="AA217" s="181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</row>
    <row r="218" spans="1:47" ht="15.75" customHeight="1" x14ac:dyDescent="0.35">
      <c r="A218" s="180"/>
      <c r="B218" s="181"/>
      <c r="C218" s="182"/>
      <c r="D218" s="183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  <c r="AA218" s="181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</row>
    <row r="219" spans="1:47" ht="15.75" customHeight="1" x14ac:dyDescent="0.35">
      <c r="A219" s="180"/>
      <c r="B219" s="181"/>
      <c r="C219" s="182"/>
      <c r="D219" s="183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  <c r="AA219" s="181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</row>
    <row r="220" spans="1:47" ht="15.75" customHeight="1" x14ac:dyDescent="0.35">
      <c r="A220" s="180"/>
      <c r="B220" s="181"/>
      <c r="C220" s="182"/>
      <c r="D220" s="183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  <c r="AA220" s="181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</row>
    <row r="221" spans="1:47" ht="15.75" customHeight="1" x14ac:dyDescent="0.35">
      <c r="A221" s="180"/>
      <c r="B221" s="181"/>
      <c r="C221" s="182"/>
      <c r="D221" s="183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  <c r="AA221" s="181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</row>
    <row r="222" spans="1:47" ht="15.75" customHeight="1" x14ac:dyDescent="0.35">
      <c r="A222" s="180"/>
      <c r="B222" s="181"/>
      <c r="C222" s="182"/>
      <c r="D222" s="183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  <c r="AA222" s="181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</row>
    <row r="223" spans="1:47" ht="15.75" customHeight="1" x14ac:dyDescent="0.35">
      <c r="A223" s="180"/>
      <c r="B223" s="181"/>
      <c r="C223" s="182"/>
      <c r="D223" s="183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  <c r="AA223" s="181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</row>
    <row r="224" spans="1:47" ht="15.75" customHeight="1" x14ac:dyDescent="0.35">
      <c r="A224" s="180"/>
      <c r="B224" s="181"/>
      <c r="C224" s="182"/>
      <c r="D224" s="183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  <c r="AA224" s="181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</row>
    <row r="225" spans="1:47" ht="15.75" customHeight="1" x14ac:dyDescent="0.35">
      <c r="A225" s="180"/>
      <c r="B225" s="181"/>
      <c r="C225" s="182"/>
      <c r="D225" s="183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  <c r="AA225" s="181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</row>
    <row r="226" spans="1:47" ht="15.75" customHeight="1" x14ac:dyDescent="0.35">
      <c r="A226" s="180"/>
      <c r="B226" s="181"/>
      <c r="C226" s="182"/>
      <c r="D226" s="183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  <c r="AA226" s="181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</row>
    <row r="227" spans="1:47" ht="15.75" customHeight="1" x14ac:dyDescent="0.35">
      <c r="A227" s="180"/>
      <c r="B227" s="181"/>
      <c r="C227" s="182"/>
      <c r="D227" s="183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  <c r="AA227" s="181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</row>
    <row r="228" spans="1:47" ht="15.75" customHeight="1" x14ac:dyDescent="0.35">
      <c r="A228" s="180"/>
      <c r="B228" s="181"/>
      <c r="C228" s="182"/>
      <c r="D228" s="183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  <c r="AA228" s="181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</row>
    <row r="229" spans="1:47" ht="15.75" customHeight="1" x14ac:dyDescent="0.35">
      <c r="A229" s="180"/>
      <c r="B229" s="181"/>
      <c r="C229" s="182"/>
      <c r="D229" s="183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  <c r="AA229" s="181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</row>
    <row r="230" spans="1:47" ht="15.75" customHeight="1" x14ac:dyDescent="0.35">
      <c r="A230" s="180"/>
      <c r="B230" s="181"/>
      <c r="C230" s="182"/>
      <c r="D230" s="183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  <c r="AA230" s="181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</row>
    <row r="231" spans="1:47" ht="15.75" customHeight="1" x14ac:dyDescent="0.35">
      <c r="A231" s="180"/>
      <c r="B231" s="181"/>
      <c r="C231" s="182"/>
      <c r="D231" s="183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  <c r="AA231" s="181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</row>
    <row r="232" spans="1:47" ht="15.75" customHeight="1" x14ac:dyDescent="0.35">
      <c r="A232" s="180"/>
      <c r="B232" s="181"/>
      <c r="C232" s="182"/>
      <c r="D232" s="183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  <c r="AA232" s="181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</row>
    <row r="233" spans="1:47" ht="15.75" customHeight="1" x14ac:dyDescent="0.35">
      <c r="A233" s="180"/>
      <c r="B233" s="181"/>
      <c r="C233" s="182"/>
      <c r="D233" s="183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  <c r="AA233" s="181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</row>
    <row r="234" spans="1:47" ht="15.75" customHeight="1" x14ac:dyDescent="0.35">
      <c r="A234" s="180"/>
      <c r="B234" s="181"/>
      <c r="C234" s="182"/>
      <c r="D234" s="183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  <c r="AA234" s="181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</row>
    <row r="235" spans="1:47" ht="15.75" customHeight="1" x14ac:dyDescent="0.35">
      <c r="A235" s="180"/>
      <c r="B235" s="181"/>
      <c r="C235" s="182"/>
      <c r="D235" s="183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  <c r="AA235" s="181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</row>
    <row r="236" spans="1:47" ht="15.75" customHeight="1" x14ac:dyDescent="0.35">
      <c r="A236" s="180"/>
      <c r="B236" s="181"/>
      <c r="C236" s="182"/>
      <c r="D236" s="183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  <c r="AA236" s="181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</row>
    <row r="237" spans="1:47" ht="15.75" customHeight="1" x14ac:dyDescent="0.35">
      <c r="A237" s="180"/>
      <c r="B237" s="181"/>
      <c r="C237" s="182"/>
      <c r="D237" s="183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  <c r="AA237" s="181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</row>
    <row r="238" spans="1:47" ht="15.75" customHeight="1" x14ac:dyDescent="0.35">
      <c r="A238" s="180"/>
      <c r="B238" s="181"/>
      <c r="C238" s="182"/>
      <c r="D238" s="183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  <c r="AA238" s="181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</row>
    <row r="239" spans="1:47" ht="15.75" customHeight="1" x14ac:dyDescent="0.35">
      <c r="A239" s="180"/>
      <c r="B239" s="181"/>
      <c r="C239" s="182"/>
      <c r="D239" s="183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  <c r="AA239" s="181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</row>
    <row r="240" spans="1:47" ht="15.75" customHeight="1" x14ac:dyDescent="0.35">
      <c r="A240" s="180"/>
      <c r="B240" s="181"/>
      <c r="C240" s="182"/>
      <c r="D240" s="183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  <c r="AA240" s="181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</row>
    <row r="241" spans="1:47" ht="15.75" customHeight="1" x14ac:dyDescent="0.35">
      <c r="A241" s="180"/>
      <c r="B241" s="181"/>
      <c r="C241" s="182"/>
      <c r="D241" s="183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  <c r="AA241" s="181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</row>
    <row r="242" spans="1:47" ht="15.75" customHeight="1" x14ac:dyDescent="0.35">
      <c r="A242" s="180"/>
      <c r="B242" s="181"/>
      <c r="C242" s="182"/>
      <c r="D242" s="183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  <c r="AA242" s="181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</row>
    <row r="243" spans="1:47" ht="15.75" customHeight="1" x14ac:dyDescent="0.35">
      <c r="A243" s="180"/>
      <c r="B243" s="181"/>
      <c r="C243" s="182"/>
      <c r="D243" s="183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  <c r="AA243" s="181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</row>
    <row r="244" spans="1:47" ht="15.75" customHeight="1" x14ac:dyDescent="0.35">
      <c r="A244" s="180"/>
      <c r="B244" s="181"/>
      <c r="C244" s="182"/>
      <c r="D244" s="183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  <c r="AA244" s="181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</row>
    <row r="245" spans="1:47" ht="15.75" customHeight="1" x14ac:dyDescent="0.35">
      <c r="A245" s="180"/>
      <c r="B245" s="181"/>
      <c r="C245" s="182"/>
      <c r="D245" s="183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  <c r="AA245" s="181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</row>
    <row r="246" spans="1:47" ht="15.75" customHeight="1" x14ac:dyDescent="0.35">
      <c r="A246" s="180"/>
      <c r="B246" s="181"/>
      <c r="C246" s="182"/>
      <c r="D246" s="183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  <c r="AA246" s="181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</row>
    <row r="247" spans="1:47" ht="15.75" customHeight="1" x14ac:dyDescent="0.35">
      <c r="A247" s="180"/>
      <c r="B247" s="181"/>
      <c r="C247" s="182"/>
      <c r="D247" s="183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  <c r="AA247" s="181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</row>
    <row r="248" spans="1:47" ht="15.75" customHeight="1" x14ac:dyDescent="0.35">
      <c r="A248" s="180"/>
      <c r="B248" s="181"/>
      <c r="C248" s="182"/>
      <c r="D248" s="183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  <c r="AA248" s="181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</row>
    <row r="249" spans="1:47" ht="15.75" customHeight="1" x14ac:dyDescent="0.35">
      <c r="A249" s="180"/>
      <c r="B249" s="181"/>
      <c r="C249" s="182"/>
      <c r="D249" s="183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  <c r="AA249" s="181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</row>
    <row r="250" spans="1:47" ht="15.75" customHeight="1" x14ac:dyDescent="0.35">
      <c r="A250" s="180"/>
      <c r="B250" s="181"/>
      <c r="C250" s="182"/>
      <c r="D250" s="183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  <c r="AA250" s="181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</row>
    <row r="251" spans="1:47" ht="15.75" customHeight="1" x14ac:dyDescent="0.35">
      <c r="A251" s="180"/>
      <c r="B251" s="181"/>
      <c r="C251" s="182"/>
      <c r="D251" s="183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  <c r="AA251" s="181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</row>
    <row r="252" spans="1:47" ht="15.75" customHeight="1" x14ac:dyDescent="0.35">
      <c r="A252" s="180"/>
      <c r="B252" s="181"/>
      <c r="C252" s="182"/>
      <c r="D252" s="183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  <c r="AA252" s="181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</row>
    <row r="253" spans="1:47" ht="15.75" customHeight="1" x14ac:dyDescent="0.35">
      <c r="A253" s="180"/>
      <c r="B253" s="181"/>
      <c r="C253" s="182"/>
      <c r="D253" s="183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  <c r="AA253" s="181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</row>
    <row r="254" spans="1:47" ht="15.75" customHeight="1" x14ac:dyDescent="0.35">
      <c r="A254" s="180"/>
      <c r="B254" s="181"/>
      <c r="C254" s="182"/>
      <c r="D254" s="183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  <c r="AA254" s="181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</row>
    <row r="255" spans="1:47" ht="15.75" customHeight="1" x14ac:dyDescent="0.35">
      <c r="A255" s="180"/>
      <c r="B255" s="181"/>
      <c r="C255" s="182"/>
      <c r="D255" s="183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  <c r="AA255" s="181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</row>
    <row r="256" spans="1:47" ht="15.75" customHeight="1" x14ac:dyDescent="0.35">
      <c r="A256" s="180"/>
      <c r="B256" s="181"/>
      <c r="C256" s="182"/>
      <c r="D256" s="183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  <c r="AA256" s="181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</row>
    <row r="257" spans="1:47" ht="15.75" customHeight="1" x14ac:dyDescent="0.35">
      <c r="A257" s="180"/>
      <c r="B257" s="181"/>
      <c r="C257" s="182"/>
      <c r="D257" s="183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  <c r="AA257" s="181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</row>
    <row r="258" spans="1:47" ht="15.75" customHeight="1" x14ac:dyDescent="0.35">
      <c r="A258" s="148"/>
      <c r="B258" s="33"/>
      <c r="C258" s="149"/>
      <c r="D258" s="150"/>
      <c r="E258" s="130"/>
      <c r="F258" s="130"/>
      <c r="L258" s="130"/>
      <c r="M258" s="130"/>
      <c r="N258" s="130"/>
      <c r="O258" s="130"/>
      <c r="P258" s="130"/>
      <c r="AA258" s="33"/>
    </row>
    <row r="259" spans="1:47" ht="15.75" customHeight="1" x14ac:dyDescent="0.35">
      <c r="A259" s="148"/>
      <c r="B259" s="33"/>
      <c r="C259" s="149"/>
      <c r="D259" s="150"/>
      <c r="E259" s="130"/>
      <c r="F259" s="130"/>
      <c r="L259" s="130"/>
      <c r="M259" s="130"/>
      <c r="N259" s="130"/>
      <c r="O259" s="130"/>
      <c r="P259" s="130"/>
      <c r="AA259" s="33"/>
    </row>
    <row r="260" spans="1:47" ht="15.75" customHeight="1" x14ac:dyDescent="0.35">
      <c r="A260" s="148"/>
      <c r="B260" s="33"/>
      <c r="C260" s="149"/>
      <c r="D260" s="150"/>
      <c r="E260" s="130"/>
      <c r="F260" s="130"/>
      <c r="L260" s="130"/>
      <c r="M260" s="130"/>
      <c r="N260" s="130"/>
      <c r="O260" s="130"/>
      <c r="P260" s="130"/>
      <c r="AA260" s="33"/>
    </row>
    <row r="261" spans="1:47" ht="15.75" customHeight="1" x14ac:dyDescent="0.35">
      <c r="A261" s="148"/>
      <c r="B261" s="33"/>
      <c r="C261" s="149"/>
      <c r="D261" s="150"/>
      <c r="E261" s="130"/>
      <c r="F261" s="130"/>
      <c r="L261" s="130"/>
      <c r="M261" s="130"/>
      <c r="N261" s="130"/>
      <c r="O261" s="130"/>
      <c r="P261" s="130"/>
      <c r="AA261" s="33"/>
    </row>
    <row r="262" spans="1:47" ht="15.75" customHeight="1" x14ac:dyDescent="0.35">
      <c r="A262" s="148"/>
      <c r="B262" s="33"/>
      <c r="C262" s="149"/>
      <c r="D262" s="150"/>
      <c r="E262" s="130"/>
      <c r="F262" s="130"/>
      <c r="L262" s="130"/>
      <c r="M262" s="130"/>
      <c r="N262" s="130"/>
      <c r="O262" s="130"/>
      <c r="P262" s="130"/>
      <c r="AA262" s="33"/>
    </row>
    <row r="263" spans="1:47" ht="15.75" customHeight="1" x14ac:dyDescent="0.35">
      <c r="A263" s="148"/>
      <c r="B263" s="33"/>
      <c r="C263" s="149"/>
      <c r="D263" s="150"/>
      <c r="E263" s="130"/>
      <c r="F263" s="130"/>
      <c r="L263" s="130"/>
      <c r="M263" s="130"/>
      <c r="N263" s="130"/>
      <c r="O263" s="130"/>
      <c r="P263" s="130"/>
      <c r="AA263" s="33"/>
    </row>
    <row r="264" spans="1:47" ht="15.75" customHeight="1" x14ac:dyDescent="0.35">
      <c r="A264" s="148"/>
      <c r="B264" s="33"/>
      <c r="C264" s="149"/>
      <c r="D264" s="150"/>
      <c r="E264" s="130"/>
      <c r="F264" s="130"/>
      <c r="L264" s="130"/>
      <c r="M264" s="130"/>
      <c r="N264" s="130"/>
      <c r="O264" s="130"/>
      <c r="P264" s="130"/>
      <c r="AA264" s="33"/>
    </row>
    <row r="265" spans="1:47" ht="15.75" customHeight="1" x14ac:dyDescent="0.35">
      <c r="A265" s="148"/>
      <c r="B265" s="33"/>
      <c r="C265" s="149"/>
      <c r="D265" s="150"/>
      <c r="E265" s="130"/>
      <c r="F265" s="130"/>
      <c r="L265" s="130"/>
      <c r="M265" s="130"/>
      <c r="N265" s="130"/>
      <c r="O265" s="130"/>
      <c r="P265" s="130"/>
      <c r="AA265" s="33"/>
    </row>
    <row r="266" spans="1:47" ht="15.75" customHeight="1" x14ac:dyDescent="0.35">
      <c r="A266" s="148"/>
      <c r="B266" s="33"/>
      <c r="C266" s="149"/>
      <c r="D266" s="150"/>
      <c r="E266" s="130"/>
      <c r="F266" s="130"/>
      <c r="L266" s="130"/>
      <c r="M266" s="130"/>
      <c r="N266" s="130"/>
      <c r="O266" s="130"/>
      <c r="P266" s="130"/>
      <c r="AA266" s="33"/>
    </row>
    <row r="267" spans="1:47" ht="15.75" customHeight="1" x14ac:dyDescent="0.35">
      <c r="A267" s="148"/>
      <c r="B267" s="33"/>
      <c r="C267" s="149"/>
      <c r="D267" s="150"/>
      <c r="E267" s="130"/>
      <c r="F267" s="130"/>
      <c r="L267" s="130"/>
      <c r="M267" s="130"/>
      <c r="N267" s="130"/>
      <c r="O267" s="130"/>
      <c r="P267" s="130"/>
      <c r="AA267" s="33"/>
    </row>
    <row r="268" spans="1:47" ht="15.75" customHeight="1" x14ac:dyDescent="0.35">
      <c r="A268" s="148"/>
      <c r="B268" s="33"/>
      <c r="C268" s="149"/>
      <c r="D268" s="150"/>
      <c r="E268" s="130"/>
      <c r="F268" s="130"/>
      <c r="L268" s="130"/>
      <c r="M268" s="130"/>
      <c r="N268" s="130"/>
      <c r="O268" s="130"/>
      <c r="P268" s="130"/>
      <c r="AA268" s="33"/>
    </row>
    <row r="269" spans="1:47" ht="15.75" customHeight="1" x14ac:dyDescent="0.35">
      <c r="A269" s="148"/>
      <c r="B269" s="33"/>
      <c r="C269" s="149"/>
      <c r="D269" s="150"/>
      <c r="E269" s="130"/>
      <c r="F269" s="130"/>
      <c r="L269" s="130"/>
      <c r="M269" s="130"/>
      <c r="N269" s="130"/>
      <c r="O269" s="130"/>
      <c r="P269" s="130"/>
      <c r="AA269" s="33"/>
    </row>
    <row r="270" spans="1:47" ht="15.75" customHeight="1" x14ac:dyDescent="0.35">
      <c r="A270" s="148"/>
      <c r="B270" s="33"/>
      <c r="C270" s="149"/>
      <c r="D270" s="150"/>
      <c r="E270" s="130"/>
      <c r="F270" s="130"/>
      <c r="L270" s="130"/>
      <c r="M270" s="130"/>
      <c r="N270" s="130"/>
      <c r="O270" s="130"/>
      <c r="P270" s="130"/>
      <c r="AA270" s="33"/>
    </row>
    <row r="271" spans="1:47" ht="15.75" customHeight="1" x14ac:dyDescent="0.35">
      <c r="A271" s="148"/>
      <c r="B271" s="33"/>
      <c r="C271" s="149"/>
      <c r="D271" s="150"/>
      <c r="E271" s="130"/>
      <c r="F271" s="130"/>
      <c r="L271" s="130"/>
      <c r="M271" s="130"/>
      <c r="N271" s="130"/>
      <c r="O271" s="130"/>
      <c r="P271" s="130"/>
      <c r="AA271" s="33"/>
    </row>
    <row r="272" spans="1:47" ht="15.75" customHeight="1" x14ac:dyDescent="0.35">
      <c r="A272" s="148"/>
      <c r="B272" s="33"/>
      <c r="C272" s="149"/>
      <c r="D272" s="150"/>
      <c r="E272" s="130"/>
      <c r="F272" s="130"/>
      <c r="L272" s="130"/>
      <c r="M272" s="130"/>
      <c r="N272" s="130"/>
      <c r="O272" s="130"/>
      <c r="P272" s="130"/>
      <c r="AA272" s="33"/>
    </row>
    <row r="273" spans="1:27" ht="15.75" customHeight="1" x14ac:dyDescent="0.35">
      <c r="A273" s="148"/>
      <c r="B273" s="33"/>
      <c r="C273" s="149"/>
      <c r="D273" s="150"/>
      <c r="E273" s="130"/>
      <c r="F273" s="130"/>
      <c r="L273" s="130"/>
      <c r="M273" s="130"/>
      <c r="N273" s="130"/>
      <c r="O273" s="130"/>
      <c r="P273" s="130"/>
      <c r="AA273" s="33"/>
    </row>
    <row r="274" spans="1:27" ht="15.75" customHeight="1" x14ac:dyDescent="0.35">
      <c r="A274" s="148"/>
      <c r="B274" s="33"/>
      <c r="C274" s="149"/>
      <c r="D274" s="150"/>
      <c r="E274" s="130"/>
      <c r="F274" s="130"/>
      <c r="L274" s="130"/>
      <c r="M274" s="130"/>
      <c r="N274" s="130"/>
      <c r="O274" s="130"/>
      <c r="P274" s="130"/>
      <c r="AA274" s="33"/>
    </row>
    <row r="275" spans="1:27" ht="15.75" customHeight="1" x14ac:dyDescent="0.35">
      <c r="A275" s="148"/>
      <c r="B275" s="33"/>
      <c r="C275" s="149"/>
      <c r="D275" s="150"/>
      <c r="E275" s="130"/>
      <c r="F275" s="130"/>
      <c r="L275" s="130"/>
      <c r="M275" s="130"/>
      <c r="N275" s="130"/>
      <c r="O275" s="130"/>
      <c r="P275" s="130"/>
      <c r="AA275" s="33"/>
    </row>
    <row r="276" spans="1:27" ht="15.75" customHeight="1" x14ac:dyDescent="0.35">
      <c r="A276" s="148"/>
      <c r="B276" s="33"/>
      <c r="C276" s="149"/>
      <c r="D276" s="150"/>
      <c r="E276" s="130"/>
      <c r="F276" s="130"/>
      <c r="L276" s="130"/>
      <c r="M276" s="130"/>
      <c r="N276" s="130"/>
      <c r="O276" s="130"/>
      <c r="P276" s="130"/>
      <c r="AA276" s="33"/>
    </row>
    <row r="277" spans="1:27" ht="15.75" customHeight="1" x14ac:dyDescent="0.35">
      <c r="A277" s="148"/>
      <c r="B277" s="33"/>
      <c r="C277" s="149"/>
      <c r="D277" s="150"/>
      <c r="E277" s="130"/>
      <c r="F277" s="130"/>
      <c r="L277" s="130"/>
      <c r="M277" s="130"/>
      <c r="N277" s="130"/>
      <c r="O277" s="130"/>
      <c r="P277" s="130"/>
      <c r="AA277" s="33"/>
    </row>
    <row r="278" spans="1:27" ht="15.75" customHeight="1" x14ac:dyDescent="0.35">
      <c r="A278" s="148"/>
      <c r="B278" s="33"/>
      <c r="C278" s="149"/>
      <c r="D278" s="150"/>
      <c r="E278" s="130"/>
      <c r="F278" s="130"/>
      <c r="L278" s="130"/>
      <c r="M278" s="130"/>
      <c r="N278" s="130"/>
      <c r="O278" s="130"/>
      <c r="P278" s="130"/>
      <c r="AA278" s="33"/>
    </row>
    <row r="279" spans="1:27" ht="15.75" customHeight="1" x14ac:dyDescent="0.35">
      <c r="A279" s="148"/>
      <c r="B279" s="33"/>
      <c r="C279" s="149"/>
      <c r="D279" s="150"/>
      <c r="E279" s="130"/>
      <c r="F279" s="130"/>
      <c r="L279" s="130"/>
      <c r="M279" s="130"/>
      <c r="N279" s="130"/>
      <c r="O279" s="130"/>
      <c r="P279" s="130"/>
      <c r="AA279" s="33"/>
    </row>
    <row r="280" spans="1:27" ht="15.75" customHeight="1" x14ac:dyDescent="0.35">
      <c r="A280" s="148"/>
      <c r="B280" s="33"/>
      <c r="C280" s="149"/>
      <c r="D280" s="150"/>
      <c r="E280" s="130"/>
      <c r="F280" s="130"/>
      <c r="L280" s="130"/>
      <c r="M280" s="130"/>
      <c r="N280" s="130"/>
      <c r="O280" s="130"/>
      <c r="P280" s="130"/>
      <c r="AA280" s="33"/>
    </row>
    <row r="281" spans="1:27" ht="15.75" customHeight="1" x14ac:dyDescent="0.35">
      <c r="A281" s="148"/>
      <c r="B281" s="33"/>
      <c r="C281" s="149"/>
      <c r="D281" s="150"/>
      <c r="E281" s="130"/>
      <c r="F281" s="130"/>
      <c r="L281" s="130"/>
      <c r="M281" s="130"/>
      <c r="N281" s="130"/>
      <c r="O281" s="130"/>
      <c r="P281" s="130"/>
      <c r="AA281" s="33"/>
    </row>
    <row r="282" spans="1:27" ht="15.75" customHeight="1" x14ac:dyDescent="0.35">
      <c r="A282" s="148"/>
      <c r="B282" s="33"/>
      <c r="C282" s="149"/>
      <c r="D282" s="150"/>
      <c r="E282" s="130"/>
      <c r="F282" s="130"/>
      <c r="L282" s="130"/>
      <c r="M282" s="130"/>
      <c r="N282" s="130"/>
      <c r="O282" s="130"/>
      <c r="P282" s="130"/>
      <c r="AA282" s="33"/>
    </row>
    <row r="283" spans="1:27" ht="15.75" customHeight="1" x14ac:dyDescent="0.35">
      <c r="A283" s="148"/>
      <c r="B283" s="33"/>
      <c r="C283" s="149"/>
      <c r="D283" s="150"/>
      <c r="E283" s="130"/>
      <c r="F283" s="130"/>
      <c r="L283" s="130"/>
      <c r="M283" s="130"/>
      <c r="N283" s="130"/>
      <c r="O283" s="130"/>
      <c r="P283" s="130"/>
      <c r="AA283" s="33"/>
    </row>
    <row r="284" spans="1:27" ht="15.75" customHeight="1" x14ac:dyDescent="0.35">
      <c r="A284" s="148"/>
      <c r="B284" s="33"/>
      <c r="C284" s="149"/>
      <c r="D284" s="150"/>
      <c r="E284" s="130"/>
      <c r="F284" s="130"/>
      <c r="L284" s="130"/>
      <c r="M284" s="130"/>
      <c r="N284" s="130"/>
      <c r="O284" s="130"/>
      <c r="P284" s="130"/>
      <c r="AA284" s="33"/>
    </row>
    <row r="285" spans="1:27" ht="15.75" customHeight="1" x14ac:dyDescent="0.35">
      <c r="A285" s="148"/>
      <c r="B285" s="33"/>
      <c r="C285" s="149"/>
      <c r="D285" s="150"/>
      <c r="E285" s="130"/>
      <c r="F285" s="130"/>
      <c r="L285" s="130"/>
      <c r="M285" s="130"/>
      <c r="N285" s="130"/>
      <c r="O285" s="130"/>
      <c r="P285" s="130"/>
      <c r="AA285" s="33"/>
    </row>
    <row r="286" spans="1:27" ht="15.75" customHeight="1" x14ac:dyDescent="0.35">
      <c r="A286" s="148"/>
      <c r="B286" s="33"/>
      <c r="C286" s="149"/>
      <c r="D286" s="150"/>
      <c r="E286" s="130"/>
      <c r="F286" s="130"/>
      <c r="L286" s="130"/>
      <c r="M286" s="130"/>
      <c r="N286" s="130"/>
      <c r="O286" s="130"/>
      <c r="P286" s="130"/>
      <c r="AA286" s="33"/>
    </row>
    <row r="287" spans="1:27" ht="15.75" customHeight="1" x14ac:dyDescent="0.35">
      <c r="A287" s="148"/>
      <c r="B287" s="33"/>
      <c r="C287" s="149"/>
      <c r="D287" s="150"/>
      <c r="E287" s="130"/>
      <c r="F287" s="130"/>
      <c r="L287" s="130"/>
      <c r="M287" s="130"/>
      <c r="N287" s="130"/>
      <c r="O287" s="130"/>
      <c r="P287" s="130"/>
      <c r="AA287" s="33"/>
    </row>
    <row r="288" spans="1:27" ht="15.75" customHeight="1" x14ac:dyDescent="0.35">
      <c r="A288" s="148"/>
      <c r="B288" s="33"/>
      <c r="C288" s="149"/>
      <c r="D288" s="150"/>
      <c r="E288" s="130"/>
      <c r="F288" s="130"/>
      <c r="L288" s="130"/>
      <c r="M288" s="130"/>
      <c r="N288" s="130"/>
      <c r="O288" s="130"/>
      <c r="P288" s="130"/>
      <c r="AA288" s="33"/>
    </row>
    <row r="289" spans="1:27" ht="15.75" customHeight="1" x14ac:dyDescent="0.35">
      <c r="A289" s="148"/>
      <c r="B289" s="33"/>
      <c r="C289" s="149"/>
      <c r="D289" s="150"/>
      <c r="E289" s="130"/>
      <c r="F289" s="130"/>
      <c r="L289" s="130"/>
      <c r="M289" s="130"/>
      <c r="N289" s="130"/>
      <c r="O289" s="130"/>
      <c r="P289" s="130"/>
      <c r="AA289" s="33"/>
    </row>
    <row r="290" spans="1:27" ht="15.75" customHeight="1" x14ac:dyDescent="0.35">
      <c r="A290" s="148"/>
      <c r="B290" s="33"/>
      <c r="C290" s="149"/>
      <c r="D290" s="150"/>
      <c r="E290" s="130"/>
      <c r="F290" s="130"/>
      <c r="L290" s="130"/>
      <c r="M290" s="130"/>
      <c r="N290" s="130"/>
      <c r="O290" s="130"/>
      <c r="P290" s="130"/>
      <c r="AA290" s="33"/>
    </row>
    <row r="291" spans="1:27" ht="15.75" customHeight="1" x14ac:dyDescent="0.35">
      <c r="A291" s="148"/>
      <c r="B291" s="33"/>
      <c r="C291" s="149"/>
      <c r="D291" s="150"/>
      <c r="E291" s="130"/>
      <c r="F291" s="130"/>
      <c r="L291" s="130"/>
      <c r="M291" s="130"/>
      <c r="N291" s="130"/>
      <c r="O291" s="130"/>
      <c r="P291" s="130"/>
      <c r="AA291" s="33"/>
    </row>
    <row r="292" spans="1:27" ht="15.75" customHeight="1" x14ac:dyDescent="0.35">
      <c r="A292" s="148"/>
      <c r="B292" s="33"/>
      <c r="C292" s="149"/>
      <c r="D292" s="150"/>
      <c r="E292" s="130"/>
      <c r="F292" s="130"/>
      <c r="L292" s="130"/>
      <c r="M292" s="130"/>
      <c r="N292" s="130"/>
      <c r="O292" s="130"/>
      <c r="P292" s="130"/>
      <c r="AA292" s="33"/>
    </row>
    <row r="293" spans="1:27" ht="15.75" customHeight="1" x14ac:dyDescent="0.35">
      <c r="A293" s="148"/>
      <c r="B293" s="33"/>
      <c r="C293" s="149"/>
      <c r="D293" s="150"/>
      <c r="E293" s="130"/>
      <c r="F293" s="130"/>
      <c r="L293" s="130"/>
      <c r="M293" s="130"/>
      <c r="N293" s="130"/>
      <c r="O293" s="130"/>
      <c r="P293" s="130"/>
      <c r="AA293" s="33"/>
    </row>
    <row r="294" spans="1:27" ht="15.75" customHeight="1" x14ac:dyDescent="0.35">
      <c r="A294" s="148"/>
      <c r="B294" s="33"/>
      <c r="C294" s="149"/>
      <c r="D294" s="150"/>
      <c r="E294" s="130"/>
      <c r="F294" s="130"/>
      <c r="L294" s="130"/>
      <c r="M294" s="130"/>
      <c r="N294" s="130"/>
      <c r="O294" s="130"/>
      <c r="P294" s="130"/>
      <c r="AA294" s="33"/>
    </row>
    <row r="295" spans="1:27" ht="15.75" customHeight="1" x14ac:dyDescent="0.35">
      <c r="A295" s="148"/>
      <c r="B295" s="33"/>
      <c r="C295" s="149"/>
      <c r="D295" s="150"/>
      <c r="E295" s="130"/>
      <c r="F295" s="130"/>
      <c r="L295" s="130"/>
      <c r="M295" s="130"/>
      <c r="N295" s="130"/>
      <c r="O295" s="130"/>
      <c r="P295" s="130"/>
      <c r="AA295" s="33"/>
    </row>
    <row r="296" spans="1:27" ht="15.75" customHeight="1" x14ac:dyDescent="0.35">
      <c r="A296" s="148"/>
      <c r="B296" s="33"/>
      <c r="C296" s="149"/>
      <c r="D296" s="150"/>
      <c r="E296" s="130"/>
      <c r="F296" s="130"/>
      <c r="L296" s="130"/>
      <c r="M296" s="130"/>
      <c r="N296" s="130"/>
      <c r="O296" s="130"/>
      <c r="P296" s="130"/>
      <c r="AA296" s="33"/>
    </row>
    <row r="297" spans="1:27" ht="15.75" customHeight="1" x14ac:dyDescent="0.35">
      <c r="A297" s="148"/>
      <c r="B297" s="33"/>
      <c r="C297" s="149"/>
      <c r="D297" s="150"/>
      <c r="E297" s="130"/>
      <c r="F297" s="130"/>
      <c r="L297" s="130"/>
      <c r="M297" s="130"/>
      <c r="N297" s="130"/>
      <c r="O297" s="130"/>
      <c r="P297" s="130"/>
      <c r="AA297" s="33"/>
    </row>
    <row r="298" spans="1:27" ht="15.75" customHeight="1" x14ac:dyDescent="0.35">
      <c r="A298" s="148"/>
      <c r="B298" s="33"/>
      <c r="C298" s="149"/>
      <c r="D298" s="150"/>
      <c r="E298" s="130"/>
      <c r="F298" s="130"/>
      <c r="L298" s="130"/>
      <c r="M298" s="130"/>
      <c r="N298" s="130"/>
      <c r="O298" s="130"/>
      <c r="P298" s="130"/>
      <c r="AA298" s="33"/>
    </row>
    <row r="299" spans="1:27" ht="15.75" customHeight="1" x14ac:dyDescent="0.35">
      <c r="A299" s="148"/>
      <c r="B299" s="33"/>
      <c r="C299" s="149"/>
      <c r="D299" s="150"/>
      <c r="E299" s="130"/>
      <c r="F299" s="130"/>
      <c r="L299" s="130"/>
      <c r="M299" s="130"/>
      <c r="N299" s="130"/>
      <c r="O299" s="130"/>
      <c r="P299" s="130"/>
      <c r="AA299" s="33"/>
    </row>
    <row r="300" spans="1:27" ht="15.75" customHeight="1" x14ac:dyDescent="0.35">
      <c r="A300" s="148"/>
      <c r="B300" s="33"/>
      <c r="C300" s="149"/>
      <c r="D300" s="150"/>
      <c r="E300" s="130"/>
      <c r="F300" s="130"/>
      <c r="L300" s="130"/>
      <c r="M300" s="130"/>
      <c r="N300" s="130"/>
      <c r="O300" s="130"/>
      <c r="P300" s="130"/>
      <c r="AA300" s="33"/>
    </row>
    <row r="301" spans="1:27" ht="15.75" customHeight="1" x14ac:dyDescent="0.35">
      <c r="A301" s="148"/>
      <c r="B301" s="33"/>
      <c r="C301" s="149"/>
      <c r="D301" s="150"/>
      <c r="E301" s="130"/>
      <c r="F301" s="130"/>
      <c r="L301" s="130"/>
      <c r="M301" s="130"/>
      <c r="N301" s="130"/>
      <c r="O301" s="130"/>
      <c r="P301" s="130"/>
      <c r="AA301" s="33"/>
    </row>
    <row r="302" spans="1:27" ht="15.75" customHeight="1" x14ac:dyDescent="0.35">
      <c r="A302" s="148"/>
      <c r="B302" s="33"/>
      <c r="C302" s="149"/>
      <c r="D302" s="150"/>
      <c r="E302" s="130"/>
      <c r="F302" s="130"/>
      <c r="L302" s="130"/>
      <c r="M302" s="130"/>
      <c r="N302" s="130"/>
      <c r="O302" s="130"/>
      <c r="P302" s="130"/>
      <c r="AA302" s="33"/>
    </row>
    <row r="303" spans="1:27" ht="15.75" customHeight="1" x14ac:dyDescent="0.35">
      <c r="A303" s="148"/>
      <c r="B303" s="33"/>
      <c r="C303" s="149"/>
      <c r="D303" s="150"/>
      <c r="E303" s="130"/>
      <c r="F303" s="130"/>
      <c r="L303" s="130"/>
      <c r="M303" s="130"/>
      <c r="N303" s="130"/>
      <c r="O303" s="130"/>
      <c r="P303" s="130"/>
      <c r="AA303" s="33"/>
    </row>
    <row r="304" spans="1:27" ht="15.75" customHeight="1" x14ac:dyDescent="0.35">
      <c r="A304" s="148"/>
      <c r="B304" s="33"/>
      <c r="C304" s="149"/>
      <c r="D304" s="150"/>
      <c r="E304" s="130"/>
      <c r="F304" s="130"/>
      <c r="L304" s="130"/>
      <c r="M304" s="130"/>
      <c r="N304" s="130"/>
      <c r="O304" s="130"/>
      <c r="P304" s="130"/>
      <c r="AA304" s="33"/>
    </row>
    <row r="305" spans="1:27" ht="15.75" customHeight="1" x14ac:dyDescent="0.35">
      <c r="A305" s="148"/>
      <c r="B305" s="33"/>
      <c r="C305" s="149"/>
      <c r="D305" s="150"/>
      <c r="E305" s="130"/>
      <c r="F305" s="130"/>
      <c r="L305" s="130"/>
      <c r="M305" s="130"/>
      <c r="N305" s="130"/>
      <c r="O305" s="130"/>
      <c r="P305" s="130"/>
      <c r="AA305" s="33"/>
    </row>
    <row r="306" spans="1:27" ht="15.75" customHeight="1" x14ac:dyDescent="0.35">
      <c r="A306" s="148"/>
      <c r="B306" s="33"/>
      <c r="C306" s="149"/>
      <c r="D306" s="150"/>
      <c r="E306" s="130"/>
      <c r="F306" s="130"/>
      <c r="L306" s="130"/>
      <c r="M306" s="130"/>
      <c r="N306" s="130"/>
      <c r="O306" s="130"/>
      <c r="P306" s="130"/>
      <c r="AA306" s="33"/>
    </row>
    <row r="307" spans="1:27" ht="15.75" customHeight="1" x14ac:dyDescent="0.35">
      <c r="A307" s="148"/>
      <c r="B307" s="33"/>
      <c r="C307" s="149"/>
      <c r="D307" s="150"/>
      <c r="E307" s="130"/>
      <c r="F307" s="130"/>
      <c r="L307" s="130"/>
      <c r="M307" s="130"/>
      <c r="N307" s="130"/>
      <c r="O307" s="130"/>
      <c r="P307" s="130"/>
      <c r="AA307" s="33"/>
    </row>
    <row r="308" spans="1:27" ht="15.75" customHeight="1" x14ac:dyDescent="0.35">
      <c r="A308" s="148"/>
      <c r="B308" s="33"/>
      <c r="C308" s="149"/>
      <c r="D308" s="150"/>
      <c r="E308" s="130"/>
      <c r="F308" s="130"/>
      <c r="L308" s="130"/>
      <c r="M308" s="130"/>
      <c r="N308" s="130"/>
      <c r="O308" s="130"/>
      <c r="P308" s="130"/>
      <c r="AA308" s="33"/>
    </row>
    <row r="309" spans="1:27" ht="15.75" customHeight="1" x14ac:dyDescent="0.35">
      <c r="A309" s="148"/>
      <c r="B309" s="33"/>
      <c r="C309" s="149"/>
      <c r="D309" s="150"/>
      <c r="E309" s="130"/>
      <c r="F309" s="130"/>
      <c r="L309" s="130"/>
      <c r="M309" s="130"/>
      <c r="N309" s="130"/>
      <c r="O309" s="130"/>
      <c r="P309" s="130"/>
      <c r="AA309" s="33"/>
    </row>
    <row r="310" spans="1:27" ht="15.75" customHeight="1" x14ac:dyDescent="0.35">
      <c r="A310" s="148"/>
      <c r="B310" s="33"/>
      <c r="C310" s="149"/>
      <c r="D310" s="150"/>
      <c r="E310" s="130"/>
      <c r="F310" s="130"/>
      <c r="L310" s="130"/>
      <c r="M310" s="130"/>
      <c r="N310" s="130"/>
      <c r="O310" s="130"/>
      <c r="P310" s="130"/>
      <c r="AA310" s="33"/>
    </row>
    <row r="311" spans="1:27" ht="15.75" customHeight="1" x14ac:dyDescent="0.35">
      <c r="A311" s="148"/>
      <c r="B311" s="33"/>
      <c r="C311" s="149"/>
      <c r="D311" s="150"/>
      <c r="E311" s="130"/>
      <c r="F311" s="130"/>
      <c r="L311" s="130"/>
      <c r="M311" s="130"/>
      <c r="N311" s="130"/>
      <c r="O311" s="130"/>
      <c r="P311" s="130"/>
      <c r="AA311" s="33"/>
    </row>
    <row r="312" spans="1:27" ht="15.75" customHeight="1" x14ac:dyDescent="0.35">
      <c r="A312" s="148"/>
      <c r="B312" s="33"/>
      <c r="C312" s="149"/>
      <c r="D312" s="150"/>
      <c r="E312" s="130"/>
      <c r="F312" s="130"/>
      <c r="L312" s="130"/>
      <c r="M312" s="130"/>
      <c r="N312" s="130"/>
      <c r="O312" s="130"/>
      <c r="P312" s="130"/>
      <c r="AA312" s="33"/>
    </row>
    <row r="313" spans="1:27" ht="15.75" customHeight="1" x14ac:dyDescent="0.35">
      <c r="A313" s="148"/>
      <c r="B313" s="33"/>
      <c r="C313" s="149"/>
      <c r="D313" s="150"/>
      <c r="E313" s="130"/>
      <c r="F313" s="130"/>
      <c r="L313" s="130"/>
      <c r="M313" s="130"/>
      <c r="N313" s="130"/>
      <c r="O313" s="130"/>
      <c r="P313" s="130"/>
      <c r="AA313" s="33"/>
    </row>
    <row r="314" spans="1:27" ht="15.75" customHeight="1" x14ac:dyDescent="0.35">
      <c r="A314" s="148"/>
      <c r="B314" s="33"/>
      <c r="C314" s="149"/>
      <c r="D314" s="150"/>
      <c r="E314" s="130"/>
      <c r="F314" s="130"/>
      <c r="L314" s="130"/>
      <c r="M314" s="130"/>
      <c r="N314" s="130"/>
      <c r="O314" s="130"/>
      <c r="P314" s="130"/>
      <c r="AA314" s="33"/>
    </row>
    <row r="315" spans="1:27" ht="15.75" customHeight="1" x14ac:dyDescent="0.35">
      <c r="A315" s="148"/>
      <c r="B315" s="33"/>
      <c r="C315" s="149"/>
      <c r="D315" s="150"/>
      <c r="E315" s="130"/>
      <c r="F315" s="130"/>
      <c r="L315" s="130"/>
      <c r="M315" s="130"/>
      <c r="N315" s="130"/>
      <c r="O315" s="130"/>
      <c r="P315" s="130"/>
      <c r="AA315" s="33"/>
    </row>
    <row r="316" spans="1:27" ht="15.75" customHeight="1" x14ac:dyDescent="0.35">
      <c r="A316" s="148"/>
      <c r="B316" s="33"/>
      <c r="C316" s="149"/>
      <c r="D316" s="150"/>
      <c r="E316" s="130"/>
      <c r="F316" s="130"/>
      <c r="L316" s="130"/>
      <c r="M316" s="130"/>
      <c r="N316" s="130"/>
      <c r="O316" s="130"/>
      <c r="P316" s="130"/>
      <c r="AA316" s="33"/>
    </row>
    <row r="317" spans="1:27" ht="15.75" customHeight="1" x14ac:dyDescent="0.35">
      <c r="A317" s="148"/>
      <c r="B317" s="33"/>
      <c r="C317" s="149"/>
      <c r="D317" s="150"/>
      <c r="E317" s="130"/>
      <c r="F317" s="130"/>
      <c r="L317" s="130"/>
      <c r="M317" s="130"/>
      <c r="N317" s="130"/>
      <c r="O317" s="130"/>
      <c r="P317" s="130"/>
      <c r="AA317" s="33"/>
    </row>
    <row r="318" spans="1:27" ht="15.75" customHeight="1" x14ac:dyDescent="0.35">
      <c r="A318" s="148"/>
      <c r="B318" s="33"/>
      <c r="C318" s="149"/>
      <c r="D318" s="150"/>
      <c r="E318" s="130"/>
      <c r="F318" s="130"/>
      <c r="L318" s="130"/>
      <c r="M318" s="130"/>
      <c r="N318" s="130"/>
      <c r="O318" s="130"/>
      <c r="P318" s="130"/>
      <c r="AA318" s="33"/>
    </row>
    <row r="319" spans="1:27" ht="15.75" customHeight="1" x14ac:dyDescent="0.35">
      <c r="A319" s="148"/>
      <c r="B319" s="33"/>
      <c r="C319" s="149"/>
      <c r="D319" s="150"/>
      <c r="E319" s="130"/>
      <c r="F319" s="130"/>
      <c r="L319" s="130"/>
      <c r="M319" s="130"/>
      <c r="N319" s="130"/>
      <c r="O319" s="130"/>
      <c r="P319" s="130"/>
      <c r="AA319" s="33"/>
    </row>
    <row r="320" spans="1:27" ht="15.75" customHeight="1" x14ac:dyDescent="0.35">
      <c r="A320" s="148"/>
      <c r="B320" s="33"/>
      <c r="C320" s="149"/>
      <c r="D320" s="150"/>
      <c r="E320" s="130"/>
      <c r="F320" s="130"/>
      <c r="L320" s="130"/>
      <c r="M320" s="130"/>
      <c r="N320" s="130"/>
      <c r="O320" s="130"/>
      <c r="P320" s="130"/>
      <c r="AA320" s="33"/>
    </row>
    <row r="321" spans="1:27" ht="15.75" customHeight="1" x14ac:dyDescent="0.35">
      <c r="A321" s="148"/>
      <c r="B321" s="33"/>
      <c r="C321" s="149"/>
      <c r="D321" s="150"/>
      <c r="E321" s="130"/>
      <c r="F321" s="130"/>
      <c r="L321" s="130"/>
      <c r="M321" s="130"/>
      <c r="N321" s="130"/>
      <c r="O321" s="130"/>
      <c r="P321" s="130"/>
      <c r="AA321" s="33"/>
    </row>
    <row r="322" spans="1:27" ht="15.75" customHeight="1" x14ac:dyDescent="0.35">
      <c r="A322" s="148"/>
      <c r="B322" s="33"/>
      <c r="C322" s="149"/>
      <c r="D322" s="150"/>
      <c r="E322" s="130"/>
      <c r="F322" s="130"/>
      <c r="L322" s="130"/>
      <c r="M322" s="130"/>
      <c r="N322" s="130"/>
      <c r="O322" s="130"/>
      <c r="P322" s="130"/>
      <c r="AA322" s="33"/>
    </row>
    <row r="323" spans="1:27" ht="15.75" customHeight="1" x14ac:dyDescent="0.35">
      <c r="A323" s="148"/>
      <c r="B323" s="33"/>
      <c r="C323" s="149"/>
      <c r="D323" s="150"/>
      <c r="E323" s="130"/>
      <c r="F323" s="130"/>
      <c r="L323" s="130"/>
      <c r="M323" s="130"/>
      <c r="N323" s="130"/>
      <c r="O323" s="130"/>
      <c r="P323" s="130"/>
      <c r="AA323" s="33"/>
    </row>
    <row r="324" spans="1:27" ht="15.75" customHeight="1" x14ac:dyDescent="0.35">
      <c r="A324" s="148"/>
      <c r="B324" s="33"/>
      <c r="C324" s="149"/>
      <c r="D324" s="150"/>
      <c r="E324" s="130"/>
      <c r="F324" s="130"/>
      <c r="L324" s="130"/>
      <c r="M324" s="130"/>
      <c r="N324" s="130"/>
      <c r="O324" s="130"/>
      <c r="P324" s="130"/>
      <c r="AA324" s="33"/>
    </row>
    <row r="325" spans="1:27" ht="15.75" customHeight="1" x14ac:dyDescent="0.35">
      <c r="A325" s="148"/>
      <c r="B325" s="33"/>
      <c r="C325" s="149"/>
      <c r="D325" s="150"/>
      <c r="E325" s="130"/>
      <c r="F325" s="130"/>
      <c r="L325" s="130"/>
      <c r="M325" s="130"/>
      <c r="N325" s="130"/>
      <c r="O325" s="130"/>
      <c r="P325" s="130"/>
      <c r="AA325" s="33"/>
    </row>
    <row r="326" spans="1:27" ht="15.75" customHeight="1" x14ac:dyDescent="0.35">
      <c r="A326" s="148"/>
      <c r="B326" s="33"/>
      <c r="C326" s="149"/>
      <c r="D326" s="150"/>
      <c r="E326" s="130"/>
      <c r="F326" s="130"/>
      <c r="L326" s="130"/>
      <c r="M326" s="130"/>
      <c r="N326" s="130"/>
      <c r="O326" s="130"/>
      <c r="P326" s="130"/>
      <c r="AA326" s="33"/>
    </row>
    <row r="327" spans="1:27" ht="15.75" customHeight="1" x14ac:dyDescent="0.35">
      <c r="A327" s="148"/>
      <c r="B327" s="33"/>
      <c r="C327" s="149"/>
      <c r="D327" s="150"/>
      <c r="E327" s="130"/>
      <c r="F327" s="130"/>
      <c r="L327" s="130"/>
      <c r="M327" s="130"/>
      <c r="N327" s="130"/>
      <c r="O327" s="130"/>
      <c r="P327" s="130"/>
      <c r="AA327" s="33"/>
    </row>
    <row r="328" spans="1:27" ht="15.75" customHeight="1" x14ac:dyDescent="0.35">
      <c r="A328" s="148"/>
      <c r="B328" s="33"/>
      <c r="C328" s="149"/>
      <c r="D328" s="150"/>
      <c r="E328" s="130"/>
      <c r="F328" s="130"/>
      <c r="L328" s="130"/>
      <c r="M328" s="130"/>
      <c r="N328" s="130"/>
      <c r="O328" s="130"/>
      <c r="P328" s="130"/>
      <c r="AA328" s="33"/>
    </row>
    <row r="329" spans="1:27" ht="15.75" customHeight="1" x14ac:dyDescent="0.35">
      <c r="A329" s="148"/>
      <c r="B329" s="33"/>
      <c r="C329" s="149"/>
      <c r="D329" s="150"/>
      <c r="E329" s="130"/>
      <c r="F329" s="130"/>
      <c r="L329" s="130"/>
      <c r="M329" s="130"/>
      <c r="N329" s="130"/>
      <c r="O329" s="130"/>
      <c r="P329" s="130"/>
      <c r="AA329" s="33"/>
    </row>
    <row r="330" spans="1:27" ht="15.75" customHeight="1" x14ac:dyDescent="0.35">
      <c r="A330" s="148"/>
      <c r="B330" s="33"/>
      <c r="C330" s="149"/>
      <c r="D330" s="150"/>
      <c r="E330" s="130"/>
      <c r="F330" s="130"/>
      <c r="L330" s="130"/>
      <c r="M330" s="130"/>
      <c r="N330" s="130"/>
      <c r="O330" s="130"/>
      <c r="P330" s="130"/>
      <c r="AA330" s="33"/>
    </row>
    <row r="331" spans="1:27" ht="15.75" customHeight="1" x14ac:dyDescent="0.35">
      <c r="A331" s="148"/>
      <c r="B331" s="33"/>
      <c r="C331" s="149"/>
      <c r="D331" s="150"/>
      <c r="E331" s="130"/>
      <c r="F331" s="130"/>
      <c r="L331" s="130"/>
      <c r="M331" s="130"/>
      <c r="N331" s="130"/>
      <c r="O331" s="130"/>
      <c r="P331" s="130"/>
      <c r="AA331" s="33"/>
    </row>
    <row r="332" spans="1:27" ht="15.75" customHeight="1" x14ac:dyDescent="0.35">
      <c r="A332" s="148"/>
      <c r="B332" s="33"/>
      <c r="C332" s="149"/>
      <c r="D332" s="150"/>
      <c r="E332" s="130"/>
      <c r="F332" s="130"/>
      <c r="L332" s="130"/>
      <c r="M332" s="130"/>
      <c r="N332" s="130"/>
      <c r="O332" s="130"/>
      <c r="P332" s="130"/>
      <c r="AA332" s="33"/>
    </row>
    <row r="333" spans="1:27" ht="15.75" customHeight="1" x14ac:dyDescent="0.35">
      <c r="A333" s="148"/>
      <c r="B333" s="33"/>
      <c r="C333" s="149"/>
      <c r="D333" s="150"/>
      <c r="E333" s="130"/>
      <c r="F333" s="130"/>
      <c r="L333" s="130"/>
      <c r="M333" s="130"/>
      <c r="N333" s="130"/>
      <c r="O333" s="130"/>
      <c r="P333" s="130"/>
      <c r="AA333" s="33"/>
    </row>
    <row r="334" spans="1:27" ht="15.75" customHeight="1" x14ac:dyDescent="0.35">
      <c r="A334" s="148"/>
      <c r="B334" s="33"/>
      <c r="C334" s="149"/>
      <c r="D334" s="150"/>
      <c r="E334" s="130"/>
      <c r="F334" s="130"/>
      <c r="L334" s="130"/>
      <c r="M334" s="130"/>
      <c r="N334" s="130"/>
      <c r="O334" s="130"/>
      <c r="P334" s="130"/>
      <c r="AA334" s="33"/>
    </row>
    <row r="335" spans="1:27" ht="15.75" customHeight="1" x14ac:dyDescent="0.35">
      <c r="A335" s="148"/>
      <c r="B335" s="33"/>
      <c r="C335" s="149"/>
      <c r="D335" s="150"/>
      <c r="E335" s="130"/>
      <c r="F335" s="130"/>
      <c r="L335" s="130"/>
      <c r="M335" s="130"/>
      <c r="N335" s="130"/>
      <c r="O335" s="130"/>
      <c r="P335" s="130"/>
      <c r="AA335" s="33"/>
    </row>
    <row r="336" spans="1:27" ht="15.75" customHeight="1" x14ac:dyDescent="0.35">
      <c r="A336" s="148"/>
      <c r="B336" s="33"/>
      <c r="C336" s="149"/>
      <c r="D336" s="150"/>
      <c r="E336" s="130"/>
      <c r="F336" s="130"/>
      <c r="L336" s="130"/>
      <c r="M336" s="130"/>
      <c r="N336" s="130"/>
      <c r="O336" s="130"/>
      <c r="P336" s="130"/>
      <c r="AA336" s="33"/>
    </row>
    <row r="337" spans="1:27" ht="15.75" customHeight="1" x14ac:dyDescent="0.35">
      <c r="A337" s="148"/>
      <c r="B337" s="33"/>
      <c r="C337" s="149"/>
      <c r="D337" s="150"/>
      <c r="E337" s="130"/>
      <c r="F337" s="130"/>
      <c r="L337" s="130"/>
      <c r="M337" s="130"/>
      <c r="N337" s="130"/>
      <c r="O337" s="130"/>
      <c r="P337" s="130"/>
      <c r="AA337" s="33"/>
    </row>
    <row r="338" spans="1:27" ht="15.75" customHeight="1" x14ac:dyDescent="0.35">
      <c r="A338" s="148"/>
      <c r="B338" s="33"/>
      <c r="C338" s="149"/>
      <c r="D338" s="150"/>
      <c r="E338" s="130"/>
      <c r="F338" s="130"/>
      <c r="L338" s="130"/>
      <c r="M338" s="130"/>
      <c r="N338" s="130"/>
      <c r="O338" s="130"/>
      <c r="P338" s="130"/>
      <c r="AA338" s="33"/>
    </row>
    <row r="339" spans="1:27" ht="15.75" customHeight="1" x14ac:dyDescent="0.35">
      <c r="A339" s="148"/>
      <c r="B339" s="33"/>
      <c r="C339" s="149"/>
      <c r="D339" s="150"/>
      <c r="E339" s="130"/>
      <c r="F339" s="130"/>
      <c r="L339" s="130"/>
      <c r="M339" s="130"/>
      <c r="N339" s="130"/>
      <c r="O339" s="130"/>
      <c r="P339" s="130"/>
      <c r="AA339" s="33"/>
    </row>
    <row r="340" spans="1:27" ht="15.75" customHeight="1" x14ac:dyDescent="0.35">
      <c r="A340" s="148"/>
      <c r="B340" s="33"/>
      <c r="C340" s="149"/>
      <c r="D340" s="150"/>
      <c r="E340" s="130"/>
      <c r="F340" s="130"/>
      <c r="L340" s="130"/>
      <c r="M340" s="130"/>
      <c r="N340" s="130"/>
      <c r="O340" s="130"/>
      <c r="P340" s="130"/>
      <c r="AA340" s="33"/>
    </row>
    <row r="341" spans="1:27" ht="15.75" customHeight="1" x14ac:dyDescent="0.35">
      <c r="A341" s="148"/>
      <c r="B341" s="33"/>
      <c r="C341" s="149"/>
      <c r="D341" s="150"/>
      <c r="E341" s="130"/>
      <c r="F341" s="130"/>
      <c r="L341" s="130"/>
      <c r="M341" s="130"/>
      <c r="N341" s="130"/>
      <c r="O341" s="130"/>
      <c r="P341" s="130"/>
      <c r="AA341" s="33"/>
    </row>
    <row r="342" spans="1:27" ht="15.75" customHeight="1" x14ac:dyDescent="0.35">
      <c r="A342" s="148"/>
      <c r="B342" s="33"/>
      <c r="C342" s="149"/>
      <c r="D342" s="150"/>
      <c r="E342" s="130"/>
      <c r="F342" s="130"/>
      <c r="L342" s="130"/>
      <c r="M342" s="130"/>
      <c r="N342" s="130"/>
      <c r="O342" s="130"/>
      <c r="P342" s="130"/>
      <c r="AA342" s="33"/>
    </row>
    <row r="343" spans="1:27" ht="15.75" customHeight="1" x14ac:dyDescent="0.35">
      <c r="A343" s="148"/>
      <c r="B343" s="33"/>
      <c r="C343" s="149"/>
      <c r="D343" s="150"/>
      <c r="E343" s="130"/>
      <c r="F343" s="130"/>
      <c r="L343" s="130"/>
      <c r="M343" s="130"/>
      <c r="N343" s="130"/>
      <c r="O343" s="130"/>
      <c r="P343" s="130"/>
      <c r="AA343" s="33"/>
    </row>
    <row r="344" spans="1:27" ht="15.75" customHeight="1" x14ac:dyDescent="0.35">
      <c r="A344" s="148"/>
      <c r="B344" s="33"/>
      <c r="C344" s="149"/>
      <c r="D344" s="150"/>
      <c r="E344" s="130"/>
      <c r="F344" s="130"/>
      <c r="L344" s="130"/>
      <c r="M344" s="130"/>
      <c r="N344" s="130"/>
      <c r="O344" s="130"/>
      <c r="P344" s="130"/>
      <c r="AA344" s="33"/>
    </row>
    <row r="345" spans="1:27" ht="15.75" customHeight="1" x14ac:dyDescent="0.35">
      <c r="A345" s="148"/>
      <c r="B345" s="33"/>
      <c r="C345" s="149"/>
      <c r="D345" s="150"/>
      <c r="E345" s="130"/>
      <c r="F345" s="130"/>
      <c r="L345" s="130"/>
      <c r="M345" s="130"/>
      <c r="N345" s="130"/>
      <c r="O345" s="130"/>
      <c r="P345" s="130"/>
      <c r="AA345" s="33"/>
    </row>
    <row r="346" spans="1:27" ht="15.75" customHeight="1" x14ac:dyDescent="0.35">
      <c r="A346" s="148"/>
      <c r="B346" s="33"/>
      <c r="C346" s="149"/>
      <c r="D346" s="150"/>
      <c r="E346" s="130"/>
      <c r="F346" s="130"/>
      <c r="L346" s="130"/>
      <c r="M346" s="130"/>
      <c r="N346" s="130"/>
      <c r="O346" s="130"/>
      <c r="P346" s="130"/>
      <c r="AA346" s="33"/>
    </row>
    <row r="347" spans="1:27" ht="15.75" customHeight="1" x14ac:dyDescent="0.35">
      <c r="A347" s="148"/>
      <c r="B347" s="33"/>
      <c r="C347" s="149"/>
      <c r="D347" s="150"/>
      <c r="E347" s="130"/>
      <c r="F347" s="130"/>
      <c r="L347" s="130"/>
      <c r="M347" s="130"/>
      <c r="N347" s="130"/>
      <c r="O347" s="130"/>
      <c r="P347" s="130"/>
      <c r="AA347" s="33"/>
    </row>
    <row r="348" spans="1:27" ht="15.75" customHeight="1" x14ac:dyDescent="0.35">
      <c r="A348" s="148"/>
      <c r="B348" s="33"/>
      <c r="C348" s="149"/>
      <c r="D348" s="150"/>
      <c r="E348" s="130"/>
      <c r="F348" s="130"/>
      <c r="L348" s="130"/>
      <c r="M348" s="130"/>
      <c r="N348" s="130"/>
      <c r="O348" s="130"/>
      <c r="P348" s="130"/>
      <c r="AA348" s="33"/>
    </row>
    <row r="349" spans="1:27" ht="15.75" customHeight="1" x14ac:dyDescent="0.35">
      <c r="A349" s="148"/>
      <c r="B349" s="33"/>
      <c r="C349" s="149"/>
      <c r="D349" s="150"/>
      <c r="E349" s="130"/>
      <c r="F349" s="130"/>
      <c r="L349" s="130"/>
      <c r="M349" s="130"/>
      <c r="N349" s="130"/>
      <c r="O349" s="130"/>
      <c r="P349" s="130"/>
      <c r="AA349" s="33"/>
    </row>
    <row r="350" spans="1:27" ht="15.75" customHeight="1" x14ac:dyDescent="0.35">
      <c r="A350" s="148"/>
      <c r="B350" s="33"/>
      <c r="C350" s="149"/>
      <c r="D350" s="150"/>
      <c r="E350" s="130"/>
      <c r="F350" s="130"/>
      <c r="L350" s="130"/>
      <c r="M350" s="130"/>
      <c r="N350" s="130"/>
      <c r="O350" s="130"/>
      <c r="P350" s="130"/>
      <c r="AA350" s="33"/>
    </row>
    <row r="351" spans="1:27" ht="15.75" customHeight="1" x14ac:dyDescent="0.35">
      <c r="A351" s="148"/>
      <c r="B351" s="33"/>
      <c r="C351" s="149"/>
      <c r="D351" s="150"/>
      <c r="E351" s="130"/>
      <c r="F351" s="130"/>
      <c r="L351" s="130"/>
      <c r="M351" s="130"/>
      <c r="N351" s="130"/>
      <c r="O351" s="130"/>
      <c r="P351" s="130"/>
      <c r="AA351" s="33"/>
    </row>
    <row r="352" spans="1:27" ht="15.75" customHeight="1" x14ac:dyDescent="0.35">
      <c r="A352" s="148"/>
      <c r="B352" s="33"/>
      <c r="C352" s="149"/>
      <c r="D352" s="150"/>
      <c r="E352" s="130"/>
      <c r="F352" s="130"/>
      <c r="L352" s="130"/>
      <c r="M352" s="130"/>
      <c r="N352" s="130"/>
      <c r="O352" s="130"/>
      <c r="P352" s="130"/>
      <c r="AA352" s="33"/>
    </row>
    <row r="353" spans="1:27" ht="15.75" customHeight="1" x14ac:dyDescent="0.35">
      <c r="A353" s="148"/>
      <c r="B353" s="33"/>
      <c r="C353" s="149"/>
      <c r="D353" s="150"/>
      <c r="E353" s="130"/>
      <c r="F353" s="130"/>
      <c r="L353" s="130"/>
      <c r="M353" s="130"/>
      <c r="N353" s="130"/>
      <c r="O353" s="130"/>
      <c r="P353" s="130"/>
      <c r="AA353" s="33"/>
    </row>
    <row r="354" spans="1:27" ht="15.75" customHeight="1" x14ac:dyDescent="0.35">
      <c r="A354" s="148"/>
      <c r="B354" s="33"/>
      <c r="C354" s="149"/>
      <c r="D354" s="150"/>
      <c r="E354" s="130"/>
      <c r="F354" s="130"/>
      <c r="L354" s="130"/>
      <c r="M354" s="130"/>
      <c r="N354" s="130"/>
      <c r="O354" s="130"/>
      <c r="P354" s="130"/>
      <c r="AA354" s="33"/>
    </row>
    <row r="355" spans="1:27" ht="15.75" customHeight="1" x14ac:dyDescent="0.35">
      <c r="A355" s="148"/>
      <c r="B355" s="33"/>
      <c r="C355" s="149"/>
      <c r="D355" s="150"/>
      <c r="E355" s="130"/>
      <c r="F355" s="130"/>
      <c r="L355" s="130"/>
      <c r="M355" s="130"/>
      <c r="N355" s="130"/>
      <c r="O355" s="130"/>
      <c r="P355" s="130"/>
      <c r="AA355" s="33"/>
    </row>
    <row r="356" spans="1:27" ht="15.75" customHeight="1" x14ac:dyDescent="0.35">
      <c r="A356" s="148"/>
      <c r="B356" s="33"/>
      <c r="C356" s="149"/>
      <c r="D356" s="150"/>
      <c r="E356" s="130"/>
      <c r="F356" s="130"/>
      <c r="L356" s="130"/>
      <c r="M356" s="130"/>
      <c r="N356" s="130"/>
      <c r="O356" s="130"/>
      <c r="P356" s="130"/>
      <c r="AA356" s="33"/>
    </row>
    <row r="357" spans="1:27" ht="15.75" customHeight="1" x14ac:dyDescent="0.35">
      <c r="A357" s="148"/>
      <c r="B357" s="33"/>
      <c r="C357" s="149"/>
      <c r="D357" s="150"/>
      <c r="E357" s="130"/>
      <c r="F357" s="130"/>
      <c r="L357" s="130"/>
      <c r="M357" s="130"/>
      <c r="N357" s="130"/>
      <c r="O357" s="130"/>
      <c r="P357" s="130"/>
      <c r="AA357" s="33"/>
    </row>
    <row r="358" spans="1:27" ht="15.75" customHeight="1" x14ac:dyDescent="0.35">
      <c r="A358" s="148"/>
      <c r="B358" s="33"/>
      <c r="C358" s="149"/>
      <c r="D358" s="150"/>
      <c r="E358" s="130"/>
      <c r="F358" s="130"/>
      <c r="L358" s="130"/>
      <c r="M358" s="130"/>
      <c r="N358" s="130"/>
      <c r="O358" s="130"/>
      <c r="P358" s="130"/>
      <c r="AA358" s="33"/>
    </row>
    <row r="359" spans="1:27" ht="15.75" customHeight="1" x14ac:dyDescent="0.35">
      <c r="A359" s="148"/>
      <c r="B359" s="33"/>
      <c r="C359" s="149"/>
      <c r="D359" s="150"/>
      <c r="E359" s="130"/>
      <c r="F359" s="130"/>
      <c r="L359" s="130"/>
      <c r="M359" s="130"/>
      <c r="N359" s="130"/>
      <c r="O359" s="130"/>
      <c r="P359" s="130"/>
      <c r="AA359" s="33"/>
    </row>
    <row r="360" spans="1:27" ht="15.75" customHeight="1" x14ac:dyDescent="0.35">
      <c r="A360" s="148"/>
      <c r="B360" s="33"/>
      <c r="C360" s="149"/>
      <c r="D360" s="150"/>
      <c r="E360" s="130"/>
      <c r="F360" s="130"/>
      <c r="L360" s="130"/>
      <c r="M360" s="130"/>
      <c r="N360" s="130"/>
      <c r="O360" s="130"/>
      <c r="P360" s="130"/>
      <c r="AA360" s="33"/>
    </row>
    <row r="361" spans="1:27" ht="15.75" customHeight="1" x14ac:dyDescent="0.35">
      <c r="A361" s="148"/>
      <c r="B361" s="33"/>
      <c r="C361" s="149"/>
      <c r="D361" s="150"/>
      <c r="E361" s="130"/>
      <c r="F361" s="130"/>
      <c r="L361" s="130"/>
      <c r="M361" s="130"/>
      <c r="N361" s="130"/>
      <c r="O361" s="130"/>
      <c r="P361" s="130"/>
      <c r="AA361" s="33"/>
    </row>
    <row r="362" spans="1:27" ht="15.75" customHeight="1" x14ac:dyDescent="0.35">
      <c r="A362" s="148"/>
      <c r="B362" s="33"/>
      <c r="C362" s="149"/>
      <c r="D362" s="150"/>
      <c r="E362" s="130"/>
      <c r="F362" s="130"/>
      <c r="L362" s="130"/>
      <c r="M362" s="130"/>
      <c r="N362" s="130"/>
      <c r="O362" s="130"/>
      <c r="P362" s="130"/>
      <c r="AA362" s="33"/>
    </row>
    <row r="363" spans="1:27" ht="15.75" customHeight="1" x14ac:dyDescent="0.35">
      <c r="A363" s="148"/>
      <c r="B363" s="33"/>
      <c r="C363" s="149"/>
      <c r="D363" s="150"/>
      <c r="E363" s="130"/>
      <c r="F363" s="130"/>
      <c r="L363" s="130"/>
      <c r="M363" s="130"/>
      <c r="N363" s="130"/>
      <c r="O363" s="130"/>
      <c r="P363" s="130"/>
      <c r="AA363" s="33"/>
    </row>
    <row r="364" spans="1:27" ht="15.75" customHeight="1" x14ac:dyDescent="0.35">
      <c r="A364" s="148"/>
      <c r="B364" s="33"/>
      <c r="C364" s="149"/>
      <c r="D364" s="150"/>
      <c r="E364" s="130"/>
      <c r="F364" s="130"/>
      <c r="L364" s="130"/>
      <c r="M364" s="130"/>
      <c r="N364" s="130"/>
      <c r="O364" s="130"/>
      <c r="P364" s="130"/>
      <c r="AA364" s="33"/>
    </row>
    <row r="365" spans="1:27" ht="15.75" customHeight="1" x14ac:dyDescent="0.35">
      <c r="A365" s="148"/>
      <c r="B365" s="33"/>
      <c r="C365" s="149"/>
      <c r="D365" s="150"/>
      <c r="E365" s="130"/>
      <c r="F365" s="130"/>
      <c r="L365" s="130"/>
      <c r="M365" s="130"/>
      <c r="N365" s="130"/>
      <c r="O365" s="130"/>
      <c r="P365" s="130"/>
      <c r="AA365" s="33"/>
    </row>
    <row r="366" spans="1:27" ht="15.75" customHeight="1" x14ac:dyDescent="0.35">
      <c r="A366" s="148"/>
      <c r="B366" s="33"/>
      <c r="C366" s="149"/>
      <c r="D366" s="150"/>
      <c r="E366" s="130"/>
      <c r="F366" s="130"/>
      <c r="L366" s="130"/>
      <c r="M366" s="130"/>
      <c r="N366" s="130"/>
      <c r="O366" s="130"/>
      <c r="P366" s="130"/>
      <c r="AA366" s="33"/>
    </row>
    <row r="367" spans="1:27" ht="15.75" customHeight="1" x14ac:dyDescent="0.35">
      <c r="A367" s="148"/>
      <c r="B367" s="33"/>
      <c r="C367" s="149"/>
      <c r="D367" s="150"/>
      <c r="E367" s="130"/>
      <c r="F367" s="130"/>
      <c r="L367" s="130"/>
      <c r="M367" s="130"/>
      <c r="N367" s="130"/>
      <c r="O367" s="130"/>
      <c r="P367" s="130"/>
      <c r="AA367" s="33"/>
    </row>
    <row r="368" spans="1:27" ht="15.75" customHeight="1" x14ac:dyDescent="0.35">
      <c r="A368" s="148"/>
      <c r="B368" s="33"/>
      <c r="C368" s="149"/>
      <c r="D368" s="150"/>
      <c r="E368" s="130"/>
      <c r="F368" s="130"/>
      <c r="L368" s="130"/>
      <c r="M368" s="130"/>
      <c r="N368" s="130"/>
      <c r="O368" s="130"/>
      <c r="P368" s="130"/>
      <c r="AA368" s="33"/>
    </row>
    <row r="369" spans="1:27" ht="15.75" customHeight="1" x14ac:dyDescent="0.35">
      <c r="A369" s="148"/>
      <c r="B369" s="33"/>
      <c r="C369" s="149"/>
      <c r="D369" s="150"/>
      <c r="E369" s="130"/>
      <c r="F369" s="130"/>
      <c r="L369" s="130"/>
      <c r="M369" s="130"/>
      <c r="N369" s="130"/>
      <c r="O369" s="130"/>
      <c r="P369" s="130"/>
      <c r="AA369" s="33"/>
    </row>
    <row r="370" spans="1:27" ht="15.75" customHeight="1" x14ac:dyDescent="0.35">
      <c r="A370" s="148"/>
      <c r="B370" s="33"/>
      <c r="C370" s="149"/>
      <c r="D370" s="150"/>
      <c r="E370" s="130"/>
      <c r="F370" s="130"/>
      <c r="L370" s="130"/>
      <c r="M370" s="130"/>
      <c r="N370" s="130"/>
      <c r="O370" s="130"/>
      <c r="P370" s="130"/>
      <c r="AA370" s="33"/>
    </row>
    <row r="371" spans="1:27" ht="15.75" customHeight="1" x14ac:dyDescent="0.35">
      <c r="A371" s="148"/>
      <c r="B371" s="33"/>
      <c r="C371" s="149"/>
      <c r="D371" s="150"/>
      <c r="E371" s="130"/>
      <c r="F371" s="130"/>
      <c r="L371" s="130"/>
      <c r="M371" s="130"/>
      <c r="N371" s="130"/>
      <c r="O371" s="130"/>
      <c r="P371" s="130"/>
      <c r="AA371" s="33"/>
    </row>
    <row r="372" spans="1:27" ht="15.75" customHeight="1" x14ac:dyDescent="0.35">
      <c r="A372" s="148"/>
      <c r="B372" s="33"/>
      <c r="C372" s="149"/>
      <c r="D372" s="150"/>
      <c r="E372" s="130"/>
      <c r="F372" s="130"/>
      <c r="L372" s="130"/>
      <c r="M372" s="130"/>
      <c r="N372" s="130"/>
      <c r="O372" s="130"/>
      <c r="P372" s="130"/>
      <c r="AA372" s="33"/>
    </row>
    <row r="373" spans="1:27" ht="15.75" customHeight="1" x14ac:dyDescent="0.35">
      <c r="A373" s="148"/>
      <c r="B373" s="33"/>
      <c r="C373" s="149"/>
      <c r="D373" s="150"/>
      <c r="E373" s="130"/>
      <c r="F373" s="130"/>
      <c r="L373" s="130"/>
      <c r="M373" s="130"/>
      <c r="N373" s="130"/>
      <c r="O373" s="130"/>
      <c r="P373" s="130"/>
      <c r="AA373" s="33"/>
    </row>
    <row r="374" spans="1:27" ht="15.75" customHeight="1" x14ac:dyDescent="0.35">
      <c r="A374" s="148"/>
      <c r="B374" s="33"/>
      <c r="C374" s="149"/>
      <c r="D374" s="150"/>
      <c r="E374" s="130"/>
      <c r="F374" s="130"/>
      <c r="L374" s="130"/>
      <c r="M374" s="130"/>
      <c r="N374" s="130"/>
      <c r="O374" s="130"/>
      <c r="P374" s="130"/>
      <c r="AA374" s="33"/>
    </row>
    <row r="375" spans="1:27" ht="15.75" customHeight="1" x14ac:dyDescent="0.35">
      <c r="A375" s="148"/>
      <c r="B375" s="33"/>
      <c r="C375" s="149"/>
      <c r="D375" s="150"/>
      <c r="E375" s="130"/>
      <c r="F375" s="130"/>
      <c r="L375" s="130"/>
      <c r="M375" s="130"/>
      <c r="N375" s="130"/>
      <c r="O375" s="130"/>
      <c r="P375" s="130"/>
      <c r="AA375" s="33"/>
    </row>
    <row r="376" spans="1:27" ht="15.75" customHeight="1" x14ac:dyDescent="0.35">
      <c r="A376" s="148"/>
      <c r="B376" s="33"/>
      <c r="C376" s="149"/>
      <c r="D376" s="150"/>
      <c r="E376" s="130"/>
      <c r="F376" s="130"/>
      <c r="L376" s="130"/>
      <c r="M376" s="130"/>
      <c r="N376" s="130"/>
      <c r="O376" s="130"/>
      <c r="P376" s="130"/>
      <c r="AA376" s="33"/>
    </row>
    <row r="377" spans="1:27" ht="15.75" customHeight="1" x14ac:dyDescent="0.35">
      <c r="A377" s="148"/>
      <c r="B377" s="33"/>
      <c r="C377" s="149"/>
      <c r="D377" s="150"/>
      <c r="E377" s="130"/>
      <c r="F377" s="130"/>
      <c r="L377" s="130"/>
      <c r="M377" s="130"/>
      <c r="N377" s="130"/>
      <c r="O377" s="130"/>
      <c r="P377" s="130"/>
      <c r="AA377" s="33"/>
    </row>
    <row r="378" spans="1:27" ht="15.75" customHeight="1" x14ac:dyDescent="0.35">
      <c r="A378" s="148"/>
      <c r="B378" s="33"/>
      <c r="C378" s="149"/>
      <c r="D378" s="150"/>
      <c r="E378" s="130"/>
      <c r="F378" s="130"/>
      <c r="L378" s="130"/>
      <c r="M378" s="130"/>
      <c r="N378" s="130"/>
      <c r="O378" s="130"/>
      <c r="P378" s="130"/>
      <c r="AA378" s="33"/>
    </row>
    <row r="379" spans="1:27" ht="15.75" customHeight="1" x14ac:dyDescent="0.35">
      <c r="A379" s="148"/>
      <c r="B379" s="33"/>
      <c r="C379" s="149"/>
      <c r="D379" s="150"/>
      <c r="E379" s="130"/>
      <c r="F379" s="130"/>
      <c r="L379" s="130"/>
      <c r="M379" s="130"/>
      <c r="N379" s="130"/>
      <c r="O379" s="130"/>
      <c r="P379" s="130"/>
      <c r="AA379" s="33"/>
    </row>
    <row r="380" spans="1:27" ht="15.75" customHeight="1" x14ac:dyDescent="0.35">
      <c r="A380" s="148"/>
      <c r="B380" s="33"/>
      <c r="C380" s="149"/>
      <c r="D380" s="150"/>
      <c r="E380" s="130"/>
      <c r="F380" s="130"/>
      <c r="L380" s="130"/>
      <c r="M380" s="130"/>
      <c r="N380" s="130"/>
      <c r="O380" s="130"/>
      <c r="P380" s="130"/>
      <c r="AA380" s="33"/>
    </row>
    <row r="381" spans="1:27" ht="15.75" customHeight="1" x14ac:dyDescent="0.35">
      <c r="A381" s="148"/>
      <c r="B381" s="33"/>
      <c r="C381" s="149"/>
      <c r="D381" s="150"/>
      <c r="E381" s="130"/>
      <c r="F381" s="130"/>
      <c r="L381" s="130"/>
      <c r="M381" s="130"/>
      <c r="N381" s="130"/>
      <c r="O381" s="130"/>
      <c r="P381" s="130"/>
      <c r="AA381" s="33"/>
    </row>
    <row r="382" spans="1:27" ht="15.75" customHeight="1" x14ac:dyDescent="0.35">
      <c r="A382" s="148"/>
      <c r="B382" s="33"/>
      <c r="C382" s="149"/>
      <c r="D382" s="150"/>
      <c r="E382" s="130"/>
      <c r="F382" s="130"/>
      <c r="L382" s="130"/>
      <c r="M382" s="130"/>
      <c r="N382" s="130"/>
      <c r="O382" s="130"/>
      <c r="P382" s="130"/>
      <c r="AA382" s="33"/>
    </row>
    <row r="383" spans="1:27" ht="15.75" customHeight="1" x14ac:dyDescent="0.35">
      <c r="A383" s="148"/>
      <c r="B383" s="33"/>
      <c r="C383" s="149"/>
      <c r="D383" s="150"/>
      <c r="E383" s="130"/>
      <c r="F383" s="130"/>
      <c r="L383" s="130"/>
      <c r="M383" s="130"/>
      <c r="N383" s="130"/>
      <c r="O383" s="130"/>
      <c r="P383" s="130"/>
      <c r="AA383" s="33"/>
    </row>
    <row r="384" spans="1:27" ht="15.75" customHeight="1" x14ac:dyDescent="0.35">
      <c r="A384" s="148"/>
      <c r="B384" s="33"/>
      <c r="C384" s="149"/>
      <c r="D384" s="150"/>
      <c r="E384" s="130"/>
      <c r="F384" s="130"/>
      <c r="L384" s="130"/>
      <c r="M384" s="130"/>
      <c r="N384" s="130"/>
      <c r="O384" s="130"/>
      <c r="P384" s="130"/>
      <c r="AA384" s="33"/>
    </row>
    <row r="385" spans="1:27" ht="15.75" customHeight="1" x14ac:dyDescent="0.35">
      <c r="A385" s="148"/>
      <c r="B385" s="33"/>
      <c r="C385" s="149"/>
      <c r="D385" s="150"/>
      <c r="E385" s="130"/>
      <c r="F385" s="130"/>
      <c r="L385" s="130"/>
      <c r="M385" s="130"/>
      <c r="N385" s="130"/>
      <c r="O385" s="130"/>
      <c r="P385" s="130"/>
      <c r="AA385" s="33"/>
    </row>
    <row r="386" spans="1:27" ht="15.75" customHeight="1" x14ac:dyDescent="0.35">
      <c r="A386" s="148"/>
      <c r="B386" s="33"/>
      <c r="C386" s="149"/>
      <c r="D386" s="150"/>
      <c r="E386" s="130"/>
      <c r="F386" s="130"/>
      <c r="L386" s="130"/>
      <c r="M386" s="130"/>
      <c r="N386" s="130"/>
      <c r="O386" s="130"/>
      <c r="P386" s="130"/>
      <c r="AA386" s="33"/>
    </row>
    <row r="387" spans="1:27" ht="15.75" customHeight="1" x14ac:dyDescent="0.35">
      <c r="A387" s="148"/>
      <c r="B387" s="33"/>
      <c r="C387" s="149"/>
      <c r="D387" s="150"/>
      <c r="E387" s="130"/>
      <c r="F387" s="130"/>
      <c r="L387" s="130"/>
      <c r="M387" s="130"/>
      <c r="N387" s="130"/>
      <c r="O387" s="130"/>
      <c r="P387" s="130"/>
      <c r="AA387" s="33"/>
    </row>
    <row r="388" spans="1:27" ht="15.75" customHeight="1" x14ac:dyDescent="0.35">
      <c r="A388" s="148"/>
      <c r="B388" s="33"/>
      <c r="C388" s="149"/>
      <c r="D388" s="150"/>
      <c r="E388" s="130"/>
      <c r="F388" s="130"/>
      <c r="L388" s="130"/>
      <c r="M388" s="130"/>
      <c r="N388" s="130"/>
      <c r="O388" s="130"/>
      <c r="P388" s="130"/>
      <c r="AA388" s="33"/>
    </row>
    <row r="389" spans="1:27" ht="15.75" customHeight="1" x14ac:dyDescent="0.35">
      <c r="A389" s="148"/>
      <c r="B389" s="33"/>
      <c r="C389" s="149"/>
      <c r="D389" s="150"/>
      <c r="E389" s="130"/>
      <c r="F389" s="130"/>
      <c r="L389" s="130"/>
      <c r="M389" s="130"/>
      <c r="N389" s="130"/>
      <c r="O389" s="130"/>
      <c r="P389" s="130"/>
      <c r="AA389" s="33"/>
    </row>
    <row r="390" spans="1:27" ht="15.75" customHeight="1" x14ac:dyDescent="0.35">
      <c r="A390" s="148"/>
      <c r="B390" s="33"/>
      <c r="C390" s="149"/>
      <c r="D390" s="150"/>
      <c r="E390" s="130"/>
      <c r="F390" s="130"/>
      <c r="L390" s="130"/>
      <c r="M390" s="130"/>
      <c r="N390" s="130"/>
      <c r="O390" s="130"/>
      <c r="P390" s="130"/>
      <c r="AA390" s="33"/>
    </row>
    <row r="391" spans="1:27" ht="15.75" customHeight="1" x14ac:dyDescent="0.35">
      <c r="A391" s="148"/>
      <c r="B391" s="33"/>
      <c r="C391" s="149"/>
      <c r="D391" s="150"/>
      <c r="E391" s="130"/>
      <c r="F391" s="130"/>
      <c r="L391" s="130"/>
      <c r="M391" s="130"/>
      <c r="N391" s="130"/>
      <c r="O391" s="130"/>
      <c r="P391" s="130"/>
      <c r="AA391" s="33"/>
    </row>
    <row r="392" spans="1:27" ht="15.75" customHeight="1" x14ac:dyDescent="0.35">
      <c r="A392" s="148"/>
      <c r="B392" s="33"/>
      <c r="C392" s="149"/>
      <c r="D392" s="150"/>
      <c r="E392" s="130"/>
      <c r="F392" s="130"/>
      <c r="L392" s="130"/>
      <c r="M392" s="130"/>
      <c r="N392" s="130"/>
      <c r="O392" s="130"/>
      <c r="P392" s="130"/>
      <c r="AA392" s="33"/>
    </row>
    <row r="393" spans="1:27" ht="15.75" customHeight="1" x14ac:dyDescent="0.35">
      <c r="A393" s="148"/>
      <c r="B393" s="33"/>
      <c r="C393" s="149"/>
      <c r="D393" s="150"/>
      <c r="E393" s="130"/>
      <c r="F393" s="130"/>
      <c r="L393" s="130"/>
      <c r="M393" s="130"/>
      <c r="N393" s="130"/>
      <c r="O393" s="130"/>
      <c r="P393" s="130"/>
      <c r="AA393" s="33"/>
    </row>
    <row r="394" spans="1:27" ht="15.75" customHeight="1" x14ac:dyDescent="0.35">
      <c r="A394" s="148"/>
      <c r="B394" s="33"/>
      <c r="C394" s="149"/>
      <c r="D394" s="150"/>
      <c r="E394" s="130"/>
      <c r="F394" s="130"/>
      <c r="L394" s="130"/>
      <c r="M394" s="130"/>
      <c r="N394" s="130"/>
      <c r="O394" s="130"/>
      <c r="P394" s="130"/>
      <c r="AA394" s="33"/>
    </row>
    <row r="395" spans="1:27" ht="15.75" customHeight="1" x14ac:dyDescent="0.35">
      <c r="A395" s="148"/>
      <c r="B395" s="33"/>
      <c r="C395" s="149"/>
      <c r="D395" s="150"/>
      <c r="E395" s="130"/>
      <c r="F395" s="130"/>
      <c r="L395" s="130"/>
      <c r="M395" s="130"/>
      <c r="N395" s="130"/>
      <c r="O395" s="130"/>
      <c r="P395" s="130"/>
      <c r="AA395" s="33"/>
    </row>
    <row r="396" spans="1:27" ht="15.75" customHeight="1" x14ac:dyDescent="0.35">
      <c r="A396" s="148"/>
      <c r="B396" s="33"/>
      <c r="C396" s="149"/>
      <c r="D396" s="150"/>
      <c r="E396" s="130"/>
      <c r="F396" s="130"/>
      <c r="L396" s="130"/>
      <c r="M396" s="130"/>
      <c r="N396" s="130"/>
      <c r="O396" s="130"/>
      <c r="P396" s="130"/>
      <c r="AA396" s="33"/>
    </row>
    <row r="397" spans="1:27" ht="15.75" customHeight="1" x14ac:dyDescent="0.35">
      <c r="A397" s="148"/>
      <c r="B397" s="33"/>
      <c r="C397" s="149"/>
      <c r="D397" s="150"/>
      <c r="E397" s="130"/>
      <c r="F397" s="130"/>
      <c r="L397" s="130"/>
      <c r="M397" s="130"/>
      <c r="N397" s="130"/>
      <c r="O397" s="130"/>
      <c r="P397" s="130"/>
      <c r="AA397" s="33"/>
    </row>
    <row r="398" spans="1:27" ht="15.75" customHeight="1" x14ac:dyDescent="0.35">
      <c r="A398" s="148"/>
      <c r="B398" s="33"/>
      <c r="C398" s="149"/>
      <c r="D398" s="150"/>
      <c r="E398" s="130"/>
      <c r="F398" s="130"/>
      <c r="L398" s="130"/>
      <c r="M398" s="130"/>
      <c r="N398" s="130"/>
      <c r="O398" s="130"/>
      <c r="P398" s="130"/>
      <c r="AA398" s="33"/>
    </row>
    <row r="399" spans="1:27" ht="15.75" customHeight="1" x14ac:dyDescent="0.35">
      <c r="A399" s="148"/>
      <c r="B399" s="33"/>
      <c r="C399" s="149"/>
      <c r="D399" s="150"/>
      <c r="E399" s="130"/>
      <c r="F399" s="130"/>
      <c r="L399" s="130"/>
      <c r="M399" s="130"/>
      <c r="N399" s="130"/>
      <c r="O399" s="130"/>
      <c r="P399" s="130"/>
      <c r="AA399" s="33"/>
    </row>
    <row r="400" spans="1:27" ht="15.75" customHeight="1" x14ac:dyDescent="0.35">
      <c r="A400" s="148"/>
      <c r="B400" s="33"/>
      <c r="C400" s="149"/>
      <c r="D400" s="150"/>
      <c r="E400" s="130"/>
      <c r="F400" s="130"/>
      <c r="L400" s="130"/>
      <c r="M400" s="130"/>
      <c r="N400" s="130"/>
      <c r="O400" s="130"/>
      <c r="P400" s="130"/>
      <c r="AA400" s="33"/>
    </row>
    <row r="401" spans="1:27" ht="15.75" customHeight="1" x14ac:dyDescent="0.35">
      <c r="A401" s="148"/>
      <c r="B401" s="33"/>
      <c r="C401" s="149"/>
      <c r="D401" s="150"/>
      <c r="E401" s="130"/>
      <c r="F401" s="130"/>
      <c r="L401" s="130"/>
      <c r="M401" s="130"/>
      <c r="N401" s="130"/>
      <c r="O401" s="130"/>
      <c r="P401" s="130"/>
      <c r="AA401" s="33"/>
    </row>
    <row r="402" spans="1:27" ht="15.75" customHeight="1" x14ac:dyDescent="0.35">
      <c r="A402" s="148"/>
      <c r="B402" s="33"/>
      <c r="C402" s="149"/>
      <c r="D402" s="150"/>
      <c r="E402" s="130"/>
      <c r="F402" s="130"/>
      <c r="L402" s="130"/>
      <c r="M402" s="130"/>
      <c r="N402" s="130"/>
      <c r="O402" s="130"/>
      <c r="P402" s="130"/>
      <c r="AA402" s="33"/>
    </row>
    <row r="403" spans="1:27" ht="15.75" customHeight="1" x14ac:dyDescent="0.35">
      <c r="A403" s="148"/>
      <c r="B403" s="33"/>
      <c r="C403" s="149"/>
      <c r="D403" s="150"/>
      <c r="E403" s="130"/>
      <c r="F403" s="130"/>
      <c r="L403" s="130"/>
      <c r="M403" s="130"/>
      <c r="N403" s="130"/>
      <c r="O403" s="130"/>
      <c r="P403" s="130"/>
      <c r="AA403" s="33"/>
    </row>
    <row r="404" spans="1:27" ht="15.75" customHeight="1" x14ac:dyDescent="0.35">
      <c r="A404" s="148"/>
      <c r="B404" s="33"/>
      <c r="C404" s="149"/>
      <c r="D404" s="150"/>
      <c r="E404" s="130"/>
      <c r="F404" s="130"/>
      <c r="L404" s="130"/>
      <c r="M404" s="130"/>
      <c r="N404" s="130"/>
      <c r="O404" s="130"/>
      <c r="P404" s="130"/>
      <c r="AA404" s="33"/>
    </row>
    <row r="405" spans="1:27" ht="15.75" customHeight="1" x14ac:dyDescent="0.35">
      <c r="A405" s="148"/>
      <c r="B405" s="33"/>
      <c r="C405" s="149"/>
      <c r="D405" s="150"/>
      <c r="E405" s="130"/>
      <c r="F405" s="130"/>
      <c r="L405" s="130"/>
      <c r="M405" s="130"/>
      <c r="N405" s="130"/>
      <c r="O405" s="130"/>
      <c r="P405" s="130"/>
      <c r="AA405" s="33"/>
    </row>
    <row r="406" spans="1:27" ht="15.75" customHeight="1" x14ac:dyDescent="0.35">
      <c r="A406" s="148"/>
      <c r="B406" s="33"/>
      <c r="C406" s="149"/>
      <c r="D406" s="150"/>
      <c r="E406" s="130"/>
      <c r="F406" s="130"/>
      <c r="L406" s="130"/>
      <c r="M406" s="130"/>
      <c r="N406" s="130"/>
      <c r="O406" s="130"/>
      <c r="P406" s="130"/>
      <c r="AA406" s="33"/>
    </row>
    <row r="407" spans="1:27" ht="15.75" customHeight="1" x14ac:dyDescent="0.35">
      <c r="A407" s="148"/>
      <c r="B407" s="33"/>
      <c r="C407" s="149"/>
      <c r="D407" s="150"/>
      <c r="E407" s="130"/>
      <c r="F407" s="130"/>
      <c r="L407" s="130"/>
      <c r="M407" s="130"/>
      <c r="N407" s="130"/>
      <c r="O407" s="130"/>
      <c r="P407" s="130"/>
      <c r="AA407" s="33"/>
    </row>
    <row r="408" spans="1:27" ht="15.75" customHeight="1" x14ac:dyDescent="0.35">
      <c r="A408" s="148"/>
      <c r="B408" s="33"/>
      <c r="C408" s="149"/>
      <c r="D408" s="150"/>
      <c r="E408" s="130"/>
      <c r="F408" s="130"/>
      <c r="L408" s="130"/>
      <c r="M408" s="130"/>
      <c r="N408" s="130"/>
      <c r="O408" s="130"/>
      <c r="P408" s="130"/>
      <c r="AA408" s="33"/>
    </row>
    <row r="409" spans="1:27" ht="15.75" customHeight="1" x14ac:dyDescent="0.35">
      <c r="A409" s="148"/>
      <c r="B409" s="33"/>
      <c r="C409" s="149"/>
      <c r="D409" s="150"/>
      <c r="E409" s="130"/>
      <c r="F409" s="130"/>
      <c r="L409" s="130"/>
      <c r="M409" s="130"/>
      <c r="N409" s="130"/>
      <c r="O409" s="130"/>
      <c r="P409" s="130"/>
      <c r="AA409" s="33"/>
    </row>
    <row r="410" spans="1:27" ht="15.75" customHeight="1" x14ac:dyDescent="0.35">
      <c r="A410" s="148"/>
      <c r="B410" s="33"/>
      <c r="C410" s="149"/>
      <c r="D410" s="150"/>
      <c r="E410" s="130"/>
      <c r="F410" s="130"/>
      <c r="L410" s="130"/>
      <c r="M410" s="130"/>
      <c r="N410" s="130"/>
      <c r="O410" s="130"/>
      <c r="P410" s="130"/>
      <c r="AA410" s="33"/>
    </row>
    <row r="411" spans="1:27" ht="15.75" customHeight="1" x14ac:dyDescent="0.35">
      <c r="A411" s="148"/>
      <c r="B411" s="33"/>
      <c r="C411" s="149"/>
      <c r="D411" s="150"/>
      <c r="E411" s="130"/>
      <c r="F411" s="130"/>
      <c r="L411" s="130"/>
      <c r="M411" s="130"/>
      <c r="N411" s="130"/>
      <c r="O411" s="130"/>
      <c r="P411" s="130"/>
      <c r="AA411" s="33"/>
    </row>
    <row r="412" spans="1:27" ht="15.75" customHeight="1" x14ac:dyDescent="0.35">
      <c r="A412" s="148"/>
      <c r="B412" s="33"/>
      <c r="C412" s="149"/>
      <c r="D412" s="150"/>
      <c r="E412" s="130"/>
      <c r="F412" s="130"/>
      <c r="L412" s="130"/>
      <c r="M412" s="130"/>
      <c r="N412" s="130"/>
      <c r="O412" s="130"/>
      <c r="P412" s="130"/>
      <c r="AA412" s="33"/>
    </row>
    <row r="413" spans="1:27" ht="15.75" customHeight="1" x14ac:dyDescent="0.35">
      <c r="A413" s="148"/>
      <c r="B413" s="33"/>
      <c r="C413" s="149"/>
      <c r="D413" s="150"/>
      <c r="E413" s="130"/>
      <c r="F413" s="130"/>
      <c r="L413" s="130"/>
      <c r="M413" s="130"/>
      <c r="N413" s="130"/>
      <c r="O413" s="130"/>
      <c r="P413" s="130"/>
      <c r="AA413" s="33"/>
    </row>
    <row r="414" spans="1:27" ht="15.75" customHeight="1" x14ac:dyDescent="0.35">
      <c r="A414" s="148"/>
      <c r="B414" s="33"/>
      <c r="C414" s="149"/>
      <c r="D414" s="150"/>
      <c r="E414" s="130"/>
      <c r="F414" s="130"/>
      <c r="L414" s="130"/>
      <c r="M414" s="130"/>
      <c r="N414" s="130"/>
      <c r="O414" s="130"/>
      <c r="P414" s="130"/>
      <c r="AA414" s="33"/>
    </row>
    <row r="415" spans="1:27" ht="15.75" customHeight="1" x14ac:dyDescent="0.35">
      <c r="A415" s="148"/>
      <c r="B415" s="33"/>
      <c r="C415" s="149"/>
      <c r="D415" s="150"/>
      <c r="E415" s="130"/>
      <c r="F415" s="130"/>
      <c r="L415" s="130"/>
      <c r="M415" s="130"/>
      <c r="N415" s="130"/>
      <c r="O415" s="130"/>
      <c r="P415" s="130"/>
      <c r="AA415" s="33"/>
    </row>
    <row r="416" spans="1:27" ht="15.75" customHeight="1" x14ac:dyDescent="0.35">
      <c r="A416" s="148"/>
      <c r="B416" s="33"/>
      <c r="C416" s="149"/>
      <c r="D416" s="150"/>
      <c r="E416" s="130"/>
      <c r="F416" s="130"/>
      <c r="L416" s="130"/>
      <c r="M416" s="130"/>
      <c r="N416" s="130"/>
      <c r="O416" s="130"/>
      <c r="P416" s="130"/>
      <c r="AA416" s="33"/>
    </row>
    <row r="417" spans="1:27" ht="15.75" customHeight="1" x14ac:dyDescent="0.35">
      <c r="A417" s="148"/>
      <c r="B417" s="33"/>
      <c r="C417" s="149"/>
      <c r="D417" s="150"/>
      <c r="E417" s="130"/>
      <c r="F417" s="130"/>
      <c r="L417" s="130"/>
      <c r="M417" s="130"/>
      <c r="N417" s="130"/>
      <c r="O417" s="130"/>
      <c r="P417" s="130"/>
      <c r="AA417" s="33"/>
    </row>
    <row r="418" spans="1:27" ht="15.75" customHeight="1" x14ac:dyDescent="0.35">
      <c r="A418" s="148"/>
      <c r="B418" s="33"/>
      <c r="C418" s="149"/>
      <c r="D418" s="150"/>
      <c r="E418" s="130"/>
      <c r="F418" s="130"/>
      <c r="L418" s="130"/>
      <c r="M418" s="130"/>
      <c r="N418" s="130"/>
      <c r="O418" s="130"/>
      <c r="P418" s="130"/>
      <c r="AA418" s="33"/>
    </row>
    <row r="419" spans="1:27" ht="15.75" customHeight="1" x14ac:dyDescent="0.35">
      <c r="A419" s="148"/>
      <c r="B419" s="33"/>
      <c r="C419" s="149"/>
      <c r="D419" s="150"/>
      <c r="E419" s="130"/>
      <c r="F419" s="130"/>
      <c r="L419" s="130"/>
      <c r="M419" s="130"/>
      <c r="N419" s="130"/>
      <c r="O419" s="130"/>
      <c r="P419" s="130"/>
      <c r="AA419" s="33"/>
    </row>
    <row r="420" spans="1:27" ht="15.75" customHeight="1" x14ac:dyDescent="0.35">
      <c r="A420" s="148"/>
      <c r="B420" s="33"/>
      <c r="C420" s="149"/>
      <c r="D420" s="150"/>
      <c r="E420" s="130"/>
      <c r="F420" s="130"/>
      <c r="L420" s="130"/>
      <c r="M420" s="130"/>
      <c r="N420" s="130"/>
      <c r="O420" s="130"/>
      <c r="P420" s="130"/>
      <c r="AA420" s="33"/>
    </row>
    <row r="421" spans="1:27" ht="15.75" customHeight="1" x14ac:dyDescent="0.35">
      <c r="A421" s="148"/>
      <c r="B421" s="33"/>
      <c r="C421" s="149"/>
      <c r="D421" s="150"/>
      <c r="E421" s="130"/>
      <c r="F421" s="130"/>
      <c r="L421" s="130"/>
      <c r="M421" s="130"/>
      <c r="N421" s="130"/>
      <c r="O421" s="130"/>
      <c r="P421" s="130"/>
      <c r="AA421" s="33"/>
    </row>
    <row r="422" spans="1:27" ht="15.75" customHeight="1" x14ac:dyDescent="0.35">
      <c r="A422" s="148"/>
      <c r="B422" s="33"/>
      <c r="C422" s="149"/>
      <c r="D422" s="150"/>
      <c r="E422" s="130"/>
      <c r="F422" s="130"/>
      <c r="L422" s="130"/>
      <c r="M422" s="130"/>
      <c r="N422" s="130"/>
      <c r="O422" s="130"/>
      <c r="P422" s="130"/>
      <c r="AA422" s="33"/>
    </row>
    <row r="423" spans="1:27" ht="15.75" customHeight="1" x14ac:dyDescent="0.35">
      <c r="A423" s="148"/>
      <c r="B423" s="33"/>
      <c r="C423" s="149"/>
      <c r="D423" s="150"/>
      <c r="E423" s="130"/>
      <c r="F423" s="130"/>
      <c r="L423" s="130"/>
      <c r="M423" s="130"/>
      <c r="N423" s="130"/>
      <c r="O423" s="130"/>
      <c r="P423" s="130"/>
      <c r="AA423" s="33"/>
    </row>
    <row r="424" spans="1:27" ht="15.75" customHeight="1" x14ac:dyDescent="0.35">
      <c r="A424" s="148"/>
      <c r="B424" s="33"/>
      <c r="C424" s="149"/>
      <c r="D424" s="150"/>
      <c r="E424" s="130"/>
      <c r="F424" s="130"/>
      <c r="L424" s="130"/>
      <c r="M424" s="130"/>
      <c r="N424" s="130"/>
      <c r="O424" s="130"/>
      <c r="P424" s="130"/>
      <c r="AA424" s="33"/>
    </row>
    <row r="425" spans="1:27" ht="15.75" customHeight="1" x14ac:dyDescent="0.35">
      <c r="A425" s="148"/>
      <c r="B425" s="33"/>
      <c r="C425" s="149"/>
      <c r="D425" s="150"/>
      <c r="E425" s="130"/>
      <c r="F425" s="130"/>
      <c r="L425" s="130"/>
      <c r="M425" s="130"/>
      <c r="N425" s="130"/>
      <c r="O425" s="130"/>
      <c r="P425" s="130"/>
      <c r="AA425" s="33"/>
    </row>
    <row r="426" spans="1:27" ht="15.75" customHeight="1" x14ac:dyDescent="0.35">
      <c r="A426" s="148"/>
      <c r="B426" s="33"/>
      <c r="C426" s="149"/>
      <c r="D426" s="150"/>
      <c r="E426" s="130"/>
      <c r="F426" s="130"/>
      <c r="L426" s="130"/>
      <c r="M426" s="130"/>
      <c r="N426" s="130"/>
      <c r="O426" s="130"/>
      <c r="P426" s="130"/>
      <c r="AA426" s="33"/>
    </row>
    <row r="427" spans="1:27" ht="15.75" customHeight="1" x14ac:dyDescent="0.35">
      <c r="A427" s="148"/>
      <c r="B427" s="33"/>
      <c r="C427" s="149"/>
      <c r="D427" s="150"/>
      <c r="E427" s="130"/>
      <c r="F427" s="130"/>
      <c r="L427" s="130"/>
      <c r="M427" s="130"/>
      <c r="N427" s="130"/>
      <c r="O427" s="130"/>
      <c r="P427" s="130"/>
      <c r="AA427" s="33"/>
    </row>
    <row r="428" spans="1:27" ht="15.75" customHeight="1" x14ac:dyDescent="0.35">
      <c r="A428" s="148"/>
      <c r="B428" s="33"/>
      <c r="C428" s="149"/>
      <c r="D428" s="150"/>
      <c r="E428" s="130"/>
      <c r="F428" s="130"/>
      <c r="L428" s="130"/>
      <c r="M428" s="130"/>
      <c r="N428" s="130"/>
      <c r="O428" s="130"/>
      <c r="P428" s="130"/>
      <c r="AA428" s="33"/>
    </row>
    <row r="429" spans="1:27" ht="15.75" customHeight="1" x14ac:dyDescent="0.35">
      <c r="A429" s="148"/>
      <c r="B429" s="33"/>
      <c r="C429" s="149"/>
      <c r="D429" s="150"/>
      <c r="E429" s="130"/>
      <c r="F429" s="130"/>
      <c r="L429" s="130"/>
      <c r="M429" s="130"/>
      <c r="N429" s="130"/>
      <c r="O429" s="130"/>
      <c r="P429" s="130"/>
      <c r="AA429" s="33"/>
    </row>
    <row r="430" spans="1:27" ht="15.75" customHeight="1" x14ac:dyDescent="0.35">
      <c r="A430" s="148"/>
      <c r="B430" s="33"/>
      <c r="C430" s="149"/>
      <c r="D430" s="150"/>
      <c r="E430" s="130"/>
      <c r="F430" s="130"/>
      <c r="L430" s="130"/>
      <c r="M430" s="130"/>
      <c r="N430" s="130"/>
      <c r="O430" s="130"/>
      <c r="P430" s="130"/>
      <c r="AA430" s="33"/>
    </row>
    <row r="431" spans="1:27" ht="15.75" customHeight="1" x14ac:dyDescent="0.35">
      <c r="A431" s="148"/>
      <c r="B431" s="33"/>
      <c r="C431" s="149"/>
      <c r="D431" s="150"/>
      <c r="E431" s="130"/>
      <c r="F431" s="130"/>
      <c r="L431" s="130"/>
      <c r="M431" s="130"/>
      <c r="N431" s="130"/>
      <c r="O431" s="130"/>
      <c r="P431" s="130"/>
      <c r="AA431" s="33"/>
    </row>
    <row r="432" spans="1:27" ht="15.75" customHeight="1" x14ac:dyDescent="0.35">
      <c r="A432" s="148"/>
      <c r="B432" s="33"/>
      <c r="C432" s="149"/>
      <c r="D432" s="150"/>
      <c r="E432" s="130"/>
      <c r="F432" s="130"/>
      <c r="L432" s="130"/>
      <c r="M432" s="130"/>
      <c r="N432" s="130"/>
      <c r="O432" s="130"/>
      <c r="P432" s="130"/>
      <c r="AA432" s="33"/>
    </row>
    <row r="433" spans="1:27" ht="15.75" customHeight="1" x14ac:dyDescent="0.35">
      <c r="A433" s="148"/>
      <c r="B433" s="33"/>
      <c r="C433" s="149"/>
      <c r="D433" s="150"/>
      <c r="E433" s="130"/>
      <c r="F433" s="130"/>
      <c r="L433" s="130"/>
      <c r="M433" s="130"/>
      <c r="N433" s="130"/>
      <c r="O433" s="130"/>
      <c r="P433" s="130"/>
      <c r="AA433" s="33"/>
    </row>
    <row r="434" spans="1:27" ht="15.75" customHeight="1" x14ac:dyDescent="0.35">
      <c r="A434" s="148"/>
      <c r="B434" s="33"/>
      <c r="C434" s="149"/>
      <c r="D434" s="150"/>
      <c r="E434" s="130"/>
      <c r="F434" s="130"/>
      <c r="L434" s="130"/>
      <c r="M434" s="130"/>
      <c r="N434" s="130"/>
      <c r="O434" s="130"/>
      <c r="P434" s="130"/>
      <c r="AA434" s="33"/>
    </row>
    <row r="435" spans="1:27" ht="15.75" customHeight="1" x14ac:dyDescent="0.35">
      <c r="A435" s="148"/>
      <c r="B435" s="33"/>
      <c r="C435" s="149"/>
      <c r="D435" s="150"/>
      <c r="E435" s="130"/>
      <c r="F435" s="130"/>
      <c r="L435" s="130"/>
      <c r="M435" s="130"/>
      <c r="N435" s="130"/>
      <c r="O435" s="130"/>
      <c r="P435" s="130"/>
      <c r="AA435" s="33"/>
    </row>
    <row r="436" spans="1:27" ht="15.75" customHeight="1" x14ac:dyDescent="0.35">
      <c r="A436" s="148"/>
      <c r="B436" s="33"/>
      <c r="C436" s="149"/>
      <c r="D436" s="150"/>
      <c r="E436" s="130"/>
      <c r="F436" s="130"/>
      <c r="L436" s="130"/>
      <c r="M436" s="130"/>
      <c r="N436" s="130"/>
      <c r="O436" s="130"/>
      <c r="P436" s="130"/>
      <c r="AA436" s="33"/>
    </row>
    <row r="437" spans="1:27" ht="15.75" customHeight="1" x14ac:dyDescent="0.35">
      <c r="A437" s="148"/>
      <c r="B437" s="33"/>
      <c r="C437" s="149"/>
      <c r="D437" s="150"/>
      <c r="E437" s="130"/>
      <c r="F437" s="130"/>
      <c r="L437" s="130"/>
      <c r="M437" s="130"/>
      <c r="N437" s="130"/>
      <c r="O437" s="130"/>
      <c r="P437" s="130"/>
      <c r="AA437" s="33"/>
    </row>
    <row r="438" spans="1:27" ht="15.75" customHeight="1" x14ac:dyDescent="0.35">
      <c r="A438" s="148"/>
      <c r="B438" s="33"/>
      <c r="C438" s="149"/>
      <c r="D438" s="150"/>
      <c r="E438" s="130"/>
      <c r="F438" s="130"/>
      <c r="L438" s="130"/>
      <c r="M438" s="130"/>
      <c r="N438" s="130"/>
      <c r="O438" s="130"/>
      <c r="P438" s="130"/>
      <c r="AA438" s="33"/>
    </row>
    <row r="439" spans="1:27" ht="15.75" customHeight="1" x14ac:dyDescent="0.35">
      <c r="A439" s="148"/>
      <c r="B439" s="33"/>
      <c r="C439" s="149"/>
      <c r="D439" s="150"/>
      <c r="E439" s="130"/>
      <c r="F439" s="130"/>
      <c r="L439" s="130"/>
      <c r="M439" s="130"/>
      <c r="N439" s="130"/>
      <c r="O439" s="130"/>
      <c r="P439" s="130"/>
      <c r="AA439" s="33"/>
    </row>
    <row r="440" spans="1:27" ht="15.75" customHeight="1" x14ac:dyDescent="0.35">
      <c r="A440" s="148"/>
      <c r="B440" s="33"/>
      <c r="C440" s="149"/>
      <c r="D440" s="150"/>
      <c r="E440" s="130"/>
      <c r="F440" s="130"/>
      <c r="L440" s="130"/>
      <c r="M440" s="130"/>
      <c r="N440" s="130"/>
      <c r="O440" s="130"/>
      <c r="P440" s="130"/>
      <c r="AA440" s="33"/>
    </row>
    <row r="441" spans="1:27" ht="15.75" customHeight="1" x14ac:dyDescent="0.35">
      <c r="A441" s="148"/>
      <c r="B441" s="33"/>
      <c r="C441" s="149"/>
      <c r="D441" s="150"/>
      <c r="E441" s="130"/>
      <c r="F441" s="130"/>
      <c r="L441" s="130"/>
      <c r="M441" s="130"/>
      <c r="N441" s="130"/>
      <c r="O441" s="130"/>
      <c r="P441" s="130"/>
      <c r="AA441" s="33"/>
    </row>
    <row r="442" spans="1:27" ht="15.75" customHeight="1" x14ac:dyDescent="0.35">
      <c r="A442" s="148"/>
      <c r="B442" s="33"/>
      <c r="C442" s="149"/>
      <c r="D442" s="150"/>
      <c r="E442" s="130"/>
      <c r="F442" s="130"/>
      <c r="L442" s="130"/>
      <c r="M442" s="130"/>
      <c r="N442" s="130"/>
      <c r="O442" s="130"/>
      <c r="P442" s="130"/>
      <c r="AA442" s="33"/>
    </row>
    <row r="443" spans="1:27" ht="15.75" customHeight="1" x14ac:dyDescent="0.35">
      <c r="A443" s="148"/>
      <c r="B443" s="33"/>
      <c r="C443" s="149"/>
      <c r="D443" s="150"/>
      <c r="E443" s="130"/>
      <c r="F443" s="130"/>
      <c r="L443" s="130"/>
      <c r="M443" s="130"/>
      <c r="N443" s="130"/>
      <c r="O443" s="130"/>
      <c r="P443" s="130"/>
      <c r="AA443" s="33"/>
    </row>
    <row r="444" spans="1:27" ht="15.75" customHeight="1" x14ac:dyDescent="0.35">
      <c r="A444" s="148"/>
      <c r="B444" s="33"/>
      <c r="C444" s="149"/>
      <c r="D444" s="150"/>
      <c r="E444" s="130"/>
      <c r="F444" s="130"/>
      <c r="L444" s="130"/>
      <c r="M444" s="130"/>
      <c r="N444" s="130"/>
      <c r="O444" s="130"/>
      <c r="P444" s="130"/>
      <c r="AA444" s="33"/>
    </row>
    <row r="445" spans="1:27" ht="15.75" customHeight="1" x14ac:dyDescent="0.35">
      <c r="A445" s="148"/>
      <c r="B445" s="33"/>
      <c r="C445" s="149"/>
      <c r="D445" s="150"/>
      <c r="E445" s="130"/>
      <c r="F445" s="130"/>
      <c r="L445" s="130"/>
      <c r="M445" s="130"/>
      <c r="N445" s="130"/>
      <c r="O445" s="130"/>
      <c r="P445" s="130"/>
      <c r="AA445" s="33"/>
    </row>
    <row r="446" spans="1:27" ht="15.75" customHeight="1" x14ac:dyDescent="0.35">
      <c r="A446" s="148"/>
      <c r="B446" s="33"/>
      <c r="C446" s="149"/>
      <c r="D446" s="150"/>
      <c r="E446" s="130"/>
      <c r="F446" s="130"/>
      <c r="L446" s="130"/>
      <c r="M446" s="130"/>
      <c r="N446" s="130"/>
      <c r="O446" s="130"/>
      <c r="P446" s="130"/>
      <c r="AA446" s="33"/>
    </row>
    <row r="447" spans="1:27" ht="15.75" customHeight="1" x14ac:dyDescent="0.35">
      <c r="A447" s="148"/>
      <c r="B447" s="33"/>
      <c r="C447" s="149"/>
      <c r="D447" s="150"/>
      <c r="E447" s="130"/>
      <c r="F447" s="130"/>
      <c r="L447" s="130"/>
      <c r="M447" s="130"/>
      <c r="N447" s="130"/>
      <c r="O447" s="130"/>
      <c r="P447" s="130"/>
      <c r="AA447" s="33"/>
    </row>
    <row r="448" spans="1:27" ht="15.75" customHeight="1" x14ac:dyDescent="0.35">
      <c r="A448" s="148"/>
      <c r="B448" s="33"/>
      <c r="C448" s="149"/>
      <c r="D448" s="150"/>
      <c r="E448" s="130"/>
      <c r="F448" s="130"/>
      <c r="L448" s="130"/>
      <c r="M448" s="130"/>
      <c r="N448" s="130"/>
      <c r="O448" s="130"/>
      <c r="P448" s="130"/>
      <c r="AA448" s="33"/>
    </row>
    <row r="449" spans="1:27" ht="15.75" customHeight="1" x14ac:dyDescent="0.35">
      <c r="A449" s="148"/>
      <c r="B449" s="33"/>
      <c r="C449" s="149"/>
      <c r="D449" s="150"/>
      <c r="E449" s="130"/>
      <c r="F449" s="130"/>
      <c r="L449" s="130"/>
      <c r="M449" s="130"/>
      <c r="N449" s="130"/>
      <c r="O449" s="130"/>
      <c r="P449" s="130"/>
      <c r="AA449" s="33"/>
    </row>
    <row r="450" spans="1:27" ht="15.75" customHeight="1" x14ac:dyDescent="0.35">
      <c r="A450" s="148"/>
      <c r="B450" s="33"/>
      <c r="C450" s="149"/>
      <c r="D450" s="150"/>
      <c r="E450" s="130"/>
      <c r="F450" s="130"/>
      <c r="L450" s="130"/>
      <c r="M450" s="130"/>
      <c r="N450" s="130"/>
      <c r="O450" s="130"/>
      <c r="P450" s="130"/>
      <c r="AA450" s="33"/>
    </row>
    <row r="451" spans="1:27" ht="15.75" customHeight="1" x14ac:dyDescent="0.35">
      <c r="A451" s="148"/>
      <c r="B451" s="33"/>
      <c r="C451" s="149"/>
      <c r="D451" s="150"/>
      <c r="E451" s="130"/>
      <c r="F451" s="130"/>
      <c r="L451" s="130"/>
      <c r="M451" s="130"/>
      <c r="N451" s="130"/>
      <c r="O451" s="130"/>
      <c r="P451" s="130"/>
      <c r="AA451" s="33"/>
    </row>
    <row r="452" spans="1:27" ht="15.75" customHeight="1" x14ac:dyDescent="0.35">
      <c r="A452" s="148"/>
      <c r="B452" s="33"/>
      <c r="C452" s="149"/>
      <c r="D452" s="150"/>
      <c r="E452" s="130"/>
      <c r="F452" s="130"/>
      <c r="L452" s="130"/>
      <c r="M452" s="130"/>
      <c r="N452" s="130"/>
      <c r="O452" s="130"/>
      <c r="P452" s="130"/>
      <c r="AA452" s="33"/>
    </row>
    <row r="453" spans="1:27" ht="15.75" customHeight="1" x14ac:dyDescent="0.35">
      <c r="A453" s="148"/>
      <c r="B453" s="33"/>
      <c r="C453" s="149"/>
      <c r="D453" s="150"/>
      <c r="E453" s="130"/>
      <c r="F453" s="130"/>
      <c r="L453" s="130"/>
      <c r="M453" s="130"/>
      <c r="N453" s="130"/>
      <c r="O453" s="130"/>
      <c r="P453" s="130"/>
      <c r="AA453" s="33"/>
    </row>
    <row r="454" spans="1:27" ht="15.75" customHeight="1" x14ac:dyDescent="0.35">
      <c r="A454" s="148"/>
      <c r="B454" s="33"/>
      <c r="C454" s="149"/>
      <c r="D454" s="150"/>
      <c r="E454" s="130"/>
      <c r="F454" s="130"/>
      <c r="L454" s="130"/>
      <c r="M454" s="130"/>
      <c r="N454" s="130"/>
      <c r="O454" s="130"/>
      <c r="P454" s="130"/>
      <c r="AA454" s="33"/>
    </row>
    <row r="455" spans="1:27" ht="15.75" customHeight="1" x14ac:dyDescent="0.35">
      <c r="A455" s="148"/>
      <c r="B455" s="33"/>
      <c r="C455" s="149"/>
      <c r="D455" s="150"/>
      <c r="E455" s="130"/>
      <c r="F455" s="130"/>
      <c r="L455" s="130"/>
      <c r="M455" s="130"/>
      <c r="N455" s="130"/>
      <c r="O455" s="130"/>
      <c r="P455" s="130"/>
      <c r="AA455" s="33"/>
    </row>
    <row r="456" spans="1:27" ht="15.75" customHeight="1" x14ac:dyDescent="0.35">
      <c r="A456" s="148"/>
      <c r="B456" s="33"/>
      <c r="C456" s="149"/>
      <c r="D456" s="150"/>
      <c r="E456" s="130"/>
      <c r="F456" s="130"/>
      <c r="L456" s="130"/>
      <c r="M456" s="130"/>
      <c r="N456" s="130"/>
      <c r="O456" s="130"/>
      <c r="P456" s="130"/>
      <c r="AA456" s="33"/>
    </row>
    <row r="457" spans="1:27" ht="15.75" customHeight="1" x14ac:dyDescent="0.35">
      <c r="A457" s="148"/>
      <c r="B457" s="33"/>
      <c r="C457" s="149"/>
      <c r="D457" s="150"/>
      <c r="E457" s="130"/>
      <c r="F457" s="130"/>
      <c r="L457" s="130"/>
      <c r="M457" s="130"/>
      <c r="N457" s="130"/>
      <c r="O457" s="130"/>
      <c r="P457" s="130"/>
      <c r="AA457" s="33"/>
    </row>
    <row r="458" spans="1:27" ht="15.75" customHeight="1" x14ac:dyDescent="0.35">
      <c r="A458" s="148"/>
      <c r="B458" s="33"/>
      <c r="C458" s="149"/>
      <c r="D458" s="150"/>
      <c r="E458" s="130"/>
      <c r="F458" s="130"/>
      <c r="L458" s="130"/>
      <c r="M458" s="130"/>
      <c r="N458" s="130"/>
      <c r="O458" s="130"/>
      <c r="P458" s="130"/>
      <c r="AA458" s="33"/>
    </row>
    <row r="459" spans="1:27" ht="15.75" customHeight="1" x14ac:dyDescent="0.35">
      <c r="A459" s="148"/>
      <c r="B459" s="33"/>
      <c r="C459" s="149"/>
      <c r="D459" s="150"/>
      <c r="E459" s="130"/>
      <c r="F459" s="130"/>
      <c r="L459" s="130"/>
      <c r="M459" s="130"/>
      <c r="N459" s="130"/>
      <c r="O459" s="130"/>
      <c r="P459" s="130"/>
      <c r="AA459" s="33"/>
    </row>
    <row r="460" spans="1:27" ht="15.75" customHeight="1" x14ac:dyDescent="0.35">
      <c r="A460" s="148"/>
      <c r="B460" s="33"/>
      <c r="C460" s="149"/>
      <c r="D460" s="150"/>
      <c r="E460" s="130"/>
      <c r="F460" s="130"/>
      <c r="L460" s="130"/>
      <c r="M460" s="130"/>
      <c r="N460" s="130"/>
      <c r="O460" s="130"/>
      <c r="P460" s="130"/>
      <c r="AA460" s="33"/>
    </row>
    <row r="461" spans="1:27" ht="15.75" customHeight="1" x14ac:dyDescent="0.35">
      <c r="A461" s="148"/>
      <c r="B461" s="33"/>
      <c r="C461" s="149"/>
      <c r="D461" s="150"/>
      <c r="E461" s="130"/>
      <c r="F461" s="130"/>
      <c r="L461" s="130"/>
      <c r="M461" s="130"/>
      <c r="N461" s="130"/>
      <c r="O461" s="130"/>
      <c r="P461" s="130"/>
      <c r="AA461" s="33"/>
    </row>
    <row r="462" spans="1:27" ht="15.75" customHeight="1" x14ac:dyDescent="0.35">
      <c r="A462" s="148"/>
      <c r="B462" s="33"/>
      <c r="C462" s="149"/>
      <c r="D462" s="150"/>
      <c r="E462" s="130"/>
      <c r="F462" s="130"/>
      <c r="L462" s="130"/>
      <c r="M462" s="130"/>
      <c r="N462" s="130"/>
      <c r="O462" s="130"/>
      <c r="P462" s="130"/>
      <c r="AA462" s="33"/>
    </row>
    <row r="463" spans="1:27" ht="15.75" customHeight="1" x14ac:dyDescent="0.35">
      <c r="A463" s="148"/>
      <c r="B463" s="33"/>
      <c r="C463" s="149"/>
      <c r="D463" s="150"/>
      <c r="E463" s="130"/>
      <c r="F463" s="130"/>
      <c r="L463" s="130"/>
      <c r="M463" s="130"/>
      <c r="N463" s="130"/>
      <c r="O463" s="130"/>
      <c r="P463" s="130"/>
      <c r="AA463" s="33"/>
    </row>
    <row r="464" spans="1:27" ht="15.75" customHeight="1" x14ac:dyDescent="0.35">
      <c r="A464" s="148"/>
      <c r="B464" s="33"/>
      <c r="C464" s="149"/>
      <c r="D464" s="150"/>
      <c r="E464" s="130"/>
      <c r="F464" s="130"/>
      <c r="L464" s="130"/>
      <c r="M464" s="130"/>
      <c r="N464" s="130"/>
      <c r="O464" s="130"/>
      <c r="P464" s="130"/>
      <c r="AA464" s="33"/>
    </row>
    <row r="465" spans="1:27" ht="15.75" customHeight="1" x14ac:dyDescent="0.35">
      <c r="A465" s="148"/>
      <c r="B465" s="33"/>
      <c r="C465" s="149"/>
      <c r="D465" s="150"/>
      <c r="E465" s="130"/>
      <c r="F465" s="130"/>
      <c r="L465" s="130"/>
      <c r="M465" s="130"/>
      <c r="N465" s="130"/>
      <c r="O465" s="130"/>
      <c r="P465" s="130"/>
      <c r="AA465" s="33"/>
    </row>
    <row r="466" spans="1:27" ht="15.75" customHeight="1" x14ac:dyDescent="0.35">
      <c r="A466" s="148"/>
      <c r="B466" s="33"/>
      <c r="C466" s="149"/>
      <c r="D466" s="150"/>
      <c r="E466" s="130"/>
      <c r="F466" s="130"/>
      <c r="L466" s="130"/>
      <c r="M466" s="130"/>
      <c r="N466" s="130"/>
      <c r="O466" s="130"/>
      <c r="P466" s="130"/>
      <c r="AA466" s="33"/>
    </row>
    <row r="467" spans="1:27" ht="15.75" customHeight="1" x14ac:dyDescent="0.35">
      <c r="A467" s="148"/>
      <c r="B467" s="33"/>
      <c r="C467" s="149"/>
      <c r="D467" s="150"/>
      <c r="E467" s="130"/>
      <c r="F467" s="130"/>
      <c r="L467" s="130"/>
      <c r="M467" s="130"/>
      <c r="N467" s="130"/>
      <c r="O467" s="130"/>
      <c r="P467" s="130"/>
      <c r="AA467" s="33"/>
    </row>
    <row r="468" spans="1:27" ht="15.75" customHeight="1" x14ac:dyDescent="0.35">
      <c r="A468" s="148"/>
      <c r="B468" s="33"/>
      <c r="C468" s="149"/>
      <c r="D468" s="150"/>
      <c r="E468" s="130"/>
      <c r="F468" s="130"/>
      <c r="L468" s="130"/>
      <c r="M468" s="130"/>
      <c r="N468" s="130"/>
      <c r="O468" s="130"/>
      <c r="P468" s="130"/>
      <c r="AA468" s="33"/>
    </row>
    <row r="469" spans="1:27" ht="15.75" customHeight="1" x14ac:dyDescent="0.35">
      <c r="A469" s="148"/>
      <c r="B469" s="33"/>
      <c r="C469" s="149"/>
      <c r="D469" s="150"/>
      <c r="E469" s="130"/>
      <c r="F469" s="130"/>
      <c r="L469" s="130"/>
      <c r="M469" s="130"/>
      <c r="N469" s="130"/>
      <c r="O469" s="130"/>
      <c r="P469" s="130"/>
      <c r="AA469" s="33"/>
    </row>
    <row r="470" spans="1:27" ht="15.75" customHeight="1" x14ac:dyDescent="0.35">
      <c r="A470" s="148"/>
      <c r="B470" s="33"/>
      <c r="C470" s="149"/>
      <c r="D470" s="150"/>
      <c r="E470" s="130"/>
      <c r="F470" s="130"/>
      <c r="L470" s="130"/>
      <c r="M470" s="130"/>
      <c r="N470" s="130"/>
      <c r="O470" s="130"/>
      <c r="P470" s="130"/>
      <c r="AA470" s="33"/>
    </row>
    <row r="471" spans="1:27" ht="15.75" customHeight="1" x14ac:dyDescent="0.35">
      <c r="A471" s="148"/>
      <c r="B471" s="33"/>
      <c r="C471" s="149"/>
      <c r="D471" s="150"/>
      <c r="E471" s="130"/>
      <c r="F471" s="130"/>
      <c r="L471" s="130"/>
      <c r="M471" s="130"/>
      <c r="N471" s="130"/>
      <c r="O471" s="130"/>
      <c r="P471" s="130"/>
      <c r="AA471" s="33"/>
    </row>
    <row r="472" spans="1:27" ht="15.75" customHeight="1" x14ac:dyDescent="0.35">
      <c r="A472" s="148"/>
      <c r="B472" s="33"/>
      <c r="C472" s="149"/>
      <c r="D472" s="150"/>
      <c r="E472" s="130"/>
      <c r="F472" s="130"/>
      <c r="L472" s="130"/>
      <c r="M472" s="130"/>
      <c r="N472" s="130"/>
      <c r="O472" s="130"/>
      <c r="P472" s="130"/>
      <c r="AA472" s="33"/>
    </row>
    <row r="473" spans="1:27" ht="15.75" customHeight="1" x14ac:dyDescent="0.35">
      <c r="A473" s="148"/>
      <c r="B473" s="33"/>
      <c r="C473" s="149"/>
      <c r="D473" s="150"/>
      <c r="E473" s="130"/>
      <c r="F473" s="130"/>
      <c r="L473" s="130"/>
      <c r="M473" s="130"/>
      <c r="N473" s="130"/>
      <c r="O473" s="130"/>
      <c r="P473" s="130"/>
      <c r="AA473" s="33"/>
    </row>
    <row r="474" spans="1:27" ht="15.75" customHeight="1" x14ac:dyDescent="0.35">
      <c r="A474" s="148"/>
      <c r="B474" s="33"/>
      <c r="C474" s="149"/>
      <c r="D474" s="150"/>
      <c r="E474" s="130"/>
      <c r="F474" s="130"/>
      <c r="L474" s="130"/>
      <c r="M474" s="130"/>
      <c r="N474" s="130"/>
      <c r="O474" s="130"/>
      <c r="P474" s="130"/>
      <c r="AA474" s="33"/>
    </row>
    <row r="475" spans="1:27" ht="15.75" customHeight="1" x14ac:dyDescent="0.35">
      <c r="A475" s="148"/>
      <c r="B475" s="33"/>
      <c r="C475" s="149"/>
      <c r="D475" s="150"/>
      <c r="E475" s="130"/>
      <c r="F475" s="130"/>
      <c r="L475" s="130"/>
      <c r="M475" s="130"/>
      <c r="N475" s="130"/>
      <c r="O475" s="130"/>
      <c r="P475" s="130"/>
      <c r="AA475" s="33"/>
    </row>
    <row r="476" spans="1:27" ht="15.75" customHeight="1" x14ac:dyDescent="0.35">
      <c r="A476" s="148"/>
      <c r="B476" s="33"/>
      <c r="C476" s="149"/>
      <c r="D476" s="150"/>
      <c r="E476" s="130"/>
      <c r="F476" s="130"/>
      <c r="L476" s="130"/>
      <c r="M476" s="130"/>
      <c r="N476" s="130"/>
      <c r="O476" s="130"/>
      <c r="P476" s="130"/>
      <c r="AA476" s="33"/>
    </row>
    <row r="477" spans="1:27" ht="15.75" customHeight="1" x14ac:dyDescent="0.35">
      <c r="A477" s="148"/>
      <c r="B477" s="33"/>
      <c r="C477" s="149"/>
      <c r="D477" s="150"/>
      <c r="E477" s="130"/>
      <c r="F477" s="130"/>
      <c r="L477" s="130"/>
      <c r="M477" s="130"/>
      <c r="N477" s="130"/>
      <c r="O477" s="130"/>
      <c r="P477" s="130"/>
      <c r="AA477" s="33"/>
    </row>
    <row r="478" spans="1:27" ht="15.75" customHeight="1" x14ac:dyDescent="0.35">
      <c r="A478" s="148"/>
      <c r="B478" s="33"/>
      <c r="C478" s="149"/>
      <c r="D478" s="150"/>
      <c r="E478" s="130"/>
      <c r="F478" s="130"/>
      <c r="L478" s="130"/>
      <c r="M478" s="130"/>
      <c r="N478" s="130"/>
      <c r="O478" s="130"/>
      <c r="P478" s="130"/>
      <c r="AA478" s="33"/>
    </row>
    <row r="479" spans="1:27" ht="15.75" customHeight="1" x14ac:dyDescent="0.35">
      <c r="A479" s="148"/>
      <c r="B479" s="33"/>
      <c r="C479" s="149"/>
      <c r="D479" s="150"/>
      <c r="E479" s="130"/>
      <c r="F479" s="130"/>
      <c r="L479" s="130"/>
      <c r="M479" s="130"/>
      <c r="N479" s="130"/>
      <c r="O479" s="130"/>
      <c r="P479" s="130"/>
      <c r="AA479" s="33"/>
    </row>
    <row r="480" spans="1:27" ht="15.75" customHeight="1" x14ac:dyDescent="0.35">
      <c r="A480" s="148"/>
      <c r="B480" s="33"/>
      <c r="C480" s="149"/>
      <c r="D480" s="150"/>
      <c r="E480" s="130"/>
      <c r="F480" s="130"/>
      <c r="L480" s="130"/>
      <c r="M480" s="130"/>
      <c r="N480" s="130"/>
      <c r="O480" s="130"/>
      <c r="P480" s="130"/>
      <c r="AA480" s="33"/>
    </row>
    <row r="481" spans="1:27" ht="15.75" customHeight="1" x14ac:dyDescent="0.35">
      <c r="A481" s="148"/>
      <c r="B481" s="33"/>
      <c r="C481" s="149"/>
      <c r="D481" s="150"/>
      <c r="E481" s="130"/>
      <c r="F481" s="130"/>
      <c r="L481" s="130"/>
      <c r="M481" s="130"/>
      <c r="N481" s="130"/>
      <c r="O481" s="130"/>
      <c r="P481" s="130"/>
      <c r="AA481" s="33"/>
    </row>
    <row r="482" spans="1:27" ht="15.75" customHeight="1" x14ac:dyDescent="0.35">
      <c r="A482" s="148"/>
      <c r="B482" s="33"/>
      <c r="C482" s="149"/>
      <c r="D482" s="150"/>
      <c r="E482" s="130"/>
      <c r="F482" s="130"/>
      <c r="L482" s="130"/>
      <c r="M482" s="130"/>
      <c r="N482" s="130"/>
      <c r="O482" s="130"/>
      <c r="P482" s="130"/>
      <c r="AA482" s="33"/>
    </row>
    <row r="483" spans="1:27" ht="15.75" customHeight="1" x14ac:dyDescent="0.35">
      <c r="A483" s="148"/>
      <c r="B483" s="33"/>
      <c r="C483" s="149"/>
      <c r="D483" s="150"/>
      <c r="E483" s="130"/>
      <c r="F483" s="130"/>
      <c r="L483" s="130"/>
      <c r="M483" s="130"/>
      <c r="N483" s="130"/>
      <c r="O483" s="130"/>
      <c r="P483" s="130"/>
      <c r="AA483" s="33"/>
    </row>
    <row r="484" spans="1:27" ht="15.75" customHeight="1" x14ac:dyDescent="0.35">
      <c r="A484" s="148"/>
      <c r="B484" s="33"/>
      <c r="C484" s="149"/>
      <c r="D484" s="150"/>
      <c r="E484" s="130"/>
      <c r="F484" s="130"/>
      <c r="L484" s="130"/>
      <c r="M484" s="130"/>
      <c r="N484" s="130"/>
      <c r="O484" s="130"/>
      <c r="P484" s="130"/>
      <c r="AA484" s="33"/>
    </row>
    <row r="485" spans="1:27" ht="15.75" customHeight="1" x14ac:dyDescent="0.35">
      <c r="A485" s="148"/>
      <c r="B485" s="33"/>
      <c r="C485" s="149"/>
      <c r="D485" s="150"/>
      <c r="E485" s="130"/>
      <c r="F485" s="130"/>
      <c r="L485" s="130"/>
      <c r="M485" s="130"/>
      <c r="N485" s="130"/>
      <c r="O485" s="130"/>
      <c r="P485" s="130"/>
      <c r="AA485" s="33"/>
    </row>
    <row r="486" spans="1:27" ht="15.75" customHeight="1" x14ac:dyDescent="0.35">
      <c r="A486" s="148"/>
      <c r="B486" s="33"/>
      <c r="C486" s="149"/>
      <c r="D486" s="150"/>
      <c r="E486" s="130"/>
      <c r="F486" s="130"/>
      <c r="L486" s="130"/>
      <c r="M486" s="130"/>
      <c r="N486" s="130"/>
      <c r="O486" s="130"/>
      <c r="P486" s="130"/>
      <c r="AA486" s="33"/>
    </row>
    <row r="487" spans="1:27" ht="15.75" customHeight="1" x14ac:dyDescent="0.35">
      <c r="A487" s="148"/>
      <c r="B487" s="33"/>
      <c r="C487" s="149"/>
      <c r="D487" s="150"/>
      <c r="E487" s="130"/>
      <c r="F487" s="130"/>
      <c r="L487" s="130"/>
      <c r="M487" s="130"/>
      <c r="N487" s="130"/>
      <c r="O487" s="130"/>
      <c r="P487" s="130"/>
      <c r="AA487" s="33"/>
    </row>
    <row r="488" spans="1:27" ht="15.75" customHeight="1" x14ac:dyDescent="0.35">
      <c r="A488" s="148"/>
      <c r="B488" s="33"/>
      <c r="C488" s="149"/>
      <c r="D488" s="150"/>
      <c r="E488" s="130"/>
      <c r="F488" s="130"/>
      <c r="L488" s="130"/>
      <c r="M488" s="130"/>
      <c r="N488" s="130"/>
      <c r="O488" s="130"/>
      <c r="P488" s="130"/>
      <c r="AA488" s="33"/>
    </row>
    <row r="489" spans="1:27" ht="15.75" customHeight="1" x14ac:dyDescent="0.35">
      <c r="A489" s="148"/>
      <c r="B489" s="33"/>
      <c r="C489" s="149"/>
      <c r="D489" s="150"/>
      <c r="E489" s="130"/>
      <c r="F489" s="130"/>
      <c r="L489" s="130"/>
      <c r="M489" s="130"/>
      <c r="N489" s="130"/>
      <c r="O489" s="130"/>
      <c r="P489" s="130"/>
      <c r="AA489" s="33"/>
    </row>
    <row r="490" spans="1:27" ht="15.75" customHeight="1" x14ac:dyDescent="0.35">
      <c r="A490" s="148"/>
      <c r="B490" s="33"/>
      <c r="C490" s="149"/>
      <c r="D490" s="150"/>
      <c r="E490" s="130"/>
      <c r="F490" s="130"/>
      <c r="L490" s="130"/>
      <c r="M490" s="130"/>
      <c r="N490" s="130"/>
      <c r="O490" s="130"/>
      <c r="P490" s="130"/>
      <c r="AA490" s="33"/>
    </row>
    <row r="491" spans="1:27" ht="15.75" customHeight="1" x14ac:dyDescent="0.35">
      <c r="A491" s="148"/>
      <c r="B491" s="33"/>
      <c r="C491" s="149"/>
      <c r="D491" s="150"/>
      <c r="E491" s="130"/>
      <c r="F491" s="130"/>
      <c r="L491" s="130"/>
      <c r="M491" s="130"/>
      <c r="N491" s="130"/>
      <c r="O491" s="130"/>
      <c r="P491" s="130"/>
      <c r="AA491" s="33"/>
    </row>
    <row r="492" spans="1:27" ht="15.75" customHeight="1" x14ac:dyDescent="0.35">
      <c r="A492" s="148"/>
      <c r="B492" s="33"/>
      <c r="C492" s="149"/>
      <c r="D492" s="150"/>
      <c r="E492" s="130"/>
      <c r="F492" s="130"/>
      <c r="L492" s="130"/>
      <c r="M492" s="130"/>
      <c r="N492" s="130"/>
      <c r="O492" s="130"/>
      <c r="P492" s="130"/>
      <c r="AA492" s="33"/>
    </row>
    <row r="493" spans="1:27" ht="15.75" customHeight="1" x14ac:dyDescent="0.35">
      <c r="A493" s="148"/>
      <c r="B493" s="33"/>
      <c r="C493" s="149"/>
      <c r="D493" s="150"/>
      <c r="E493" s="130"/>
      <c r="F493" s="130"/>
      <c r="L493" s="130"/>
      <c r="M493" s="130"/>
      <c r="N493" s="130"/>
      <c r="O493" s="130"/>
      <c r="P493" s="130"/>
      <c r="AA493" s="33"/>
    </row>
    <row r="494" spans="1:27" ht="15.75" customHeight="1" x14ac:dyDescent="0.35">
      <c r="A494" s="148"/>
      <c r="B494" s="33"/>
      <c r="C494" s="149"/>
      <c r="D494" s="150"/>
      <c r="E494" s="130"/>
      <c r="F494" s="130"/>
      <c r="L494" s="130"/>
      <c r="M494" s="130"/>
      <c r="N494" s="130"/>
      <c r="O494" s="130"/>
      <c r="P494" s="130"/>
      <c r="AA494" s="33"/>
    </row>
    <row r="495" spans="1:27" ht="15.75" customHeight="1" x14ac:dyDescent="0.35">
      <c r="A495" s="148"/>
      <c r="B495" s="33"/>
      <c r="C495" s="149"/>
      <c r="D495" s="150"/>
      <c r="E495" s="130"/>
      <c r="F495" s="130"/>
      <c r="L495" s="130"/>
      <c r="M495" s="130"/>
      <c r="N495" s="130"/>
      <c r="O495" s="130"/>
      <c r="P495" s="130"/>
      <c r="AA495" s="33"/>
    </row>
    <row r="496" spans="1:27" ht="15.75" customHeight="1" x14ac:dyDescent="0.35">
      <c r="A496" s="148"/>
      <c r="B496" s="33"/>
      <c r="C496" s="149"/>
      <c r="D496" s="150"/>
      <c r="E496" s="130"/>
      <c r="F496" s="130"/>
      <c r="L496" s="130"/>
      <c r="M496" s="130"/>
      <c r="N496" s="130"/>
      <c r="O496" s="130"/>
      <c r="P496" s="130"/>
      <c r="AA496" s="33"/>
    </row>
    <row r="497" spans="1:27" ht="15.75" customHeight="1" x14ac:dyDescent="0.35">
      <c r="A497" s="148"/>
      <c r="B497" s="33"/>
      <c r="C497" s="149"/>
      <c r="D497" s="150"/>
      <c r="E497" s="130"/>
      <c r="F497" s="130"/>
      <c r="L497" s="130"/>
      <c r="M497" s="130"/>
      <c r="N497" s="130"/>
      <c r="O497" s="130"/>
      <c r="P497" s="130"/>
      <c r="AA497" s="33"/>
    </row>
    <row r="498" spans="1:27" ht="15.75" customHeight="1" x14ac:dyDescent="0.35">
      <c r="A498" s="148"/>
      <c r="B498" s="33"/>
      <c r="C498" s="149"/>
      <c r="D498" s="150"/>
      <c r="E498" s="130"/>
      <c r="F498" s="130"/>
      <c r="L498" s="130"/>
      <c r="M498" s="130"/>
      <c r="N498" s="130"/>
      <c r="O498" s="130"/>
      <c r="P498" s="130"/>
      <c r="AA498" s="33"/>
    </row>
    <row r="499" spans="1:27" ht="15.75" customHeight="1" x14ac:dyDescent="0.35">
      <c r="A499" s="148"/>
      <c r="B499" s="33"/>
      <c r="C499" s="149"/>
      <c r="D499" s="150"/>
      <c r="E499" s="130"/>
      <c r="F499" s="130"/>
      <c r="L499" s="130"/>
      <c r="M499" s="130"/>
      <c r="N499" s="130"/>
      <c r="O499" s="130"/>
      <c r="P499" s="130"/>
      <c r="AA499" s="33"/>
    </row>
    <row r="500" spans="1:27" ht="15.75" customHeight="1" x14ac:dyDescent="0.35">
      <c r="A500" s="148"/>
      <c r="B500" s="33"/>
      <c r="C500" s="149"/>
      <c r="D500" s="150"/>
      <c r="E500" s="130"/>
      <c r="F500" s="130"/>
      <c r="L500" s="130"/>
      <c r="M500" s="130"/>
      <c r="N500" s="130"/>
      <c r="O500" s="130"/>
      <c r="P500" s="130"/>
      <c r="AA500" s="33"/>
    </row>
    <row r="501" spans="1:27" ht="15.75" customHeight="1" x14ac:dyDescent="0.35">
      <c r="A501" s="148"/>
      <c r="B501" s="33"/>
      <c r="C501" s="149"/>
      <c r="D501" s="150"/>
      <c r="E501" s="130"/>
      <c r="F501" s="130"/>
      <c r="L501" s="130"/>
      <c r="M501" s="130"/>
      <c r="N501" s="130"/>
      <c r="O501" s="130"/>
      <c r="P501" s="130"/>
      <c r="AA501" s="33"/>
    </row>
    <row r="502" spans="1:27" ht="15.75" customHeight="1" x14ac:dyDescent="0.35">
      <c r="A502" s="148"/>
      <c r="B502" s="33"/>
      <c r="C502" s="149"/>
      <c r="D502" s="150"/>
      <c r="E502" s="130"/>
      <c r="F502" s="130"/>
      <c r="L502" s="130"/>
      <c r="M502" s="130"/>
      <c r="N502" s="130"/>
      <c r="O502" s="130"/>
      <c r="P502" s="130"/>
      <c r="AA502" s="33"/>
    </row>
    <row r="503" spans="1:27" ht="15.75" customHeight="1" x14ac:dyDescent="0.35">
      <c r="A503" s="148"/>
      <c r="B503" s="33"/>
      <c r="C503" s="149"/>
      <c r="D503" s="150"/>
      <c r="E503" s="130"/>
      <c r="F503" s="130"/>
      <c r="L503" s="130"/>
      <c r="M503" s="130"/>
      <c r="N503" s="130"/>
      <c r="O503" s="130"/>
      <c r="P503" s="130"/>
      <c r="AA503" s="33"/>
    </row>
    <row r="504" spans="1:27" ht="15.75" customHeight="1" x14ac:dyDescent="0.35">
      <c r="A504" s="148"/>
      <c r="B504" s="33"/>
      <c r="C504" s="149"/>
      <c r="D504" s="150"/>
      <c r="E504" s="130"/>
      <c r="F504" s="130"/>
      <c r="L504" s="130"/>
      <c r="M504" s="130"/>
      <c r="N504" s="130"/>
      <c r="O504" s="130"/>
      <c r="P504" s="130"/>
      <c r="AA504" s="33"/>
    </row>
    <row r="505" spans="1:27" ht="15.75" customHeight="1" x14ac:dyDescent="0.35">
      <c r="A505" s="148"/>
      <c r="B505" s="33"/>
      <c r="C505" s="149"/>
      <c r="D505" s="150"/>
      <c r="E505" s="130"/>
      <c r="F505" s="130"/>
      <c r="L505" s="130"/>
      <c r="M505" s="130"/>
      <c r="N505" s="130"/>
      <c r="O505" s="130"/>
      <c r="P505" s="130"/>
      <c r="AA505" s="33"/>
    </row>
    <row r="506" spans="1:27" ht="15.75" customHeight="1" x14ac:dyDescent="0.35">
      <c r="A506" s="148"/>
      <c r="B506" s="33"/>
      <c r="C506" s="149"/>
      <c r="D506" s="150"/>
      <c r="E506" s="130"/>
      <c r="F506" s="130"/>
      <c r="L506" s="130"/>
      <c r="M506" s="130"/>
      <c r="N506" s="130"/>
      <c r="O506" s="130"/>
      <c r="P506" s="130"/>
      <c r="AA506" s="33"/>
    </row>
    <row r="507" spans="1:27" ht="15.75" customHeight="1" x14ac:dyDescent="0.35">
      <c r="A507" s="148"/>
      <c r="B507" s="33"/>
      <c r="C507" s="149"/>
      <c r="D507" s="150"/>
      <c r="E507" s="130"/>
      <c r="F507" s="130"/>
      <c r="L507" s="130"/>
      <c r="M507" s="130"/>
      <c r="N507" s="130"/>
      <c r="O507" s="130"/>
      <c r="P507" s="130"/>
      <c r="AA507" s="33"/>
    </row>
    <row r="508" spans="1:27" ht="15.75" customHeight="1" x14ac:dyDescent="0.35">
      <c r="A508" s="148"/>
      <c r="B508" s="33"/>
      <c r="C508" s="149"/>
      <c r="D508" s="150"/>
      <c r="E508" s="130"/>
      <c r="F508" s="130"/>
      <c r="L508" s="130"/>
      <c r="M508" s="130"/>
      <c r="N508" s="130"/>
      <c r="O508" s="130"/>
      <c r="P508" s="130"/>
      <c r="AA508" s="33"/>
    </row>
    <row r="509" spans="1:27" ht="15.75" customHeight="1" x14ac:dyDescent="0.35">
      <c r="A509" s="148"/>
      <c r="B509" s="33"/>
      <c r="C509" s="149"/>
      <c r="D509" s="150"/>
      <c r="E509" s="130"/>
      <c r="F509" s="130"/>
      <c r="L509" s="130"/>
      <c r="M509" s="130"/>
      <c r="N509" s="130"/>
      <c r="O509" s="130"/>
      <c r="P509" s="130"/>
      <c r="AA509" s="33"/>
    </row>
    <row r="510" spans="1:27" ht="15.75" customHeight="1" x14ac:dyDescent="0.35">
      <c r="A510" s="148"/>
      <c r="B510" s="33"/>
      <c r="C510" s="149"/>
      <c r="D510" s="150"/>
      <c r="E510" s="130"/>
      <c r="F510" s="130"/>
      <c r="L510" s="130"/>
      <c r="M510" s="130"/>
      <c r="N510" s="130"/>
      <c r="O510" s="130"/>
      <c r="P510" s="130"/>
      <c r="AA510" s="33"/>
    </row>
    <row r="511" spans="1:27" ht="15.75" customHeight="1" x14ac:dyDescent="0.35">
      <c r="A511" s="148"/>
      <c r="B511" s="33"/>
      <c r="C511" s="149"/>
      <c r="D511" s="150"/>
      <c r="E511" s="130"/>
      <c r="F511" s="130"/>
      <c r="L511" s="130"/>
      <c r="M511" s="130"/>
      <c r="N511" s="130"/>
      <c r="O511" s="130"/>
      <c r="P511" s="130"/>
      <c r="AA511" s="33"/>
    </row>
    <row r="512" spans="1:27" ht="15.75" customHeight="1" x14ac:dyDescent="0.35">
      <c r="A512" s="148"/>
      <c r="B512" s="33"/>
      <c r="C512" s="149"/>
      <c r="D512" s="150"/>
      <c r="E512" s="130"/>
      <c r="F512" s="130"/>
      <c r="L512" s="130"/>
      <c r="M512" s="130"/>
      <c r="N512" s="130"/>
      <c r="O512" s="130"/>
      <c r="P512" s="130"/>
      <c r="AA512" s="33"/>
    </row>
    <row r="513" spans="1:27" ht="15.75" customHeight="1" x14ac:dyDescent="0.35">
      <c r="A513" s="148"/>
      <c r="B513" s="33"/>
      <c r="C513" s="149"/>
      <c r="D513" s="150"/>
      <c r="E513" s="130"/>
      <c r="F513" s="130"/>
      <c r="L513" s="130"/>
      <c r="M513" s="130"/>
      <c r="N513" s="130"/>
      <c r="O513" s="130"/>
      <c r="P513" s="130"/>
      <c r="AA513" s="33"/>
    </row>
    <row r="514" spans="1:27" ht="15.75" customHeight="1" x14ac:dyDescent="0.35">
      <c r="A514" s="148"/>
      <c r="B514" s="33"/>
      <c r="C514" s="149"/>
      <c r="D514" s="150"/>
      <c r="E514" s="130"/>
      <c r="F514" s="130"/>
      <c r="L514" s="130"/>
      <c r="M514" s="130"/>
      <c r="N514" s="130"/>
      <c r="O514" s="130"/>
      <c r="P514" s="130"/>
      <c r="AA514" s="33"/>
    </row>
    <row r="515" spans="1:27" ht="15.75" customHeight="1" x14ac:dyDescent="0.35">
      <c r="A515" s="148"/>
      <c r="B515" s="33"/>
      <c r="C515" s="149"/>
      <c r="D515" s="150"/>
      <c r="E515" s="130"/>
      <c r="F515" s="130"/>
      <c r="L515" s="130"/>
      <c r="M515" s="130"/>
      <c r="N515" s="130"/>
      <c r="O515" s="130"/>
      <c r="P515" s="130"/>
      <c r="AA515" s="33"/>
    </row>
    <row r="516" spans="1:27" ht="15.75" customHeight="1" x14ac:dyDescent="0.35">
      <c r="A516" s="148"/>
      <c r="B516" s="33"/>
      <c r="C516" s="149"/>
      <c r="D516" s="150"/>
      <c r="E516" s="130"/>
      <c r="F516" s="130"/>
      <c r="L516" s="130"/>
      <c r="M516" s="130"/>
      <c r="N516" s="130"/>
      <c r="O516" s="130"/>
      <c r="P516" s="130"/>
      <c r="AA516" s="33"/>
    </row>
    <row r="517" spans="1:27" ht="15.75" customHeight="1" x14ac:dyDescent="0.35">
      <c r="A517" s="148"/>
      <c r="B517" s="33"/>
      <c r="C517" s="149"/>
      <c r="D517" s="150"/>
      <c r="E517" s="130"/>
      <c r="F517" s="130"/>
      <c r="L517" s="130"/>
      <c r="M517" s="130"/>
      <c r="N517" s="130"/>
      <c r="O517" s="130"/>
      <c r="P517" s="130"/>
      <c r="AA517" s="33"/>
    </row>
    <row r="518" spans="1:27" ht="15.75" customHeight="1" x14ac:dyDescent="0.35">
      <c r="A518" s="148"/>
      <c r="B518" s="33"/>
      <c r="C518" s="149"/>
      <c r="D518" s="150"/>
      <c r="E518" s="130"/>
      <c r="F518" s="130"/>
      <c r="L518" s="130"/>
      <c r="M518" s="130"/>
      <c r="N518" s="130"/>
      <c r="O518" s="130"/>
      <c r="P518" s="130"/>
      <c r="AA518" s="33"/>
    </row>
    <row r="519" spans="1:27" ht="15.75" customHeight="1" x14ac:dyDescent="0.35">
      <c r="A519" s="148"/>
      <c r="B519" s="33"/>
      <c r="C519" s="149"/>
      <c r="D519" s="150"/>
      <c r="E519" s="130"/>
      <c r="F519" s="130"/>
      <c r="L519" s="130"/>
      <c r="M519" s="130"/>
      <c r="N519" s="130"/>
      <c r="O519" s="130"/>
      <c r="P519" s="130"/>
      <c r="AA519" s="33"/>
    </row>
    <row r="520" spans="1:27" ht="15.75" customHeight="1" x14ac:dyDescent="0.35">
      <c r="A520" s="148"/>
      <c r="B520" s="33"/>
      <c r="C520" s="149"/>
      <c r="D520" s="150"/>
      <c r="E520" s="130"/>
      <c r="F520" s="130"/>
      <c r="L520" s="130"/>
      <c r="M520" s="130"/>
      <c r="N520" s="130"/>
      <c r="O520" s="130"/>
      <c r="P520" s="130"/>
      <c r="AA520" s="33"/>
    </row>
    <row r="521" spans="1:27" ht="15.75" customHeight="1" x14ac:dyDescent="0.35">
      <c r="A521" s="148"/>
      <c r="B521" s="33"/>
      <c r="C521" s="149"/>
      <c r="D521" s="150"/>
      <c r="E521" s="130"/>
      <c r="F521" s="130"/>
      <c r="L521" s="130"/>
      <c r="M521" s="130"/>
      <c r="N521" s="130"/>
      <c r="O521" s="130"/>
      <c r="P521" s="130"/>
      <c r="AA521" s="33"/>
    </row>
    <row r="522" spans="1:27" ht="15.75" customHeight="1" x14ac:dyDescent="0.35">
      <c r="A522" s="148"/>
      <c r="B522" s="33"/>
      <c r="C522" s="149"/>
      <c r="D522" s="150"/>
      <c r="E522" s="130"/>
      <c r="F522" s="130"/>
      <c r="L522" s="130"/>
      <c r="M522" s="130"/>
      <c r="N522" s="130"/>
      <c r="O522" s="130"/>
      <c r="P522" s="130"/>
      <c r="AA522" s="33"/>
    </row>
    <row r="523" spans="1:27" ht="15.75" customHeight="1" x14ac:dyDescent="0.35">
      <c r="A523" s="148"/>
      <c r="B523" s="33"/>
      <c r="C523" s="149"/>
      <c r="D523" s="150"/>
      <c r="E523" s="130"/>
      <c r="F523" s="130"/>
      <c r="L523" s="130"/>
      <c r="M523" s="130"/>
      <c r="N523" s="130"/>
      <c r="O523" s="130"/>
      <c r="P523" s="130"/>
      <c r="AA523" s="33"/>
    </row>
    <row r="524" spans="1:27" ht="15.75" customHeight="1" x14ac:dyDescent="0.35">
      <c r="A524" s="148"/>
      <c r="B524" s="33"/>
      <c r="C524" s="149"/>
      <c r="D524" s="150"/>
      <c r="E524" s="130"/>
      <c r="F524" s="130"/>
      <c r="L524" s="130"/>
      <c r="M524" s="130"/>
      <c r="N524" s="130"/>
      <c r="O524" s="130"/>
      <c r="P524" s="130"/>
      <c r="AA524" s="33"/>
    </row>
    <row r="525" spans="1:27" ht="15.75" customHeight="1" x14ac:dyDescent="0.35">
      <c r="A525" s="148"/>
      <c r="B525" s="33"/>
      <c r="C525" s="149"/>
      <c r="D525" s="150"/>
      <c r="E525" s="130"/>
      <c r="F525" s="130"/>
      <c r="L525" s="130"/>
      <c r="M525" s="130"/>
      <c r="N525" s="130"/>
      <c r="O525" s="130"/>
      <c r="P525" s="130"/>
      <c r="AA525" s="33"/>
    </row>
    <row r="526" spans="1:27" ht="15.75" customHeight="1" x14ac:dyDescent="0.35">
      <c r="A526" s="148"/>
      <c r="B526" s="33"/>
      <c r="C526" s="149"/>
      <c r="D526" s="150"/>
      <c r="E526" s="130"/>
      <c r="F526" s="130"/>
      <c r="L526" s="130"/>
      <c r="M526" s="130"/>
      <c r="N526" s="130"/>
      <c r="O526" s="130"/>
      <c r="P526" s="130"/>
      <c r="AA526" s="33"/>
    </row>
    <row r="527" spans="1:27" ht="15.75" customHeight="1" x14ac:dyDescent="0.35">
      <c r="A527" s="148"/>
      <c r="B527" s="33"/>
      <c r="C527" s="149"/>
      <c r="D527" s="150"/>
      <c r="E527" s="130"/>
      <c r="F527" s="130"/>
      <c r="L527" s="130"/>
      <c r="M527" s="130"/>
      <c r="N527" s="130"/>
      <c r="O527" s="130"/>
      <c r="P527" s="130"/>
      <c r="AA527" s="33"/>
    </row>
    <row r="528" spans="1:27" ht="15.75" customHeight="1" x14ac:dyDescent="0.35">
      <c r="A528" s="148"/>
      <c r="B528" s="33"/>
      <c r="C528" s="149"/>
      <c r="D528" s="150"/>
      <c r="E528" s="130"/>
      <c r="F528" s="130"/>
      <c r="L528" s="130"/>
      <c r="M528" s="130"/>
      <c r="N528" s="130"/>
      <c r="O528" s="130"/>
      <c r="P528" s="130"/>
      <c r="AA528" s="33"/>
    </row>
    <row r="529" spans="1:27" ht="15.75" customHeight="1" x14ac:dyDescent="0.35">
      <c r="A529" s="148"/>
      <c r="B529" s="33"/>
      <c r="C529" s="149"/>
      <c r="D529" s="150"/>
      <c r="E529" s="130"/>
      <c r="F529" s="130"/>
      <c r="L529" s="130"/>
      <c r="M529" s="130"/>
      <c r="N529" s="130"/>
      <c r="O529" s="130"/>
      <c r="P529" s="130"/>
      <c r="AA529" s="33"/>
    </row>
    <row r="530" spans="1:27" ht="15.75" customHeight="1" x14ac:dyDescent="0.35">
      <c r="A530" s="148"/>
      <c r="B530" s="33"/>
      <c r="C530" s="149"/>
      <c r="D530" s="150"/>
      <c r="E530" s="130"/>
      <c r="F530" s="130"/>
      <c r="L530" s="130"/>
      <c r="M530" s="130"/>
      <c r="N530" s="130"/>
      <c r="O530" s="130"/>
      <c r="P530" s="130"/>
      <c r="AA530" s="33"/>
    </row>
    <row r="531" spans="1:27" ht="15.75" customHeight="1" x14ac:dyDescent="0.35">
      <c r="A531" s="148"/>
      <c r="B531" s="33"/>
      <c r="C531" s="149"/>
      <c r="D531" s="150"/>
      <c r="E531" s="130"/>
      <c r="F531" s="130"/>
      <c r="L531" s="130"/>
      <c r="M531" s="130"/>
      <c r="N531" s="130"/>
      <c r="O531" s="130"/>
      <c r="P531" s="130"/>
      <c r="AA531" s="33"/>
    </row>
    <row r="532" spans="1:27" ht="15.75" customHeight="1" x14ac:dyDescent="0.35">
      <c r="A532" s="148"/>
      <c r="B532" s="33"/>
      <c r="C532" s="149"/>
      <c r="D532" s="150"/>
      <c r="E532" s="130"/>
      <c r="F532" s="130"/>
      <c r="L532" s="130"/>
      <c r="M532" s="130"/>
      <c r="N532" s="130"/>
      <c r="O532" s="130"/>
      <c r="P532" s="130"/>
      <c r="AA532" s="33"/>
    </row>
    <row r="533" spans="1:27" ht="15.75" customHeight="1" x14ac:dyDescent="0.35">
      <c r="A533" s="148"/>
      <c r="B533" s="33"/>
      <c r="C533" s="149"/>
      <c r="D533" s="150"/>
      <c r="E533" s="130"/>
      <c r="F533" s="130"/>
      <c r="L533" s="130"/>
      <c r="M533" s="130"/>
      <c r="N533" s="130"/>
      <c r="O533" s="130"/>
      <c r="P533" s="130"/>
      <c r="AA533" s="33"/>
    </row>
    <row r="534" spans="1:27" ht="15.75" customHeight="1" x14ac:dyDescent="0.35">
      <c r="A534" s="148"/>
      <c r="B534" s="33"/>
      <c r="C534" s="149"/>
      <c r="D534" s="150"/>
      <c r="E534" s="130"/>
      <c r="F534" s="130"/>
      <c r="L534" s="130"/>
      <c r="M534" s="130"/>
      <c r="N534" s="130"/>
      <c r="O534" s="130"/>
      <c r="P534" s="130"/>
      <c r="AA534" s="33"/>
    </row>
    <row r="535" spans="1:27" ht="15.75" customHeight="1" x14ac:dyDescent="0.35">
      <c r="A535" s="148"/>
      <c r="B535" s="33"/>
      <c r="C535" s="149"/>
      <c r="D535" s="150"/>
      <c r="E535" s="130"/>
      <c r="F535" s="130"/>
      <c r="L535" s="130"/>
      <c r="M535" s="130"/>
      <c r="N535" s="130"/>
      <c r="O535" s="130"/>
      <c r="P535" s="130"/>
      <c r="AA535" s="33"/>
    </row>
    <row r="536" spans="1:27" ht="15.75" customHeight="1" x14ac:dyDescent="0.35">
      <c r="A536" s="148"/>
      <c r="B536" s="33"/>
      <c r="C536" s="149"/>
      <c r="D536" s="150"/>
      <c r="E536" s="130"/>
      <c r="F536" s="130"/>
      <c r="L536" s="130"/>
      <c r="M536" s="130"/>
      <c r="N536" s="130"/>
      <c r="O536" s="130"/>
      <c r="P536" s="130"/>
      <c r="AA536" s="33"/>
    </row>
    <row r="537" spans="1:27" ht="15.75" customHeight="1" x14ac:dyDescent="0.35">
      <c r="A537" s="148"/>
      <c r="B537" s="33"/>
      <c r="C537" s="149"/>
      <c r="D537" s="150"/>
      <c r="E537" s="130"/>
      <c r="F537" s="130"/>
      <c r="L537" s="130"/>
      <c r="M537" s="130"/>
      <c r="N537" s="130"/>
      <c r="O537" s="130"/>
      <c r="P537" s="130"/>
      <c r="AA537" s="33"/>
    </row>
    <row r="538" spans="1:27" ht="15.75" customHeight="1" x14ac:dyDescent="0.35">
      <c r="A538" s="148"/>
      <c r="B538" s="33"/>
      <c r="C538" s="149"/>
      <c r="D538" s="150"/>
      <c r="E538" s="130"/>
      <c r="F538" s="130"/>
      <c r="L538" s="130"/>
      <c r="M538" s="130"/>
      <c r="N538" s="130"/>
      <c r="O538" s="130"/>
      <c r="P538" s="130"/>
      <c r="AA538" s="33"/>
    </row>
    <row r="539" spans="1:27" ht="15.75" customHeight="1" x14ac:dyDescent="0.35">
      <c r="A539" s="148"/>
      <c r="B539" s="33"/>
      <c r="C539" s="149"/>
      <c r="D539" s="150"/>
      <c r="E539" s="130"/>
      <c r="F539" s="130"/>
      <c r="L539" s="130"/>
      <c r="M539" s="130"/>
      <c r="N539" s="130"/>
      <c r="O539" s="130"/>
      <c r="P539" s="130"/>
      <c r="AA539" s="33"/>
    </row>
    <row r="540" spans="1:27" ht="15.75" customHeight="1" x14ac:dyDescent="0.35">
      <c r="A540" s="148"/>
      <c r="B540" s="33"/>
      <c r="C540" s="149"/>
      <c r="D540" s="150"/>
      <c r="E540" s="130"/>
      <c r="F540" s="130"/>
      <c r="L540" s="130"/>
      <c r="M540" s="130"/>
      <c r="N540" s="130"/>
      <c r="O540" s="130"/>
      <c r="P540" s="130"/>
      <c r="AA540" s="33"/>
    </row>
    <row r="541" spans="1:27" ht="15.75" customHeight="1" x14ac:dyDescent="0.35">
      <c r="A541" s="148"/>
      <c r="B541" s="33"/>
      <c r="C541" s="149"/>
      <c r="D541" s="150"/>
      <c r="E541" s="130"/>
      <c r="F541" s="130"/>
      <c r="L541" s="130"/>
      <c r="M541" s="130"/>
      <c r="N541" s="130"/>
      <c r="O541" s="130"/>
      <c r="P541" s="130"/>
      <c r="AA541" s="33"/>
    </row>
    <row r="542" spans="1:27" ht="15.75" customHeight="1" x14ac:dyDescent="0.35">
      <c r="A542" s="148"/>
      <c r="B542" s="33"/>
      <c r="C542" s="149"/>
      <c r="D542" s="150"/>
      <c r="E542" s="130"/>
      <c r="F542" s="130"/>
      <c r="L542" s="130"/>
      <c r="M542" s="130"/>
      <c r="N542" s="130"/>
      <c r="O542" s="130"/>
      <c r="P542" s="130"/>
      <c r="AA542" s="33"/>
    </row>
    <row r="543" spans="1:27" ht="15.75" customHeight="1" x14ac:dyDescent="0.35">
      <c r="A543" s="148"/>
      <c r="B543" s="33"/>
      <c r="C543" s="149"/>
      <c r="D543" s="150"/>
      <c r="E543" s="130"/>
      <c r="F543" s="130"/>
      <c r="L543" s="130"/>
      <c r="M543" s="130"/>
      <c r="N543" s="130"/>
      <c r="O543" s="130"/>
      <c r="P543" s="130"/>
      <c r="AA543" s="33"/>
    </row>
    <row r="544" spans="1:27" ht="15.75" customHeight="1" x14ac:dyDescent="0.35">
      <c r="A544" s="148"/>
      <c r="B544" s="33"/>
      <c r="C544" s="149"/>
      <c r="D544" s="150"/>
      <c r="E544" s="130"/>
      <c r="F544" s="130"/>
      <c r="L544" s="130"/>
      <c r="M544" s="130"/>
      <c r="N544" s="130"/>
      <c r="O544" s="130"/>
      <c r="P544" s="130"/>
      <c r="AA544" s="33"/>
    </row>
    <row r="545" spans="1:27" ht="15.75" customHeight="1" x14ac:dyDescent="0.35">
      <c r="A545" s="148"/>
      <c r="B545" s="33"/>
      <c r="C545" s="149"/>
      <c r="D545" s="150"/>
      <c r="E545" s="130"/>
      <c r="F545" s="130"/>
      <c r="L545" s="130"/>
      <c r="M545" s="130"/>
      <c r="N545" s="130"/>
      <c r="O545" s="130"/>
      <c r="P545" s="130"/>
      <c r="AA545" s="33"/>
    </row>
    <row r="546" spans="1:27" ht="15.75" customHeight="1" x14ac:dyDescent="0.35">
      <c r="A546" s="148"/>
      <c r="B546" s="33"/>
      <c r="C546" s="149"/>
      <c r="D546" s="150"/>
      <c r="E546" s="130"/>
      <c r="F546" s="130"/>
      <c r="L546" s="130"/>
      <c r="M546" s="130"/>
      <c r="N546" s="130"/>
      <c r="O546" s="130"/>
      <c r="P546" s="130"/>
      <c r="AA546" s="33"/>
    </row>
    <row r="547" spans="1:27" ht="15.75" customHeight="1" x14ac:dyDescent="0.35">
      <c r="A547" s="148"/>
      <c r="B547" s="33"/>
      <c r="C547" s="149"/>
      <c r="D547" s="150"/>
      <c r="E547" s="130"/>
      <c r="F547" s="130"/>
      <c r="L547" s="130"/>
      <c r="M547" s="130"/>
      <c r="N547" s="130"/>
      <c r="O547" s="130"/>
      <c r="P547" s="130"/>
      <c r="AA547" s="33"/>
    </row>
    <row r="548" spans="1:27" ht="15.75" customHeight="1" x14ac:dyDescent="0.35">
      <c r="A548" s="148"/>
      <c r="B548" s="33"/>
      <c r="C548" s="149"/>
      <c r="D548" s="150"/>
      <c r="E548" s="130"/>
      <c r="F548" s="130"/>
      <c r="L548" s="130"/>
      <c r="M548" s="130"/>
      <c r="N548" s="130"/>
      <c r="O548" s="130"/>
      <c r="P548" s="130"/>
      <c r="AA548" s="33"/>
    </row>
    <row r="549" spans="1:27" ht="15.75" customHeight="1" x14ac:dyDescent="0.35">
      <c r="A549" s="148"/>
      <c r="B549" s="33"/>
      <c r="C549" s="149"/>
      <c r="D549" s="150"/>
      <c r="E549" s="130"/>
      <c r="F549" s="130"/>
      <c r="L549" s="130"/>
      <c r="M549" s="130"/>
      <c r="N549" s="130"/>
      <c r="O549" s="130"/>
      <c r="P549" s="130"/>
      <c r="AA549" s="33"/>
    </row>
    <row r="550" spans="1:27" ht="15.75" customHeight="1" x14ac:dyDescent="0.35">
      <c r="A550" s="148"/>
      <c r="B550" s="33"/>
      <c r="C550" s="149"/>
      <c r="D550" s="150"/>
      <c r="E550" s="130"/>
      <c r="F550" s="130"/>
      <c r="L550" s="130"/>
      <c r="M550" s="130"/>
      <c r="N550" s="130"/>
      <c r="O550" s="130"/>
      <c r="P550" s="130"/>
      <c r="AA550" s="33"/>
    </row>
    <row r="551" spans="1:27" ht="15.75" customHeight="1" x14ac:dyDescent="0.35">
      <c r="A551" s="148"/>
      <c r="B551" s="33"/>
      <c r="C551" s="149"/>
      <c r="D551" s="150"/>
      <c r="E551" s="130"/>
      <c r="F551" s="130"/>
      <c r="L551" s="130"/>
      <c r="M551" s="130"/>
      <c r="N551" s="130"/>
      <c r="O551" s="130"/>
      <c r="P551" s="130"/>
      <c r="AA551" s="33"/>
    </row>
    <row r="552" spans="1:27" ht="15.75" customHeight="1" x14ac:dyDescent="0.35">
      <c r="A552" s="148"/>
      <c r="B552" s="33"/>
      <c r="C552" s="149"/>
      <c r="D552" s="150"/>
      <c r="E552" s="130"/>
      <c r="F552" s="130"/>
      <c r="L552" s="130"/>
      <c r="M552" s="130"/>
      <c r="N552" s="130"/>
      <c r="O552" s="130"/>
      <c r="P552" s="130"/>
      <c r="AA552" s="33"/>
    </row>
    <row r="553" spans="1:27" ht="15.75" customHeight="1" x14ac:dyDescent="0.35">
      <c r="A553" s="148"/>
      <c r="B553" s="33"/>
      <c r="C553" s="149"/>
      <c r="D553" s="150"/>
      <c r="E553" s="130"/>
      <c r="F553" s="130"/>
      <c r="L553" s="130"/>
      <c r="M553" s="130"/>
      <c r="N553" s="130"/>
      <c r="O553" s="130"/>
      <c r="P553" s="130"/>
      <c r="AA553" s="33"/>
    </row>
    <row r="554" spans="1:27" ht="15.75" customHeight="1" x14ac:dyDescent="0.35">
      <c r="A554" s="148"/>
      <c r="B554" s="33"/>
      <c r="C554" s="149"/>
      <c r="D554" s="150"/>
      <c r="E554" s="130"/>
      <c r="F554" s="130"/>
      <c r="L554" s="130"/>
      <c r="M554" s="130"/>
      <c r="N554" s="130"/>
      <c r="O554" s="130"/>
      <c r="P554" s="130"/>
      <c r="AA554" s="33"/>
    </row>
    <row r="555" spans="1:27" ht="15.75" customHeight="1" x14ac:dyDescent="0.35">
      <c r="A555" s="148"/>
      <c r="B555" s="33"/>
      <c r="C555" s="149"/>
      <c r="D555" s="150"/>
      <c r="E555" s="130"/>
      <c r="F555" s="130"/>
      <c r="L555" s="130"/>
      <c r="M555" s="130"/>
      <c r="N555" s="130"/>
      <c r="O555" s="130"/>
      <c r="P555" s="130"/>
      <c r="AA555" s="33"/>
    </row>
    <row r="556" spans="1:27" ht="15.75" customHeight="1" x14ac:dyDescent="0.35">
      <c r="A556" s="148"/>
      <c r="B556" s="33"/>
      <c r="C556" s="149"/>
      <c r="D556" s="150"/>
      <c r="E556" s="130"/>
      <c r="F556" s="130"/>
      <c r="L556" s="130"/>
      <c r="M556" s="130"/>
      <c r="N556" s="130"/>
      <c r="O556" s="130"/>
      <c r="P556" s="130"/>
      <c r="AA556" s="33"/>
    </row>
    <row r="557" spans="1:27" ht="15.75" customHeight="1" x14ac:dyDescent="0.35">
      <c r="A557" s="148"/>
      <c r="B557" s="33"/>
      <c r="C557" s="149"/>
      <c r="D557" s="150"/>
      <c r="E557" s="130"/>
      <c r="F557" s="130"/>
      <c r="L557" s="130"/>
      <c r="M557" s="130"/>
      <c r="N557" s="130"/>
      <c r="O557" s="130"/>
      <c r="P557" s="130"/>
      <c r="AA557" s="33"/>
    </row>
    <row r="558" spans="1:27" ht="15.75" customHeight="1" x14ac:dyDescent="0.35">
      <c r="A558" s="148"/>
      <c r="B558" s="33"/>
      <c r="C558" s="149"/>
      <c r="D558" s="150"/>
      <c r="E558" s="130"/>
      <c r="F558" s="130"/>
      <c r="L558" s="130"/>
      <c r="M558" s="130"/>
      <c r="N558" s="130"/>
      <c r="O558" s="130"/>
      <c r="P558" s="130"/>
      <c r="AA558" s="33"/>
    </row>
    <row r="559" spans="1:27" ht="15.75" customHeight="1" x14ac:dyDescent="0.35">
      <c r="A559" s="148"/>
      <c r="B559" s="33"/>
      <c r="C559" s="149"/>
      <c r="D559" s="150"/>
      <c r="E559" s="130"/>
      <c r="F559" s="130"/>
      <c r="L559" s="130"/>
      <c r="M559" s="130"/>
      <c r="N559" s="130"/>
      <c r="O559" s="130"/>
      <c r="P559" s="130"/>
      <c r="AA559" s="33"/>
    </row>
    <row r="560" spans="1:27" ht="15.75" customHeight="1" x14ac:dyDescent="0.35">
      <c r="A560" s="148"/>
      <c r="B560" s="33"/>
      <c r="C560" s="149"/>
      <c r="D560" s="150"/>
      <c r="E560" s="130"/>
      <c r="F560" s="130"/>
      <c r="L560" s="130"/>
      <c r="M560" s="130"/>
      <c r="N560" s="130"/>
      <c r="O560" s="130"/>
      <c r="P560" s="130"/>
      <c r="AA560" s="33"/>
    </row>
    <row r="561" spans="1:27" ht="15.75" customHeight="1" x14ac:dyDescent="0.35">
      <c r="A561" s="148"/>
      <c r="B561" s="33"/>
      <c r="C561" s="149"/>
      <c r="D561" s="150"/>
      <c r="E561" s="130"/>
      <c r="F561" s="130"/>
      <c r="L561" s="130"/>
      <c r="M561" s="130"/>
      <c r="N561" s="130"/>
      <c r="O561" s="130"/>
      <c r="P561" s="130"/>
      <c r="AA561" s="33"/>
    </row>
    <row r="562" spans="1:27" ht="15.75" customHeight="1" x14ac:dyDescent="0.35">
      <c r="A562" s="148"/>
      <c r="B562" s="33"/>
      <c r="C562" s="149"/>
      <c r="D562" s="150"/>
      <c r="E562" s="130"/>
      <c r="F562" s="130"/>
      <c r="L562" s="130"/>
      <c r="M562" s="130"/>
      <c r="N562" s="130"/>
      <c r="O562" s="130"/>
      <c r="P562" s="130"/>
      <c r="AA562" s="33"/>
    </row>
    <row r="563" spans="1:27" ht="15.75" customHeight="1" x14ac:dyDescent="0.35">
      <c r="A563" s="148"/>
      <c r="B563" s="33"/>
      <c r="C563" s="149"/>
      <c r="D563" s="150"/>
      <c r="E563" s="130"/>
      <c r="F563" s="130"/>
      <c r="L563" s="130"/>
      <c r="M563" s="130"/>
      <c r="N563" s="130"/>
      <c r="O563" s="130"/>
      <c r="P563" s="130"/>
      <c r="AA563" s="33"/>
    </row>
    <row r="564" spans="1:27" ht="15.75" customHeight="1" x14ac:dyDescent="0.35">
      <c r="A564" s="148"/>
      <c r="B564" s="33"/>
      <c r="C564" s="149"/>
      <c r="D564" s="150"/>
      <c r="E564" s="130"/>
      <c r="F564" s="130"/>
      <c r="L564" s="130"/>
      <c r="M564" s="130"/>
      <c r="N564" s="130"/>
      <c r="O564" s="130"/>
      <c r="P564" s="130"/>
      <c r="AA564" s="33"/>
    </row>
    <row r="565" spans="1:27" ht="15.75" customHeight="1" x14ac:dyDescent="0.35">
      <c r="A565" s="148"/>
      <c r="B565" s="33"/>
      <c r="C565" s="149"/>
      <c r="D565" s="150"/>
      <c r="E565" s="130"/>
      <c r="F565" s="130"/>
      <c r="L565" s="130"/>
      <c r="M565" s="130"/>
      <c r="N565" s="130"/>
      <c r="O565" s="130"/>
      <c r="P565" s="130"/>
      <c r="AA565" s="33"/>
    </row>
    <row r="566" spans="1:27" ht="15.75" customHeight="1" x14ac:dyDescent="0.35">
      <c r="A566" s="148"/>
      <c r="B566" s="33"/>
      <c r="C566" s="149"/>
      <c r="D566" s="150"/>
      <c r="E566" s="130"/>
      <c r="F566" s="130"/>
      <c r="L566" s="130"/>
      <c r="M566" s="130"/>
      <c r="N566" s="130"/>
      <c r="O566" s="130"/>
      <c r="P566" s="130"/>
      <c r="AA566" s="33"/>
    </row>
    <row r="567" spans="1:27" ht="15.75" customHeight="1" x14ac:dyDescent="0.35">
      <c r="A567" s="148"/>
      <c r="B567" s="33"/>
      <c r="C567" s="149"/>
      <c r="D567" s="150"/>
      <c r="E567" s="130"/>
      <c r="F567" s="130"/>
      <c r="L567" s="130"/>
      <c r="M567" s="130"/>
      <c r="N567" s="130"/>
      <c r="O567" s="130"/>
      <c r="P567" s="130"/>
      <c r="AA567" s="33"/>
    </row>
    <row r="568" spans="1:27" ht="15.75" customHeight="1" x14ac:dyDescent="0.35">
      <c r="A568" s="148"/>
      <c r="B568" s="33"/>
      <c r="C568" s="149"/>
      <c r="D568" s="150"/>
      <c r="E568" s="130"/>
      <c r="F568" s="130"/>
      <c r="L568" s="130"/>
      <c r="M568" s="130"/>
      <c r="N568" s="130"/>
      <c r="O568" s="130"/>
      <c r="P568" s="130"/>
      <c r="AA568" s="33"/>
    </row>
    <row r="569" spans="1:27" ht="15.75" customHeight="1" x14ac:dyDescent="0.35">
      <c r="A569" s="148"/>
      <c r="B569" s="33"/>
      <c r="C569" s="149"/>
      <c r="D569" s="150"/>
      <c r="E569" s="130"/>
      <c r="F569" s="130"/>
      <c r="L569" s="130"/>
      <c r="M569" s="130"/>
      <c r="N569" s="130"/>
      <c r="O569" s="130"/>
      <c r="P569" s="130"/>
      <c r="AA569" s="33"/>
    </row>
    <row r="570" spans="1:27" ht="15.75" customHeight="1" x14ac:dyDescent="0.35">
      <c r="A570" s="148"/>
      <c r="B570" s="33"/>
      <c r="C570" s="149"/>
      <c r="D570" s="150"/>
      <c r="E570" s="130"/>
      <c r="F570" s="130"/>
      <c r="L570" s="130"/>
      <c r="M570" s="130"/>
      <c r="N570" s="130"/>
      <c r="O570" s="130"/>
      <c r="P570" s="130"/>
      <c r="AA570" s="33"/>
    </row>
    <row r="571" spans="1:27" ht="15.75" customHeight="1" x14ac:dyDescent="0.35">
      <c r="A571" s="148"/>
      <c r="B571" s="33"/>
      <c r="C571" s="149"/>
      <c r="D571" s="150"/>
      <c r="E571" s="130"/>
      <c r="F571" s="130"/>
      <c r="L571" s="130"/>
      <c r="M571" s="130"/>
      <c r="N571" s="130"/>
      <c r="O571" s="130"/>
      <c r="P571" s="130"/>
      <c r="AA571" s="33"/>
    </row>
    <row r="572" spans="1:27" ht="15.75" customHeight="1" x14ac:dyDescent="0.35">
      <c r="A572" s="148"/>
      <c r="B572" s="33"/>
      <c r="C572" s="149"/>
      <c r="D572" s="150"/>
      <c r="E572" s="130"/>
      <c r="F572" s="130"/>
      <c r="L572" s="130"/>
      <c r="M572" s="130"/>
      <c r="N572" s="130"/>
      <c r="O572" s="130"/>
      <c r="P572" s="130"/>
      <c r="AA572" s="33"/>
    </row>
    <row r="573" spans="1:27" ht="15.75" customHeight="1" x14ac:dyDescent="0.35">
      <c r="A573" s="148"/>
      <c r="B573" s="33"/>
      <c r="C573" s="149"/>
      <c r="D573" s="150"/>
      <c r="E573" s="130"/>
      <c r="F573" s="130"/>
      <c r="L573" s="130"/>
      <c r="M573" s="130"/>
      <c r="N573" s="130"/>
      <c r="O573" s="130"/>
      <c r="P573" s="130"/>
      <c r="AA573" s="33"/>
    </row>
    <row r="574" spans="1:27" ht="15.75" customHeight="1" x14ac:dyDescent="0.35">
      <c r="A574" s="148"/>
      <c r="B574" s="33"/>
      <c r="C574" s="149"/>
      <c r="D574" s="150"/>
      <c r="E574" s="130"/>
      <c r="F574" s="130"/>
      <c r="L574" s="130"/>
      <c r="M574" s="130"/>
      <c r="N574" s="130"/>
      <c r="O574" s="130"/>
      <c r="P574" s="130"/>
      <c r="AA574" s="33"/>
    </row>
    <row r="575" spans="1:27" ht="15.75" customHeight="1" x14ac:dyDescent="0.35">
      <c r="A575" s="148"/>
      <c r="B575" s="33"/>
      <c r="C575" s="149"/>
      <c r="D575" s="150"/>
      <c r="E575" s="130"/>
      <c r="F575" s="130"/>
      <c r="L575" s="130"/>
      <c r="M575" s="130"/>
      <c r="N575" s="130"/>
      <c r="O575" s="130"/>
      <c r="P575" s="130"/>
      <c r="AA575" s="33"/>
    </row>
    <row r="576" spans="1:27" ht="15.75" customHeight="1" x14ac:dyDescent="0.35">
      <c r="A576" s="148"/>
      <c r="B576" s="33"/>
      <c r="C576" s="149"/>
      <c r="D576" s="150"/>
      <c r="E576" s="130"/>
      <c r="F576" s="130"/>
      <c r="L576" s="130"/>
      <c r="M576" s="130"/>
      <c r="N576" s="130"/>
      <c r="O576" s="130"/>
      <c r="P576" s="130"/>
      <c r="AA576" s="33"/>
    </row>
    <row r="577" spans="1:27" ht="15.75" customHeight="1" x14ac:dyDescent="0.35">
      <c r="A577" s="148"/>
      <c r="B577" s="33"/>
      <c r="C577" s="149"/>
      <c r="D577" s="150"/>
      <c r="E577" s="130"/>
      <c r="F577" s="130"/>
      <c r="L577" s="130"/>
      <c r="M577" s="130"/>
      <c r="N577" s="130"/>
      <c r="O577" s="130"/>
      <c r="P577" s="130"/>
      <c r="AA577" s="33"/>
    </row>
    <row r="578" spans="1:27" ht="15.75" customHeight="1" x14ac:dyDescent="0.35">
      <c r="A578" s="148"/>
      <c r="B578" s="33"/>
      <c r="C578" s="149"/>
      <c r="D578" s="150"/>
      <c r="E578" s="130"/>
      <c r="F578" s="130"/>
      <c r="L578" s="130"/>
      <c r="M578" s="130"/>
      <c r="N578" s="130"/>
      <c r="O578" s="130"/>
      <c r="P578" s="130"/>
      <c r="AA578" s="33"/>
    </row>
    <row r="579" spans="1:27" ht="15.75" customHeight="1" x14ac:dyDescent="0.35">
      <c r="A579" s="148"/>
      <c r="B579" s="33"/>
      <c r="C579" s="149"/>
      <c r="D579" s="150"/>
      <c r="E579" s="130"/>
      <c r="F579" s="130"/>
      <c r="L579" s="130"/>
      <c r="M579" s="130"/>
      <c r="N579" s="130"/>
      <c r="O579" s="130"/>
      <c r="P579" s="130"/>
      <c r="AA579" s="33"/>
    </row>
    <row r="580" spans="1:27" ht="15.75" customHeight="1" x14ac:dyDescent="0.35">
      <c r="A580" s="148"/>
      <c r="B580" s="33"/>
      <c r="C580" s="149"/>
      <c r="D580" s="150"/>
      <c r="E580" s="130"/>
      <c r="F580" s="130"/>
      <c r="L580" s="130"/>
      <c r="M580" s="130"/>
      <c r="N580" s="130"/>
      <c r="O580" s="130"/>
      <c r="P580" s="130"/>
      <c r="AA580" s="33"/>
    </row>
    <row r="581" spans="1:27" ht="15.75" customHeight="1" x14ac:dyDescent="0.35">
      <c r="A581" s="148"/>
      <c r="B581" s="33"/>
      <c r="C581" s="149"/>
      <c r="D581" s="150"/>
      <c r="E581" s="130"/>
      <c r="F581" s="130"/>
      <c r="L581" s="130"/>
      <c r="M581" s="130"/>
      <c r="N581" s="130"/>
      <c r="O581" s="130"/>
      <c r="P581" s="130"/>
      <c r="AA581" s="33"/>
    </row>
    <row r="582" spans="1:27" ht="15.75" customHeight="1" x14ac:dyDescent="0.35">
      <c r="A582" s="148"/>
      <c r="B582" s="33"/>
      <c r="C582" s="149"/>
      <c r="D582" s="150"/>
      <c r="E582" s="130"/>
      <c r="F582" s="130"/>
      <c r="L582" s="130"/>
      <c r="M582" s="130"/>
      <c r="N582" s="130"/>
      <c r="O582" s="130"/>
      <c r="P582" s="130"/>
      <c r="AA582" s="33"/>
    </row>
    <row r="583" spans="1:27" ht="15.75" customHeight="1" x14ac:dyDescent="0.35">
      <c r="A583" s="148"/>
      <c r="B583" s="33"/>
      <c r="C583" s="149"/>
      <c r="D583" s="150"/>
      <c r="E583" s="130"/>
      <c r="F583" s="130"/>
      <c r="L583" s="130"/>
      <c r="M583" s="130"/>
      <c r="N583" s="130"/>
      <c r="O583" s="130"/>
      <c r="P583" s="130"/>
      <c r="AA583" s="33"/>
    </row>
    <row r="584" spans="1:27" ht="15.75" customHeight="1" x14ac:dyDescent="0.35">
      <c r="A584" s="148"/>
      <c r="B584" s="33"/>
      <c r="C584" s="149"/>
      <c r="D584" s="150"/>
      <c r="E584" s="130"/>
      <c r="F584" s="130"/>
      <c r="L584" s="130"/>
      <c r="M584" s="130"/>
      <c r="N584" s="130"/>
      <c r="O584" s="130"/>
      <c r="P584" s="130"/>
      <c r="AA584" s="33"/>
    </row>
    <row r="585" spans="1:27" ht="15.75" customHeight="1" x14ac:dyDescent="0.35">
      <c r="A585" s="148"/>
      <c r="B585" s="33"/>
      <c r="C585" s="149"/>
      <c r="D585" s="150"/>
      <c r="E585" s="130"/>
      <c r="F585" s="130"/>
      <c r="L585" s="130"/>
      <c r="M585" s="130"/>
      <c r="N585" s="130"/>
      <c r="O585" s="130"/>
      <c r="P585" s="130"/>
      <c r="AA585" s="33"/>
    </row>
    <row r="586" spans="1:27" ht="15.75" customHeight="1" x14ac:dyDescent="0.35">
      <c r="A586" s="148"/>
      <c r="B586" s="33"/>
      <c r="C586" s="149"/>
      <c r="D586" s="150"/>
      <c r="E586" s="130"/>
      <c r="F586" s="130"/>
      <c r="L586" s="130"/>
      <c r="M586" s="130"/>
      <c r="N586" s="130"/>
      <c r="O586" s="130"/>
      <c r="P586" s="130"/>
      <c r="AA586" s="33"/>
    </row>
    <row r="587" spans="1:27" ht="15.75" customHeight="1" x14ac:dyDescent="0.35">
      <c r="A587" s="148"/>
      <c r="B587" s="33"/>
      <c r="C587" s="149"/>
      <c r="D587" s="150"/>
      <c r="E587" s="130"/>
      <c r="F587" s="130"/>
      <c r="L587" s="130"/>
      <c r="M587" s="130"/>
      <c r="N587" s="130"/>
      <c r="O587" s="130"/>
      <c r="P587" s="130"/>
      <c r="AA587" s="33"/>
    </row>
    <row r="588" spans="1:27" ht="15.75" customHeight="1" x14ac:dyDescent="0.35">
      <c r="A588" s="148"/>
      <c r="B588" s="33"/>
      <c r="C588" s="149"/>
      <c r="D588" s="150"/>
      <c r="E588" s="130"/>
      <c r="F588" s="130"/>
      <c r="L588" s="130"/>
      <c r="M588" s="130"/>
      <c r="N588" s="130"/>
      <c r="O588" s="130"/>
      <c r="P588" s="130"/>
      <c r="AA588" s="33"/>
    </row>
    <row r="589" spans="1:27" ht="15.75" customHeight="1" x14ac:dyDescent="0.35">
      <c r="A589" s="148"/>
      <c r="B589" s="33"/>
      <c r="C589" s="149"/>
      <c r="D589" s="150"/>
      <c r="E589" s="130"/>
      <c r="F589" s="130"/>
      <c r="L589" s="130"/>
      <c r="M589" s="130"/>
      <c r="N589" s="130"/>
      <c r="O589" s="130"/>
      <c r="P589" s="130"/>
      <c r="AA589" s="33"/>
    </row>
    <row r="590" spans="1:27" ht="15.75" customHeight="1" x14ac:dyDescent="0.35">
      <c r="A590" s="148"/>
      <c r="B590" s="33"/>
      <c r="C590" s="149"/>
      <c r="D590" s="150"/>
      <c r="E590" s="130"/>
      <c r="F590" s="130"/>
      <c r="L590" s="130"/>
      <c r="M590" s="130"/>
      <c r="N590" s="130"/>
      <c r="O590" s="130"/>
      <c r="P590" s="130"/>
      <c r="AA590" s="33"/>
    </row>
    <row r="591" spans="1:27" ht="15.75" customHeight="1" x14ac:dyDescent="0.35">
      <c r="A591" s="148"/>
      <c r="B591" s="33"/>
      <c r="C591" s="149"/>
      <c r="D591" s="150"/>
      <c r="E591" s="130"/>
      <c r="F591" s="130"/>
      <c r="L591" s="130"/>
      <c r="M591" s="130"/>
      <c r="N591" s="130"/>
      <c r="O591" s="130"/>
      <c r="P591" s="130"/>
      <c r="AA591" s="33"/>
    </row>
    <row r="592" spans="1:27" ht="15.75" customHeight="1" x14ac:dyDescent="0.35">
      <c r="A592" s="148"/>
      <c r="B592" s="33"/>
      <c r="C592" s="149"/>
      <c r="D592" s="150"/>
      <c r="E592" s="130"/>
      <c r="F592" s="130"/>
      <c r="L592" s="130"/>
      <c r="M592" s="130"/>
      <c r="N592" s="130"/>
      <c r="O592" s="130"/>
      <c r="P592" s="130"/>
      <c r="AA592" s="33"/>
    </row>
    <row r="593" spans="1:27" ht="15.75" customHeight="1" x14ac:dyDescent="0.35">
      <c r="A593" s="148"/>
      <c r="B593" s="33"/>
      <c r="C593" s="149"/>
      <c r="D593" s="150"/>
      <c r="E593" s="130"/>
      <c r="F593" s="130"/>
      <c r="L593" s="130"/>
      <c r="M593" s="130"/>
      <c r="N593" s="130"/>
      <c r="O593" s="130"/>
      <c r="P593" s="130"/>
      <c r="AA593" s="33"/>
    </row>
    <row r="594" spans="1:27" ht="15.75" customHeight="1" x14ac:dyDescent="0.35">
      <c r="A594" s="148"/>
      <c r="B594" s="33"/>
      <c r="C594" s="149"/>
      <c r="D594" s="150"/>
      <c r="E594" s="130"/>
      <c r="F594" s="130"/>
      <c r="L594" s="130"/>
      <c r="M594" s="130"/>
      <c r="N594" s="130"/>
      <c r="O594" s="130"/>
      <c r="P594" s="130"/>
      <c r="AA594" s="33"/>
    </row>
    <row r="595" spans="1:27" ht="15.75" customHeight="1" x14ac:dyDescent="0.35">
      <c r="A595" s="148"/>
      <c r="B595" s="33"/>
      <c r="C595" s="149"/>
      <c r="D595" s="150"/>
      <c r="E595" s="130"/>
      <c r="F595" s="130"/>
      <c r="L595" s="130"/>
      <c r="M595" s="130"/>
      <c r="N595" s="130"/>
      <c r="O595" s="130"/>
      <c r="P595" s="130"/>
      <c r="AA595" s="33"/>
    </row>
    <row r="596" spans="1:27" ht="15.75" customHeight="1" x14ac:dyDescent="0.35">
      <c r="A596" s="148"/>
      <c r="B596" s="33"/>
      <c r="C596" s="149"/>
      <c r="D596" s="150"/>
      <c r="E596" s="130"/>
      <c r="F596" s="130"/>
      <c r="L596" s="130"/>
      <c r="M596" s="130"/>
      <c r="N596" s="130"/>
      <c r="O596" s="130"/>
      <c r="P596" s="130"/>
      <c r="AA596" s="33"/>
    </row>
    <row r="597" spans="1:27" ht="15.75" customHeight="1" x14ac:dyDescent="0.35">
      <c r="A597" s="148"/>
      <c r="B597" s="33"/>
      <c r="C597" s="149"/>
      <c r="D597" s="150"/>
      <c r="E597" s="130"/>
      <c r="F597" s="130"/>
      <c r="L597" s="130"/>
      <c r="M597" s="130"/>
      <c r="N597" s="130"/>
      <c r="O597" s="130"/>
      <c r="P597" s="130"/>
      <c r="AA597" s="33"/>
    </row>
    <row r="598" spans="1:27" ht="15.75" customHeight="1" x14ac:dyDescent="0.35">
      <c r="A598" s="148"/>
      <c r="B598" s="33"/>
      <c r="C598" s="149"/>
      <c r="D598" s="150"/>
      <c r="E598" s="130"/>
      <c r="F598" s="130"/>
      <c r="L598" s="130"/>
      <c r="M598" s="130"/>
      <c r="N598" s="130"/>
      <c r="O598" s="130"/>
      <c r="P598" s="130"/>
      <c r="AA598" s="33"/>
    </row>
    <row r="599" spans="1:27" ht="15.75" customHeight="1" x14ac:dyDescent="0.35">
      <c r="A599" s="148"/>
      <c r="B599" s="33"/>
      <c r="C599" s="149"/>
      <c r="D599" s="150"/>
      <c r="E599" s="130"/>
      <c r="F599" s="130"/>
      <c r="L599" s="130"/>
      <c r="M599" s="130"/>
      <c r="N599" s="130"/>
      <c r="O599" s="130"/>
      <c r="P599" s="130"/>
      <c r="AA599" s="33"/>
    </row>
    <row r="600" spans="1:27" ht="15.75" customHeight="1" x14ac:dyDescent="0.35">
      <c r="A600" s="148"/>
      <c r="B600" s="33"/>
      <c r="C600" s="149"/>
      <c r="D600" s="150"/>
      <c r="E600" s="130"/>
      <c r="F600" s="130"/>
      <c r="L600" s="130"/>
      <c r="M600" s="130"/>
      <c r="N600" s="130"/>
      <c r="O600" s="130"/>
      <c r="P600" s="130"/>
      <c r="AA600" s="33"/>
    </row>
    <row r="601" spans="1:27" ht="15.75" customHeight="1" x14ac:dyDescent="0.35">
      <c r="A601" s="148"/>
      <c r="B601" s="33"/>
      <c r="C601" s="149"/>
      <c r="D601" s="150"/>
      <c r="E601" s="130"/>
      <c r="F601" s="130"/>
      <c r="L601" s="130"/>
      <c r="M601" s="130"/>
      <c r="N601" s="130"/>
      <c r="O601" s="130"/>
      <c r="P601" s="130"/>
      <c r="AA601" s="33"/>
    </row>
    <row r="602" spans="1:27" ht="15.75" customHeight="1" x14ac:dyDescent="0.35">
      <c r="A602" s="148"/>
      <c r="B602" s="33"/>
      <c r="C602" s="149"/>
      <c r="D602" s="150"/>
      <c r="E602" s="130"/>
      <c r="F602" s="130"/>
      <c r="L602" s="130"/>
      <c r="M602" s="130"/>
      <c r="N602" s="130"/>
      <c r="O602" s="130"/>
      <c r="P602" s="130"/>
      <c r="AA602" s="33"/>
    </row>
    <row r="603" spans="1:27" ht="15.75" customHeight="1" x14ac:dyDescent="0.35">
      <c r="A603" s="148"/>
      <c r="B603" s="33"/>
      <c r="C603" s="149"/>
      <c r="D603" s="150"/>
      <c r="E603" s="130"/>
      <c r="F603" s="130"/>
      <c r="L603" s="130"/>
      <c r="M603" s="130"/>
      <c r="N603" s="130"/>
      <c r="O603" s="130"/>
      <c r="P603" s="130"/>
      <c r="AA603" s="33"/>
    </row>
    <row r="604" spans="1:27" ht="15.75" customHeight="1" x14ac:dyDescent="0.35">
      <c r="A604" s="148"/>
      <c r="B604" s="33"/>
      <c r="C604" s="149"/>
      <c r="D604" s="150"/>
      <c r="E604" s="130"/>
      <c r="F604" s="130"/>
      <c r="L604" s="130"/>
      <c r="M604" s="130"/>
      <c r="N604" s="130"/>
      <c r="O604" s="130"/>
      <c r="P604" s="130"/>
      <c r="AA604" s="33"/>
    </row>
    <row r="605" spans="1:27" ht="15.75" customHeight="1" x14ac:dyDescent="0.35">
      <c r="A605" s="148"/>
      <c r="B605" s="33"/>
      <c r="C605" s="149"/>
      <c r="D605" s="150"/>
      <c r="E605" s="130"/>
      <c r="F605" s="130"/>
      <c r="L605" s="130"/>
      <c r="M605" s="130"/>
      <c r="N605" s="130"/>
      <c r="O605" s="130"/>
      <c r="P605" s="130"/>
      <c r="AA605" s="33"/>
    </row>
    <row r="606" spans="1:27" ht="15.75" customHeight="1" x14ac:dyDescent="0.35">
      <c r="A606" s="148"/>
      <c r="B606" s="33"/>
      <c r="C606" s="149"/>
      <c r="D606" s="150"/>
      <c r="E606" s="130"/>
      <c r="F606" s="130"/>
      <c r="L606" s="130"/>
      <c r="M606" s="130"/>
      <c r="N606" s="130"/>
      <c r="O606" s="130"/>
      <c r="P606" s="130"/>
      <c r="AA606" s="33"/>
    </row>
    <row r="607" spans="1:27" ht="15.75" customHeight="1" x14ac:dyDescent="0.35">
      <c r="A607" s="148"/>
      <c r="B607" s="33"/>
      <c r="C607" s="149"/>
      <c r="D607" s="150"/>
      <c r="E607" s="130"/>
      <c r="F607" s="130"/>
      <c r="L607" s="130"/>
      <c r="M607" s="130"/>
      <c r="N607" s="130"/>
      <c r="O607" s="130"/>
      <c r="P607" s="130"/>
      <c r="AA607" s="33"/>
    </row>
    <row r="608" spans="1:27" ht="15.75" customHeight="1" x14ac:dyDescent="0.35">
      <c r="A608" s="148"/>
      <c r="B608" s="33"/>
      <c r="C608" s="149"/>
      <c r="D608" s="150"/>
      <c r="E608" s="130"/>
      <c r="F608" s="130"/>
      <c r="L608" s="130"/>
      <c r="M608" s="130"/>
      <c r="N608" s="130"/>
      <c r="O608" s="130"/>
      <c r="P608" s="130"/>
      <c r="AA608" s="33"/>
    </row>
    <row r="609" spans="1:27" ht="15.75" customHeight="1" x14ac:dyDescent="0.35">
      <c r="A609" s="148"/>
      <c r="B609" s="33"/>
      <c r="C609" s="149"/>
      <c r="D609" s="150"/>
      <c r="E609" s="130"/>
      <c r="F609" s="130"/>
      <c r="L609" s="130"/>
      <c r="M609" s="130"/>
      <c r="N609" s="130"/>
      <c r="O609" s="130"/>
      <c r="P609" s="130"/>
      <c r="AA609" s="33"/>
    </row>
    <row r="610" spans="1:27" ht="15.75" customHeight="1" x14ac:dyDescent="0.35">
      <c r="A610" s="148"/>
      <c r="B610" s="33"/>
      <c r="C610" s="149"/>
      <c r="D610" s="150"/>
      <c r="E610" s="130"/>
      <c r="F610" s="130"/>
      <c r="L610" s="130"/>
      <c r="M610" s="130"/>
      <c r="N610" s="130"/>
      <c r="O610" s="130"/>
      <c r="P610" s="130"/>
      <c r="AA610" s="33"/>
    </row>
    <row r="611" spans="1:27" ht="15.75" customHeight="1" x14ac:dyDescent="0.35">
      <c r="A611" s="148"/>
      <c r="B611" s="33"/>
      <c r="C611" s="149"/>
      <c r="D611" s="150"/>
      <c r="E611" s="130"/>
      <c r="F611" s="130"/>
      <c r="L611" s="130"/>
      <c r="M611" s="130"/>
      <c r="N611" s="130"/>
      <c r="O611" s="130"/>
      <c r="P611" s="130"/>
      <c r="AA611" s="33"/>
    </row>
    <row r="612" spans="1:27" ht="15.75" customHeight="1" x14ac:dyDescent="0.35">
      <c r="A612" s="148"/>
      <c r="B612" s="33"/>
      <c r="C612" s="149"/>
      <c r="D612" s="150"/>
      <c r="E612" s="130"/>
      <c r="F612" s="130"/>
      <c r="L612" s="130"/>
      <c r="M612" s="130"/>
      <c r="N612" s="130"/>
      <c r="O612" s="130"/>
      <c r="P612" s="130"/>
      <c r="AA612" s="33"/>
    </row>
    <row r="613" spans="1:27" ht="15.75" customHeight="1" x14ac:dyDescent="0.35">
      <c r="A613" s="148"/>
      <c r="B613" s="33"/>
      <c r="C613" s="149"/>
      <c r="D613" s="150"/>
      <c r="E613" s="130"/>
      <c r="F613" s="130"/>
      <c r="L613" s="130"/>
      <c r="M613" s="130"/>
      <c r="N613" s="130"/>
      <c r="O613" s="130"/>
      <c r="P613" s="130"/>
      <c r="AA613" s="33"/>
    </row>
    <row r="614" spans="1:27" ht="15.75" customHeight="1" x14ac:dyDescent="0.35">
      <c r="A614" s="148"/>
      <c r="B614" s="33"/>
      <c r="C614" s="149"/>
      <c r="D614" s="150"/>
      <c r="E614" s="130"/>
      <c r="F614" s="130"/>
      <c r="L614" s="130"/>
      <c r="M614" s="130"/>
      <c r="N614" s="130"/>
      <c r="O614" s="130"/>
      <c r="P614" s="130"/>
      <c r="AA614" s="33"/>
    </row>
    <row r="615" spans="1:27" ht="15.75" customHeight="1" x14ac:dyDescent="0.35">
      <c r="A615" s="148"/>
      <c r="B615" s="33"/>
      <c r="C615" s="149"/>
      <c r="D615" s="150"/>
      <c r="E615" s="130"/>
      <c r="F615" s="130"/>
      <c r="L615" s="130"/>
      <c r="M615" s="130"/>
      <c r="N615" s="130"/>
      <c r="O615" s="130"/>
      <c r="P615" s="130"/>
      <c r="AA615" s="33"/>
    </row>
    <row r="616" spans="1:27" ht="15.75" customHeight="1" x14ac:dyDescent="0.35">
      <c r="A616" s="148"/>
      <c r="B616" s="33"/>
      <c r="C616" s="149"/>
      <c r="D616" s="150"/>
      <c r="E616" s="130"/>
      <c r="F616" s="130"/>
      <c r="L616" s="130"/>
      <c r="M616" s="130"/>
      <c r="N616" s="130"/>
      <c r="O616" s="130"/>
      <c r="P616" s="130"/>
      <c r="AA616" s="33"/>
    </row>
    <row r="617" spans="1:27" ht="15.75" customHeight="1" x14ac:dyDescent="0.35">
      <c r="A617" s="148"/>
      <c r="B617" s="33"/>
      <c r="C617" s="149"/>
      <c r="D617" s="150"/>
      <c r="E617" s="130"/>
      <c r="F617" s="130"/>
      <c r="L617" s="130"/>
      <c r="M617" s="130"/>
      <c r="N617" s="130"/>
      <c r="O617" s="130"/>
      <c r="P617" s="130"/>
      <c r="AA617" s="33"/>
    </row>
    <row r="618" spans="1:27" ht="15.75" customHeight="1" x14ac:dyDescent="0.35">
      <c r="A618" s="148"/>
      <c r="B618" s="33"/>
      <c r="C618" s="149"/>
      <c r="D618" s="150"/>
      <c r="E618" s="130"/>
      <c r="F618" s="130"/>
      <c r="L618" s="130"/>
      <c r="M618" s="130"/>
      <c r="N618" s="130"/>
      <c r="O618" s="130"/>
      <c r="P618" s="130"/>
      <c r="AA618" s="33"/>
    </row>
    <row r="619" spans="1:27" ht="15.75" customHeight="1" x14ac:dyDescent="0.35">
      <c r="A619" s="148"/>
      <c r="B619" s="33"/>
      <c r="C619" s="149"/>
      <c r="D619" s="150"/>
      <c r="E619" s="130"/>
      <c r="F619" s="130"/>
      <c r="L619" s="130"/>
      <c r="M619" s="130"/>
      <c r="N619" s="130"/>
      <c r="O619" s="130"/>
      <c r="P619" s="130"/>
      <c r="AA619" s="33"/>
    </row>
    <row r="620" spans="1:27" ht="15.75" customHeight="1" x14ac:dyDescent="0.35">
      <c r="A620" s="148"/>
      <c r="B620" s="33"/>
      <c r="C620" s="149"/>
      <c r="D620" s="150"/>
      <c r="E620" s="130"/>
      <c r="F620" s="130"/>
      <c r="L620" s="130"/>
      <c r="M620" s="130"/>
      <c r="N620" s="130"/>
      <c r="O620" s="130"/>
      <c r="P620" s="130"/>
      <c r="AA620" s="33"/>
    </row>
    <row r="621" spans="1:27" ht="15.75" customHeight="1" x14ac:dyDescent="0.35">
      <c r="A621" s="148"/>
      <c r="B621" s="33"/>
      <c r="C621" s="149"/>
      <c r="D621" s="150"/>
      <c r="E621" s="130"/>
      <c r="F621" s="130"/>
      <c r="L621" s="130"/>
      <c r="M621" s="130"/>
      <c r="N621" s="130"/>
      <c r="O621" s="130"/>
      <c r="P621" s="130"/>
      <c r="AA621" s="33"/>
    </row>
    <row r="622" spans="1:27" ht="15.75" customHeight="1" x14ac:dyDescent="0.35">
      <c r="A622" s="148"/>
      <c r="B622" s="33"/>
      <c r="C622" s="149"/>
      <c r="D622" s="150"/>
      <c r="E622" s="130"/>
      <c r="F622" s="130"/>
      <c r="L622" s="130"/>
      <c r="M622" s="130"/>
      <c r="N622" s="130"/>
      <c r="O622" s="130"/>
      <c r="P622" s="130"/>
      <c r="AA622" s="33"/>
    </row>
    <row r="623" spans="1:27" ht="15.75" customHeight="1" x14ac:dyDescent="0.35">
      <c r="A623" s="148"/>
      <c r="B623" s="33"/>
      <c r="C623" s="149"/>
      <c r="D623" s="150"/>
      <c r="E623" s="130"/>
      <c r="F623" s="130"/>
      <c r="L623" s="130"/>
      <c r="M623" s="130"/>
      <c r="N623" s="130"/>
      <c r="O623" s="130"/>
      <c r="P623" s="130"/>
      <c r="AA623" s="33"/>
    </row>
    <row r="624" spans="1:27" ht="15.75" customHeight="1" x14ac:dyDescent="0.35">
      <c r="A624" s="148"/>
      <c r="B624" s="33"/>
      <c r="C624" s="149"/>
      <c r="D624" s="150"/>
      <c r="E624" s="130"/>
      <c r="F624" s="130"/>
      <c r="L624" s="130"/>
      <c r="M624" s="130"/>
      <c r="N624" s="130"/>
      <c r="O624" s="130"/>
      <c r="P624" s="130"/>
      <c r="AA624" s="33"/>
    </row>
    <row r="625" spans="1:27" ht="15.75" customHeight="1" x14ac:dyDescent="0.35">
      <c r="A625" s="148"/>
      <c r="B625" s="33"/>
      <c r="C625" s="149"/>
      <c r="D625" s="150"/>
      <c r="E625" s="130"/>
      <c r="F625" s="130"/>
      <c r="L625" s="130"/>
      <c r="M625" s="130"/>
      <c r="N625" s="130"/>
      <c r="O625" s="130"/>
      <c r="P625" s="130"/>
      <c r="AA625" s="33"/>
    </row>
    <row r="626" spans="1:27" ht="15.75" customHeight="1" x14ac:dyDescent="0.35">
      <c r="A626" s="148"/>
      <c r="B626" s="33"/>
      <c r="C626" s="149"/>
      <c r="D626" s="150"/>
      <c r="E626" s="130"/>
      <c r="F626" s="130"/>
      <c r="L626" s="130"/>
      <c r="M626" s="130"/>
      <c r="N626" s="130"/>
      <c r="O626" s="130"/>
      <c r="P626" s="130"/>
      <c r="AA626" s="33"/>
    </row>
    <row r="627" spans="1:27" ht="15.75" customHeight="1" x14ac:dyDescent="0.35">
      <c r="A627" s="148"/>
      <c r="B627" s="33"/>
      <c r="C627" s="149"/>
      <c r="D627" s="150"/>
      <c r="E627" s="130"/>
      <c r="F627" s="130"/>
      <c r="L627" s="130"/>
      <c r="M627" s="130"/>
      <c r="N627" s="130"/>
      <c r="O627" s="130"/>
      <c r="P627" s="130"/>
      <c r="AA627" s="33"/>
    </row>
    <row r="628" spans="1:27" ht="15.75" customHeight="1" x14ac:dyDescent="0.35">
      <c r="A628" s="148"/>
      <c r="B628" s="33"/>
      <c r="C628" s="149"/>
      <c r="D628" s="150"/>
      <c r="E628" s="130"/>
      <c r="F628" s="130"/>
      <c r="L628" s="130"/>
      <c r="M628" s="130"/>
      <c r="N628" s="130"/>
      <c r="O628" s="130"/>
      <c r="P628" s="130"/>
      <c r="AA628" s="33"/>
    </row>
    <row r="629" spans="1:27" ht="15.75" customHeight="1" x14ac:dyDescent="0.35">
      <c r="A629" s="148"/>
      <c r="B629" s="33"/>
      <c r="C629" s="149"/>
      <c r="D629" s="150"/>
      <c r="E629" s="130"/>
      <c r="F629" s="130"/>
      <c r="L629" s="130"/>
      <c r="M629" s="130"/>
      <c r="N629" s="130"/>
      <c r="O629" s="130"/>
      <c r="P629" s="130"/>
      <c r="AA629" s="33"/>
    </row>
    <row r="630" spans="1:27" ht="15.75" customHeight="1" x14ac:dyDescent="0.35">
      <c r="A630" s="148"/>
      <c r="B630" s="33"/>
      <c r="C630" s="149"/>
      <c r="D630" s="150"/>
      <c r="E630" s="130"/>
      <c r="F630" s="130"/>
      <c r="L630" s="130"/>
      <c r="M630" s="130"/>
      <c r="N630" s="130"/>
      <c r="O630" s="130"/>
      <c r="P630" s="130"/>
      <c r="AA630" s="33"/>
    </row>
    <row r="631" spans="1:27" ht="15.75" customHeight="1" x14ac:dyDescent="0.35">
      <c r="A631" s="148"/>
      <c r="B631" s="33"/>
      <c r="C631" s="149"/>
      <c r="D631" s="150"/>
      <c r="E631" s="130"/>
      <c r="F631" s="130"/>
      <c r="L631" s="130"/>
      <c r="M631" s="130"/>
      <c r="N631" s="130"/>
      <c r="O631" s="130"/>
      <c r="P631" s="130"/>
      <c r="AA631" s="33"/>
    </row>
    <row r="632" spans="1:27" ht="15.75" customHeight="1" x14ac:dyDescent="0.35">
      <c r="A632" s="148"/>
      <c r="B632" s="33"/>
      <c r="C632" s="149"/>
      <c r="D632" s="150"/>
      <c r="E632" s="130"/>
      <c r="F632" s="130"/>
      <c r="L632" s="130"/>
      <c r="M632" s="130"/>
      <c r="N632" s="130"/>
      <c r="O632" s="130"/>
      <c r="P632" s="130"/>
      <c r="AA632" s="33"/>
    </row>
    <row r="633" spans="1:27" ht="15.75" customHeight="1" x14ac:dyDescent="0.35">
      <c r="A633" s="148"/>
      <c r="B633" s="33"/>
      <c r="C633" s="149"/>
      <c r="D633" s="150"/>
      <c r="E633" s="130"/>
      <c r="F633" s="130"/>
      <c r="L633" s="130"/>
      <c r="M633" s="130"/>
      <c r="N633" s="130"/>
      <c r="O633" s="130"/>
      <c r="P633" s="130"/>
      <c r="AA633" s="33"/>
    </row>
    <row r="634" spans="1:27" ht="15.75" customHeight="1" x14ac:dyDescent="0.35">
      <c r="A634" s="148"/>
      <c r="B634" s="33"/>
      <c r="C634" s="149"/>
      <c r="D634" s="150"/>
      <c r="E634" s="130"/>
      <c r="F634" s="130"/>
      <c r="L634" s="130"/>
      <c r="M634" s="130"/>
      <c r="N634" s="130"/>
      <c r="O634" s="130"/>
      <c r="P634" s="130"/>
      <c r="AA634" s="33"/>
    </row>
    <row r="635" spans="1:27" ht="15.75" customHeight="1" x14ac:dyDescent="0.35">
      <c r="A635" s="148"/>
      <c r="B635" s="33"/>
      <c r="C635" s="149"/>
      <c r="D635" s="150"/>
      <c r="E635" s="130"/>
      <c r="F635" s="130"/>
      <c r="L635" s="130"/>
      <c r="M635" s="130"/>
      <c r="N635" s="130"/>
      <c r="O635" s="130"/>
      <c r="P635" s="130"/>
      <c r="AA635" s="33"/>
    </row>
    <row r="636" spans="1:27" ht="15.75" customHeight="1" x14ac:dyDescent="0.35">
      <c r="A636" s="148"/>
      <c r="B636" s="33"/>
      <c r="C636" s="149"/>
      <c r="D636" s="150"/>
      <c r="E636" s="130"/>
      <c r="F636" s="130"/>
      <c r="L636" s="130"/>
      <c r="M636" s="130"/>
      <c r="N636" s="130"/>
      <c r="O636" s="130"/>
      <c r="P636" s="130"/>
      <c r="AA636" s="33"/>
    </row>
    <row r="637" spans="1:27" ht="15.75" customHeight="1" x14ac:dyDescent="0.35">
      <c r="A637" s="148"/>
      <c r="B637" s="33"/>
      <c r="C637" s="149"/>
      <c r="D637" s="150"/>
      <c r="E637" s="130"/>
      <c r="F637" s="130"/>
      <c r="L637" s="130"/>
      <c r="M637" s="130"/>
      <c r="N637" s="130"/>
      <c r="O637" s="130"/>
      <c r="P637" s="130"/>
      <c r="AA637" s="33"/>
    </row>
    <row r="638" spans="1:27" ht="15.75" customHeight="1" x14ac:dyDescent="0.35">
      <c r="A638" s="148"/>
      <c r="B638" s="33"/>
      <c r="C638" s="149"/>
      <c r="D638" s="150"/>
      <c r="E638" s="130"/>
      <c r="F638" s="130"/>
      <c r="L638" s="130"/>
      <c r="M638" s="130"/>
      <c r="N638" s="130"/>
      <c r="O638" s="130"/>
      <c r="P638" s="130"/>
      <c r="AA638" s="33"/>
    </row>
    <row r="639" spans="1:27" ht="15.75" customHeight="1" x14ac:dyDescent="0.35">
      <c r="A639" s="148"/>
      <c r="B639" s="33"/>
      <c r="C639" s="149"/>
      <c r="D639" s="150"/>
      <c r="E639" s="130"/>
      <c r="F639" s="130"/>
      <c r="L639" s="130"/>
      <c r="M639" s="130"/>
      <c r="N639" s="130"/>
      <c r="O639" s="130"/>
      <c r="P639" s="130"/>
      <c r="AA639" s="33"/>
    </row>
    <row r="640" spans="1:27" ht="15.75" customHeight="1" x14ac:dyDescent="0.35">
      <c r="A640" s="148"/>
      <c r="B640" s="33"/>
      <c r="C640" s="149"/>
      <c r="D640" s="150"/>
      <c r="E640" s="130"/>
      <c r="F640" s="130"/>
      <c r="L640" s="130"/>
      <c r="M640" s="130"/>
      <c r="N640" s="130"/>
      <c r="O640" s="130"/>
      <c r="P640" s="130"/>
      <c r="AA640" s="33"/>
    </row>
    <row r="641" spans="1:27" ht="15.75" customHeight="1" x14ac:dyDescent="0.35">
      <c r="A641" s="148"/>
      <c r="B641" s="33"/>
      <c r="C641" s="149"/>
      <c r="D641" s="150"/>
      <c r="E641" s="130"/>
      <c r="F641" s="130"/>
      <c r="L641" s="130"/>
      <c r="M641" s="130"/>
      <c r="N641" s="130"/>
      <c r="O641" s="130"/>
      <c r="P641" s="130"/>
      <c r="AA641" s="33"/>
    </row>
    <row r="642" spans="1:27" ht="15.75" customHeight="1" x14ac:dyDescent="0.35">
      <c r="A642" s="148"/>
      <c r="B642" s="33"/>
      <c r="C642" s="149"/>
      <c r="D642" s="150"/>
      <c r="E642" s="130"/>
      <c r="F642" s="130"/>
      <c r="L642" s="130"/>
      <c r="M642" s="130"/>
      <c r="N642" s="130"/>
      <c r="O642" s="130"/>
      <c r="P642" s="130"/>
      <c r="AA642" s="33"/>
    </row>
    <row r="643" spans="1:27" ht="15.75" customHeight="1" x14ac:dyDescent="0.35">
      <c r="A643" s="148"/>
      <c r="B643" s="33"/>
      <c r="C643" s="149"/>
      <c r="D643" s="150"/>
      <c r="E643" s="130"/>
      <c r="F643" s="130"/>
      <c r="L643" s="130"/>
      <c r="M643" s="130"/>
      <c r="N643" s="130"/>
      <c r="O643" s="130"/>
      <c r="P643" s="130"/>
      <c r="AA643" s="33"/>
    </row>
    <row r="644" spans="1:27" ht="15.75" customHeight="1" x14ac:dyDescent="0.35">
      <c r="A644" s="148"/>
      <c r="B644" s="33"/>
      <c r="C644" s="149"/>
      <c r="D644" s="150"/>
      <c r="E644" s="130"/>
      <c r="F644" s="130"/>
      <c r="L644" s="130"/>
      <c r="M644" s="130"/>
      <c r="N644" s="130"/>
      <c r="O644" s="130"/>
      <c r="P644" s="130"/>
      <c r="AA644" s="33"/>
    </row>
    <row r="645" spans="1:27" ht="15.75" customHeight="1" x14ac:dyDescent="0.35">
      <c r="A645" s="148"/>
      <c r="B645" s="33"/>
      <c r="C645" s="149"/>
      <c r="D645" s="150"/>
      <c r="E645" s="130"/>
      <c r="F645" s="130"/>
      <c r="L645" s="130"/>
      <c r="M645" s="130"/>
      <c r="N645" s="130"/>
      <c r="O645" s="130"/>
      <c r="P645" s="130"/>
      <c r="AA645" s="33"/>
    </row>
    <row r="646" spans="1:27" ht="15.75" customHeight="1" x14ac:dyDescent="0.35">
      <c r="A646" s="148"/>
      <c r="B646" s="33"/>
      <c r="C646" s="149"/>
      <c r="D646" s="150"/>
      <c r="E646" s="130"/>
      <c r="F646" s="130"/>
      <c r="L646" s="130"/>
      <c r="M646" s="130"/>
      <c r="N646" s="130"/>
      <c r="O646" s="130"/>
      <c r="P646" s="130"/>
      <c r="AA646" s="33"/>
    </row>
    <row r="647" spans="1:27" ht="15.75" customHeight="1" x14ac:dyDescent="0.35">
      <c r="A647" s="148"/>
      <c r="B647" s="33"/>
      <c r="C647" s="149"/>
      <c r="D647" s="150"/>
      <c r="E647" s="130"/>
      <c r="F647" s="130"/>
      <c r="L647" s="130"/>
      <c r="M647" s="130"/>
      <c r="N647" s="130"/>
      <c r="O647" s="130"/>
      <c r="P647" s="130"/>
      <c r="AA647" s="33"/>
    </row>
    <row r="648" spans="1:27" ht="15.75" customHeight="1" x14ac:dyDescent="0.35">
      <c r="A648" s="148"/>
      <c r="B648" s="33"/>
      <c r="C648" s="149"/>
      <c r="D648" s="150"/>
      <c r="E648" s="130"/>
      <c r="F648" s="130"/>
      <c r="L648" s="130"/>
      <c r="M648" s="130"/>
      <c r="N648" s="130"/>
      <c r="O648" s="130"/>
      <c r="P648" s="130"/>
      <c r="AA648" s="33"/>
    </row>
    <row r="649" spans="1:27" ht="15.75" customHeight="1" x14ac:dyDescent="0.35">
      <c r="A649" s="148"/>
      <c r="B649" s="33"/>
      <c r="C649" s="149"/>
      <c r="D649" s="150"/>
      <c r="E649" s="130"/>
      <c r="F649" s="130"/>
      <c r="L649" s="130"/>
      <c r="M649" s="130"/>
      <c r="N649" s="130"/>
      <c r="O649" s="130"/>
      <c r="P649" s="130"/>
      <c r="AA649" s="33"/>
    </row>
    <row r="650" spans="1:27" ht="15.75" customHeight="1" x14ac:dyDescent="0.35">
      <c r="A650" s="148"/>
      <c r="B650" s="33"/>
      <c r="C650" s="149"/>
      <c r="D650" s="150"/>
      <c r="E650" s="130"/>
      <c r="F650" s="130"/>
      <c r="L650" s="130"/>
      <c r="M650" s="130"/>
      <c r="N650" s="130"/>
      <c r="O650" s="130"/>
      <c r="P650" s="130"/>
      <c r="AA650" s="33"/>
    </row>
    <row r="651" spans="1:27" ht="15.75" customHeight="1" x14ac:dyDescent="0.35">
      <c r="A651" s="148"/>
      <c r="B651" s="33"/>
      <c r="C651" s="149"/>
      <c r="D651" s="150"/>
      <c r="E651" s="130"/>
      <c r="F651" s="130"/>
      <c r="L651" s="130"/>
      <c r="M651" s="130"/>
      <c r="N651" s="130"/>
      <c r="O651" s="130"/>
      <c r="P651" s="130"/>
      <c r="AA651" s="33"/>
    </row>
    <row r="652" spans="1:27" ht="15.75" customHeight="1" x14ac:dyDescent="0.35">
      <c r="A652" s="148"/>
      <c r="B652" s="33"/>
      <c r="C652" s="149"/>
      <c r="D652" s="150"/>
      <c r="E652" s="130"/>
      <c r="F652" s="130"/>
      <c r="L652" s="130"/>
      <c r="M652" s="130"/>
      <c r="N652" s="130"/>
      <c r="O652" s="130"/>
      <c r="P652" s="130"/>
      <c r="AA652" s="33"/>
    </row>
    <row r="653" spans="1:27" ht="15.75" customHeight="1" x14ac:dyDescent="0.35">
      <c r="A653" s="148"/>
      <c r="B653" s="33"/>
      <c r="C653" s="149"/>
      <c r="D653" s="150"/>
      <c r="E653" s="130"/>
      <c r="F653" s="130"/>
      <c r="L653" s="130"/>
      <c r="M653" s="130"/>
      <c r="N653" s="130"/>
      <c r="O653" s="130"/>
      <c r="P653" s="130"/>
      <c r="AA653" s="33"/>
    </row>
    <row r="654" spans="1:27" ht="15.75" customHeight="1" x14ac:dyDescent="0.35">
      <c r="A654" s="148"/>
      <c r="B654" s="33"/>
      <c r="C654" s="149"/>
      <c r="D654" s="150"/>
      <c r="E654" s="130"/>
      <c r="F654" s="130"/>
      <c r="L654" s="130"/>
      <c r="M654" s="130"/>
      <c r="N654" s="130"/>
      <c r="O654" s="130"/>
      <c r="P654" s="130"/>
      <c r="AA654" s="33"/>
    </row>
    <row r="655" spans="1:27" ht="15.75" customHeight="1" x14ac:dyDescent="0.35">
      <c r="A655" s="148"/>
      <c r="B655" s="33"/>
      <c r="C655" s="149"/>
      <c r="D655" s="150"/>
      <c r="E655" s="130"/>
      <c r="F655" s="130"/>
      <c r="L655" s="130"/>
      <c r="M655" s="130"/>
      <c r="N655" s="130"/>
      <c r="O655" s="130"/>
      <c r="P655" s="130"/>
      <c r="AA655" s="33"/>
    </row>
    <row r="656" spans="1:27" ht="15.75" customHeight="1" x14ac:dyDescent="0.35">
      <c r="A656" s="148"/>
      <c r="B656" s="33"/>
      <c r="C656" s="149"/>
      <c r="D656" s="150"/>
      <c r="E656" s="130"/>
      <c r="F656" s="130"/>
      <c r="L656" s="130"/>
      <c r="M656" s="130"/>
      <c r="N656" s="130"/>
      <c r="O656" s="130"/>
      <c r="P656" s="130"/>
      <c r="AA656" s="33"/>
    </row>
    <row r="657" spans="1:27" ht="15.75" customHeight="1" x14ac:dyDescent="0.35">
      <c r="A657" s="148"/>
      <c r="B657" s="33"/>
      <c r="C657" s="149"/>
      <c r="D657" s="150"/>
      <c r="E657" s="130"/>
      <c r="F657" s="130"/>
      <c r="L657" s="130"/>
      <c r="M657" s="130"/>
      <c r="N657" s="130"/>
      <c r="O657" s="130"/>
      <c r="P657" s="130"/>
      <c r="AA657" s="33"/>
    </row>
    <row r="658" spans="1:27" ht="15.75" customHeight="1" x14ac:dyDescent="0.35">
      <c r="A658" s="148"/>
      <c r="B658" s="33"/>
      <c r="C658" s="149"/>
      <c r="D658" s="150"/>
      <c r="E658" s="130"/>
      <c r="F658" s="130"/>
      <c r="L658" s="130"/>
      <c r="M658" s="130"/>
      <c r="N658" s="130"/>
      <c r="O658" s="130"/>
      <c r="P658" s="130"/>
      <c r="AA658" s="33"/>
    </row>
    <row r="659" spans="1:27" ht="15.75" customHeight="1" x14ac:dyDescent="0.35">
      <c r="A659" s="148"/>
      <c r="B659" s="33"/>
      <c r="C659" s="149"/>
      <c r="D659" s="150"/>
      <c r="E659" s="130"/>
      <c r="F659" s="130"/>
      <c r="L659" s="130"/>
      <c r="M659" s="130"/>
      <c r="N659" s="130"/>
      <c r="O659" s="130"/>
      <c r="P659" s="130"/>
      <c r="AA659" s="33"/>
    </row>
    <row r="660" spans="1:27" ht="15.75" customHeight="1" x14ac:dyDescent="0.35">
      <c r="A660" s="148"/>
      <c r="B660" s="33"/>
      <c r="C660" s="149"/>
      <c r="D660" s="150"/>
      <c r="E660" s="130"/>
      <c r="F660" s="130"/>
      <c r="L660" s="130"/>
      <c r="M660" s="130"/>
      <c r="N660" s="130"/>
      <c r="O660" s="130"/>
      <c r="P660" s="130"/>
      <c r="AA660" s="33"/>
    </row>
    <row r="661" spans="1:27" ht="15.75" customHeight="1" x14ac:dyDescent="0.35">
      <c r="A661" s="148"/>
      <c r="B661" s="33"/>
      <c r="C661" s="149"/>
      <c r="D661" s="150"/>
      <c r="E661" s="130"/>
      <c r="F661" s="130"/>
      <c r="L661" s="130"/>
      <c r="M661" s="130"/>
      <c r="N661" s="130"/>
      <c r="O661" s="130"/>
      <c r="P661" s="130"/>
      <c r="AA661" s="33"/>
    </row>
    <row r="662" spans="1:27" ht="15.75" customHeight="1" x14ac:dyDescent="0.35">
      <c r="A662" s="148"/>
      <c r="B662" s="33"/>
      <c r="C662" s="149"/>
      <c r="D662" s="150"/>
      <c r="E662" s="130"/>
      <c r="F662" s="130"/>
      <c r="L662" s="130"/>
      <c r="M662" s="130"/>
      <c r="N662" s="130"/>
      <c r="O662" s="130"/>
      <c r="P662" s="130"/>
      <c r="AA662" s="33"/>
    </row>
    <row r="663" spans="1:27" ht="15.75" customHeight="1" x14ac:dyDescent="0.35">
      <c r="A663" s="148"/>
      <c r="B663" s="33"/>
      <c r="C663" s="149"/>
      <c r="D663" s="150"/>
      <c r="E663" s="130"/>
      <c r="F663" s="130"/>
      <c r="L663" s="130"/>
      <c r="M663" s="130"/>
      <c r="N663" s="130"/>
      <c r="O663" s="130"/>
      <c r="P663" s="130"/>
      <c r="AA663" s="33"/>
    </row>
    <row r="664" spans="1:27" ht="15.75" customHeight="1" x14ac:dyDescent="0.35">
      <c r="A664" s="148"/>
      <c r="B664" s="33"/>
      <c r="C664" s="149"/>
      <c r="D664" s="150"/>
      <c r="E664" s="130"/>
      <c r="F664" s="130"/>
      <c r="L664" s="130"/>
      <c r="M664" s="130"/>
      <c r="N664" s="130"/>
      <c r="O664" s="130"/>
      <c r="P664" s="130"/>
      <c r="AA664" s="33"/>
    </row>
    <row r="665" spans="1:27" ht="15.75" customHeight="1" x14ac:dyDescent="0.35">
      <c r="A665" s="148"/>
      <c r="B665" s="33"/>
      <c r="C665" s="149"/>
      <c r="D665" s="150"/>
      <c r="E665" s="130"/>
      <c r="F665" s="130"/>
      <c r="L665" s="130"/>
      <c r="M665" s="130"/>
      <c r="N665" s="130"/>
      <c r="O665" s="130"/>
      <c r="P665" s="130"/>
      <c r="AA665" s="33"/>
    </row>
    <row r="666" spans="1:27" ht="15.75" customHeight="1" x14ac:dyDescent="0.35">
      <c r="A666" s="148"/>
      <c r="B666" s="33"/>
      <c r="C666" s="149"/>
      <c r="D666" s="150"/>
      <c r="E666" s="130"/>
      <c r="F666" s="130"/>
      <c r="L666" s="130"/>
      <c r="M666" s="130"/>
      <c r="N666" s="130"/>
      <c r="O666" s="130"/>
      <c r="P666" s="130"/>
      <c r="AA666" s="33"/>
    </row>
    <row r="667" spans="1:27" ht="15.75" customHeight="1" x14ac:dyDescent="0.35">
      <c r="A667" s="148"/>
      <c r="B667" s="33"/>
      <c r="C667" s="149"/>
      <c r="D667" s="150"/>
      <c r="E667" s="130"/>
      <c r="F667" s="130"/>
      <c r="L667" s="130"/>
      <c r="M667" s="130"/>
      <c r="N667" s="130"/>
      <c r="O667" s="130"/>
      <c r="P667" s="130"/>
      <c r="AA667" s="33"/>
    </row>
    <row r="668" spans="1:27" ht="15.75" customHeight="1" x14ac:dyDescent="0.35">
      <c r="A668" s="148"/>
      <c r="B668" s="33"/>
      <c r="C668" s="149"/>
      <c r="D668" s="150"/>
      <c r="E668" s="130"/>
      <c r="F668" s="130"/>
      <c r="L668" s="130"/>
      <c r="M668" s="130"/>
      <c r="N668" s="130"/>
      <c r="O668" s="130"/>
      <c r="P668" s="130"/>
      <c r="AA668" s="33"/>
    </row>
    <row r="669" spans="1:27" ht="15.75" customHeight="1" x14ac:dyDescent="0.35">
      <c r="A669" s="148"/>
      <c r="B669" s="33"/>
      <c r="C669" s="149"/>
      <c r="D669" s="150"/>
      <c r="E669" s="130"/>
      <c r="F669" s="130"/>
      <c r="L669" s="130"/>
      <c r="M669" s="130"/>
      <c r="N669" s="130"/>
      <c r="O669" s="130"/>
      <c r="P669" s="130"/>
      <c r="AA669" s="33"/>
    </row>
    <row r="670" spans="1:27" ht="15.75" customHeight="1" x14ac:dyDescent="0.35">
      <c r="A670" s="148"/>
      <c r="B670" s="33"/>
      <c r="C670" s="149"/>
      <c r="D670" s="150"/>
      <c r="E670" s="130"/>
      <c r="F670" s="130"/>
      <c r="L670" s="130"/>
      <c r="M670" s="130"/>
      <c r="N670" s="130"/>
      <c r="O670" s="130"/>
      <c r="P670" s="130"/>
      <c r="AA670" s="33"/>
    </row>
    <row r="671" spans="1:27" ht="15.75" customHeight="1" x14ac:dyDescent="0.35">
      <c r="A671" s="148"/>
      <c r="B671" s="33"/>
      <c r="C671" s="149"/>
      <c r="D671" s="150"/>
      <c r="E671" s="130"/>
      <c r="F671" s="130"/>
      <c r="L671" s="130"/>
      <c r="M671" s="130"/>
      <c r="N671" s="130"/>
      <c r="O671" s="130"/>
      <c r="P671" s="130"/>
      <c r="AA671" s="33"/>
    </row>
    <row r="672" spans="1:27" ht="15.75" customHeight="1" x14ac:dyDescent="0.35">
      <c r="A672" s="148"/>
      <c r="B672" s="33"/>
      <c r="C672" s="149"/>
      <c r="D672" s="150"/>
      <c r="E672" s="130"/>
      <c r="F672" s="130"/>
      <c r="L672" s="130"/>
      <c r="M672" s="130"/>
      <c r="N672" s="130"/>
      <c r="O672" s="130"/>
      <c r="P672" s="130"/>
      <c r="AA672" s="33"/>
    </row>
    <row r="673" spans="1:27" ht="15.75" customHeight="1" x14ac:dyDescent="0.35">
      <c r="A673" s="148"/>
      <c r="B673" s="33"/>
      <c r="C673" s="149"/>
      <c r="D673" s="150"/>
      <c r="E673" s="130"/>
      <c r="F673" s="130"/>
      <c r="L673" s="130"/>
      <c r="M673" s="130"/>
      <c r="N673" s="130"/>
      <c r="O673" s="130"/>
      <c r="P673" s="130"/>
      <c r="AA673" s="33"/>
    </row>
    <row r="674" spans="1:27" ht="15.75" customHeight="1" x14ac:dyDescent="0.35">
      <c r="A674" s="148"/>
      <c r="B674" s="33"/>
      <c r="C674" s="149"/>
      <c r="D674" s="150"/>
      <c r="E674" s="130"/>
      <c r="F674" s="130"/>
      <c r="L674" s="130"/>
      <c r="M674" s="130"/>
      <c r="N674" s="130"/>
      <c r="O674" s="130"/>
      <c r="P674" s="130"/>
      <c r="AA674" s="33"/>
    </row>
    <row r="675" spans="1:27" ht="15.75" customHeight="1" x14ac:dyDescent="0.35">
      <c r="A675" s="148"/>
      <c r="B675" s="33"/>
      <c r="C675" s="149"/>
      <c r="D675" s="150"/>
      <c r="E675" s="130"/>
      <c r="F675" s="130"/>
      <c r="L675" s="130"/>
      <c r="M675" s="130"/>
      <c r="N675" s="130"/>
      <c r="O675" s="130"/>
      <c r="P675" s="130"/>
      <c r="AA675" s="33"/>
    </row>
    <row r="676" spans="1:27" ht="15.75" customHeight="1" x14ac:dyDescent="0.35">
      <c r="A676" s="148"/>
      <c r="B676" s="33"/>
      <c r="C676" s="149"/>
      <c r="D676" s="150"/>
      <c r="E676" s="130"/>
      <c r="F676" s="130"/>
      <c r="L676" s="130"/>
      <c r="M676" s="130"/>
      <c r="N676" s="130"/>
      <c r="O676" s="130"/>
      <c r="P676" s="130"/>
      <c r="AA676" s="33"/>
    </row>
    <row r="677" spans="1:27" ht="15.75" customHeight="1" x14ac:dyDescent="0.35">
      <c r="A677" s="148"/>
      <c r="B677" s="33"/>
      <c r="C677" s="149"/>
      <c r="D677" s="150"/>
      <c r="E677" s="130"/>
      <c r="F677" s="130"/>
      <c r="L677" s="130"/>
      <c r="M677" s="130"/>
      <c r="N677" s="130"/>
      <c r="O677" s="130"/>
      <c r="P677" s="130"/>
      <c r="AA677" s="33"/>
    </row>
    <row r="678" spans="1:27" ht="15.75" customHeight="1" x14ac:dyDescent="0.35">
      <c r="A678" s="148"/>
      <c r="B678" s="33"/>
      <c r="C678" s="149"/>
      <c r="D678" s="150"/>
      <c r="E678" s="130"/>
      <c r="F678" s="130"/>
      <c r="L678" s="130"/>
      <c r="M678" s="130"/>
      <c r="N678" s="130"/>
      <c r="O678" s="130"/>
      <c r="P678" s="130"/>
      <c r="AA678" s="33"/>
    </row>
    <row r="679" spans="1:27" ht="15.75" customHeight="1" x14ac:dyDescent="0.35">
      <c r="A679" s="148"/>
      <c r="B679" s="33"/>
      <c r="C679" s="149"/>
      <c r="D679" s="150"/>
      <c r="E679" s="130"/>
      <c r="F679" s="130"/>
      <c r="L679" s="130"/>
      <c r="M679" s="130"/>
      <c r="N679" s="130"/>
      <c r="O679" s="130"/>
      <c r="P679" s="130"/>
      <c r="AA679" s="33"/>
    </row>
    <row r="680" spans="1:27" ht="15.75" customHeight="1" x14ac:dyDescent="0.35">
      <c r="A680" s="148"/>
      <c r="B680" s="33"/>
      <c r="C680" s="149"/>
      <c r="D680" s="150"/>
      <c r="E680" s="130"/>
      <c r="F680" s="130"/>
      <c r="L680" s="130"/>
      <c r="M680" s="130"/>
      <c r="N680" s="130"/>
      <c r="O680" s="130"/>
      <c r="P680" s="130"/>
      <c r="AA680" s="33"/>
    </row>
    <row r="681" spans="1:27" ht="15.75" customHeight="1" x14ac:dyDescent="0.35">
      <c r="A681" s="148"/>
      <c r="B681" s="33"/>
      <c r="C681" s="149"/>
      <c r="D681" s="150"/>
      <c r="E681" s="130"/>
      <c r="F681" s="130"/>
      <c r="L681" s="130"/>
      <c r="M681" s="130"/>
      <c r="N681" s="130"/>
      <c r="O681" s="130"/>
      <c r="P681" s="130"/>
      <c r="AA681" s="33"/>
    </row>
    <row r="682" spans="1:27" ht="15.75" customHeight="1" x14ac:dyDescent="0.35">
      <c r="A682" s="148"/>
      <c r="B682" s="33"/>
      <c r="C682" s="149"/>
      <c r="D682" s="150"/>
      <c r="E682" s="130"/>
      <c r="F682" s="130"/>
      <c r="L682" s="130"/>
      <c r="M682" s="130"/>
      <c r="N682" s="130"/>
      <c r="O682" s="130"/>
      <c r="P682" s="130"/>
      <c r="AA682" s="33"/>
    </row>
    <row r="683" spans="1:27" ht="15.75" customHeight="1" x14ac:dyDescent="0.35">
      <c r="A683" s="148"/>
      <c r="B683" s="33"/>
      <c r="C683" s="149"/>
      <c r="D683" s="150"/>
      <c r="E683" s="130"/>
      <c r="F683" s="130"/>
      <c r="L683" s="130"/>
      <c r="M683" s="130"/>
      <c r="N683" s="130"/>
      <c r="O683" s="130"/>
      <c r="P683" s="130"/>
      <c r="AA683" s="33"/>
    </row>
    <row r="684" spans="1:27" ht="15.75" customHeight="1" x14ac:dyDescent="0.35">
      <c r="A684" s="148"/>
      <c r="B684" s="33"/>
      <c r="C684" s="149"/>
      <c r="D684" s="150"/>
      <c r="E684" s="130"/>
      <c r="F684" s="130"/>
      <c r="L684" s="130"/>
      <c r="M684" s="130"/>
      <c r="N684" s="130"/>
      <c r="O684" s="130"/>
      <c r="P684" s="130"/>
      <c r="AA684" s="33"/>
    </row>
    <row r="685" spans="1:27" ht="15.75" customHeight="1" x14ac:dyDescent="0.35">
      <c r="A685" s="148"/>
      <c r="B685" s="33"/>
      <c r="C685" s="149"/>
      <c r="D685" s="150"/>
      <c r="E685" s="130"/>
      <c r="F685" s="130"/>
      <c r="L685" s="130"/>
      <c r="M685" s="130"/>
      <c r="N685" s="130"/>
      <c r="O685" s="130"/>
      <c r="P685" s="130"/>
      <c r="AA685" s="33"/>
    </row>
    <row r="686" spans="1:27" ht="15.75" customHeight="1" x14ac:dyDescent="0.35">
      <c r="A686" s="148"/>
      <c r="B686" s="33"/>
      <c r="C686" s="149"/>
      <c r="D686" s="150"/>
      <c r="E686" s="130"/>
      <c r="F686" s="130"/>
      <c r="L686" s="130"/>
      <c r="M686" s="130"/>
      <c r="N686" s="130"/>
      <c r="O686" s="130"/>
      <c r="P686" s="130"/>
      <c r="AA686" s="33"/>
    </row>
    <row r="687" spans="1:27" ht="15.75" customHeight="1" x14ac:dyDescent="0.35">
      <c r="A687" s="148"/>
      <c r="B687" s="33"/>
      <c r="C687" s="149"/>
      <c r="D687" s="150"/>
      <c r="E687" s="130"/>
      <c r="F687" s="130"/>
      <c r="L687" s="130"/>
      <c r="M687" s="130"/>
      <c r="N687" s="130"/>
      <c r="O687" s="130"/>
      <c r="P687" s="130"/>
      <c r="AA687" s="33"/>
    </row>
    <row r="688" spans="1:27" ht="15.75" customHeight="1" x14ac:dyDescent="0.35">
      <c r="A688" s="148"/>
      <c r="B688" s="33"/>
      <c r="C688" s="149"/>
      <c r="D688" s="150"/>
      <c r="E688" s="130"/>
      <c r="F688" s="130"/>
      <c r="L688" s="130"/>
      <c r="M688" s="130"/>
      <c r="N688" s="130"/>
      <c r="O688" s="130"/>
      <c r="P688" s="130"/>
      <c r="AA688" s="33"/>
    </row>
    <row r="689" spans="1:27" ht="15.75" customHeight="1" x14ac:dyDescent="0.35">
      <c r="A689" s="148"/>
      <c r="B689" s="33"/>
      <c r="C689" s="149"/>
      <c r="D689" s="150"/>
      <c r="E689" s="130"/>
      <c r="F689" s="130"/>
      <c r="L689" s="130"/>
      <c r="M689" s="130"/>
      <c r="N689" s="130"/>
      <c r="O689" s="130"/>
      <c r="P689" s="130"/>
      <c r="AA689" s="33"/>
    </row>
    <row r="690" spans="1:27" ht="15.75" customHeight="1" x14ac:dyDescent="0.35">
      <c r="A690" s="148"/>
      <c r="B690" s="33"/>
      <c r="C690" s="149"/>
      <c r="D690" s="150"/>
      <c r="E690" s="130"/>
      <c r="F690" s="130"/>
      <c r="L690" s="130"/>
      <c r="M690" s="130"/>
      <c r="N690" s="130"/>
      <c r="O690" s="130"/>
      <c r="P690" s="130"/>
      <c r="AA690" s="33"/>
    </row>
    <row r="691" spans="1:27" ht="15.75" customHeight="1" x14ac:dyDescent="0.35">
      <c r="A691" s="148"/>
      <c r="B691" s="33"/>
      <c r="C691" s="149"/>
      <c r="D691" s="150"/>
      <c r="E691" s="130"/>
      <c r="F691" s="130"/>
      <c r="L691" s="130"/>
      <c r="M691" s="130"/>
      <c r="N691" s="130"/>
      <c r="O691" s="130"/>
      <c r="P691" s="130"/>
      <c r="AA691" s="33"/>
    </row>
    <row r="692" spans="1:27" ht="15.75" customHeight="1" x14ac:dyDescent="0.35">
      <c r="A692" s="148"/>
      <c r="B692" s="33"/>
      <c r="C692" s="149"/>
      <c r="D692" s="150"/>
      <c r="E692" s="130"/>
      <c r="F692" s="130"/>
      <c r="L692" s="130"/>
      <c r="M692" s="130"/>
      <c r="N692" s="130"/>
      <c r="O692" s="130"/>
      <c r="P692" s="130"/>
      <c r="AA692" s="33"/>
    </row>
    <row r="693" spans="1:27" ht="15.75" customHeight="1" x14ac:dyDescent="0.35">
      <c r="A693" s="148"/>
      <c r="B693" s="33"/>
      <c r="C693" s="149"/>
      <c r="D693" s="150"/>
      <c r="E693" s="130"/>
      <c r="F693" s="130"/>
      <c r="L693" s="130"/>
      <c r="M693" s="130"/>
      <c r="N693" s="130"/>
      <c r="O693" s="130"/>
      <c r="P693" s="130"/>
      <c r="AA693" s="33"/>
    </row>
    <row r="694" spans="1:27" ht="15.75" customHeight="1" x14ac:dyDescent="0.35">
      <c r="A694" s="148"/>
      <c r="B694" s="33"/>
      <c r="C694" s="149"/>
      <c r="D694" s="150"/>
      <c r="E694" s="130"/>
      <c r="F694" s="130"/>
      <c r="L694" s="130"/>
      <c r="M694" s="130"/>
      <c r="N694" s="130"/>
      <c r="O694" s="130"/>
      <c r="P694" s="130"/>
      <c r="AA694" s="33"/>
    </row>
    <row r="695" spans="1:27" ht="15.75" customHeight="1" x14ac:dyDescent="0.35">
      <c r="A695" s="148"/>
      <c r="B695" s="33"/>
      <c r="C695" s="149"/>
      <c r="D695" s="150"/>
      <c r="E695" s="130"/>
      <c r="F695" s="130"/>
      <c r="L695" s="130"/>
      <c r="M695" s="130"/>
      <c r="N695" s="130"/>
      <c r="O695" s="130"/>
      <c r="P695" s="130"/>
      <c r="AA695" s="33"/>
    </row>
    <row r="696" spans="1:27" ht="15.75" customHeight="1" x14ac:dyDescent="0.35">
      <c r="A696" s="148"/>
      <c r="B696" s="33"/>
      <c r="C696" s="149"/>
      <c r="D696" s="150"/>
      <c r="E696" s="130"/>
      <c r="F696" s="130"/>
      <c r="L696" s="130"/>
      <c r="M696" s="130"/>
      <c r="N696" s="130"/>
      <c r="O696" s="130"/>
      <c r="P696" s="130"/>
      <c r="AA696" s="33"/>
    </row>
    <row r="697" spans="1:27" ht="15.75" customHeight="1" x14ac:dyDescent="0.35">
      <c r="A697" s="148"/>
      <c r="B697" s="33"/>
      <c r="C697" s="149"/>
      <c r="D697" s="150"/>
      <c r="E697" s="130"/>
      <c r="F697" s="130"/>
      <c r="L697" s="130"/>
      <c r="M697" s="130"/>
      <c r="N697" s="130"/>
      <c r="O697" s="130"/>
      <c r="P697" s="130"/>
      <c r="AA697" s="33"/>
    </row>
    <row r="698" spans="1:27" ht="15.75" customHeight="1" x14ac:dyDescent="0.35">
      <c r="A698" s="148"/>
      <c r="B698" s="33"/>
      <c r="C698" s="149"/>
      <c r="D698" s="150"/>
      <c r="E698" s="130"/>
      <c r="F698" s="130"/>
      <c r="L698" s="130"/>
      <c r="M698" s="130"/>
      <c r="N698" s="130"/>
      <c r="O698" s="130"/>
      <c r="P698" s="130"/>
      <c r="AA698" s="33"/>
    </row>
    <row r="699" spans="1:27" ht="15.75" customHeight="1" x14ac:dyDescent="0.35">
      <c r="A699" s="148"/>
      <c r="B699" s="33"/>
      <c r="C699" s="149"/>
      <c r="D699" s="150"/>
      <c r="E699" s="130"/>
      <c r="F699" s="130"/>
      <c r="L699" s="130"/>
      <c r="M699" s="130"/>
      <c r="N699" s="130"/>
      <c r="O699" s="130"/>
      <c r="P699" s="130"/>
      <c r="AA699" s="33"/>
    </row>
    <row r="700" spans="1:27" ht="15.75" customHeight="1" x14ac:dyDescent="0.35">
      <c r="A700" s="148"/>
      <c r="B700" s="33"/>
      <c r="C700" s="149"/>
      <c r="D700" s="150"/>
      <c r="E700" s="130"/>
      <c r="F700" s="130"/>
      <c r="L700" s="130"/>
      <c r="M700" s="130"/>
      <c r="N700" s="130"/>
      <c r="O700" s="130"/>
      <c r="P700" s="130"/>
      <c r="AA700" s="33"/>
    </row>
    <row r="701" spans="1:27" ht="15.75" customHeight="1" x14ac:dyDescent="0.35">
      <c r="A701" s="148"/>
      <c r="B701" s="33"/>
      <c r="C701" s="149"/>
      <c r="D701" s="150"/>
      <c r="E701" s="130"/>
      <c r="F701" s="130"/>
      <c r="L701" s="130"/>
      <c r="M701" s="130"/>
      <c r="N701" s="130"/>
      <c r="O701" s="130"/>
      <c r="P701" s="130"/>
      <c r="AA701" s="33"/>
    </row>
    <row r="702" spans="1:27" ht="15.75" customHeight="1" x14ac:dyDescent="0.35">
      <c r="A702" s="148"/>
      <c r="B702" s="33"/>
      <c r="C702" s="149"/>
      <c r="D702" s="150"/>
      <c r="E702" s="130"/>
      <c r="F702" s="130"/>
      <c r="L702" s="130"/>
      <c r="M702" s="130"/>
      <c r="N702" s="130"/>
      <c r="O702" s="130"/>
      <c r="P702" s="130"/>
      <c r="AA702" s="33"/>
    </row>
    <row r="703" spans="1:27" ht="15.75" customHeight="1" x14ac:dyDescent="0.35">
      <c r="A703" s="148"/>
      <c r="B703" s="33"/>
      <c r="C703" s="149"/>
      <c r="D703" s="150"/>
      <c r="E703" s="130"/>
      <c r="F703" s="130"/>
      <c r="L703" s="130"/>
      <c r="M703" s="130"/>
      <c r="N703" s="130"/>
      <c r="O703" s="130"/>
      <c r="P703" s="130"/>
      <c r="AA703" s="33"/>
    </row>
    <row r="704" spans="1:27" ht="15.75" customHeight="1" x14ac:dyDescent="0.35">
      <c r="A704" s="148"/>
      <c r="B704" s="33"/>
      <c r="C704" s="149"/>
      <c r="D704" s="150"/>
      <c r="E704" s="130"/>
      <c r="F704" s="130"/>
      <c r="L704" s="130"/>
      <c r="M704" s="130"/>
      <c r="N704" s="130"/>
      <c r="O704" s="130"/>
      <c r="P704" s="130"/>
      <c r="AA704" s="33"/>
    </row>
    <row r="705" spans="1:27" ht="15.75" customHeight="1" x14ac:dyDescent="0.35">
      <c r="A705" s="148"/>
      <c r="B705" s="33"/>
      <c r="C705" s="149"/>
      <c r="D705" s="150"/>
      <c r="E705" s="130"/>
      <c r="F705" s="130"/>
      <c r="L705" s="130"/>
      <c r="M705" s="130"/>
      <c r="N705" s="130"/>
      <c r="O705" s="130"/>
      <c r="P705" s="130"/>
      <c r="AA705" s="33"/>
    </row>
    <row r="706" spans="1:27" ht="15.75" customHeight="1" x14ac:dyDescent="0.35">
      <c r="A706" s="148"/>
      <c r="B706" s="33"/>
      <c r="C706" s="149"/>
      <c r="D706" s="150"/>
      <c r="E706" s="130"/>
      <c r="F706" s="130"/>
      <c r="L706" s="130"/>
      <c r="M706" s="130"/>
      <c r="N706" s="130"/>
      <c r="O706" s="130"/>
      <c r="P706" s="130"/>
      <c r="AA706" s="33"/>
    </row>
    <row r="707" spans="1:27" ht="15.75" customHeight="1" x14ac:dyDescent="0.35">
      <c r="A707" s="148"/>
      <c r="B707" s="33"/>
      <c r="C707" s="149"/>
      <c r="D707" s="150"/>
      <c r="E707" s="130"/>
      <c r="F707" s="130"/>
      <c r="L707" s="130"/>
      <c r="M707" s="130"/>
      <c r="N707" s="130"/>
      <c r="O707" s="130"/>
      <c r="P707" s="130"/>
      <c r="AA707" s="33"/>
    </row>
    <row r="708" spans="1:27" ht="15.75" customHeight="1" x14ac:dyDescent="0.35">
      <c r="A708" s="148"/>
      <c r="B708" s="33"/>
      <c r="C708" s="149"/>
      <c r="D708" s="150"/>
      <c r="E708" s="130"/>
      <c r="F708" s="130"/>
      <c r="L708" s="130"/>
      <c r="M708" s="130"/>
      <c r="N708" s="130"/>
      <c r="O708" s="130"/>
      <c r="P708" s="130"/>
      <c r="AA708" s="33"/>
    </row>
    <row r="709" spans="1:27" ht="15.75" customHeight="1" x14ac:dyDescent="0.35">
      <c r="A709" s="148"/>
      <c r="B709" s="33"/>
      <c r="C709" s="149"/>
      <c r="D709" s="150"/>
      <c r="E709" s="130"/>
      <c r="F709" s="130"/>
      <c r="L709" s="130"/>
      <c r="M709" s="130"/>
      <c r="N709" s="130"/>
      <c r="O709" s="130"/>
      <c r="P709" s="130"/>
      <c r="AA709" s="33"/>
    </row>
    <row r="710" spans="1:27" ht="15.75" customHeight="1" x14ac:dyDescent="0.35">
      <c r="A710" s="148"/>
      <c r="B710" s="33"/>
      <c r="C710" s="149"/>
      <c r="D710" s="150"/>
      <c r="E710" s="130"/>
      <c r="F710" s="130"/>
      <c r="L710" s="130"/>
      <c r="M710" s="130"/>
      <c r="N710" s="130"/>
      <c r="O710" s="130"/>
      <c r="P710" s="130"/>
      <c r="AA710" s="33"/>
    </row>
    <row r="711" spans="1:27" ht="15.75" customHeight="1" x14ac:dyDescent="0.35">
      <c r="A711" s="148"/>
      <c r="B711" s="33"/>
      <c r="C711" s="149"/>
      <c r="D711" s="150"/>
      <c r="E711" s="130"/>
      <c r="F711" s="130"/>
      <c r="L711" s="130"/>
      <c r="M711" s="130"/>
      <c r="N711" s="130"/>
      <c r="O711" s="130"/>
      <c r="P711" s="130"/>
      <c r="AA711" s="33"/>
    </row>
    <row r="712" spans="1:27" ht="15.75" customHeight="1" x14ac:dyDescent="0.35">
      <c r="A712" s="148"/>
      <c r="B712" s="33"/>
      <c r="C712" s="149"/>
      <c r="D712" s="150"/>
      <c r="E712" s="130"/>
      <c r="F712" s="130"/>
      <c r="L712" s="130"/>
      <c r="M712" s="130"/>
      <c r="N712" s="130"/>
      <c r="O712" s="130"/>
      <c r="P712" s="130"/>
      <c r="AA712" s="33"/>
    </row>
    <row r="713" spans="1:27" ht="15.75" customHeight="1" x14ac:dyDescent="0.35">
      <c r="A713" s="148"/>
      <c r="B713" s="33"/>
      <c r="C713" s="149"/>
      <c r="D713" s="150"/>
      <c r="E713" s="130"/>
      <c r="F713" s="130"/>
      <c r="L713" s="130"/>
      <c r="M713" s="130"/>
      <c r="N713" s="130"/>
      <c r="O713" s="130"/>
      <c r="P713" s="130"/>
      <c r="AA713" s="33"/>
    </row>
    <row r="714" spans="1:27" ht="15.75" customHeight="1" x14ac:dyDescent="0.35">
      <c r="A714" s="148"/>
      <c r="B714" s="33"/>
      <c r="C714" s="149"/>
      <c r="D714" s="150"/>
      <c r="E714" s="130"/>
      <c r="F714" s="130"/>
      <c r="L714" s="130"/>
      <c r="M714" s="130"/>
      <c r="N714" s="130"/>
      <c r="O714" s="130"/>
      <c r="P714" s="130"/>
      <c r="AA714" s="33"/>
    </row>
    <row r="715" spans="1:27" ht="15.75" customHeight="1" x14ac:dyDescent="0.35">
      <c r="A715" s="148"/>
      <c r="B715" s="33"/>
      <c r="C715" s="149"/>
      <c r="D715" s="150"/>
      <c r="E715" s="130"/>
      <c r="F715" s="130"/>
      <c r="L715" s="130"/>
      <c r="M715" s="130"/>
      <c r="N715" s="130"/>
      <c r="O715" s="130"/>
      <c r="P715" s="130"/>
      <c r="AA715" s="33"/>
    </row>
    <row r="716" spans="1:27" ht="15.75" customHeight="1" x14ac:dyDescent="0.35">
      <c r="A716" s="148"/>
      <c r="B716" s="33"/>
      <c r="C716" s="149"/>
      <c r="D716" s="150"/>
      <c r="E716" s="130"/>
      <c r="F716" s="130"/>
      <c r="L716" s="130"/>
      <c r="M716" s="130"/>
      <c r="N716" s="130"/>
      <c r="O716" s="130"/>
      <c r="P716" s="130"/>
      <c r="AA716" s="33"/>
    </row>
    <row r="717" spans="1:27" ht="15.75" customHeight="1" x14ac:dyDescent="0.35">
      <c r="A717" s="148"/>
      <c r="B717" s="33"/>
      <c r="C717" s="149"/>
      <c r="D717" s="150"/>
      <c r="E717" s="130"/>
      <c r="F717" s="130"/>
      <c r="L717" s="130"/>
      <c r="M717" s="130"/>
      <c r="N717" s="130"/>
      <c r="O717" s="130"/>
      <c r="P717" s="130"/>
      <c r="AA717" s="33"/>
    </row>
    <row r="718" spans="1:27" ht="15.75" customHeight="1" x14ac:dyDescent="0.35">
      <c r="A718" s="148"/>
      <c r="B718" s="33"/>
      <c r="C718" s="149"/>
      <c r="D718" s="150"/>
      <c r="E718" s="130"/>
      <c r="F718" s="130"/>
      <c r="L718" s="130"/>
      <c r="M718" s="130"/>
      <c r="N718" s="130"/>
      <c r="O718" s="130"/>
      <c r="P718" s="130"/>
      <c r="AA718" s="33"/>
    </row>
    <row r="719" spans="1:27" ht="15.75" customHeight="1" x14ac:dyDescent="0.35">
      <c r="A719" s="148"/>
      <c r="B719" s="33"/>
      <c r="C719" s="149"/>
      <c r="D719" s="150"/>
      <c r="E719" s="130"/>
      <c r="F719" s="130"/>
      <c r="L719" s="130"/>
      <c r="M719" s="130"/>
      <c r="N719" s="130"/>
      <c r="O719" s="130"/>
      <c r="P719" s="130"/>
      <c r="AA719" s="33"/>
    </row>
    <row r="720" spans="1:27" ht="15.75" customHeight="1" x14ac:dyDescent="0.35">
      <c r="A720" s="148"/>
      <c r="B720" s="33"/>
      <c r="C720" s="149"/>
      <c r="D720" s="150"/>
      <c r="E720" s="130"/>
      <c r="F720" s="130"/>
      <c r="L720" s="130"/>
      <c r="M720" s="130"/>
      <c r="N720" s="130"/>
      <c r="O720" s="130"/>
      <c r="P720" s="130"/>
      <c r="AA720" s="33"/>
    </row>
    <row r="721" spans="1:27" ht="15.75" customHeight="1" x14ac:dyDescent="0.35">
      <c r="A721" s="148"/>
      <c r="B721" s="33"/>
      <c r="C721" s="149"/>
      <c r="D721" s="150"/>
      <c r="E721" s="130"/>
      <c r="F721" s="130"/>
      <c r="L721" s="130"/>
      <c r="M721" s="130"/>
      <c r="N721" s="130"/>
      <c r="O721" s="130"/>
      <c r="P721" s="130"/>
      <c r="AA721" s="33"/>
    </row>
    <row r="722" spans="1:27" ht="15.75" customHeight="1" x14ac:dyDescent="0.35">
      <c r="A722" s="148"/>
      <c r="B722" s="33"/>
      <c r="C722" s="149"/>
      <c r="D722" s="150"/>
      <c r="E722" s="130"/>
      <c r="F722" s="130"/>
      <c r="L722" s="130"/>
      <c r="M722" s="130"/>
      <c r="N722" s="130"/>
      <c r="O722" s="130"/>
      <c r="P722" s="130"/>
      <c r="AA722" s="33"/>
    </row>
    <row r="723" spans="1:27" ht="15.75" customHeight="1" x14ac:dyDescent="0.35">
      <c r="A723" s="148"/>
      <c r="B723" s="33"/>
      <c r="C723" s="149"/>
      <c r="D723" s="150"/>
      <c r="E723" s="130"/>
      <c r="F723" s="130"/>
      <c r="L723" s="130"/>
      <c r="M723" s="130"/>
      <c r="N723" s="130"/>
      <c r="O723" s="130"/>
      <c r="P723" s="130"/>
      <c r="AA723" s="33"/>
    </row>
    <row r="724" spans="1:27" ht="15.75" customHeight="1" x14ac:dyDescent="0.35">
      <c r="A724" s="148"/>
      <c r="B724" s="33"/>
      <c r="C724" s="149"/>
      <c r="D724" s="150"/>
      <c r="E724" s="130"/>
      <c r="F724" s="130"/>
      <c r="L724" s="130"/>
      <c r="M724" s="130"/>
      <c r="N724" s="130"/>
      <c r="O724" s="130"/>
      <c r="P724" s="130"/>
      <c r="AA724" s="33"/>
    </row>
    <row r="725" spans="1:27" ht="15.75" customHeight="1" x14ac:dyDescent="0.35">
      <c r="A725" s="148"/>
      <c r="B725" s="33"/>
      <c r="C725" s="149"/>
      <c r="D725" s="150"/>
      <c r="E725" s="130"/>
      <c r="F725" s="130"/>
      <c r="L725" s="130"/>
      <c r="M725" s="130"/>
      <c r="N725" s="130"/>
      <c r="O725" s="130"/>
      <c r="P725" s="130"/>
      <c r="AA725" s="33"/>
    </row>
    <row r="726" spans="1:27" ht="15.75" customHeight="1" x14ac:dyDescent="0.35">
      <c r="A726" s="148"/>
      <c r="B726" s="33"/>
      <c r="C726" s="149"/>
      <c r="D726" s="150"/>
      <c r="E726" s="130"/>
      <c r="F726" s="130"/>
      <c r="L726" s="130"/>
      <c r="M726" s="130"/>
      <c r="N726" s="130"/>
      <c r="O726" s="130"/>
      <c r="P726" s="130"/>
      <c r="AA726" s="33"/>
    </row>
    <row r="727" spans="1:27" ht="15.75" customHeight="1" x14ac:dyDescent="0.35">
      <c r="A727" s="148"/>
      <c r="B727" s="33"/>
      <c r="C727" s="149"/>
      <c r="D727" s="150"/>
      <c r="E727" s="130"/>
      <c r="F727" s="130"/>
      <c r="L727" s="130"/>
      <c r="M727" s="130"/>
      <c r="N727" s="130"/>
      <c r="O727" s="130"/>
      <c r="P727" s="130"/>
      <c r="AA727" s="33"/>
    </row>
    <row r="728" spans="1:27" ht="15.75" customHeight="1" x14ac:dyDescent="0.35">
      <c r="A728" s="148"/>
      <c r="B728" s="33"/>
      <c r="C728" s="149"/>
      <c r="D728" s="150"/>
      <c r="E728" s="130"/>
      <c r="F728" s="130"/>
      <c r="L728" s="130"/>
      <c r="M728" s="130"/>
      <c r="N728" s="130"/>
      <c r="O728" s="130"/>
      <c r="P728" s="130"/>
      <c r="AA728" s="33"/>
    </row>
    <row r="729" spans="1:27" ht="15.75" customHeight="1" x14ac:dyDescent="0.35">
      <c r="A729" s="148"/>
      <c r="B729" s="33"/>
      <c r="C729" s="149"/>
      <c r="D729" s="150"/>
      <c r="E729" s="130"/>
      <c r="F729" s="130"/>
      <c r="L729" s="130"/>
      <c r="M729" s="130"/>
      <c r="N729" s="130"/>
      <c r="O729" s="130"/>
      <c r="P729" s="130"/>
      <c r="AA729" s="33"/>
    </row>
    <row r="730" spans="1:27" ht="15.75" customHeight="1" x14ac:dyDescent="0.35">
      <c r="A730" s="148"/>
      <c r="B730" s="33"/>
      <c r="C730" s="149"/>
      <c r="D730" s="150"/>
      <c r="E730" s="130"/>
      <c r="F730" s="130"/>
      <c r="L730" s="130"/>
      <c r="M730" s="130"/>
      <c r="N730" s="130"/>
      <c r="O730" s="130"/>
      <c r="P730" s="130"/>
      <c r="AA730" s="33"/>
    </row>
    <row r="731" spans="1:27" ht="15.75" customHeight="1" x14ac:dyDescent="0.35">
      <c r="A731" s="148"/>
      <c r="B731" s="33"/>
      <c r="C731" s="149"/>
      <c r="D731" s="150"/>
      <c r="E731" s="130"/>
      <c r="F731" s="130"/>
      <c r="L731" s="130"/>
      <c r="M731" s="130"/>
      <c r="N731" s="130"/>
      <c r="O731" s="130"/>
      <c r="P731" s="130"/>
      <c r="AA731" s="33"/>
    </row>
    <row r="732" spans="1:27" ht="15.75" customHeight="1" x14ac:dyDescent="0.35">
      <c r="A732" s="148"/>
      <c r="B732" s="33"/>
      <c r="C732" s="149"/>
      <c r="D732" s="150"/>
      <c r="E732" s="130"/>
      <c r="F732" s="130"/>
      <c r="L732" s="130"/>
      <c r="M732" s="130"/>
      <c r="N732" s="130"/>
      <c r="O732" s="130"/>
      <c r="P732" s="130"/>
      <c r="AA732" s="33"/>
    </row>
  </sheetData>
  <mergeCells count="1">
    <mergeCell ref="E5:T5"/>
  </mergeCells>
  <pageMargins left="0.7" right="0.7" top="0.75" bottom="0.75" header="0.511811023622047" footer="0.511811023622047"/>
  <pageSetup paperSize="9" scale="85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B8DE-41ED-4471-8B0D-F4B4172F42AB}">
  <dimension ref="A1:P607"/>
  <sheetViews>
    <sheetView zoomScale="80" zoomScaleNormal="80" workbookViewId="0">
      <pane xSplit="3" ySplit="1" topLeftCell="D2" activePane="bottomRight" state="frozen"/>
      <selection pane="topRight" activeCell="F1" sqref="F1"/>
      <selection pane="bottomLeft" activeCell="A8" sqref="A8"/>
      <selection pane="bottomRight" activeCell="O7" sqref="O7"/>
    </sheetView>
  </sheetViews>
  <sheetFormatPr defaultColWidth="14.42578125" defaultRowHeight="17.25" x14ac:dyDescent="0.35"/>
  <cols>
    <col min="1" max="1" width="4.42578125" style="151" customWidth="1"/>
    <col min="2" max="2" width="15.7109375" style="29" customWidth="1"/>
    <col min="3" max="3" width="15.7109375" style="155" customWidth="1"/>
    <col min="4" max="5" width="15.7109375" style="131" customWidth="1"/>
    <col min="6" max="12" width="14.42578125" style="131"/>
    <col min="13" max="13" width="15.7109375" style="131" customWidth="1"/>
    <col min="14" max="14" width="42.140625" style="29" customWidth="1"/>
    <col min="15" max="15" width="14.42578125" style="29"/>
    <col min="16" max="16" width="14.42578125" style="131"/>
    <col min="17" max="16384" width="14.42578125" style="29"/>
  </cols>
  <sheetData>
    <row r="1" spans="1:16" ht="23.25" x14ac:dyDescent="0.35">
      <c r="A1" s="311" t="s">
        <v>72</v>
      </c>
      <c r="B1" s="305"/>
      <c r="C1" s="305"/>
      <c r="D1" s="305"/>
      <c r="E1"/>
    </row>
    <row r="2" spans="1:16" ht="19.5" customHeight="1" x14ac:dyDescent="0.35">
      <c r="A2" s="148"/>
      <c r="B2" s="33"/>
      <c r="C2" s="154"/>
      <c r="D2" s="312" t="s">
        <v>171</v>
      </c>
      <c r="E2" s="313"/>
      <c r="F2" s="313"/>
      <c r="G2" s="313"/>
      <c r="H2" s="313"/>
      <c r="I2" s="313"/>
      <c r="J2" s="313"/>
      <c r="K2" s="313"/>
      <c r="L2" s="313"/>
    </row>
    <row r="3" spans="1:16" ht="63" customHeight="1" x14ac:dyDescent="0.35">
      <c r="A3" s="148"/>
      <c r="B3" s="33"/>
      <c r="C3" s="154" t="s">
        <v>73</v>
      </c>
      <c r="D3" s="163" t="s">
        <v>78</v>
      </c>
      <c r="E3" s="163" t="s">
        <v>122</v>
      </c>
      <c r="F3" s="163" t="s">
        <v>97</v>
      </c>
      <c r="G3" s="163" t="s">
        <v>174</v>
      </c>
      <c r="H3" s="163" t="s">
        <v>175</v>
      </c>
      <c r="I3" s="163" t="s">
        <v>173</v>
      </c>
      <c r="J3" s="163" t="s">
        <v>172</v>
      </c>
      <c r="K3" s="163" t="s">
        <v>89</v>
      </c>
      <c r="L3" s="163" t="s">
        <v>88</v>
      </c>
      <c r="M3" s="131" t="s">
        <v>46</v>
      </c>
      <c r="N3" s="161" t="s">
        <v>47</v>
      </c>
      <c r="O3" s="162"/>
      <c r="P3" s="131" t="s">
        <v>73</v>
      </c>
    </row>
    <row r="4" spans="1:16" ht="19.5" customHeight="1" x14ac:dyDescent="0.35">
      <c r="A4" s="148"/>
      <c r="B4" s="33" t="s">
        <v>33</v>
      </c>
      <c r="C4" s="154">
        <f>SUM(P4:P20)</f>
        <v>209886.3</v>
      </c>
      <c r="D4" s="131">
        <f>+' EXPENSES'!U92</f>
        <v>36265.715199999999</v>
      </c>
      <c r="L4" s="131">
        <f>SUM(D4:K4)</f>
        <v>36265.715199999999</v>
      </c>
      <c r="M4" s="131">
        <f>+C4+L4</f>
        <v>246152.01519999999</v>
      </c>
      <c r="N4" s="204" t="s">
        <v>70</v>
      </c>
      <c r="O4" s="212">
        <v>206413.83</v>
      </c>
      <c r="P4" s="147">
        <f t="shared" ref="P4:P20" si="0">+O4/4</f>
        <v>51603.457499999997</v>
      </c>
    </row>
    <row r="5" spans="1:16" ht="19.5" customHeight="1" x14ac:dyDescent="0.35">
      <c r="A5" s="148"/>
      <c r="B5" s="33" t="s">
        <v>40</v>
      </c>
      <c r="C5" s="154">
        <f>+C4</f>
        <v>209886.3</v>
      </c>
      <c r="D5" s="131">
        <f>+' EXPENSES'!V51+' EXPENSES'!V37</f>
        <v>60875.360000000001</v>
      </c>
      <c r="E5" s="131">
        <f>+' EXPENSES'!V53</f>
        <v>2572.46</v>
      </c>
      <c r="F5" s="131">
        <v>1500</v>
      </c>
      <c r="H5" s="131">
        <f>+' EXPENSES'!V75+' EXPENSES'!V76</f>
        <v>15550</v>
      </c>
      <c r="L5" s="131">
        <f t="shared" ref="L5:L7" si="1">SUM(D5:K5)</f>
        <v>80497.820000000007</v>
      </c>
      <c r="M5" s="131">
        <f>+C5+L5</f>
        <v>290384.12</v>
      </c>
      <c r="N5" s="204" t="s">
        <v>51</v>
      </c>
      <c r="O5" s="212">
        <v>23300</v>
      </c>
      <c r="P5" s="147">
        <f t="shared" si="0"/>
        <v>5825</v>
      </c>
    </row>
    <row r="6" spans="1:16" ht="19.5" customHeight="1" x14ac:dyDescent="0.35">
      <c r="A6" s="148"/>
      <c r="B6" s="33" t="s">
        <v>34</v>
      </c>
      <c r="C6" s="154">
        <f>+C5</f>
        <v>209886.3</v>
      </c>
      <c r="D6" s="131">
        <f>+' EXPENSES'!W51+' EXPENSES'!W37</f>
        <v>38090</v>
      </c>
      <c r="E6" s="131">
        <f>+' EXPENSES'!W53+3000</f>
        <v>7630.43</v>
      </c>
      <c r="F6" s="131">
        <v>1500</v>
      </c>
      <c r="G6" s="131">
        <v>5000</v>
      </c>
      <c r="I6" s="131">
        <f>+' EXPENSES'!W33</f>
        <v>5688</v>
      </c>
      <c r="L6" s="131">
        <f t="shared" si="1"/>
        <v>57908.43</v>
      </c>
      <c r="M6" s="131">
        <f t="shared" ref="M6:M7" si="2">+C6+L6</f>
        <v>267794.73</v>
      </c>
      <c r="N6" s="204" t="s">
        <v>53</v>
      </c>
      <c r="O6" s="212">
        <v>5340.33</v>
      </c>
      <c r="P6" s="147">
        <f t="shared" si="0"/>
        <v>1335.0825</v>
      </c>
    </row>
    <row r="7" spans="1:16" ht="19.5" customHeight="1" x14ac:dyDescent="0.35">
      <c r="A7" s="148"/>
      <c r="B7" s="33" t="s">
        <v>35</v>
      </c>
      <c r="C7" s="154">
        <f>+C6</f>
        <v>209886.3</v>
      </c>
      <c r="D7" s="131">
        <f>+' EXPENSES'!X37+' EXPENSES'!X51</f>
        <v>44850</v>
      </c>
      <c r="E7" s="131">
        <f>+' EXPENSES'!X53+3000</f>
        <v>78330</v>
      </c>
      <c r="J7" s="131">
        <v>17000</v>
      </c>
      <c r="K7" s="131">
        <f>+' EXPENSES'!X50+' EXPENSES'!X32</f>
        <v>13792.74</v>
      </c>
      <c r="L7" s="131">
        <f t="shared" si="1"/>
        <v>153972.74</v>
      </c>
      <c r="M7" s="131">
        <f t="shared" si="2"/>
        <v>363859.04</v>
      </c>
      <c r="N7" s="204" t="s">
        <v>71</v>
      </c>
      <c r="O7" s="212">
        <v>184126</v>
      </c>
      <c r="P7" s="147">
        <f t="shared" si="0"/>
        <v>46031.5</v>
      </c>
    </row>
    <row r="8" spans="1:16" ht="19.5" customHeight="1" x14ac:dyDescent="0.35">
      <c r="A8" s="148"/>
      <c r="B8" s="33"/>
      <c r="C8" s="154"/>
      <c r="M8" s="131">
        <f>SUM(M4:M7)</f>
        <v>1168189.9051999999</v>
      </c>
      <c r="N8" s="204" t="s">
        <v>55</v>
      </c>
      <c r="O8" s="212">
        <v>67192.489999999991</v>
      </c>
      <c r="P8" s="147">
        <f t="shared" si="0"/>
        <v>16798.122499999998</v>
      </c>
    </row>
    <row r="9" spans="1:16" ht="19.5" customHeight="1" x14ac:dyDescent="0.35">
      <c r="A9" s="148"/>
      <c r="B9" s="33"/>
      <c r="C9" s="154"/>
      <c r="M9" s="131">
        <f>+' EXPENSES'!D4</f>
        <v>1168189.9099999999</v>
      </c>
      <c r="N9" s="217" t="s">
        <v>56</v>
      </c>
      <c r="O9" s="212">
        <v>9151</v>
      </c>
      <c r="P9" s="147">
        <f t="shared" si="0"/>
        <v>2287.75</v>
      </c>
    </row>
    <row r="10" spans="1:16" ht="19.5" customHeight="1" x14ac:dyDescent="0.35">
      <c r="A10" s="148"/>
      <c r="B10" s="33"/>
      <c r="C10" s="154"/>
      <c r="M10" s="131">
        <f>+M8-M9</f>
        <v>-4.7999999951571226E-3</v>
      </c>
      <c r="N10" s="204" t="s">
        <v>57</v>
      </c>
      <c r="O10" s="212">
        <v>8710</v>
      </c>
      <c r="P10" s="147">
        <f t="shared" si="0"/>
        <v>2177.5</v>
      </c>
    </row>
    <row r="11" spans="1:16" ht="19.5" customHeight="1" x14ac:dyDescent="0.35">
      <c r="A11" s="148"/>
      <c r="B11" s="33"/>
      <c r="C11" s="154"/>
      <c r="N11" s="204" t="s">
        <v>58</v>
      </c>
      <c r="O11" s="212">
        <v>0</v>
      </c>
      <c r="P11" s="147">
        <f t="shared" si="0"/>
        <v>0</v>
      </c>
    </row>
    <row r="12" spans="1:16" ht="19.5" customHeight="1" x14ac:dyDescent="0.35">
      <c r="A12" s="148"/>
      <c r="B12" s="33"/>
      <c r="C12" s="154"/>
      <c r="N12" s="204" t="s">
        <v>87</v>
      </c>
      <c r="O12" s="212">
        <v>0</v>
      </c>
      <c r="P12" s="147">
        <f t="shared" si="0"/>
        <v>0</v>
      </c>
    </row>
    <row r="13" spans="1:16" ht="19.5" customHeight="1" x14ac:dyDescent="0.35">
      <c r="A13" s="148"/>
      <c r="B13" s="33"/>
      <c r="C13" s="154"/>
      <c r="N13" s="204" t="s">
        <v>59</v>
      </c>
      <c r="O13" s="212">
        <v>0</v>
      </c>
      <c r="P13" s="147">
        <f t="shared" si="0"/>
        <v>0</v>
      </c>
    </row>
    <row r="14" spans="1:16" ht="19.5" customHeight="1" x14ac:dyDescent="0.35">
      <c r="A14" s="148"/>
      <c r="B14" s="33"/>
      <c r="C14" s="154"/>
      <c r="N14" s="204" t="s">
        <v>167</v>
      </c>
      <c r="O14" s="212">
        <v>159959.18</v>
      </c>
      <c r="P14" s="147">
        <f t="shared" si="0"/>
        <v>39989.794999999998</v>
      </c>
    </row>
    <row r="15" spans="1:16" ht="19.5" customHeight="1" x14ac:dyDescent="0.35">
      <c r="A15" s="148"/>
      <c r="B15" s="33"/>
      <c r="C15" s="154"/>
      <c r="N15" s="204" t="s">
        <v>168</v>
      </c>
      <c r="O15" s="212">
        <v>37500</v>
      </c>
      <c r="P15" s="147">
        <f t="shared" si="0"/>
        <v>9375</v>
      </c>
    </row>
    <row r="16" spans="1:16" ht="19.5" customHeight="1" x14ac:dyDescent="0.35">
      <c r="A16" s="148"/>
      <c r="B16" s="33"/>
      <c r="C16" s="154"/>
      <c r="N16" s="204" t="s">
        <v>169</v>
      </c>
      <c r="O16" s="212">
        <v>30417.98</v>
      </c>
      <c r="P16" s="147">
        <f t="shared" si="0"/>
        <v>7604.4949999999999</v>
      </c>
    </row>
    <row r="17" spans="1:16" ht="19.5" customHeight="1" x14ac:dyDescent="0.35">
      <c r="A17" s="148"/>
      <c r="B17" s="33"/>
      <c r="C17" s="154"/>
      <c r="N17" s="204" t="s">
        <v>61</v>
      </c>
      <c r="O17" s="212">
        <v>17769.39</v>
      </c>
      <c r="P17" s="147">
        <f t="shared" si="0"/>
        <v>4442.3474999999999</v>
      </c>
    </row>
    <row r="18" spans="1:16" ht="19.5" customHeight="1" x14ac:dyDescent="0.35">
      <c r="A18" s="148"/>
      <c r="B18" s="33"/>
      <c r="C18" s="154"/>
      <c r="N18" s="204" t="s">
        <v>62</v>
      </c>
      <c r="O18" s="212">
        <v>20515</v>
      </c>
      <c r="P18" s="147">
        <f t="shared" si="0"/>
        <v>5128.75</v>
      </c>
    </row>
    <row r="19" spans="1:16" ht="19.5" customHeight="1" x14ac:dyDescent="0.35">
      <c r="A19" s="148"/>
      <c r="B19" s="33"/>
      <c r="C19" s="154"/>
      <c r="N19" s="185" t="s">
        <v>63</v>
      </c>
      <c r="O19" s="212">
        <v>69150</v>
      </c>
      <c r="P19" s="147">
        <f t="shared" si="0"/>
        <v>17287.5</v>
      </c>
    </row>
    <row r="20" spans="1:16" ht="19.5" customHeight="1" x14ac:dyDescent="0.35">
      <c r="A20" s="148"/>
      <c r="B20" s="33"/>
      <c r="C20" s="154"/>
      <c r="N20" s="204" t="s">
        <v>93</v>
      </c>
      <c r="O20" s="212">
        <v>0</v>
      </c>
      <c r="P20" s="147">
        <f t="shared" si="0"/>
        <v>0</v>
      </c>
    </row>
    <row r="21" spans="1:16" ht="19.5" customHeight="1" x14ac:dyDescent="0.35">
      <c r="A21" s="148"/>
      <c r="B21" s="33"/>
      <c r="C21" s="154"/>
      <c r="N21" s="204"/>
      <c r="O21" s="212"/>
      <c r="P21" s="147"/>
    </row>
    <row r="22" spans="1:16" ht="19.5" customHeight="1" x14ac:dyDescent="0.35">
      <c r="A22" s="148"/>
      <c r="B22" s="33"/>
      <c r="C22" s="154"/>
      <c r="N22" s="204"/>
      <c r="O22" s="212"/>
      <c r="P22" s="147"/>
    </row>
    <row r="23" spans="1:16" ht="19.5" customHeight="1" x14ac:dyDescent="0.35">
      <c r="A23" s="148"/>
      <c r="B23" s="33"/>
      <c r="C23" s="154"/>
      <c r="N23" s="204"/>
      <c r="O23" s="212"/>
      <c r="P23" s="147"/>
    </row>
    <row r="24" spans="1:16" ht="19.5" customHeight="1" x14ac:dyDescent="0.35">
      <c r="A24" s="148"/>
      <c r="B24" s="33"/>
      <c r="C24" s="154"/>
      <c r="N24" s="204" t="s">
        <v>64</v>
      </c>
      <c r="O24" s="212">
        <v>36265.715199999999</v>
      </c>
      <c r="P24" s="147">
        <f>+O24</f>
        <v>36265.715199999999</v>
      </c>
    </row>
    <row r="25" spans="1:16" ht="19.5" customHeight="1" x14ac:dyDescent="0.35">
      <c r="A25" s="148"/>
      <c r="B25" s="33"/>
      <c r="C25" s="154"/>
      <c r="N25" s="204" t="s">
        <v>65</v>
      </c>
      <c r="O25" s="147">
        <v>80497.820000000007</v>
      </c>
      <c r="P25" s="147">
        <f>+O25</f>
        <v>80497.820000000007</v>
      </c>
    </row>
    <row r="26" spans="1:16" ht="19.5" customHeight="1" x14ac:dyDescent="0.35">
      <c r="A26" s="148"/>
      <c r="B26" s="33"/>
      <c r="C26" s="154"/>
      <c r="N26" s="204" t="s">
        <v>66</v>
      </c>
      <c r="O26" s="147">
        <v>57908.43</v>
      </c>
      <c r="P26" s="147">
        <f>+O26</f>
        <v>57908.43</v>
      </c>
    </row>
    <row r="27" spans="1:16" ht="19.5" customHeight="1" x14ac:dyDescent="0.35">
      <c r="A27" s="148"/>
      <c r="B27" s="33"/>
      <c r="C27" s="154"/>
      <c r="N27" s="204" t="s">
        <v>67</v>
      </c>
      <c r="O27" s="147">
        <v>153972.74</v>
      </c>
      <c r="P27" s="147">
        <f>+O27</f>
        <v>153972.74</v>
      </c>
    </row>
    <row r="28" spans="1:16" ht="19.5" customHeight="1" x14ac:dyDescent="0.35">
      <c r="A28" s="148"/>
      <c r="B28" s="33"/>
      <c r="C28" s="154"/>
      <c r="O28" s="131"/>
    </row>
    <row r="29" spans="1:16" ht="19.5" customHeight="1" x14ac:dyDescent="0.35">
      <c r="A29" s="148"/>
      <c r="B29" s="33"/>
      <c r="C29" s="154"/>
      <c r="N29" s="29" t="s">
        <v>47</v>
      </c>
      <c r="P29" s="131">
        <f>SUM(P4:P19)</f>
        <v>209886.3</v>
      </c>
    </row>
    <row r="30" spans="1:16" ht="19.5" customHeight="1" x14ac:dyDescent="0.35">
      <c r="A30" s="148"/>
      <c r="B30" s="33"/>
      <c r="C30" s="154"/>
      <c r="N30" s="29" t="s">
        <v>171</v>
      </c>
      <c r="O30" s="131">
        <f>+' EXPENSES'!D122</f>
        <v>1168189.9051999999</v>
      </c>
      <c r="P30" s="131">
        <f>SUM(P24:P27)</f>
        <v>328644.70519999997</v>
      </c>
    </row>
    <row r="31" spans="1:16" ht="19.5" customHeight="1" x14ac:dyDescent="0.35">
      <c r="A31" s="148"/>
      <c r="B31" s="33"/>
      <c r="C31" s="154"/>
      <c r="O31" s="131">
        <f>+O28-O30</f>
        <v>-1168189.9051999999</v>
      </c>
    </row>
    <row r="32" spans="1:16" ht="19.5" customHeight="1" x14ac:dyDescent="0.35">
      <c r="A32" s="148"/>
      <c r="B32" s="33"/>
      <c r="C32" s="154"/>
    </row>
    <row r="33" spans="1:3" ht="19.5" customHeight="1" x14ac:dyDescent="0.35">
      <c r="A33" s="148"/>
      <c r="B33" s="33"/>
      <c r="C33" s="154"/>
    </row>
    <row r="34" spans="1:3" ht="19.5" customHeight="1" x14ac:dyDescent="0.35">
      <c r="A34" s="148"/>
      <c r="B34" s="33"/>
      <c r="C34" s="154"/>
    </row>
    <row r="35" spans="1:3" ht="19.5" customHeight="1" x14ac:dyDescent="0.35">
      <c r="A35" s="148"/>
      <c r="B35" s="33"/>
      <c r="C35" s="154"/>
    </row>
    <row r="36" spans="1:3" ht="19.5" customHeight="1" x14ac:dyDescent="0.35">
      <c r="A36" s="148"/>
      <c r="B36" s="33"/>
      <c r="C36" s="154"/>
    </row>
    <row r="37" spans="1:3" ht="19.5" customHeight="1" x14ac:dyDescent="0.35">
      <c r="A37" s="148"/>
      <c r="B37" s="33"/>
      <c r="C37" s="154"/>
    </row>
    <row r="38" spans="1:3" ht="19.5" customHeight="1" x14ac:dyDescent="0.35">
      <c r="A38" s="148"/>
      <c r="B38" s="33"/>
      <c r="C38" s="154"/>
    </row>
    <row r="39" spans="1:3" ht="19.5" customHeight="1" x14ac:dyDescent="0.35">
      <c r="A39" s="148"/>
      <c r="B39" s="33"/>
      <c r="C39" s="154"/>
    </row>
    <row r="40" spans="1:3" ht="19.5" customHeight="1" x14ac:dyDescent="0.35">
      <c r="A40" s="148"/>
      <c r="B40" s="33"/>
      <c r="C40" s="154"/>
    </row>
    <row r="41" spans="1:3" ht="19.5" customHeight="1" x14ac:dyDescent="0.35">
      <c r="A41" s="148"/>
      <c r="B41" s="33"/>
      <c r="C41" s="154"/>
    </row>
    <row r="42" spans="1:3" ht="19.5" customHeight="1" x14ac:dyDescent="0.35">
      <c r="A42" s="148"/>
      <c r="B42" s="33"/>
      <c r="C42" s="154"/>
    </row>
    <row r="43" spans="1:3" ht="19.5" customHeight="1" x14ac:dyDescent="0.35">
      <c r="A43" s="148"/>
      <c r="B43" s="33"/>
      <c r="C43" s="154"/>
    </row>
    <row r="44" spans="1:3" ht="15.75" customHeight="1" x14ac:dyDescent="0.35">
      <c r="A44" s="148"/>
      <c r="B44" s="33"/>
      <c r="C44" s="154"/>
    </row>
    <row r="45" spans="1:3" ht="15.75" customHeight="1" x14ac:dyDescent="0.35">
      <c r="A45" s="148"/>
      <c r="B45" s="33"/>
      <c r="C45" s="154"/>
    </row>
    <row r="46" spans="1:3" ht="15.75" customHeight="1" x14ac:dyDescent="0.35">
      <c r="A46" s="148"/>
      <c r="B46" s="33"/>
      <c r="C46" s="154"/>
    </row>
    <row r="47" spans="1:3" ht="15.75" customHeight="1" x14ac:dyDescent="0.35">
      <c r="A47" s="148"/>
      <c r="B47" s="33"/>
      <c r="C47" s="154"/>
    </row>
    <row r="48" spans="1:3" ht="15.75" customHeight="1" x14ac:dyDescent="0.35">
      <c r="A48" s="148"/>
      <c r="B48" s="33"/>
      <c r="C48" s="154"/>
    </row>
    <row r="49" spans="1:3" ht="15.75" customHeight="1" x14ac:dyDescent="0.35">
      <c r="A49" s="148"/>
      <c r="B49" s="33"/>
      <c r="C49" s="154"/>
    </row>
    <row r="50" spans="1:3" ht="15.75" customHeight="1" x14ac:dyDescent="0.35">
      <c r="A50" s="148"/>
      <c r="B50" s="33"/>
      <c r="C50" s="154"/>
    </row>
    <row r="51" spans="1:3" ht="15.75" customHeight="1" x14ac:dyDescent="0.35">
      <c r="A51" s="148"/>
      <c r="B51" s="33"/>
      <c r="C51" s="154"/>
    </row>
    <row r="52" spans="1:3" ht="15.75" customHeight="1" x14ac:dyDescent="0.35">
      <c r="A52" s="148"/>
      <c r="B52" s="33"/>
      <c r="C52" s="154"/>
    </row>
    <row r="53" spans="1:3" ht="15.75" customHeight="1" x14ac:dyDescent="0.35">
      <c r="A53" s="148"/>
      <c r="B53" s="33"/>
      <c r="C53" s="154"/>
    </row>
    <row r="54" spans="1:3" ht="15.75" customHeight="1" x14ac:dyDescent="0.35">
      <c r="A54" s="148"/>
      <c r="B54" s="33"/>
      <c r="C54" s="154"/>
    </row>
    <row r="55" spans="1:3" ht="15.75" customHeight="1" x14ac:dyDescent="0.35">
      <c r="A55" s="148"/>
      <c r="B55" s="33"/>
      <c r="C55" s="154"/>
    </row>
    <row r="56" spans="1:3" ht="15.75" customHeight="1" x14ac:dyDescent="0.35">
      <c r="A56" s="148"/>
      <c r="B56" s="33"/>
      <c r="C56" s="154"/>
    </row>
    <row r="57" spans="1:3" ht="15.75" customHeight="1" x14ac:dyDescent="0.35">
      <c r="A57" s="148"/>
      <c r="B57" s="33"/>
      <c r="C57" s="154"/>
    </row>
    <row r="58" spans="1:3" ht="15.75" customHeight="1" x14ac:dyDescent="0.35">
      <c r="A58" s="148"/>
      <c r="B58" s="33"/>
      <c r="C58" s="154"/>
    </row>
    <row r="59" spans="1:3" ht="15.75" customHeight="1" x14ac:dyDescent="0.35">
      <c r="A59" s="148"/>
      <c r="B59" s="33"/>
      <c r="C59" s="154"/>
    </row>
    <row r="60" spans="1:3" ht="15.75" customHeight="1" x14ac:dyDescent="0.35">
      <c r="A60" s="148"/>
      <c r="B60" s="33"/>
      <c r="C60" s="154"/>
    </row>
    <row r="61" spans="1:3" ht="15.75" customHeight="1" x14ac:dyDescent="0.35">
      <c r="A61" s="148"/>
      <c r="B61" s="33"/>
      <c r="C61" s="154"/>
    </row>
    <row r="62" spans="1:3" ht="15.75" customHeight="1" x14ac:dyDescent="0.35">
      <c r="A62" s="148"/>
      <c r="B62" s="33"/>
      <c r="C62" s="154"/>
    </row>
    <row r="63" spans="1:3" ht="15.75" customHeight="1" x14ac:dyDescent="0.35">
      <c r="A63" s="148"/>
      <c r="B63" s="33"/>
      <c r="C63" s="154"/>
    </row>
    <row r="64" spans="1:3" ht="15.75" customHeight="1" x14ac:dyDescent="0.35">
      <c r="A64" s="148"/>
      <c r="B64" s="33"/>
      <c r="C64" s="154"/>
    </row>
    <row r="65" spans="1:3" ht="15.75" customHeight="1" x14ac:dyDescent="0.35">
      <c r="A65" s="148"/>
      <c r="B65" s="33"/>
      <c r="C65" s="154"/>
    </row>
    <row r="66" spans="1:3" ht="15.75" customHeight="1" x14ac:dyDescent="0.35">
      <c r="A66" s="148"/>
      <c r="B66" s="33"/>
      <c r="C66" s="154"/>
    </row>
    <row r="67" spans="1:3" ht="15.75" customHeight="1" x14ac:dyDescent="0.35">
      <c r="A67" s="148"/>
      <c r="B67" s="33"/>
      <c r="C67" s="154"/>
    </row>
    <row r="68" spans="1:3" ht="15.75" customHeight="1" x14ac:dyDescent="0.35">
      <c r="A68" s="148"/>
      <c r="B68" s="33"/>
      <c r="C68" s="154"/>
    </row>
    <row r="69" spans="1:3" ht="15.75" customHeight="1" x14ac:dyDescent="0.35">
      <c r="A69" s="148"/>
      <c r="B69" s="33"/>
      <c r="C69" s="154"/>
    </row>
    <row r="70" spans="1:3" ht="15.75" customHeight="1" x14ac:dyDescent="0.35">
      <c r="A70" s="148"/>
      <c r="B70" s="33"/>
      <c r="C70" s="154"/>
    </row>
    <row r="71" spans="1:3" ht="15.75" customHeight="1" x14ac:dyDescent="0.35">
      <c r="A71" s="148"/>
      <c r="B71" s="33"/>
      <c r="C71" s="154"/>
    </row>
    <row r="72" spans="1:3" ht="15.75" customHeight="1" x14ac:dyDescent="0.35">
      <c r="A72" s="148"/>
      <c r="B72" s="33"/>
      <c r="C72" s="154"/>
    </row>
    <row r="73" spans="1:3" ht="15.75" customHeight="1" x14ac:dyDescent="0.35">
      <c r="A73" s="148"/>
      <c r="B73" s="33"/>
      <c r="C73" s="154"/>
    </row>
    <row r="74" spans="1:3" ht="15.75" customHeight="1" x14ac:dyDescent="0.35">
      <c r="A74" s="148"/>
      <c r="B74" s="33"/>
      <c r="C74" s="154"/>
    </row>
    <row r="75" spans="1:3" ht="15.75" customHeight="1" x14ac:dyDescent="0.35">
      <c r="A75" s="148"/>
      <c r="B75" s="33"/>
      <c r="C75" s="154"/>
    </row>
    <row r="76" spans="1:3" ht="15.75" customHeight="1" x14ac:dyDescent="0.35">
      <c r="A76" s="148"/>
      <c r="B76" s="33"/>
      <c r="C76" s="154"/>
    </row>
    <row r="77" spans="1:3" ht="15.75" customHeight="1" x14ac:dyDescent="0.35">
      <c r="A77" s="148"/>
      <c r="B77" s="33"/>
      <c r="C77" s="154"/>
    </row>
    <row r="78" spans="1:3" ht="15.75" customHeight="1" x14ac:dyDescent="0.35">
      <c r="A78" s="148"/>
      <c r="B78" s="33"/>
      <c r="C78" s="154"/>
    </row>
    <row r="79" spans="1:3" ht="15.75" customHeight="1" x14ac:dyDescent="0.35">
      <c r="A79" s="148"/>
      <c r="B79" s="33"/>
      <c r="C79" s="154"/>
    </row>
    <row r="80" spans="1:3" ht="15.75" customHeight="1" x14ac:dyDescent="0.35">
      <c r="A80" s="148"/>
      <c r="B80" s="33"/>
      <c r="C80" s="154"/>
    </row>
    <row r="81" spans="1:3" ht="15.75" customHeight="1" x14ac:dyDescent="0.35">
      <c r="A81" s="148"/>
      <c r="B81" s="33"/>
      <c r="C81" s="154"/>
    </row>
    <row r="82" spans="1:3" ht="15.75" customHeight="1" x14ac:dyDescent="0.35">
      <c r="A82" s="148"/>
      <c r="B82" s="33"/>
      <c r="C82" s="154"/>
    </row>
    <row r="83" spans="1:3" ht="15.75" customHeight="1" x14ac:dyDescent="0.35">
      <c r="A83" s="148"/>
      <c r="B83" s="33"/>
      <c r="C83" s="154"/>
    </row>
    <row r="84" spans="1:3" ht="15.75" customHeight="1" x14ac:dyDescent="0.35">
      <c r="A84" s="148"/>
      <c r="B84" s="33"/>
      <c r="C84" s="154"/>
    </row>
    <row r="85" spans="1:3" ht="15.75" customHeight="1" x14ac:dyDescent="0.35">
      <c r="A85" s="148"/>
      <c r="B85" s="33"/>
      <c r="C85" s="154"/>
    </row>
    <row r="86" spans="1:3" ht="15.75" customHeight="1" x14ac:dyDescent="0.35">
      <c r="A86" s="148"/>
      <c r="B86" s="33"/>
      <c r="C86" s="154"/>
    </row>
    <row r="87" spans="1:3" ht="15.75" customHeight="1" x14ac:dyDescent="0.35">
      <c r="A87" s="148"/>
      <c r="B87" s="33"/>
      <c r="C87" s="154"/>
    </row>
    <row r="88" spans="1:3" ht="15.75" customHeight="1" x14ac:dyDescent="0.35">
      <c r="A88" s="148"/>
      <c r="B88" s="33"/>
      <c r="C88" s="154"/>
    </row>
    <row r="89" spans="1:3" ht="15.75" customHeight="1" x14ac:dyDescent="0.35">
      <c r="A89" s="148"/>
      <c r="B89" s="33"/>
      <c r="C89" s="154"/>
    </row>
    <row r="90" spans="1:3" ht="15.75" customHeight="1" x14ac:dyDescent="0.35">
      <c r="A90" s="148"/>
      <c r="B90" s="33"/>
      <c r="C90" s="154"/>
    </row>
    <row r="91" spans="1:3" ht="15.75" customHeight="1" x14ac:dyDescent="0.35">
      <c r="A91" s="148"/>
      <c r="B91" s="33"/>
      <c r="C91" s="154"/>
    </row>
    <row r="92" spans="1:3" ht="15.75" customHeight="1" x14ac:dyDescent="0.35">
      <c r="A92" s="148"/>
      <c r="B92" s="33"/>
      <c r="C92" s="154"/>
    </row>
    <row r="93" spans="1:3" ht="15.75" customHeight="1" x14ac:dyDescent="0.35">
      <c r="A93" s="148"/>
      <c r="B93" s="33"/>
      <c r="C93" s="154"/>
    </row>
    <row r="94" spans="1:3" ht="15.75" customHeight="1" x14ac:dyDescent="0.35">
      <c r="A94" s="148"/>
      <c r="B94" s="33"/>
      <c r="C94" s="154"/>
    </row>
    <row r="95" spans="1:3" ht="15.75" customHeight="1" x14ac:dyDescent="0.35">
      <c r="A95" s="148"/>
      <c r="B95" s="33"/>
      <c r="C95" s="154"/>
    </row>
    <row r="96" spans="1:3" ht="15.75" customHeight="1" x14ac:dyDescent="0.35">
      <c r="A96" s="148"/>
      <c r="B96" s="33"/>
      <c r="C96" s="154"/>
    </row>
    <row r="97" spans="1:3" ht="15.75" customHeight="1" x14ac:dyDescent="0.35">
      <c r="A97" s="148"/>
      <c r="B97" s="33"/>
      <c r="C97" s="154"/>
    </row>
    <row r="98" spans="1:3" ht="15.75" customHeight="1" x14ac:dyDescent="0.35">
      <c r="A98" s="148"/>
      <c r="B98" s="33"/>
      <c r="C98" s="154"/>
    </row>
    <row r="99" spans="1:3" ht="15.75" customHeight="1" x14ac:dyDescent="0.35">
      <c r="A99" s="148"/>
      <c r="B99" s="33"/>
      <c r="C99" s="154"/>
    </row>
    <row r="100" spans="1:3" ht="15.75" customHeight="1" x14ac:dyDescent="0.35">
      <c r="A100" s="148"/>
      <c r="B100" s="33"/>
      <c r="C100" s="154"/>
    </row>
    <row r="101" spans="1:3" ht="15.75" customHeight="1" x14ac:dyDescent="0.35">
      <c r="A101" s="148"/>
      <c r="B101" s="33"/>
      <c r="C101" s="154"/>
    </row>
    <row r="102" spans="1:3" ht="15.75" customHeight="1" x14ac:dyDescent="0.35">
      <c r="A102" s="148"/>
      <c r="B102" s="33"/>
      <c r="C102" s="154"/>
    </row>
    <row r="103" spans="1:3" ht="15.75" customHeight="1" x14ac:dyDescent="0.35">
      <c r="A103" s="148"/>
      <c r="B103" s="33"/>
      <c r="C103" s="154"/>
    </row>
    <row r="104" spans="1:3" ht="15.75" customHeight="1" x14ac:dyDescent="0.35">
      <c r="A104" s="148"/>
      <c r="B104" s="33"/>
      <c r="C104" s="154"/>
    </row>
    <row r="105" spans="1:3" ht="15.75" customHeight="1" x14ac:dyDescent="0.35">
      <c r="A105" s="148"/>
      <c r="B105" s="33"/>
      <c r="C105" s="154"/>
    </row>
    <row r="106" spans="1:3" ht="15.75" customHeight="1" x14ac:dyDescent="0.35">
      <c r="A106" s="148"/>
      <c r="B106" s="33"/>
      <c r="C106" s="154"/>
    </row>
    <row r="107" spans="1:3" ht="15.75" customHeight="1" x14ac:dyDescent="0.35">
      <c r="A107" s="148"/>
      <c r="B107" s="33"/>
      <c r="C107" s="154"/>
    </row>
    <row r="108" spans="1:3" ht="15.75" customHeight="1" x14ac:dyDescent="0.35">
      <c r="A108" s="148"/>
      <c r="B108" s="33"/>
      <c r="C108" s="154"/>
    </row>
    <row r="109" spans="1:3" ht="15.75" customHeight="1" x14ac:dyDescent="0.35">
      <c r="A109" s="148"/>
      <c r="B109" s="33"/>
      <c r="C109" s="154"/>
    </row>
    <row r="110" spans="1:3" ht="15.75" customHeight="1" x14ac:dyDescent="0.35">
      <c r="A110" s="148"/>
      <c r="B110" s="33"/>
      <c r="C110" s="154"/>
    </row>
    <row r="111" spans="1:3" ht="15.75" customHeight="1" x14ac:dyDescent="0.35">
      <c r="A111" s="148"/>
      <c r="B111" s="33"/>
      <c r="C111" s="154"/>
    </row>
    <row r="112" spans="1:3" ht="15.75" customHeight="1" x14ac:dyDescent="0.35">
      <c r="A112" s="148"/>
      <c r="B112" s="33"/>
      <c r="C112" s="154"/>
    </row>
    <row r="113" spans="1:3" ht="15.75" customHeight="1" x14ac:dyDescent="0.35">
      <c r="A113" s="148"/>
      <c r="B113" s="33"/>
      <c r="C113" s="154"/>
    </row>
    <row r="114" spans="1:3" ht="15.75" customHeight="1" x14ac:dyDescent="0.35">
      <c r="A114" s="148"/>
      <c r="B114" s="33"/>
      <c r="C114" s="154"/>
    </row>
    <row r="115" spans="1:3" ht="15.75" customHeight="1" x14ac:dyDescent="0.35">
      <c r="A115" s="148"/>
      <c r="B115" s="33"/>
      <c r="C115" s="154"/>
    </row>
    <row r="116" spans="1:3" ht="15.75" customHeight="1" x14ac:dyDescent="0.35">
      <c r="A116" s="148"/>
      <c r="B116" s="33"/>
      <c r="C116" s="154"/>
    </row>
    <row r="117" spans="1:3" ht="15.75" customHeight="1" x14ac:dyDescent="0.35">
      <c r="A117" s="148"/>
      <c r="B117" s="33"/>
      <c r="C117" s="154"/>
    </row>
    <row r="118" spans="1:3" ht="15.75" customHeight="1" x14ac:dyDescent="0.35">
      <c r="A118" s="148"/>
      <c r="B118" s="33"/>
      <c r="C118" s="154"/>
    </row>
    <row r="119" spans="1:3" ht="15.75" customHeight="1" x14ac:dyDescent="0.35">
      <c r="A119" s="148"/>
      <c r="B119" s="33"/>
      <c r="C119" s="154"/>
    </row>
    <row r="120" spans="1:3" ht="15.75" customHeight="1" x14ac:dyDescent="0.35">
      <c r="A120" s="148"/>
      <c r="B120" s="33"/>
      <c r="C120" s="154"/>
    </row>
    <row r="121" spans="1:3" ht="15.75" customHeight="1" x14ac:dyDescent="0.35">
      <c r="A121" s="148"/>
      <c r="B121" s="33"/>
      <c r="C121" s="154"/>
    </row>
    <row r="122" spans="1:3" ht="15.75" customHeight="1" x14ac:dyDescent="0.35">
      <c r="A122" s="148"/>
      <c r="B122" s="33"/>
      <c r="C122" s="154"/>
    </row>
    <row r="123" spans="1:3" ht="15.75" customHeight="1" x14ac:dyDescent="0.35">
      <c r="A123" s="148"/>
      <c r="B123" s="33"/>
      <c r="C123" s="154"/>
    </row>
    <row r="124" spans="1:3" ht="15.75" customHeight="1" x14ac:dyDescent="0.35">
      <c r="A124" s="148"/>
      <c r="B124" s="33"/>
      <c r="C124" s="154"/>
    </row>
    <row r="125" spans="1:3" ht="15.75" customHeight="1" x14ac:dyDescent="0.35">
      <c r="A125" s="148"/>
      <c r="B125" s="33"/>
      <c r="C125" s="154"/>
    </row>
    <row r="126" spans="1:3" ht="15.75" customHeight="1" x14ac:dyDescent="0.35">
      <c r="A126" s="148"/>
      <c r="B126" s="33"/>
      <c r="C126" s="154"/>
    </row>
    <row r="127" spans="1:3" ht="15.75" customHeight="1" x14ac:dyDescent="0.35">
      <c r="A127" s="148"/>
      <c r="B127" s="33"/>
      <c r="C127" s="154"/>
    </row>
    <row r="128" spans="1:3" ht="15.75" customHeight="1" x14ac:dyDescent="0.35">
      <c r="A128" s="148"/>
      <c r="B128" s="33"/>
      <c r="C128" s="154"/>
    </row>
    <row r="129" spans="1:3" ht="15.75" customHeight="1" x14ac:dyDescent="0.35">
      <c r="A129" s="148"/>
      <c r="B129" s="33"/>
      <c r="C129" s="154"/>
    </row>
    <row r="130" spans="1:3" ht="15.75" customHeight="1" x14ac:dyDescent="0.35">
      <c r="A130" s="148"/>
      <c r="B130" s="33"/>
      <c r="C130" s="154"/>
    </row>
    <row r="131" spans="1:3" ht="15.75" customHeight="1" x14ac:dyDescent="0.35">
      <c r="A131" s="148"/>
      <c r="B131" s="33"/>
      <c r="C131" s="154"/>
    </row>
    <row r="132" spans="1:3" ht="15.75" customHeight="1" x14ac:dyDescent="0.35">
      <c r="A132" s="148"/>
      <c r="B132" s="33"/>
      <c r="C132" s="154"/>
    </row>
    <row r="133" spans="1:3" ht="15.75" customHeight="1" x14ac:dyDescent="0.35">
      <c r="A133" s="148"/>
      <c r="B133" s="33"/>
      <c r="C133" s="154"/>
    </row>
    <row r="134" spans="1:3" ht="15.75" customHeight="1" x14ac:dyDescent="0.35">
      <c r="A134" s="148"/>
      <c r="B134" s="33"/>
      <c r="C134" s="154"/>
    </row>
    <row r="135" spans="1:3" ht="15.75" customHeight="1" x14ac:dyDescent="0.35">
      <c r="A135" s="148"/>
      <c r="B135" s="33"/>
      <c r="C135" s="154"/>
    </row>
    <row r="136" spans="1:3" ht="15.75" customHeight="1" x14ac:dyDescent="0.35">
      <c r="A136" s="148"/>
      <c r="B136" s="33"/>
      <c r="C136" s="154"/>
    </row>
    <row r="137" spans="1:3" ht="15.75" customHeight="1" x14ac:dyDescent="0.35">
      <c r="A137" s="148"/>
      <c r="B137" s="33"/>
      <c r="C137" s="154"/>
    </row>
    <row r="138" spans="1:3" ht="15.75" customHeight="1" x14ac:dyDescent="0.35">
      <c r="A138" s="148"/>
      <c r="B138" s="33"/>
      <c r="C138" s="154"/>
    </row>
    <row r="139" spans="1:3" ht="15.75" customHeight="1" x14ac:dyDescent="0.35">
      <c r="A139" s="148"/>
      <c r="B139" s="33"/>
      <c r="C139" s="154"/>
    </row>
    <row r="140" spans="1:3" ht="15.75" customHeight="1" x14ac:dyDescent="0.35">
      <c r="A140" s="148"/>
      <c r="B140" s="33"/>
      <c r="C140" s="154"/>
    </row>
    <row r="141" spans="1:3" ht="15.75" customHeight="1" x14ac:dyDescent="0.35">
      <c r="A141" s="148"/>
      <c r="B141" s="33"/>
      <c r="C141" s="154"/>
    </row>
    <row r="142" spans="1:3" ht="15.75" customHeight="1" x14ac:dyDescent="0.35">
      <c r="A142" s="148"/>
      <c r="B142" s="33"/>
      <c r="C142" s="154"/>
    </row>
    <row r="143" spans="1:3" ht="15.75" customHeight="1" x14ac:dyDescent="0.35">
      <c r="A143" s="148"/>
      <c r="B143" s="33"/>
      <c r="C143" s="154"/>
    </row>
    <row r="144" spans="1:3" ht="15.75" customHeight="1" x14ac:dyDescent="0.35">
      <c r="A144" s="148"/>
      <c r="B144" s="33"/>
      <c r="C144" s="154"/>
    </row>
    <row r="145" spans="1:3" ht="15.75" customHeight="1" x14ac:dyDescent="0.35">
      <c r="A145" s="148"/>
      <c r="B145" s="33"/>
      <c r="C145" s="154"/>
    </row>
    <row r="146" spans="1:3" ht="15.75" customHeight="1" x14ac:dyDescent="0.35">
      <c r="A146" s="148"/>
      <c r="B146" s="33"/>
      <c r="C146" s="154"/>
    </row>
    <row r="147" spans="1:3" ht="15.75" customHeight="1" x14ac:dyDescent="0.35">
      <c r="A147" s="148"/>
      <c r="B147" s="33"/>
      <c r="C147" s="154"/>
    </row>
    <row r="148" spans="1:3" ht="15.75" customHeight="1" x14ac:dyDescent="0.35">
      <c r="A148" s="148"/>
      <c r="B148" s="33"/>
      <c r="C148" s="154"/>
    </row>
    <row r="149" spans="1:3" ht="15.75" customHeight="1" x14ac:dyDescent="0.35">
      <c r="A149" s="148"/>
      <c r="B149" s="33"/>
      <c r="C149" s="154"/>
    </row>
    <row r="150" spans="1:3" ht="15.75" customHeight="1" x14ac:dyDescent="0.35">
      <c r="A150" s="148"/>
      <c r="B150" s="33"/>
      <c r="C150" s="154"/>
    </row>
    <row r="151" spans="1:3" ht="15.75" customHeight="1" x14ac:dyDescent="0.35">
      <c r="A151" s="148"/>
      <c r="B151" s="33"/>
      <c r="C151" s="154"/>
    </row>
    <row r="152" spans="1:3" ht="15.75" customHeight="1" x14ac:dyDescent="0.35">
      <c r="A152" s="148"/>
      <c r="B152" s="33"/>
      <c r="C152" s="154"/>
    </row>
    <row r="153" spans="1:3" ht="15.75" customHeight="1" x14ac:dyDescent="0.35">
      <c r="A153" s="148"/>
      <c r="B153" s="33"/>
      <c r="C153" s="154"/>
    </row>
    <row r="154" spans="1:3" ht="15.75" customHeight="1" x14ac:dyDescent="0.35">
      <c r="A154" s="148"/>
      <c r="B154" s="33"/>
      <c r="C154" s="154"/>
    </row>
    <row r="155" spans="1:3" ht="15.75" customHeight="1" x14ac:dyDescent="0.35">
      <c r="A155" s="148"/>
      <c r="B155" s="33"/>
      <c r="C155" s="154"/>
    </row>
    <row r="156" spans="1:3" ht="15.75" customHeight="1" x14ac:dyDescent="0.35">
      <c r="A156" s="148"/>
      <c r="B156" s="33"/>
      <c r="C156" s="154"/>
    </row>
    <row r="157" spans="1:3" ht="15.75" customHeight="1" x14ac:dyDescent="0.35">
      <c r="A157" s="148"/>
      <c r="B157" s="33"/>
      <c r="C157" s="154"/>
    </row>
    <row r="158" spans="1:3" ht="15.75" customHeight="1" x14ac:dyDescent="0.35">
      <c r="A158" s="148"/>
      <c r="B158" s="33"/>
      <c r="C158" s="154"/>
    </row>
    <row r="159" spans="1:3" ht="15.75" customHeight="1" x14ac:dyDescent="0.35">
      <c r="A159" s="148"/>
      <c r="B159" s="33"/>
      <c r="C159" s="154"/>
    </row>
    <row r="160" spans="1:3" ht="15.75" customHeight="1" x14ac:dyDescent="0.35">
      <c r="A160" s="148"/>
      <c r="B160" s="33"/>
      <c r="C160" s="154"/>
    </row>
    <row r="161" spans="1:3" ht="15.75" customHeight="1" x14ac:dyDescent="0.35">
      <c r="A161" s="148"/>
      <c r="B161" s="33"/>
      <c r="C161" s="154"/>
    </row>
    <row r="162" spans="1:3" ht="15.75" customHeight="1" x14ac:dyDescent="0.35">
      <c r="A162" s="148"/>
      <c r="B162" s="33"/>
      <c r="C162" s="154"/>
    </row>
    <row r="163" spans="1:3" ht="15.75" customHeight="1" x14ac:dyDescent="0.35">
      <c r="A163" s="148"/>
      <c r="B163" s="33"/>
      <c r="C163" s="154"/>
    </row>
    <row r="164" spans="1:3" ht="15.75" customHeight="1" x14ac:dyDescent="0.35">
      <c r="A164" s="148"/>
      <c r="B164" s="33"/>
      <c r="C164" s="154"/>
    </row>
    <row r="165" spans="1:3" ht="15.75" customHeight="1" x14ac:dyDescent="0.35">
      <c r="A165" s="148"/>
      <c r="B165" s="33"/>
      <c r="C165" s="154"/>
    </row>
    <row r="166" spans="1:3" ht="15.75" customHeight="1" x14ac:dyDescent="0.35">
      <c r="A166" s="148"/>
      <c r="B166" s="33"/>
      <c r="C166" s="154"/>
    </row>
    <row r="167" spans="1:3" ht="15.75" customHeight="1" x14ac:dyDescent="0.35">
      <c r="A167" s="148"/>
      <c r="B167" s="33"/>
      <c r="C167" s="154"/>
    </row>
    <row r="168" spans="1:3" ht="15.75" customHeight="1" x14ac:dyDescent="0.35">
      <c r="A168" s="148"/>
      <c r="B168" s="33"/>
      <c r="C168" s="154"/>
    </row>
    <row r="169" spans="1:3" ht="15.75" customHeight="1" x14ac:dyDescent="0.35">
      <c r="A169" s="148"/>
      <c r="B169" s="33"/>
      <c r="C169" s="154"/>
    </row>
    <row r="170" spans="1:3" ht="15.75" customHeight="1" x14ac:dyDescent="0.35">
      <c r="A170" s="148"/>
      <c r="B170" s="33"/>
      <c r="C170" s="154"/>
    </row>
    <row r="171" spans="1:3" ht="15.75" customHeight="1" x14ac:dyDescent="0.35">
      <c r="A171" s="148"/>
      <c r="B171" s="33"/>
      <c r="C171" s="154"/>
    </row>
    <row r="172" spans="1:3" ht="15.75" customHeight="1" x14ac:dyDescent="0.35">
      <c r="A172" s="148"/>
      <c r="B172" s="33"/>
      <c r="C172" s="154"/>
    </row>
    <row r="173" spans="1:3" ht="15.75" customHeight="1" x14ac:dyDescent="0.35">
      <c r="A173" s="148"/>
      <c r="B173" s="33"/>
      <c r="C173" s="154"/>
    </row>
    <row r="174" spans="1:3" ht="15.75" customHeight="1" x14ac:dyDescent="0.35">
      <c r="A174" s="148"/>
      <c r="B174" s="33"/>
      <c r="C174" s="154"/>
    </row>
    <row r="175" spans="1:3" ht="15.75" customHeight="1" x14ac:dyDescent="0.35">
      <c r="A175" s="148"/>
      <c r="B175" s="33"/>
      <c r="C175" s="154"/>
    </row>
    <row r="176" spans="1:3" ht="15.75" customHeight="1" x14ac:dyDescent="0.35">
      <c r="A176" s="148"/>
      <c r="B176" s="33"/>
      <c r="C176" s="154"/>
    </row>
    <row r="177" spans="1:3" ht="15.75" customHeight="1" x14ac:dyDescent="0.35">
      <c r="A177" s="148"/>
      <c r="B177" s="33"/>
      <c r="C177" s="154"/>
    </row>
    <row r="178" spans="1:3" ht="15.75" customHeight="1" x14ac:dyDescent="0.35">
      <c r="A178" s="148"/>
      <c r="B178" s="33"/>
      <c r="C178" s="154"/>
    </row>
    <row r="179" spans="1:3" ht="15.75" customHeight="1" x14ac:dyDescent="0.35">
      <c r="A179" s="148"/>
      <c r="B179" s="33"/>
      <c r="C179" s="154"/>
    </row>
    <row r="180" spans="1:3" ht="15.75" customHeight="1" x14ac:dyDescent="0.35">
      <c r="A180" s="148"/>
      <c r="B180" s="33"/>
      <c r="C180" s="154"/>
    </row>
    <row r="181" spans="1:3" ht="15.75" customHeight="1" x14ac:dyDescent="0.35">
      <c r="A181" s="148"/>
      <c r="B181" s="33"/>
      <c r="C181" s="154"/>
    </row>
    <row r="182" spans="1:3" ht="15.75" customHeight="1" x14ac:dyDescent="0.35">
      <c r="A182" s="148"/>
      <c r="B182" s="33"/>
      <c r="C182" s="154"/>
    </row>
    <row r="183" spans="1:3" ht="15.75" customHeight="1" x14ac:dyDescent="0.35">
      <c r="A183" s="148"/>
      <c r="B183" s="33"/>
      <c r="C183" s="154"/>
    </row>
    <row r="184" spans="1:3" ht="15.75" customHeight="1" x14ac:dyDescent="0.35">
      <c r="A184" s="148"/>
      <c r="B184" s="33"/>
      <c r="C184" s="154"/>
    </row>
    <row r="185" spans="1:3" ht="15.75" customHeight="1" x14ac:dyDescent="0.35">
      <c r="A185" s="148"/>
      <c r="B185" s="33"/>
      <c r="C185" s="154"/>
    </row>
    <row r="186" spans="1:3" ht="15.75" customHeight="1" x14ac:dyDescent="0.35">
      <c r="A186" s="148"/>
      <c r="B186" s="33"/>
      <c r="C186" s="154"/>
    </row>
    <row r="187" spans="1:3" ht="15.75" customHeight="1" x14ac:dyDescent="0.35">
      <c r="A187" s="148"/>
      <c r="B187" s="33"/>
      <c r="C187" s="154"/>
    </row>
    <row r="188" spans="1:3" ht="15.75" customHeight="1" x14ac:dyDescent="0.35">
      <c r="A188" s="148"/>
      <c r="B188" s="33"/>
      <c r="C188" s="154"/>
    </row>
    <row r="189" spans="1:3" ht="15.75" customHeight="1" x14ac:dyDescent="0.35">
      <c r="A189" s="148"/>
      <c r="B189" s="33"/>
      <c r="C189" s="154"/>
    </row>
    <row r="190" spans="1:3" ht="15.75" customHeight="1" x14ac:dyDescent="0.35">
      <c r="A190" s="148"/>
      <c r="B190" s="33"/>
      <c r="C190" s="154"/>
    </row>
    <row r="191" spans="1:3" ht="15.75" customHeight="1" x14ac:dyDescent="0.35">
      <c r="A191" s="148"/>
      <c r="B191" s="33"/>
      <c r="C191" s="154"/>
    </row>
    <row r="192" spans="1:3" ht="15.75" customHeight="1" x14ac:dyDescent="0.35">
      <c r="A192" s="148"/>
      <c r="B192" s="33"/>
      <c r="C192" s="154"/>
    </row>
    <row r="193" spans="1:3" ht="15.75" customHeight="1" x14ac:dyDescent="0.35">
      <c r="A193" s="148"/>
      <c r="B193" s="33"/>
      <c r="C193" s="154"/>
    </row>
    <row r="194" spans="1:3" ht="15.75" customHeight="1" x14ac:dyDescent="0.35">
      <c r="A194" s="148"/>
      <c r="B194" s="33"/>
      <c r="C194" s="154"/>
    </row>
    <row r="195" spans="1:3" ht="15.75" customHeight="1" x14ac:dyDescent="0.35">
      <c r="A195" s="148"/>
      <c r="B195" s="33"/>
      <c r="C195" s="154"/>
    </row>
    <row r="196" spans="1:3" ht="15.75" customHeight="1" x14ac:dyDescent="0.35">
      <c r="A196" s="148"/>
      <c r="B196" s="33"/>
      <c r="C196" s="154"/>
    </row>
    <row r="197" spans="1:3" ht="15.75" customHeight="1" x14ac:dyDescent="0.35">
      <c r="A197" s="148"/>
      <c r="B197" s="33"/>
      <c r="C197" s="154"/>
    </row>
    <row r="198" spans="1:3" ht="15.75" customHeight="1" x14ac:dyDescent="0.35">
      <c r="A198" s="148"/>
      <c r="B198" s="33"/>
      <c r="C198" s="154"/>
    </row>
    <row r="199" spans="1:3" ht="15.75" customHeight="1" x14ac:dyDescent="0.35">
      <c r="A199" s="148"/>
      <c r="B199" s="33"/>
      <c r="C199" s="154"/>
    </row>
    <row r="200" spans="1:3" ht="15.75" customHeight="1" x14ac:dyDescent="0.35">
      <c r="A200" s="148"/>
      <c r="B200" s="33"/>
      <c r="C200" s="154"/>
    </row>
    <row r="201" spans="1:3" ht="15.75" customHeight="1" x14ac:dyDescent="0.35">
      <c r="A201" s="148"/>
      <c r="B201" s="33"/>
      <c r="C201" s="154"/>
    </row>
    <row r="202" spans="1:3" ht="15.75" customHeight="1" x14ac:dyDescent="0.35">
      <c r="A202" s="148"/>
      <c r="B202" s="33"/>
      <c r="C202" s="154"/>
    </row>
    <row r="203" spans="1:3" ht="15.75" customHeight="1" x14ac:dyDescent="0.35">
      <c r="A203" s="148"/>
      <c r="B203" s="33"/>
      <c r="C203" s="154"/>
    </row>
    <row r="204" spans="1:3" ht="15.75" customHeight="1" x14ac:dyDescent="0.35">
      <c r="A204" s="148"/>
      <c r="B204" s="33"/>
      <c r="C204" s="154"/>
    </row>
    <row r="205" spans="1:3" ht="15.75" customHeight="1" x14ac:dyDescent="0.35">
      <c r="A205" s="148"/>
      <c r="B205" s="33"/>
      <c r="C205" s="154"/>
    </row>
    <row r="206" spans="1:3" ht="15.75" customHeight="1" x14ac:dyDescent="0.35">
      <c r="A206" s="148"/>
      <c r="B206" s="33"/>
      <c r="C206" s="154"/>
    </row>
    <row r="207" spans="1:3" ht="15.75" customHeight="1" x14ac:dyDescent="0.35">
      <c r="A207" s="148"/>
      <c r="B207" s="33"/>
      <c r="C207" s="154"/>
    </row>
    <row r="208" spans="1:3" ht="15.75" customHeight="1" x14ac:dyDescent="0.35">
      <c r="A208" s="148"/>
      <c r="B208" s="33"/>
      <c r="C208" s="154"/>
    </row>
    <row r="209" spans="1:3" ht="15.75" customHeight="1" x14ac:dyDescent="0.35">
      <c r="A209" s="148"/>
      <c r="B209" s="33"/>
      <c r="C209" s="154"/>
    </row>
    <row r="210" spans="1:3" ht="15.75" customHeight="1" x14ac:dyDescent="0.35">
      <c r="A210" s="148"/>
      <c r="B210" s="33"/>
      <c r="C210" s="154"/>
    </row>
    <row r="211" spans="1:3" ht="15.75" customHeight="1" x14ac:dyDescent="0.35">
      <c r="A211" s="148"/>
      <c r="B211" s="33"/>
      <c r="C211" s="154"/>
    </row>
    <row r="212" spans="1:3" ht="15.75" customHeight="1" x14ac:dyDescent="0.35">
      <c r="A212" s="148"/>
      <c r="B212" s="33"/>
      <c r="C212" s="154"/>
    </row>
    <row r="213" spans="1:3" ht="15.75" customHeight="1" x14ac:dyDescent="0.35">
      <c r="A213" s="148"/>
      <c r="B213" s="33"/>
      <c r="C213" s="154"/>
    </row>
    <row r="214" spans="1:3" ht="15.75" customHeight="1" x14ac:dyDescent="0.35">
      <c r="A214" s="148"/>
      <c r="B214" s="33"/>
      <c r="C214" s="154"/>
    </row>
    <row r="215" spans="1:3" ht="15.75" customHeight="1" x14ac:dyDescent="0.35">
      <c r="A215" s="148"/>
      <c r="B215" s="33"/>
      <c r="C215" s="154"/>
    </row>
    <row r="216" spans="1:3" ht="15.75" customHeight="1" x14ac:dyDescent="0.35">
      <c r="A216" s="148"/>
      <c r="B216" s="33"/>
      <c r="C216" s="154"/>
    </row>
    <row r="217" spans="1:3" ht="15.75" customHeight="1" x14ac:dyDescent="0.35">
      <c r="A217" s="148"/>
      <c r="B217" s="33"/>
      <c r="C217" s="154"/>
    </row>
    <row r="218" spans="1:3" ht="15.75" customHeight="1" x14ac:dyDescent="0.35">
      <c r="A218" s="148"/>
      <c r="B218" s="33"/>
      <c r="C218" s="154"/>
    </row>
    <row r="219" spans="1:3" ht="15.75" customHeight="1" x14ac:dyDescent="0.35">
      <c r="A219" s="148"/>
      <c r="B219" s="33"/>
      <c r="C219" s="154"/>
    </row>
    <row r="220" spans="1:3" ht="15.75" customHeight="1" x14ac:dyDescent="0.35">
      <c r="A220" s="148"/>
      <c r="B220" s="33"/>
      <c r="C220" s="154"/>
    </row>
    <row r="221" spans="1:3" ht="15.75" customHeight="1" x14ac:dyDescent="0.35">
      <c r="A221" s="148"/>
      <c r="B221" s="33"/>
      <c r="C221" s="154"/>
    </row>
    <row r="222" spans="1:3" ht="15.75" customHeight="1" x14ac:dyDescent="0.35">
      <c r="A222" s="148"/>
      <c r="B222" s="33"/>
      <c r="C222" s="154"/>
    </row>
    <row r="223" spans="1:3" ht="15.75" customHeight="1" x14ac:dyDescent="0.35">
      <c r="A223" s="148"/>
      <c r="B223" s="33"/>
      <c r="C223" s="154"/>
    </row>
    <row r="224" spans="1:3" ht="15.75" customHeight="1" x14ac:dyDescent="0.35">
      <c r="A224" s="148"/>
      <c r="B224" s="33"/>
      <c r="C224" s="154"/>
    </row>
    <row r="225" spans="1:3" ht="15.75" customHeight="1" x14ac:dyDescent="0.35">
      <c r="A225" s="148"/>
      <c r="B225" s="33"/>
      <c r="C225" s="154"/>
    </row>
    <row r="226" spans="1:3" ht="15.75" customHeight="1" x14ac:dyDescent="0.35">
      <c r="A226" s="148"/>
      <c r="B226" s="33"/>
      <c r="C226" s="154"/>
    </row>
    <row r="227" spans="1:3" ht="15.75" customHeight="1" x14ac:dyDescent="0.35">
      <c r="A227" s="148"/>
      <c r="B227" s="33"/>
      <c r="C227" s="154"/>
    </row>
    <row r="228" spans="1:3" ht="15.75" customHeight="1" x14ac:dyDescent="0.35">
      <c r="A228" s="148"/>
      <c r="B228" s="33"/>
      <c r="C228" s="154"/>
    </row>
    <row r="229" spans="1:3" ht="15.75" customHeight="1" x14ac:dyDescent="0.35">
      <c r="A229" s="148"/>
      <c r="B229" s="33"/>
      <c r="C229" s="154"/>
    </row>
    <row r="230" spans="1:3" ht="15.75" customHeight="1" x14ac:dyDescent="0.35">
      <c r="A230" s="148"/>
      <c r="B230" s="33"/>
      <c r="C230" s="154"/>
    </row>
    <row r="231" spans="1:3" ht="15.75" customHeight="1" x14ac:dyDescent="0.35">
      <c r="A231" s="148"/>
      <c r="B231" s="33"/>
      <c r="C231" s="154"/>
    </row>
    <row r="232" spans="1:3" ht="15.75" customHeight="1" x14ac:dyDescent="0.35">
      <c r="A232" s="148"/>
      <c r="B232" s="33"/>
      <c r="C232" s="154"/>
    </row>
    <row r="233" spans="1:3" ht="15.75" customHeight="1" x14ac:dyDescent="0.35">
      <c r="A233" s="148"/>
      <c r="B233" s="33"/>
      <c r="C233" s="154"/>
    </row>
    <row r="234" spans="1:3" ht="15.75" customHeight="1" x14ac:dyDescent="0.35">
      <c r="A234" s="148"/>
      <c r="B234" s="33"/>
      <c r="C234" s="154"/>
    </row>
    <row r="235" spans="1:3" ht="15.75" customHeight="1" x14ac:dyDescent="0.35">
      <c r="A235" s="148"/>
      <c r="B235" s="33"/>
      <c r="C235" s="154"/>
    </row>
    <row r="236" spans="1:3" ht="15.75" customHeight="1" x14ac:dyDescent="0.35">
      <c r="A236" s="148"/>
      <c r="B236" s="33"/>
      <c r="C236" s="154"/>
    </row>
    <row r="237" spans="1:3" ht="15.75" customHeight="1" x14ac:dyDescent="0.35">
      <c r="A237" s="148"/>
      <c r="B237" s="33"/>
      <c r="C237" s="154"/>
    </row>
    <row r="238" spans="1:3" ht="15.75" customHeight="1" x14ac:dyDescent="0.35">
      <c r="A238" s="148"/>
      <c r="B238" s="33"/>
      <c r="C238" s="154"/>
    </row>
    <row r="239" spans="1:3" ht="15.75" customHeight="1" x14ac:dyDescent="0.35">
      <c r="A239" s="148"/>
      <c r="B239" s="33"/>
      <c r="C239" s="154"/>
    </row>
    <row r="240" spans="1:3" ht="15.75" customHeight="1" x14ac:dyDescent="0.35">
      <c r="A240" s="148"/>
      <c r="B240" s="33"/>
      <c r="C240" s="154"/>
    </row>
    <row r="241" spans="1:3" ht="15.75" customHeight="1" x14ac:dyDescent="0.35">
      <c r="A241" s="148"/>
      <c r="B241" s="33"/>
      <c r="C241" s="154"/>
    </row>
    <row r="242" spans="1:3" ht="15.75" customHeight="1" x14ac:dyDescent="0.35">
      <c r="A242" s="148"/>
      <c r="B242" s="33"/>
      <c r="C242" s="154"/>
    </row>
    <row r="243" spans="1:3" ht="15.75" customHeight="1" x14ac:dyDescent="0.35">
      <c r="A243" s="148"/>
      <c r="B243" s="33"/>
      <c r="C243" s="154"/>
    </row>
    <row r="244" spans="1:3" ht="15.75" customHeight="1" x14ac:dyDescent="0.35">
      <c r="A244" s="148"/>
      <c r="B244" s="33"/>
      <c r="C244" s="154"/>
    </row>
    <row r="245" spans="1:3" ht="15.75" customHeight="1" x14ac:dyDescent="0.35">
      <c r="A245" s="148"/>
      <c r="B245" s="33"/>
      <c r="C245" s="154"/>
    </row>
    <row r="246" spans="1:3" ht="15.75" customHeight="1" x14ac:dyDescent="0.35">
      <c r="A246" s="148"/>
      <c r="B246" s="33"/>
      <c r="C246" s="154"/>
    </row>
    <row r="247" spans="1:3" ht="15.75" customHeight="1" x14ac:dyDescent="0.35">
      <c r="A247" s="148"/>
      <c r="B247" s="33"/>
      <c r="C247" s="154"/>
    </row>
    <row r="248" spans="1:3" ht="15.75" customHeight="1" x14ac:dyDescent="0.35">
      <c r="A248" s="148"/>
      <c r="B248" s="33"/>
      <c r="C248" s="154"/>
    </row>
    <row r="249" spans="1:3" ht="15.75" customHeight="1" x14ac:dyDescent="0.35">
      <c r="A249" s="148"/>
      <c r="B249" s="33"/>
      <c r="C249" s="154"/>
    </row>
    <row r="250" spans="1:3" ht="15.75" customHeight="1" x14ac:dyDescent="0.35">
      <c r="A250" s="148"/>
      <c r="B250" s="33"/>
      <c r="C250" s="154"/>
    </row>
    <row r="251" spans="1:3" ht="15.75" customHeight="1" x14ac:dyDescent="0.35">
      <c r="A251" s="148"/>
      <c r="B251" s="33"/>
      <c r="C251" s="154"/>
    </row>
    <row r="252" spans="1:3" ht="15.75" customHeight="1" x14ac:dyDescent="0.35">
      <c r="A252" s="148"/>
      <c r="B252" s="33"/>
      <c r="C252" s="154"/>
    </row>
    <row r="253" spans="1:3" ht="15.75" customHeight="1" x14ac:dyDescent="0.35">
      <c r="A253" s="148"/>
      <c r="B253" s="33"/>
      <c r="C253" s="154"/>
    </row>
    <row r="254" spans="1:3" ht="15.75" customHeight="1" x14ac:dyDescent="0.35">
      <c r="A254" s="148"/>
      <c r="B254" s="33"/>
      <c r="C254" s="154"/>
    </row>
    <row r="255" spans="1:3" ht="15.75" customHeight="1" x14ac:dyDescent="0.35">
      <c r="A255" s="148"/>
      <c r="B255" s="33"/>
      <c r="C255" s="154"/>
    </row>
    <row r="256" spans="1:3" ht="15.75" customHeight="1" x14ac:dyDescent="0.35">
      <c r="A256" s="148"/>
      <c r="B256" s="33"/>
      <c r="C256" s="154"/>
    </row>
    <row r="257" spans="1:3" ht="15.75" customHeight="1" x14ac:dyDescent="0.35">
      <c r="A257" s="148"/>
      <c r="B257" s="33"/>
      <c r="C257" s="154"/>
    </row>
    <row r="258" spans="1:3" ht="15.75" customHeight="1" x14ac:dyDescent="0.35">
      <c r="A258" s="148"/>
      <c r="B258" s="33"/>
      <c r="C258" s="154"/>
    </row>
    <row r="259" spans="1:3" ht="15.75" customHeight="1" x14ac:dyDescent="0.35">
      <c r="A259" s="148"/>
      <c r="B259" s="33"/>
      <c r="C259" s="154"/>
    </row>
    <row r="260" spans="1:3" ht="15.75" customHeight="1" x14ac:dyDescent="0.35">
      <c r="A260" s="148"/>
      <c r="B260" s="33"/>
      <c r="C260" s="154"/>
    </row>
    <row r="261" spans="1:3" ht="15.75" customHeight="1" x14ac:dyDescent="0.35">
      <c r="A261" s="148"/>
      <c r="B261" s="33"/>
      <c r="C261" s="154"/>
    </row>
    <row r="262" spans="1:3" ht="15.75" customHeight="1" x14ac:dyDescent="0.35">
      <c r="A262" s="148"/>
      <c r="B262" s="33"/>
      <c r="C262" s="154"/>
    </row>
    <row r="263" spans="1:3" ht="15.75" customHeight="1" x14ac:dyDescent="0.35">
      <c r="A263" s="148"/>
      <c r="B263" s="33"/>
      <c r="C263" s="154"/>
    </row>
    <row r="264" spans="1:3" ht="15.75" customHeight="1" x14ac:dyDescent="0.35">
      <c r="A264" s="148"/>
      <c r="B264" s="33"/>
      <c r="C264" s="154"/>
    </row>
    <row r="265" spans="1:3" ht="15.75" customHeight="1" x14ac:dyDescent="0.35">
      <c r="A265" s="148"/>
      <c r="B265" s="33"/>
      <c r="C265" s="154"/>
    </row>
    <row r="266" spans="1:3" ht="15.75" customHeight="1" x14ac:dyDescent="0.35">
      <c r="A266" s="148"/>
      <c r="B266" s="33"/>
      <c r="C266" s="154"/>
    </row>
    <row r="267" spans="1:3" ht="15.75" customHeight="1" x14ac:dyDescent="0.35">
      <c r="A267" s="148"/>
      <c r="B267" s="33"/>
      <c r="C267" s="154"/>
    </row>
    <row r="268" spans="1:3" ht="15.75" customHeight="1" x14ac:dyDescent="0.35">
      <c r="A268" s="148"/>
      <c r="B268" s="33"/>
      <c r="C268" s="154"/>
    </row>
    <row r="269" spans="1:3" ht="15.75" customHeight="1" x14ac:dyDescent="0.35">
      <c r="A269" s="148"/>
      <c r="B269" s="33"/>
      <c r="C269" s="154"/>
    </row>
    <row r="270" spans="1:3" ht="15.75" customHeight="1" x14ac:dyDescent="0.35">
      <c r="A270" s="148"/>
      <c r="B270" s="33"/>
      <c r="C270" s="154"/>
    </row>
    <row r="271" spans="1:3" ht="15.75" customHeight="1" x14ac:dyDescent="0.35">
      <c r="A271" s="148"/>
      <c r="B271" s="33"/>
      <c r="C271" s="154"/>
    </row>
    <row r="272" spans="1:3" ht="15.75" customHeight="1" x14ac:dyDescent="0.35">
      <c r="A272" s="148"/>
      <c r="B272" s="33"/>
      <c r="C272" s="154"/>
    </row>
    <row r="273" spans="1:3" ht="15.75" customHeight="1" x14ac:dyDescent="0.35">
      <c r="A273" s="148"/>
      <c r="B273" s="33"/>
      <c r="C273" s="154"/>
    </row>
    <row r="274" spans="1:3" ht="15.75" customHeight="1" x14ac:dyDescent="0.35">
      <c r="A274" s="148"/>
      <c r="B274" s="33"/>
      <c r="C274" s="154"/>
    </row>
    <row r="275" spans="1:3" ht="15.75" customHeight="1" x14ac:dyDescent="0.35">
      <c r="A275" s="148"/>
      <c r="B275" s="33"/>
      <c r="C275" s="154"/>
    </row>
    <row r="276" spans="1:3" ht="15.75" customHeight="1" x14ac:dyDescent="0.35">
      <c r="A276" s="148"/>
      <c r="B276" s="33"/>
      <c r="C276" s="154"/>
    </row>
    <row r="277" spans="1:3" ht="15.75" customHeight="1" x14ac:dyDescent="0.35">
      <c r="A277" s="148"/>
      <c r="B277" s="33"/>
      <c r="C277" s="154"/>
    </row>
    <row r="278" spans="1:3" ht="15.75" customHeight="1" x14ac:dyDescent="0.35">
      <c r="A278" s="148"/>
      <c r="B278" s="33"/>
      <c r="C278" s="154"/>
    </row>
    <row r="279" spans="1:3" ht="15.75" customHeight="1" x14ac:dyDescent="0.35">
      <c r="A279" s="148"/>
      <c r="B279" s="33"/>
      <c r="C279" s="154"/>
    </row>
    <row r="280" spans="1:3" ht="15.75" customHeight="1" x14ac:dyDescent="0.35">
      <c r="A280" s="148"/>
      <c r="B280" s="33"/>
      <c r="C280" s="154"/>
    </row>
    <row r="281" spans="1:3" ht="15.75" customHeight="1" x14ac:dyDescent="0.35">
      <c r="A281" s="148"/>
      <c r="B281" s="33"/>
      <c r="C281" s="154"/>
    </row>
    <row r="282" spans="1:3" ht="15.75" customHeight="1" x14ac:dyDescent="0.35">
      <c r="A282" s="148"/>
      <c r="B282" s="33"/>
      <c r="C282" s="154"/>
    </row>
    <row r="283" spans="1:3" ht="15.75" customHeight="1" x14ac:dyDescent="0.35">
      <c r="A283" s="148"/>
      <c r="B283" s="33"/>
      <c r="C283" s="154"/>
    </row>
    <row r="284" spans="1:3" ht="15.75" customHeight="1" x14ac:dyDescent="0.35">
      <c r="A284" s="148"/>
      <c r="B284" s="33"/>
      <c r="C284" s="154"/>
    </row>
    <row r="285" spans="1:3" ht="15.75" customHeight="1" x14ac:dyDescent="0.35">
      <c r="A285" s="148"/>
      <c r="B285" s="33"/>
      <c r="C285" s="154"/>
    </row>
    <row r="286" spans="1:3" ht="15.75" customHeight="1" x14ac:dyDescent="0.35">
      <c r="A286" s="148"/>
      <c r="B286" s="33"/>
      <c r="C286" s="154"/>
    </row>
    <row r="287" spans="1:3" ht="15.75" customHeight="1" x14ac:dyDescent="0.35">
      <c r="A287" s="148"/>
      <c r="B287" s="33"/>
      <c r="C287" s="154"/>
    </row>
    <row r="288" spans="1:3" ht="15.75" customHeight="1" x14ac:dyDescent="0.35">
      <c r="A288" s="148"/>
      <c r="B288" s="33"/>
      <c r="C288" s="154"/>
    </row>
    <row r="289" spans="1:3" ht="15.75" customHeight="1" x14ac:dyDescent="0.35">
      <c r="A289" s="148"/>
      <c r="B289" s="33"/>
      <c r="C289" s="154"/>
    </row>
    <row r="290" spans="1:3" ht="15.75" customHeight="1" x14ac:dyDescent="0.35">
      <c r="A290" s="148"/>
      <c r="B290" s="33"/>
      <c r="C290" s="154"/>
    </row>
    <row r="291" spans="1:3" ht="15.75" customHeight="1" x14ac:dyDescent="0.35">
      <c r="A291" s="148"/>
      <c r="B291" s="33"/>
      <c r="C291" s="154"/>
    </row>
    <row r="292" spans="1:3" ht="15.75" customHeight="1" x14ac:dyDescent="0.35">
      <c r="A292" s="148"/>
      <c r="B292" s="33"/>
      <c r="C292" s="154"/>
    </row>
    <row r="293" spans="1:3" ht="15.75" customHeight="1" x14ac:dyDescent="0.35">
      <c r="A293" s="148"/>
      <c r="B293" s="33"/>
      <c r="C293" s="154"/>
    </row>
    <row r="294" spans="1:3" ht="15.75" customHeight="1" x14ac:dyDescent="0.35">
      <c r="A294" s="148"/>
      <c r="B294" s="33"/>
      <c r="C294" s="154"/>
    </row>
    <row r="295" spans="1:3" ht="15.75" customHeight="1" x14ac:dyDescent="0.35">
      <c r="A295" s="148"/>
      <c r="B295" s="33"/>
      <c r="C295" s="154"/>
    </row>
    <row r="296" spans="1:3" ht="15.75" customHeight="1" x14ac:dyDescent="0.35">
      <c r="A296" s="148"/>
      <c r="B296" s="33"/>
      <c r="C296" s="154"/>
    </row>
    <row r="297" spans="1:3" ht="15.75" customHeight="1" x14ac:dyDescent="0.35">
      <c r="A297" s="148"/>
      <c r="B297" s="33"/>
      <c r="C297" s="154"/>
    </row>
    <row r="298" spans="1:3" ht="15.75" customHeight="1" x14ac:dyDescent="0.35">
      <c r="A298" s="148"/>
      <c r="B298" s="33"/>
      <c r="C298" s="154"/>
    </row>
    <row r="299" spans="1:3" ht="15.75" customHeight="1" x14ac:dyDescent="0.35">
      <c r="A299" s="148"/>
      <c r="B299" s="33"/>
      <c r="C299" s="154"/>
    </row>
    <row r="300" spans="1:3" ht="15.75" customHeight="1" x14ac:dyDescent="0.35">
      <c r="A300" s="148"/>
      <c r="B300" s="33"/>
      <c r="C300" s="154"/>
    </row>
    <row r="301" spans="1:3" ht="15.75" customHeight="1" x14ac:dyDescent="0.35">
      <c r="A301" s="148"/>
      <c r="B301" s="33"/>
      <c r="C301" s="154"/>
    </row>
    <row r="302" spans="1:3" ht="15.75" customHeight="1" x14ac:dyDescent="0.35">
      <c r="A302" s="148"/>
      <c r="B302" s="33"/>
      <c r="C302" s="154"/>
    </row>
    <row r="303" spans="1:3" ht="15.75" customHeight="1" x14ac:dyDescent="0.35">
      <c r="A303" s="148"/>
      <c r="B303" s="33"/>
      <c r="C303" s="154"/>
    </row>
    <row r="304" spans="1:3" ht="15.75" customHeight="1" x14ac:dyDescent="0.35">
      <c r="A304" s="148"/>
      <c r="B304" s="33"/>
      <c r="C304" s="154"/>
    </row>
    <row r="305" spans="1:3" ht="15.75" customHeight="1" x14ac:dyDescent="0.35">
      <c r="A305" s="148"/>
      <c r="B305" s="33"/>
      <c r="C305" s="154"/>
    </row>
    <row r="306" spans="1:3" ht="15.75" customHeight="1" x14ac:dyDescent="0.35">
      <c r="A306" s="148"/>
      <c r="B306" s="33"/>
      <c r="C306" s="154"/>
    </row>
    <row r="307" spans="1:3" ht="15.75" customHeight="1" x14ac:dyDescent="0.35">
      <c r="A307" s="148"/>
      <c r="B307" s="33"/>
      <c r="C307" s="154"/>
    </row>
    <row r="308" spans="1:3" ht="15.75" customHeight="1" x14ac:dyDescent="0.35">
      <c r="A308" s="148"/>
      <c r="B308" s="33"/>
      <c r="C308" s="154"/>
    </row>
    <row r="309" spans="1:3" ht="15.75" customHeight="1" x14ac:dyDescent="0.35">
      <c r="A309" s="148"/>
      <c r="B309" s="33"/>
      <c r="C309" s="154"/>
    </row>
    <row r="310" spans="1:3" ht="15.75" customHeight="1" x14ac:dyDescent="0.35">
      <c r="A310" s="148"/>
      <c r="B310" s="33"/>
      <c r="C310" s="154"/>
    </row>
    <row r="311" spans="1:3" ht="15.75" customHeight="1" x14ac:dyDescent="0.35">
      <c r="A311" s="148"/>
      <c r="B311" s="33"/>
      <c r="C311" s="154"/>
    </row>
    <row r="312" spans="1:3" ht="15.75" customHeight="1" x14ac:dyDescent="0.35">
      <c r="A312" s="148"/>
      <c r="B312" s="33"/>
      <c r="C312" s="154"/>
    </row>
    <row r="313" spans="1:3" ht="15.75" customHeight="1" x14ac:dyDescent="0.35">
      <c r="A313" s="148"/>
      <c r="B313" s="33"/>
      <c r="C313" s="154"/>
    </row>
    <row r="314" spans="1:3" ht="15.75" customHeight="1" x14ac:dyDescent="0.35">
      <c r="A314" s="148"/>
      <c r="B314" s="33"/>
      <c r="C314" s="154"/>
    </row>
    <row r="315" spans="1:3" ht="15.75" customHeight="1" x14ac:dyDescent="0.35">
      <c r="A315" s="148"/>
      <c r="B315" s="33"/>
      <c r="C315" s="154"/>
    </row>
    <row r="316" spans="1:3" ht="15.75" customHeight="1" x14ac:dyDescent="0.35">
      <c r="A316" s="148"/>
      <c r="B316" s="33"/>
      <c r="C316" s="154"/>
    </row>
    <row r="317" spans="1:3" ht="15.75" customHeight="1" x14ac:dyDescent="0.35">
      <c r="A317" s="148"/>
      <c r="B317" s="33"/>
      <c r="C317" s="154"/>
    </row>
    <row r="318" spans="1:3" ht="15.75" customHeight="1" x14ac:dyDescent="0.35">
      <c r="A318" s="148"/>
      <c r="B318" s="33"/>
      <c r="C318" s="154"/>
    </row>
    <row r="319" spans="1:3" ht="15.75" customHeight="1" x14ac:dyDescent="0.35">
      <c r="A319" s="148"/>
      <c r="B319" s="33"/>
      <c r="C319" s="154"/>
    </row>
    <row r="320" spans="1:3" ht="15.75" customHeight="1" x14ac:dyDescent="0.35">
      <c r="A320" s="148"/>
      <c r="B320" s="33"/>
      <c r="C320" s="154"/>
    </row>
    <row r="321" spans="1:3" ht="15.75" customHeight="1" x14ac:dyDescent="0.35">
      <c r="A321" s="148"/>
      <c r="B321" s="33"/>
      <c r="C321" s="154"/>
    </row>
    <row r="322" spans="1:3" ht="15.75" customHeight="1" x14ac:dyDescent="0.35">
      <c r="A322" s="148"/>
      <c r="B322" s="33"/>
      <c r="C322" s="154"/>
    </row>
    <row r="323" spans="1:3" ht="15.75" customHeight="1" x14ac:dyDescent="0.35">
      <c r="A323" s="148"/>
      <c r="B323" s="33"/>
      <c r="C323" s="154"/>
    </row>
    <row r="324" spans="1:3" ht="15.75" customHeight="1" x14ac:dyDescent="0.35">
      <c r="A324" s="148"/>
      <c r="B324" s="33"/>
      <c r="C324" s="154"/>
    </row>
    <row r="325" spans="1:3" ht="15.75" customHeight="1" x14ac:dyDescent="0.35">
      <c r="A325" s="148"/>
      <c r="B325" s="33"/>
      <c r="C325" s="154"/>
    </row>
    <row r="326" spans="1:3" ht="15.75" customHeight="1" x14ac:dyDescent="0.35">
      <c r="A326" s="148"/>
      <c r="B326" s="33"/>
      <c r="C326" s="154"/>
    </row>
    <row r="327" spans="1:3" ht="15.75" customHeight="1" x14ac:dyDescent="0.35">
      <c r="A327" s="148"/>
      <c r="B327" s="33"/>
      <c r="C327" s="154"/>
    </row>
    <row r="328" spans="1:3" ht="15.75" customHeight="1" x14ac:dyDescent="0.35">
      <c r="A328" s="148"/>
      <c r="B328" s="33"/>
      <c r="C328" s="154"/>
    </row>
    <row r="329" spans="1:3" ht="15.75" customHeight="1" x14ac:dyDescent="0.35">
      <c r="A329" s="148"/>
      <c r="B329" s="33"/>
      <c r="C329" s="154"/>
    </row>
    <row r="330" spans="1:3" ht="15.75" customHeight="1" x14ac:dyDescent="0.35">
      <c r="A330" s="148"/>
      <c r="B330" s="33"/>
      <c r="C330" s="154"/>
    </row>
    <row r="331" spans="1:3" ht="15.75" customHeight="1" x14ac:dyDescent="0.35">
      <c r="A331" s="148"/>
      <c r="B331" s="33"/>
      <c r="C331" s="154"/>
    </row>
    <row r="332" spans="1:3" ht="15.75" customHeight="1" x14ac:dyDescent="0.35">
      <c r="A332" s="148"/>
      <c r="B332" s="33"/>
      <c r="C332" s="154"/>
    </row>
    <row r="333" spans="1:3" ht="15.75" customHeight="1" x14ac:dyDescent="0.35">
      <c r="A333" s="148"/>
      <c r="B333" s="33"/>
      <c r="C333" s="154"/>
    </row>
    <row r="334" spans="1:3" ht="15.75" customHeight="1" x14ac:dyDescent="0.35">
      <c r="A334" s="148"/>
      <c r="B334" s="33"/>
      <c r="C334" s="154"/>
    </row>
    <row r="335" spans="1:3" ht="15.75" customHeight="1" x14ac:dyDescent="0.35">
      <c r="A335" s="148"/>
      <c r="B335" s="33"/>
      <c r="C335" s="154"/>
    </row>
    <row r="336" spans="1:3" ht="15.75" customHeight="1" x14ac:dyDescent="0.35">
      <c r="A336" s="148"/>
      <c r="B336" s="33"/>
      <c r="C336" s="154"/>
    </row>
    <row r="337" spans="1:3" ht="15.75" customHeight="1" x14ac:dyDescent="0.35">
      <c r="A337" s="148"/>
      <c r="B337" s="33"/>
      <c r="C337" s="154"/>
    </row>
    <row r="338" spans="1:3" ht="15.75" customHeight="1" x14ac:dyDescent="0.35">
      <c r="A338" s="148"/>
      <c r="B338" s="33"/>
      <c r="C338" s="154"/>
    </row>
    <row r="339" spans="1:3" ht="15.75" customHeight="1" x14ac:dyDescent="0.35">
      <c r="A339" s="148"/>
      <c r="B339" s="33"/>
      <c r="C339" s="154"/>
    </row>
    <row r="340" spans="1:3" ht="15.75" customHeight="1" x14ac:dyDescent="0.35">
      <c r="A340" s="148"/>
      <c r="B340" s="33"/>
      <c r="C340" s="154"/>
    </row>
    <row r="341" spans="1:3" ht="15.75" customHeight="1" x14ac:dyDescent="0.35">
      <c r="A341" s="148"/>
      <c r="B341" s="33"/>
      <c r="C341" s="154"/>
    </row>
    <row r="342" spans="1:3" ht="15.75" customHeight="1" x14ac:dyDescent="0.35">
      <c r="A342" s="148"/>
      <c r="B342" s="33"/>
      <c r="C342" s="154"/>
    </row>
    <row r="343" spans="1:3" ht="15.75" customHeight="1" x14ac:dyDescent="0.35">
      <c r="A343" s="148"/>
      <c r="B343" s="33"/>
      <c r="C343" s="154"/>
    </row>
    <row r="344" spans="1:3" ht="15.75" customHeight="1" x14ac:dyDescent="0.35">
      <c r="A344" s="148"/>
      <c r="B344" s="33"/>
      <c r="C344" s="154"/>
    </row>
    <row r="345" spans="1:3" ht="15.75" customHeight="1" x14ac:dyDescent="0.35">
      <c r="A345" s="148"/>
      <c r="B345" s="33"/>
      <c r="C345" s="154"/>
    </row>
    <row r="346" spans="1:3" ht="15.75" customHeight="1" x14ac:dyDescent="0.35">
      <c r="A346" s="148"/>
      <c r="B346" s="33"/>
      <c r="C346" s="154"/>
    </row>
    <row r="347" spans="1:3" ht="15.75" customHeight="1" x14ac:dyDescent="0.35">
      <c r="A347" s="148"/>
      <c r="B347" s="33"/>
      <c r="C347" s="154"/>
    </row>
    <row r="348" spans="1:3" ht="15.75" customHeight="1" x14ac:dyDescent="0.35">
      <c r="A348" s="148"/>
      <c r="B348" s="33"/>
      <c r="C348" s="154"/>
    </row>
    <row r="349" spans="1:3" ht="15.75" customHeight="1" x14ac:dyDescent="0.35">
      <c r="A349" s="148"/>
      <c r="B349" s="33"/>
      <c r="C349" s="154"/>
    </row>
    <row r="350" spans="1:3" ht="15.75" customHeight="1" x14ac:dyDescent="0.35">
      <c r="A350" s="148"/>
      <c r="B350" s="33"/>
      <c r="C350" s="154"/>
    </row>
    <row r="351" spans="1:3" ht="15.75" customHeight="1" x14ac:dyDescent="0.35">
      <c r="A351" s="148"/>
      <c r="B351" s="33"/>
      <c r="C351" s="154"/>
    </row>
    <row r="352" spans="1:3" ht="15.75" customHeight="1" x14ac:dyDescent="0.35">
      <c r="A352" s="148"/>
      <c r="B352" s="33"/>
      <c r="C352" s="154"/>
    </row>
    <row r="353" spans="1:3" ht="15.75" customHeight="1" x14ac:dyDescent="0.35">
      <c r="A353" s="148"/>
      <c r="B353" s="33"/>
      <c r="C353" s="154"/>
    </row>
    <row r="354" spans="1:3" ht="15.75" customHeight="1" x14ac:dyDescent="0.35">
      <c r="A354" s="148"/>
      <c r="B354" s="33"/>
      <c r="C354" s="154"/>
    </row>
    <row r="355" spans="1:3" ht="15.75" customHeight="1" x14ac:dyDescent="0.35">
      <c r="A355" s="148"/>
      <c r="B355" s="33"/>
      <c r="C355" s="154"/>
    </row>
    <row r="356" spans="1:3" ht="15.75" customHeight="1" x14ac:dyDescent="0.35">
      <c r="A356" s="148"/>
      <c r="B356" s="33"/>
      <c r="C356" s="154"/>
    </row>
    <row r="357" spans="1:3" ht="15.75" customHeight="1" x14ac:dyDescent="0.35">
      <c r="A357" s="148"/>
      <c r="B357" s="33"/>
      <c r="C357" s="154"/>
    </row>
    <row r="358" spans="1:3" ht="15.75" customHeight="1" x14ac:dyDescent="0.35">
      <c r="A358" s="148"/>
      <c r="B358" s="33"/>
      <c r="C358" s="154"/>
    </row>
    <row r="359" spans="1:3" ht="15.75" customHeight="1" x14ac:dyDescent="0.35">
      <c r="A359" s="148"/>
      <c r="B359" s="33"/>
      <c r="C359" s="154"/>
    </row>
    <row r="360" spans="1:3" ht="15.75" customHeight="1" x14ac:dyDescent="0.35">
      <c r="A360" s="148"/>
      <c r="B360" s="33"/>
      <c r="C360" s="154"/>
    </row>
    <row r="361" spans="1:3" ht="15.75" customHeight="1" x14ac:dyDescent="0.35">
      <c r="A361" s="148"/>
      <c r="B361" s="33"/>
      <c r="C361" s="154"/>
    </row>
    <row r="362" spans="1:3" ht="15.75" customHeight="1" x14ac:dyDescent="0.35">
      <c r="A362" s="148"/>
      <c r="B362" s="33"/>
      <c r="C362" s="154"/>
    </row>
    <row r="363" spans="1:3" ht="15.75" customHeight="1" x14ac:dyDescent="0.35">
      <c r="A363" s="148"/>
      <c r="B363" s="33"/>
      <c r="C363" s="154"/>
    </row>
    <row r="364" spans="1:3" ht="15.75" customHeight="1" x14ac:dyDescent="0.35">
      <c r="A364" s="148"/>
      <c r="B364" s="33"/>
      <c r="C364" s="154"/>
    </row>
    <row r="365" spans="1:3" ht="15.75" customHeight="1" x14ac:dyDescent="0.35">
      <c r="A365" s="148"/>
      <c r="B365" s="33"/>
      <c r="C365" s="154"/>
    </row>
    <row r="366" spans="1:3" ht="15.75" customHeight="1" x14ac:dyDescent="0.35">
      <c r="A366" s="148"/>
      <c r="B366" s="33"/>
      <c r="C366" s="154"/>
    </row>
    <row r="367" spans="1:3" ht="15.75" customHeight="1" x14ac:dyDescent="0.35">
      <c r="A367" s="148"/>
      <c r="B367" s="33"/>
      <c r="C367" s="154"/>
    </row>
    <row r="368" spans="1:3" ht="15.75" customHeight="1" x14ac:dyDescent="0.35">
      <c r="A368" s="148"/>
      <c r="B368" s="33"/>
      <c r="C368" s="154"/>
    </row>
    <row r="369" spans="1:3" ht="15.75" customHeight="1" x14ac:dyDescent="0.35">
      <c r="A369" s="148"/>
      <c r="B369" s="33"/>
      <c r="C369" s="154"/>
    </row>
    <row r="370" spans="1:3" ht="15.75" customHeight="1" x14ac:dyDescent="0.35">
      <c r="A370" s="148"/>
      <c r="B370" s="33"/>
      <c r="C370" s="154"/>
    </row>
    <row r="371" spans="1:3" ht="15.75" customHeight="1" x14ac:dyDescent="0.35">
      <c r="A371" s="148"/>
      <c r="B371" s="33"/>
      <c r="C371" s="154"/>
    </row>
    <row r="372" spans="1:3" ht="15.75" customHeight="1" x14ac:dyDescent="0.35">
      <c r="A372" s="148"/>
      <c r="B372" s="33"/>
      <c r="C372" s="154"/>
    </row>
    <row r="373" spans="1:3" ht="15.75" customHeight="1" x14ac:dyDescent="0.35">
      <c r="A373" s="148"/>
      <c r="B373" s="33"/>
      <c r="C373" s="154"/>
    </row>
    <row r="374" spans="1:3" ht="15.75" customHeight="1" x14ac:dyDescent="0.35">
      <c r="A374" s="148"/>
      <c r="B374" s="33"/>
      <c r="C374" s="154"/>
    </row>
    <row r="375" spans="1:3" ht="15.75" customHeight="1" x14ac:dyDescent="0.35">
      <c r="A375" s="148"/>
      <c r="B375" s="33"/>
      <c r="C375" s="154"/>
    </row>
    <row r="376" spans="1:3" ht="15.75" customHeight="1" x14ac:dyDescent="0.35">
      <c r="A376" s="148"/>
      <c r="B376" s="33"/>
      <c r="C376" s="154"/>
    </row>
    <row r="377" spans="1:3" ht="15.75" customHeight="1" x14ac:dyDescent="0.35">
      <c r="A377" s="148"/>
      <c r="B377" s="33"/>
      <c r="C377" s="154"/>
    </row>
    <row r="378" spans="1:3" ht="15.75" customHeight="1" x14ac:dyDescent="0.35">
      <c r="A378" s="148"/>
      <c r="B378" s="33"/>
      <c r="C378" s="154"/>
    </row>
    <row r="379" spans="1:3" ht="15.75" customHeight="1" x14ac:dyDescent="0.35">
      <c r="A379" s="148"/>
      <c r="B379" s="33"/>
      <c r="C379" s="154"/>
    </row>
    <row r="380" spans="1:3" ht="15.75" customHeight="1" x14ac:dyDescent="0.35">
      <c r="A380" s="148"/>
      <c r="B380" s="33"/>
      <c r="C380" s="154"/>
    </row>
    <row r="381" spans="1:3" ht="15.75" customHeight="1" x14ac:dyDescent="0.35">
      <c r="A381" s="148"/>
      <c r="B381" s="33"/>
      <c r="C381" s="154"/>
    </row>
    <row r="382" spans="1:3" ht="15.75" customHeight="1" x14ac:dyDescent="0.35">
      <c r="A382" s="148"/>
      <c r="B382" s="33"/>
      <c r="C382" s="154"/>
    </row>
    <row r="383" spans="1:3" ht="15.75" customHeight="1" x14ac:dyDescent="0.35">
      <c r="A383" s="148"/>
      <c r="B383" s="33"/>
      <c r="C383" s="154"/>
    </row>
    <row r="384" spans="1:3" ht="15.75" customHeight="1" x14ac:dyDescent="0.35">
      <c r="A384" s="148"/>
      <c r="B384" s="33"/>
      <c r="C384" s="154"/>
    </row>
    <row r="385" spans="1:3" ht="15.75" customHeight="1" x14ac:dyDescent="0.35">
      <c r="A385" s="148"/>
      <c r="B385" s="33"/>
      <c r="C385" s="154"/>
    </row>
    <row r="386" spans="1:3" ht="15.75" customHeight="1" x14ac:dyDescent="0.35">
      <c r="A386" s="148"/>
      <c r="B386" s="33"/>
      <c r="C386" s="154"/>
    </row>
    <row r="387" spans="1:3" ht="15.75" customHeight="1" x14ac:dyDescent="0.35">
      <c r="A387" s="148"/>
      <c r="B387" s="33"/>
      <c r="C387" s="154"/>
    </row>
    <row r="388" spans="1:3" ht="15.75" customHeight="1" x14ac:dyDescent="0.35">
      <c r="A388" s="148"/>
      <c r="B388" s="33"/>
      <c r="C388" s="154"/>
    </row>
    <row r="389" spans="1:3" ht="15.75" customHeight="1" x14ac:dyDescent="0.35">
      <c r="A389" s="148"/>
      <c r="B389" s="33"/>
      <c r="C389" s="154"/>
    </row>
    <row r="390" spans="1:3" ht="15.75" customHeight="1" x14ac:dyDescent="0.35">
      <c r="A390" s="148"/>
      <c r="B390" s="33"/>
      <c r="C390" s="154"/>
    </row>
    <row r="391" spans="1:3" ht="15.75" customHeight="1" x14ac:dyDescent="0.35">
      <c r="A391" s="148"/>
      <c r="B391" s="33"/>
      <c r="C391" s="154"/>
    </row>
    <row r="392" spans="1:3" ht="15.75" customHeight="1" x14ac:dyDescent="0.35">
      <c r="A392" s="148"/>
      <c r="B392" s="33"/>
      <c r="C392" s="154"/>
    </row>
    <row r="393" spans="1:3" ht="15.75" customHeight="1" x14ac:dyDescent="0.35">
      <c r="A393" s="148"/>
      <c r="B393" s="33"/>
      <c r="C393" s="154"/>
    </row>
    <row r="394" spans="1:3" ht="15.75" customHeight="1" x14ac:dyDescent="0.35">
      <c r="A394" s="148"/>
      <c r="B394" s="33"/>
      <c r="C394" s="154"/>
    </row>
    <row r="395" spans="1:3" ht="15.75" customHeight="1" x14ac:dyDescent="0.35">
      <c r="A395" s="148"/>
      <c r="B395" s="33"/>
      <c r="C395" s="154"/>
    </row>
    <row r="396" spans="1:3" ht="15.75" customHeight="1" x14ac:dyDescent="0.35">
      <c r="A396" s="148"/>
      <c r="B396" s="33"/>
      <c r="C396" s="154"/>
    </row>
    <row r="397" spans="1:3" ht="15.75" customHeight="1" x14ac:dyDescent="0.35">
      <c r="A397" s="148"/>
      <c r="B397" s="33"/>
      <c r="C397" s="154"/>
    </row>
    <row r="398" spans="1:3" ht="15.75" customHeight="1" x14ac:dyDescent="0.35">
      <c r="A398" s="148"/>
      <c r="B398" s="33"/>
      <c r="C398" s="154"/>
    </row>
    <row r="399" spans="1:3" ht="15.75" customHeight="1" x14ac:dyDescent="0.35">
      <c r="A399" s="148"/>
      <c r="B399" s="33"/>
      <c r="C399" s="154"/>
    </row>
    <row r="400" spans="1:3" ht="15.75" customHeight="1" x14ac:dyDescent="0.35">
      <c r="A400" s="148"/>
      <c r="B400" s="33"/>
      <c r="C400" s="154"/>
    </row>
    <row r="401" spans="1:3" ht="15.75" customHeight="1" x14ac:dyDescent="0.35">
      <c r="A401" s="148"/>
      <c r="B401" s="33"/>
      <c r="C401" s="154"/>
    </row>
    <row r="402" spans="1:3" ht="15.75" customHeight="1" x14ac:dyDescent="0.35">
      <c r="A402" s="148"/>
      <c r="B402" s="33"/>
      <c r="C402" s="154"/>
    </row>
    <row r="403" spans="1:3" ht="15.75" customHeight="1" x14ac:dyDescent="0.35">
      <c r="A403" s="148"/>
      <c r="B403" s="33"/>
      <c r="C403" s="154"/>
    </row>
    <row r="404" spans="1:3" ht="15.75" customHeight="1" x14ac:dyDescent="0.35">
      <c r="A404" s="148"/>
      <c r="B404" s="33"/>
      <c r="C404" s="154"/>
    </row>
    <row r="405" spans="1:3" ht="15.75" customHeight="1" x14ac:dyDescent="0.35">
      <c r="A405" s="148"/>
      <c r="B405" s="33"/>
      <c r="C405" s="154"/>
    </row>
    <row r="406" spans="1:3" ht="15.75" customHeight="1" x14ac:dyDescent="0.35">
      <c r="A406" s="148"/>
      <c r="B406" s="33"/>
      <c r="C406" s="154"/>
    </row>
    <row r="407" spans="1:3" ht="15.75" customHeight="1" x14ac:dyDescent="0.35">
      <c r="A407" s="148"/>
      <c r="B407" s="33"/>
      <c r="C407" s="154"/>
    </row>
    <row r="408" spans="1:3" ht="15.75" customHeight="1" x14ac:dyDescent="0.35">
      <c r="A408" s="148"/>
      <c r="B408" s="33"/>
      <c r="C408" s="154"/>
    </row>
    <row r="409" spans="1:3" ht="15.75" customHeight="1" x14ac:dyDescent="0.35">
      <c r="A409" s="148"/>
      <c r="B409" s="33"/>
      <c r="C409" s="154"/>
    </row>
    <row r="410" spans="1:3" ht="15.75" customHeight="1" x14ac:dyDescent="0.35">
      <c r="A410" s="148"/>
      <c r="B410" s="33"/>
      <c r="C410" s="154"/>
    </row>
    <row r="411" spans="1:3" ht="15.75" customHeight="1" x14ac:dyDescent="0.35">
      <c r="A411" s="148"/>
      <c r="B411" s="33"/>
      <c r="C411" s="154"/>
    </row>
    <row r="412" spans="1:3" ht="15.75" customHeight="1" x14ac:dyDescent="0.35">
      <c r="A412" s="148"/>
      <c r="B412" s="33"/>
      <c r="C412" s="154"/>
    </row>
    <row r="413" spans="1:3" ht="15.75" customHeight="1" x14ac:dyDescent="0.35">
      <c r="A413" s="148"/>
      <c r="B413" s="33"/>
      <c r="C413" s="154"/>
    </row>
    <row r="414" spans="1:3" ht="15.75" customHeight="1" x14ac:dyDescent="0.35">
      <c r="A414" s="148"/>
      <c r="B414" s="33"/>
      <c r="C414" s="154"/>
    </row>
    <row r="415" spans="1:3" ht="15.75" customHeight="1" x14ac:dyDescent="0.35">
      <c r="A415" s="148"/>
      <c r="B415" s="33"/>
      <c r="C415" s="154"/>
    </row>
    <row r="416" spans="1:3" ht="15.75" customHeight="1" x14ac:dyDescent="0.35">
      <c r="A416" s="148"/>
      <c r="B416" s="33"/>
      <c r="C416" s="154"/>
    </row>
    <row r="417" spans="1:3" ht="15.75" customHeight="1" x14ac:dyDescent="0.35">
      <c r="A417" s="148"/>
      <c r="B417" s="33"/>
      <c r="C417" s="154"/>
    </row>
    <row r="418" spans="1:3" ht="15.75" customHeight="1" x14ac:dyDescent="0.35">
      <c r="A418" s="148"/>
      <c r="B418" s="33"/>
      <c r="C418" s="154"/>
    </row>
    <row r="419" spans="1:3" ht="15.75" customHeight="1" x14ac:dyDescent="0.35">
      <c r="A419" s="148"/>
      <c r="B419" s="33"/>
      <c r="C419" s="154"/>
    </row>
    <row r="420" spans="1:3" ht="15.75" customHeight="1" x14ac:dyDescent="0.35">
      <c r="A420" s="148"/>
      <c r="B420" s="33"/>
      <c r="C420" s="154"/>
    </row>
    <row r="421" spans="1:3" ht="15.75" customHeight="1" x14ac:dyDescent="0.35">
      <c r="A421" s="148"/>
      <c r="B421" s="33"/>
      <c r="C421" s="154"/>
    </row>
    <row r="422" spans="1:3" ht="15.75" customHeight="1" x14ac:dyDescent="0.35">
      <c r="A422" s="148"/>
      <c r="B422" s="33"/>
      <c r="C422" s="154"/>
    </row>
    <row r="423" spans="1:3" ht="15.75" customHeight="1" x14ac:dyDescent="0.35">
      <c r="A423" s="148"/>
      <c r="B423" s="33"/>
      <c r="C423" s="154"/>
    </row>
    <row r="424" spans="1:3" ht="15.75" customHeight="1" x14ac:dyDescent="0.35">
      <c r="A424" s="148"/>
      <c r="B424" s="33"/>
      <c r="C424" s="154"/>
    </row>
    <row r="425" spans="1:3" ht="15.75" customHeight="1" x14ac:dyDescent="0.35">
      <c r="A425" s="148"/>
      <c r="B425" s="33"/>
      <c r="C425" s="154"/>
    </row>
    <row r="426" spans="1:3" ht="15.75" customHeight="1" x14ac:dyDescent="0.35">
      <c r="A426" s="148"/>
      <c r="B426" s="33"/>
      <c r="C426" s="154"/>
    </row>
    <row r="427" spans="1:3" ht="15.75" customHeight="1" x14ac:dyDescent="0.35">
      <c r="A427" s="148"/>
      <c r="B427" s="33"/>
      <c r="C427" s="154"/>
    </row>
    <row r="428" spans="1:3" ht="15.75" customHeight="1" x14ac:dyDescent="0.35">
      <c r="A428" s="148"/>
      <c r="B428" s="33"/>
      <c r="C428" s="154"/>
    </row>
    <row r="429" spans="1:3" ht="15.75" customHeight="1" x14ac:dyDescent="0.35">
      <c r="A429" s="148"/>
      <c r="B429" s="33"/>
      <c r="C429" s="154"/>
    </row>
    <row r="430" spans="1:3" ht="15.75" customHeight="1" x14ac:dyDescent="0.35">
      <c r="A430" s="148"/>
      <c r="B430" s="33"/>
      <c r="C430" s="154"/>
    </row>
    <row r="431" spans="1:3" ht="15.75" customHeight="1" x14ac:dyDescent="0.35">
      <c r="A431" s="148"/>
      <c r="B431" s="33"/>
      <c r="C431" s="154"/>
    </row>
    <row r="432" spans="1:3" ht="15.75" customHeight="1" x14ac:dyDescent="0.35">
      <c r="A432" s="148"/>
      <c r="B432" s="33"/>
      <c r="C432" s="154"/>
    </row>
    <row r="433" spans="1:3" ht="15.75" customHeight="1" x14ac:dyDescent="0.35">
      <c r="A433" s="148"/>
      <c r="B433" s="33"/>
      <c r="C433" s="154"/>
    </row>
    <row r="434" spans="1:3" ht="15.75" customHeight="1" x14ac:dyDescent="0.35">
      <c r="A434" s="148"/>
      <c r="B434" s="33"/>
      <c r="C434" s="154"/>
    </row>
    <row r="435" spans="1:3" ht="15.75" customHeight="1" x14ac:dyDescent="0.35">
      <c r="A435" s="148"/>
      <c r="B435" s="33"/>
      <c r="C435" s="154"/>
    </row>
    <row r="436" spans="1:3" ht="15.75" customHeight="1" x14ac:dyDescent="0.35">
      <c r="A436" s="148"/>
      <c r="B436" s="33"/>
      <c r="C436" s="154"/>
    </row>
    <row r="437" spans="1:3" ht="15.75" customHeight="1" x14ac:dyDescent="0.35">
      <c r="A437" s="148"/>
      <c r="B437" s="33"/>
      <c r="C437" s="154"/>
    </row>
    <row r="438" spans="1:3" ht="15.75" customHeight="1" x14ac:dyDescent="0.35">
      <c r="A438" s="148"/>
      <c r="B438" s="33"/>
      <c r="C438" s="154"/>
    </row>
    <row r="439" spans="1:3" ht="15.75" customHeight="1" x14ac:dyDescent="0.35">
      <c r="A439" s="148"/>
      <c r="B439" s="33"/>
      <c r="C439" s="154"/>
    </row>
    <row r="440" spans="1:3" ht="15.75" customHeight="1" x14ac:dyDescent="0.35">
      <c r="A440" s="148"/>
      <c r="B440" s="33"/>
      <c r="C440" s="154"/>
    </row>
    <row r="441" spans="1:3" ht="15.75" customHeight="1" x14ac:dyDescent="0.35">
      <c r="A441" s="148"/>
      <c r="B441" s="33"/>
      <c r="C441" s="154"/>
    </row>
    <row r="442" spans="1:3" ht="15.75" customHeight="1" x14ac:dyDescent="0.35">
      <c r="A442" s="148"/>
      <c r="B442" s="33"/>
      <c r="C442" s="154"/>
    </row>
    <row r="443" spans="1:3" ht="15.75" customHeight="1" x14ac:dyDescent="0.35">
      <c r="A443" s="148"/>
      <c r="B443" s="33"/>
      <c r="C443" s="154"/>
    </row>
    <row r="444" spans="1:3" ht="15.75" customHeight="1" x14ac:dyDescent="0.35">
      <c r="A444" s="148"/>
      <c r="B444" s="33"/>
      <c r="C444" s="154"/>
    </row>
    <row r="445" spans="1:3" ht="15.75" customHeight="1" x14ac:dyDescent="0.35">
      <c r="A445" s="148"/>
      <c r="B445" s="33"/>
      <c r="C445" s="154"/>
    </row>
    <row r="446" spans="1:3" ht="15.75" customHeight="1" x14ac:dyDescent="0.35">
      <c r="A446" s="148"/>
      <c r="B446" s="33"/>
      <c r="C446" s="154"/>
    </row>
    <row r="447" spans="1:3" ht="15.75" customHeight="1" x14ac:dyDescent="0.35">
      <c r="A447" s="148"/>
      <c r="B447" s="33"/>
      <c r="C447" s="154"/>
    </row>
    <row r="448" spans="1:3" ht="15.75" customHeight="1" x14ac:dyDescent="0.35">
      <c r="A448" s="148"/>
      <c r="B448" s="33"/>
      <c r="C448" s="154"/>
    </row>
    <row r="449" spans="1:3" ht="15.75" customHeight="1" x14ac:dyDescent="0.35">
      <c r="A449" s="148"/>
      <c r="B449" s="33"/>
      <c r="C449" s="154"/>
    </row>
    <row r="450" spans="1:3" ht="15.75" customHeight="1" x14ac:dyDescent="0.35">
      <c r="A450" s="148"/>
      <c r="B450" s="33"/>
      <c r="C450" s="154"/>
    </row>
    <row r="451" spans="1:3" ht="15.75" customHeight="1" x14ac:dyDescent="0.35">
      <c r="A451" s="148"/>
      <c r="B451" s="33"/>
      <c r="C451" s="154"/>
    </row>
    <row r="452" spans="1:3" ht="15.75" customHeight="1" x14ac:dyDescent="0.35">
      <c r="A452" s="148"/>
      <c r="B452" s="33"/>
      <c r="C452" s="154"/>
    </row>
    <row r="453" spans="1:3" ht="15.75" customHeight="1" x14ac:dyDescent="0.35">
      <c r="A453" s="148"/>
      <c r="B453" s="33"/>
      <c r="C453" s="154"/>
    </row>
    <row r="454" spans="1:3" ht="15.75" customHeight="1" x14ac:dyDescent="0.35">
      <c r="A454" s="148"/>
      <c r="B454" s="33"/>
      <c r="C454" s="154"/>
    </row>
    <row r="455" spans="1:3" ht="15.75" customHeight="1" x14ac:dyDescent="0.35">
      <c r="A455" s="148"/>
      <c r="B455" s="33"/>
      <c r="C455" s="154"/>
    </row>
    <row r="456" spans="1:3" ht="15.75" customHeight="1" x14ac:dyDescent="0.35">
      <c r="A456" s="148"/>
      <c r="B456" s="33"/>
      <c r="C456" s="154"/>
    </row>
    <row r="457" spans="1:3" ht="15.75" customHeight="1" x14ac:dyDescent="0.35">
      <c r="A457" s="148"/>
      <c r="B457" s="33"/>
      <c r="C457" s="154"/>
    </row>
    <row r="458" spans="1:3" ht="15.75" customHeight="1" x14ac:dyDescent="0.35">
      <c r="A458" s="148"/>
      <c r="B458" s="33"/>
      <c r="C458" s="154"/>
    </row>
    <row r="459" spans="1:3" ht="15.75" customHeight="1" x14ac:dyDescent="0.35">
      <c r="A459" s="148"/>
      <c r="B459" s="33"/>
      <c r="C459" s="154"/>
    </row>
    <row r="460" spans="1:3" ht="15.75" customHeight="1" x14ac:dyDescent="0.35">
      <c r="A460" s="148"/>
      <c r="B460" s="33"/>
      <c r="C460" s="154"/>
    </row>
    <row r="461" spans="1:3" ht="15.75" customHeight="1" x14ac:dyDescent="0.35">
      <c r="A461" s="148"/>
      <c r="B461" s="33"/>
      <c r="C461" s="154"/>
    </row>
    <row r="462" spans="1:3" ht="15.75" customHeight="1" x14ac:dyDescent="0.35">
      <c r="A462" s="148"/>
      <c r="B462" s="33"/>
      <c r="C462" s="154"/>
    </row>
    <row r="463" spans="1:3" ht="15.75" customHeight="1" x14ac:dyDescent="0.35">
      <c r="A463" s="148"/>
      <c r="B463" s="33"/>
      <c r="C463" s="154"/>
    </row>
    <row r="464" spans="1:3" ht="15.75" customHeight="1" x14ac:dyDescent="0.35">
      <c r="A464" s="148"/>
      <c r="B464" s="33"/>
      <c r="C464" s="154"/>
    </row>
    <row r="465" spans="1:3" ht="15.75" customHeight="1" x14ac:dyDescent="0.35">
      <c r="A465" s="148"/>
      <c r="B465" s="33"/>
      <c r="C465" s="154"/>
    </row>
    <row r="466" spans="1:3" ht="15.75" customHeight="1" x14ac:dyDescent="0.35">
      <c r="A466" s="148"/>
      <c r="B466" s="33"/>
      <c r="C466" s="154"/>
    </row>
    <row r="467" spans="1:3" ht="15.75" customHeight="1" x14ac:dyDescent="0.35">
      <c r="A467" s="148"/>
      <c r="B467" s="33"/>
      <c r="C467" s="154"/>
    </row>
    <row r="468" spans="1:3" ht="15.75" customHeight="1" x14ac:dyDescent="0.35">
      <c r="A468" s="148"/>
      <c r="B468" s="33"/>
      <c r="C468" s="154"/>
    </row>
    <row r="469" spans="1:3" ht="15.75" customHeight="1" x14ac:dyDescent="0.35">
      <c r="A469" s="148"/>
      <c r="B469" s="33"/>
      <c r="C469" s="154"/>
    </row>
    <row r="470" spans="1:3" ht="15.75" customHeight="1" x14ac:dyDescent="0.35">
      <c r="A470" s="148"/>
      <c r="B470" s="33"/>
      <c r="C470" s="154"/>
    </row>
    <row r="471" spans="1:3" ht="15.75" customHeight="1" x14ac:dyDescent="0.35">
      <c r="A471" s="148"/>
      <c r="B471" s="33"/>
      <c r="C471" s="154"/>
    </row>
    <row r="472" spans="1:3" ht="15.75" customHeight="1" x14ac:dyDescent="0.35">
      <c r="A472" s="148"/>
      <c r="B472" s="33"/>
      <c r="C472" s="154"/>
    </row>
    <row r="473" spans="1:3" ht="15.75" customHeight="1" x14ac:dyDescent="0.35">
      <c r="A473" s="148"/>
      <c r="B473" s="33"/>
      <c r="C473" s="154"/>
    </row>
    <row r="474" spans="1:3" ht="15.75" customHeight="1" x14ac:dyDescent="0.35">
      <c r="A474" s="148"/>
      <c r="B474" s="33"/>
      <c r="C474" s="154"/>
    </row>
    <row r="475" spans="1:3" ht="15.75" customHeight="1" x14ac:dyDescent="0.35">
      <c r="A475" s="148"/>
      <c r="B475" s="33"/>
      <c r="C475" s="154"/>
    </row>
    <row r="476" spans="1:3" ht="15.75" customHeight="1" x14ac:dyDescent="0.35">
      <c r="A476" s="148"/>
      <c r="B476" s="33"/>
      <c r="C476" s="154"/>
    </row>
    <row r="477" spans="1:3" ht="15.75" customHeight="1" x14ac:dyDescent="0.35">
      <c r="A477" s="148"/>
      <c r="B477" s="33"/>
      <c r="C477" s="154"/>
    </row>
    <row r="478" spans="1:3" ht="15.75" customHeight="1" x14ac:dyDescent="0.35">
      <c r="A478" s="148"/>
      <c r="B478" s="33"/>
      <c r="C478" s="154"/>
    </row>
    <row r="479" spans="1:3" ht="15.75" customHeight="1" x14ac:dyDescent="0.35">
      <c r="A479" s="148"/>
      <c r="B479" s="33"/>
      <c r="C479" s="154"/>
    </row>
    <row r="480" spans="1:3" ht="15.75" customHeight="1" x14ac:dyDescent="0.35">
      <c r="A480" s="148"/>
      <c r="B480" s="33"/>
      <c r="C480" s="154"/>
    </row>
    <row r="481" spans="1:3" ht="15.75" customHeight="1" x14ac:dyDescent="0.35">
      <c r="A481" s="148"/>
      <c r="B481" s="33"/>
      <c r="C481" s="154"/>
    </row>
    <row r="482" spans="1:3" ht="15.75" customHeight="1" x14ac:dyDescent="0.35">
      <c r="A482" s="148"/>
      <c r="B482" s="33"/>
      <c r="C482" s="154"/>
    </row>
    <row r="483" spans="1:3" ht="15.75" customHeight="1" x14ac:dyDescent="0.35">
      <c r="A483" s="148"/>
      <c r="B483" s="33"/>
      <c r="C483" s="154"/>
    </row>
    <row r="484" spans="1:3" ht="15.75" customHeight="1" x14ac:dyDescent="0.35">
      <c r="A484" s="148"/>
      <c r="B484" s="33"/>
      <c r="C484" s="154"/>
    </row>
    <row r="485" spans="1:3" ht="15.75" customHeight="1" x14ac:dyDescent="0.35">
      <c r="A485" s="148"/>
      <c r="B485" s="33"/>
      <c r="C485" s="154"/>
    </row>
    <row r="486" spans="1:3" ht="15.75" customHeight="1" x14ac:dyDescent="0.35">
      <c r="A486" s="148"/>
      <c r="B486" s="33"/>
      <c r="C486" s="154"/>
    </row>
    <row r="487" spans="1:3" ht="15.75" customHeight="1" x14ac:dyDescent="0.35">
      <c r="A487" s="148"/>
      <c r="B487" s="33"/>
      <c r="C487" s="154"/>
    </row>
    <row r="488" spans="1:3" ht="15.75" customHeight="1" x14ac:dyDescent="0.35">
      <c r="A488" s="148"/>
      <c r="B488" s="33"/>
      <c r="C488" s="154"/>
    </row>
    <row r="489" spans="1:3" ht="15.75" customHeight="1" x14ac:dyDescent="0.35">
      <c r="A489" s="148"/>
      <c r="B489" s="33"/>
      <c r="C489" s="154"/>
    </row>
    <row r="490" spans="1:3" ht="15.75" customHeight="1" x14ac:dyDescent="0.35">
      <c r="A490" s="148"/>
      <c r="B490" s="33"/>
      <c r="C490" s="154"/>
    </row>
    <row r="491" spans="1:3" ht="15.75" customHeight="1" x14ac:dyDescent="0.35">
      <c r="A491" s="148"/>
      <c r="B491" s="33"/>
      <c r="C491" s="154"/>
    </row>
    <row r="492" spans="1:3" ht="15.75" customHeight="1" x14ac:dyDescent="0.35">
      <c r="A492" s="148"/>
      <c r="B492" s="33"/>
      <c r="C492" s="154"/>
    </row>
    <row r="493" spans="1:3" ht="15.75" customHeight="1" x14ac:dyDescent="0.35">
      <c r="A493" s="148"/>
      <c r="B493" s="33"/>
      <c r="C493" s="154"/>
    </row>
    <row r="494" spans="1:3" ht="15.75" customHeight="1" x14ac:dyDescent="0.35">
      <c r="A494" s="148"/>
      <c r="B494" s="33"/>
      <c r="C494" s="154"/>
    </row>
    <row r="495" spans="1:3" ht="15.75" customHeight="1" x14ac:dyDescent="0.35">
      <c r="A495" s="148"/>
      <c r="B495" s="33"/>
      <c r="C495" s="154"/>
    </row>
    <row r="496" spans="1:3" ht="15.75" customHeight="1" x14ac:dyDescent="0.35">
      <c r="A496" s="148"/>
      <c r="B496" s="33"/>
      <c r="C496" s="154"/>
    </row>
    <row r="497" spans="1:3" ht="15.75" customHeight="1" x14ac:dyDescent="0.35">
      <c r="A497" s="148"/>
      <c r="B497" s="33"/>
      <c r="C497" s="154"/>
    </row>
    <row r="498" spans="1:3" ht="15.75" customHeight="1" x14ac:dyDescent="0.35">
      <c r="A498" s="148"/>
      <c r="B498" s="33"/>
      <c r="C498" s="154"/>
    </row>
    <row r="499" spans="1:3" ht="15.75" customHeight="1" x14ac:dyDescent="0.35">
      <c r="A499" s="148"/>
      <c r="B499" s="33"/>
      <c r="C499" s="154"/>
    </row>
    <row r="500" spans="1:3" ht="15.75" customHeight="1" x14ac:dyDescent="0.35">
      <c r="A500" s="148"/>
      <c r="B500" s="33"/>
      <c r="C500" s="154"/>
    </row>
    <row r="501" spans="1:3" ht="15.75" customHeight="1" x14ac:dyDescent="0.35">
      <c r="A501" s="148"/>
      <c r="B501" s="33"/>
      <c r="C501" s="154"/>
    </row>
    <row r="502" spans="1:3" ht="15.75" customHeight="1" x14ac:dyDescent="0.35">
      <c r="A502" s="148"/>
      <c r="B502" s="33"/>
      <c r="C502" s="154"/>
    </row>
    <row r="503" spans="1:3" ht="15.75" customHeight="1" x14ac:dyDescent="0.35">
      <c r="A503" s="148"/>
      <c r="B503" s="33"/>
      <c r="C503" s="154"/>
    </row>
    <row r="504" spans="1:3" ht="15.75" customHeight="1" x14ac:dyDescent="0.35">
      <c r="A504" s="148"/>
      <c r="B504" s="33"/>
      <c r="C504" s="154"/>
    </row>
    <row r="505" spans="1:3" ht="15.75" customHeight="1" x14ac:dyDescent="0.35">
      <c r="A505" s="148"/>
      <c r="B505" s="33"/>
      <c r="C505" s="154"/>
    </row>
    <row r="506" spans="1:3" ht="15.75" customHeight="1" x14ac:dyDescent="0.35">
      <c r="A506" s="148"/>
      <c r="B506" s="33"/>
      <c r="C506" s="154"/>
    </row>
    <row r="507" spans="1:3" ht="15.75" customHeight="1" x14ac:dyDescent="0.35">
      <c r="A507" s="148"/>
      <c r="B507" s="33"/>
      <c r="C507" s="154"/>
    </row>
    <row r="508" spans="1:3" ht="15.75" customHeight="1" x14ac:dyDescent="0.35">
      <c r="A508" s="148"/>
      <c r="B508" s="33"/>
      <c r="C508" s="154"/>
    </row>
    <row r="509" spans="1:3" ht="15.75" customHeight="1" x14ac:dyDescent="0.35">
      <c r="A509" s="148"/>
      <c r="B509" s="33"/>
      <c r="C509" s="154"/>
    </row>
    <row r="510" spans="1:3" ht="15.75" customHeight="1" x14ac:dyDescent="0.35">
      <c r="A510" s="148"/>
      <c r="B510" s="33"/>
      <c r="C510" s="154"/>
    </row>
    <row r="511" spans="1:3" ht="15.75" customHeight="1" x14ac:dyDescent="0.35">
      <c r="A511" s="148"/>
      <c r="B511" s="33"/>
      <c r="C511" s="154"/>
    </row>
    <row r="512" spans="1:3" ht="15.75" customHeight="1" x14ac:dyDescent="0.35">
      <c r="A512" s="148"/>
      <c r="B512" s="33"/>
      <c r="C512" s="154"/>
    </row>
    <row r="513" spans="1:3" ht="15.75" customHeight="1" x14ac:dyDescent="0.35">
      <c r="A513" s="148"/>
      <c r="B513" s="33"/>
      <c r="C513" s="154"/>
    </row>
    <row r="514" spans="1:3" ht="15.75" customHeight="1" x14ac:dyDescent="0.35">
      <c r="A514" s="148"/>
      <c r="B514" s="33"/>
      <c r="C514" s="154"/>
    </row>
    <row r="515" spans="1:3" ht="15.75" customHeight="1" x14ac:dyDescent="0.35">
      <c r="A515" s="148"/>
      <c r="B515" s="33"/>
      <c r="C515" s="154"/>
    </row>
    <row r="516" spans="1:3" ht="15.75" customHeight="1" x14ac:dyDescent="0.35">
      <c r="A516" s="148"/>
      <c r="B516" s="33"/>
      <c r="C516" s="154"/>
    </row>
    <row r="517" spans="1:3" ht="15.75" customHeight="1" x14ac:dyDescent="0.35">
      <c r="A517" s="148"/>
      <c r="B517" s="33"/>
      <c r="C517" s="154"/>
    </row>
    <row r="518" spans="1:3" ht="15.75" customHeight="1" x14ac:dyDescent="0.35">
      <c r="A518" s="148"/>
      <c r="B518" s="33"/>
      <c r="C518" s="154"/>
    </row>
    <row r="519" spans="1:3" ht="15.75" customHeight="1" x14ac:dyDescent="0.35">
      <c r="A519" s="148"/>
      <c r="B519" s="33"/>
      <c r="C519" s="154"/>
    </row>
    <row r="520" spans="1:3" ht="15.75" customHeight="1" x14ac:dyDescent="0.35">
      <c r="A520" s="148"/>
      <c r="B520" s="33"/>
      <c r="C520" s="154"/>
    </row>
    <row r="521" spans="1:3" ht="15.75" customHeight="1" x14ac:dyDescent="0.35">
      <c r="A521" s="148"/>
      <c r="B521" s="33"/>
      <c r="C521" s="154"/>
    </row>
    <row r="522" spans="1:3" ht="15.75" customHeight="1" x14ac:dyDescent="0.35">
      <c r="A522" s="148"/>
      <c r="B522" s="33"/>
      <c r="C522" s="154"/>
    </row>
    <row r="523" spans="1:3" ht="15.75" customHeight="1" x14ac:dyDescent="0.35">
      <c r="A523" s="148"/>
      <c r="B523" s="33"/>
      <c r="C523" s="154"/>
    </row>
    <row r="524" spans="1:3" ht="15.75" customHeight="1" x14ac:dyDescent="0.35">
      <c r="A524" s="148"/>
      <c r="B524" s="33"/>
      <c r="C524" s="154"/>
    </row>
    <row r="525" spans="1:3" ht="15.75" customHeight="1" x14ac:dyDescent="0.35">
      <c r="A525" s="148"/>
      <c r="B525" s="33"/>
      <c r="C525" s="154"/>
    </row>
    <row r="526" spans="1:3" ht="15.75" customHeight="1" x14ac:dyDescent="0.35">
      <c r="A526" s="148"/>
      <c r="B526" s="33"/>
      <c r="C526" s="154"/>
    </row>
    <row r="527" spans="1:3" ht="15.75" customHeight="1" x14ac:dyDescent="0.35">
      <c r="A527" s="148"/>
      <c r="B527" s="33"/>
      <c r="C527" s="154"/>
    </row>
    <row r="528" spans="1:3" ht="15.75" customHeight="1" x14ac:dyDescent="0.35">
      <c r="A528" s="148"/>
      <c r="B528" s="33"/>
      <c r="C528" s="154"/>
    </row>
    <row r="529" spans="1:3" ht="15.75" customHeight="1" x14ac:dyDescent="0.35">
      <c r="A529" s="148"/>
      <c r="B529" s="33"/>
      <c r="C529" s="154"/>
    </row>
    <row r="530" spans="1:3" ht="15.75" customHeight="1" x14ac:dyDescent="0.35">
      <c r="A530" s="148"/>
      <c r="B530" s="33"/>
      <c r="C530" s="154"/>
    </row>
    <row r="531" spans="1:3" ht="15.75" customHeight="1" x14ac:dyDescent="0.35">
      <c r="A531" s="148"/>
      <c r="B531" s="33"/>
      <c r="C531" s="154"/>
    </row>
    <row r="532" spans="1:3" ht="15.75" customHeight="1" x14ac:dyDescent="0.35">
      <c r="A532" s="148"/>
      <c r="B532" s="33"/>
      <c r="C532" s="154"/>
    </row>
    <row r="533" spans="1:3" ht="15.75" customHeight="1" x14ac:dyDescent="0.35">
      <c r="A533" s="148"/>
      <c r="B533" s="33"/>
      <c r="C533" s="154"/>
    </row>
    <row r="534" spans="1:3" ht="15.75" customHeight="1" x14ac:dyDescent="0.35">
      <c r="A534" s="148"/>
      <c r="B534" s="33"/>
      <c r="C534" s="154"/>
    </row>
    <row r="535" spans="1:3" ht="15.75" customHeight="1" x14ac:dyDescent="0.35">
      <c r="A535" s="148"/>
      <c r="B535" s="33"/>
      <c r="C535" s="154"/>
    </row>
    <row r="536" spans="1:3" ht="15.75" customHeight="1" x14ac:dyDescent="0.35">
      <c r="A536" s="148"/>
      <c r="B536" s="33"/>
      <c r="C536" s="154"/>
    </row>
    <row r="537" spans="1:3" ht="15.75" customHeight="1" x14ac:dyDescent="0.35">
      <c r="A537" s="148"/>
      <c r="B537" s="33"/>
      <c r="C537" s="154"/>
    </row>
    <row r="538" spans="1:3" ht="15.75" customHeight="1" x14ac:dyDescent="0.35">
      <c r="A538" s="148"/>
      <c r="B538" s="33"/>
      <c r="C538" s="154"/>
    </row>
    <row r="539" spans="1:3" ht="15.75" customHeight="1" x14ac:dyDescent="0.35">
      <c r="A539" s="148"/>
      <c r="B539" s="33"/>
      <c r="C539" s="154"/>
    </row>
    <row r="540" spans="1:3" ht="15.75" customHeight="1" x14ac:dyDescent="0.35">
      <c r="A540" s="148"/>
      <c r="B540" s="33"/>
      <c r="C540" s="154"/>
    </row>
    <row r="541" spans="1:3" ht="15.75" customHeight="1" x14ac:dyDescent="0.35">
      <c r="A541" s="148"/>
      <c r="B541" s="33"/>
      <c r="C541" s="154"/>
    </row>
    <row r="542" spans="1:3" ht="15.75" customHeight="1" x14ac:dyDescent="0.35">
      <c r="A542" s="148"/>
      <c r="B542" s="33"/>
      <c r="C542" s="154"/>
    </row>
    <row r="543" spans="1:3" ht="15.75" customHeight="1" x14ac:dyDescent="0.35">
      <c r="A543" s="148"/>
      <c r="B543" s="33"/>
      <c r="C543" s="154"/>
    </row>
    <row r="544" spans="1:3" ht="15.75" customHeight="1" x14ac:dyDescent="0.35">
      <c r="A544" s="148"/>
      <c r="B544" s="33"/>
      <c r="C544" s="154"/>
    </row>
    <row r="545" spans="1:3" ht="15.75" customHeight="1" x14ac:dyDescent="0.35">
      <c r="A545" s="148"/>
      <c r="B545" s="33"/>
      <c r="C545" s="154"/>
    </row>
    <row r="546" spans="1:3" ht="15.75" customHeight="1" x14ac:dyDescent="0.35">
      <c r="A546" s="148"/>
      <c r="B546" s="33"/>
      <c r="C546" s="154"/>
    </row>
    <row r="547" spans="1:3" ht="15.75" customHeight="1" x14ac:dyDescent="0.35">
      <c r="A547" s="148"/>
      <c r="B547" s="33"/>
      <c r="C547" s="154"/>
    </row>
    <row r="548" spans="1:3" ht="15.75" customHeight="1" x14ac:dyDescent="0.35">
      <c r="A548" s="148"/>
      <c r="B548" s="33"/>
      <c r="C548" s="154"/>
    </row>
    <row r="549" spans="1:3" ht="15.75" customHeight="1" x14ac:dyDescent="0.35">
      <c r="A549" s="148"/>
      <c r="B549" s="33"/>
      <c r="C549" s="154"/>
    </row>
    <row r="550" spans="1:3" ht="15.75" customHeight="1" x14ac:dyDescent="0.35">
      <c r="A550" s="148"/>
      <c r="B550" s="33"/>
      <c r="C550" s="154"/>
    </row>
    <row r="551" spans="1:3" ht="15.75" customHeight="1" x14ac:dyDescent="0.35">
      <c r="A551" s="148"/>
      <c r="B551" s="33"/>
      <c r="C551" s="154"/>
    </row>
    <row r="552" spans="1:3" ht="15.75" customHeight="1" x14ac:dyDescent="0.35">
      <c r="A552" s="148"/>
      <c r="B552" s="33"/>
      <c r="C552" s="154"/>
    </row>
    <row r="553" spans="1:3" ht="15.75" customHeight="1" x14ac:dyDescent="0.35">
      <c r="A553" s="148"/>
      <c r="B553" s="33"/>
      <c r="C553" s="154"/>
    </row>
    <row r="554" spans="1:3" ht="15.75" customHeight="1" x14ac:dyDescent="0.35">
      <c r="A554" s="148"/>
      <c r="B554" s="33"/>
      <c r="C554" s="154"/>
    </row>
    <row r="555" spans="1:3" ht="15.75" customHeight="1" x14ac:dyDescent="0.35">
      <c r="A555" s="148"/>
      <c r="B555" s="33"/>
      <c r="C555" s="154"/>
    </row>
    <row r="556" spans="1:3" ht="15.75" customHeight="1" x14ac:dyDescent="0.35">
      <c r="A556" s="148"/>
      <c r="B556" s="33"/>
      <c r="C556" s="154"/>
    </row>
    <row r="557" spans="1:3" ht="15.75" customHeight="1" x14ac:dyDescent="0.35">
      <c r="A557" s="148"/>
      <c r="B557" s="33"/>
      <c r="C557" s="154"/>
    </row>
    <row r="558" spans="1:3" ht="15.75" customHeight="1" x14ac:dyDescent="0.35">
      <c r="A558" s="148"/>
      <c r="B558" s="33"/>
      <c r="C558" s="154"/>
    </row>
    <row r="559" spans="1:3" ht="15.75" customHeight="1" x14ac:dyDescent="0.35">
      <c r="A559" s="148"/>
      <c r="B559" s="33"/>
      <c r="C559" s="154"/>
    </row>
    <row r="560" spans="1:3" ht="15.75" customHeight="1" x14ac:dyDescent="0.35">
      <c r="A560" s="148"/>
      <c r="B560" s="33"/>
      <c r="C560" s="154"/>
    </row>
    <row r="561" spans="1:3" ht="15.75" customHeight="1" x14ac:dyDescent="0.35">
      <c r="A561" s="148"/>
      <c r="B561" s="33"/>
      <c r="C561" s="154"/>
    </row>
    <row r="562" spans="1:3" ht="15.75" customHeight="1" x14ac:dyDescent="0.35">
      <c r="A562" s="148"/>
      <c r="B562" s="33"/>
      <c r="C562" s="154"/>
    </row>
    <row r="563" spans="1:3" ht="15.75" customHeight="1" x14ac:dyDescent="0.35">
      <c r="A563" s="148"/>
      <c r="B563" s="33"/>
      <c r="C563" s="154"/>
    </row>
    <row r="564" spans="1:3" ht="15.75" customHeight="1" x14ac:dyDescent="0.35">
      <c r="A564" s="148"/>
      <c r="B564" s="33"/>
      <c r="C564" s="154"/>
    </row>
    <row r="565" spans="1:3" ht="15.75" customHeight="1" x14ac:dyDescent="0.35">
      <c r="A565" s="148"/>
      <c r="B565" s="33"/>
      <c r="C565" s="154"/>
    </row>
    <row r="566" spans="1:3" ht="15.75" customHeight="1" x14ac:dyDescent="0.35">
      <c r="A566" s="148"/>
      <c r="B566" s="33"/>
      <c r="C566" s="154"/>
    </row>
    <row r="567" spans="1:3" ht="15.75" customHeight="1" x14ac:dyDescent="0.35">
      <c r="A567" s="148"/>
      <c r="B567" s="33"/>
      <c r="C567" s="154"/>
    </row>
    <row r="568" spans="1:3" ht="15.75" customHeight="1" x14ac:dyDescent="0.35">
      <c r="A568" s="148"/>
      <c r="B568" s="33"/>
      <c r="C568" s="154"/>
    </row>
    <row r="569" spans="1:3" ht="15.75" customHeight="1" x14ac:dyDescent="0.35">
      <c r="A569" s="148"/>
      <c r="B569" s="33"/>
      <c r="C569" s="154"/>
    </row>
    <row r="570" spans="1:3" ht="15.75" customHeight="1" x14ac:dyDescent="0.35">
      <c r="A570" s="148"/>
      <c r="B570" s="33"/>
      <c r="C570" s="154"/>
    </row>
    <row r="571" spans="1:3" ht="15.75" customHeight="1" x14ac:dyDescent="0.35">
      <c r="A571" s="148"/>
      <c r="B571" s="33"/>
      <c r="C571" s="154"/>
    </row>
    <row r="572" spans="1:3" ht="15.75" customHeight="1" x14ac:dyDescent="0.35">
      <c r="A572" s="148"/>
      <c r="B572" s="33"/>
      <c r="C572" s="154"/>
    </row>
    <row r="573" spans="1:3" ht="15.75" customHeight="1" x14ac:dyDescent="0.35">
      <c r="A573" s="148"/>
      <c r="B573" s="33"/>
      <c r="C573" s="154"/>
    </row>
    <row r="574" spans="1:3" ht="15.75" customHeight="1" x14ac:dyDescent="0.35">
      <c r="A574" s="148"/>
      <c r="B574" s="33"/>
      <c r="C574" s="154"/>
    </row>
    <row r="575" spans="1:3" ht="15.75" customHeight="1" x14ac:dyDescent="0.35">
      <c r="A575" s="148"/>
      <c r="B575" s="33"/>
      <c r="C575" s="154"/>
    </row>
    <row r="576" spans="1:3" ht="15.75" customHeight="1" x14ac:dyDescent="0.35">
      <c r="A576" s="148"/>
      <c r="B576" s="33"/>
      <c r="C576" s="154"/>
    </row>
    <row r="577" spans="1:3" ht="15.75" customHeight="1" x14ac:dyDescent="0.35">
      <c r="A577" s="148"/>
      <c r="B577" s="33"/>
      <c r="C577" s="154"/>
    </row>
    <row r="578" spans="1:3" ht="15.75" customHeight="1" x14ac:dyDescent="0.35">
      <c r="A578" s="148"/>
      <c r="B578" s="33"/>
      <c r="C578" s="154"/>
    </row>
    <row r="579" spans="1:3" ht="15.75" customHeight="1" x14ac:dyDescent="0.35">
      <c r="A579" s="148"/>
      <c r="B579" s="33"/>
      <c r="C579" s="154"/>
    </row>
    <row r="580" spans="1:3" ht="15.75" customHeight="1" x14ac:dyDescent="0.35">
      <c r="A580" s="148"/>
      <c r="B580" s="33"/>
      <c r="C580" s="154"/>
    </row>
    <row r="581" spans="1:3" ht="15.75" customHeight="1" x14ac:dyDescent="0.35">
      <c r="A581" s="148"/>
      <c r="B581" s="33"/>
      <c r="C581" s="154"/>
    </row>
    <row r="582" spans="1:3" ht="15.75" customHeight="1" x14ac:dyDescent="0.35">
      <c r="A582" s="148"/>
      <c r="B582" s="33"/>
      <c r="C582" s="154"/>
    </row>
    <row r="583" spans="1:3" ht="15.75" customHeight="1" x14ac:dyDescent="0.35">
      <c r="A583" s="148"/>
      <c r="B583" s="33"/>
      <c r="C583" s="154"/>
    </row>
    <row r="584" spans="1:3" ht="15.75" customHeight="1" x14ac:dyDescent="0.35">
      <c r="A584" s="148"/>
      <c r="B584" s="33"/>
      <c r="C584" s="154"/>
    </row>
    <row r="585" spans="1:3" ht="15.75" customHeight="1" x14ac:dyDescent="0.35">
      <c r="A585" s="148"/>
      <c r="B585" s="33"/>
      <c r="C585" s="154"/>
    </row>
    <row r="586" spans="1:3" ht="15.75" customHeight="1" x14ac:dyDescent="0.35">
      <c r="A586" s="148"/>
      <c r="B586" s="33"/>
      <c r="C586" s="154"/>
    </row>
    <row r="587" spans="1:3" ht="15.75" customHeight="1" x14ac:dyDescent="0.35">
      <c r="A587" s="148"/>
      <c r="B587" s="33"/>
      <c r="C587" s="154"/>
    </row>
    <row r="588" spans="1:3" ht="15.75" customHeight="1" x14ac:dyDescent="0.35">
      <c r="A588" s="148"/>
      <c r="B588" s="33"/>
      <c r="C588" s="154"/>
    </row>
    <row r="589" spans="1:3" ht="15.75" customHeight="1" x14ac:dyDescent="0.35">
      <c r="A589" s="148"/>
      <c r="B589" s="33"/>
      <c r="C589" s="154"/>
    </row>
    <row r="590" spans="1:3" ht="15.75" customHeight="1" x14ac:dyDescent="0.35">
      <c r="A590" s="148"/>
      <c r="B590" s="33"/>
      <c r="C590" s="154"/>
    </row>
    <row r="591" spans="1:3" ht="15.75" customHeight="1" x14ac:dyDescent="0.35">
      <c r="A591" s="148"/>
      <c r="B591" s="33"/>
      <c r="C591" s="154"/>
    </row>
    <row r="592" spans="1:3" ht="15.75" customHeight="1" x14ac:dyDescent="0.35">
      <c r="A592" s="148"/>
      <c r="B592" s="33"/>
      <c r="C592" s="154"/>
    </row>
    <row r="593" spans="1:3" ht="15.75" customHeight="1" x14ac:dyDescent="0.35">
      <c r="A593" s="148"/>
      <c r="B593" s="33"/>
      <c r="C593" s="154"/>
    </row>
    <row r="594" spans="1:3" ht="15.75" customHeight="1" x14ac:dyDescent="0.35">
      <c r="A594" s="148"/>
      <c r="B594" s="33"/>
      <c r="C594" s="154"/>
    </row>
    <row r="595" spans="1:3" ht="15.75" customHeight="1" x14ac:dyDescent="0.35">
      <c r="A595" s="148"/>
      <c r="B595" s="33"/>
      <c r="C595" s="154"/>
    </row>
    <row r="596" spans="1:3" ht="15.75" customHeight="1" x14ac:dyDescent="0.35">
      <c r="A596" s="148"/>
      <c r="B596" s="33"/>
      <c r="C596" s="154"/>
    </row>
    <row r="597" spans="1:3" ht="15.75" customHeight="1" x14ac:dyDescent="0.35">
      <c r="A597" s="148"/>
      <c r="B597" s="33"/>
      <c r="C597" s="154"/>
    </row>
    <row r="598" spans="1:3" ht="15.75" customHeight="1" x14ac:dyDescent="0.35">
      <c r="A598" s="148"/>
      <c r="B598" s="33"/>
      <c r="C598" s="154"/>
    </row>
    <row r="599" spans="1:3" ht="15.75" customHeight="1" x14ac:dyDescent="0.35">
      <c r="A599" s="148"/>
      <c r="B599" s="33"/>
      <c r="C599" s="154"/>
    </row>
    <row r="600" spans="1:3" ht="15.75" customHeight="1" x14ac:dyDescent="0.35">
      <c r="A600" s="148"/>
      <c r="B600" s="33"/>
      <c r="C600" s="154"/>
    </row>
    <row r="601" spans="1:3" ht="15.75" customHeight="1" x14ac:dyDescent="0.35">
      <c r="A601" s="148"/>
      <c r="B601" s="33"/>
      <c r="C601" s="154"/>
    </row>
    <row r="602" spans="1:3" ht="15.75" customHeight="1" x14ac:dyDescent="0.35">
      <c r="A602" s="148"/>
      <c r="B602" s="33"/>
      <c r="C602" s="154"/>
    </row>
    <row r="603" spans="1:3" ht="15.75" customHeight="1" x14ac:dyDescent="0.35">
      <c r="A603" s="148"/>
      <c r="B603" s="33"/>
      <c r="C603" s="154"/>
    </row>
    <row r="604" spans="1:3" ht="15.75" customHeight="1" x14ac:dyDescent="0.35">
      <c r="A604" s="148"/>
      <c r="B604" s="33"/>
      <c r="C604" s="154"/>
    </row>
    <row r="605" spans="1:3" ht="15.75" customHeight="1" x14ac:dyDescent="0.35">
      <c r="A605" s="148"/>
      <c r="B605" s="33"/>
      <c r="C605" s="154"/>
    </row>
    <row r="606" spans="1:3" ht="15.75" customHeight="1" x14ac:dyDescent="0.35">
      <c r="A606" s="148"/>
      <c r="B606" s="33"/>
      <c r="C606" s="154"/>
    </row>
    <row r="607" spans="1:3" ht="15.75" customHeight="1" x14ac:dyDescent="0.35">
      <c r="A607" s="148"/>
      <c r="B607" s="33"/>
      <c r="C607" s="154"/>
    </row>
  </sheetData>
  <mergeCells count="2">
    <mergeCell ref="A1:D1"/>
    <mergeCell ref="D2:L2"/>
  </mergeCells>
  <pageMargins left="0.7" right="0.7" top="0.75" bottom="0.75" header="0.511811023622047" footer="0.511811023622047"/>
  <pageSetup paperSize="9" scale="85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9CF05-7E16-4003-8586-99DD0F6FF07C}">
  <dimension ref="A1:AY520"/>
  <sheetViews>
    <sheetView zoomScale="80" zoomScaleNormal="80" workbookViewId="0">
      <pane xSplit="3" ySplit="2" topLeftCell="D3" activePane="bottomRight" state="frozen"/>
      <selection pane="topRight" activeCell="F1" sqref="F1"/>
      <selection pane="bottomLeft" activeCell="A4" sqref="A4"/>
      <selection pane="bottomRight" activeCell="C5" sqref="C5"/>
    </sheetView>
  </sheetViews>
  <sheetFormatPr defaultColWidth="14.42578125" defaultRowHeight="17.25" x14ac:dyDescent="0.35"/>
  <cols>
    <col min="1" max="1" width="4.7109375" style="29" customWidth="1"/>
    <col min="2" max="2" width="19.5703125" style="108" customWidth="1"/>
    <col min="3" max="3" width="22.85546875" style="119" customWidth="1"/>
    <col min="4" max="4" width="23.85546875" style="29" customWidth="1"/>
    <col min="5" max="16384" width="14.42578125" style="29"/>
  </cols>
  <sheetData>
    <row r="1" spans="1:51" ht="23.25" x14ac:dyDescent="0.35">
      <c r="A1" s="52" t="s">
        <v>41</v>
      </c>
      <c r="B1" s="103"/>
      <c r="C1" s="109"/>
    </row>
    <row r="2" spans="1:51" ht="66.599999999999994" customHeight="1" x14ac:dyDescent="0.35">
      <c r="A2" s="30"/>
      <c r="B2" s="104" t="s">
        <v>30</v>
      </c>
      <c r="C2" s="110" t="s">
        <v>31</v>
      </c>
      <c r="D2" s="29">
        <v>63.25</v>
      </c>
    </row>
    <row r="3" spans="1:51" ht="19.899999999999999" customHeight="1" x14ac:dyDescent="0.35">
      <c r="A3" s="30"/>
      <c r="B3" s="104"/>
      <c r="C3" s="110"/>
    </row>
    <row r="4" spans="1:51" ht="19.899999999999999" customHeight="1" x14ac:dyDescent="0.35">
      <c r="A4" s="30"/>
      <c r="B4" s="105">
        <v>46023</v>
      </c>
      <c r="C4" s="111">
        <f>+' EXPENSES'!D122</f>
        <v>1168189.9051999999</v>
      </c>
      <c r="D4" s="120">
        <f>+C4/$D$2</f>
        <v>18469.405615810276</v>
      </c>
    </row>
    <row r="5" spans="1:51" ht="19.5" customHeight="1" x14ac:dyDescent="0.35">
      <c r="A5" s="96"/>
      <c r="B5" s="105">
        <v>46055</v>
      </c>
      <c r="C5" s="112"/>
      <c r="D5" s="120">
        <f t="shared" ref="D5:D15" si="0">+C5/$D$2</f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</row>
    <row r="6" spans="1:51" ht="19.5" customHeight="1" x14ac:dyDescent="0.35">
      <c r="A6" s="31"/>
      <c r="B6" s="105">
        <v>46087</v>
      </c>
      <c r="C6" s="113"/>
      <c r="D6" s="120">
        <f t="shared" si="0"/>
        <v>0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1:51" ht="19.5" customHeight="1" x14ac:dyDescent="0.35">
      <c r="A7" s="31"/>
      <c r="B7" s="105">
        <v>46119</v>
      </c>
      <c r="C7" s="112"/>
      <c r="D7" s="120">
        <f t="shared" si="0"/>
        <v>0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</row>
    <row r="8" spans="1:51" ht="19.5" customHeight="1" x14ac:dyDescent="0.35">
      <c r="A8" s="31"/>
      <c r="B8" s="105">
        <v>46151</v>
      </c>
      <c r="C8" s="112"/>
      <c r="D8" s="120">
        <f t="shared" si="0"/>
        <v>0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</row>
    <row r="9" spans="1:51" ht="19.5" customHeight="1" x14ac:dyDescent="0.35">
      <c r="A9" s="31"/>
      <c r="B9" s="105">
        <v>46183</v>
      </c>
      <c r="C9" s="113"/>
      <c r="D9" s="120">
        <f t="shared" si="0"/>
        <v>0</v>
      </c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</row>
    <row r="10" spans="1:51" ht="19.5" customHeight="1" x14ac:dyDescent="0.35">
      <c r="A10" s="31"/>
      <c r="B10" s="105">
        <v>46215</v>
      </c>
      <c r="C10" s="112"/>
      <c r="D10" s="120">
        <f t="shared" si="0"/>
        <v>0</v>
      </c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</row>
    <row r="11" spans="1:51" ht="19.5" customHeight="1" x14ac:dyDescent="0.35">
      <c r="A11" s="31"/>
      <c r="B11" s="105">
        <v>46247</v>
      </c>
      <c r="C11" s="112"/>
      <c r="D11" s="120">
        <f t="shared" si="0"/>
        <v>0</v>
      </c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</row>
    <row r="12" spans="1:51" ht="19.5" customHeight="1" x14ac:dyDescent="0.35">
      <c r="A12" s="31"/>
      <c r="B12" s="105">
        <v>46279</v>
      </c>
      <c r="C12" s="113"/>
      <c r="D12" s="120">
        <f t="shared" si="0"/>
        <v>0</v>
      </c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</row>
    <row r="13" spans="1:51" ht="19.5" customHeight="1" x14ac:dyDescent="0.35">
      <c r="A13" s="31"/>
      <c r="B13" s="105">
        <v>46311</v>
      </c>
      <c r="C13" s="112"/>
      <c r="D13" s="120">
        <f t="shared" si="0"/>
        <v>0</v>
      </c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</row>
    <row r="14" spans="1:51" ht="19.5" customHeight="1" x14ac:dyDescent="0.35">
      <c r="A14" s="31"/>
      <c r="B14" s="105">
        <v>46343</v>
      </c>
      <c r="C14" s="113"/>
      <c r="D14" s="120">
        <f t="shared" si="0"/>
        <v>0</v>
      </c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</row>
    <row r="15" spans="1:51" ht="19.5" customHeight="1" x14ac:dyDescent="0.35">
      <c r="A15" s="31"/>
      <c r="B15" s="105">
        <v>46375</v>
      </c>
      <c r="C15" s="114"/>
      <c r="D15" s="120">
        <f t="shared" si="0"/>
        <v>0</v>
      </c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</row>
    <row r="16" spans="1:51" ht="19.5" customHeight="1" thickBot="1" x14ac:dyDescent="0.4">
      <c r="A16" s="31"/>
      <c r="B16" s="106"/>
      <c r="C16" s="115">
        <f>SUM(C4:C15)</f>
        <v>1168189.9051999999</v>
      </c>
      <c r="D16" s="121">
        <f>SUM(D4:D15)</f>
        <v>18469.405615810276</v>
      </c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</row>
    <row r="17" spans="1:51" ht="19.5" customHeight="1" thickTop="1" x14ac:dyDescent="0.35">
      <c r="A17" s="31"/>
      <c r="B17" s="106"/>
      <c r="C17" s="116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</row>
    <row r="18" spans="1:51" ht="29.45" customHeight="1" x14ac:dyDescent="0.35">
      <c r="A18" s="31"/>
      <c r="B18" s="106" t="s">
        <v>32</v>
      </c>
      <c r="C18" s="117">
        <f>+C16/9</f>
        <v>129798.87835555554</v>
      </c>
      <c r="D18" s="122">
        <f>+D16/9</f>
        <v>2052.1561795344751</v>
      </c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</row>
    <row r="19" spans="1:51" ht="15.75" customHeight="1" x14ac:dyDescent="0.35">
      <c r="A19" s="33"/>
      <c r="B19" s="107"/>
      <c r="C19" s="118"/>
    </row>
    <row r="20" spans="1:51" ht="15.75" customHeight="1" x14ac:dyDescent="0.35">
      <c r="A20" s="33"/>
      <c r="B20" s="107"/>
      <c r="C20" s="118"/>
    </row>
    <row r="21" spans="1:51" ht="15.75" customHeight="1" x14ac:dyDescent="0.35">
      <c r="A21" s="33"/>
      <c r="B21" s="107"/>
      <c r="C21" s="118"/>
    </row>
    <row r="22" spans="1:51" ht="15.75" customHeight="1" x14ac:dyDescent="0.35">
      <c r="A22" s="33"/>
      <c r="B22" s="107"/>
      <c r="C22" s="118"/>
    </row>
    <row r="23" spans="1:51" ht="15.75" customHeight="1" x14ac:dyDescent="0.35">
      <c r="A23" s="33"/>
      <c r="B23" s="107"/>
      <c r="C23" s="118"/>
    </row>
    <row r="24" spans="1:51" ht="15.75" customHeight="1" x14ac:dyDescent="0.35">
      <c r="A24" s="33"/>
      <c r="B24" s="107"/>
      <c r="C24" s="118"/>
    </row>
    <row r="25" spans="1:51" ht="15.75" customHeight="1" x14ac:dyDescent="0.35">
      <c r="A25" s="33"/>
      <c r="B25" s="107"/>
      <c r="C25" s="118"/>
    </row>
    <row r="26" spans="1:51" ht="15.75" customHeight="1" x14ac:dyDescent="0.35">
      <c r="A26" s="33"/>
      <c r="B26" s="107"/>
      <c r="C26" s="118"/>
    </row>
    <row r="27" spans="1:51" ht="15.75" customHeight="1" x14ac:dyDescent="0.35">
      <c r="A27" s="33"/>
      <c r="B27" s="107"/>
      <c r="C27" s="118"/>
    </row>
    <row r="28" spans="1:51" ht="15.75" customHeight="1" x14ac:dyDescent="0.35">
      <c r="A28" s="33"/>
      <c r="B28" s="107"/>
      <c r="C28" s="118"/>
    </row>
    <row r="29" spans="1:51" ht="15.75" customHeight="1" x14ac:dyDescent="0.35">
      <c r="A29" s="33"/>
      <c r="B29" s="107"/>
      <c r="C29" s="118"/>
    </row>
    <row r="30" spans="1:51" ht="15.75" customHeight="1" x14ac:dyDescent="0.35">
      <c r="A30" s="33"/>
      <c r="B30" s="107"/>
      <c r="C30" s="118"/>
    </row>
    <row r="31" spans="1:51" ht="15.75" customHeight="1" x14ac:dyDescent="0.35">
      <c r="A31" s="33"/>
      <c r="B31" s="107"/>
      <c r="C31" s="118"/>
    </row>
    <row r="32" spans="1:51" ht="15.75" customHeight="1" x14ac:dyDescent="0.35">
      <c r="A32" s="33"/>
      <c r="B32" s="107"/>
      <c r="C32" s="118"/>
    </row>
    <row r="33" spans="1:3" ht="15.75" customHeight="1" x14ac:dyDescent="0.35">
      <c r="A33" s="33"/>
      <c r="B33" s="107"/>
      <c r="C33" s="118"/>
    </row>
    <row r="34" spans="1:3" ht="15.75" customHeight="1" x14ac:dyDescent="0.35">
      <c r="A34" s="33"/>
      <c r="B34" s="107"/>
      <c r="C34" s="118"/>
    </row>
    <row r="35" spans="1:3" ht="15.75" customHeight="1" x14ac:dyDescent="0.35">
      <c r="A35" s="33"/>
      <c r="B35" s="107"/>
      <c r="C35" s="118"/>
    </row>
    <row r="36" spans="1:3" ht="15.75" customHeight="1" x14ac:dyDescent="0.35">
      <c r="A36" s="33"/>
      <c r="B36" s="107"/>
      <c r="C36" s="118"/>
    </row>
    <row r="37" spans="1:3" ht="15.75" customHeight="1" x14ac:dyDescent="0.35">
      <c r="A37" s="33"/>
      <c r="B37" s="107"/>
      <c r="C37" s="118"/>
    </row>
    <row r="38" spans="1:3" ht="15.75" customHeight="1" x14ac:dyDescent="0.35">
      <c r="A38" s="33"/>
      <c r="B38" s="107"/>
      <c r="C38" s="118"/>
    </row>
    <row r="39" spans="1:3" ht="15.75" customHeight="1" x14ac:dyDescent="0.35">
      <c r="A39" s="33"/>
      <c r="B39" s="107"/>
      <c r="C39" s="118"/>
    </row>
    <row r="40" spans="1:3" ht="15.75" customHeight="1" x14ac:dyDescent="0.35">
      <c r="A40" s="33"/>
      <c r="B40" s="107"/>
      <c r="C40" s="118"/>
    </row>
    <row r="41" spans="1:3" ht="15.75" customHeight="1" x14ac:dyDescent="0.35">
      <c r="A41" s="33"/>
      <c r="B41" s="107"/>
      <c r="C41" s="118"/>
    </row>
    <row r="42" spans="1:3" ht="15.75" customHeight="1" x14ac:dyDescent="0.35">
      <c r="A42" s="33"/>
      <c r="B42" s="107"/>
      <c r="C42" s="118"/>
    </row>
    <row r="43" spans="1:3" ht="15.75" customHeight="1" x14ac:dyDescent="0.35">
      <c r="A43" s="33"/>
      <c r="B43" s="107"/>
      <c r="C43" s="118"/>
    </row>
    <row r="44" spans="1:3" ht="15.75" customHeight="1" x14ac:dyDescent="0.35">
      <c r="A44" s="33"/>
      <c r="B44" s="107"/>
      <c r="C44" s="118"/>
    </row>
    <row r="45" spans="1:3" ht="15.75" customHeight="1" x14ac:dyDescent="0.35">
      <c r="A45" s="33"/>
      <c r="B45" s="107"/>
      <c r="C45" s="118"/>
    </row>
    <row r="46" spans="1:3" ht="15.75" customHeight="1" x14ac:dyDescent="0.35">
      <c r="A46" s="33"/>
      <c r="B46" s="107"/>
      <c r="C46" s="118"/>
    </row>
    <row r="47" spans="1:3" ht="15.75" customHeight="1" x14ac:dyDescent="0.35">
      <c r="A47" s="33"/>
      <c r="B47" s="107"/>
      <c r="C47" s="118"/>
    </row>
    <row r="48" spans="1:3" ht="15.75" customHeight="1" x14ac:dyDescent="0.35">
      <c r="A48" s="33"/>
      <c r="B48" s="107"/>
      <c r="C48" s="118"/>
    </row>
    <row r="49" spans="1:3" ht="15.75" customHeight="1" x14ac:dyDescent="0.35">
      <c r="A49" s="33"/>
      <c r="B49" s="107"/>
      <c r="C49" s="118"/>
    </row>
    <row r="50" spans="1:3" ht="15.75" customHeight="1" x14ac:dyDescent="0.35">
      <c r="A50" s="33"/>
      <c r="B50" s="107"/>
      <c r="C50" s="118"/>
    </row>
    <row r="51" spans="1:3" ht="15.75" customHeight="1" x14ac:dyDescent="0.35">
      <c r="A51" s="33"/>
      <c r="B51" s="107"/>
      <c r="C51" s="118"/>
    </row>
    <row r="52" spans="1:3" ht="15.75" customHeight="1" x14ac:dyDescent="0.35">
      <c r="A52" s="33"/>
      <c r="B52" s="107"/>
      <c r="C52" s="118"/>
    </row>
    <row r="53" spans="1:3" ht="15.75" customHeight="1" x14ac:dyDescent="0.35">
      <c r="A53" s="33"/>
      <c r="B53" s="107"/>
      <c r="C53" s="118"/>
    </row>
    <row r="54" spans="1:3" ht="15.75" customHeight="1" x14ac:dyDescent="0.35">
      <c r="A54" s="33"/>
      <c r="B54" s="107"/>
      <c r="C54" s="118"/>
    </row>
    <row r="55" spans="1:3" ht="15.75" customHeight="1" x14ac:dyDescent="0.35">
      <c r="A55" s="33"/>
      <c r="B55" s="107"/>
      <c r="C55" s="118"/>
    </row>
    <row r="56" spans="1:3" ht="15.75" customHeight="1" x14ac:dyDescent="0.35">
      <c r="A56" s="33"/>
      <c r="B56" s="107"/>
      <c r="C56" s="118"/>
    </row>
    <row r="57" spans="1:3" ht="15.75" customHeight="1" x14ac:dyDescent="0.35">
      <c r="A57" s="33"/>
      <c r="B57" s="107"/>
      <c r="C57" s="118"/>
    </row>
    <row r="58" spans="1:3" ht="15.75" customHeight="1" x14ac:dyDescent="0.35">
      <c r="A58" s="33"/>
      <c r="B58" s="107"/>
      <c r="C58" s="118"/>
    </row>
    <row r="59" spans="1:3" ht="15.75" customHeight="1" x14ac:dyDescent="0.35">
      <c r="A59" s="33"/>
      <c r="B59" s="107"/>
      <c r="C59" s="118"/>
    </row>
    <row r="60" spans="1:3" ht="15.75" customHeight="1" x14ac:dyDescent="0.35">
      <c r="A60" s="33"/>
      <c r="B60" s="107"/>
      <c r="C60" s="118"/>
    </row>
    <row r="61" spans="1:3" ht="15.75" customHeight="1" x14ac:dyDescent="0.35">
      <c r="A61" s="33"/>
      <c r="B61" s="107"/>
      <c r="C61" s="118"/>
    </row>
    <row r="62" spans="1:3" ht="15.75" customHeight="1" x14ac:dyDescent="0.35">
      <c r="A62" s="33"/>
      <c r="B62" s="107"/>
      <c r="C62" s="118"/>
    </row>
    <row r="63" spans="1:3" ht="15.75" customHeight="1" x14ac:dyDescent="0.35">
      <c r="A63" s="33"/>
      <c r="B63" s="107"/>
      <c r="C63" s="118"/>
    </row>
    <row r="64" spans="1:3" ht="15.75" customHeight="1" x14ac:dyDescent="0.35">
      <c r="A64" s="33"/>
      <c r="B64" s="107"/>
      <c r="C64" s="118"/>
    </row>
    <row r="65" spans="1:3" ht="15.75" customHeight="1" x14ac:dyDescent="0.35">
      <c r="A65" s="33"/>
      <c r="B65" s="107"/>
      <c r="C65" s="118"/>
    </row>
    <row r="66" spans="1:3" ht="15.75" customHeight="1" x14ac:dyDescent="0.35">
      <c r="A66" s="33"/>
      <c r="B66" s="107"/>
      <c r="C66" s="118"/>
    </row>
    <row r="67" spans="1:3" ht="15.75" customHeight="1" x14ac:dyDescent="0.35">
      <c r="A67" s="33"/>
      <c r="B67" s="107"/>
      <c r="C67" s="118"/>
    </row>
    <row r="68" spans="1:3" ht="15.75" customHeight="1" x14ac:dyDescent="0.35">
      <c r="A68" s="33"/>
      <c r="B68" s="107"/>
      <c r="C68" s="118"/>
    </row>
    <row r="69" spans="1:3" ht="15.75" customHeight="1" x14ac:dyDescent="0.35">
      <c r="A69" s="33"/>
      <c r="B69" s="107"/>
      <c r="C69" s="118"/>
    </row>
    <row r="70" spans="1:3" ht="15.75" customHeight="1" x14ac:dyDescent="0.35">
      <c r="A70" s="33"/>
      <c r="B70" s="107"/>
      <c r="C70" s="118"/>
    </row>
    <row r="71" spans="1:3" ht="15.75" customHeight="1" x14ac:dyDescent="0.35">
      <c r="A71" s="33"/>
      <c r="B71" s="107"/>
      <c r="C71" s="118"/>
    </row>
    <row r="72" spans="1:3" ht="15.75" customHeight="1" x14ac:dyDescent="0.35">
      <c r="A72" s="33"/>
      <c r="B72" s="107"/>
      <c r="C72" s="118"/>
    </row>
    <row r="73" spans="1:3" ht="15.75" customHeight="1" x14ac:dyDescent="0.35">
      <c r="A73" s="33"/>
      <c r="B73" s="107"/>
      <c r="C73" s="118"/>
    </row>
    <row r="74" spans="1:3" ht="15.75" customHeight="1" x14ac:dyDescent="0.35">
      <c r="A74" s="33"/>
      <c r="B74" s="107"/>
      <c r="C74" s="118"/>
    </row>
    <row r="75" spans="1:3" ht="15.75" customHeight="1" x14ac:dyDescent="0.35">
      <c r="A75" s="33"/>
      <c r="B75" s="107"/>
      <c r="C75" s="118"/>
    </row>
    <row r="76" spans="1:3" ht="15.75" customHeight="1" x14ac:dyDescent="0.35">
      <c r="A76" s="33"/>
      <c r="B76" s="107"/>
      <c r="C76" s="118"/>
    </row>
    <row r="77" spans="1:3" ht="15.75" customHeight="1" x14ac:dyDescent="0.35">
      <c r="A77" s="33"/>
      <c r="B77" s="107"/>
      <c r="C77" s="118"/>
    </row>
    <row r="78" spans="1:3" ht="15.75" customHeight="1" x14ac:dyDescent="0.35">
      <c r="A78" s="33"/>
      <c r="B78" s="107"/>
      <c r="C78" s="118"/>
    </row>
    <row r="79" spans="1:3" ht="15.75" customHeight="1" x14ac:dyDescent="0.35">
      <c r="A79" s="33"/>
      <c r="B79" s="107"/>
      <c r="C79" s="118"/>
    </row>
    <row r="80" spans="1:3" ht="15.75" customHeight="1" x14ac:dyDescent="0.35">
      <c r="A80" s="33"/>
      <c r="B80" s="107"/>
      <c r="C80" s="118"/>
    </row>
    <row r="81" spans="1:3" ht="15.75" customHeight="1" x14ac:dyDescent="0.35">
      <c r="A81" s="33"/>
      <c r="B81" s="107"/>
      <c r="C81" s="118"/>
    </row>
    <row r="82" spans="1:3" ht="15.75" customHeight="1" x14ac:dyDescent="0.35">
      <c r="A82" s="33"/>
      <c r="B82" s="107"/>
      <c r="C82" s="118"/>
    </row>
    <row r="83" spans="1:3" ht="15.75" customHeight="1" x14ac:dyDescent="0.35">
      <c r="A83" s="33"/>
      <c r="B83" s="107"/>
      <c r="C83" s="118"/>
    </row>
    <row r="84" spans="1:3" ht="15.75" customHeight="1" x14ac:dyDescent="0.35">
      <c r="A84" s="33"/>
      <c r="B84" s="107"/>
      <c r="C84" s="118"/>
    </row>
    <row r="85" spans="1:3" ht="15.75" customHeight="1" x14ac:dyDescent="0.35">
      <c r="A85" s="33"/>
      <c r="B85" s="107"/>
      <c r="C85" s="118"/>
    </row>
    <row r="86" spans="1:3" ht="15.75" customHeight="1" x14ac:dyDescent="0.35">
      <c r="A86" s="33"/>
      <c r="B86" s="107"/>
      <c r="C86" s="118"/>
    </row>
    <row r="87" spans="1:3" ht="15.75" customHeight="1" x14ac:dyDescent="0.35">
      <c r="A87" s="33"/>
      <c r="B87" s="107"/>
      <c r="C87" s="118"/>
    </row>
    <row r="88" spans="1:3" ht="15.75" customHeight="1" x14ac:dyDescent="0.35">
      <c r="A88" s="33"/>
      <c r="B88" s="107"/>
      <c r="C88" s="118"/>
    </row>
    <row r="89" spans="1:3" ht="15.75" customHeight="1" x14ac:dyDescent="0.35">
      <c r="A89" s="33"/>
      <c r="B89" s="107"/>
      <c r="C89" s="118"/>
    </row>
    <row r="90" spans="1:3" ht="15.75" customHeight="1" x14ac:dyDescent="0.35">
      <c r="A90" s="33"/>
      <c r="B90" s="107"/>
      <c r="C90" s="118"/>
    </row>
    <row r="91" spans="1:3" ht="15.75" customHeight="1" x14ac:dyDescent="0.35">
      <c r="A91" s="33"/>
      <c r="B91" s="107"/>
      <c r="C91" s="118"/>
    </row>
    <row r="92" spans="1:3" ht="15.75" customHeight="1" x14ac:dyDescent="0.35">
      <c r="A92" s="33"/>
      <c r="B92" s="107"/>
      <c r="C92" s="118"/>
    </row>
    <row r="93" spans="1:3" ht="15.75" customHeight="1" x14ac:dyDescent="0.35">
      <c r="A93" s="33"/>
      <c r="B93" s="107"/>
      <c r="C93" s="118"/>
    </row>
    <row r="94" spans="1:3" ht="15.75" customHeight="1" x14ac:dyDescent="0.35">
      <c r="A94" s="33"/>
      <c r="B94" s="107"/>
      <c r="C94" s="118"/>
    </row>
    <row r="95" spans="1:3" ht="15.75" customHeight="1" x14ac:dyDescent="0.35">
      <c r="A95" s="33"/>
      <c r="B95" s="107"/>
      <c r="C95" s="118"/>
    </row>
    <row r="96" spans="1:3" ht="15.75" customHeight="1" x14ac:dyDescent="0.35">
      <c r="A96" s="33"/>
      <c r="B96" s="107"/>
      <c r="C96" s="118"/>
    </row>
    <row r="97" spans="1:3" ht="15.75" customHeight="1" x14ac:dyDescent="0.35">
      <c r="A97" s="33"/>
      <c r="B97" s="107"/>
      <c r="C97" s="118"/>
    </row>
    <row r="98" spans="1:3" ht="15.75" customHeight="1" x14ac:dyDescent="0.35">
      <c r="A98" s="33"/>
      <c r="B98" s="107"/>
      <c r="C98" s="118"/>
    </row>
    <row r="99" spans="1:3" ht="15.75" customHeight="1" x14ac:dyDescent="0.35">
      <c r="A99" s="33"/>
      <c r="B99" s="107"/>
      <c r="C99" s="118"/>
    </row>
    <row r="100" spans="1:3" ht="15.75" customHeight="1" x14ac:dyDescent="0.35">
      <c r="A100" s="33"/>
      <c r="B100" s="107"/>
      <c r="C100" s="118"/>
    </row>
    <row r="101" spans="1:3" ht="15.75" customHeight="1" x14ac:dyDescent="0.35">
      <c r="A101" s="33"/>
      <c r="B101" s="107"/>
      <c r="C101" s="118"/>
    </row>
    <row r="102" spans="1:3" ht="15.75" customHeight="1" x14ac:dyDescent="0.35">
      <c r="A102" s="33"/>
      <c r="B102" s="107"/>
      <c r="C102" s="118"/>
    </row>
    <row r="103" spans="1:3" ht="15.75" customHeight="1" x14ac:dyDescent="0.35">
      <c r="A103" s="33"/>
      <c r="B103" s="107"/>
      <c r="C103" s="118"/>
    </row>
    <row r="104" spans="1:3" ht="15.75" customHeight="1" x14ac:dyDescent="0.35">
      <c r="A104" s="33"/>
      <c r="B104" s="107"/>
      <c r="C104" s="118"/>
    </row>
    <row r="105" spans="1:3" ht="15.75" customHeight="1" x14ac:dyDescent="0.35">
      <c r="A105" s="33"/>
      <c r="B105" s="107"/>
      <c r="C105" s="118"/>
    </row>
    <row r="106" spans="1:3" ht="15.75" customHeight="1" x14ac:dyDescent="0.35">
      <c r="A106" s="33"/>
      <c r="B106" s="107"/>
      <c r="C106" s="118"/>
    </row>
    <row r="107" spans="1:3" ht="15.75" customHeight="1" x14ac:dyDescent="0.35">
      <c r="A107" s="33"/>
      <c r="B107" s="107"/>
      <c r="C107" s="118"/>
    </row>
    <row r="108" spans="1:3" ht="15.75" customHeight="1" x14ac:dyDescent="0.35">
      <c r="A108" s="33"/>
      <c r="B108" s="107"/>
      <c r="C108" s="118"/>
    </row>
    <row r="109" spans="1:3" ht="15.75" customHeight="1" x14ac:dyDescent="0.35">
      <c r="A109" s="33"/>
      <c r="B109" s="107"/>
      <c r="C109" s="118"/>
    </row>
    <row r="110" spans="1:3" ht="15.75" customHeight="1" x14ac:dyDescent="0.35">
      <c r="A110" s="33"/>
      <c r="B110" s="107"/>
      <c r="C110" s="118"/>
    </row>
    <row r="111" spans="1:3" ht="15.75" customHeight="1" x14ac:dyDescent="0.35">
      <c r="A111" s="33"/>
      <c r="B111" s="107"/>
      <c r="C111" s="118"/>
    </row>
    <row r="112" spans="1:3" ht="15.75" customHeight="1" x14ac:dyDescent="0.35">
      <c r="A112" s="33"/>
      <c r="B112" s="107"/>
      <c r="C112" s="118"/>
    </row>
    <row r="113" spans="1:3" ht="15.75" customHeight="1" x14ac:dyDescent="0.35">
      <c r="A113" s="33"/>
      <c r="B113" s="107"/>
      <c r="C113" s="118"/>
    </row>
    <row r="114" spans="1:3" ht="15.75" customHeight="1" x14ac:dyDescent="0.35">
      <c r="A114" s="33"/>
      <c r="B114" s="107"/>
      <c r="C114" s="118"/>
    </row>
    <row r="115" spans="1:3" ht="15.75" customHeight="1" x14ac:dyDescent="0.35">
      <c r="A115" s="33"/>
      <c r="B115" s="107"/>
      <c r="C115" s="118"/>
    </row>
    <row r="116" spans="1:3" ht="15.75" customHeight="1" x14ac:dyDescent="0.35">
      <c r="A116" s="33"/>
      <c r="B116" s="107"/>
      <c r="C116" s="118"/>
    </row>
    <row r="117" spans="1:3" ht="15.75" customHeight="1" x14ac:dyDescent="0.35">
      <c r="A117" s="33"/>
      <c r="B117" s="107"/>
      <c r="C117" s="118"/>
    </row>
    <row r="118" spans="1:3" ht="15.75" customHeight="1" x14ac:dyDescent="0.35">
      <c r="A118" s="33"/>
      <c r="B118" s="107"/>
      <c r="C118" s="118"/>
    </row>
    <row r="119" spans="1:3" ht="15.75" customHeight="1" x14ac:dyDescent="0.35">
      <c r="A119" s="33"/>
      <c r="B119" s="107"/>
      <c r="C119" s="118"/>
    </row>
    <row r="120" spans="1:3" ht="15.75" customHeight="1" x14ac:dyDescent="0.35">
      <c r="A120" s="33"/>
      <c r="B120" s="107"/>
      <c r="C120" s="118"/>
    </row>
    <row r="121" spans="1:3" ht="15.75" customHeight="1" x14ac:dyDescent="0.35">
      <c r="A121" s="33"/>
      <c r="B121" s="107"/>
      <c r="C121" s="118"/>
    </row>
    <row r="122" spans="1:3" ht="15.75" customHeight="1" x14ac:dyDescent="0.35">
      <c r="A122" s="33"/>
      <c r="B122" s="107"/>
      <c r="C122" s="118"/>
    </row>
    <row r="123" spans="1:3" ht="15.75" customHeight="1" x14ac:dyDescent="0.35">
      <c r="A123" s="33"/>
      <c r="B123" s="107"/>
      <c r="C123" s="118"/>
    </row>
    <row r="124" spans="1:3" ht="15.75" customHeight="1" x14ac:dyDescent="0.35">
      <c r="A124" s="33"/>
      <c r="B124" s="107"/>
      <c r="C124" s="118"/>
    </row>
    <row r="125" spans="1:3" ht="15.75" customHeight="1" x14ac:dyDescent="0.35">
      <c r="A125" s="33"/>
      <c r="B125" s="107"/>
      <c r="C125" s="118"/>
    </row>
    <row r="126" spans="1:3" ht="15.75" customHeight="1" x14ac:dyDescent="0.35">
      <c r="A126" s="33"/>
      <c r="B126" s="107"/>
      <c r="C126" s="118"/>
    </row>
    <row r="127" spans="1:3" ht="15.75" customHeight="1" x14ac:dyDescent="0.35">
      <c r="A127" s="33"/>
      <c r="B127" s="107"/>
      <c r="C127" s="118"/>
    </row>
    <row r="128" spans="1:3" ht="15.75" customHeight="1" x14ac:dyDescent="0.35">
      <c r="A128" s="33"/>
      <c r="B128" s="107"/>
      <c r="C128" s="118"/>
    </row>
    <row r="129" spans="1:3" ht="15.75" customHeight="1" x14ac:dyDescent="0.35">
      <c r="A129" s="33"/>
      <c r="B129" s="107"/>
      <c r="C129" s="118"/>
    </row>
    <row r="130" spans="1:3" ht="15.75" customHeight="1" x14ac:dyDescent="0.35">
      <c r="A130" s="33"/>
      <c r="B130" s="107"/>
      <c r="C130" s="118"/>
    </row>
    <row r="131" spans="1:3" ht="15.75" customHeight="1" x14ac:dyDescent="0.35">
      <c r="A131" s="33"/>
      <c r="B131" s="107"/>
      <c r="C131" s="118"/>
    </row>
    <row r="132" spans="1:3" ht="15.75" customHeight="1" x14ac:dyDescent="0.35">
      <c r="A132" s="33"/>
      <c r="B132" s="107"/>
      <c r="C132" s="118"/>
    </row>
    <row r="133" spans="1:3" ht="15.75" customHeight="1" x14ac:dyDescent="0.35">
      <c r="A133" s="33"/>
      <c r="B133" s="107"/>
      <c r="C133" s="118"/>
    </row>
    <row r="134" spans="1:3" ht="15.75" customHeight="1" x14ac:dyDescent="0.35">
      <c r="A134" s="33"/>
      <c r="B134" s="107"/>
      <c r="C134" s="118"/>
    </row>
    <row r="135" spans="1:3" ht="15.75" customHeight="1" x14ac:dyDescent="0.35">
      <c r="A135" s="33"/>
      <c r="B135" s="107"/>
      <c r="C135" s="118"/>
    </row>
    <row r="136" spans="1:3" ht="15.75" customHeight="1" x14ac:dyDescent="0.35">
      <c r="A136" s="33"/>
      <c r="B136" s="107"/>
      <c r="C136" s="118"/>
    </row>
    <row r="137" spans="1:3" ht="15.75" customHeight="1" x14ac:dyDescent="0.35">
      <c r="A137" s="33"/>
      <c r="B137" s="107"/>
      <c r="C137" s="118"/>
    </row>
    <row r="138" spans="1:3" ht="15.75" customHeight="1" x14ac:dyDescent="0.35">
      <c r="A138" s="33"/>
      <c r="B138" s="107"/>
      <c r="C138" s="118"/>
    </row>
    <row r="139" spans="1:3" ht="15.75" customHeight="1" x14ac:dyDescent="0.35">
      <c r="A139" s="33"/>
      <c r="B139" s="107"/>
      <c r="C139" s="118"/>
    </row>
    <row r="140" spans="1:3" ht="15.75" customHeight="1" x14ac:dyDescent="0.35">
      <c r="A140" s="33"/>
      <c r="B140" s="107"/>
      <c r="C140" s="118"/>
    </row>
    <row r="141" spans="1:3" ht="15.75" customHeight="1" x14ac:dyDescent="0.35">
      <c r="A141" s="33"/>
      <c r="B141" s="107"/>
      <c r="C141" s="118"/>
    </row>
    <row r="142" spans="1:3" ht="15.75" customHeight="1" x14ac:dyDescent="0.35">
      <c r="A142" s="33"/>
      <c r="B142" s="107"/>
      <c r="C142" s="118"/>
    </row>
    <row r="143" spans="1:3" ht="15.75" customHeight="1" x14ac:dyDescent="0.35">
      <c r="A143" s="33"/>
      <c r="B143" s="107"/>
      <c r="C143" s="118"/>
    </row>
    <row r="144" spans="1:3" ht="15.75" customHeight="1" x14ac:dyDescent="0.35">
      <c r="A144" s="33"/>
      <c r="B144" s="107"/>
      <c r="C144" s="118"/>
    </row>
    <row r="145" spans="1:3" ht="15.75" customHeight="1" x14ac:dyDescent="0.35">
      <c r="A145" s="33"/>
      <c r="B145" s="107"/>
      <c r="C145" s="118"/>
    </row>
    <row r="146" spans="1:3" ht="15.75" customHeight="1" x14ac:dyDescent="0.35">
      <c r="A146" s="33"/>
      <c r="B146" s="107"/>
      <c r="C146" s="118"/>
    </row>
    <row r="147" spans="1:3" ht="15.75" customHeight="1" x14ac:dyDescent="0.35">
      <c r="A147" s="33"/>
      <c r="B147" s="107"/>
      <c r="C147" s="118"/>
    </row>
    <row r="148" spans="1:3" ht="15.75" customHeight="1" x14ac:dyDescent="0.35">
      <c r="A148" s="33"/>
      <c r="B148" s="107"/>
      <c r="C148" s="118"/>
    </row>
    <row r="149" spans="1:3" ht="15.75" customHeight="1" x14ac:dyDescent="0.35">
      <c r="A149" s="33"/>
      <c r="B149" s="107"/>
      <c r="C149" s="118"/>
    </row>
    <row r="150" spans="1:3" ht="15.75" customHeight="1" x14ac:dyDescent="0.35">
      <c r="A150" s="33"/>
      <c r="B150" s="107"/>
      <c r="C150" s="118"/>
    </row>
    <row r="151" spans="1:3" ht="15.75" customHeight="1" x14ac:dyDescent="0.35">
      <c r="A151" s="33"/>
      <c r="B151" s="107"/>
      <c r="C151" s="118"/>
    </row>
    <row r="152" spans="1:3" ht="15.75" customHeight="1" x14ac:dyDescent="0.35">
      <c r="A152" s="33"/>
      <c r="B152" s="107"/>
      <c r="C152" s="118"/>
    </row>
    <row r="153" spans="1:3" ht="15.75" customHeight="1" x14ac:dyDescent="0.35">
      <c r="A153" s="33"/>
      <c r="B153" s="107"/>
      <c r="C153" s="118"/>
    </row>
    <row r="154" spans="1:3" ht="15.75" customHeight="1" x14ac:dyDescent="0.35">
      <c r="A154" s="33"/>
      <c r="B154" s="107"/>
      <c r="C154" s="118"/>
    </row>
    <row r="155" spans="1:3" ht="15.75" customHeight="1" x14ac:dyDescent="0.35">
      <c r="A155" s="33"/>
      <c r="B155" s="107"/>
      <c r="C155" s="118"/>
    </row>
    <row r="156" spans="1:3" ht="15.75" customHeight="1" x14ac:dyDescent="0.35">
      <c r="A156" s="33"/>
      <c r="B156" s="107"/>
      <c r="C156" s="118"/>
    </row>
    <row r="157" spans="1:3" ht="15.75" customHeight="1" x14ac:dyDescent="0.35">
      <c r="A157" s="33"/>
      <c r="B157" s="107"/>
      <c r="C157" s="118"/>
    </row>
    <row r="158" spans="1:3" ht="15.75" customHeight="1" x14ac:dyDescent="0.35">
      <c r="A158" s="33"/>
      <c r="B158" s="107"/>
      <c r="C158" s="118"/>
    </row>
    <row r="159" spans="1:3" ht="15.75" customHeight="1" x14ac:dyDescent="0.35">
      <c r="A159" s="33"/>
      <c r="B159" s="107"/>
      <c r="C159" s="118"/>
    </row>
    <row r="160" spans="1:3" ht="15.75" customHeight="1" x14ac:dyDescent="0.35">
      <c r="A160" s="33"/>
      <c r="B160" s="107"/>
      <c r="C160" s="118"/>
    </row>
    <row r="161" spans="1:3" ht="15.75" customHeight="1" x14ac:dyDescent="0.35">
      <c r="A161" s="33"/>
      <c r="B161" s="107"/>
      <c r="C161" s="118"/>
    </row>
    <row r="162" spans="1:3" ht="15.75" customHeight="1" x14ac:dyDescent="0.35">
      <c r="A162" s="33"/>
      <c r="B162" s="107"/>
      <c r="C162" s="118"/>
    </row>
    <row r="163" spans="1:3" ht="15.75" customHeight="1" x14ac:dyDescent="0.35">
      <c r="A163" s="33"/>
      <c r="B163" s="107"/>
      <c r="C163" s="118"/>
    </row>
    <row r="164" spans="1:3" ht="15.75" customHeight="1" x14ac:dyDescent="0.35">
      <c r="A164" s="33"/>
      <c r="B164" s="107"/>
      <c r="C164" s="118"/>
    </row>
    <row r="165" spans="1:3" ht="15.75" customHeight="1" x14ac:dyDescent="0.35">
      <c r="A165" s="33"/>
      <c r="B165" s="107"/>
      <c r="C165" s="118"/>
    </row>
    <row r="166" spans="1:3" ht="15.75" customHeight="1" x14ac:dyDescent="0.35">
      <c r="A166" s="33"/>
      <c r="B166" s="107"/>
      <c r="C166" s="118"/>
    </row>
    <row r="167" spans="1:3" ht="15.75" customHeight="1" x14ac:dyDescent="0.35">
      <c r="A167" s="33"/>
      <c r="B167" s="107"/>
      <c r="C167" s="118"/>
    </row>
    <row r="168" spans="1:3" ht="15.75" customHeight="1" x14ac:dyDescent="0.35">
      <c r="A168" s="33"/>
      <c r="B168" s="107"/>
      <c r="C168" s="118"/>
    </row>
    <row r="169" spans="1:3" ht="15.75" customHeight="1" x14ac:dyDescent="0.35">
      <c r="A169" s="33"/>
      <c r="B169" s="107"/>
      <c r="C169" s="118"/>
    </row>
    <row r="170" spans="1:3" ht="15.75" customHeight="1" x14ac:dyDescent="0.35">
      <c r="A170" s="33"/>
      <c r="B170" s="107"/>
      <c r="C170" s="118"/>
    </row>
    <row r="171" spans="1:3" ht="15.75" customHeight="1" x14ac:dyDescent="0.35">
      <c r="A171" s="33"/>
      <c r="B171" s="107"/>
      <c r="C171" s="118"/>
    </row>
    <row r="172" spans="1:3" ht="15.75" customHeight="1" x14ac:dyDescent="0.35">
      <c r="A172" s="33"/>
      <c r="B172" s="107"/>
      <c r="C172" s="118"/>
    </row>
    <row r="173" spans="1:3" ht="15.75" customHeight="1" x14ac:dyDescent="0.35">
      <c r="A173" s="33"/>
      <c r="B173" s="107"/>
      <c r="C173" s="118"/>
    </row>
    <row r="174" spans="1:3" ht="15.75" customHeight="1" x14ac:dyDescent="0.35">
      <c r="A174" s="33"/>
      <c r="B174" s="107"/>
      <c r="C174" s="118"/>
    </row>
    <row r="175" spans="1:3" ht="15.75" customHeight="1" x14ac:dyDescent="0.35">
      <c r="A175" s="33"/>
      <c r="B175" s="107"/>
      <c r="C175" s="118"/>
    </row>
    <row r="176" spans="1:3" ht="15.75" customHeight="1" x14ac:dyDescent="0.35">
      <c r="A176" s="33"/>
      <c r="B176" s="107"/>
      <c r="C176" s="118"/>
    </row>
    <row r="177" spans="1:3" ht="15.75" customHeight="1" x14ac:dyDescent="0.35">
      <c r="A177" s="33"/>
      <c r="B177" s="107"/>
      <c r="C177" s="118"/>
    </row>
    <row r="178" spans="1:3" ht="15.75" customHeight="1" x14ac:dyDescent="0.35">
      <c r="A178" s="33"/>
      <c r="B178" s="107"/>
      <c r="C178" s="118"/>
    </row>
    <row r="179" spans="1:3" ht="15.75" customHeight="1" x14ac:dyDescent="0.35">
      <c r="A179" s="33"/>
      <c r="B179" s="107"/>
      <c r="C179" s="118"/>
    </row>
    <row r="180" spans="1:3" ht="15.75" customHeight="1" x14ac:dyDescent="0.35">
      <c r="A180" s="33"/>
      <c r="B180" s="107"/>
      <c r="C180" s="118"/>
    </row>
    <row r="181" spans="1:3" ht="15.75" customHeight="1" x14ac:dyDescent="0.35">
      <c r="A181" s="33"/>
      <c r="B181" s="107"/>
      <c r="C181" s="118"/>
    </row>
    <row r="182" spans="1:3" ht="15.75" customHeight="1" x14ac:dyDescent="0.35">
      <c r="A182" s="33"/>
      <c r="B182" s="107"/>
      <c r="C182" s="118"/>
    </row>
    <row r="183" spans="1:3" ht="15.75" customHeight="1" x14ac:dyDescent="0.35">
      <c r="A183" s="33"/>
      <c r="B183" s="107"/>
      <c r="C183" s="118"/>
    </row>
    <row r="184" spans="1:3" ht="15.75" customHeight="1" x14ac:dyDescent="0.35">
      <c r="A184" s="33"/>
      <c r="B184" s="107"/>
      <c r="C184" s="118"/>
    </row>
    <row r="185" spans="1:3" ht="15.75" customHeight="1" x14ac:dyDescent="0.35">
      <c r="A185" s="33"/>
      <c r="B185" s="107"/>
      <c r="C185" s="118"/>
    </row>
    <row r="186" spans="1:3" ht="15.75" customHeight="1" x14ac:dyDescent="0.35">
      <c r="A186" s="33"/>
      <c r="B186" s="107"/>
      <c r="C186" s="118"/>
    </row>
    <row r="187" spans="1:3" ht="15.75" customHeight="1" x14ac:dyDescent="0.35">
      <c r="A187" s="33"/>
      <c r="B187" s="107"/>
      <c r="C187" s="118"/>
    </row>
    <row r="188" spans="1:3" ht="15.75" customHeight="1" x14ac:dyDescent="0.35">
      <c r="A188" s="33"/>
      <c r="B188" s="107"/>
      <c r="C188" s="118"/>
    </row>
    <row r="189" spans="1:3" ht="15.75" customHeight="1" x14ac:dyDescent="0.35">
      <c r="A189" s="33"/>
      <c r="B189" s="107"/>
      <c r="C189" s="118"/>
    </row>
    <row r="190" spans="1:3" ht="15.75" customHeight="1" x14ac:dyDescent="0.35">
      <c r="A190" s="33"/>
      <c r="B190" s="107"/>
      <c r="C190" s="118"/>
    </row>
    <row r="191" spans="1:3" ht="15.75" customHeight="1" x14ac:dyDescent="0.35">
      <c r="A191" s="33"/>
      <c r="B191" s="107"/>
      <c r="C191" s="118"/>
    </row>
    <row r="192" spans="1:3" ht="15.75" customHeight="1" x14ac:dyDescent="0.35">
      <c r="A192" s="33"/>
      <c r="B192" s="107"/>
      <c r="C192" s="118"/>
    </row>
    <row r="193" spans="1:3" ht="15.75" customHeight="1" x14ac:dyDescent="0.35">
      <c r="A193" s="33"/>
      <c r="B193" s="107"/>
      <c r="C193" s="118"/>
    </row>
    <row r="194" spans="1:3" ht="15.75" customHeight="1" x14ac:dyDescent="0.35">
      <c r="A194" s="33"/>
      <c r="B194" s="107"/>
      <c r="C194" s="118"/>
    </row>
    <row r="195" spans="1:3" ht="15.75" customHeight="1" x14ac:dyDescent="0.35">
      <c r="A195" s="33"/>
      <c r="B195" s="107"/>
      <c r="C195" s="118"/>
    </row>
    <row r="196" spans="1:3" ht="15.75" customHeight="1" x14ac:dyDescent="0.35">
      <c r="A196" s="33"/>
      <c r="B196" s="107"/>
      <c r="C196" s="118"/>
    </row>
    <row r="197" spans="1:3" ht="15.75" customHeight="1" x14ac:dyDescent="0.35">
      <c r="A197" s="33"/>
      <c r="B197" s="107"/>
      <c r="C197" s="118"/>
    </row>
    <row r="198" spans="1:3" ht="15.75" customHeight="1" x14ac:dyDescent="0.35">
      <c r="A198" s="33"/>
      <c r="B198" s="107"/>
      <c r="C198" s="118"/>
    </row>
    <row r="199" spans="1:3" ht="15.75" customHeight="1" x14ac:dyDescent="0.35">
      <c r="A199" s="33"/>
      <c r="B199" s="107"/>
      <c r="C199" s="118"/>
    </row>
    <row r="200" spans="1:3" ht="15.75" customHeight="1" x14ac:dyDescent="0.35">
      <c r="A200" s="33"/>
      <c r="B200" s="107"/>
      <c r="C200" s="118"/>
    </row>
    <row r="201" spans="1:3" ht="15.75" customHeight="1" x14ac:dyDescent="0.35">
      <c r="A201" s="33"/>
      <c r="B201" s="107"/>
      <c r="C201" s="118"/>
    </row>
    <row r="202" spans="1:3" ht="15.75" customHeight="1" x14ac:dyDescent="0.35">
      <c r="A202" s="33"/>
      <c r="B202" s="107"/>
      <c r="C202" s="118"/>
    </row>
    <row r="203" spans="1:3" ht="15.75" customHeight="1" x14ac:dyDescent="0.35">
      <c r="A203" s="33"/>
      <c r="B203" s="107"/>
      <c r="C203" s="118"/>
    </row>
    <row r="204" spans="1:3" ht="15.75" customHeight="1" x14ac:dyDescent="0.35">
      <c r="A204" s="33"/>
      <c r="B204" s="107"/>
      <c r="C204" s="118"/>
    </row>
    <row r="205" spans="1:3" ht="15.75" customHeight="1" x14ac:dyDescent="0.35">
      <c r="A205" s="33"/>
      <c r="B205" s="107"/>
      <c r="C205" s="118"/>
    </row>
    <row r="206" spans="1:3" ht="15.75" customHeight="1" x14ac:dyDescent="0.35">
      <c r="A206" s="33"/>
      <c r="B206" s="107"/>
      <c r="C206" s="118"/>
    </row>
    <row r="207" spans="1:3" ht="15.75" customHeight="1" x14ac:dyDescent="0.35">
      <c r="A207" s="33"/>
      <c r="B207" s="107"/>
      <c r="C207" s="118"/>
    </row>
    <row r="208" spans="1:3" ht="15.75" customHeight="1" x14ac:dyDescent="0.35">
      <c r="A208" s="33"/>
      <c r="B208" s="107"/>
      <c r="C208" s="118"/>
    </row>
    <row r="209" spans="1:3" ht="15.75" customHeight="1" x14ac:dyDescent="0.35">
      <c r="A209" s="33"/>
      <c r="B209" s="107"/>
      <c r="C209" s="118"/>
    </row>
    <row r="210" spans="1:3" ht="15.75" customHeight="1" x14ac:dyDescent="0.35">
      <c r="A210" s="33"/>
      <c r="B210" s="107"/>
      <c r="C210" s="118"/>
    </row>
    <row r="211" spans="1:3" ht="15.75" customHeight="1" x14ac:dyDescent="0.35">
      <c r="A211" s="33"/>
      <c r="B211" s="107"/>
      <c r="C211" s="118"/>
    </row>
    <row r="212" spans="1:3" ht="15.75" customHeight="1" x14ac:dyDescent="0.35">
      <c r="A212" s="33"/>
      <c r="B212" s="107"/>
      <c r="C212" s="118"/>
    </row>
    <row r="213" spans="1:3" ht="15.75" customHeight="1" x14ac:dyDescent="0.35">
      <c r="A213" s="33"/>
      <c r="B213" s="107"/>
      <c r="C213" s="118"/>
    </row>
    <row r="214" spans="1:3" ht="15.75" customHeight="1" x14ac:dyDescent="0.35">
      <c r="A214" s="33"/>
      <c r="B214" s="107"/>
      <c r="C214" s="118"/>
    </row>
    <row r="215" spans="1:3" ht="15.75" customHeight="1" x14ac:dyDescent="0.35">
      <c r="A215" s="33"/>
      <c r="B215" s="107"/>
      <c r="C215" s="118"/>
    </row>
    <row r="216" spans="1:3" ht="15.75" customHeight="1" x14ac:dyDescent="0.35">
      <c r="A216" s="33"/>
      <c r="B216" s="107"/>
      <c r="C216" s="118"/>
    </row>
    <row r="217" spans="1:3" ht="15.75" customHeight="1" x14ac:dyDescent="0.35">
      <c r="A217" s="33"/>
      <c r="B217" s="107"/>
      <c r="C217" s="118"/>
    </row>
    <row r="218" spans="1:3" ht="15.75" customHeight="1" x14ac:dyDescent="0.35">
      <c r="A218" s="33"/>
      <c r="B218" s="107"/>
      <c r="C218" s="118"/>
    </row>
    <row r="219" spans="1:3" ht="15.75" customHeight="1" x14ac:dyDescent="0.35">
      <c r="A219" s="33"/>
      <c r="B219" s="107"/>
      <c r="C219" s="118"/>
    </row>
    <row r="220" spans="1:3" ht="15.75" customHeight="1" x14ac:dyDescent="0.35">
      <c r="A220" s="33"/>
      <c r="B220" s="107"/>
      <c r="C220" s="118"/>
    </row>
    <row r="221" spans="1:3" ht="15.75" customHeight="1" x14ac:dyDescent="0.35">
      <c r="A221" s="33"/>
      <c r="B221" s="107"/>
      <c r="C221" s="118"/>
    </row>
    <row r="222" spans="1:3" ht="15.75" customHeight="1" x14ac:dyDescent="0.35">
      <c r="A222" s="33"/>
      <c r="B222" s="107"/>
      <c r="C222" s="118"/>
    </row>
    <row r="223" spans="1:3" ht="15.75" customHeight="1" x14ac:dyDescent="0.35">
      <c r="A223" s="33"/>
      <c r="B223" s="107"/>
      <c r="C223" s="118"/>
    </row>
    <row r="224" spans="1:3" ht="15.75" customHeight="1" x14ac:dyDescent="0.35">
      <c r="A224" s="33"/>
      <c r="B224" s="107"/>
      <c r="C224" s="118"/>
    </row>
    <row r="225" spans="1:3" ht="15.75" customHeight="1" x14ac:dyDescent="0.35">
      <c r="A225" s="33"/>
      <c r="B225" s="107"/>
      <c r="C225" s="118"/>
    </row>
    <row r="226" spans="1:3" ht="15.75" customHeight="1" x14ac:dyDescent="0.35">
      <c r="A226" s="33"/>
      <c r="B226" s="107"/>
      <c r="C226" s="118"/>
    </row>
    <row r="227" spans="1:3" ht="15.75" customHeight="1" x14ac:dyDescent="0.35">
      <c r="A227" s="33"/>
      <c r="B227" s="107"/>
      <c r="C227" s="118"/>
    </row>
    <row r="228" spans="1:3" ht="15.75" customHeight="1" x14ac:dyDescent="0.35">
      <c r="A228" s="33"/>
      <c r="B228" s="107"/>
      <c r="C228" s="118"/>
    </row>
    <row r="229" spans="1:3" ht="15.75" customHeight="1" x14ac:dyDescent="0.35">
      <c r="A229" s="33"/>
      <c r="B229" s="107"/>
      <c r="C229" s="118"/>
    </row>
    <row r="230" spans="1:3" ht="15.75" customHeight="1" x14ac:dyDescent="0.35">
      <c r="A230" s="33"/>
      <c r="B230" s="107"/>
      <c r="C230" s="118"/>
    </row>
    <row r="231" spans="1:3" ht="15.75" customHeight="1" x14ac:dyDescent="0.35">
      <c r="A231" s="33"/>
      <c r="B231" s="107"/>
      <c r="C231" s="118"/>
    </row>
    <row r="232" spans="1:3" ht="15.75" customHeight="1" x14ac:dyDescent="0.35">
      <c r="A232" s="33"/>
      <c r="B232" s="107"/>
      <c r="C232" s="118"/>
    </row>
    <row r="233" spans="1:3" ht="15.75" customHeight="1" x14ac:dyDescent="0.35">
      <c r="A233" s="33"/>
      <c r="B233" s="107"/>
      <c r="C233" s="118"/>
    </row>
    <row r="234" spans="1:3" ht="15.75" customHeight="1" x14ac:dyDescent="0.35">
      <c r="A234" s="33"/>
      <c r="B234" s="107"/>
      <c r="C234" s="118"/>
    </row>
    <row r="235" spans="1:3" ht="15.75" customHeight="1" x14ac:dyDescent="0.35">
      <c r="A235" s="33"/>
      <c r="B235" s="107"/>
      <c r="C235" s="118"/>
    </row>
    <row r="236" spans="1:3" ht="15.75" customHeight="1" x14ac:dyDescent="0.35">
      <c r="A236" s="33"/>
      <c r="B236" s="107"/>
      <c r="C236" s="118"/>
    </row>
    <row r="237" spans="1:3" ht="15.75" customHeight="1" x14ac:dyDescent="0.35">
      <c r="A237" s="33"/>
      <c r="B237" s="107"/>
      <c r="C237" s="118"/>
    </row>
    <row r="238" spans="1:3" ht="15.75" customHeight="1" x14ac:dyDescent="0.35">
      <c r="A238" s="33"/>
      <c r="B238" s="107"/>
      <c r="C238" s="118"/>
    </row>
    <row r="239" spans="1:3" ht="15.75" customHeight="1" x14ac:dyDescent="0.35">
      <c r="A239" s="33"/>
      <c r="B239" s="107"/>
      <c r="C239" s="118"/>
    </row>
    <row r="240" spans="1:3" ht="15.75" customHeight="1" x14ac:dyDescent="0.35">
      <c r="A240" s="33"/>
      <c r="B240" s="107"/>
      <c r="C240" s="118"/>
    </row>
    <row r="241" spans="1:3" ht="15.75" customHeight="1" x14ac:dyDescent="0.35">
      <c r="A241" s="33"/>
      <c r="B241" s="107"/>
      <c r="C241" s="118"/>
    </row>
    <row r="242" spans="1:3" ht="15.75" customHeight="1" x14ac:dyDescent="0.35">
      <c r="A242" s="33"/>
      <c r="B242" s="107"/>
      <c r="C242" s="118"/>
    </row>
    <row r="243" spans="1:3" ht="15.75" customHeight="1" x14ac:dyDescent="0.35">
      <c r="A243" s="33"/>
      <c r="B243" s="107"/>
      <c r="C243" s="118"/>
    </row>
    <row r="244" spans="1:3" ht="15.75" customHeight="1" x14ac:dyDescent="0.35">
      <c r="A244" s="33"/>
      <c r="B244" s="107"/>
      <c r="C244" s="118"/>
    </row>
    <row r="245" spans="1:3" ht="15.75" customHeight="1" x14ac:dyDescent="0.35">
      <c r="A245" s="33"/>
      <c r="B245" s="107"/>
      <c r="C245" s="118"/>
    </row>
    <row r="246" spans="1:3" ht="15.75" customHeight="1" x14ac:dyDescent="0.35">
      <c r="A246" s="33"/>
      <c r="B246" s="107"/>
      <c r="C246" s="118"/>
    </row>
    <row r="247" spans="1:3" ht="15.75" customHeight="1" x14ac:dyDescent="0.35">
      <c r="A247" s="33"/>
      <c r="B247" s="107"/>
      <c r="C247" s="118"/>
    </row>
    <row r="248" spans="1:3" ht="15.75" customHeight="1" x14ac:dyDescent="0.35">
      <c r="A248" s="33"/>
      <c r="B248" s="107"/>
      <c r="C248" s="118"/>
    </row>
    <row r="249" spans="1:3" ht="15.75" customHeight="1" x14ac:dyDescent="0.35">
      <c r="A249" s="33"/>
      <c r="B249" s="107"/>
      <c r="C249" s="118"/>
    </row>
    <row r="250" spans="1:3" ht="15.75" customHeight="1" x14ac:dyDescent="0.35">
      <c r="A250" s="33"/>
      <c r="B250" s="107"/>
      <c r="C250" s="118"/>
    </row>
    <row r="251" spans="1:3" ht="15.75" customHeight="1" x14ac:dyDescent="0.35">
      <c r="A251" s="33"/>
      <c r="B251" s="107"/>
      <c r="C251" s="118"/>
    </row>
    <row r="252" spans="1:3" ht="15.75" customHeight="1" x14ac:dyDescent="0.35">
      <c r="A252" s="33"/>
      <c r="B252" s="107"/>
      <c r="C252" s="118"/>
    </row>
    <row r="253" spans="1:3" ht="15.75" customHeight="1" x14ac:dyDescent="0.35">
      <c r="A253" s="33"/>
      <c r="B253" s="107"/>
      <c r="C253" s="118"/>
    </row>
    <row r="254" spans="1:3" ht="15.75" customHeight="1" x14ac:dyDescent="0.35">
      <c r="A254" s="33"/>
      <c r="B254" s="107"/>
      <c r="C254" s="118"/>
    </row>
    <row r="255" spans="1:3" ht="15.75" customHeight="1" x14ac:dyDescent="0.35">
      <c r="A255" s="33"/>
      <c r="B255" s="107"/>
      <c r="C255" s="118"/>
    </row>
    <row r="256" spans="1:3" ht="15.75" customHeight="1" x14ac:dyDescent="0.35">
      <c r="A256" s="33"/>
      <c r="B256" s="107"/>
      <c r="C256" s="118"/>
    </row>
    <row r="257" spans="1:3" ht="15.75" customHeight="1" x14ac:dyDescent="0.35">
      <c r="A257" s="33"/>
      <c r="B257" s="107"/>
      <c r="C257" s="118"/>
    </row>
    <row r="258" spans="1:3" ht="15.75" customHeight="1" x14ac:dyDescent="0.35">
      <c r="A258" s="33"/>
      <c r="B258" s="107"/>
      <c r="C258" s="118"/>
    </row>
    <row r="259" spans="1:3" ht="15.75" customHeight="1" x14ac:dyDescent="0.35">
      <c r="A259" s="33"/>
      <c r="B259" s="107"/>
      <c r="C259" s="118"/>
    </row>
    <row r="260" spans="1:3" ht="15.75" customHeight="1" x14ac:dyDescent="0.35">
      <c r="A260" s="33"/>
      <c r="B260" s="107"/>
      <c r="C260" s="118"/>
    </row>
    <row r="261" spans="1:3" ht="15.75" customHeight="1" x14ac:dyDescent="0.35">
      <c r="A261" s="33"/>
      <c r="B261" s="107"/>
      <c r="C261" s="118"/>
    </row>
    <row r="262" spans="1:3" ht="15.75" customHeight="1" x14ac:dyDescent="0.35">
      <c r="A262" s="33"/>
      <c r="B262" s="107"/>
      <c r="C262" s="118"/>
    </row>
    <row r="263" spans="1:3" ht="15.75" customHeight="1" x14ac:dyDescent="0.35">
      <c r="A263" s="33"/>
      <c r="B263" s="107"/>
      <c r="C263" s="118"/>
    </row>
    <row r="264" spans="1:3" ht="15.75" customHeight="1" x14ac:dyDescent="0.35">
      <c r="A264" s="33"/>
      <c r="B264" s="107"/>
      <c r="C264" s="118"/>
    </row>
    <row r="265" spans="1:3" ht="15.75" customHeight="1" x14ac:dyDescent="0.35">
      <c r="A265" s="33"/>
      <c r="B265" s="107"/>
      <c r="C265" s="118"/>
    </row>
    <row r="266" spans="1:3" ht="15.75" customHeight="1" x14ac:dyDescent="0.35">
      <c r="A266" s="33"/>
      <c r="B266" s="107"/>
      <c r="C266" s="118"/>
    </row>
    <row r="267" spans="1:3" ht="15.75" customHeight="1" x14ac:dyDescent="0.35">
      <c r="A267" s="33"/>
      <c r="B267" s="107"/>
      <c r="C267" s="118"/>
    </row>
    <row r="268" spans="1:3" ht="15.75" customHeight="1" x14ac:dyDescent="0.35">
      <c r="A268" s="33"/>
      <c r="B268" s="107"/>
      <c r="C268" s="118"/>
    </row>
    <row r="269" spans="1:3" ht="15.75" customHeight="1" x14ac:dyDescent="0.35">
      <c r="A269" s="33"/>
      <c r="B269" s="107"/>
      <c r="C269" s="118"/>
    </row>
    <row r="270" spans="1:3" ht="15.75" customHeight="1" x14ac:dyDescent="0.35">
      <c r="A270" s="33"/>
      <c r="B270" s="107"/>
      <c r="C270" s="118"/>
    </row>
    <row r="271" spans="1:3" ht="15.75" customHeight="1" x14ac:dyDescent="0.35">
      <c r="A271" s="33"/>
      <c r="B271" s="107"/>
      <c r="C271" s="118"/>
    </row>
    <row r="272" spans="1:3" ht="15.75" customHeight="1" x14ac:dyDescent="0.35">
      <c r="A272" s="33"/>
      <c r="B272" s="107"/>
      <c r="C272" s="118"/>
    </row>
    <row r="273" spans="1:3" ht="15.75" customHeight="1" x14ac:dyDescent="0.35">
      <c r="A273" s="33"/>
      <c r="B273" s="107"/>
      <c r="C273" s="118"/>
    </row>
    <row r="274" spans="1:3" ht="15.75" customHeight="1" x14ac:dyDescent="0.35">
      <c r="A274" s="33"/>
      <c r="B274" s="107"/>
      <c r="C274" s="118"/>
    </row>
    <row r="275" spans="1:3" ht="15.75" customHeight="1" x14ac:dyDescent="0.35">
      <c r="A275" s="33"/>
      <c r="B275" s="107"/>
      <c r="C275" s="118"/>
    </row>
    <row r="276" spans="1:3" ht="15.75" customHeight="1" x14ac:dyDescent="0.35">
      <c r="A276" s="33"/>
      <c r="B276" s="107"/>
      <c r="C276" s="118"/>
    </row>
    <row r="277" spans="1:3" ht="15.75" customHeight="1" x14ac:dyDescent="0.35">
      <c r="A277" s="33"/>
      <c r="B277" s="107"/>
      <c r="C277" s="118"/>
    </row>
    <row r="278" spans="1:3" ht="15.75" customHeight="1" x14ac:dyDescent="0.35">
      <c r="A278" s="33"/>
      <c r="B278" s="107"/>
      <c r="C278" s="118"/>
    </row>
    <row r="279" spans="1:3" ht="15.75" customHeight="1" x14ac:dyDescent="0.35">
      <c r="A279" s="33"/>
      <c r="B279" s="107"/>
      <c r="C279" s="118"/>
    </row>
    <row r="280" spans="1:3" ht="15.75" customHeight="1" x14ac:dyDescent="0.35">
      <c r="A280" s="33"/>
      <c r="B280" s="107"/>
      <c r="C280" s="118"/>
    </row>
    <row r="281" spans="1:3" ht="15.75" customHeight="1" x14ac:dyDescent="0.35">
      <c r="A281" s="33"/>
      <c r="B281" s="107"/>
      <c r="C281" s="118"/>
    </row>
    <row r="282" spans="1:3" ht="15.75" customHeight="1" x14ac:dyDescent="0.35">
      <c r="A282" s="33"/>
      <c r="B282" s="107"/>
      <c r="C282" s="118"/>
    </row>
    <row r="283" spans="1:3" ht="15.75" customHeight="1" x14ac:dyDescent="0.35">
      <c r="A283" s="33"/>
      <c r="B283" s="107"/>
      <c r="C283" s="118"/>
    </row>
    <row r="284" spans="1:3" ht="15.75" customHeight="1" x14ac:dyDescent="0.35">
      <c r="A284" s="33"/>
      <c r="B284" s="107"/>
      <c r="C284" s="118"/>
    </row>
    <row r="285" spans="1:3" ht="15.75" customHeight="1" x14ac:dyDescent="0.35">
      <c r="A285" s="33"/>
      <c r="B285" s="107"/>
      <c r="C285" s="118"/>
    </row>
    <row r="286" spans="1:3" ht="15.75" customHeight="1" x14ac:dyDescent="0.35">
      <c r="A286" s="33"/>
      <c r="B286" s="107"/>
      <c r="C286" s="118"/>
    </row>
    <row r="287" spans="1:3" ht="15.75" customHeight="1" x14ac:dyDescent="0.35">
      <c r="A287" s="33"/>
      <c r="B287" s="107"/>
      <c r="C287" s="118"/>
    </row>
    <row r="288" spans="1:3" ht="15.75" customHeight="1" x14ac:dyDescent="0.35">
      <c r="A288" s="33"/>
      <c r="B288" s="107"/>
      <c r="C288" s="118"/>
    </row>
    <row r="289" spans="1:3" ht="15.75" customHeight="1" x14ac:dyDescent="0.35">
      <c r="A289" s="33"/>
      <c r="B289" s="107"/>
      <c r="C289" s="118"/>
    </row>
    <row r="290" spans="1:3" ht="15.75" customHeight="1" x14ac:dyDescent="0.35">
      <c r="A290" s="33"/>
      <c r="B290" s="107"/>
      <c r="C290" s="118"/>
    </row>
    <row r="291" spans="1:3" ht="15.75" customHeight="1" x14ac:dyDescent="0.35">
      <c r="A291" s="33"/>
      <c r="B291" s="107"/>
      <c r="C291" s="118"/>
    </row>
    <row r="292" spans="1:3" ht="15.75" customHeight="1" x14ac:dyDescent="0.35">
      <c r="A292" s="33"/>
      <c r="B292" s="107"/>
      <c r="C292" s="118"/>
    </row>
    <row r="293" spans="1:3" ht="15.75" customHeight="1" x14ac:dyDescent="0.35">
      <c r="A293" s="33"/>
      <c r="B293" s="107"/>
      <c r="C293" s="118"/>
    </row>
    <row r="294" spans="1:3" ht="15.75" customHeight="1" x14ac:dyDescent="0.35">
      <c r="A294" s="33"/>
      <c r="B294" s="107"/>
      <c r="C294" s="118"/>
    </row>
    <row r="295" spans="1:3" ht="15.75" customHeight="1" x14ac:dyDescent="0.35">
      <c r="A295" s="33"/>
      <c r="B295" s="107"/>
      <c r="C295" s="118"/>
    </row>
    <row r="296" spans="1:3" ht="15.75" customHeight="1" x14ac:dyDescent="0.35">
      <c r="A296" s="33"/>
      <c r="B296" s="107"/>
      <c r="C296" s="118"/>
    </row>
    <row r="297" spans="1:3" ht="15.75" customHeight="1" x14ac:dyDescent="0.35">
      <c r="A297" s="33"/>
      <c r="B297" s="107"/>
      <c r="C297" s="118"/>
    </row>
    <row r="298" spans="1:3" ht="15.75" customHeight="1" x14ac:dyDescent="0.35">
      <c r="A298" s="33"/>
      <c r="B298" s="107"/>
      <c r="C298" s="118"/>
    </row>
    <row r="299" spans="1:3" ht="15.75" customHeight="1" x14ac:dyDescent="0.35">
      <c r="A299" s="33"/>
      <c r="B299" s="107"/>
      <c r="C299" s="118"/>
    </row>
    <row r="300" spans="1:3" ht="15.75" customHeight="1" x14ac:dyDescent="0.35">
      <c r="A300" s="33"/>
      <c r="B300" s="107"/>
      <c r="C300" s="118"/>
    </row>
    <row r="301" spans="1:3" ht="15.75" customHeight="1" x14ac:dyDescent="0.35">
      <c r="A301" s="33"/>
      <c r="B301" s="107"/>
      <c r="C301" s="118"/>
    </row>
    <row r="302" spans="1:3" ht="15.75" customHeight="1" x14ac:dyDescent="0.35">
      <c r="A302" s="33"/>
      <c r="B302" s="107"/>
      <c r="C302" s="118"/>
    </row>
    <row r="303" spans="1:3" ht="15.75" customHeight="1" x14ac:dyDescent="0.35">
      <c r="A303" s="33"/>
      <c r="B303" s="107"/>
      <c r="C303" s="118"/>
    </row>
    <row r="304" spans="1:3" ht="15.75" customHeight="1" x14ac:dyDescent="0.35">
      <c r="A304" s="33"/>
      <c r="B304" s="107"/>
      <c r="C304" s="118"/>
    </row>
    <row r="305" spans="1:3" ht="15.75" customHeight="1" x14ac:dyDescent="0.35">
      <c r="A305" s="33"/>
      <c r="B305" s="107"/>
      <c r="C305" s="118"/>
    </row>
    <row r="306" spans="1:3" ht="15.75" customHeight="1" x14ac:dyDescent="0.35">
      <c r="A306" s="33"/>
      <c r="B306" s="107"/>
      <c r="C306" s="118"/>
    </row>
    <row r="307" spans="1:3" ht="15.75" customHeight="1" x14ac:dyDescent="0.35">
      <c r="A307" s="33"/>
      <c r="B307" s="107"/>
      <c r="C307" s="118"/>
    </row>
    <row r="308" spans="1:3" ht="15.75" customHeight="1" x14ac:dyDescent="0.35">
      <c r="A308" s="33"/>
      <c r="B308" s="107"/>
      <c r="C308" s="118"/>
    </row>
    <row r="309" spans="1:3" ht="15.75" customHeight="1" x14ac:dyDescent="0.35">
      <c r="A309" s="33"/>
      <c r="B309" s="107"/>
      <c r="C309" s="118"/>
    </row>
    <row r="310" spans="1:3" ht="15.75" customHeight="1" x14ac:dyDescent="0.35">
      <c r="A310" s="33"/>
      <c r="B310" s="107"/>
      <c r="C310" s="118"/>
    </row>
    <row r="311" spans="1:3" ht="15.75" customHeight="1" x14ac:dyDescent="0.35">
      <c r="A311" s="33"/>
      <c r="B311" s="107"/>
      <c r="C311" s="118"/>
    </row>
    <row r="312" spans="1:3" ht="15.75" customHeight="1" x14ac:dyDescent="0.35">
      <c r="A312" s="33"/>
      <c r="B312" s="107"/>
      <c r="C312" s="118"/>
    </row>
    <row r="313" spans="1:3" ht="15.75" customHeight="1" x14ac:dyDescent="0.35">
      <c r="A313" s="33"/>
      <c r="B313" s="107"/>
      <c r="C313" s="118"/>
    </row>
    <row r="314" spans="1:3" ht="15.75" customHeight="1" x14ac:dyDescent="0.35">
      <c r="A314" s="33"/>
      <c r="B314" s="107"/>
      <c r="C314" s="118"/>
    </row>
    <row r="315" spans="1:3" ht="15.75" customHeight="1" x14ac:dyDescent="0.35">
      <c r="A315" s="33"/>
      <c r="B315" s="107"/>
      <c r="C315" s="118"/>
    </row>
    <row r="316" spans="1:3" ht="15.75" customHeight="1" x14ac:dyDescent="0.35">
      <c r="A316" s="33"/>
      <c r="B316" s="107"/>
      <c r="C316" s="118"/>
    </row>
    <row r="317" spans="1:3" ht="15.75" customHeight="1" x14ac:dyDescent="0.35">
      <c r="A317" s="33"/>
      <c r="B317" s="107"/>
      <c r="C317" s="118"/>
    </row>
    <row r="318" spans="1:3" ht="15.75" customHeight="1" x14ac:dyDescent="0.35">
      <c r="A318" s="33"/>
      <c r="B318" s="107"/>
      <c r="C318" s="118"/>
    </row>
    <row r="319" spans="1:3" ht="15.75" customHeight="1" x14ac:dyDescent="0.35">
      <c r="A319" s="33"/>
      <c r="B319" s="107"/>
      <c r="C319" s="118"/>
    </row>
    <row r="320" spans="1:3" ht="15.75" customHeight="1" x14ac:dyDescent="0.35">
      <c r="A320" s="33"/>
      <c r="B320" s="107"/>
      <c r="C320" s="118"/>
    </row>
    <row r="321" spans="1:3" ht="15.75" customHeight="1" x14ac:dyDescent="0.35">
      <c r="A321" s="33"/>
      <c r="B321" s="107"/>
      <c r="C321" s="118"/>
    </row>
    <row r="322" spans="1:3" ht="15.75" customHeight="1" x14ac:dyDescent="0.35">
      <c r="A322" s="33"/>
      <c r="B322" s="107"/>
      <c r="C322" s="118"/>
    </row>
    <row r="323" spans="1:3" ht="15.75" customHeight="1" x14ac:dyDescent="0.35">
      <c r="A323" s="33"/>
      <c r="B323" s="107"/>
      <c r="C323" s="118"/>
    </row>
    <row r="324" spans="1:3" ht="15.75" customHeight="1" x14ac:dyDescent="0.35">
      <c r="A324" s="33"/>
      <c r="B324" s="107"/>
      <c r="C324" s="118"/>
    </row>
    <row r="325" spans="1:3" ht="15.75" customHeight="1" x14ac:dyDescent="0.35">
      <c r="A325" s="33"/>
      <c r="B325" s="107"/>
      <c r="C325" s="118"/>
    </row>
    <row r="326" spans="1:3" ht="15.75" customHeight="1" x14ac:dyDescent="0.35">
      <c r="A326" s="33"/>
      <c r="B326" s="107"/>
      <c r="C326" s="118"/>
    </row>
    <row r="327" spans="1:3" ht="15.75" customHeight="1" x14ac:dyDescent="0.35">
      <c r="A327" s="33"/>
      <c r="B327" s="107"/>
      <c r="C327" s="118"/>
    </row>
    <row r="328" spans="1:3" ht="15.75" customHeight="1" x14ac:dyDescent="0.35">
      <c r="A328" s="33"/>
      <c r="B328" s="107"/>
      <c r="C328" s="118"/>
    </row>
    <row r="329" spans="1:3" ht="15.75" customHeight="1" x14ac:dyDescent="0.35">
      <c r="A329" s="33"/>
      <c r="B329" s="107"/>
      <c r="C329" s="118"/>
    </row>
    <row r="330" spans="1:3" ht="15.75" customHeight="1" x14ac:dyDescent="0.35">
      <c r="A330" s="33"/>
      <c r="B330" s="107"/>
      <c r="C330" s="118"/>
    </row>
    <row r="331" spans="1:3" ht="15.75" customHeight="1" x14ac:dyDescent="0.35">
      <c r="A331" s="33"/>
      <c r="B331" s="107"/>
      <c r="C331" s="118"/>
    </row>
    <row r="332" spans="1:3" ht="15.75" customHeight="1" x14ac:dyDescent="0.35">
      <c r="A332" s="33"/>
      <c r="B332" s="107"/>
      <c r="C332" s="118"/>
    </row>
    <row r="333" spans="1:3" ht="15.75" customHeight="1" x14ac:dyDescent="0.35">
      <c r="A333" s="33"/>
      <c r="B333" s="107"/>
      <c r="C333" s="118"/>
    </row>
    <row r="334" spans="1:3" ht="15.75" customHeight="1" x14ac:dyDescent="0.35">
      <c r="A334" s="33"/>
      <c r="B334" s="107"/>
      <c r="C334" s="118"/>
    </row>
    <row r="335" spans="1:3" ht="15.75" customHeight="1" x14ac:dyDescent="0.35">
      <c r="A335" s="33"/>
      <c r="B335" s="107"/>
      <c r="C335" s="118"/>
    </row>
    <row r="336" spans="1:3" ht="15.75" customHeight="1" x14ac:dyDescent="0.35">
      <c r="A336" s="33"/>
      <c r="B336" s="107"/>
      <c r="C336" s="118"/>
    </row>
    <row r="337" spans="1:3" ht="15.75" customHeight="1" x14ac:dyDescent="0.35">
      <c r="A337" s="33"/>
      <c r="B337" s="107"/>
      <c r="C337" s="118"/>
    </row>
    <row r="338" spans="1:3" ht="15.75" customHeight="1" x14ac:dyDescent="0.35">
      <c r="A338" s="33"/>
      <c r="B338" s="107"/>
      <c r="C338" s="118"/>
    </row>
    <row r="339" spans="1:3" ht="15.75" customHeight="1" x14ac:dyDescent="0.35">
      <c r="A339" s="33"/>
      <c r="B339" s="107"/>
      <c r="C339" s="118"/>
    </row>
    <row r="340" spans="1:3" ht="15.75" customHeight="1" x14ac:dyDescent="0.35">
      <c r="A340" s="33"/>
      <c r="B340" s="107"/>
      <c r="C340" s="118"/>
    </row>
    <row r="341" spans="1:3" ht="15.75" customHeight="1" x14ac:dyDescent="0.35">
      <c r="A341" s="33"/>
      <c r="B341" s="107"/>
      <c r="C341" s="118"/>
    </row>
    <row r="342" spans="1:3" ht="15.75" customHeight="1" x14ac:dyDescent="0.35">
      <c r="A342" s="33"/>
      <c r="B342" s="107"/>
      <c r="C342" s="118"/>
    </row>
    <row r="343" spans="1:3" ht="15.75" customHeight="1" x14ac:dyDescent="0.35">
      <c r="A343" s="33"/>
      <c r="B343" s="107"/>
      <c r="C343" s="118"/>
    </row>
    <row r="344" spans="1:3" ht="15.75" customHeight="1" x14ac:dyDescent="0.35">
      <c r="A344" s="33"/>
      <c r="B344" s="107"/>
      <c r="C344" s="118"/>
    </row>
    <row r="345" spans="1:3" ht="15.75" customHeight="1" x14ac:dyDescent="0.35">
      <c r="A345" s="33"/>
      <c r="B345" s="107"/>
      <c r="C345" s="118"/>
    </row>
    <row r="346" spans="1:3" ht="15.75" customHeight="1" x14ac:dyDescent="0.35">
      <c r="A346" s="33"/>
      <c r="B346" s="107"/>
      <c r="C346" s="118"/>
    </row>
    <row r="347" spans="1:3" ht="15.75" customHeight="1" x14ac:dyDescent="0.35">
      <c r="A347" s="33"/>
      <c r="B347" s="107"/>
      <c r="C347" s="118"/>
    </row>
    <row r="348" spans="1:3" ht="15.75" customHeight="1" x14ac:dyDescent="0.35">
      <c r="A348" s="33"/>
      <c r="B348" s="107"/>
      <c r="C348" s="118"/>
    </row>
    <row r="349" spans="1:3" ht="15.75" customHeight="1" x14ac:dyDescent="0.35">
      <c r="A349" s="33"/>
      <c r="B349" s="107"/>
      <c r="C349" s="118"/>
    </row>
    <row r="350" spans="1:3" ht="15.75" customHeight="1" x14ac:dyDescent="0.35">
      <c r="A350" s="33"/>
      <c r="B350" s="107"/>
      <c r="C350" s="118"/>
    </row>
    <row r="351" spans="1:3" ht="15.75" customHeight="1" x14ac:dyDescent="0.35">
      <c r="A351" s="33"/>
      <c r="B351" s="107"/>
      <c r="C351" s="118"/>
    </row>
    <row r="352" spans="1:3" ht="15.75" customHeight="1" x14ac:dyDescent="0.35">
      <c r="A352" s="33"/>
      <c r="B352" s="107"/>
      <c r="C352" s="118"/>
    </row>
    <row r="353" spans="1:3" ht="15.75" customHeight="1" x14ac:dyDescent="0.35">
      <c r="A353" s="33"/>
      <c r="B353" s="107"/>
      <c r="C353" s="118"/>
    </row>
    <row r="354" spans="1:3" ht="15.75" customHeight="1" x14ac:dyDescent="0.35">
      <c r="A354" s="33"/>
      <c r="B354" s="107"/>
      <c r="C354" s="118"/>
    </row>
    <row r="355" spans="1:3" ht="15.75" customHeight="1" x14ac:dyDescent="0.35">
      <c r="A355" s="33"/>
      <c r="B355" s="107"/>
      <c r="C355" s="118"/>
    </row>
    <row r="356" spans="1:3" ht="15.75" customHeight="1" x14ac:dyDescent="0.35">
      <c r="A356" s="33"/>
      <c r="B356" s="107"/>
      <c r="C356" s="118"/>
    </row>
    <row r="357" spans="1:3" ht="15.75" customHeight="1" x14ac:dyDescent="0.35">
      <c r="A357" s="33"/>
      <c r="B357" s="107"/>
      <c r="C357" s="118"/>
    </row>
    <row r="358" spans="1:3" ht="15.75" customHeight="1" x14ac:dyDescent="0.35">
      <c r="A358" s="33"/>
      <c r="B358" s="107"/>
      <c r="C358" s="118"/>
    </row>
    <row r="359" spans="1:3" ht="15.75" customHeight="1" x14ac:dyDescent="0.35">
      <c r="A359" s="33"/>
      <c r="B359" s="107"/>
      <c r="C359" s="118"/>
    </row>
    <row r="360" spans="1:3" ht="15.75" customHeight="1" x14ac:dyDescent="0.35">
      <c r="A360" s="33"/>
      <c r="B360" s="107"/>
      <c r="C360" s="118"/>
    </row>
    <row r="361" spans="1:3" ht="15.75" customHeight="1" x14ac:dyDescent="0.35">
      <c r="A361" s="33"/>
      <c r="B361" s="107"/>
      <c r="C361" s="118"/>
    </row>
    <row r="362" spans="1:3" ht="15.75" customHeight="1" x14ac:dyDescent="0.35">
      <c r="A362" s="33"/>
      <c r="B362" s="107"/>
      <c r="C362" s="118"/>
    </row>
    <row r="363" spans="1:3" ht="15.75" customHeight="1" x14ac:dyDescent="0.35">
      <c r="A363" s="33"/>
      <c r="B363" s="107"/>
      <c r="C363" s="118"/>
    </row>
    <row r="364" spans="1:3" ht="15.75" customHeight="1" x14ac:dyDescent="0.35">
      <c r="A364" s="33"/>
      <c r="B364" s="107"/>
      <c r="C364" s="118"/>
    </row>
    <row r="365" spans="1:3" ht="15.75" customHeight="1" x14ac:dyDescent="0.35">
      <c r="A365" s="33"/>
      <c r="B365" s="107"/>
      <c r="C365" s="118"/>
    </row>
    <row r="366" spans="1:3" ht="15.75" customHeight="1" x14ac:dyDescent="0.35">
      <c r="A366" s="33"/>
      <c r="B366" s="107"/>
      <c r="C366" s="118"/>
    </row>
    <row r="367" spans="1:3" ht="15.75" customHeight="1" x14ac:dyDescent="0.35">
      <c r="A367" s="33"/>
      <c r="B367" s="107"/>
      <c r="C367" s="118"/>
    </row>
    <row r="368" spans="1:3" ht="15.75" customHeight="1" x14ac:dyDescent="0.35">
      <c r="A368" s="33"/>
      <c r="B368" s="107"/>
      <c r="C368" s="118"/>
    </row>
    <row r="369" spans="1:3" ht="15.75" customHeight="1" x14ac:dyDescent="0.35">
      <c r="A369" s="33"/>
      <c r="B369" s="107"/>
      <c r="C369" s="118"/>
    </row>
    <row r="370" spans="1:3" ht="15.75" customHeight="1" x14ac:dyDescent="0.35">
      <c r="A370" s="33"/>
      <c r="B370" s="107"/>
      <c r="C370" s="118"/>
    </row>
    <row r="371" spans="1:3" ht="15.75" customHeight="1" x14ac:dyDescent="0.35">
      <c r="A371" s="33"/>
      <c r="B371" s="107"/>
      <c r="C371" s="118"/>
    </row>
    <row r="372" spans="1:3" ht="15.75" customHeight="1" x14ac:dyDescent="0.35">
      <c r="A372" s="33"/>
      <c r="B372" s="107"/>
      <c r="C372" s="118"/>
    </row>
    <row r="373" spans="1:3" ht="15.75" customHeight="1" x14ac:dyDescent="0.35">
      <c r="A373" s="33"/>
      <c r="B373" s="107"/>
      <c r="C373" s="118"/>
    </row>
    <row r="374" spans="1:3" ht="15.75" customHeight="1" x14ac:dyDescent="0.35">
      <c r="A374" s="33"/>
      <c r="B374" s="107"/>
      <c r="C374" s="118"/>
    </row>
    <row r="375" spans="1:3" ht="15.75" customHeight="1" x14ac:dyDescent="0.35">
      <c r="A375" s="33"/>
      <c r="B375" s="107"/>
      <c r="C375" s="118"/>
    </row>
    <row r="376" spans="1:3" ht="15.75" customHeight="1" x14ac:dyDescent="0.35">
      <c r="A376" s="33"/>
      <c r="B376" s="107"/>
      <c r="C376" s="118"/>
    </row>
    <row r="377" spans="1:3" ht="15.75" customHeight="1" x14ac:dyDescent="0.35">
      <c r="A377" s="33"/>
      <c r="B377" s="107"/>
      <c r="C377" s="118"/>
    </row>
    <row r="378" spans="1:3" ht="15.75" customHeight="1" x14ac:dyDescent="0.35">
      <c r="A378" s="33"/>
      <c r="B378" s="107"/>
      <c r="C378" s="118"/>
    </row>
    <row r="379" spans="1:3" ht="15.75" customHeight="1" x14ac:dyDescent="0.35">
      <c r="A379" s="33"/>
      <c r="B379" s="107"/>
      <c r="C379" s="118"/>
    </row>
    <row r="380" spans="1:3" ht="15.75" customHeight="1" x14ac:dyDescent="0.35">
      <c r="A380" s="33"/>
      <c r="B380" s="107"/>
      <c r="C380" s="118"/>
    </row>
    <row r="381" spans="1:3" ht="15.75" customHeight="1" x14ac:dyDescent="0.35">
      <c r="A381" s="33"/>
      <c r="B381" s="107"/>
      <c r="C381" s="118"/>
    </row>
    <row r="382" spans="1:3" ht="15.75" customHeight="1" x14ac:dyDescent="0.35">
      <c r="A382" s="33"/>
      <c r="B382" s="107"/>
      <c r="C382" s="118"/>
    </row>
    <row r="383" spans="1:3" ht="15.75" customHeight="1" x14ac:dyDescent="0.35">
      <c r="A383" s="33"/>
      <c r="B383" s="107"/>
      <c r="C383" s="118"/>
    </row>
    <row r="384" spans="1:3" ht="15.75" customHeight="1" x14ac:dyDescent="0.35">
      <c r="A384" s="33"/>
      <c r="B384" s="107"/>
      <c r="C384" s="118"/>
    </row>
    <row r="385" spans="1:3" ht="15.75" customHeight="1" x14ac:dyDescent="0.35">
      <c r="A385" s="33"/>
      <c r="B385" s="107"/>
      <c r="C385" s="118"/>
    </row>
    <row r="386" spans="1:3" ht="15.75" customHeight="1" x14ac:dyDescent="0.35">
      <c r="A386" s="33"/>
      <c r="B386" s="107"/>
      <c r="C386" s="118"/>
    </row>
    <row r="387" spans="1:3" ht="15.75" customHeight="1" x14ac:dyDescent="0.35">
      <c r="A387" s="33"/>
      <c r="B387" s="107"/>
      <c r="C387" s="118"/>
    </row>
    <row r="388" spans="1:3" ht="15.75" customHeight="1" x14ac:dyDescent="0.35">
      <c r="A388" s="33"/>
      <c r="B388" s="107"/>
      <c r="C388" s="118"/>
    </row>
    <row r="389" spans="1:3" ht="15.75" customHeight="1" x14ac:dyDescent="0.35">
      <c r="A389" s="33"/>
      <c r="B389" s="107"/>
      <c r="C389" s="118"/>
    </row>
    <row r="390" spans="1:3" ht="15.75" customHeight="1" x14ac:dyDescent="0.35">
      <c r="A390" s="33"/>
      <c r="B390" s="107"/>
      <c r="C390" s="118"/>
    </row>
    <row r="391" spans="1:3" ht="15.75" customHeight="1" x14ac:dyDescent="0.35">
      <c r="A391" s="33"/>
      <c r="B391" s="107"/>
      <c r="C391" s="118"/>
    </row>
    <row r="392" spans="1:3" ht="15.75" customHeight="1" x14ac:dyDescent="0.35">
      <c r="A392" s="33"/>
      <c r="B392" s="107"/>
      <c r="C392" s="118"/>
    </row>
    <row r="393" spans="1:3" ht="15.75" customHeight="1" x14ac:dyDescent="0.35">
      <c r="A393" s="33"/>
      <c r="B393" s="107"/>
      <c r="C393" s="118"/>
    </row>
    <row r="394" spans="1:3" ht="15.75" customHeight="1" x14ac:dyDescent="0.35">
      <c r="A394" s="33"/>
      <c r="B394" s="107"/>
      <c r="C394" s="118"/>
    </row>
    <row r="395" spans="1:3" ht="15.75" customHeight="1" x14ac:dyDescent="0.35">
      <c r="A395" s="33"/>
      <c r="B395" s="107"/>
      <c r="C395" s="118"/>
    </row>
    <row r="396" spans="1:3" ht="15.75" customHeight="1" x14ac:dyDescent="0.35">
      <c r="A396" s="33"/>
      <c r="B396" s="107"/>
      <c r="C396" s="118"/>
    </row>
    <row r="397" spans="1:3" ht="15.75" customHeight="1" x14ac:dyDescent="0.35">
      <c r="A397" s="33"/>
      <c r="B397" s="107"/>
      <c r="C397" s="118"/>
    </row>
    <row r="398" spans="1:3" ht="15.75" customHeight="1" x14ac:dyDescent="0.35">
      <c r="A398" s="33"/>
      <c r="B398" s="107"/>
      <c r="C398" s="118"/>
    </row>
    <row r="399" spans="1:3" ht="15.75" customHeight="1" x14ac:dyDescent="0.35">
      <c r="A399" s="33"/>
      <c r="B399" s="107"/>
      <c r="C399" s="118"/>
    </row>
    <row r="400" spans="1:3" ht="15.75" customHeight="1" x14ac:dyDescent="0.35">
      <c r="A400" s="33"/>
      <c r="B400" s="107"/>
      <c r="C400" s="118"/>
    </row>
    <row r="401" spans="1:3" ht="15.75" customHeight="1" x14ac:dyDescent="0.35">
      <c r="A401" s="33"/>
      <c r="B401" s="107"/>
      <c r="C401" s="118"/>
    </row>
    <row r="402" spans="1:3" ht="15.75" customHeight="1" x14ac:dyDescent="0.35">
      <c r="A402" s="33"/>
      <c r="B402" s="107"/>
      <c r="C402" s="118"/>
    </row>
    <row r="403" spans="1:3" ht="15.75" customHeight="1" x14ac:dyDescent="0.35">
      <c r="A403" s="33"/>
      <c r="B403" s="107"/>
      <c r="C403" s="118"/>
    </row>
    <row r="404" spans="1:3" ht="15.75" customHeight="1" x14ac:dyDescent="0.35">
      <c r="A404" s="33"/>
      <c r="B404" s="107"/>
      <c r="C404" s="118"/>
    </row>
    <row r="405" spans="1:3" ht="15.75" customHeight="1" x14ac:dyDescent="0.35">
      <c r="A405" s="33"/>
      <c r="B405" s="107"/>
      <c r="C405" s="118"/>
    </row>
    <row r="406" spans="1:3" ht="15.75" customHeight="1" x14ac:dyDescent="0.35">
      <c r="A406" s="33"/>
      <c r="B406" s="107"/>
      <c r="C406" s="118"/>
    </row>
    <row r="407" spans="1:3" ht="15.75" customHeight="1" x14ac:dyDescent="0.35">
      <c r="A407" s="33"/>
      <c r="B407" s="107"/>
      <c r="C407" s="118"/>
    </row>
    <row r="408" spans="1:3" ht="15.75" customHeight="1" x14ac:dyDescent="0.35">
      <c r="A408" s="33"/>
      <c r="B408" s="107"/>
      <c r="C408" s="118"/>
    </row>
    <row r="409" spans="1:3" ht="15.75" customHeight="1" x14ac:dyDescent="0.35">
      <c r="A409" s="33"/>
      <c r="B409" s="107"/>
      <c r="C409" s="118"/>
    </row>
    <row r="410" spans="1:3" ht="15.75" customHeight="1" x14ac:dyDescent="0.35">
      <c r="A410" s="33"/>
      <c r="B410" s="107"/>
      <c r="C410" s="118"/>
    </row>
    <row r="411" spans="1:3" ht="15.75" customHeight="1" x14ac:dyDescent="0.35">
      <c r="A411" s="33"/>
      <c r="B411" s="107"/>
      <c r="C411" s="118"/>
    </row>
    <row r="412" spans="1:3" ht="15.75" customHeight="1" x14ac:dyDescent="0.35">
      <c r="A412" s="33"/>
      <c r="B412" s="107"/>
      <c r="C412" s="118"/>
    </row>
    <row r="413" spans="1:3" ht="15.75" customHeight="1" x14ac:dyDescent="0.35">
      <c r="A413" s="33"/>
      <c r="B413" s="107"/>
      <c r="C413" s="118"/>
    </row>
    <row r="414" spans="1:3" ht="15.75" customHeight="1" x14ac:dyDescent="0.35">
      <c r="A414" s="33"/>
      <c r="B414" s="107"/>
      <c r="C414" s="118"/>
    </row>
    <row r="415" spans="1:3" ht="15.75" customHeight="1" x14ac:dyDescent="0.35">
      <c r="A415" s="33"/>
      <c r="B415" s="107"/>
      <c r="C415" s="118"/>
    </row>
    <row r="416" spans="1:3" ht="15.75" customHeight="1" x14ac:dyDescent="0.35">
      <c r="A416" s="33"/>
      <c r="B416" s="107"/>
      <c r="C416" s="118"/>
    </row>
    <row r="417" spans="1:3" ht="15.75" customHeight="1" x14ac:dyDescent="0.35">
      <c r="A417" s="33"/>
      <c r="B417" s="107"/>
      <c r="C417" s="118"/>
    </row>
    <row r="418" spans="1:3" ht="15.75" customHeight="1" x14ac:dyDescent="0.35">
      <c r="A418" s="33"/>
      <c r="B418" s="107"/>
      <c r="C418" s="118"/>
    </row>
    <row r="419" spans="1:3" ht="15.75" customHeight="1" x14ac:dyDescent="0.35">
      <c r="A419" s="33"/>
      <c r="B419" s="107"/>
      <c r="C419" s="118"/>
    </row>
    <row r="420" spans="1:3" ht="15.75" customHeight="1" x14ac:dyDescent="0.35">
      <c r="A420" s="33"/>
      <c r="B420" s="107"/>
      <c r="C420" s="118"/>
    </row>
    <row r="421" spans="1:3" ht="15.75" customHeight="1" x14ac:dyDescent="0.35">
      <c r="A421" s="33"/>
      <c r="B421" s="107"/>
      <c r="C421" s="118"/>
    </row>
    <row r="422" spans="1:3" ht="15.75" customHeight="1" x14ac:dyDescent="0.35">
      <c r="A422" s="33"/>
      <c r="B422" s="107"/>
      <c r="C422" s="118"/>
    </row>
    <row r="423" spans="1:3" ht="15.75" customHeight="1" x14ac:dyDescent="0.35">
      <c r="A423" s="33"/>
      <c r="B423" s="107"/>
      <c r="C423" s="118"/>
    </row>
    <row r="424" spans="1:3" ht="15.75" customHeight="1" x14ac:dyDescent="0.35">
      <c r="A424" s="33"/>
      <c r="B424" s="107"/>
      <c r="C424" s="118"/>
    </row>
    <row r="425" spans="1:3" ht="15.75" customHeight="1" x14ac:dyDescent="0.35">
      <c r="A425" s="33"/>
      <c r="B425" s="107"/>
      <c r="C425" s="118"/>
    </row>
    <row r="426" spans="1:3" ht="15.75" customHeight="1" x14ac:dyDescent="0.35">
      <c r="A426" s="33"/>
      <c r="B426" s="107"/>
      <c r="C426" s="118"/>
    </row>
    <row r="427" spans="1:3" ht="15.75" customHeight="1" x14ac:dyDescent="0.35">
      <c r="A427" s="33"/>
      <c r="B427" s="107"/>
      <c r="C427" s="118"/>
    </row>
    <row r="428" spans="1:3" ht="15.75" customHeight="1" x14ac:dyDescent="0.35">
      <c r="A428" s="33"/>
      <c r="B428" s="107"/>
      <c r="C428" s="118"/>
    </row>
    <row r="429" spans="1:3" ht="15.75" customHeight="1" x14ac:dyDescent="0.35">
      <c r="A429" s="33"/>
      <c r="B429" s="107"/>
      <c r="C429" s="118"/>
    </row>
    <row r="430" spans="1:3" ht="15.75" customHeight="1" x14ac:dyDescent="0.35">
      <c r="A430" s="33"/>
      <c r="B430" s="107"/>
      <c r="C430" s="118"/>
    </row>
    <row r="431" spans="1:3" ht="15.75" customHeight="1" x14ac:dyDescent="0.35">
      <c r="A431" s="33"/>
      <c r="B431" s="107"/>
      <c r="C431" s="118"/>
    </row>
    <row r="432" spans="1:3" ht="15.75" customHeight="1" x14ac:dyDescent="0.35">
      <c r="A432" s="33"/>
      <c r="B432" s="107"/>
      <c r="C432" s="118"/>
    </row>
    <row r="433" spans="1:3" ht="15.75" customHeight="1" x14ac:dyDescent="0.35">
      <c r="A433" s="33"/>
      <c r="B433" s="107"/>
      <c r="C433" s="118"/>
    </row>
    <row r="434" spans="1:3" ht="15.75" customHeight="1" x14ac:dyDescent="0.35">
      <c r="A434" s="33"/>
      <c r="B434" s="107"/>
      <c r="C434" s="118"/>
    </row>
    <row r="435" spans="1:3" ht="15.75" customHeight="1" x14ac:dyDescent="0.35">
      <c r="A435" s="33"/>
      <c r="B435" s="107"/>
      <c r="C435" s="118"/>
    </row>
    <row r="436" spans="1:3" ht="15.75" customHeight="1" x14ac:dyDescent="0.35">
      <c r="A436" s="33"/>
      <c r="B436" s="107"/>
      <c r="C436" s="118"/>
    </row>
    <row r="437" spans="1:3" ht="15.75" customHeight="1" x14ac:dyDescent="0.35">
      <c r="A437" s="33"/>
      <c r="B437" s="107"/>
      <c r="C437" s="118"/>
    </row>
    <row r="438" spans="1:3" ht="15.75" customHeight="1" x14ac:dyDescent="0.35">
      <c r="A438" s="33"/>
      <c r="B438" s="107"/>
      <c r="C438" s="118"/>
    </row>
    <row r="439" spans="1:3" ht="15.75" customHeight="1" x14ac:dyDescent="0.35">
      <c r="A439" s="33"/>
      <c r="B439" s="107"/>
      <c r="C439" s="118"/>
    </row>
    <row r="440" spans="1:3" ht="15.75" customHeight="1" x14ac:dyDescent="0.35">
      <c r="A440" s="33"/>
      <c r="B440" s="107"/>
      <c r="C440" s="118"/>
    </row>
    <row r="441" spans="1:3" ht="15.75" customHeight="1" x14ac:dyDescent="0.35">
      <c r="A441" s="33"/>
      <c r="B441" s="107"/>
      <c r="C441" s="118"/>
    </row>
    <row r="442" spans="1:3" ht="15.75" customHeight="1" x14ac:dyDescent="0.35">
      <c r="A442" s="33"/>
      <c r="B442" s="107"/>
      <c r="C442" s="118"/>
    </row>
    <row r="443" spans="1:3" ht="15.75" customHeight="1" x14ac:dyDescent="0.35">
      <c r="A443" s="33"/>
      <c r="B443" s="107"/>
      <c r="C443" s="118"/>
    </row>
    <row r="444" spans="1:3" ht="15.75" customHeight="1" x14ac:dyDescent="0.35">
      <c r="A444" s="33"/>
      <c r="B444" s="107"/>
      <c r="C444" s="118"/>
    </row>
    <row r="445" spans="1:3" ht="15.75" customHeight="1" x14ac:dyDescent="0.35">
      <c r="A445" s="33"/>
      <c r="B445" s="107"/>
      <c r="C445" s="118"/>
    </row>
    <row r="446" spans="1:3" ht="15.75" customHeight="1" x14ac:dyDescent="0.35">
      <c r="A446" s="33"/>
      <c r="B446" s="107"/>
      <c r="C446" s="118"/>
    </row>
    <row r="447" spans="1:3" ht="15.75" customHeight="1" x14ac:dyDescent="0.35">
      <c r="A447" s="33"/>
      <c r="B447" s="107"/>
      <c r="C447" s="118"/>
    </row>
    <row r="448" spans="1:3" ht="15.75" customHeight="1" x14ac:dyDescent="0.35">
      <c r="A448" s="33"/>
      <c r="B448" s="107"/>
      <c r="C448" s="118"/>
    </row>
    <row r="449" spans="1:3" ht="15.75" customHeight="1" x14ac:dyDescent="0.35">
      <c r="A449" s="33"/>
      <c r="B449" s="107"/>
      <c r="C449" s="118"/>
    </row>
    <row r="450" spans="1:3" ht="15.75" customHeight="1" x14ac:dyDescent="0.35">
      <c r="A450" s="33"/>
      <c r="B450" s="107"/>
      <c r="C450" s="118"/>
    </row>
    <row r="451" spans="1:3" ht="15.75" customHeight="1" x14ac:dyDescent="0.35">
      <c r="A451" s="33"/>
      <c r="B451" s="107"/>
      <c r="C451" s="118"/>
    </row>
    <row r="452" spans="1:3" ht="15.75" customHeight="1" x14ac:dyDescent="0.35">
      <c r="A452" s="33"/>
      <c r="B452" s="107"/>
      <c r="C452" s="118"/>
    </row>
    <row r="453" spans="1:3" ht="15.75" customHeight="1" x14ac:dyDescent="0.35">
      <c r="A453" s="33"/>
      <c r="B453" s="107"/>
      <c r="C453" s="118"/>
    </row>
    <row r="454" spans="1:3" ht="15.75" customHeight="1" x14ac:dyDescent="0.35">
      <c r="A454" s="33"/>
      <c r="B454" s="107"/>
      <c r="C454" s="118"/>
    </row>
    <row r="455" spans="1:3" ht="15.75" customHeight="1" x14ac:dyDescent="0.35">
      <c r="A455" s="33"/>
      <c r="B455" s="107"/>
      <c r="C455" s="118"/>
    </row>
    <row r="456" spans="1:3" ht="15.75" customHeight="1" x14ac:dyDescent="0.35">
      <c r="A456" s="33"/>
      <c r="B456" s="107"/>
      <c r="C456" s="118"/>
    </row>
    <row r="457" spans="1:3" ht="15.75" customHeight="1" x14ac:dyDescent="0.35">
      <c r="A457" s="33"/>
      <c r="B457" s="107"/>
      <c r="C457" s="118"/>
    </row>
    <row r="458" spans="1:3" ht="15.75" customHeight="1" x14ac:dyDescent="0.35">
      <c r="A458" s="33"/>
      <c r="B458" s="107"/>
      <c r="C458" s="118"/>
    </row>
    <row r="459" spans="1:3" ht="15.75" customHeight="1" x14ac:dyDescent="0.35">
      <c r="A459" s="33"/>
      <c r="B459" s="107"/>
      <c r="C459" s="118"/>
    </row>
    <row r="460" spans="1:3" ht="15.75" customHeight="1" x14ac:dyDescent="0.35">
      <c r="A460" s="33"/>
      <c r="B460" s="107"/>
      <c r="C460" s="118"/>
    </row>
    <row r="461" spans="1:3" ht="15.75" customHeight="1" x14ac:dyDescent="0.35">
      <c r="A461" s="33"/>
      <c r="B461" s="107"/>
      <c r="C461" s="118"/>
    </row>
    <row r="462" spans="1:3" ht="15.75" customHeight="1" x14ac:dyDescent="0.35">
      <c r="A462" s="33"/>
      <c r="B462" s="107"/>
      <c r="C462" s="118"/>
    </row>
    <row r="463" spans="1:3" ht="15.75" customHeight="1" x14ac:dyDescent="0.35">
      <c r="A463" s="33"/>
      <c r="B463" s="107"/>
      <c r="C463" s="118"/>
    </row>
    <row r="464" spans="1:3" ht="15.75" customHeight="1" x14ac:dyDescent="0.35">
      <c r="A464" s="33"/>
      <c r="B464" s="107"/>
      <c r="C464" s="118"/>
    </row>
    <row r="465" spans="1:3" ht="15.75" customHeight="1" x14ac:dyDescent="0.35">
      <c r="A465" s="33"/>
      <c r="B465" s="107"/>
      <c r="C465" s="118"/>
    </row>
    <row r="466" spans="1:3" ht="15.75" customHeight="1" x14ac:dyDescent="0.35">
      <c r="A466" s="33"/>
      <c r="B466" s="107"/>
      <c r="C466" s="118"/>
    </row>
    <row r="467" spans="1:3" ht="15.75" customHeight="1" x14ac:dyDescent="0.35">
      <c r="A467" s="33"/>
      <c r="B467" s="107"/>
      <c r="C467" s="118"/>
    </row>
    <row r="468" spans="1:3" ht="15.75" customHeight="1" x14ac:dyDescent="0.35">
      <c r="A468" s="33"/>
      <c r="B468" s="107"/>
      <c r="C468" s="118"/>
    </row>
    <row r="469" spans="1:3" ht="15.75" customHeight="1" x14ac:dyDescent="0.35">
      <c r="A469" s="33"/>
      <c r="B469" s="107"/>
      <c r="C469" s="118"/>
    </row>
    <row r="470" spans="1:3" ht="15.75" customHeight="1" x14ac:dyDescent="0.35">
      <c r="A470" s="33"/>
      <c r="B470" s="107"/>
      <c r="C470" s="118"/>
    </row>
    <row r="471" spans="1:3" ht="15.75" customHeight="1" x14ac:dyDescent="0.35">
      <c r="A471" s="33"/>
      <c r="B471" s="107"/>
      <c r="C471" s="118"/>
    </row>
    <row r="472" spans="1:3" ht="15.75" customHeight="1" x14ac:dyDescent="0.35">
      <c r="A472" s="33"/>
      <c r="B472" s="107"/>
      <c r="C472" s="118"/>
    </row>
    <row r="473" spans="1:3" ht="15.75" customHeight="1" x14ac:dyDescent="0.35">
      <c r="A473" s="33"/>
      <c r="B473" s="107"/>
      <c r="C473" s="118"/>
    </row>
    <row r="474" spans="1:3" ht="15.75" customHeight="1" x14ac:dyDescent="0.35">
      <c r="A474" s="33"/>
      <c r="B474" s="107"/>
      <c r="C474" s="118"/>
    </row>
    <row r="475" spans="1:3" ht="15.75" customHeight="1" x14ac:dyDescent="0.35">
      <c r="A475" s="33"/>
      <c r="B475" s="107"/>
      <c r="C475" s="118"/>
    </row>
    <row r="476" spans="1:3" ht="15.75" customHeight="1" x14ac:dyDescent="0.35">
      <c r="A476" s="33"/>
      <c r="B476" s="107"/>
      <c r="C476" s="118"/>
    </row>
    <row r="477" spans="1:3" ht="15.75" customHeight="1" x14ac:dyDescent="0.35">
      <c r="A477" s="33"/>
      <c r="B477" s="107"/>
      <c r="C477" s="118"/>
    </row>
    <row r="478" spans="1:3" ht="15.75" customHeight="1" x14ac:dyDescent="0.35">
      <c r="A478" s="33"/>
      <c r="B478" s="107"/>
      <c r="C478" s="118"/>
    </row>
    <row r="479" spans="1:3" ht="15.75" customHeight="1" x14ac:dyDescent="0.35">
      <c r="A479" s="33"/>
      <c r="B479" s="107"/>
      <c r="C479" s="118"/>
    </row>
    <row r="480" spans="1:3" ht="15.75" customHeight="1" x14ac:dyDescent="0.35">
      <c r="A480" s="33"/>
      <c r="B480" s="107"/>
      <c r="C480" s="118"/>
    </row>
    <row r="481" spans="1:3" ht="15.75" customHeight="1" x14ac:dyDescent="0.35">
      <c r="A481" s="33"/>
      <c r="B481" s="107"/>
      <c r="C481" s="118"/>
    </row>
    <row r="482" spans="1:3" ht="15.75" customHeight="1" x14ac:dyDescent="0.35">
      <c r="A482" s="33"/>
      <c r="B482" s="107"/>
      <c r="C482" s="118"/>
    </row>
    <row r="483" spans="1:3" ht="15.75" customHeight="1" x14ac:dyDescent="0.35">
      <c r="A483" s="33"/>
      <c r="B483" s="107"/>
      <c r="C483" s="118"/>
    </row>
    <row r="484" spans="1:3" ht="15.75" customHeight="1" x14ac:dyDescent="0.35">
      <c r="A484" s="33"/>
      <c r="B484" s="107"/>
      <c r="C484" s="118"/>
    </row>
    <row r="485" spans="1:3" ht="15.75" customHeight="1" x14ac:dyDescent="0.35">
      <c r="A485" s="33"/>
      <c r="B485" s="107"/>
      <c r="C485" s="118"/>
    </row>
    <row r="486" spans="1:3" ht="15.75" customHeight="1" x14ac:dyDescent="0.35">
      <c r="A486" s="33"/>
      <c r="B486" s="107"/>
      <c r="C486" s="118"/>
    </row>
    <row r="487" spans="1:3" ht="15.75" customHeight="1" x14ac:dyDescent="0.35">
      <c r="A487" s="33"/>
      <c r="B487" s="107"/>
      <c r="C487" s="118"/>
    </row>
    <row r="488" spans="1:3" ht="15.75" customHeight="1" x14ac:dyDescent="0.35">
      <c r="A488" s="33"/>
      <c r="B488" s="107"/>
      <c r="C488" s="118"/>
    </row>
    <row r="489" spans="1:3" ht="15.75" customHeight="1" x14ac:dyDescent="0.35">
      <c r="A489" s="33"/>
      <c r="B489" s="107"/>
      <c r="C489" s="118"/>
    </row>
    <row r="490" spans="1:3" ht="15.75" customHeight="1" x14ac:dyDescent="0.35">
      <c r="A490" s="33"/>
      <c r="B490" s="107"/>
      <c r="C490" s="118"/>
    </row>
    <row r="491" spans="1:3" ht="15.75" customHeight="1" x14ac:dyDescent="0.35">
      <c r="A491" s="33"/>
      <c r="B491" s="107"/>
      <c r="C491" s="118"/>
    </row>
    <row r="492" spans="1:3" ht="15.75" customHeight="1" x14ac:dyDescent="0.35">
      <c r="A492" s="33"/>
      <c r="B492" s="107"/>
      <c r="C492" s="118"/>
    </row>
    <row r="493" spans="1:3" ht="15.75" customHeight="1" x14ac:dyDescent="0.35">
      <c r="A493" s="33"/>
      <c r="B493" s="107"/>
      <c r="C493" s="118"/>
    </row>
    <row r="494" spans="1:3" ht="15.75" customHeight="1" x14ac:dyDescent="0.35">
      <c r="A494" s="33"/>
      <c r="B494" s="107"/>
      <c r="C494" s="118"/>
    </row>
    <row r="495" spans="1:3" ht="15.75" customHeight="1" x14ac:dyDescent="0.35">
      <c r="A495" s="33"/>
      <c r="B495" s="107"/>
      <c r="C495" s="118"/>
    </row>
    <row r="496" spans="1:3" ht="15.75" customHeight="1" x14ac:dyDescent="0.35">
      <c r="A496" s="33"/>
      <c r="B496" s="107"/>
      <c r="C496" s="118"/>
    </row>
    <row r="497" spans="1:3" ht="15.75" customHeight="1" x14ac:dyDescent="0.35">
      <c r="A497" s="33"/>
      <c r="B497" s="107"/>
      <c r="C497" s="118"/>
    </row>
    <row r="498" spans="1:3" ht="15.75" customHeight="1" x14ac:dyDescent="0.35">
      <c r="A498" s="33"/>
      <c r="B498" s="107"/>
      <c r="C498" s="118"/>
    </row>
    <row r="499" spans="1:3" ht="15.75" customHeight="1" x14ac:dyDescent="0.35">
      <c r="A499" s="33"/>
      <c r="B499" s="107"/>
      <c r="C499" s="118"/>
    </row>
    <row r="500" spans="1:3" ht="15.75" customHeight="1" x14ac:dyDescent="0.35">
      <c r="A500" s="33"/>
      <c r="B500" s="107"/>
      <c r="C500" s="118"/>
    </row>
    <row r="501" spans="1:3" ht="15.75" customHeight="1" x14ac:dyDescent="0.35">
      <c r="A501" s="33"/>
      <c r="B501" s="107"/>
      <c r="C501" s="118"/>
    </row>
    <row r="502" spans="1:3" ht="15.75" customHeight="1" x14ac:dyDescent="0.35">
      <c r="A502" s="33"/>
      <c r="B502" s="107"/>
      <c r="C502" s="118"/>
    </row>
    <row r="503" spans="1:3" ht="15.75" customHeight="1" x14ac:dyDescent="0.35">
      <c r="A503" s="33"/>
      <c r="B503" s="107"/>
      <c r="C503" s="118"/>
    </row>
    <row r="504" spans="1:3" ht="15.75" customHeight="1" x14ac:dyDescent="0.35">
      <c r="A504" s="33"/>
      <c r="B504" s="107"/>
      <c r="C504" s="118"/>
    </row>
    <row r="505" spans="1:3" ht="15.75" customHeight="1" x14ac:dyDescent="0.35">
      <c r="A505" s="33"/>
      <c r="B505" s="107"/>
      <c r="C505" s="118"/>
    </row>
    <row r="506" spans="1:3" ht="15.75" customHeight="1" x14ac:dyDescent="0.35">
      <c r="A506" s="33"/>
      <c r="B506" s="107"/>
      <c r="C506" s="118"/>
    </row>
    <row r="507" spans="1:3" ht="15.75" customHeight="1" x14ac:dyDescent="0.35">
      <c r="A507" s="33"/>
      <c r="B507" s="107"/>
      <c r="C507" s="118"/>
    </row>
    <row r="508" spans="1:3" ht="15.75" customHeight="1" x14ac:dyDescent="0.35">
      <c r="A508" s="33"/>
      <c r="B508" s="107"/>
      <c r="C508" s="118"/>
    </row>
    <row r="509" spans="1:3" ht="15.75" customHeight="1" x14ac:dyDescent="0.35">
      <c r="A509" s="33"/>
      <c r="B509" s="107"/>
      <c r="C509" s="118"/>
    </row>
    <row r="510" spans="1:3" ht="15.75" customHeight="1" x14ac:dyDescent="0.35">
      <c r="A510" s="33"/>
      <c r="B510" s="107"/>
      <c r="C510" s="118"/>
    </row>
    <row r="511" spans="1:3" ht="15.75" customHeight="1" x14ac:dyDescent="0.35">
      <c r="A511" s="33"/>
      <c r="B511" s="107"/>
      <c r="C511" s="118"/>
    </row>
    <row r="512" spans="1:3" ht="15.75" customHeight="1" x14ac:dyDescent="0.35">
      <c r="A512" s="33"/>
      <c r="B512" s="107"/>
      <c r="C512" s="118"/>
    </row>
    <row r="513" spans="1:3" ht="15.75" customHeight="1" x14ac:dyDescent="0.35">
      <c r="A513" s="33"/>
      <c r="B513" s="107"/>
      <c r="C513" s="118"/>
    </row>
    <row r="514" spans="1:3" ht="15.75" customHeight="1" x14ac:dyDescent="0.35">
      <c r="A514" s="33"/>
      <c r="B514" s="107"/>
      <c r="C514" s="118"/>
    </row>
    <row r="515" spans="1:3" ht="15.75" customHeight="1" x14ac:dyDescent="0.35">
      <c r="A515" s="33"/>
      <c r="B515" s="107"/>
      <c r="C515" s="118"/>
    </row>
    <row r="516" spans="1:3" ht="15.75" customHeight="1" x14ac:dyDescent="0.35">
      <c r="A516" s="33"/>
      <c r="B516" s="107"/>
      <c r="C516" s="118"/>
    </row>
    <row r="517" spans="1:3" ht="15.75" customHeight="1" x14ac:dyDescent="0.35">
      <c r="A517" s="33"/>
      <c r="B517" s="107"/>
      <c r="C517" s="118"/>
    </row>
    <row r="518" spans="1:3" ht="15.75" customHeight="1" x14ac:dyDescent="0.35">
      <c r="A518" s="33"/>
      <c r="B518" s="107"/>
      <c r="C518" s="118"/>
    </row>
    <row r="519" spans="1:3" ht="15.75" customHeight="1" x14ac:dyDescent="0.35">
      <c r="A519" s="33"/>
      <c r="B519" s="107"/>
      <c r="C519" s="118"/>
    </row>
    <row r="520" spans="1:3" ht="15.75" customHeight="1" x14ac:dyDescent="0.35">
      <c r="A520" s="33"/>
      <c r="B520" s="107"/>
      <c r="C520" s="118"/>
    </row>
  </sheetData>
  <pageMargins left="0.7" right="0.7" top="0.75" bottom="0.75" header="0.511811023622047" footer="0.511811023622047"/>
  <pageSetup paperSize="9" scale="85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INCOME</vt:lpstr>
      <vt:lpstr>RECON</vt:lpstr>
      <vt:lpstr> EXPENSES</vt:lpstr>
      <vt:lpstr> EXPENSES HOUSE</vt:lpstr>
      <vt:lpstr>MONTHLY FOR THE YEAR</vt:lpstr>
      <vt:lpstr>INCOME!Print_Area</vt:lpstr>
      <vt:lpstr>RECON!Print_Area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dc:description/>
  <cp:lastModifiedBy>Chris Schnell</cp:lastModifiedBy>
  <cp:revision>2</cp:revision>
  <cp:lastPrinted>2026-01-20T06:48:50Z</cp:lastPrinted>
  <dcterms:created xsi:type="dcterms:W3CDTF">2020-05-26T08:43:05Z</dcterms:created>
  <dcterms:modified xsi:type="dcterms:W3CDTF">2026-05-04T08:33:53Z</dcterms:modified>
  <dc:language>en-US</dc:language>
</cp:coreProperties>
</file>